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AL" sheetId="1" state="visible" r:id="rId1"/>
    <sheet name="PILARES" sheetId="2" state="visible" r:id="rId2"/>
    <sheet name="BRACOFER" sheetId="3" state="visible" r:id="rId3"/>
    <sheet name="EKIPA" sheetId="4" state="visible" r:id="rId4"/>
    <sheet name="TRANSMOVE" sheetId="5" state="visible" r:id="rId5"/>
    <sheet name="SELETIVA APOIO" sheetId="6" state="visible" r:id="rId6"/>
    <sheet name="SELETIVA C GRANDE" sheetId="7" state="visible" r:id="rId7"/>
    <sheet name="SELETIVA DOURADOS" sheetId="8" state="visible" r:id="rId8"/>
    <sheet name="SELETIVA PRUDENTE" sheetId="9" state="visible" r:id="rId9"/>
    <sheet name="SELETIVA MARINGÁ" sheetId="10" state="visible" r:id="rId10"/>
    <sheet name="SELETIVA CIDADE ALTA" sheetId="11" state="visible" r:id="rId11"/>
    <sheet name="SELETIVA LONDRIN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[Red]-R$ #,##0.00;&quot;&quot;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3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" fontId="4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tbl_dados" displayName="tbl_dados" ref="A2:N40" headerRowCount="1">
  <autoFilter ref="A2:N40"/>
  <tableColumns count="14">
    <tableColumn id="1" name="Tomador"/>
    <tableColumn id="2" name="FUNCIONÁRIO"/>
    <tableColumn id="3" name="Tipo"/>
    <tableColumn id="4" name="Setor"/>
    <tableColumn id="5" name="Função"/>
    <tableColumn id="6" name="Status"/>
    <tableColumn id="7" name="Empresa Registro"/>
    <tableColumn id="8" name="CNPJ"/>
    <tableColumn id="9" name="Provisão de Férias + 13°"/>
    <tableColumn id="10" name="Provisão de Encargos"/>
    <tableColumn id="11" name="Eventos Folha (Caixa)"/>
    <tableColumn id="12" name="Sal PF"/>
    <tableColumn id="13" name="TT BRUTO ABRIL"/>
    <tableColumn id="14" name="TT BRUTO MARÇ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10" customWidth="1" min="3" max="3"/>
    <col width="22" customWidth="1" min="4" max="4"/>
    <col width="30" customWidth="1" min="5" max="5"/>
    <col width="12" customWidth="1" min="6" max="6"/>
    <col width="30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</cols>
  <sheetData>
    <row r="1" ht="28" customHeight="1">
      <c r="A1" s="1" t="inlineStr">
        <is>
          <t>GERAL</t>
        </is>
      </c>
      <c r="B1" s="1" t="inlineStr">
        <is>
          <t>FOLHA DE PAGAMENTO ABRIL/2026</t>
        </is>
      </c>
      <c r="I1" s="2">
        <f>SUBTOTAL(9,tbl_dados[Provisão de Férias + 13°])</f>
        <v/>
      </c>
      <c r="J1" s="2">
        <f>SUBTOTAL(9,tbl_dados[Provisão de Encargos])</f>
        <v/>
      </c>
      <c r="K1" s="1" t="inlineStr">
        <is>
          <t>Soma</t>
        </is>
      </c>
      <c r="M1" s="2">
        <f>SUBTOTAL(9,tbl_dados[TT BRUTO ABRIL])</f>
        <v/>
      </c>
      <c r="N1" s="2">
        <f>SUBTOTAL(9,tbl_dados[TT BRUTO MARÇO])</f>
        <v/>
      </c>
    </row>
    <row r="2" ht="36" customHeight="1">
      <c r="A2" s="3" t="inlineStr">
        <is>
          <t>Tomador</t>
        </is>
      </c>
      <c r="B2" s="3" t="inlineStr">
        <is>
          <t>FUNCIONÁRIO</t>
        </is>
      </c>
      <c r="C2" s="3" t="inlineStr">
        <is>
          <t>Tipo</t>
        </is>
      </c>
      <c r="D2" s="3" t="inlineStr">
        <is>
          <t>Setor</t>
        </is>
      </c>
      <c r="E2" s="3" t="inlineStr">
        <is>
          <t>Função</t>
        </is>
      </c>
      <c r="F2" s="3" t="inlineStr">
        <is>
          <t>Status</t>
        </is>
      </c>
      <c r="G2" s="3" t="inlineStr">
        <is>
          <t>Empresa Registro</t>
        </is>
      </c>
      <c r="H2" s="3" t="inlineStr">
        <is>
          <t>CNPJ</t>
        </is>
      </c>
      <c r="I2" s="3" t="inlineStr">
        <is>
          <t>Provisão de Férias + 13°</t>
        </is>
      </c>
      <c r="J2" s="3" t="inlineStr">
        <is>
          <t>Provisão de Encargos</t>
        </is>
      </c>
      <c r="K2" s="3" t="inlineStr">
        <is>
          <t>Eventos Folha (Caixa)</t>
        </is>
      </c>
      <c r="L2" s="3" t="inlineStr">
        <is>
          <t>Sal PF</t>
        </is>
      </c>
      <c r="M2" s="3" t="inlineStr">
        <is>
          <t>TT BRUTO ABRIL</t>
        </is>
      </c>
      <c r="N2" s="3" t="inlineStr">
        <is>
          <t>TT BRUTO MARÇO</t>
        </is>
      </c>
    </row>
    <row r="3">
      <c r="A3" s="4" t="inlineStr">
        <is>
          <t>PILARES</t>
        </is>
      </c>
      <c r="B3" s="5" t="inlineStr">
        <is>
          <t>MVF PRUDENTE AGENCIA DE ESTAGIOS LTDA</t>
        </is>
      </c>
      <c r="C3" s="4" t="inlineStr">
        <is>
          <t>(sem cadastro)</t>
        </is>
      </c>
      <c r="D3" s="5" t="inlineStr"/>
      <c r="E3" s="5" t="inlineStr"/>
      <c r="F3" s="4" t="inlineStr">
        <is>
          <t>Ativo</t>
        </is>
      </c>
      <c r="G3" s="5" t="inlineStr">
        <is>
          <t>(sem cadastro)</t>
        </is>
      </c>
      <c r="H3" s="5" t="inlineStr"/>
      <c r="I3" s="6" t="n">
        <v>0</v>
      </c>
      <c r="J3" s="6" t="n">
        <v>0</v>
      </c>
      <c r="K3" s="6" t="n">
        <v>7196.35</v>
      </c>
      <c r="L3" s="6" t="n">
        <v>0</v>
      </c>
      <c r="M3" s="6" t="n">
        <v>7196.35</v>
      </c>
      <c r="N3" s="6" t="n">
        <v>0</v>
      </c>
    </row>
    <row r="4">
      <c r="A4" s="4" t="inlineStr">
        <is>
          <t>PILARES</t>
        </is>
      </c>
      <c r="B4" s="5" t="inlineStr">
        <is>
          <t>EXPERTISE GP SERV ASSESSORIA ADMINSTRATIVA LT ME</t>
        </is>
      </c>
      <c r="C4" s="4" t="inlineStr">
        <is>
          <t>(sem cadastro)</t>
        </is>
      </c>
      <c r="D4" s="5" t="inlineStr"/>
      <c r="E4" s="5" t="inlineStr"/>
      <c r="F4" s="4" t="inlineStr">
        <is>
          <t>Ativo</t>
        </is>
      </c>
      <c r="G4" s="5" t="inlineStr">
        <is>
          <t>(sem cadastro)</t>
        </is>
      </c>
      <c r="H4" s="5" t="inlineStr"/>
      <c r="I4" s="6" t="n">
        <v>0</v>
      </c>
      <c r="J4" s="6" t="n">
        <v>0</v>
      </c>
      <c r="K4" s="6" t="n">
        <v>0</v>
      </c>
      <c r="L4" s="6" t="n">
        <v>4331.33</v>
      </c>
      <c r="M4" s="6" t="n">
        <v>4331.33</v>
      </c>
      <c r="N4" s="6" t="n">
        <v>0</v>
      </c>
    </row>
    <row r="5">
      <c r="A5" s="4" t="inlineStr">
        <is>
          <t>PILARES</t>
        </is>
      </c>
      <c r="B5" s="5" t="inlineStr">
        <is>
          <t>GIULIANA  ANDREA VICCINO SALMAZZO</t>
        </is>
      </c>
      <c r="C5" s="4" t="inlineStr">
        <is>
          <t>(sem cadastro)</t>
        </is>
      </c>
      <c r="D5" s="5" t="inlineStr"/>
      <c r="E5" s="5" t="inlineStr"/>
      <c r="F5" s="4" t="inlineStr">
        <is>
          <t>Ativo</t>
        </is>
      </c>
      <c r="G5" s="5" t="inlineStr">
        <is>
          <t>(sem cadastro)</t>
        </is>
      </c>
      <c r="H5" s="5" t="inlineStr"/>
      <c r="I5" s="6" t="n">
        <v>0</v>
      </c>
      <c r="J5" s="6" t="n">
        <v>0</v>
      </c>
      <c r="K5" s="6" t="n">
        <v>2885.38</v>
      </c>
      <c r="L5" s="6" t="n">
        <v>0</v>
      </c>
      <c r="M5" s="6" t="n">
        <v>2885.38</v>
      </c>
      <c r="N5" s="6" t="n">
        <v>0</v>
      </c>
    </row>
    <row r="6">
      <c r="A6" s="4" t="inlineStr">
        <is>
          <t>PILARES</t>
        </is>
      </c>
      <c r="B6" s="5" t="inlineStr">
        <is>
          <t>RENATO JOSE APARECIDO SALTEIRO</t>
        </is>
      </c>
      <c r="C6" s="4" t="inlineStr">
        <is>
          <t>(sem cadastro)</t>
        </is>
      </c>
      <c r="D6" s="5" t="inlineStr"/>
      <c r="E6" s="5" t="inlineStr"/>
      <c r="F6" s="4" t="inlineStr">
        <is>
          <t>Ativo</t>
        </is>
      </c>
      <c r="G6" s="5" t="inlineStr">
        <is>
          <t>(sem cadastro)</t>
        </is>
      </c>
      <c r="H6" s="5" t="inlineStr"/>
      <c r="I6" s="6" t="n">
        <v>0</v>
      </c>
      <c r="J6" s="6" t="n">
        <v>0</v>
      </c>
      <c r="K6" s="6" t="n">
        <v>2885.38</v>
      </c>
      <c r="L6" s="6" t="n">
        <v>0</v>
      </c>
      <c r="M6" s="6" t="n">
        <v>2885.38</v>
      </c>
      <c r="N6" s="6" t="n">
        <v>0</v>
      </c>
    </row>
    <row r="7">
      <c r="A7" s="4" t="inlineStr">
        <is>
          <t>BRACOFER</t>
        </is>
      </c>
      <c r="B7" s="5" t="inlineStr">
        <is>
          <t>MM SOARES INFORMATICA</t>
        </is>
      </c>
      <c r="C7" s="4" t="inlineStr">
        <is>
          <t>(sem cadastro)</t>
        </is>
      </c>
      <c r="D7" s="5" t="inlineStr"/>
      <c r="E7" s="5" t="inlineStr"/>
      <c r="F7" s="4" t="inlineStr">
        <is>
          <t>Ativo</t>
        </is>
      </c>
      <c r="G7" s="5" t="inlineStr">
        <is>
          <t>(sem cadastro)</t>
        </is>
      </c>
      <c r="H7" s="5" t="inlineStr"/>
      <c r="I7" s="6" t="n">
        <v>0</v>
      </c>
      <c r="J7" s="6" t="n">
        <v>0</v>
      </c>
      <c r="K7" s="6" t="n">
        <v>0</v>
      </c>
      <c r="L7" s="6" t="n">
        <v>19115.07</v>
      </c>
      <c r="M7" s="6" t="n">
        <v>19115.07</v>
      </c>
      <c r="N7" s="6" t="n">
        <v>0</v>
      </c>
    </row>
    <row r="8">
      <c r="A8" s="4" t="inlineStr">
        <is>
          <t>BRACOFER</t>
        </is>
      </c>
      <c r="B8" s="5" t="inlineStr">
        <is>
          <t>MVF PRUDENTE AGENCIA DE ESTAGIOS LTDA</t>
        </is>
      </c>
      <c r="C8" s="4" t="inlineStr">
        <is>
          <t>(sem cadastro)</t>
        </is>
      </c>
      <c r="D8" s="5" t="inlineStr"/>
      <c r="E8" s="5" t="inlineStr"/>
      <c r="F8" s="4" t="inlineStr">
        <is>
          <t>Ativo</t>
        </is>
      </c>
      <c r="G8" s="5" t="inlineStr">
        <is>
          <t>(sem cadastro)</t>
        </is>
      </c>
      <c r="H8" s="5" t="inlineStr"/>
      <c r="I8" s="6" t="n">
        <v>0</v>
      </c>
      <c r="J8" s="6" t="n">
        <v>0</v>
      </c>
      <c r="K8" s="6" t="n">
        <v>2878.54</v>
      </c>
      <c r="L8" s="6" t="n">
        <v>0</v>
      </c>
      <c r="M8" s="6" t="n">
        <v>2878.54</v>
      </c>
      <c r="N8" s="6" t="n">
        <v>0</v>
      </c>
    </row>
    <row r="9">
      <c r="A9" s="4" t="inlineStr">
        <is>
          <t>EKIPA</t>
        </is>
      </c>
      <c r="B9" s="5" t="inlineStr">
        <is>
          <t>MM SOARES INFORMATICA</t>
        </is>
      </c>
      <c r="C9" s="4" t="inlineStr">
        <is>
          <t>(sem cadastro)</t>
        </is>
      </c>
      <c r="D9" s="5" t="inlineStr"/>
      <c r="E9" s="5" t="inlineStr"/>
      <c r="F9" s="4" t="inlineStr">
        <is>
          <t>Ativo</t>
        </is>
      </c>
      <c r="G9" s="5" t="inlineStr">
        <is>
          <t>(sem cadastro)</t>
        </is>
      </c>
      <c r="H9" s="5" t="inlineStr"/>
      <c r="I9" s="6" t="n">
        <v>0</v>
      </c>
      <c r="J9" s="6" t="n">
        <v>0</v>
      </c>
      <c r="K9" s="6" t="n">
        <v>0</v>
      </c>
      <c r="L9" s="6" t="n">
        <v>19115.07</v>
      </c>
      <c r="M9" s="6" t="n">
        <v>19115.07</v>
      </c>
      <c r="N9" s="6" t="n">
        <v>0</v>
      </c>
    </row>
    <row r="10">
      <c r="A10" s="4" t="inlineStr">
        <is>
          <t>EKIPA</t>
        </is>
      </c>
      <c r="B10" s="5" t="inlineStr">
        <is>
          <t>ABT SOLAR SOLUCOES ENERGETICAS LTDA</t>
        </is>
      </c>
      <c r="C10" s="4" t="inlineStr">
        <is>
          <t>(sem cadastro)</t>
        </is>
      </c>
      <c r="D10" s="5" t="inlineStr"/>
      <c r="E10" s="5" t="inlineStr"/>
      <c r="F10" s="4" t="inlineStr">
        <is>
          <t>Ativo</t>
        </is>
      </c>
      <c r="G10" s="5" t="inlineStr">
        <is>
          <t>(sem cadastro)</t>
        </is>
      </c>
      <c r="H10" s="5" t="inlineStr"/>
      <c r="I10" s="6" t="n">
        <v>0</v>
      </c>
      <c r="J10" s="6" t="n">
        <v>0</v>
      </c>
      <c r="K10" s="6" t="n">
        <v>0</v>
      </c>
      <c r="L10" s="6" t="n">
        <v>1694.9</v>
      </c>
      <c r="M10" s="6" t="n">
        <v>1694.9</v>
      </c>
      <c r="N10" s="6" t="n">
        <v>0</v>
      </c>
    </row>
    <row r="11">
      <c r="A11" s="4" t="inlineStr">
        <is>
          <t>EKIPA</t>
        </is>
      </c>
      <c r="B11" s="5" t="inlineStr">
        <is>
          <t>RARO PROPAGANDA E MAKETING LTDA  ME</t>
        </is>
      </c>
      <c r="C11" s="4" t="inlineStr">
        <is>
          <t>(sem cadastro)</t>
        </is>
      </c>
      <c r="D11" s="5" t="inlineStr"/>
      <c r="E11" s="5" t="inlineStr"/>
      <c r="F11" s="4" t="inlineStr">
        <is>
          <t>Ativo</t>
        </is>
      </c>
      <c r="G11" s="5" t="inlineStr">
        <is>
          <t>(sem cadastro)</t>
        </is>
      </c>
      <c r="H11" s="5" t="inlineStr"/>
      <c r="I11" s="6" t="n">
        <v>0</v>
      </c>
      <c r="J11" s="6" t="n">
        <v>0</v>
      </c>
      <c r="K11" s="6" t="n">
        <v>0</v>
      </c>
      <c r="L11" s="6" t="n">
        <v>1524.48</v>
      </c>
      <c r="M11" s="6" t="n">
        <v>1524.48</v>
      </c>
      <c r="N11" s="6" t="n">
        <v>0</v>
      </c>
    </row>
    <row r="12">
      <c r="A12" s="4" t="inlineStr">
        <is>
          <t>EKIPA</t>
        </is>
      </c>
      <c r="B12" s="5" t="inlineStr">
        <is>
          <t>MVF PRUDENTE AGENCIA DE ESTAGIOS LTDA</t>
        </is>
      </c>
      <c r="C12" s="4" t="inlineStr">
        <is>
          <t>(sem cadastro)</t>
        </is>
      </c>
      <c r="D12" s="5" t="inlineStr"/>
      <c r="E12" s="5" t="inlineStr"/>
      <c r="F12" s="4" t="inlineStr">
        <is>
          <t>Ativo</t>
        </is>
      </c>
      <c r="G12" s="5" t="inlineStr">
        <is>
          <t>(sem cadastro)</t>
        </is>
      </c>
      <c r="H12" s="5" t="inlineStr"/>
      <c r="I12" s="6" t="n">
        <v>0</v>
      </c>
      <c r="J12" s="6" t="n">
        <v>0</v>
      </c>
      <c r="K12" s="6" t="n">
        <v>1439.27</v>
      </c>
      <c r="L12" s="6" t="n">
        <v>0</v>
      </c>
      <c r="M12" s="6" t="n">
        <v>1439.27</v>
      </c>
      <c r="N12" s="6" t="n">
        <v>0</v>
      </c>
    </row>
    <row r="13">
      <c r="A13" s="4" t="inlineStr">
        <is>
          <t>EKIPA</t>
        </is>
      </c>
      <c r="B13" s="5" t="inlineStr">
        <is>
          <t>MARAIZA FEITOSA MARTINS PARDINI</t>
        </is>
      </c>
      <c r="C13" s="4" t="inlineStr">
        <is>
          <t>(sem cadastro)</t>
        </is>
      </c>
      <c r="D13" s="5" t="inlineStr"/>
      <c r="E13" s="5" t="inlineStr"/>
      <c r="F13" s="4" t="inlineStr">
        <is>
          <t>Ativo</t>
        </is>
      </c>
      <c r="G13" s="5" t="inlineStr">
        <is>
          <t>(sem cadastro)</t>
        </is>
      </c>
      <c r="H13" s="5" t="inlineStr"/>
      <c r="I13" s="6" t="n">
        <v>0</v>
      </c>
      <c r="J13" s="6" t="n">
        <v>0</v>
      </c>
      <c r="K13" s="6" t="n">
        <v>0</v>
      </c>
      <c r="L13" s="6" t="n">
        <v>1000</v>
      </c>
      <c r="M13" s="6" t="n">
        <v>1000</v>
      </c>
      <c r="N13" s="6" t="n">
        <v>0</v>
      </c>
    </row>
    <row r="14">
      <c r="A14" s="4" t="inlineStr">
        <is>
          <t>EKIPA</t>
        </is>
      </c>
      <c r="B14" s="5" t="inlineStr">
        <is>
          <t>RICARDO S MARCELINO TRANSPORTES E LOCACAO MUNCK</t>
        </is>
      </c>
      <c r="C14" s="4" t="inlineStr">
        <is>
          <t>(sem cadastro)</t>
        </is>
      </c>
      <c r="D14" s="5" t="inlineStr"/>
      <c r="E14" s="5" t="inlineStr"/>
      <c r="F14" s="4" t="inlineStr">
        <is>
          <t>Ativo</t>
        </is>
      </c>
      <c r="G14" s="5" t="inlineStr">
        <is>
          <t>(sem cadastro)</t>
        </is>
      </c>
      <c r="H14" s="5" t="inlineStr"/>
      <c r="I14" s="6" t="n">
        <v>0</v>
      </c>
      <c r="J14" s="6" t="n">
        <v>0</v>
      </c>
      <c r="K14" s="6" t="n">
        <v>0</v>
      </c>
      <c r="L14" s="6" t="n">
        <v>500</v>
      </c>
      <c r="M14" s="6" t="n">
        <v>500</v>
      </c>
      <c r="N14" s="6" t="n">
        <v>0</v>
      </c>
    </row>
    <row r="15">
      <c r="A15" s="4" t="inlineStr">
        <is>
          <t>TRANSMOVE</t>
        </is>
      </c>
      <c r="B15" s="5" t="inlineStr">
        <is>
          <t>MM SOARES INFORMATICA</t>
        </is>
      </c>
      <c r="C15" s="4" t="inlineStr">
        <is>
          <t>(sem cadastro)</t>
        </is>
      </c>
      <c r="D15" s="5" t="inlineStr"/>
      <c r="E15" s="5" t="inlineStr"/>
      <c r="F15" s="4" t="inlineStr">
        <is>
          <t>Ativo</t>
        </is>
      </c>
      <c r="G15" s="5" t="inlineStr">
        <is>
          <t>(sem cadastro)</t>
        </is>
      </c>
      <c r="H15" s="5" t="inlineStr"/>
      <c r="I15" s="6" t="n">
        <v>0</v>
      </c>
      <c r="J15" s="6" t="n">
        <v>0</v>
      </c>
      <c r="K15" s="6" t="n">
        <v>0</v>
      </c>
      <c r="L15" s="6" t="n">
        <v>19115.07</v>
      </c>
      <c r="M15" s="6" t="n">
        <v>19115.07</v>
      </c>
      <c r="N15" s="6" t="n">
        <v>0</v>
      </c>
    </row>
    <row r="16">
      <c r="A16" s="4" t="inlineStr">
        <is>
          <t>TRANSMOVE</t>
        </is>
      </c>
      <c r="B16" s="5" t="inlineStr">
        <is>
          <t>THAIS SILVA  ROCHA</t>
        </is>
      </c>
      <c r="C16" s="4" t="inlineStr">
        <is>
          <t>CLT</t>
        </is>
      </c>
      <c r="D16" s="5" t="inlineStr">
        <is>
          <t>INTRA-LOGISTICA</t>
        </is>
      </c>
      <c r="E16" s="5" t="inlineStr">
        <is>
          <t>ANALISTA ADMINISTRATIVO OPERACIONAL JUNIOR</t>
        </is>
      </c>
      <c r="F16" s="4" t="inlineStr">
        <is>
          <t>Ativo</t>
        </is>
      </c>
      <c r="G16" s="5" t="inlineStr">
        <is>
          <t>G S MATRIZ - PRES PRUD</t>
        </is>
      </c>
      <c r="H16" s="5" t="inlineStr">
        <is>
          <t>20.504.237/0001-17</t>
        </is>
      </c>
      <c r="I16" s="6" t="n">
        <v>0</v>
      </c>
      <c r="J16" s="6" t="n">
        <v>0</v>
      </c>
      <c r="K16" s="6" t="n">
        <v>4434.9</v>
      </c>
      <c r="L16" s="6" t="n">
        <v>0</v>
      </c>
      <c r="M16" s="6" t="n">
        <v>4434.9</v>
      </c>
      <c r="N16" s="6" t="n">
        <v>3021.87</v>
      </c>
    </row>
    <row r="17">
      <c r="A17" s="4" t="inlineStr">
        <is>
          <t>SELETIVA APOIO</t>
        </is>
      </c>
      <c r="B17" s="5" t="inlineStr">
        <is>
          <t>MM SOARES INFORMATICA</t>
        </is>
      </c>
      <c r="C17" s="4" t="inlineStr">
        <is>
          <t>(sem cadastro)</t>
        </is>
      </c>
      <c r="D17" s="5" t="inlineStr"/>
      <c r="E17" s="5" t="inlineStr"/>
      <c r="F17" s="4" t="inlineStr">
        <is>
          <t>Ativo</t>
        </is>
      </c>
      <c r="G17" s="5" t="inlineStr">
        <is>
          <t>(sem cadastro)</t>
        </is>
      </c>
      <c r="H17" s="5" t="inlineStr"/>
      <c r="I17" s="6" t="n">
        <v>0</v>
      </c>
      <c r="J17" s="6" t="n">
        <v>0</v>
      </c>
      <c r="K17" s="6" t="n">
        <v>0</v>
      </c>
      <c r="L17" s="6" t="n">
        <v>19115.07</v>
      </c>
      <c r="M17" s="6" t="n">
        <v>19115.07</v>
      </c>
      <c r="N17" s="6" t="n">
        <v>0</v>
      </c>
    </row>
    <row r="18">
      <c r="A18" s="4" t="inlineStr">
        <is>
          <t>SELETIVA APOIO</t>
        </is>
      </c>
      <c r="B18" s="5" t="inlineStr">
        <is>
          <t>GREENPETRO SERVICOS DE ENGENHARIA</t>
        </is>
      </c>
      <c r="C18" s="4" t="inlineStr">
        <is>
          <t>(sem cadastro)</t>
        </is>
      </c>
      <c r="D18" s="5" t="inlineStr"/>
      <c r="E18" s="5" t="inlineStr"/>
      <c r="F18" s="4" t="inlineStr">
        <is>
          <t>Ativo</t>
        </is>
      </c>
      <c r="G18" s="5" t="inlineStr">
        <is>
          <t>(sem cadastro)</t>
        </is>
      </c>
      <c r="H18" s="5" t="inlineStr"/>
      <c r="I18" s="6" t="n">
        <v>0</v>
      </c>
      <c r="J18" s="6" t="n">
        <v>0</v>
      </c>
      <c r="K18" s="6" t="n">
        <v>0</v>
      </c>
      <c r="L18" s="6" t="n">
        <v>14000</v>
      </c>
      <c r="M18" s="6" t="n">
        <v>14000</v>
      </c>
      <c r="N18" s="6" t="n">
        <v>0</v>
      </c>
    </row>
    <row r="19">
      <c r="A19" s="4" t="inlineStr">
        <is>
          <t>SELETIVA APOIO</t>
        </is>
      </c>
      <c r="B19" s="5" t="inlineStr">
        <is>
          <t>CEPETRO COMERCIO DE EQUIPAMENTOS LTDA</t>
        </is>
      </c>
      <c r="C19" s="4" t="inlineStr">
        <is>
          <t>(sem cadastro)</t>
        </is>
      </c>
      <c r="D19" s="5" t="inlineStr"/>
      <c r="E19" s="5" t="inlineStr"/>
      <c r="F19" s="4" t="inlineStr">
        <is>
          <t>Ativo</t>
        </is>
      </c>
      <c r="G19" s="5" t="inlineStr">
        <is>
          <t>(sem cadastro)</t>
        </is>
      </c>
      <c r="H19" s="5" t="inlineStr"/>
      <c r="I19" s="6" t="n">
        <v>0</v>
      </c>
      <c r="J19" s="6" t="n">
        <v>0</v>
      </c>
      <c r="K19" s="6" t="n">
        <v>0</v>
      </c>
      <c r="L19" s="6" t="n">
        <v>2900</v>
      </c>
      <c r="M19" s="6" t="n">
        <v>2900</v>
      </c>
      <c r="N19" s="6" t="n">
        <v>0</v>
      </c>
    </row>
    <row r="20">
      <c r="A20" s="4" t="inlineStr">
        <is>
          <t>SELETIVA C GRANDE</t>
        </is>
      </c>
      <c r="B20" s="5" t="inlineStr">
        <is>
          <t>MM SOARES INFORMATICA</t>
        </is>
      </c>
      <c r="C20" s="4" t="inlineStr">
        <is>
          <t>(sem cadastro)</t>
        </is>
      </c>
      <c r="D20" s="5" t="inlineStr"/>
      <c r="E20" s="5" t="inlineStr"/>
      <c r="F20" s="4" t="inlineStr">
        <is>
          <t>Ativo</t>
        </is>
      </c>
      <c r="G20" s="5" t="inlineStr">
        <is>
          <t>(sem cadastro)</t>
        </is>
      </c>
      <c r="H20" s="5" t="inlineStr"/>
      <c r="I20" s="6" t="n">
        <v>0</v>
      </c>
      <c r="J20" s="6" t="n">
        <v>0</v>
      </c>
      <c r="K20" s="6" t="n">
        <v>0</v>
      </c>
      <c r="L20" s="6" t="n">
        <v>19115.07</v>
      </c>
      <c r="M20" s="6" t="n">
        <v>19115.07</v>
      </c>
      <c r="N20" s="6" t="n">
        <v>0</v>
      </c>
    </row>
    <row r="21">
      <c r="A21" s="4" t="inlineStr">
        <is>
          <t>SELETIVA C GRANDE</t>
        </is>
      </c>
      <c r="B21" s="5" t="inlineStr">
        <is>
          <t>BMC ACTIVE PROCESSAMENTO DE DADOS LTDA</t>
        </is>
      </c>
      <c r="C21" s="4" t="inlineStr">
        <is>
          <t>(sem cadastro)</t>
        </is>
      </c>
      <c r="D21" s="5" t="inlineStr"/>
      <c r="E21" s="5" t="inlineStr"/>
      <c r="F21" s="4" t="inlineStr">
        <is>
          <t>Ativo</t>
        </is>
      </c>
      <c r="G21" s="5" t="inlineStr">
        <is>
          <t>(sem cadastro)</t>
        </is>
      </c>
      <c r="H21" s="5" t="inlineStr"/>
      <c r="I21" s="6" t="n">
        <v>0</v>
      </c>
      <c r="J21" s="6" t="n">
        <v>0</v>
      </c>
      <c r="K21" s="6" t="n">
        <v>0</v>
      </c>
      <c r="L21" s="6" t="n">
        <v>2633.78</v>
      </c>
      <c r="M21" s="6" t="n">
        <v>2633.78</v>
      </c>
      <c r="N21" s="6" t="n">
        <v>0</v>
      </c>
    </row>
    <row r="22">
      <c r="A22" s="4" t="inlineStr">
        <is>
          <t>SELETIVA C GRANDE</t>
        </is>
      </c>
      <c r="B22" s="5" t="inlineStr">
        <is>
          <t>SCRIPT7 MIDIAS SOCIAIS PROJETOS APLICATIVOS E SISTEMAS WEB L</t>
        </is>
      </c>
      <c r="C22" s="4" t="inlineStr">
        <is>
          <t>(sem cadastro)</t>
        </is>
      </c>
      <c r="D22" s="5" t="inlineStr"/>
      <c r="E22" s="5" t="inlineStr"/>
      <c r="F22" s="4" t="inlineStr">
        <is>
          <t>Ativo</t>
        </is>
      </c>
      <c r="G22" s="5" t="inlineStr">
        <is>
          <t>(sem cadastro)</t>
        </is>
      </c>
      <c r="H22" s="5" t="inlineStr"/>
      <c r="I22" s="6" t="n">
        <v>0</v>
      </c>
      <c r="J22" s="6" t="n">
        <v>0</v>
      </c>
      <c r="K22" s="6" t="n">
        <v>0</v>
      </c>
      <c r="L22" s="6" t="n">
        <v>99.90000000000001</v>
      </c>
      <c r="M22" s="6" t="n">
        <v>99.90000000000001</v>
      </c>
      <c r="N22" s="6" t="n">
        <v>0</v>
      </c>
    </row>
    <row r="23">
      <c r="A23" s="4" t="inlineStr">
        <is>
          <t>SELETIVA DOURADOS</t>
        </is>
      </c>
      <c r="B23" s="5" t="inlineStr">
        <is>
          <t>MM SOARES INFORMATICA</t>
        </is>
      </c>
      <c r="C23" s="4" t="inlineStr">
        <is>
          <t>(sem cadastro)</t>
        </is>
      </c>
      <c r="D23" s="5" t="inlineStr"/>
      <c r="E23" s="5" t="inlineStr"/>
      <c r="F23" s="4" t="inlineStr">
        <is>
          <t>Ativo</t>
        </is>
      </c>
      <c r="G23" s="5" t="inlineStr">
        <is>
          <t>(sem cadastro)</t>
        </is>
      </c>
      <c r="H23" s="5" t="inlineStr"/>
      <c r="I23" s="6" t="n">
        <v>0</v>
      </c>
      <c r="J23" s="6" t="n">
        <v>0</v>
      </c>
      <c r="K23" s="6" t="n">
        <v>0</v>
      </c>
      <c r="L23" s="6" t="n">
        <v>19115.07</v>
      </c>
      <c r="M23" s="6" t="n">
        <v>19115.07</v>
      </c>
      <c r="N23" s="6" t="n">
        <v>0</v>
      </c>
    </row>
    <row r="24">
      <c r="A24" s="4" t="inlineStr">
        <is>
          <t>SELETIVA DOURADOS</t>
        </is>
      </c>
      <c r="B24" s="5" t="inlineStr">
        <is>
          <t>BMC ACTIVE PROCESSAMENTO DE DADOS LTDA</t>
        </is>
      </c>
      <c r="C24" s="4" t="inlineStr">
        <is>
          <t>(sem cadastro)</t>
        </is>
      </c>
      <c r="D24" s="5" t="inlineStr"/>
      <c r="E24" s="5" t="inlineStr"/>
      <c r="F24" s="4" t="inlineStr">
        <is>
          <t>Ativo</t>
        </is>
      </c>
      <c r="G24" s="5" t="inlineStr">
        <is>
          <t>(sem cadastro)</t>
        </is>
      </c>
      <c r="H24" s="5" t="inlineStr"/>
      <c r="I24" s="6" t="n">
        <v>0</v>
      </c>
      <c r="J24" s="6" t="n">
        <v>0</v>
      </c>
      <c r="K24" s="6" t="n">
        <v>0</v>
      </c>
      <c r="L24" s="6" t="n">
        <v>2633.78</v>
      </c>
      <c r="M24" s="6" t="n">
        <v>2633.78</v>
      </c>
      <c r="N24" s="6" t="n">
        <v>0</v>
      </c>
    </row>
    <row r="25">
      <c r="A25" s="4" t="inlineStr">
        <is>
          <t>SELETIVA DOURADOS</t>
        </is>
      </c>
      <c r="B25" s="5" t="inlineStr">
        <is>
          <t>RODOLFO SALU DE OLIVEIRA</t>
        </is>
      </c>
      <c r="C25" s="4" t="inlineStr">
        <is>
          <t>CLT</t>
        </is>
      </c>
      <c r="D25" s="5" t="inlineStr">
        <is>
          <t>OPERACIONAL</t>
        </is>
      </c>
      <c r="E25" s="5" t="inlineStr">
        <is>
          <t>MACARIQUEIRO PLENO</t>
        </is>
      </c>
      <c r="F25" s="4" t="inlineStr">
        <is>
          <t>Ativo</t>
        </is>
      </c>
      <c r="G25" s="5" t="inlineStr">
        <is>
          <t>G3S  FL 03 - DOURADOS</t>
        </is>
      </c>
      <c r="H25" s="5" t="inlineStr">
        <is>
          <t>20.947.332/0003-57</t>
        </is>
      </c>
      <c r="I25" s="6" t="n">
        <v>0</v>
      </c>
      <c r="J25" s="6" t="n">
        <v>0</v>
      </c>
      <c r="K25" s="6" t="n">
        <v>445.36</v>
      </c>
      <c r="L25" s="6" t="n">
        <v>0</v>
      </c>
      <c r="M25" s="6" t="n">
        <v>445.36</v>
      </c>
      <c r="N25" s="6" t="n">
        <v>3299.13</v>
      </c>
    </row>
    <row r="26">
      <c r="A26" s="4" t="inlineStr">
        <is>
          <t>SELETIVA DOURADOS</t>
        </is>
      </c>
      <c r="B26" s="5" t="inlineStr">
        <is>
          <t>SCRIPT7 MIDIAS SOCIAIS PROJETOS APLICATIVOS E SISTEMAS WEB L</t>
        </is>
      </c>
      <c r="C26" s="4" t="inlineStr">
        <is>
          <t>(sem cadastro)</t>
        </is>
      </c>
      <c r="D26" s="5" t="inlineStr"/>
      <c r="E26" s="5" t="inlineStr"/>
      <c r="F26" s="4" t="inlineStr">
        <is>
          <t>Ativo</t>
        </is>
      </c>
      <c r="G26" s="5" t="inlineStr">
        <is>
          <t>(sem cadastro)</t>
        </is>
      </c>
      <c r="H26" s="5" t="inlineStr"/>
      <c r="I26" s="6" t="n">
        <v>0</v>
      </c>
      <c r="J26" s="6" t="n">
        <v>0</v>
      </c>
      <c r="K26" s="6" t="n">
        <v>0</v>
      </c>
      <c r="L26" s="6" t="n">
        <v>99.90000000000001</v>
      </c>
      <c r="M26" s="6" t="n">
        <v>99.90000000000001</v>
      </c>
      <c r="N26" s="6" t="n">
        <v>0</v>
      </c>
    </row>
    <row r="27">
      <c r="A27" s="4" t="inlineStr">
        <is>
          <t>SELETIVA PRUDENTE</t>
        </is>
      </c>
      <c r="B27" s="5" t="inlineStr">
        <is>
          <t>MM SOARES INFORMATICA</t>
        </is>
      </c>
      <c r="C27" s="4" t="inlineStr">
        <is>
          <t>(sem cadastro)</t>
        </is>
      </c>
      <c r="D27" s="5" t="inlineStr"/>
      <c r="E27" s="5" t="inlineStr"/>
      <c r="F27" s="4" t="inlineStr">
        <is>
          <t>Ativo</t>
        </is>
      </c>
      <c r="G27" s="5" t="inlineStr">
        <is>
          <t>(sem cadastro)</t>
        </is>
      </c>
      <c r="H27" s="5" t="inlineStr"/>
      <c r="I27" s="6" t="n">
        <v>0</v>
      </c>
      <c r="J27" s="6" t="n">
        <v>0</v>
      </c>
      <c r="K27" s="6" t="n">
        <v>0</v>
      </c>
      <c r="L27" s="6" t="n">
        <v>19115.07</v>
      </c>
      <c r="M27" s="6" t="n">
        <v>19115.07</v>
      </c>
      <c r="N27" s="6" t="n">
        <v>0</v>
      </c>
    </row>
    <row r="28">
      <c r="A28" s="4" t="inlineStr">
        <is>
          <t>SELETIVA PRUDENTE</t>
        </is>
      </c>
      <c r="B28" s="5" t="inlineStr">
        <is>
          <t>PAGAMENTO FUNCIONÁRIOS</t>
        </is>
      </c>
      <c r="C28" s="4" t="inlineStr">
        <is>
          <t>(sem cadastro)</t>
        </is>
      </c>
      <c r="D28" s="5" t="inlineStr"/>
      <c r="E28" s="5" t="inlineStr"/>
      <c r="F28" s="4" t="inlineStr">
        <is>
          <t>Ativo</t>
        </is>
      </c>
      <c r="G28" s="5" t="inlineStr">
        <is>
          <t>(sem cadastro)</t>
        </is>
      </c>
      <c r="H28" s="5" t="inlineStr"/>
      <c r="I28" s="6" t="n">
        <v>0</v>
      </c>
      <c r="J28" s="6" t="n">
        <v>0</v>
      </c>
      <c r="K28" s="6" t="n">
        <v>10318.9</v>
      </c>
      <c r="L28" s="6" t="n">
        <v>0</v>
      </c>
      <c r="M28" s="6" t="n">
        <v>10318.9</v>
      </c>
      <c r="N28" s="6" t="n">
        <v>0</v>
      </c>
    </row>
    <row r="29">
      <c r="A29" s="4" t="inlineStr">
        <is>
          <t>SELETIVA PRUDENTE</t>
        </is>
      </c>
      <c r="B29" s="5" t="inlineStr">
        <is>
          <t>RODRIGO FOGACA DOMINGOS ME</t>
        </is>
      </c>
      <c r="C29" s="4" t="inlineStr">
        <is>
          <t>(sem cadastro)</t>
        </is>
      </c>
      <c r="D29" s="5" t="inlineStr"/>
      <c r="E29" s="5" t="inlineStr"/>
      <c r="F29" s="4" t="inlineStr">
        <is>
          <t>Ativo</t>
        </is>
      </c>
      <c r="G29" s="5" t="inlineStr">
        <is>
          <t>(sem cadastro)</t>
        </is>
      </c>
      <c r="H29" s="5" t="inlineStr"/>
      <c r="I29" s="6" t="n">
        <v>0</v>
      </c>
      <c r="J29" s="6" t="n">
        <v>0</v>
      </c>
      <c r="K29" s="6" t="n">
        <v>0</v>
      </c>
      <c r="L29" s="6" t="n">
        <v>3242</v>
      </c>
      <c r="M29" s="6" t="n">
        <v>3242</v>
      </c>
      <c r="N29" s="6" t="n">
        <v>0</v>
      </c>
    </row>
    <row r="30">
      <c r="A30" s="4" t="inlineStr">
        <is>
          <t>SELETIVA PRUDENTE</t>
        </is>
      </c>
      <c r="B30" s="5" t="inlineStr">
        <is>
          <t>BMC ACTIVE PROCESSAMENTO DE DADOS LTDA</t>
        </is>
      </c>
      <c r="C30" s="4" t="inlineStr">
        <is>
          <t>(sem cadastro)</t>
        </is>
      </c>
      <c r="D30" s="5" t="inlineStr"/>
      <c r="E30" s="5" t="inlineStr"/>
      <c r="F30" s="4" t="inlineStr">
        <is>
          <t>Ativo</t>
        </is>
      </c>
      <c r="G30" s="5" t="inlineStr">
        <is>
          <t>(sem cadastro)</t>
        </is>
      </c>
      <c r="H30" s="5" t="inlineStr"/>
      <c r="I30" s="6" t="n">
        <v>0</v>
      </c>
      <c r="J30" s="6" t="n">
        <v>0</v>
      </c>
      <c r="K30" s="6" t="n">
        <v>0</v>
      </c>
      <c r="L30" s="6" t="n">
        <v>2633.78</v>
      </c>
      <c r="M30" s="6" t="n">
        <v>2633.78</v>
      </c>
      <c r="N30" s="6" t="n">
        <v>0</v>
      </c>
    </row>
    <row r="31">
      <c r="A31" s="4" t="inlineStr">
        <is>
          <t>SELETIVA PRUDENTE</t>
        </is>
      </c>
      <c r="B31" s="5" t="inlineStr">
        <is>
          <t>MVF PRUDENTE AGENCIA DE ESTAGIOS LTDA</t>
        </is>
      </c>
      <c r="C31" s="4" t="inlineStr">
        <is>
          <t>(sem cadastro)</t>
        </is>
      </c>
      <c r="D31" s="5" t="inlineStr"/>
      <c r="E31" s="5" t="inlineStr"/>
      <c r="F31" s="4" t="inlineStr">
        <is>
          <t>Ativo</t>
        </is>
      </c>
      <c r="G31" s="5" t="inlineStr">
        <is>
          <t>(sem cadastro)</t>
        </is>
      </c>
      <c r="H31" s="5" t="inlineStr"/>
      <c r="I31" s="6" t="n">
        <v>0</v>
      </c>
      <c r="J31" s="6" t="n">
        <v>0</v>
      </c>
      <c r="K31" s="6" t="n">
        <v>1439.27</v>
      </c>
      <c r="L31" s="6" t="n">
        <v>0</v>
      </c>
      <c r="M31" s="6" t="n">
        <v>1439.27</v>
      </c>
      <c r="N31" s="6" t="n">
        <v>0</v>
      </c>
    </row>
    <row r="32">
      <c r="A32" s="4" t="inlineStr">
        <is>
          <t>SELETIVA PRUDENTE</t>
        </is>
      </c>
      <c r="B32" s="5" t="inlineStr">
        <is>
          <t>SCRIPT7 MIDIAS SOCIAIS PROJETOS APLICATIVOS E SISTEMAS WEB L</t>
        </is>
      </c>
      <c r="C32" s="4" t="inlineStr">
        <is>
          <t>(sem cadastro)</t>
        </is>
      </c>
      <c r="D32" s="5" t="inlineStr"/>
      <c r="E32" s="5" t="inlineStr"/>
      <c r="F32" s="4" t="inlineStr">
        <is>
          <t>Ativo</t>
        </is>
      </c>
      <c r="G32" s="5" t="inlineStr">
        <is>
          <t>(sem cadastro)</t>
        </is>
      </c>
      <c r="H32" s="5" t="inlineStr"/>
      <c r="I32" s="6" t="n">
        <v>0</v>
      </c>
      <c r="J32" s="6" t="n">
        <v>0</v>
      </c>
      <c r="K32" s="6" t="n">
        <v>0</v>
      </c>
      <c r="L32" s="6" t="n">
        <v>99.90000000000001</v>
      </c>
      <c r="M32" s="6" t="n">
        <v>99.90000000000001</v>
      </c>
      <c r="N32" s="6" t="n">
        <v>0</v>
      </c>
    </row>
    <row r="33">
      <c r="A33" s="4" t="inlineStr">
        <is>
          <t>SELETIVA MARINGÁ</t>
        </is>
      </c>
      <c r="B33" s="5" t="inlineStr">
        <is>
          <t>MM SOARES INFORMATICA</t>
        </is>
      </c>
      <c r="C33" s="4" t="inlineStr">
        <is>
          <t>(sem cadastro)</t>
        </is>
      </c>
      <c r="D33" s="5" t="inlineStr"/>
      <c r="E33" s="5" t="inlineStr"/>
      <c r="F33" s="4" t="inlineStr">
        <is>
          <t>Ativo</t>
        </is>
      </c>
      <c r="G33" s="5" t="inlineStr">
        <is>
          <t>(sem cadastro)</t>
        </is>
      </c>
      <c r="H33" s="5" t="inlineStr"/>
      <c r="I33" s="6" t="n">
        <v>0</v>
      </c>
      <c r="J33" s="6" t="n">
        <v>0</v>
      </c>
      <c r="K33" s="6" t="n">
        <v>0</v>
      </c>
      <c r="L33" s="6" t="n">
        <v>19115.07</v>
      </c>
      <c r="M33" s="6" t="n">
        <v>19115.07</v>
      </c>
      <c r="N33" s="6" t="n">
        <v>0</v>
      </c>
    </row>
    <row r="34">
      <c r="A34" s="4" t="inlineStr">
        <is>
          <t>SELETIVA MARINGÁ</t>
        </is>
      </c>
      <c r="B34" s="5" t="inlineStr">
        <is>
          <t>BMC ACTIVE PROCESSAMENTO DE DADOS LTDA</t>
        </is>
      </c>
      <c r="C34" s="4" t="inlineStr">
        <is>
          <t>(sem cadastro)</t>
        </is>
      </c>
      <c r="D34" s="5" t="inlineStr"/>
      <c r="E34" s="5" t="inlineStr"/>
      <c r="F34" s="4" t="inlineStr">
        <is>
          <t>Ativo</t>
        </is>
      </c>
      <c r="G34" s="5" t="inlineStr">
        <is>
          <t>(sem cadastro)</t>
        </is>
      </c>
      <c r="H34" s="5" t="inlineStr"/>
      <c r="I34" s="6" t="n">
        <v>0</v>
      </c>
      <c r="J34" s="6" t="n">
        <v>0</v>
      </c>
      <c r="K34" s="6" t="n">
        <v>0</v>
      </c>
      <c r="L34" s="6" t="n">
        <v>2633.78</v>
      </c>
      <c r="M34" s="6" t="n">
        <v>2633.78</v>
      </c>
      <c r="N34" s="6" t="n">
        <v>0</v>
      </c>
    </row>
    <row r="35">
      <c r="A35" s="4" t="inlineStr">
        <is>
          <t>SELETIVA MARINGÁ</t>
        </is>
      </c>
      <c r="B35" s="5" t="inlineStr">
        <is>
          <t>PAGAMENTO FUNCIONÁRIOS</t>
        </is>
      </c>
      <c r="C35" s="4" t="inlineStr">
        <is>
          <t>(sem cadastro)</t>
        </is>
      </c>
      <c r="D35" s="5" t="inlineStr"/>
      <c r="E35" s="5" t="inlineStr"/>
      <c r="F35" s="4" t="inlineStr">
        <is>
          <t>Ativo</t>
        </is>
      </c>
      <c r="G35" s="5" t="inlineStr">
        <is>
          <t>(sem cadastro)</t>
        </is>
      </c>
      <c r="H35" s="5" t="inlineStr"/>
      <c r="I35" s="6" t="n">
        <v>0</v>
      </c>
      <c r="J35" s="6" t="n">
        <v>0</v>
      </c>
      <c r="K35" s="6" t="n">
        <v>450</v>
      </c>
      <c r="L35" s="6" t="n">
        <v>0</v>
      </c>
      <c r="M35" s="6" t="n">
        <v>450</v>
      </c>
      <c r="N35" s="6" t="n">
        <v>0</v>
      </c>
    </row>
    <row r="36">
      <c r="A36" s="4" t="inlineStr">
        <is>
          <t>SELETIVA MARINGÁ</t>
        </is>
      </c>
      <c r="B36" s="5" t="inlineStr">
        <is>
          <t>SCRIPT7 MIDIAS SOCIAIS PROJETOS APLICATIVOS E SISTEMAS WEB L</t>
        </is>
      </c>
      <c r="C36" s="4" t="inlineStr">
        <is>
          <t>(sem cadastro)</t>
        </is>
      </c>
      <c r="D36" s="5" t="inlineStr"/>
      <c r="E36" s="5" t="inlineStr"/>
      <c r="F36" s="4" t="inlineStr">
        <is>
          <t>Ativo</t>
        </is>
      </c>
      <c r="G36" s="5" t="inlineStr">
        <is>
          <t>(sem cadastro)</t>
        </is>
      </c>
      <c r="H36" s="5" t="inlineStr"/>
      <c r="I36" s="6" t="n">
        <v>0</v>
      </c>
      <c r="J36" s="6" t="n">
        <v>0</v>
      </c>
      <c r="K36" s="6" t="n">
        <v>0</v>
      </c>
      <c r="L36" s="6" t="n">
        <v>99.90000000000001</v>
      </c>
      <c r="M36" s="6" t="n">
        <v>99.90000000000001</v>
      </c>
      <c r="N36" s="6" t="n">
        <v>0</v>
      </c>
    </row>
    <row r="37">
      <c r="A37" s="4" t="inlineStr">
        <is>
          <t>SELETIVA CIDADE ALTA</t>
        </is>
      </c>
      <c r="B37" s="5" t="inlineStr">
        <is>
          <t>MM SOARES INFORMATICA</t>
        </is>
      </c>
      <c r="C37" s="4" t="inlineStr">
        <is>
          <t>(sem cadastro)</t>
        </is>
      </c>
      <c r="D37" s="5" t="inlineStr"/>
      <c r="E37" s="5" t="inlineStr"/>
      <c r="F37" s="4" t="inlineStr">
        <is>
          <t>Ativo</t>
        </is>
      </c>
      <c r="G37" s="5" t="inlineStr">
        <is>
          <t>(sem cadastro)</t>
        </is>
      </c>
      <c r="H37" s="5" t="inlineStr"/>
      <c r="I37" s="6" t="n">
        <v>0</v>
      </c>
      <c r="J37" s="6" t="n">
        <v>0</v>
      </c>
      <c r="K37" s="6" t="n">
        <v>0</v>
      </c>
      <c r="L37" s="6" t="n">
        <v>19115.07</v>
      </c>
      <c r="M37" s="6" t="n">
        <v>19115.07</v>
      </c>
      <c r="N37" s="6" t="n">
        <v>0</v>
      </c>
    </row>
    <row r="38">
      <c r="A38" s="4" t="inlineStr">
        <is>
          <t>SELETIVA LONDRINA</t>
        </is>
      </c>
      <c r="B38" s="5" t="inlineStr">
        <is>
          <t>MM SOARES INFORMATICA</t>
        </is>
      </c>
      <c r="C38" s="4" t="inlineStr">
        <is>
          <t>(sem cadastro)</t>
        </is>
      </c>
      <c r="D38" s="5" t="inlineStr"/>
      <c r="E38" s="5" t="inlineStr"/>
      <c r="F38" s="4" t="inlineStr">
        <is>
          <t>Ativo</t>
        </is>
      </c>
      <c r="G38" s="5" t="inlineStr">
        <is>
          <t>(sem cadastro)</t>
        </is>
      </c>
      <c r="H38" s="5" t="inlineStr"/>
      <c r="I38" s="6" t="n">
        <v>0</v>
      </c>
      <c r="J38" s="6" t="n">
        <v>0</v>
      </c>
      <c r="K38" s="6" t="n">
        <v>0</v>
      </c>
      <c r="L38" s="6" t="n">
        <v>19115.07</v>
      </c>
      <c r="M38" s="6" t="n">
        <v>19115.07</v>
      </c>
      <c r="N38" s="6" t="n">
        <v>0</v>
      </c>
    </row>
    <row r="39">
      <c r="A39" s="4" t="inlineStr">
        <is>
          <t>SELETIVA LONDRINA</t>
        </is>
      </c>
      <c r="B39" s="5" t="inlineStr">
        <is>
          <t>BMC ACTIVE PROCESSAMENTO DE DADOS LTDA</t>
        </is>
      </c>
      <c r="C39" s="4" t="inlineStr">
        <is>
          <t>(sem cadastro)</t>
        </is>
      </c>
      <c r="D39" s="5" t="inlineStr"/>
      <c r="E39" s="5" t="inlineStr"/>
      <c r="F39" s="4" t="inlineStr">
        <is>
          <t>Ativo</t>
        </is>
      </c>
      <c r="G39" s="5" t="inlineStr">
        <is>
          <t>(sem cadastro)</t>
        </is>
      </c>
      <c r="H39" s="5" t="inlineStr"/>
      <c r="I39" s="6" t="n">
        <v>0</v>
      </c>
      <c r="J39" s="6" t="n">
        <v>0</v>
      </c>
      <c r="K39" s="6" t="n">
        <v>0</v>
      </c>
      <c r="L39" s="6" t="n">
        <v>2633.78</v>
      </c>
      <c r="M39" s="6" t="n">
        <v>2633.78</v>
      </c>
      <c r="N39" s="6" t="n">
        <v>0</v>
      </c>
    </row>
    <row r="40">
      <c r="A40" s="4" t="inlineStr">
        <is>
          <t>SELETIVA LONDRINA</t>
        </is>
      </c>
      <c r="B40" s="5" t="inlineStr">
        <is>
          <t>SCRIPT7 MIDIAS SOCIAIS PROJETOS APLICATIVOS E SISTEMAS WEB L</t>
        </is>
      </c>
      <c r="C40" s="4" t="inlineStr">
        <is>
          <t>(sem cadastro)</t>
        </is>
      </c>
      <c r="D40" s="5" t="inlineStr"/>
      <c r="E40" s="5" t="inlineStr"/>
      <c r="F40" s="4" t="inlineStr">
        <is>
          <t>Ativo</t>
        </is>
      </c>
      <c r="G40" s="5" t="inlineStr">
        <is>
          <t>(sem cadastro)</t>
        </is>
      </c>
      <c r="H40" s="5" t="inlineStr"/>
      <c r="I40" s="6" t="n">
        <v>0</v>
      </c>
      <c r="J40" s="6" t="n">
        <v>0</v>
      </c>
      <c r="K40" s="6" t="n">
        <v>0</v>
      </c>
      <c r="L40" s="6" t="n">
        <v>99.90000000000001</v>
      </c>
      <c r="M40" s="6" t="n">
        <v>99.90000000000001</v>
      </c>
      <c r="N40" s="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22" customWidth="1" min="4" max="4"/>
    <col width="30" customWidth="1" min="5" max="5"/>
    <col width="12" customWidth="1" min="6" max="6"/>
    <col width="30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8" customWidth="1" min="14" max="14"/>
    <col width="16" customWidth="1" min="15" max="15"/>
    <col width="22" customWidth="1" min="17" max="17"/>
    <col width="14" customWidth="1" min="18" max="18"/>
    <col width="16" customWidth="1" min="19" max="19"/>
    <col width="2" customWidth="1" min="20" max="20"/>
    <col width="32" customWidth="1" min="21" max="21"/>
    <col width="22" customWidth="1" min="22" max="22"/>
    <col width="14" customWidth="1" min="23" max="23"/>
    <col width="16" customWidth="1" min="24" max="24"/>
  </cols>
  <sheetData>
    <row r="1" ht="28" customHeight="1">
      <c r="A1" s="1" t="inlineStr">
        <is>
          <t>PILARES</t>
        </is>
      </c>
      <c r="B1" s="1" t="inlineStr">
        <is>
          <t>FOLHA DE PAGAMENTO ABRIL/2026</t>
        </is>
      </c>
      <c r="I1" s="2">
        <f>SUMIFS(tbl_dados[Provisão de Férias + 13°],tbl_dados[Tomador],$A$1)</f>
        <v/>
      </c>
      <c r="J1" s="2">
        <f>SUMIFS(tbl_dados[Provisão de Encargos],tbl_dados[Tomador],$A$1)</f>
        <v/>
      </c>
      <c r="K1" s="1" t="inlineStr">
        <is>
          <t>Soma</t>
        </is>
      </c>
      <c r="M1" s="2">
        <f>SUMIFS(tbl_dados[TT BRUTO ABRIL],tbl_dados[Tomador],$A$1)</f>
        <v/>
      </c>
      <c r="O1" s="2">
        <f>SUMIFS(tbl_dados[TT BRUTO MARÇO],tbl_dados[Tomador],$A$1)</f>
        <v/>
      </c>
    </row>
    <row r="2" ht="36" customHeight="1">
      <c r="A2" s="3" t="inlineStr">
        <is>
          <t>Qtde</t>
        </is>
      </c>
      <c r="B2" s="3" t="inlineStr">
        <is>
          <t>FUNCIONÁRIO</t>
        </is>
      </c>
      <c r="C2" s="3" t="inlineStr">
        <is>
          <t>Tipo</t>
        </is>
      </c>
      <c r="D2" s="3" t="inlineStr">
        <is>
          <t>Setor</t>
        </is>
      </c>
      <c r="E2" s="3" t="inlineStr">
        <is>
          <t xml:space="preserve">Função </t>
        </is>
      </c>
      <c r="F2" s="3" t="inlineStr">
        <is>
          <t>Status</t>
        </is>
      </c>
      <c r="G2" s="3" t="inlineStr">
        <is>
          <t>Empresa Registro</t>
        </is>
      </c>
      <c r="H2" s="3" t="inlineStr">
        <is>
          <t>CNPJ</t>
        </is>
      </c>
      <c r="I2" s="3" t="inlineStr">
        <is>
          <t>Provisão
de Férias + 13°</t>
        </is>
      </c>
      <c r="J2" s="3" t="inlineStr">
        <is>
          <t>Provisão 
de Encargos</t>
        </is>
      </c>
      <c r="K2" s="3" t="inlineStr">
        <is>
          <t>Eventos Folha
(Caixa)</t>
        </is>
      </c>
      <c r="L2" s="3" t="inlineStr">
        <is>
          <t>Sal PF</t>
        </is>
      </c>
      <c r="M2" s="3" t="inlineStr">
        <is>
          <t>TT BRUTO
ABRIL</t>
        </is>
      </c>
      <c r="N2" s="3" t="inlineStr">
        <is>
          <t>%</t>
        </is>
      </c>
      <c r="O2" s="3" t="inlineStr">
        <is>
          <t>TT BRUTO
MARÇO</t>
        </is>
      </c>
      <c r="Q2" s="3" t="inlineStr">
        <is>
          <t>MODALIDADE</t>
        </is>
      </c>
      <c r="R2" s="3" t="inlineStr">
        <is>
          <t>FUNCIONÁRIOS</t>
        </is>
      </c>
      <c r="S2" s="3" t="inlineStr">
        <is>
          <t>TT BRUTO</t>
        </is>
      </c>
      <c r="U2" s="3" t="inlineStr">
        <is>
          <t>EMPRESA</t>
        </is>
      </c>
      <c r="V2" s="3" t="inlineStr">
        <is>
          <t>CNPJ</t>
        </is>
      </c>
      <c r="W2" s="3" t="inlineStr">
        <is>
          <t>FUNCIONÁRIOS</t>
        </is>
      </c>
      <c r="X2" s="3" t="inlineStr">
        <is>
          <t>TT BRUTO</t>
        </is>
      </c>
    </row>
    <row r="3">
      <c r="A3" s="7">
        <f>IFERROR(_xlfn.SEQUENCE(ROWS(B3#)),"")</f>
        <v/>
      </c>
      <c r="B3" s="8">
        <f>IFERROR(_xlfn._xlws.SORT(_xlfn._xlws.FILTER(tbl_dados[[FUNCIONÁRIO]:[TT BRUTO ABRIL]],tbl_dados[Tomador]=$A$1),12,-1),"")</f>
        <v/>
      </c>
      <c r="C3" s="8" t="n"/>
      <c r="D3" s="8" t="n"/>
      <c r="E3" s="8" t="n"/>
      <c r="F3" s="8" t="n"/>
      <c r="G3" s="8" t="n"/>
      <c r="H3" s="8" t="n"/>
      <c r="I3" s="9" t="n"/>
      <c r="J3" s="9" t="n"/>
      <c r="K3" s="9" t="n"/>
      <c r="L3" s="9" t="n"/>
      <c r="M3" s="9" t="n"/>
      <c r="N3" s="10">
        <f>IFERROR(INDEX(B3#,,12)/$M$1,"")</f>
        <v/>
      </c>
      <c r="O3" s="9">
        <f>IFERROR(INDEX(_xlfn._xlws.SORT(_xlfn._xlws.FILTER(tbl_dados[[FUNCIONÁRIO]:[TT BRUTO MARÇO]],tbl_dados[Tomador]=$A$1),12,-1),,13),"")</f>
        <v/>
      </c>
      <c r="Q3" s="8">
        <f>IFERROR(_xlfn.UNIQUE(_xlfn._xlws.FILTER(tbl_dados[Tipo],tbl_dados[Tomador]=$A$1)),"")</f>
        <v/>
      </c>
      <c r="R3" s="7">
        <f>IFERROR(_xlfn.BYROW(Q3#,_xlfn.LAMBDA(_x,COUNTIFS(tbl_dados[Tomador],$A$1,tbl_dados[Tipo],_x))),"")</f>
        <v/>
      </c>
      <c r="S3" s="9">
        <f>IFERROR(_xlfn.BYROW(Q3#,_xlfn.LAMBDA(_x,SUMIFS(tbl_dados[TT BRUTO ABRIL],tbl_dados[Tomador],$A$1,tbl_dados[Tipo],_x))),"")</f>
        <v/>
      </c>
      <c r="U3" s="8">
        <f>IFERROR(_xlfn.UNIQUE(_xlfn._xlws.FILTER(tbl_dados[Empresa Registro],tbl_dados[Tomador]=$A$1)),"")</f>
        <v/>
      </c>
      <c r="V3" s="11">
        <f>IFERROR(_xlfn.BYROW(U3#,_xlfn.LAMBDA(_x,IFERROR(INDEX(tbl_dados[CNPJ],MATCH(_x,tbl_dados[Empresa Registro],0)),""))),"")</f>
        <v/>
      </c>
      <c r="W3" s="7">
        <f>IFERROR(_xlfn.BYROW(U3#,_xlfn.LAMBDA(_x,COUNTIFS(tbl_dados[Tomador],$A$1,tbl_dados[Empresa Registro],_x))),"")</f>
        <v/>
      </c>
      <c r="X3" s="9">
        <f>IFERROR(_xlfn.BYROW(U3#,_xlfn.LAMBDA(_x,SUMIFS(tbl_dados[TT BRUTO ABRIL],tbl_dados[Tomador],$A$1,tbl_dados[Empresa Registro],_x))),"")</f>
        <v/>
      </c>
    </row>
    <row r="4">
      <c r="A4" s="7" t="n"/>
      <c r="B4" s="8" t="n"/>
      <c r="C4" s="8" t="n"/>
      <c r="D4" s="8" t="n"/>
      <c r="E4" s="8" t="n"/>
      <c r="F4" s="8" t="n"/>
      <c r="G4" s="8" t="n"/>
      <c r="H4" s="8" t="n"/>
      <c r="I4" s="9" t="n"/>
      <c r="J4" s="9" t="n"/>
      <c r="K4" s="9" t="n"/>
      <c r="L4" s="9" t="n"/>
      <c r="M4" s="9" t="n"/>
      <c r="N4" s="10" t="n"/>
      <c r="O4" s="9" t="n"/>
      <c r="Q4" s="8" t="n"/>
      <c r="R4" s="7" t="n"/>
      <c r="S4" s="9" t="n"/>
      <c r="U4" s="8" t="n"/>
      <c r="V4" s="11" t="n"/>
      <c r="W4" s="7" t="n"/>
      <c r="X4" s="9" t="n"/>
    </row>
    <row r="5">
      <c r="A5" s="7" t="n"/>
      <c r="B5" s="8" t="n"/>
      <c r="C5" s="8" t="n"/>
      <c r="D5" s="8" t="n"/>
      <c r="E5" s="8" t="n"/>
      <c r="F5" s="8" t="n"/>
      <c r="G5" s="8" t="n"/>
      <c r="H5" s="8" t="n"/>
      <c r="I5" s="9" t="n"/>
      <c r="J5" s="9" t="n"/>
      <c r="K5" s="9" t="n"/>
      <c r="L5" s="9" t="n"/>
      <c r="M5" s="9" t="n"/>
      <c r="N5" s="10" t="n"/>
      <c r="O5" s="9" t="n"/>
      <c r="Q5" s="8" t="n"/>
      <c r="R5" s="7" t="n"/>
      <c r="S5" s="9" t="n"/>
      <c r="U5" s="8" t="n"/>
      <c r="V5" s="11" t="n"/>
      <c r="W5" s="7" t="n"/>
      <c r="X5" s="9" t="n"/>
    </row>
    <row r="6">
      <c r="A6" s="7" t="n"/>
      <c r="B6" s="8" t="n"/>
      <c r="C6" s="8" t="n"/>
      <c r="D6" s="8" t="n"/>
      <c r="E6" s="8" t="n"/>
      <c r="F6" s="8" t="n"/>
      <c r="G6" s="8" t="n"/>
      <c r="H6" s="8" t="n"/>
      <c r="I6" s="9" t="n"/>
      <c r="J6" s="9" t="n"/>
      <c r="K6" s="9" t="n"/>
      <c r="L6" s="9" t="n"/>
      <c r="M6" s="9" t="n"/>
      <c r="N6" s="10" t="n"/>
      <c r="O6" s="9" t="n"/>
      <c r="Q6" s="8" t="n"/>
      <c r="R6" s="7" t="n"/>
      <c r="S6" s="9" t="n"/>
      <c r="U6" s="8" t="n"/>
      <c r="V6" s="11" t="n"/>
      <c r="W6" s="7" t="n"/>
      <c r="X6" s="9" t="n"/>
    </row>
    <row r="7">
      <c r="A7" s="7" t="n"/>
      <c r="B7" s="8" t="n"/>
      <c r="C7" s="8" t="n"/>
      <c r="D7" s="8" t="n"/>
      <c r="E7" s="8" t="n"/>
      <c r="F7" s="8" t="n"/>
      <c r="G7" s="8" t="n"/>
      <c r="H7" s="8" t="n"/>
      <c r="I7" s="9" t="n"/>
      <c r="J7" s="9" t="n"/>
      <c r="K7" s="9" t="n"/>
      <c r="L7" s="9" t="n"/>
      <c r="M7" s="9" t="n"/>
      <c r="N7" s="10" t="n"/>
      <c r="O7" s="9" t="n"/>
      <c r="Q7" s="8" t="n"/>
      <c r="R7" s="7" t="n"/>
      <c r="S7" s="9" t="n"/>
      <c r="U7" s="8" t="n"/>
      <c r="V7" s="11" t="n"/>
      <c r="W7" s="7" t="n"/>
      <c r="X7" s="9" t="n"/>
    </row>
    <row r="8">
      <c r="A8" s="7" t="n"/>
      <c r="B8" s="8" t="n"/>
      <c r="C8" s="8" t="n"/>
      <c r="D8" s="8" t="n"/>
      <c r="E8" s="8" t="n"/>
      <c r="F8" s="8" t="n"/>
      <c r="G8" s="8" t="n"/>
      <c r="H8" s="8" t="n"/>
      <c r="I8" s="9" t="n"/>
      <c r="J8" s="9" t="n"/>
      <c r="K8" s="9" t="n"/>
      <c r="L8" s="9" t="n"/>
      <c r="M8" s="9" t="n"/>
      <c r="N8" s="10" t="n"/>
      <c r="O8" s="9" t="n"/>
      <c r="Q8" s="8" t="n"/>
      <c r="R8" s="7" t="n"/>
      <c r="S8" s="9" t="n"/>
      <c r="U8" s="8" t="n"/>
      <c r="V8" s="11" t="n"/>
      <c r="W8" s="7" t="n"/>
      <c r="X8" s="9" t="n"/>
    </row>
    <row r="9">
      <c r="A9" s="7" t="n"/>
      <c r="B9" s="8" t="n"/>
      <c r="C9" s="8" t="n"/>
      <c r="D9" s="8" t="n"/>
      <c r="E9" s="8" t="n"/>
      <c r="F9" s="8" t="n"/>
      <c r="G9" s="8" t="n"/>
      <c r="H9" s="8" t="n"/>
      <c r="I9" s="9" t="n"/>
      <c r="J9" s="9" t="n"/>
      <c r="K9" s="9" t="n"/>
      <c r="L9" s="9" t="n"/>
      <c r="M9" s="9" t="n"/>
      <c r="N9" s="10" t="n"/>
      <c r="O9" s="9" t="n"/>
      <c r="Q9" s="8" t="n"/>
      <c r="R9" s="7" t="n"/>
      <c r="S9" s="9" t="n"/>
      <c r="U9" s="8" t="n"/>
      <c r="V9" s="11" t="n"/>
      <c r="W9" s="7" t="n"/>
      <c r="X9" s="9" t="n"/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  <c r="I10" s="9" t="n"/>
      <c r="J10" s="9" t="n"/>
      <c r="K10" s="9" t="n"/>
      <c r="L10" s="9" t="n"/>
      <c r="M10" s="9" t="n"/>
      <c r="N10" s="10" t="n"/>
      <c r="O10" s="9" t="n"/>
      <c r="Q10" s="8" t="n"/>
      <c r="R10" s="7" t="n"/>
      <c r="S10" s="9" t="n"/>
      <c r="U10" s="8" t="n"/>
      <c r="V10" s="11" t="n"/>
      <c r="W10" s="7" t="n"/>
      <c r="X10" s="9" t="n"/>
    </row>
    <row r="11">
      <c r="A11" s="7" t="n"/>
      <c r="B11" s="8" t="n"/>
      <c r="C11" s="8" t="n"/>
      <c r="D11" s="8" t="n"/>
      <c r="E11" s="8" t="n"/>
      <c r="F11" s="8" t="n"/>
      <c r="G11" s="8" t="n"/>
      <c r="H11" s="8" t="n"/>
      <c r="I11" s="9" t="n"/>
      <c r="J11" s="9" t="n"/>
      <c r="K11" s="9" t="n"/>
      <c r="L11" s="9" t="n"/>
      <c r="M11" s="9" t="n"/>
      <c r="N11" s="10" t="n"/>
      <c r="O11" s="9" t="n"/>
      <c r="Q11" s="8" t="n"/>
      <c r="R11" s="7" t="n"/>
      <c r="S11" s="9" t="n"/>
      <c r="U11" s="8" t="n"/>
      <c r="V11" s="11" t="n"/>
      <c r="W11" s="7" t="n"/>
      <c r="X11" s="9" t="n"/>
    </row>
    <row r="12">
      <c r="A12" s="7" t="n"/>
      <c r="B12" s="8" t="n"/>
      <c r="C12" s="8" t="n"/>
      <c r="D12" s="8" t="n"/>
      <c r="E12" s="8" t="n"/>
      <c r="F12" s="8" t="n"/>
      <c r="G12" s="8" t="n"/>
      <c r="H12" s="8" t="n"/>
      <c r="I12" s="9" t="n"/>
      <c r="J12" s="9" t="n"/>
      <c r="K12" s="9" t="n"/>
      <c r="L12" s="9" t="n"/>
      <c r="M12" s="9" t="n"/>
      <c r="N12" s="10" t="n"/>
      <c r="O12" s="9" t="n"/>
      <c r="Q12" s="8" t="n"/>
      <c r="R12" s="7" t="n"/>
      <c r="S12" s="9" t="n"/>
      <c r="U12" s="8" t="n"/>
      <c r="V12" s="11" t="n"/>
      <c r="W12" s="7" t="n"/>
      <c r="X12" s="9" t="n"/>
    </row>
    <row r="13">
      <c r="A13" s="7" t="n"/>
      <c r="B13" s="8" t="n"/>
      <c r="C13" s="8" t="n"/>
      <c r="D13" s="8" t="n"/>
      <c r="E13" s="8" t="n"/>
      <c r="F13" s="8" t="n"/>
      <c r="G13" s="8" t="n"/>
      <c r="H13" s="8" t="n"/>
      <c r="I13" s="9" t="n"/>
      <c r="J13" s="9" t="n"/>
      <c r="K13" s="9" t="n"/>
      <c r="L13" s="9" t="n"/>
      <c r="M13" s="9" t="n"/>
      <c r="N13" s="10" t="n"/>
      <c r="O13" s="9" t="n"/>
      <c r="Q13" s="8" t="n"/>
      <c r="R13" s="7" t="n"/>
      <c r="S13" s="9" t="n"/>
      <c r="U13" s="8" t="n"/>
      <c r="V13" s="11" t="n"/>
      <c r="W13" s="7" t="n"/>
      <c r="X13" s="9" t="n"/>
    </row>
    <row r="14">
      <c r="A14" s="7" t="n"/>
      <c r="B14" s="8" t="n"/>
      <c r="C14" s="8" t="n"/>
      <c r="D14" s="8" t="n"/>
      <c r="E14" s="8" t="n"/>
      <c r="F14" s="8" t="n"/>
      <c r="G14" s="8" t="n"/>
      <c r="H14" s="8" t="n"/>
      <c r="I14" s="9" t="n"/>
      <c r="J14" s="9" t="n"/>
      <c r="K14" s="9" t="n"/>
      <c r="L14" s="9" t="n"/>
      <c r="M14" s="9" t="n"/>
      <c r="N14" s="10" t="n"/>
      <c r="O14" s="9" t="n"/>
      <c r="Q14" s="8" t="n"/>
      <c r="R14" s="7" t="n"/>
      <c r="S14" s="9" t="n"/>
      <c r="U14" s="8" t="n"/>
      <c r="V14" s="11" t="n"/>
      <c r="W14" s="7" t="n"/>
      <c r="X14" s="9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9" t="n"/>
      <c r="J15" s="9" t="n"/>
      <c r="K15" s="9" t="n"/>
      <c r="L15" s="9" t="n"/>
      <c r="M15" s="9" t="n"/>
      <c r="N15" s="10" t="n"/>
      <c r="O15" s="9" t="n"/>
      <c r="Q15" s="8" t="n"/>
      <c r="R15" s="7" t="n"/>
      <c r="S15" s="9" t="n"/>
      <c r="U15" s="8" t="n"/>
      <c r="V15" s="11" t="n"/>
      <c r="W15" s="7" t="n"/>
      <c r="X15" s="9" t="n"/>
    </row>
    <row r="16">
      <c r="A16" s="7" t="n"/>
      <c r="B16" s="8" t="n"/>
      <c r="C16" s="8" t="n"/>
      <c r="D16" s="8" t="n"/>
      <c r="E16" s="8" t="n"/>
      <c r="F16" s="8" t="n"/>
      <c r="G16" s="8" t="n"/>
      <c r="H16" s="8" t="n"/>
      <c r="I16" s="9" t="n"/>
      <c r="J16" s="9" t="n"/>
      <c r="K16" s="9" t="n"/>
      <c r="L16" s="9" t="n"/>
      <c r="M16" s="9" t="n"/>
      <c r="N16" s="10" t="n"/>
      <c r="O16" s="9" t="n"/>
      <c r="Q16" s="8" t="n"/>
      <c r="R16" s="7" t="n"/>
      <c r="S16" s="9" t="n"/>
      <c r="U16" s="8" t="n"/>
      <c r="V16" s="11" t="n"/>
      <c r="W16" s="7" t="n"/>
      <c r="X16" s="9" t="n"/>
    </row>
    <row r="17">
      <c r="A17" s="7" t="n"/>
      <c r="B17" s="8" t="n"/>
      <c r="C17" s="8" t="n"/>
      <c r="D17" s="8" t="n"/>
      <c r="E17" s="8" t="n"/>
      <c r="F17" s="8" t="n"/>
      <c r="G17" s="8" t="n"/>
      <c r="H17" s="8" t="n"/>
      <c r="I17" s="9" t="n"/>
      <c r="J17" s="9" t="n"/>
      <c r="K17" s="9" t="n"/>
      <c r="L17" s="9" t="n"/>
      <c r="M17" s="9" t="n"/>
      <c r="N17" s="10" t="n"/>
      <c r="O17" s="9" t="n"/>
      <c r="Q17" s="8" t="n"/>
      <c r="R17" s="7" t="n"/>
      <c r="S17" s="9" t="n"/>
      <c r="U17" s="8" t="n"/>
      <c r="V17" s="11" t="n"/>
      <c r="W17" s="7" t="n"/>
      <c r="X17" s="9" t="n"/>
    </row>
    <row r="18">
      <c r="A18" s="7" t="n"/>
      <c r="B18" s="8" t="n"/>
      <c r="C18" s="8" t="n"/>
      <c r="D18" s="8" t="n"/>
      <c r="E18" s="8" t="n"/>
      <c r="F18" s="8" t="n"/>
      <c r="G18" s="8" t="n"/>
      <c r="H18" s="8" t="n"/>
      <c r="I18" s="9" t="n"/>
      <c r="J18" s="9" t="n"/>
      <c r="K18" s="9" t="n"/>
      <c r="L18" s="9" t="n"/>
      <c r="M18" s="9" t="n"/>
      <c r="N18" s="10" t="n"/>
      <c r="O18" s="9" t="n"/>
      <c r="Q18" s="8" t="n"/>
      <c r="R18" s="7" t="n"/>
      <c r="S18" s="9" t="n"/>
      <c r="U18" s="8" t="n"/>
      <c r="V18" s="11" t="n"/>
      <c r="W18" s="7" t="n"/>
      <c r="X18" s="9" t="n"/>
    </row>
    <row r="19">
      <c r="A19" s="7" t="n"/>
      <c r="B19" s="8" t="n"/>
      <c r="C19" s="8" t="n"/>
      <c r="D19" s="8" t="n"/>
      <c r="E19" s="8" t="n"/>
      <c r="F19" s="8" t="n"/>
      <c r="G19" s="8" t="n"/>
      <c r="H19" s="8" t="n"/>
      <c r="I19" s="9" t="n"/>
      <c r="J19" s="9" t="n"/>
      <c r="K19" s="9" t="n"/>
      <c r="L19" s="9" t="n"/>
      <c r="M19" s="9" t="n"/>
      <c r="N19" s="10" t="n"/>
      <c r="O19" s="9" t="n"/>
      <c r="Q19" s="8" t="n"/>
      <c r="R19" s="7" t="n"/>
      <c r="S19" s="9" t="n"/>
      <c r="U19" s="8" t="n"/>
      <c r="V19" s="11" t="n"/>
      <c r="W19" s="7" t="n"/>
      <c r="X19" s="9" t="n"/>
    </row>
    <row r="20">
      <c r="A20" s="7" t="n"/>
      <c r="B20" s="8" t="n"/>
      <c r="C20" s="8" t="n"/>
      <c r="D20" s="8" t="n"/>
      <c r="E20" s="8" t="n"/>
      <c r="F20" s="8" t="n"/>
      <c r="G20" s="8" t="n"/>
      <c r="H20" s="8" t="n"/>
      <c r="I20" s="9" t="n"/>
      <c r="J20" s="9" t="n"/>
      <c r="K20" s="9" t="n"/>
      <c r="L20" s="9" t="n"/>
      <c r="M20" s="9" t="n"/>
      <c r="N20" s="10" t="n"/>
      <c r="O20" s="9" t="n"/>
      <c r="Q20" s="8" t="n"/>
      <c r="R20" s="7" t="n"/>
      <c r="S20" s="9" t="n"/>
      <c r="U20" s="8" t="n"/>
      <c r="V20" s="11" t="n"/>
      <c r="W20" s="7" t="n"/>
      <c r="X20" s="9" t="n"/>
    </row>
    <row r="21">
      <c r="A21" s="7" t="n"/>
      <c r="B21" s="8" t="n"/>
      <c r="C21" s="8" t="n"/>
      <c r="D21" s="8" t="n"/>
      <c r="E21" s="8" t="n"/>
      <c r="F21" s="8" t="n"/>
      <c r="G21" s="8" t="n"/>
      <c r="H21" s="8" t="n"/>
      <c r="I21" s="9" t="n"/>
      <c r="J21" s="9" t="n"/>
      <c r="K21" s="9" t="n"/>
      <c r="L21" s="9" t="n"/>
      <c r="M21" s="9" t="n"/>
      <c r="N21" s="10" t="n"/>
      <c r="O21" s="9" t="n"/>
      <c r="Q21" s="8" t="n"/>
      <c r="R21" s="7" t="n"/>
      <c r="S21" s="9" t="n"/>
      <c r="U21" s="8" t="n"/>
      <c r="V21" s="11" t="n"/>
      <c r="W21" s="7" t="n"/>
      <c r="X21" s="9" t="n"/>
    </row>
    <row r="22">
      <c r="A22" s="7" t="n"/>
      <c r="B22" s="8" t="n"/>
      <c r="C22" s="8" t="n"/>
      <c r="D22" s="8" t="n"/>
      <c r="E22" s="8" t="n"/>
      <c r="F22" s="8" t="n"/>
      <c r="G22" s="8" t="n"/>
      <c r="H22" s="8" t="n"/>
      <c r="I22" s="9" t="n"/>
      <c r="J22" s="9" t="n"/>
      <c r="K22" s="9" t="n"/>
      <c r="L22" s="9" t="n"/>
      <c r="M22" s="9" t="n"/>
      <c r="N22" s="10" t="n"/>
      <c r="O22" s="9" t="n"/>
      <c r="Q22" s="8" t="n"/>
      <c r="R22" s="7" t="n"/>
      <c r="S22" s="9" t="n"/>
      <c r="U22" s="8" t="n"/>
      <c r="V22" s="11" t="n"/>
      <c r="W22" s="7" t="n"/>
      <c r="X22" s="9" t="n"/>
    </row>
    <row r="23">
      <c r="A23" s="7" t="n"/>
      <c r="B23" s="8" t="n"/>
      <c r="C23" s="8" t="n"/>
      <c r="D23" s="8" t="n"/>
      <c r="E23" s="8" t="n"/>
      <c r="F23" s="8" t="n"/>
      <c r="G23" s="8" t="n"/>
      <c r="H23" s="8" t="n"/>
      <c r="I23" s="9" t="n"/>
      <c r="J23" s="9" t="n"/>
      <c r="K23" s="9" t="n"/>
      <c r="L23" s="9" t="n"/>
      <c r="M23" s="9" t="n"/>
      <c r="N23" s="10" t="n"/>
      <c r="O23" s="9" t="n"/>
      <c r="Q23" s="8" t="n"/>
      <c r="R23" s="7" t="n"/>
      <c r="S23" s="9" t="n"/>
      <c r="U23" s="8" t="n"/>
      <c r="V23" s="11" t="n"/>
      <c r="W23" s="7" t="n"/>
      <c r="X23" s="9" t="n"/>
    </row>
    <row r="24">
      <c r="A24" s="7" t="n"/>
      <c r="B24" s="8" t="n"/>
      <c r="C24" s="8" t="n"/>
      <c r="D24" s="8" t="n"/>
      <c r="E24" s="8" t="n"/>
      <c r="F24" s="8" t="n"/>
      <c r="G24" s="8" t="n"/>
      <c r="H24" s="8" t="n"/>
      <c r="I24" s="9" t="n"/>
      <c r="J24" s="9" t="n"/>
      <c r="K24" s="9" t="n"/>
      <c r="L24" s="9" t="n"/>
      <c r="M24" s="9" t="n"/>
      <c r="N24" s="10" t="n"/>
      <c r="O24" s="9" t="n"/>
      <c r="Q24" s="8" t="n"/>
      <c r="R24" s="7" t="n"/>
      <c r="S24" s="9" t="n"/>
      <c r="U24" s="8" t="n"/>
      <c r="V24" s="11" t="n"/>
      <c r="W24" s="7" t="n"/>
      <c r="X24" s="9" t="n"/>
    </row>
    <row r="25">
      <c r="A25" s="7" t="n"/>
      <c r="B25" s="8" t="n"/>
      <c r="C25" s="8" t="n"/>
      <c r="D25" s="8" t="n"/>
      <c r="E25" s="8" t="n"/>
      <c r="F25" s="8" t="n"/>
      <c r="G25" s="8" t="n"/>
      <c r="H25" s="8" t="n"/>
      <c r="I25" s="9" t="n"/>
      <c r="J25" s="9" t="n"/>
      <c r="K25" s="9" t="n"/>
      <c r="L25" s="9" t="n"/>
      <c r="M25" s="9" t="n"/>
      <c r="N25" s="10" t="n"/>
      <c r="O25" s="9" t="n"/>
      <c r="Q25" s="8" t="n"/>
      <c r="R25" s="7" t="n"/>
      <c r="S25" s="9" t="n"/>
      <c r="U25" s="8" t="n"/>
      <c r="V25" s="11" t="n"/>
      <c r="W25" s="7" t="n"/>
      <c r="X25" s="9" t="n"/>
    </row>
    <row r="26">
      <c r="A26" s="7" t="n"/>
      <c r="B26" s="8" t="n"/>
      <c r="C26" s="8" t="n"/>
      <c r="D26" s="8" t="n"/>
      <c r="E26" s="8" t="n"/>
      <c r="F26" s="8" t="n"/>
      <c r="G26" s="8" t="n"/>
      <c r="H26" s="8" t="n"/>
      <c r="I26" s="9" t="n"/>
      <c r="J26" s="9" t="n"/>
      <c r="K26" s="9" t="n"/>
      <c r="L26" s="9" t="n"/>
      <c r="M26" s="9" t="n"/>
      <c r="N26" s="10" t="n"/>
      <c r="O26" s="9" t="n"/>
      <c r="Q26" s="8" t="n"/>
      <c r="R26" s="7" t="n"/>
      <c r="S26" s="9" t="n"/>
      <c r="U26" s="8" t="n"/>
      <c r="V26" s="11" t="n"/>
      <c r="W26" s="7" t="n"/>
      <c r="X26" s="9" t="n"/>
    </row>
    <row r="27">
      <c r="A27" s="7" t="n"/>
      <c r="B27" s="8" t="n"/>
      <c r="C27" s="8" t="n"/>
      <c r="D27" s="8" t="n"/>
      <c r="E27" s="8" t="n"/>
      <c r="F27" s="8" t="n"/>
      <c r="G27" s="8" t="n"/>
      <c r="H27" s="8" t="n"/>
      <c r="I27" s="9" t="n"/>
      <c r="J27" s="9" t="n"/>
      <c r="K27" s="9" t="n"/>
      <c r="L27" s="9" t="n"/>
      <c r="M27" s="9" t="n"/>
      <c r="N27" s="10" t="n"/>
      <c r="O27" s="9" t="n"/>
      <c r="Q27" s="8" t="n"/>
      <c r="R27" s="7" t="n"/>
      <c r="S27" s="9" t="n"/>
      <c r="U27" s="8" t="n"/>
      <c r="V27" s="11" t="n"/>
      <c r="W27" s="7" t="n"/>
      <c r="X27" s="9" t="n"/>
    </row>
    <row r="28">
      <c r="A28" s="7" t="n"/>
      <c r="B28" s="8" t="n"/>
      <c r="C28" s="8" t="n"/>
      <c r="D28" s="8" t="n"/>
      <c r="E28" s="8" t="n"/>
      <c r="F28" s="8" t="n"/>
      <c r="G28" s="8" t="n"/>
      <c r="H28" s="8" t="n"/>
      <c r="I28" s="9" t="n"/>
      <c r="J28" s="9" t="n"/>
      <c r="K28" s="9" t="n"/>
      <c r="L28" s="9" t="n"/>
      <c r="M28" s="9" t="n"/>
      <c r="N28" s="10" t="n"/>
      <c r="O28" s="9" t="n"/>
      <c r="Q28" s="8" t="n"/>
      <c r="R28" s="7" t="n"/>
      <c r="S28" s="9" t="n"/>
      <c r="U28" s="8" t="n"/>
      <c r="V28" s="11" t="n"/>
      <c r="W28" s="7" t="n"/>
      <c r="X28" s="9" t="n"/>
    </row>
    <row r="29">
      <c r="A29" s="7" t="n"/>
      <c r="B29" s="8" t="n"/>
      <c r="C29" s="8" t="n"/>
      <c r="D29" s="8" t="n"/>
      <c r="E29" s="8" t="n"/>
      <c r="F29" s="8" t="n"/>
      <c r="G29" s="8" t="n"/>
      <c r="H29" s="8" t="n"/>
      <c r="I29" s="9" t="n"/>
      <c r="J29" s="9" t="n"/>
      <c r="K29" s="9" t="n"/>
      <c r="L29" s="9" t="n"/>
      <c r="M29" s="9" t="n"/>
      <c r="N29" s="10" t="n"/>
      <c r="O29" s="9" t="n"/>
      <c r="Q29" s="8" t="n"/>
      <c r="R29" s="7" t="n"/>
      <c r="S29" s="9" t="n"/>
      <c r="U29" s="8" t="n"/>
      <c r="V29" s="11" t="n"/>
      <c r="W29" s="7" t="n"/>
      <c r="X29" s="9" t="n"/>
    </row>
    <row r="30">
      <c r="A30" s="7" t="n"/>
      <c r="B30" s="8" t="n"/>
      <c r="C30" s="8" t="n"/>
      <c r="D30" s="8" t="n"/>
      <c r="E30" s="8" t="n"/>
      <c r="F30" s="8" t="n"/>
      <c r="G30" s="8" t="n"/>
      <c r="H30" s="8" t="n"/>
      <c r="I30" s="9" t="n"/>
      <c r="J30" s="9" t="n"/>
      <c r="K30" s="9" t="n"/>
      <c r="L30" s="9" t="n"/>
      <c r="M30" s="9" t="n"/>
      <c r="N30" s="10" t="n"/>
      <c r="O30" s="9" t="n"/>
      <c r="Q30" s="8" t="n"/>
      <c r="R30" s="7" t="n"/>
      <c r="S30" s="9" t="n"/>
      <c r="U30" s="8" t="n"/>
      <c r="V30" s="11" t="n"/>
      <c r="W30" s="7" t="n"/>
      <c r="X30" s="9" t="n"/>
    </row>
    <row r="31">
      <c r="A31" s="7" t="n"/>
      <c r="B31" s="8" t="n"/>
      <c r="C31" s="8" t="n"/>
      <c r="D31" s="8" t="n"/>
      <c r="E31" s="8" t="n"/>
      <c r="F31" s="8" t="n"/>
      <c r="G31" s="8" t="n"/>
      <c r="H31" s="8" t="n"/>
      <c r="I31" s="9" t="n"/>
      <c r="J31" s="9" t="n"/>
      <c r="K31" s="9" t="n"/>
      <c r="L31" s="9" t="n"/>
      <c r="M31" s="9" t="n"/>
      <c r="N31" s="10" t="n"/>
      <c r="O31" s="9" t="n"/>
      <c r="Q31" s="8" t="n"/>
      <c r="R31" s="7" t="n"/>
      <c r="S31" s="9" t="n"/>
      <c r="U31" s="8" t="n"/>
      <c r="V31" s="11" t="n"/>
      <c r="W31" s="7" t="n"/>
      <c r="X31" s="9" t="n"/>
    </row>
    <row r="32">
      <c r="A32" s="7" t="n"/>
      <c r="B32" s="8" t="n"/>
      <c r="C32" s="8" t="n"/>
      <c r="D32" s="8" t="n"/>
      <c r="E32" s="8" t="n"/>
      <c r="F32" s="8" t="n"/>
      <c r="G32" s="8" t="n"/>
      <c r="H32" s="8" t="n"/>
      <c r="I32" s="9" t="n"/>
      <c r="J32" s="9" t="n"/>
      <c r="K32" s="9" t="n"/>
      <c r="L32" s="9" t="n"/>
      <c r="M32" s="9" t="n"/>
      <c r="N32" s="10" t="n"/>
      <c r="O32" s="9" t="n"/>
      <c r="Q32" s="8" t="n"/>
      <c r="R32" s="7" t="n"/>
      <c r="S32" s="9" t="n"/>
      <c r="U32" s="8" t="n"/>
      <c r="V32" s="11" t="n"/>
      <c r="W32" s="7" t="n"/>
      <c r="X32" s="9" t="n"/>
    </row>
    <row r="33">
      <c r="A33" s="7" t="n"/>
      <c r="B33" s="8" t="n"/>
      <c r="C33" s="8" t="n"/>
      <c r="D33" s="8" t="n"/>
      <c r="E33" s="8" t="n"/>
      <c r="F33" s="8" t="n"/>
      <c r="G33" s="8" t="n"/>
      <c r="H33" s="8" t="n"/>
      <c r="I33" s="9" t="n"/>
      <c r="J33" s="9" t="n"/>
      <c r="K33" s="9" t="n"/>
      <c r="L33" s="9" t="n"/>
      <c r="M33" s="9" t="n"/>
      <c r="N33" s="10" t="n"/>
      <c r="O33" s="9" t="n"/>
    </row>
    <row r="34">
      <c r="A34" s="7" t="n"/>
      <c r="B34" s="8" t="n"/>
      <c r="C34" s="8" t="n"/>
      <c r="D34" s="8" t="n"/>
      <c r="E34" s="8" t="n"/>
      <c r="F34" s="8" t="n"/>
      <c r="G34" s="8" t="n"/>
      <c r="H34" s="8" t="n"/>
      <c r="I34" s="9" t="n"/>
      <c r="J34" s="9" t="n"/>
      <c r="K34" s="9" t="n"/>
      <c r="L34" s="9" t="n"/>
      <c r="M34" s="9" t="n"/>
      <c r="N34" s="10" t="n"/>
      <c r="O34" s="9" t="n"/>
    </row>
    <row r="35">
      <c r="A35" s="7" t="n"/>
      <c r="B35" s="8" t="n"/>
      <c r="C35" s="8" t="n"/>
      <c r="D35" s="8" t="n"/>
      <c r="E35" s="8" t="n"/>
      <c r="F35" s="8" t="n"/>
      <c r="G35" s="8" t="n"/>
      <c r="H35" s="8" t="n"/>
      <c r="I35" s="9" t="n"/>
      <c r="J35" s="9" t="n"/>
      <c r="K35" s="9" t="n"/>
      <c r="L35" s="9" t="n"/>
      <c r="M35" s="9" t="n"/>
      <c r="N35" s="10" t="n"/>
      <c r="O35" s="9" t="n"/>
    </row>
    <row r="36">
      <c r="A36" s="7" t="n"/>
      <c r="B36" s="8" t="n"/>
      <c r="C36" s="8" t="n"/>
      <c r="D36" s="8" t="n"/>
      <c r="E36" s="8" t="n"/>
      <c r="F36" s="8" t="n"/>
      <c r="G36" s="8" t="n"/>
      <c r="H36" s="8" t="n"/>
      <c r="I36" s="9" t="n"/>
      <c r="J36" s="9" t="n"/>
      <c r="K36" s="9" t="n"/>
      <c r="L36" s="9" t="n"/>
      <c r="M36" s="9" t="n"/>
      <c r="N36" s="10" t="n"/>
      <c r="O36" s="9" t="n"/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  <c r="I37" s="9" t="n"/>
      <c r="J37" s="9" t="n"/>
      <c r="K37" s="9" t="n"/>
      <c r="L37" s="9" t="n"/>
      <c r="M37" s="9" t="n"/>
      <c r="N37" s="10" t="n"/>
      <c r="O37" s="9" t="n"/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  <c r="I38" s="9" t="n"/>
      <c r="J38" s="9" t="n"/>
      <c r="K38" s="9" t="n"/>
      <c r="L38" s="9" t="n"/>
      <c r="M38" s="9" t="n"/>
      <c r="N38" s="10" t="n"/>
      <c r="O38" s="9" t="n"/>
    </row>
    <row r="39">
      <c r="A39" s="7" t="n"/>
      <c r="B39" s="8" t="n"/>
      <c r="C39" s="8" t="n"/>
      <c r="D39" s="8" t="n"/>
      <c r="E39" s="8" t="n"/>
      <c r="F39" s="8" t="n"/>
      <c r="G39" s="8" t="n"/>
      <c r="H39" s="8" t="n"/>
      <c r="I39" s="9" t="n"/>
      <c r="J39" s="9" t="n"/>
      <c r="K39" s="9" t="n"/>
      <c r="L39" s="9" t="n"/>
      <c r="M39" s="9" t="n"/>
      <c r="N39" s="10" t="n"/>
      <c r="O39" s="9" t="n"/>
    </row>
    <row r="40">
      <c r="A40" s="7" t="n"/>
      <c r="B40" s="8" t="n"/>
      <c r="C40" s="8" t="n"/>
      <c r="D40" s="8" t="n"/>
      <c r="E40" s="8" t="n"/>
      <c r="F40" s="8" t="n"/>
      <c r="G40" s="8" t="n"/>
      <c r="H40" s="8" t="n"/>
      <c r="I40" s="9" t="n"/>
      <c r="J40" s="9" t="n"/>
      <c r="K40" s="9" t="n"/>
      <c r="L40" s="9" t="n"/>
      <c r="M40" s="9" t="n"/>
      <c r="N40" s="10" t="n"/>
      <c r="O40" s="9" t="n"/>
    </row>
    <row r="41">
      <c r="A41" s="7" t="n"/>
      <c r="B41" s="8" t="n"/>
      <c r="C41" s="8" t="n"/>
      <c r="D41" s="8" t="n"/>
      <c r="E41" s="8" t="n"/>
      <c r="F41" s="8" t="n"/>
      <c r="G41" s="8" t="n"/>
      <c r="H41" s="8" t="n"/>
      <c r="I41" s="9" t="n"/>
      <c r="J41" s="9" t="n"/>
      <c r="K41" s="9" t="n"/>
      <c r="L41" s="9" t="n"/>
      <c r="M41" s="9" t="n"/>
      <c r="N41" s="10" t="n"/>
      <c r="O41" s="9" t="n"/>
    </row>
    <row r="42">
      <c r="A42" s="7" t="n"/>
      <c r="B42" s="8" t="n"/>
      <c r="C42" s="8" t="n"/>
      <c r="D42" s="8" t="n"/>
      <c r="E42" s="8" t="n"/>
      <c r="F42" s="8" t="n"/>
      <c r="G42" s="8" t="n"/>
      <c r="H42" s="8" t="n"/>
      <c r="I42" s="9" t="n"/>
      <c r="J42" s="9" t="n"/>
      <c r="K42" s="9" t="n"/>
      <c r="L42" s="9" t="n"/>
      <c r="M42" s="9" t="n"/>
      <c r="N42" s="10" t="n"/>
      <c r="O42" s="9" t="n"/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  <c r="I43" s="9" t="n"/>
      <c r="J43" s="9" t="n"/>
      <c r="K43" s="9" t="n"/>
      <c r="L43" s="9" t="n"/>
      <c r="M43" s="9" t="n"/>
      <c r="N43" s="10" t="n"/>
      <c r="O43" s="9" t="n"/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  <c r="I44" s="9" t="n"/>
      <c r="J44" s="9" t="n"/>
      <c r="K44" s="9" t="n"/>
      <c r="L44" s="9" t="n"/>
      <c r="M44" s="9" t="n"/>
      <c r="N44" s="10" t="n"/>
      <c r="O44" s="9" t="n"/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  <c r="I45" s="9" t="n"/>
      <c r="J45" s="9" t="n"/>
      <c r="K45" s="9" t="n"/>
      <c r="L45" s="9" t="n"/>
      <c r="M45" s="9" t="n"/>
      <c r="N45" s="10" t="n"/>
      <c r="O45" s="9" t="n"/>
    </row>
    <row r="46">
      <c r="A46" s="7" t="n"/>
      <c r="B46" s="8" t="n"/>
      <c r="C46" s="8" t="n"/>
      <c r="D46" s="8" t="n"/>
      <c r="E46" s="8" t="n"/>
      <c r="F46" s="8" t="n"/>
      <c r="G46" s="8" t="n"/>
      <c r="H46" s="8" t="n"/>
      <c r="I46" s="9" t="n"/>
      <c r="J46" s="9" t="n"/>
      <c r="K46" s="9" t="n"/>
      <c r="L46" s="9" t="n"/>
      <c r="M46" s="9" t="n"/>
      <c r="N46" s="10" t="n"/>
      <c r="O46" s="9" t="n"/>
    </row>
    <row r="47">
      <c r="A47" s="7" t="n"/>
      <c r="B47" s="8" t="n"/>
      <c r="C47" s="8" t="n"/>
      <c r="D47" s="8" t="n"/>
      <c r="E47" s="8" t="n"/>
      <c r="F47" s="8" t="n"/>
      <c r="G47" s="8" t="n"/>
      <c r="H47" s="8" t="n"/>
      <c r="I47" s="9" t="n"/>
      <c r="J47" s="9" t="n"/>
      <c r="K47" s="9" t="n"/>
      <c r="L47" s="9" t="n"/>
      <c r="M47" s="9" t="n"/>
      <c r="N47" s="10" t="n"/>
      <c r="O47" s="9" t="n"/>
    </row>
    <row r="48">
      <c r="A48" s="7" t="n"/>
      <c r="B48" s="8" t="n"/>
      <c r="C48" s="8" t="n"/>
      <c r="D48" s="8" t="n"/>
      <c r="E48" s="8" t="n"/>
      <c r="F48" s="8" t="n"/>
      <c r="G48" s="8" t="n"/>
      <c r="H48" s="8" t="n"/>
      <c r="I48" s="9" t="n"/>
      <c r="J48" s="9" t="n"/>
      <c r="K48" s="9" t="n"/>
      <c r="L48" s="9" t="n"/>
      <c r="M48" s="9" t="n"/>
      <c r="N48" s="10" t="n"/>
      <c r="O48" s="9" t="n"/>
    </row>
    <row r="49">
      <c r="A49" s="7" t="n"/>
      <c r="B49" s="8" t="n"/>
      <c r="C49" s="8" t="n"/>
      <c r="D49" s="8" t="n"/>
      <c r="E49" s="8" t="n"/>
      <c r="F49" s="8" t="n"/>
      <c r="G49" s="8" t="n"/>
      <c r="H49" s="8" t="n"/>
      <c r="I49" s="9" t="n"/>
      <c r="J49" s="9" t="n"/>
      <c r="K49" s="9" t="n"/>
      <c r="L49" s="9" t="n"/>
      <c r="M49" s="9" t="n"/>
      <c r="N49" s="10" t="n"/>
      <c r="O49" s="9" t="n"/>
    </row>
    <row r="50">
      <c r="A50" s="7" t="n"/>
      <c r="B50" s="8" t="n"/>
      <c r="C50" s="8" t="n"/>
      <c r="D50" s="8" t="n"/>
      <c r="E50" s="8" t="n"/>
      <c r="F50" s="8" t="n"/>
      <c r="G50" s="8" t="n"/>
      <c r="H50" s="8" t="n"/>
      <c r="I50" s="9" t="n"/>
      <c r="J50" s="9" t="n"/>
      <c r="K50" s="9" t="n"/>
      <c r="L50" s="9" t="n"/>
      <c r="M50" s="9" t="n"/>
      <c r="N50" s="10" t="n"/>
      <c r="O50" s="9" t="n"/>
    </row>
    <row r="51">
      <c r="A51" s="7" t="n"/>
      <c r="B51" s="8" t="n"/>
      <c r="C51" s="8" t="n"/>
      <c r="D51" s="8" t="n"/>
      <c r="E51" s="8" t="n"/>
      <c r="F51" s="8" t="n"/>
      <c r="G51" s="8" t="n"/>
      <c r="H51" s="8" t="n"/>
      <c r="I51" s="9" t="n"/>
      <c r="J51" s="9" t="n"/>
      <c r="K51" s="9" t="n"/>
      <c r="L51" s="9" t="n"/>
      <c r="M51" s="9" t="n"/>
      <c r="N51" s="10" t="n"/>
      <c r="O51" s="9" t="n"/>
    </row>
    <row r="52">
      <c r="A52" s="7" t="n"/>
      <c r="B52" s="8" t="n"/>
      <c r="C52" s="8" t="n"/>
      <c r="D52" s="8" t="n"/>
      <c r="E52" s="8" t="n"/>
      <c r="F52" s="8" t="n"/>
      <c r="G52" s="8" t="n"/>
      <c r="H52" s="8" t="n"/>
      <c r="I52" s="9" t="n"/>
      <c r="J52" s="9" t="n"/>
      <c r="K52" s="9" t="n"/>
      <c r="L52" s="9" t="n"/>
      <c r="M52" s="9" t="n"/>
      <c r="N52" s="10" t="n"/>
      <c r="O52" s="9" t="n"/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  <c r="I53" s="9" t="n"/>
      <c r="J53" s="9" t="n"/>
      <c r="K53" s="9" t="n"/>
      <c r="L53" s="9" t="n"/>
      <c r="M53" s="9" t="n"/>
      <c r="N53" s="10" t="n"/>
      <c r="O53" s="9" t="n"/>
    </row>
    <row r="54">
      <c r="A54" s="7" t="n"/>
      <c r="B54" s="8" t="n"/>
      <c r="C54" s="8" t="n"/>
      <c r="D54" s="8" t="n"/>
      <c r="E54" s="8" t="n"/>
      <c r="F54" s="8" t="n"/>
      <c r="G54" s="8" t="n"/>
      <c r="H54" s="8" t="n"/>
      <c r="I54" s="9" t="n"/>
      <c r="J54" s="9" t="n"/>
      <c r="K54" s="9" t="n"/>
      <c r="L54" s="9" t="n"/>
      <c r="M54" s="9" t="n"/>
      <c r="N54" s="10" t="n"/>
      <c r="O54" s="9" t="n"/>
    </row>
    <row r="55">
      <c r="A55" s="7" t="n"/>
      <c r="B55" s="8" t="n"/>
      <c r="C55" s="8" t="n"/>
      <c r="D55" s="8" t="n"/>
      <c r="E55" s="8" t="n"/>
      <c r="F55" s="8" t="n"/>
      <c r="G55" s="8" t="n"/>
      <c r="H55" s="8" t="n"/>
      <c r="I55" s="9" t="n"/>
      <c r="J55" s="9" t="n"/>
      <c r="K55" s="9" t="n"/>
      <c r="L55" s="9" t="n"/>
      <c r="M55" s="9" t="n"/>
      <c r="N55" s="10" t="n"/>
      <c r="O55" s="9" t="n"/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  <c r="I56" s="9" t="n"/>
      <c r="J56" s="9" t="n"/>
      <c r="K56" s="9" t="n"/>
      <c r="L56" s="9" t="n"/>
      <c r="M56" s="9" t="n"/>
      <c r="N56" s="10" t="n"/>
      <c r="O56" s="9" t="n"/>
    </row>
    <row r="57">
      <c r="A57" s="7" t="n"/>
      <c r="B57" s="8" t="n"/>
      <c r="C57" s="8" t="n"/>
      <c r="D57" s="8" t="n"/>
      <c r="E57" s="8" t="n"/>
      <c r="F57" s="8" t="n"/>
      <c r="G57" s="8" t="n"/>
      <c r="H57" s="8" t="n"/>
      <c r="I57" s="9" t="n"/>
      <c r="J57" s="9" t="n"/>
      <c r="K57" s="9" t="n"/>
      <c r="L57" s="9" t="n"/>
      <c r="M57" s="9" t="n"/>
      <c r="N57" s="10" t="n"/>
      <c r="O57" s="9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  <c r="I58" s="9" t="n"/>
      <c r="J58" s="9" t="n"/>
      <c r="K58" s="9" t="n"/>
      <c r="L58" s="9" t="n"/>
      <c r="M58" s="9" t="n"/>
      <c r="N58" s="10" t="n"/>
      <c r="O58" s="9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  <c r="I59" s="9" t="n"/>
      <c r="J59" s="9" t="n"/>
      <c r="K59" s="9" t="n"/>
      <c r="L59" s="9" t="n"/>
      <c r="M59" s="9" t="n"/>
      <c r="N59" s="10" t="n"/>
      <c r="O59" s="9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  <c r="I60" s="9" t="n"/>
      <c r="J60" s="9" t="n"/>
      <c r="K60" s="9" t="n"/>
      <c r="L60" s="9" t="n"/>
      <c r="M60" s="9" t="n"/>
      <c r="N60" s="10" t="n"/>
      <c r="O60" s="9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  <c r="I61" s="9" t="n"/>
      <c r="J61" s="9" t="n"/>
      <c r="K61" s="9" t="n"/>
      <c r="L61" s="9" t="n"/>
      <c r="M61" s="9" t="n"/>
      <c r="N61" s="10" t="n"/>
      <c r="O61" s="9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  <c r="I62" s="9" t="n"/>
      <c r="J62" s="9" t="n"/>
      <c r="K62" s="9" t="n"/>
      <c r="L62" s="9" t="n"/>
      <c r="M62" s="9" t="n"/>
      <c r="N62" s="10" t="n"/>
      <c r="O62" s="9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  <c r="I63" s="9" t="n"/>
      <c r="J63" s="9" t="n"/>
      <c r="K63" s="9" t="n"/>
      <c r="L63" s="9" t="n"/>
      <c r="M63" s="9" t="n"/>
      <c r="N63" s="10" t="n"/>
      <c r="O63" s="9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  <c r="I64" s="9" t="n"/>
      <c r="J64" s="9" t="n"/>
      <c r="K64" s="9" t="n"/>
      <c r="L64" s="9" t="n"/>
      <c r="M64" s="9" t="n"/>
      <c r="N64" s="10" t="n"/>
      <c r="O64" s="9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  <c r="I65" s="9" t="n"/>
      <c r="J65" s="9" t="n"/>
      <c r="K65" s="9" t="n"/>
      <c r="L65" s="9" t="n"/>
      <c r="M65" s="9" t="n"/>
      <c r="N65" s="10" t="n"/>
      <c r="O65" s="9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  <c r="I66" s="9" t="n"/>
      <c r="J66" s="9" t="n"/>
      <c r="K66" s="9" t="n"/>
      <c r="L66" s="9" t="n"/>
      <c r="M66" s="9" t="n"/>
      <c r="N66" s="10" t="n"/>
      <c r="O66" s="9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  <c r="I67" s="9" t="n"/>
      <c r="J67" s="9" t="n"/>
      <c r="K67" s="9" t="n"/>
      <c r="L67" s="9" t="n"/>
      <c r="M67" s="9" t="n"/>
      <c r="N67" s="10" t="n"/>
      <c r="O67" s="9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  <c r="I68" s="9" t="n"/>
      <c r="J68" s="9" t="n"/>
      <c r="K68" s="9" t="n"/>
      <c r="L68" s="9" t="n"/>
      <c r="M68" s="9" t="n"/>
      <c r="N68" s="10" t="n"/>
      <c r="O68" s="9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  <c r="I69" s="9" t="n"/>
      <c r="J69" s="9" t="n"/>
      <c r="K69" s="9" t="n"/>
      <c r="L69" s="9" t="n"/>
      <c r="M69" s="9" t="n"/>
      <c r="N69" s="10" t="n"/>
      <c r="O69" s="9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  <c r="I70" s="9" t="n"/>
      <c r="J70" s="9" t="n"/>
      <c r="K70" s="9" t="n"/>
      <c r="L70" s="9" t="n"/>
      <c r="M70" s="9" t="n"/>
      <c r="N70" s="10" t="n"/>
      <c r="O70" s="9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  <c r="I71" s="9" t="n"/>
      <c r="J71" s="9" t="n"/>
      <c r="K71" s="9" t="n"/>
      <c r="L71" s="9" t="n"/>
      <c r="M71" s="9" t="n"/>
      <c r="N71" s="10" t="n"/>
      <c r="O71" s="9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  <c r="I72" s="9" t="n"/>
      <c r="J72" s="9" t="n"/>
      <c r="K72" s="9" t="n"/>
      <c r="L72" s="9" t="n"/>
      <c r="M72" s="9" t="n"/>
      <c r="N72" s="10" t="n"/>
      <c r="O72" s="9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  <c r="I73" s="9" t="n"/>
      <c r="J73" s="9" t="n"/>
      <c r="K73" s="9" t="n"/>
      <c r="L73" s="9" t="n"/>
      <c r="M73" s="9" t="n"/>
      <c r="N73" s="10" t="n"/>
      <c r="O73" s="9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  <c r="I74" s="9" t="n"/>
      <c r="J74" s="9" t="n"/>
      <c r="K74" s="9" t="n"/>
      <c r="L74" s="9" t="n"/>
      <c r="M74" s="9" t="n"/>
      <c r="N74" s="10" t="n"/>
      <c r="O74" s="9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  <c r="I75" s="9" t="n"/>
      <c r="J75" s="9" t="n"/>
      <c r="K75" s="9" t="n"/>
      <c r="L75" s="9" t="n"/>
      <c r="M75" s="9" t="n"/>
      <c r="N75" s="10" t="n"/>
      <c r="O75" s="9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  <c r="I76" s="9" t="n"/>
      <c r="J76" s="9" t="n"/>
      <c r="K76" s="9" t="n"/>
      <c r="L76" s="9" t="n"/>
      <c r="M76" s="9" t="n"/>
      <c r="N76" s="10" t="n"/>
      <c r="O76" s="9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  <c r="I77" s="9" t="n"/>
      <c r="J77" s="9" t="n"/>
      <c r="K77" s="9" t="n"/>
      <c r="L77" s="9" t="n"/>
      <c r="M77" s="9" t="n"/>
      <c r="N77" s="10" t="n"/>
      <c r="O77" s="9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  <c r="I78" s="9" t="n"/>
      <c r="J78" s="9" t="n"/>
      <c r="K78" s="9" t="n"/>
      <c r="L78" s="9" t="n"/>
      <c r="M78" s="9" t="n"/>
      <c r="N78" s="10" t="n"/>
      <c r="O78" s="9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  <c r="I79" s="9" t="n"/>
      <c r="J79" s="9" t="n"/>
      <c r="K79" s="9" t="n"/>
      <c r="L79" s="9" t="n"/>
      <c r="M79" s="9" t="n"/>
      <c r="N79" s="10" t="n"/>
      <c r="O79" s="9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  <c r="I80" s="9" t="n"/>
      <c r="J80" s="9" t="n"/>
      <c r="K80" s="9" t="n"/>
      <c r="L80" s="9" t="n"/>
      <c r="M80" s="9" t="n"/>
      <c r="N80" s="10" t="n"/>
      <c r="O80" s="9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  <c r="I81" s="9" t="n"/>
      <c r="J81" s="9" t="n"/>
      <c r="K81" s="9" t="n"/>
      <c r="L81" s="9" t="n"/>
      <c r="M81" s="9" t="n"/>
      <c r="N81" s="10" t="n"/>
      <c r="O81" s="9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  <c r="I82" s="9" t="n"/>
      <c r="J82" s="9" t="n"/>
      <c r="K82" s="9" t="n"/>
      <c r="L82" s="9" t="n"/>
      <c r="M82" s="9" t="n"/>
      <c r="N82" s="10" t="n"/>
      <c r="O82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22" customWidth="1" min="4" max="4"/>
    <col width="30" customWidth="1" min="5" max="5"/>
    <col width="12" customWidth="1" min="6" max="6"/>
    <col width="30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8" customWidth="1" min="14" max="14"/>
    <col width="16" customWidth="1" min="15" max="15"/>
    <col width="22" customWidth="1" min="17" max="17"/>
    <col width="14" customWidth="1" min="18" max="18"/>
    <col width="16" customWidth="1" min="19" max="19"/>
    <col width="2" customWidth="1" min="20" max="20"/>
    <col width="32" customWidth="1" min="21" max="21"/>
    <col width="22" customWidth="1" min="22" max="22"/>
    <col width="14" customWidth="1" min="23" max="23"/>
    <col width="16" customWidth="1" min="24" max="24"/>
  </cols>
  <sheetData>
    <row r="1" ht="28" customHeight="1">
      <c r="A1" s="1" t="inlineStr">
        <is>
          <t>BRACOFER</t>
        </is>
      </c>
      <c r="B1" s="1" t="inlineStr">
        <is>
          <t>FOLHA DE PAGAMENTO ABRIL/2026</t>
        </is>
      </c>
      <c r="I1" s="2">
        <f>SUMIFS(tbl_dados[Provisão de Férias + 13°],tbl_dados[Tomador],$A$1)</f>
        <v/>
      </c>
      <c r="J1" s="2">
        <f>SUMIFS(tbl_dados[Provisão de Encargos],tbl_dados[Tomador],$A$1)</f>
        <v/>
      </c>
      <c r="K1" s="1" t="inlineStr">
        <is>
          <t>Soma</t>
        </is>
      </c>
      <c r="M1" s="2">
        <f>SUMIFS(tbl_dados[TT BRUTO ABRIL],tbl_dados[Tomador],$A$1)</f>
        <v/>
      </c>
      <c r="O1" s="2">
        <f>SUMIFS(tbl_dados[TT BRUTO MARÇO],tbl_dados[Tomador],$A$1)</f>
        <v/>
      </c>
    </row>
    <row r="2" ht="36" customHeight="1">
      <c r="A2" s="3" t="inlineStr">
        <is>
          <t>Qtde</t>
        </is>
      </c>
      <c r="B2" s="3" t="inlineStr">
        <is>
          <t>FUNCIONÁRIO</t>
        </is>
      </c>
      <c r="C2" s="3" t="inlineStr">
        <is>
          <t>Tipo</t>
        </is>
      </c>
      <c r="D2" s="3" t="inlineStr">
        <is>
          <t>Setor</t>
        </is>
      </c>
      <c r="E2" s="3" t="inlineStr">
        <is>
          <t xml:space="preserve">Função </t>
        </is>
      </c>
      <c r="F2" s="3" t="inlineStr">
        <is>
          <t>Status</t>
        </is>
      </c>
      <c r="G2" s="3" t="inlineStr">
        <is>
          <t>Empresa Registro</t>
        </is>
      </c>
      <c r="H2" s="3" t="inlineStr">
        <is>
          <t>CNPJ</t>
        </is>
      </c>
      <c r="I2" s="3" t="inlineStr">
        <is>
          <t>Provisão
de Férias + 13°</t>
        </is>
      </c>
      <c r="J2" s="3" t="inlineStr">
        <is>
          <t>Provisão 
de Encargos</t>
        </is>
      </c>
      <c r="K2" s="3" t="inlineStr">
        <is>
          <t>Eventos Folha
(Caixa)</t>
        </is>
      </c>
      <c r="L2" s="3" t="inlineStr">
        <is>
          <t>Sal PF</t>
        </is>
      </c>
      <c r="M2" s="3" t="inlineStr">
        <is>
          <t>TT BRUTO
ABRIL</t>
        </is>
      </c>
      <c r="N2" s="3" t="inlineStr">
        <is>
          <t>%</t>
        </is>
      </c>
      <c r="O2" s="3" t="inlineStr">
        <is>
          <t>TT BRUTO
MARÇO</t>
        </is>
      </c>
      <c r="Q2" s="3" t="inlineStr">
        <is>
          <t>MODALIDADE</t>
        </is>
      </c>
      <c r="R2" s="3" t="inlineStr">
        <is>
          <t>FUNCIONÁRIOS</t>
        </is>
      </c>
      <c r="S2" s="3" t="inlineStr">
        <is>
          <t>TT BRUTO</t>
        </is>
      </c>
      <c r="U2" s="3" t="inlineStr">
        <is>
          <t>EMPRESA</t>
        </is>
      </c>
      <c r="V2" s="3" t="inlineStr">
        <is>
          <t>CNPJ</t>
        </is>
      </c>
      <c r="W2" s="3" t="inlineStr">
        <is>
          <t>FUNCIONÁRIOS</t>
        </is>
      </c>
      <c r="X2" s="3" t="inlineStr">
        <is>
          <t>TT BRUTO</t>
        </is>
      </c>
    </row>
    <row r="3">
      <c r="A3" s="7">
        <f>IFERROR(_xlfn.SEQUENCE(ROWS(B3#)),"")</f>
        <v/>
      </c>
      <c r="B3" s="8">
        <f>IFERROR(_xlfn._xlws.SORT(_xlfn._xlws.FILTER(tbl_dados[[FUNCIONÁRIO]:[TT BRUTO ABRIL]],tbl_dados[Tomador]=$A$1),12,-1),"")</f>
        <v/>
      </c>
      <c r="C3" s="8" t="n"/>
      <c r="D3" s="8" t="n"/>
      <c r="E3" s="8" t="n"/>
      <c r="F3" s="8" t="n"/>
      <c r="G3" s="8" t="n"/>
      <c r="H3" s="8" t="n"/>
      <c r="I3" s="9" t="n"/>
      <c r="J3" s="9" t="n"/>
      <c r="K3" s="9" t="n"/>
      <c r="L3" s="9" t="n"/>
      <c r="M3" s="9" t="n"/>
      <c r="N3" s="10">
        <f>IFERROR(INDEX(B3#,,12)/$M$1,"")</f>
        <v/>
      </c>
      <c r="O3" s="9">
        <f>IFERROR(INDEX(_xlfn._xlws.SORT(_xlfn._xlws.FILTER(tbl_dados[[FUNCIONÁRIO]:[TT BRUTO MARÇO]],tbl_dados[Tomador]=$A$1),12,-1),,13),"")</f>
        <v/>
      </c>
      <c r="Q3" s="8">
        <f>IFERROR(_xlfn.UNIQUE(_xlfn._xlws.FILTER(tbl_dados[Tipo],tbl_dados[Tomador]=$A$1)),"")</f>
        <v/>
      </c>
      <c r="R3" s="7">
        <f>IFERROR(_xlfn.BYROW(Q3#,_xlfn.LAMBDA(_x,COUNTIFS(tbl_dados[Tomador],$A$1,tbl_dados[Tipo],_x))),"")</f>
        <v/>
      </c>
      <c r="S3" s="9">
        <f>IFERROR(_xlfn.BYROW(Q3#,_xlfn.LAMBDA(_x,SUMIFS(tbl_dados[TT BRUTO ABRIL],tbl_dados[Tomador],$A$1,tbl_dados[Tipo],_x))),"")</f>
        <v/>
      </c>
      <c r="U3" s="8">
        <f>IFERROR(_xlfn.UNIQUE(_xlfn._xlws.FILTER(tbl_dados[Empresa Registro],tbl_dados[Tomador]=$A$1)),"")</f>
        <v/>
      </c>
      <c r="V3" s="11">
        <f>IFERROR(_xlfn.BYROW(U3#,_xlfn.LAMBDA(_x,IFERROR(INDEX(tbl_dados[CNPJ],MATCH(_x,tbl_dados[Empresa Registro],0)),""))),"")</f>
        <v/>
      </c>
      <c r="W3" s="7">
        <f>IFERROR(_xlfn.BYROW(U3#,_xlfn.LAMBDA(_x,COUNTIFS(tbl_dados[Tomador],$A$1,tbl_dados[Empresa Registro],_x))),"")</f>
        <v/>
      </c>
      <c r="X3" s="9">
        <f>IFERROR(_xlfn.BYROW(U3#,_xlfn.LAMBDA(_x,SUMIFS(tbl_dados[TT BRUTO ABRIL],tbl_dados[Tomador],$A$1,tbl_dados[Empresa Registro],_x))),"")</f>
        <v/>
      </c>
    </row>
    <row r="4">
      <c r="A4" s="7" t="n"/>
      <c r="B4" s="8" t="n"/>
      <c r="C4" s="8" t="n"/>
      <c r="D4" s="8" t="n"/>
      <c r="E4" s="8" t="n"/>
      <c r="F4" s="8" t="n"/>
      <c r="G4" s="8" t="n"/>
      <c r="H4" s="8" t="n"/>
      <c r="I4" s="9" t="n"/>
      <c r="J4" s="9" t="n"/>
      <c r="K4" s="9" t="n"/>
      <c r="L4" s="9" t="n"/>
      <c r="M4" s="9" t="n"/>
      <c r="N4" s="10" t="n"/>
      <c r="O4" s="9" t="n"/>
      <c r="Q4" s="8" t="n"/>
      <c r="R4" s="7" t="n"/>
      <c r="S4" s="9" t="n"/>
      <c r="U4" s="8" t="n"/>
      <c r="V4" s="11" t="n"/>
      <c r="W4" s="7" t="n"/>
      <c r="X4" s="9" t="n"/>
    </row>
    <row r="5">
      <c r="A5" s="7" t="n"/>
      <c r="B5" s="8" t="n"/>
      <c r="C5" s="8" t="n"/>
      <c r="D5" s="8" t="n"/>
      <c r="E5" s="8" t="n"/>
      <c r="F5" s="8" t="n"/>
      <c r="G5" s="8" t="n"/>
      <c r="H5" s="8" t="n"/>
      <c r="I5" s="9" t="n"/>
      <c r="J5" s="9" t="n"/>
      <c r="K5" s="9" t="n"/>
      <c r="L5" s="9" t="n"/>
      <c r="M5" s="9" t="n"/>
      <c r="N5" s="10" t="n"/>
      <c r="O5" s="9" t="n"/>
      <c r="Q5" s="8" t="n"/>
      <c r="R5" s="7" t="n"/>
      <c r="S5" s="9" t="n"/>
      <c r="U5" s="8" t="n"/>
      <c r="V5" s="11" t="n"/>
      <c r="W5" s="7" t="n"/>
      <c r="X5" s="9" t="n"/>
    </row>
    <row r="6">
      <c r="A6" s="7" t="n"/>
      <c r="B6" s="8" t="n"/>
      <c r="C6" s="8" t="n"/>
      <c r="D6" s="8" t="n"/>
      <c r="E6" s="8" t="n"/>
      <c r="F6" s="8" t="n"/>
      <c r="G6" s="8" t="n"/>
      <c r="H6" s="8" t="n"/>
      <c r="I6" s="9" t="n"/>
      <c r="J6" s="9" t="n"/>
      <c r="K6" s="9" t="n"/>
      <c r="L6" s="9" t="n"/>
      <c r="M6" s="9" t="n"/>
      <c r="N6" s="10" t="n"/>
      <c r="O6" s="9" t="n"/>
      <c r="Q6" s="8" t="n"/>
      <c r="R6" s="7" t="n"/>
      <c r="S6" s="9" t="n"/>
      <c r="U6" s="8" t="n"/>
      <c r="V6" s="11" t="n"/>
      <c r="W6" s="7" t="n"/>
      <c r="X6" s="9" t="n"/>
    </row>
    <row r="7">
      <c r="A7" s="7" t="n"/>
      <c r="B7" s="8" t="n"/>
      <c r="C7" s="8" t="n"/>
      <c r="D7" s="8" t="n"/>
      <c r="E7" s="8" t="n"/>
      <c r="F7" s="8" t="n"/>
      <c r="G7" s="8" t="n"/>
      <c r="H7" s="8" t="n"/>
      <c r="I7" s="9" t="n"/>
      <c r="J7" s="9" t="n"/>
      <c r="K7" s="9" t="n"/>
      <c r="L7" s="9" t="n"/>
      <c r="M7" s="9" t="n"/>
      <c r="N7" s="10" t="n"/>
      <c r="O7" s="9" t="n"/>
      <c r="Q7" s="8" t="n"/>
      <c r="R7" s="7" t="n"/>
      <c r="S7" s="9" t="n"/>
      <c r="U7" s="8" t="n"/>
      <c r="V7" s="11" t="n"/>
      <c r="W7" s="7" t="n"/>
      <c r="X7" s="9" t="n"/>
    </row>
    <row r="8">
      <c r="A8" s="7" t="n"/>
      <c r="B8" s="8" t="n"/>
      <c r="C8" s="8" t="n"/>
      <c r="D8" s="8" t="n"/>
      <c r="E8" s="8" t="n"/>
      <c r="F8" s="8" t="n"/>
      <c r="G8" s="8" t="n"/>
      <c r="H8" s="8" t="n"/>
      <c r="I8" s="9" t="n"/>
      <c r="J8" s="9" t="n"/>
      <c r="K8" s="9" t="n"/>
      <c r="L8" s="9" t="n"/>
      <c r="M8" s="9" t="n"/>
      <c r="N8" s="10" t="n"/>
      <c r="O8" s="9" t="n"/>
      <c r="Q8" s="8" t="n"/>
      <c r="R8" s="7" t="n"/>
      <c r="S8" s="9" t="n"/>
      <c r="U8" s="8" t="n"/>
      <c r="V8" s="11" t="n"/>
      <c r="W8" s="7" t="n"/>
      <c r="X8" s="9" t="n"/>
    </row>
    <row r="9">
      <c r="A9" s="7" t="n"/>
      <c r="B9" s="8" t="n"/>
      <c r="C9" s="8" t="n"/>
      <c r="D9" s="8" t="n"/>
      <c r="E9" s="8" t="n"/>
      <c r="F9" s="8" t="n"/>
      <c r="G9" s="8" t="n"/>
      <c r="H9" s="8" t="n"/>
      <c r="I9" s="9" t="n"/>
      <c r="J9" s="9" t="n"/>
      <c r="K9" s="9" t="n"/>
      <c r="L9" s="9" t="n"/>
      <c r="M9" s="9" t="n"/>
      <c r="N9" s="10" t="n"/>
      <c r="O9" s="9" t="n"/>
      <c r="Q9" s="8" t="n"/>
      <c r="R9" s="7" t="n"/>
      <c r="S9" s="9" t="n"/>
      <c r="U9" s="8" t="n"/>
      <c r="V9" s="11" t="n"/>
      <c r="W9" s="7" t="n"/>
      <c r="X9" s="9" t="n"/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  <c r="I10" s="9" t="n"/>
      <c r="J10" s="9" t="n"/>
      <c r="K10" s="9" t="n"/>
      <c r="L10" s="9" t="n"/>
      <c r="M10" s="9" t="n"/>
      <c r="N10" s="10" t="n"/>
      <c r="O10" s="9" t="n"/>
      <c r="Q10" s="8" t="n"/>
      <c r="R10" s="7" t="n"/>
      <c r="S10" s="9" t="n"/>
      <c r="U10" s="8" t="n"/>
      <c r="V10" s="11" t="n"/>
      <c r="W10" s="7" t="n"/>
      <c r="X10" s="9" t="n"/>
    </row>
    <row r="11">
      <c r="A11" s="7" t="n"/>
      <c r="B11" s="8" t="n"/>
      <c r="C11" s="8" t="n"/>
      <c r="D11" s="8" t="n"/>
      <c r="E11" s="8" t="n"/>
      <c r="F11" s="8" t="n"/>
      <c r="G11" s="8" t="n"/>
      <c r="H11" s="8" t="n"/>
      <c r="I11" s="9" t="n"/>
      <c r="J11" s="9" t="n"/>
      <c r="K11" s="9" t="n"/>
      <c r="L11" s="9" t="n"/>
      <c r="M11" s="9" t="n"/>
      <c r="N11" s="10" t="n"/>
      <c r="O11" s="9" t="n"/>
      <c r="Q11" s="8" t="n"/>
      <c r="R11" s="7" t="n"/>
      <c r="S11" s="9" t="n"/>
      <c r="U11" s="8" t="n"/>
      <c r="V11" s="11" t="n"/>
      <c r="W11" s="7" t="n"/>
      <c r="X11" s="9" t="n"/>
    </row>
    <row r="12">
      <c r="A12" s="7" t="n"/>
      <c r="B12" s="8" t="n"/>
      <c r="C12" s="8" t="n"/>
      <c r="D12" s="8" t="n"/>
      <c r="E12" s="8" t="n"/>
      <c r="F12" s="8" t="n"/>
      <c r="G12" s="8" t="n"/>
      <c r="H12" s="8" t="n"/>
      <c r="I12" s="9" t="n"/>
      <c r="J12" s="9" t="n"/>
      <c r="K12" s="9" t="n"/>
      <c r="L12" s="9" t="n"/>
      <c r="M12" s="9" t="n"/>
      <c r="N12" s="10" t="n"/>
      <c r="O12" s="9" t="n"/>
      <c r="Q12" s="8" t="n"/>
      <c r="R12" s="7" t="n"/>
      <c r="S12" s="9" t="n"/>
      <c r="U12" s="8" t="n"/>
      <c r="V12" s="11" t="n"/>
      <c r="W12" s="7" t="n"/>
      <c r="X12" s="9" t="n"/>
    </row>
    <row r="13">
      <c r="A13" s="7" t="n"/>
      <c r="B13" s="8" t="n"/>
      <c r="C13" s="8" t="n"/>
      <c r="D13" s="8" t="n"/>
      <c r="E13" s="8" t="n"/>
      <c r="F13" s="8" t="n"/>
      <c r="G13" s="8" t="n"/>
      <c r="H13" s="8" t="n"/>
      <c r="I13" s="9" t="n"/>
      <c r="J13" s="9" t="n"/>
      <c r="K13" s="9" t="n"/>
      <c r="L13" s="9" t="n"/>
      <c r="M13" s="9" t="n"/>
      <c r="N13" s="10" t="n"/>
      <c r="O13" s="9" t="n"/>
      <c r="Q13" s="8" t="n"/>
      <c r="R13" s="7" t="n"/>
      <c r="S13" s="9" t="n"/>
      <c r="U13" s="8" t="n"/>
      <c r="V13" s="11" t="n"/>
      <c r="W13" s="7" t="n"/>
      <c r="X13" s="9" t="n"/>
    </row>
    <row r="14">
      <c r="A14" s="7" t="n"/>
      <c r="B14" s="8" t="n"/>
      <c r="C14" s="8" t="n"/>
      <c r="D14" s="8" t="n"/>
      <c r="E14" s="8" t="n"/>
      <c r="F14" s="8" t="n"/>
      <c r="G14" s="8" t="n"/>
      <c r="H14" s="8" t="n"/>
      <c r="I14" s="9" t="n"/>
      <c r="J14" s="9" t="n"/>
      <c r="K14" s="9" t="n"/>
      <c r="L14" s="9" t="n"/>
      <c r="M14" s="9" t="n"/>
      <c r="N14" s="10" t="n"/>
      <c r="O14" s="9" t="n"/>
      <c r="Q14" s="8" t="n"/>
      <c r="R14" s="7" t="n"/>
      <c r="S14" s="9" t="n"/>
      <c r="U14" s="8" t="n"/>
      <c r="V14" s="11" t="n"/>
      <c r="W14" s="7" t="n"/>
      <c r="X14" s="9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9" t="n"/>
      <c r="J15" s="9" t="n"/>
      <c r="K15" s="9" t="n"/>
      <c r="L15" s="9" t="n"/>
      <c r="M15" s="9" t="n"/>
      <c r="N15" s="10" t="n"/>
      <c r="O15" s="9" t="n"/>
      <c r="Q15" s="8" t="n"/>
      <c r="R15" s="7" t="n"/>
      <c r="S15" s="9" t="n"/>
      <c r="U15" s="8" t="n"/>
      <c r="V15" s="11" t="n"/>
      <c r="W15" s="7" t="n"/>
      <c r="X15" s="9" t="n"/>
    </row>
    <row r="16">
      <c r="A16" s="7" t="n"/>
      <c r="B16" s="8" t="n"/>
      <c r="C16" s="8" t="n"/>
      <c r="D16" s="8" t="n"/>
      <c r="E16" s="8" t="n"/>
      <c r="F16" s="8" t="n"/>
      <c r="G16" s="8" t="n"/>
      <c r="H16" s="8" t="n"/>
      <c r="I16" s="9" t="n"/>
      <c r="J16" s="9" t="n"/>
      <c r="K16" s="9" t="n"/>
      <c r="L16" s="9" t="n"/>
      <c r="M16" s="9" t="n"/>
      <c r="N16" s="10" t="n"/>
      <c r="O16" s="9" t="n"/>
      <c r="Q16" s="8" t="n"/>
      <c r="R16" s="7" t="n"/>
      <c r="S16" s="9" t="n"/>
      <c r="U16" s="8" t="n"/>
      <c r="V16" s="11" t="n"/>
      <c r="W16" s="7" t="n"/>
      <c r="X16" s="9" t="n"/>
    </row>
    <row r="17">
      <c r="A17" s="7" t="n"/>
      <c r="B17" s="8" t="n"/>
      <c r="C17" s="8" t="n"/>
      <c r="D17" s="8" t="n"/>
      <c r="E17" s="8" t="n"/>
      <c r="F17" s="8" t="n"/>
      <c r="G17" s="8" t="n"/>
      <c r="H17" s="8" t="n"/>
      <c r="I17" s="9" t="n"/>
      <c r="J17" s="9" t="n"/>
      <c r="K17" s="9" t="n"/>
      <c r="L17" s="9" t="n"/>
      <c r="M17" s="9" t="n"/>
      <c r="N17" s="10" t="n"/>
      <c r="O17" s="9" t="n"/>
      <c r="Q17" s="8" t="n"/>
      <c r="R17" s="7" t="n"/>
      <c r="S17" s="9" t="n"/>
      <c r="U17" s="8" t="n"/>
      <c r="V17" s="11" t="n"/>
      <c r="W17" s="7" t="n"/>
      <c r="X17" s="9" t="n"/>
    </row>
    <row r="18">
      <c r="A18" s="7" t="n"/>
      <c r="B18" s="8" t="n"/>
      <c r="C18" s="8" t="n"/>
      <c r="D18" s="8" t="n"/>
      <c r="E18" s="8" t="n"/>
      <c r="F18" s="8" t="n"/>
      <c r="G18" s="8" t="n"/>
      <c r="H18" s="8" t="n"/>
      <c r="I18" s="9" t="n"/>
      <c r="J18" s="9" t="n"/>
      <c r="K18" s="9" t="n"/>
      <c r="L18" s="9" t="n"/>
      <c r="M18" s="9" t="n"/>
      <c r="N18" s="10" t="n"/>
      <c r="O18" s="9" t="n"/>
      <c r="Q18" s="8" t="n"/>
      <c r="R18" s="7" t="n"/>
      <c r="S18" s="9" t="n"/>
      <c r="U18" s="8" t="n"/>
      <c r="V18" s="11" t="n"/>
      <c r="W18" s="7" t="n"/>
      <c r="X18" s="9" t="n"/>
    </row>
    <row r="19">
      <c r="A19" s="7" t="n"/>
      <c r="B19" s="8" t="n"/>
      <c r="C19" s="8" t="n"/>
      <c r="D19" s="8" t="n"/>
      <c r="E19" s="8" t="n"/>
      <c r="F19" s="8" t="n"/>
      <c r="G19" s="8" t="n"/>
      <c r="H19" s="8" t="n"/>
      <c r="I19" s="9" t="n"/>
      <c r="J19" s="9" t="n"/>
      <c r="K19" s="9" t="n"/>
      <c r="L19" s="9" t="n"/>
      <c r="M19" s="9" t="n"/>
      <c r="N19" s="10" t="n"/>
      <c r="O19" s="9" t="n"/>
      <c r="Q19" s="8" t="n"/>
      <c r="R19" s="7" t="n"/>
      <c r="S19" s="9" t="n"/>
      <c r="U19" s="8" t="n"/>
      <c r="V19" s="11" t="n"/>
      <c r="W19" s="7" t="n"/>
      <c r="X19" s="9" t="n"/>
    </row>
    <row r="20">
      <c r="A20" s="7" t="n"/>
      <c r="B20" s="8" t="n"/>
      <c r="C20" s="8" t="n"/>
      <c r="D20" s="8" t="n"/>
      <c r="E20" s="8" t="n"/>
      <c r="F20" s="8" t="n"/>
      <c r="G20" s="8" t="n"/>
      <c r="H20" s="8" t="n"/>
      <c r="I20" s="9" t="n"/>
      <c r="J20" s="9" t="n"/>
      <c r="K20" s="9" t="n"/>
      <c r="L20" s="9" t="n"/>
      <c r="M20" s="9" t="n"/>
      <c r="N20" s="10" t="n"/>
      <c r="O20" s="9" t="n"/>
      <c r="Q20" s="8" t="n"/>
      <c r="R20" s="7" t="n"/>
      <c r="S20" s="9" t="n"/>
      <c r="U20" s="8" t="n"/>
      <c r="V20" s="11" t="n"/>
      <c r="W20" s="7" t="n"/>
      <c r="X20" s="9" t="n"/>
    </row>
    <row r="21">
      <c r="A21" s="7" t="n"/>
      <c r="B21" s="8" t="n"/>
      <c r="C21" s="8" t="n"/>
      <c r="D21" s="8" t="n"/>
      <c r="E21" s="8" t="n"/>
      <c r="F21" s="8" t="n"/>
      <c r="G21" s="8" t="n"/>
      <c r="H21" s="8" t="n"/>
      <c r="I21" s="9" t="n"/>
      <c r="J21" s="9" t="n"/>
      <c r="K21" s="9" t="n"/>
      <c r="L21" s="9" t="n"/>
      <c r="M21" s="9" t="n"/>
      <c r="N21" s="10" t="n"/>
      <c r="O21" s="9" t="n"/>
      <c r="Q21" s="8" t="n"/>
      <c r="R21" s="7" t="n"/>
      <c r="S21" s="9" t="n"/>
      <c r="U21" s="8" t="n"/>
      <c r="V21" s="11" t="n"/>
      <c r="W21" s="7" t="n"/>
      <c r="X21" s="9" t="n"/>
    </row>
    <row r="22">
      <c r="A22" s="7" t="n"/>
      <c r="B22" s="8" t="n"/>
      <c r="C22" s="8" t="n"/>
      <c r="D22" s="8" t="n"/>
      <c r="E22" s="8" t="n"/>
      <c r="F22" s="8" t="n"/>
      <c r="G22" s="8" t="n"/>
      <c r="H22" s="8" t="n"/>
      <c r="I22" s="9" t="n"/>
      <c r="J22" s="9" t="n"/>
      <c r="K22" s="9" t="n"/>
      <c r="L22" s="9" t="n"/>
      <c r="M22" s="9" t="n"/>
      <c r="N22" s="10" t="n"/>
      <c r="O22" s="9" t="n"/>
      <c r="Q22" s="8" t="n"/>
      <c r="R22" s="7" t="n"/>
      <c r="S22" s="9" t="n"/>
      <c r="U22" s="8" t="n"/>
      <c r="V22" s="11" t="n"/>
      <c r="W22" s="7" t="n"/>
      <c r="X22" s="9" t="n"/>
    </row>
    <row r="23">
      <c r="A23" s="7" t="n"/>
      <c r="B23" s="8" t="n"/>
      <c r="C23" s="8" t="n"/>
      <c r="D23" s="8" t="n"/>
      <c r="E23" s="8" t="n"/>
      <c r="F23" s="8" t="n"/>
      <c r="G23" s="8" t="n"/>
      <c r="H23" s="8" t="n"/>
      <c r="I23" s="9" t="n"/>
      <c r="J23" s="9" t="n"/>
      <c r="K23" s="9" t="n"/>
      <c r="L23" s="9" t="n"/>
      <c r="M23" s="9" t="n"/>
      <c r="N23" s="10" t="n"/>
      <c r="O23" s="9" t="n"/>
      <c r="Q23" s="8" t="n"/>
      <c r="R23" s="7" t="n"/>
      <c r="S23" s="9" t="n"/>
      <c r="U23" s="8" t="n"/>
      <c r="V23" s="11" t="n"/>
      <c r="W23" s="7" t="n"/>
      <c r="X23" s="9" t="n"/>
    </row>
    <row r="24">
      <c r="A24" s="7" t="n"/>
      <c r="B24" s="8" t="n"/>
      <c r="C24" s="8" t="n"/>
      <c r="D24" s="8" t="n"/>
      <c r="E24" s="8" t="n"/>
      <c r="F24" s="8" t="n"/>
      <c r="G24" s="8" t="n"/>
      <c r="H24" s="8" t="n"/>
      <c r="I24" s="9" t="n"/>
      <c r="J24" s="9" t="n"/>
      <c r="K24" s="9" t="n"/>
      <c r="L24" s="9" t="n"/>
      <c r="M24" s="9" t="n"/>
      <c r="N24" s="10" t="n"/>
      <c r="O24" s="9" t="n"/>
      <c r="Q24" s="8" t="n"/>
      <c r="R24" s="7" t="n"/>
      <c r="S24" s="9" t="n"/>
      <c r="U24" s="8" t="n"/>
      <c r="V24" s="11" t="n"/>
      <c r="W24" s="7" t="n"/>
      <c r="X24" s="9" t="n"/>
    </row>
    <row r="25">
      <c r="A25" s="7" t="n"/>
      <c r="B25" s="8" t="n"/>
      <c r="C25" s="8" t="n"/>
      <c r="D25" s="8" t="n"/>
      <c r="E25" s="8" t="n"/>
      <c r="F25" s="8" t="n"/>
      <c r="G25" s="8" t="n"/>
      <c r="H25" s="8" t="n"/>
      <c r="I25" s="9" t="n"/>
      <c r="J25" s="9" t="n"/>
      <c r="K25" s="9" t="n"/>
      <c r="L25" s="9" t="n"/>
      <c r="M25" s="9" t="n"/>
      <c r="N25" s="10" t="n"/>
      <c r="O25" s="9" t="n"/>
      <c r="Q25" s="8" t="n"/>
      <c r="R25" s="7" t="n"/>
      <c r="S25" s="9" t="n"/>
      <c r="U25" s="8" t="n"/>
      <c r="V25" s="11" t="n"/>
      <c r="W25" s="7" t="n"/>
      <c r="X25" s="9" t="n"/>
    </row>
    <row r="26">
      <c r="A26" s="7" t="n"/>
      <c r="B26" s="8" t="n"/>
      <c r="C26" s="8" t="n"/>
      <c r="D26" s="8" t="n"/>
      <c r="E26" s="8" t="n"/>
      <c r="F26" s="8" t="n"/>
      <c r="G26" s="8" t="n"/>
      <c r="H26" s="8" t="n"/>
      <c r="I26" s="9" t="n"/>
      <c r="J26" s="9" t="n"/>
      <c r="K26" s="9" t="n"/>
      <c r="L26" s="9" t="n"/>
      <c r="M26" s="9" t="n"/>
      <c r="N26" s="10" t="n"/>
      <c r="O26" s="9" t="n"/>
      <c r="Q26" s="8" t="n"/>
      <c r="R26" s="7" t="n"/>
      <c r="S26" s="9" t="n"/>
      <c r="U26" s="8" t="n"/>
      <c r="V26" s="11" t="n"/>
      <c r="W26" s="7" t="n"/>
      <c r="X26" s="9" t="n"/>
    </row>
    <row r="27">
      <c r="A27" s="7" t="n"/>
      <c r="B27" s="8" t="n"/>
      <c r="C27" s="8" t="n"/>
      <c r="D27" s="8" t="n"/>
      <c r="E27" s="8" t="n"/>
      <c r="F27" s="8" t="n"/>
      <c r="G27" s="8" t="n"/>
      <c r="H27" s="8" t="n"/>
      <c r="I27" s="9" t="n"/>
      <c r="J27" s="9" t="n"/>
      <c r="K27" s="9" t="n"/>
      <c r="L27" s="9" t="n"/>
      <c r="M27" s="9" t="n"/>
      <c r="N27" s="10" t="n"/>
      <c r="O27" s="9" t="n"/>
      <c r="Q27" s="8" t="n"/>
      <c r="R27" s="7" t="n"/>
      <c r="S27" s="9" t="n"/>
      <c r="U27" s="8" t="n"/>
      <c r="V27" s="11" t="n"/>
      <c r="W27" s="7" t="n"/>
      <c r="X27" s="9" t="n"/>
    </row>
    <row r="28">
      <c r="A28" s="7" t="n"/>
      <c r="B28" s="8" t="n"/>
      <c r="C28" s="8" t="n"/>
      <c r="D28" s="8" t="n"/>
      <c r="E28" s="8" t="n"/>
      <c r="F28" s="8" t="n"/>
      <c r="G28" s="8" t="n"/>
      <c r="H28" s="8" t="n"/>
      <c r="I28" s="9" t="n"/>
      <c r="J28" s="9" t="n"/>
      <c r="K28" s="9" t="n"/>
      <c r="L28" s="9" t="n"/>
      <c r="M28" s="9" t="n"/>
      <c r="N28" s="10" t="n"/>
      <c r="O28" s="9" t="n"/>
      <c r="Q28" s="8" t="n"/>
      <c r="R28" s="7" t="n"/>
      <c r="S28" s="9" t="n"/>
      <c r="U28" s="8" t="n"/>
      <c r="V28" s="11" t="n"/>
      <c r="W28" s="7" t="n"/>
      <c r="X28" s="9" t="n"/>
    </row>
    <row r="29">
      <c r="A29" s="7" t="n"/>
      <c r="B29" s="8" t="n"/>
      <c r="C29" s="8" t="n"/>
      <c r="D29" s="8" t="n"/>
      <c r="E29" s="8" t="n"/>
      <c r="F29" s="8" t="n"/>
      <c r="G29" s="8" t="n"/>
      <c r="H29" s="8" t="n"/>
      <c r="I29" s="9" t="n"/>
      <c r="J29" s="9" t="n"/>
      <c r="K29" s="9" t="n"/>
      <c r="L29" s="9" t="n"/>
      <c r="M29" s="9" t="n"/>
      <c r="N29" s="10" t="n"/>
      <c r="O29" s="9" t="n"/>
      <c r="Q29" s="8" t="n"/>
      <c r="R29" s="7" t="n"/>
      <c r="S29" s="9" t="n"/>
      <c r="U29" s="8" t="n"/>
      <c r="V29" s="11" t="n"/>
      <c r="W29" s="7" t="n"/>
      <c r="X29" s="9" t="n"/>
    </row>
    <row r="30">
      <c r="A30" s="7" t="n"/>
      <c r="B30" s="8" t="n"/>
      <c r="C30" s="8" t="n"/>
      <c r="D30" s="8" t="n"/>
      <c r="E30" s="8" t="n"/>
      <c r="F30" s="8" t="n"/>
      <c r="G30" s="8" t="n"/>
      <c r="H30" s="8" t="n"/>
      <c r="I30" s="9" t="n"/>
      <c r="J30" s="9" t="n"/>
      <c r="K30" s="9" t="n"/>
      <c r="L30" s="9" t="n"/>
      <c r="M30" s="9" t="n"/>
      <c r="N30" s="10" t="n"/>
      <c r="O30" s="9" t="n"/>
      <c r="Q30" s="8" t="n"/>
      <c r="R30" s="7" t="n"/>
      <c r="S30" s="9" t="n"/>
      <c r="U30" s="8" t="n"/>
      <c r="V30" s="11" t="n"/>
      <c r="W30" s="7" t="n"/>
      <c r="X30" s="9" t="n"/>
    </row>
    <row r="31">
      <c r="A31" s="7" t="n"/>
      <c r="B31" s="8" t="n"/>
      <c r="C31" s="8" t="n"/>
      <c r="D31" s="8" t="n"/>
      <c r="E31" s="8" t="n"/>
      <c r="F31" s="8" t="n"/>
      <c r="G31" s="8" t="n"/>
      <c r="H31" s="8" t="n"/>
      <c r="I31" s="9" t="n"/>
      <c r="J31" s="9" t="n"/>
      <c r="K31" s="9" t="n"/>
      <c r="L31" s="9" t="n"/>
      <c r="M31" s="9" t="n"/>
      <c r="N31" s="10" t="n"/>
      <c r="O31" s="9" t="n"/>
      <c r="Q31" s="8" t="n"/>
      <c r="R31" s="7" t="n"/>
      <c r="S31" s="9" t="n"/>
      <c r="U31" s="8" t="n"/>
      <c r="V31" s="11" t="n"/>
      <c r="W31" s="7" t="n"/>
      <c r="X31" s="9" t="n"/>
    </row>
    <row r="32">
      <c r="A32" s="7" t="n"/>
      <c r="B32" s="8" t="n"/>
      <c r="C32" s="8" t="n"/>
      <c r="D32" s="8" t="n"/>
      <c r="E32" s="8" t="n"/>
      <c r="F32" s="8" t="n"/>
      <c r="G32" s="8" t="n"/>
      <c r="H32" s="8" t="n"/>
      <c r="I32" s="9" t="n"/>
      <c r="J32" s="9" t="n"/>
      <c r="K32" s="9" t="n"/>
      <c r="L32" s="9" t="n"/>
      <c r="M32" s="9" t="n"/>
      <c r="N32" s="10" t="n"/>
      <c r="O32" s="9" t="n"/>
      <c r="Q32" s="8" t="n"/>
      <c r="R32" s="7" t="n"/>
      <c r="S32" s="9" t="n"/>
      <c r="U32" s="8" t="n"/>
      <c r="V32" s="11" t="n"/>
      <c r="W32" s="7" t="n"/>
      <c r="X32" s="9" t="n"/>
    </row>
    <row r="33">
      <c r="A33" s="7" t="n"/>
      <c r="B33" s="8" t="n"/>
      <c r="C33" s="8" t="n"/>
      <c r="D33" s="8" t="n"/>
      <c r="E33" s="8" t="n"/>
      <c r="F33" s="8" t="n"/>
      <c r="G33" s="8" t="n"/>
      <c r="H33" s="8" t="n"/>
      <c r="I33" s="9" t="n"/>
      <c r="J33" s="9" t="n"/>
      <c r="K33" s="9" t="n"/>
      <c r="L33" s="9" t="n"/>
      <c r="M33" s="9" t="n"/>
      <c r="N33" s="10" t="n"/>
      <c r="O33" s="9" t="n"/>
    </row>
    <row r="34">
      <c r="A34" s="7" t="n"/>
      <c r="B34" s="8" t="n"/>
      <c r="C34" s="8" t="n"/>
      <c r="D34" s="8" t="n"/>
      <c r="E34" s="8" t="n"/>
      <c r="F34" s="8" t="n"/>
      <c r="G34" s="8" t="n"/>
      <c r="H34" s="8" t="n"/>
      <c r="I34" s="9" t="n"/>
      <c r="J34" s="9" t="n"/>
      <c r="K34" s="9" t="n"/>
      <c r="L34" s="9" t="n"/>
      <c r="M34" s="9" t="n"/>
      <c r="N34" s="10" t="n"/>
      <c r="O34" s="9" t="n"/>
    </row>
    <row r="35">
      <c r="A35" s="7" t="n"/>
      <c r="B35" s="8" t="n"/>
      <c r="C35" s="8" t="n"/>
      <c r="D35" s="8" t="n"/>
      <c r="E35" s="8" t="n"/>
      <c r="F35" s="8" t="n"/>
      <c r="G35" s="8" t="n"/>
      <c r="H35" s="8" t="n"/>
      <c r="I35" s="9" t="n"/>
      <c r="J35" s="9" t="n"/>
      <c r="K35" s="9" t="n"/>
      <c r="L35" s="9" t="n"/>
      <c r="M35" s="9" t="n"/>
      <c r="N35" s="10" t="n"/>
      <c r="O35" s="9" t="n"/>
    </row>
    <row r="36">
      <c r="A36" s="7" t="n"/>
      <c r="B36" s="8" t="n"/>
      <c r="C36" s="8" t="n"/>
      <c r="D36" s="8" t="n"/>
      <c r="E36" s="8" t="n"/>
      <c r="F36" s="8" t="n"/>
      <c r="G36" s="8" t="n"/>
      <c r="H36" s="8" t="n"/>
      <c r="I36" s="9" t="n"/>
      <c r="J36" s="9" t="n"/>
      <c r="K36" s="9" t="n"/>
      <c r="L36" s="9" t="n"/>
      <c r="M36" s="9" t="n"/>
      <c r="N36" s="10" t="n"/>
      <c r="O36" s="9" t="n"/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  <c r="I37" s="9" t="n"/>
      <c r="J37" s="9" t="n"/>
      <c r="K37" s="9" t="n"/>
      <c r="L37" s="9" t="n"/>
      <c r="M37" s="9" t="n"/>
      <c r="N37" s="10" t="n"/>
      <c r="O37" s="9" t="n"/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  <c r="I38" s="9" t="n"/>
      <c r="J38" s="9" t="n"/>
      <c r="K38" s="9" t="n"/>
      <c r="L38" s="9" t="n"/>
      <c r="M38" s="9" t="n"/>
      <c r="N38" s="10" t="n"/>
      <c r="O38" s="9" t="n"/>
    </row>
    <row r="39">
      <c r="A39" s="7" t="n"/>
      <c r="B39" s="8" t="n"/>
      <c r="C39" s="8" t="n"/>
      <c r="D39" s="8" t="n"/>
      <c r="E39" s="8" t="n"/>
      <c r="F39" s="8" t="n"/>
      <c r="G39" s="8" t="n"/>
      <c r="H39" s="8" t="n"/>
      <c r="I39" s="9" t="n"/>
      <c r="J39" s="9" t="n"/>
      <c r="K39" s="9" t="n"/>
      <c r="L39" s="9" t="n"/>
      <c r="M39" s="9" t="n"/>
      <c r="N39" s="10" t="n"/>
      <c r="O39" s="9" t="n"/>
    </row>
    <row r="40">
      <c r="A40" s="7" t="n"/>
      <c r="B40" s="8" t="n"/>
      <c r="C40" s="8" t="n"/>
      <c r="D40" s="8" t="n"/>
      <c r="E40" s="8" t="n"/>
      <c r="F40" s="8" t="n"/>
      <c r="G40" s="8" t="n"/>
      <c r="H40" s="8" t="n"/>
      <c r="I40" s="9" t="n"/>
      <c r="J40" s="9" t="n"/>
      <c r="K40" s="9" t="n"/>
      <c r="L40" s="9" t="n"/>
      <c r="M40" s="9" t="n"/>
      <c r="N40" s="10" t="n"/>
      <c r="O40" s="9" t="n"/>
    </row>
    <row r="41">
      <c r="A41" s="7" t="n"/>
      <c r="B41" s="8" t="n"/>
      <c r="C41" s="8" t="n"/>
      <c r="D41" s="8" t="n"/>
      <c r="E41" s="8" t="n"/>
      <c r="F41" s="8" t="n"/>
      <c r="G41" s="8" t="n"/>
      <c r="H41" s="8" t="n"/>
      <c r="I41" s="9" t="n"/>
      <c r="J41" s="9" t="n"/>
      <c r="K41" s="9" t="n"/>
      <c r="L41" s="9" t="n"/>
      <c r="M41" s="9" t="n"/>
      <c r="N41" s="10" t="n"/>
      <c r="O41" s="9" t="n"/>
    </row>
    <row r="42">
      <c r="A42" s="7" t="n"/>
      <c r="B42" s="8" t="n"/>
      <c r="C42" s="8" t="n"/>
      <c r="D42" s="8" t="n"/>
      <c r="E42" s="8" t="n"/>
      <c r="F42" s="8" t="n"/>
      <c r="G42" s="8" t="n"/>
      <c r="H42" s="8" t="n"/>
      <c r="I42" s="9" t="n"/>
      <c r="J42" s="9" t="n"/>
      <c r="K42" s="9" t="n"/>
      <c r="L42" s="9" t="n"/>
      <c r="M42" s="9" t="n"/>
      <c r="N42" s="10" t="n"/>
      <c r="O42" s="9" t="n"/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  <c r="I43" s="9" t="n"/>
      <c r="J43" s="9" t="n"/>
      <c r="K43" s="9" t="n"/>
      <c r="L43" s="9" t="n"/>
      <c r="M43" s="9" t="n"/>
      <c r="N43" s="10" t="n"/>
      <c r="O43" s="9" t="n"/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  <c r="I44" s="9" t="n"/>
      <c r="J44" s="9" t="n"/>
      <c r="K44" s="9" t="n"/>
      <c r="L44" s="9" t="n"/>
      <c r="M44" s="9" t="n"/>
      <c r="N44" s="10" t="n"/>
      <c r="O44" s="9" t="n"/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  <c r="I45" s="9" t="n"/>
      <c r="J45" s="9" t="n"/>
      <c r="K45" s="9" t="n"/>
      <c r="L45" s="9" t="n"/>
      <c r="M45" s="9" t="n"/>
      <c r="N45" s="10" t="n"/>
      <c r="O45" s="9" t="n"/>
    </row>
    <row r="46">
      <c r="A46" s="7" t="n"/>
      <c r="B46" s="8" t="n"/>
      <c r="C46" s="8" t="n"/>
      <c r="D46" s="8" t="n"/>
      <c r="E46" s="8" t="n"/>
      <c r="F46" s="8" t="n"/>
      <c r="G46" s="8" t="n"/>
      <c r="H46" s="8" t="n"/>
      <c r="I46" s="9" t="n"/>
      <c r="J46" s="9" t="n"/>
      <c r="K46" s="9" t="n"/>
      <c r="L46" s="9" t="n"/>
      <c r="M46" s="9" t="n"/>
      <c r="N46" s="10" t="n"/>
      <c r="O46" s="9" t="n"/>
    </row>
    <row r="47">
      <c r="A47" s="7" t="n"/>
      <c r="B47" s="8" t="n"/>
      <c r="C47" s="8" t="n"/>
      <c r="D47" s="8" t="n"/>
      <c r="E47" s="8" t="n"/>
      <c r="F47" s="8" t="n"/>
      <c r="G47" s="8" t="n"/>
      <c r="H47" s="8" t="n"/>
      <c r="I47" s="9" t="n"/>
      <c r="J47" s="9" t="n"/>
      <c r="K47" s="9" t="n"/>
      <c r="L47" s="9" t="n"/>
      <c r="M47" s="9" t="n"/>
      <c r="N47" s="10" t="n"/>
      <c r="O47" s="9" t="n"/>
    </row>
    <row r="48">
      <c r="A48" s="7" t="n"/>
      <c r="B48" s="8" t="n"/>
      <c r="C48" s="8" t="n"/>
      <c r="D48" s="8" t="n"/>
      <c r="E48" s="8" t="n"/>
      <c r="F48" s="8" t="n"/>
      <c r="G48" s="8" t="n"/>
      <c r="H48" s="8" t="n"/>
      <c r="I48" s="9" t="n"/>
      <c r="J48" s="9" t="n"/>
      <c r="K48" s="9" t="n"/>
      <c r="L48" s="9" t="n"/>
      <c r="M48" s="9" t="n"/>
      <c r="N48" s="10" t="n"/>
      <c r="O48" s="9" t="n"/>
    </row>
    <row r="49">
      <c r="A49" s="7" t="n"/>
      <c r="B49" s="8" t="n"/>
      <c r="C49" s="8" t="n"/>
      <c r="D49" s="8" t="n"/>
      <c r="E49" s="8" t="n"/>
      <c r="F49" s="8" t="n"/>
      <c r="G49" s="8" t="n"/>
      <c r="H49" s="8" t="n"/>
      <c r="I49" s="9" t="n"/>
      <c r="J49" s="9" t="n"/>
      <c r="K49" s="9" t="n"/>
      <c r="L49" s="9" t="n"/>
      <c r="M49" s="9" t="n"/>
      <c r="N49" s="10" t="n"/>
      <c r="O49" s="9" t="n"/>
    </row>
    <row r="50">
      <c r="A50" s="7" t="n"/>
      <c r="B50" s="8" t="n"/>
      <c r="C50" s="8" t="n"/>
      <c r="D50" s="8" t="n"/>
      <c r="E50" s="8" t="n"/>
      <c r="F50" s="8" t="n"/>
      <c r="G50" s="8" t="n"/>
      <c r="H50" s="8" t="n"/>
      <c r="I50" s="9" t="n"/>
      <c r="J50" s="9" t="n"/>
      <c r="K50" s="9" t="n"/>
      <c r="L50" s="9" t="n"/>
      <c r="M50" s="9" t="n"/>
      <c r="N50" s="10" t="n"/>
      <c r="O50" s="9" t="n"/>
    </row>
    <row r="51">
      <c r="A51" s="7" t="n"/>
      <c r="B51" s="8" t="n"/>
      <c r="C51" s="8" t="n"/>
      <c r="D51" s="8" t="n"/>
      <c r="E51" s="8" t="n"/>
      <c r="F51" s="8" t="n"/>
      <c r="G51" s="8" t="n"/>
      <c r="H51" s="8" t="n"/>
      <c r="I51" s="9" t="n"/>
      <c r="J51" s="9" t="n"/>
      <c r="K51" s="9" t="n"/>
      <c r="L51" s="9" t="n"/>
      <c r="M51" s="9" t="n"/>
      <c r="N51" s="10" t="n"/>
      <c r="O51" s="9" t="n"/>
    </row>
    <row r="52">
      <c r="A52" s="7" t="n"/>
      <c r="B52" s="8" t="n"/>
      <c r="C52" s="8" t="n"/>
      <c r="D52" s="8" t="n"/>
      <c r="E52" s="8" t="n"/>
      <c r="F52" s="8" t="n"/>
      <c r="G52" s="8" t="n"/>
      <c r="H52" s="8" t="n"/>
      <c r="I52" s="9" t="n"/>
      <c r="J52" s="9" t="n"/>
      <c r="K52" s="9" t="n"/>
      <c r="L52" s="9" t="n"/>
      <c r="M52" s="9" t="n"/>
      <c r="N52" s="10" t="n"/>
      <c r="O52" s="9" t="n"/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  <c r="I53" s="9" t="n"/>
      <c r="J53" s="9" t="n"/>
      <c r="K53" s="9" t="n"/>
      <c r="L53" s="9" t="n"/>
      <c r="M53" s="9" t="n"/>
      <c r="N53" s="10" t="n"/>
      <c r="O53" s="9" t="n"/>
    </row>
    <row r="54">
      <c r="A54" s="7" t="n"/>
      <c r="B54" s="8" t="n"/>
      <c r="C54" s="8" t="n"/>
      <c r="D54" s="8" t="n"/>
      <c r="E54" s="8" t="n"/>
      <c r="F54" s="8" t="n"/>
      <c r="G54" s="8" t="n"/>
      <c r="H54" s="8" t="n"/>
      <c r="I54" s="9" t="n"/>
      <c r="J54" s="9" t="n"/>
      <c r="K54" s="9" t="n"/>
      <c r="L54" s="9" t="n"/>
      <c r="M54" s="9" t="n"/>
      <c r="N54" s="10" t="n"/>
      <c r="O54" s="9" t="n"/>
    </row>
    <row r="55">
      <c r="A55" s="7" t="n"/>
      <c r="B55" s="8" t="n"/>
      <c r="C55" s="8" t="n"/>
      <c r="D55" s="8" t="n"/>
      <c r="E55" s="8" t="n"/>
      <c r="F55" s="8" t="n"/>
      <c r="G55" s="8" t="n"/>
      <c r="H55" s="8" t="n"/>
      <c r="I55" s="9" t="n"/>
      <c r="J55" s="9" t="n"/>
      <c r="K55" s="9" t="n"/>
      <c r="L55" s="9" t="n"/>
      <c r="M55" s="9" t="n"/>
      <c r="N55" s="10" t="n"/>
      <c r="O55" s="9" t="n"/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  <c r="I56" s="9" t="n"/>
      <c r="J56" s="9" t="n"/>
      <c r="K56" s="9" t="n"/>
      <c r="L56" s="9" t="n"/>
      <c r="M56" s="9" t="n"/>
      <c r="N56" s="10" t="n"/>
      <c r="O56" s="9" t="n"/>
    </row>
    <row r="57">
      <c r="A57" s="7" t="n"/>
      <c r="B57" s="8" t="n"/>
      <c r="C57" s="8" t="n"/>
      <c r="D57" s="8" t="n"/>
      <c r="E57" s="8" t="n"/>
      <c r="F57" s="8" t="n"/>
      <c r="G57" s="8" t="n"/>
      <c r="H57" s="8" t="n"/>
      <c r="I57" s="9" t="n"/>
      <c r="J57" s="9" t="n"/>
      <c r="K57" s="9" t="n"/>
      <c r="L57" s="9" t="n"/>
      <c r="M57" s="9" t="n"/>
      <c r="N57" s="10" t="n"/>
      <c r="O57" s="9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  <c r="I58" s="9" t="n"/>
      <c r="J58" s="9" t="n"/>
      <c r="K58" s="9" t="n"/>
      <c r="L58" s="9" t="n"/>
      <c r="M58" s="9" t="n"/>
      <c r="N58" s="10" t="n"/>
      <c r="O58" s="9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  <c r="I59" s="9" t="n"/>
      <c r="J59" s="9" t="n"/>
      <c r="K59" s="9" t="n"/>
      <c r="L59" s="9" t="n"/>
      <c r="M59" s="9" t="n"/>
      <c r="N59" s="10" t="n"/>
      <c r="O59" s="9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  <c r="I60" s="9" t="n"/>
      <c r="J60" s="9" t="n"/>
      <c r="K60" s="9" t="n"/>
      <c r="L60" s="9" t="n"/>
      <c r="M60" s="9" t="n"/>
      <c r="N60" s="10" t="n"/>
      <c r="O60" s="9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  <c r="I61" s="9" t="n"/>
      <c r="J61" s="9" t="n"/>
      <c r="K61" s="9" t="n"/>
      <c r="L61" s="9" t="n"/>
      <c r="M61" s="9" t="n"/>
      <c r="N61" s="10" t="n"/>
      <c r="O61" s="9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  <c r="I62" s="9" t="n"/>
      <c r="J62" s="9" t="n"/>
      <c r="K62" s="9" t="n"/>
      <c r="L62" s="9" t="n"/>
      <c r="M62" s="9" t="n"/>
      <c r="N62" s="10" t="n"/>
      <c r="O62" s="9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  <c r="I63" s="9" t="n"/>
      <c r="J63" s="9" t="n"/>
      <c r="K63" s="9" t="n"/>
      <c r="L63" s="9" t="n"/>
      <c r="M63" s="9" t="n"/>
      <c r="N63" s="10" t="n"/>
      <c r="O63" s="9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  <c r="I64" s="9" t="n"/>
      <c r="J64" s="9" t="n"/>
      <c r="K64" s="9" t="n"/>
      <c r="L64" s="9" t="n"/>
      <c r="M64" s="9" t="n"/>
      <c r="N64" s="10" t="n"/>
      <c r="O64" s="9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  <c r="I65" s="9" t="n"/>
      <c r="J65" s="9" t="n"/>
      <c r="K65" s="9" t="n"/>
      <c r="L65" s="9" t="n"/>
      <c r="M65" s="9" t="n"/>
      <c r="N65" s="10" t="n"/>
      <c r="O65" s="9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  <c r="I66" s="9" t="n"/>
      <c r="J66" s="9" t="n"/>
      <c r="K66" s="9" t="n"/>
      <c r="L66" s="9" t="n"/>
      <c r="M66" s="9" t="n"/>
      <c r="N66" s="10" t="n"/>
      <c r="O66" s="9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  <c r="I67" s="9" t="n"/>
      <c r="J67" s="9" t="n"/>
      <c r="K67" s="9" t="n"/>
      <c r="L67" s="9" t="n"/>
      <c r="M67" s="9" t="n"/>
      <c r="N67" s="10" t="n"/>
      <c r="O67" s="9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  <c r="I68" s="9" t="n"/>
      <c r="J68" s="9" t="n"/>
      <c r="K68" s="9" t="n"/>
      <c r="L68" s="9" t="n"/>
      <c r="M68" s="9" t="n"/>
      <c r="N68" s="10" t="n"/>
      <c r="O68" s="9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  <c r="I69" s="9" t="n"/>
      <c r="J69" s="9" t="n"/>
      <c r="K69" s="9" t="n"/>
      <c r="L69" s="9" t="n"/>
      <c r="M69" s="9" t="n"/>
      <c r="N69" s="10" t="n"/>
      <c r="O69" s="9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  <c r="I70" s="9" t="n"/>
      <c r="J70" s="9" t="n"/>
      <c r="K70" s="9" t="n"/>
      <c r="L70" s="9" t="n"/>
      <c r="M70" s="9" t="n"/>
      <c r="N70" s="10" t="n"/>
      <c r="O70" s="9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  <c r="I71" s="9" t="n"/>
      <c r="J71" s="9" t="n"/>
      <c r="K71" s="9" t="n"/>
      <c r="L71" s="9" t="n"/>
      <c r="M71" s="9" t="n"/>
      <c r="N71" s="10" t="n"/>
      <c r="O71" s="9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  <c r="I72" s="9" t="n"/>
      <c r="J72" s="9" t="n"/>
      <c r="K72" s="9" t="n"/>
      <c r="L72" s="9" t="n"/>
      <c r="M72" s="9" t="n"/>
      <c r="N72" s="10" t="n"/>
      <c r="O72" s="9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  <c r="I73" s="9" t="n"/>
      <c r="J73" s="9" t="n"/>
      <c r="K73" s="9" t="n"/>
      <c r="L73" s="9" t="n"/>
      <c r="M73" s="9" t="n"/>
      <c r="N73" s="10" t="n"/>
      <c r="O73" s="9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  <c r="I74" s="9" t="n"/>
      <c r="J74" s="9" t="n"/>
      <c r="K74" s="9" t="n"/>
      <c r="L74" s="9" t="n"/>
      <c r="M74" s="9" t="n"/>
      <c r="N74" s="10" t="n"/>
      <c r="O74" s="9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  <c r="I75" s="9" t="n"/>
      <c r="J75" s="9" t="n"/>
      <c r="K75" s="9" t="n"/>
      <c r="L75" s="9" t="n"/>
      <c r="M75" s="9" t="n"/>
      <c r="N75" s="10" t="n"/>
      <c r="O75" s="9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  <c r="I76" s="9" t="n"/>
      <c r="J76" s="9" t="n"/>
      <c r="K76" s="9" t="n"/>
      <c r="L76" s="9" t="n"/>
      <c r="M76" s="9" t="n"/>
      <c r="N76" s="10" t="n"/>
      <c r="O76" s="9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  <c r="I77" s="9" t="n"/>
      <c r="J77" s="9" t="n"/>
      <c r="K77" s="9" t="n"/>
      <c r="L77" s="9" t="n"/>
      <c r="M77" s="9" t="n"/>
      <c r="N77" s="10" t="n"/>
      <c r="O77" s="9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  <c r="I78" s="9" t="n"/>
      <c r="J78" s="9" t="n"/>
      <c r="K78" s="9" t="n"/>
      <c r="L78" s="9" t="n"/>
      <c r="M78" s="9" t="n"/>
      <c r="N78" s="10" t="n"/>
      <c r="O78" s="9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  <c r="I79" s="9" t="n"/>
      <c r="J79" s="9" t="n"/>
      <c r="K79" s="9" t="n"/>
      <c r="L79" s="9" t="n"/>
      <c r="M79" s="9" t="n"/>
      <c r="N79" s="10" t="n"/>
      <c r="O79" s="9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  <c r="I80" s="9" t="n"/>
      <c r="J80" s="9" t="n"/>
      <c r="K80" s="9" t="n"/>
      <c r="L80" s="9" t="n"/>
      <c r="M80" s="9" t="n"/>
      <c r="N80" s="10" t="n"/>
      <c r="O80" s="9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  <c r="I81" s="9" t="n"/>
      <c r="J81" s="9" t="n"/>
      <c r="K81" s="9" t="n"/>
      <c r="L81" s="9" t="n"/>
      <c r="M81" s="9" t="n"/>
      <c r="N81" s="10" t="n"/>
      <c r="O81" s="9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  <c r="I82" s="9" t="n"/>
      <c r="J82" s="9" t="n"/>
      <c r="K82" s="9" t="n"/>
      <c r="L82" s="9" t="n"/>
      <c r="M82" s="9" t="n"/>
      <c r="N82" s="10" t="n"/>
      <c r="O82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22" customWidth="1" min="4" max="4"/>
    <col width="30" customWidth="1" min="5" max="5"/>
    <col width="12" customWidth="1" min="6" max="6"/>
    <col width="30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8" customWidth="1" min="14" max="14"/>
    <col width="16" customWidth="1" min="15" max="15"/>
    <col width="22" customWidth="1" min="17" max="17"/>
    <col width="14" customWidth="1" min="18" max="18"/>
    <col width="16" customWidth="1" min="19" max="19"/>
    <col width="2" customWidth="1" min="20" max="20"/>
    <col width="32" customWidth="1" min="21" max="21"/>
    <col width="22" customWidth="1" min="22" max="22"/>
    <col width="14" customWidth="1" min="23" max="23"/>
    <col width="16" customWidth="1" min="24" max="24"/>
  </cols>
  <sheetData>
    <row r="1" ht="28" customHeight="1">
      <c r="A1" s="1" t="inlineStr">
        <is>
          <t>EKIPA</t>
        </is>
      </c>
      <c r="B1" s="1" t="inlineStr">
        <is>
          <t>FOLHA DE PAGAMENTO ABRIL/2026</t>
        </is>
      </c>
      <c r="I1" s="2">
        <f>SUMIFS(tbl_dados[Provisão de Férias + 13°],tbl_dados[Tomador],$A$1)</f>
        <v/>
      </c>
      <c r="J1" s="2">
        <f>SUMIFS(tbl_dados[Provisão de Encargos],tbl_dados[Tomador],$A$1)</f>
        <v/>
      </c>
      <c r="K1" s="1" t="inlineStr">
        <is>
          <t>Soma</t>
        </is>
      </c>
      <c r="M1" s="2">
        <f>SUMIFS(tbl_dados[TT BRUTO ABRIL],tbl_dados[Tomador],$A$1)</f>
        <v/>
      </c>
      <c r="O1" s="2">
        <f>SUMIFS(tbl_dados[TT BRUTO MARÇO],tbl_dados[Tomador],$A$1)</f>
        <v/>
      </c>
    </row>
    <row r="2" ht="36" customHeight="1">
      <c r="A2" s="3" t="inlineStr">
        <is>
          <t>Qtde</t>
        </is>
      </c>
      <c r="B2" s="3" t="inlineStr">
        <is>
          <t>FUNCIONÁRIO</t>
        </is>
      </c>
      <c r="C2" s="3" t="inlineStr">
        <is>
          <t>Tipo</t>
        </is>
      </c>
      <c r="D2" s="3" t="inlineStr">
        <is>
          <t>Setor</t>
        </is>
      </c>
      <c r="E2" s="3" t="inlineStr">
        <is>
          <t xml:space="preserve">Função </t>
        </is>
      </c>
      <c r="F2" s="3" t="inlineStr">
        <is>
          <t>Status</t>
        </is>
      </c>
      <c r="G2" s="3" t="inlineStr">
        <is>
          <t>Empresa Registro</t>
        </is>
      </c>
      <c r="H2" s="3" t="inlineStr">
        <is>
          <t>CNPJ</t>
        </is>
      </c>
      <c r="I2" s="3" t="inlineStr">
        <is>
          <t>Provisão
de Férias + 13°</t>
        </is>
      </c>
      <c r="J2" s="3" t="inlineStr">
        <is>
          <t>Provisão 
de Encargos</t>
        </is>
      </c>
      <c r="K2" s="3" t="inlineStr">
        <is>
          <t>Eventos Folha
(Caixa)</t>
        </is>
      </c>
      <c r="L2" s="3" t="inlineStr">
        <is>
          <t>Sal PF</t>
        </is>
      </c>
      <c r="M2" s="3" t="inlineStr">
        <is>
          <t>TT BRUTO
ABRIL</t>
        </is>
      </c>
      <c r="N2" s="3" t="inlineStr">
        <is>
          <t>%</t>
        </is>
      </c>
      <c r="O2" s="3" t="inlineStr">
        <is>
          <t>TT BRUTO
MARÇO</t>
        </is>
      </c>
      <c r="Q2" s="3" t="inlineStr">
        <is>
          <t>MODALIDADE</t>
        </is>
      </c>
      <c r="R2" s="3" t="inlineStr">
        <is>
          <t>FUNCIONÁRIOS</t>
        </is>
      </c>
      <c r="S2" s="3" t="inlineStr">
        <is>
          <t>TT BRUTO</t>
        </is>
      </c>
      <c r="U2" s="3" t="inlineStr">
        <is>
          <t>EMPRESA</t>
        </is>
      </c>
      <c r="V2" s="3" t="inlineStr">
        <is>
          <t>CNPJ</t>
        </is>
      </c>
      <c r="W2" s="3" t="inlineStr">
        <is>
          <t>FUNCIONÁRIOS</t>
        </is>
      </c>
      <c r="X2" s="3" t="inlineStr">
        <is>
          <t>TT BRUTO</t>
        </is>
      </c>
    </row>
    <row r="3">
      <c r="A3" s="7">
        <f>IFERROR(_xlfn.SEQUENCE(ROWS(B3#)),"")</f>
        <v/>
      </c>
      <c r="B3" s="8">
        <f>IFERROR(_xlfn._xlws.SORT(_xlfn._xlws.FILTER(tbl_dados[[FUNCIONÁRIO]:[TT BRUTO ABRIL]],tbl_dados[Tomador]=$A$1),12,-1),"")</f>
        <v/>
      </c>
      <c r="C3" s="8" t="n"/>
      <c r="D3" s="8" t="n"/>
      <c r="E3" s="8" t="n"/>
      <c r="F3" s="8" t="n"/>
      <c r="G3" s="8" t="n"/>
      <c r="H3" s="8" t="n"/>
      <c r="I3" s="9" t="n"/>
      <c r="J3" s="9" t="n"/>
      <c r="K3" s="9" t="n"/>
      <c r="L3" s="9" t="n"/>
      <c r="M3" s="9" t="n"/>
      <c r="N3" s="10">
        <f>IFERROR(INDEX(B3#,,12)/$M$1,"")</f>
        <v/>
      </c>
      <c r="O3" s="9">
        <f>IFERROR(INDEX(_xlfn._xlws.SORT(_xlfn._xlws.FILTER(tbl_dados[[FUNCIONÁRIO]:[TT BRUTO MARÇO]],tbl_dados[Tomador]=$A$1),12,-1),,13),"")</f>
        <v/>
      </c>
      <c r="Q3" s="8">
        <f>IFERROR(_xlfn.UNIQUE(_xlfn._xlws.FILTER(tbl_dados[Tipo],tbl_dados[Tomador]=$A$1)),"")</f>
        <v/>
      </c>
      <c r="R3" s="7">
        <f>IFERROR(_xlfn.BYROW(Q3#,_xlfn.LAMBDA(_x,COUNTIFS(tbl_dados[Tomador],$A$1,tbl_dados[Tipo],_x))),"")</f>
        <v/>
      </c>
      <c r="S3" s="9">
        <f>IFERROR(_xlfn.BYROW(Q3#,_xlfn.LAMBDA(_x,SUMIFS(tbl_dados[TT BRUTO ABRIL],tbl_dados[Tomador],$A$1,tbl_dados[Tipo],_x))),"")</f>
        <v/>
      </c>
      <c r="U3" s="8">
        <f>IFERROR(_xlfn.UNIQUE(_xlfn._xlws.FILTER(tbl_dados[Empresa Registro],tbl_dados[Tomador]=$A$1)),"")</f>
        <v/>
      </c>
      <c r="V3" s="11">
        <f>IFERROR(_xlfn.BYROW(U3#,_xlfn.LAMBDA(_x,IFERROR(INDEX(tbl_dados[CNPJ],MATCH(_x,tbl_dados[Empresa Registro],0)),""))),"")</f>
        <v/>
      </c>
      <c r="W3" s="7">
        <f>IFERROR(_xlfn.BYROW(U3#,_xlfn.LAMBDA(_x,COUNTIFS(tbl_dados[Tomador],$A$1,tbl_dados[Empresa Registro],_x))),"")</f>
        <v/>
      </c>
      <c r="X3" s="9">
        <f>IFERROR(_xlfn.BYROW(U3#,_xlfn.LAMBDA(_x,SUMIFS(tbl_dados[TT BRUTO ABRIL],tbl_dados[Tomador],$A$1,tbl_dados[Empresa Registro],_x))),"")</f>
        <v/>
      </c>
    </row>
    <row r="4">
      <c r="A4" s="7" t="n"/>
      <c r="B4" s="8" t="n"/>
      <c r="C4" s="8" t="n"/>
      <c r="D4" s="8" t="n"/>
      <c r="E4" s="8" t="n"/>
      <c r="F4" s="8" t="n"/>
      <c r="G4" s="8" t="n"/>
      <c r="H4" s="8" t="n"/>
      <c r="I4" s="9" t="n"/>
      <c r="J4" s="9" t="n"/>
      <c r="K4" s="9" t="n"/>
      <c r="L4" s="9" t="n"/>
      <c r="M4" s="9" t="n"/>
      <c r="N4" s="10" t="n"/>
      <c r="O4" s="9" t="n"/>
      <c r="Q4" s="8" t="n"/>
      <c r="R4" s="7" t="n"/>
      <c r="S4" s="9" t="n"/>
      <c r="U4" s="8" t="n"/>
      <c r="V4" s="11" t="n"/>
      <c r="W4" s="7" t="n"/>
      <c r="X4" s="9" t="n"/>
    </row>
    <row r="5">
      <c r="A5" s="7" t="n"/>
      <c r="B5" s="8" t="n"/>
      <c r="C5" s="8" t="n"/>
      <c r="D5" s="8" t="n"/>
      <c r="E5" s="8" t="n"/>
      <c r="F5" s="8" t="n"/>
      <c r="G5" s="8" t="n"/>
      <c r="H5" s="8" t="n"/>
      <c r="I5" s="9" t="n"/>
      <c r="J5" s="9" t="n"/>
      <c r="K5" s="9" t="n"/>
      <c r="L5" s="9" t="n"/>
      <c r="M5" s="9" t="n"/>
      <c r="N5" s="10" t="n"/>
      <c r="O5" s="9" t="n"/>
      <c r="Q5" s="8" t="n"/>
      <c r="R5" s="7" t="n"/>
      <c r="S5" s="9" t="n"/>
      <c r="U5" s="8" t="n"/>
      <c r="V5" s="11" t="n"/>
      <c r="W5" s="7" t="n"/>
      <c r="X5" s="9" t="n"/>
    </row>
    <row r="6">
      <c r="A6" s="7" t="n"/>
      <c r="B6" s="8" t="n"/>
      <c r="C6" s="8" t="n"/>
      <c r="D6" s="8" t="n"/>
      <c r="E6" s="8" t="n"/>
      <c r="F6" s="8" t="n"/>
      <c r="G6" s="8" t="n"/>
      <c r="H6" s="8" t="n"/>
      <c r="I6" s="9" t="n"/>
      <c r="J6" s="9" t="n"/>
      <c r="K6" s="9" t="n"/>
      <c r="L6" s="9" t="n"/>
      <c r="M6" s="9" t="n"/>
      <c r="N6" s="10" t="n"/>
      <c r="O6" s="9" t="n"/>
      <c r="Q6" s="8" t="n"/>
      <c r="R6" s="7" t="n"/>
      <c r="S6" s="9" t="n"/>
      <c r="U6" s="8" t="n"/>
      <c r="V6" s="11" t="n"/>
      <c r="W6" s="7" t="n"/>
      <c r="X6" s="9" t="n"/>
    </row>
    <row r="7">
      <c r="A7" s="7" t="n"/>
      <c r="B7" s="8" t="n"/>
      <c r="C7" s="8" t="n"/>
      <c r="D7" s="8" t="n"/>
      <c r="E7" s="8" t="n"/>
      <c r="F7" s="8" t="n"/>
      <c r="G7" s="8" t="n"/>
      <c r="H7" s="8" t="n"/>
      <c r="I7" s="9" t="n"/>
      <c r="J7" s="9" t="n"/>
      <c r="K7" s="9" t="n"/>
      <c r="L7" s="9" t="n"/>
      <c r="M7" s="9" t="n"/>
      <c r="N7" s="10" t="n"/>
      <c r="O7" s="9" t="n"/>
      <c r="Q7" s="8" t="n"/>
      <c r="R7" s="7" t="n"/>
      <c r="S7" s="9" t="n"/>
      <c r="U7" s="8" t="n"/>
      <c r="V7" s="11" t="n"/>
      <c r="W7" s="7" t="n"/>
      <c r="X7" s="9" t="n"/>
    </row>
    <row r="8">
      <c r="A8" s="7" t="n"/>
      <c r="B8" s="8" t="n"/>
      <c r="C8" s="8" t="n"/>
      <c r="D8" s="8" t="n"/>
      <c r="E8" s="8" t="n"/>
      <c r="F8" s="8" t="n"/>
      <c r="G8" s="8" t="n"/>
      <c r="H8" s="8" t="n"/>
      <c r="I8" s="9" t="n"/>
      <c r="J8" s="9" t="n"/>
      <c r="K8" s="9" t="n"/>
      <c r="L8" s="9" t="n"/>
      <c r="M8" s="9" t="n"/>
      <c r="N8" s="10" t="n"/>
      <c r="O8" s="9" t="n"/>
      <c r="Q8" s="8" t="n"/>
      <c r="R8" s="7" t="n"/>
      <c r="S8" s="9" t="n"/>
      <c r="U8" s="8" t="n"/>
      <c r="V8" s="11" t="n"/>
      <c r="W8" s="7" t="n"/>
      <c r="X8" s="9" t="n"/>
    </row>
    <row r="9">
      <c r="A9" s="7" t="n"/>
      <c r="B9" s="8" t="n"/>
      <c r="C9" s="8" t="n"/>
      <c r="D9" s="8" t="n"/>
      <c r="E9" s="8" t="n"/>
      <c r="F9" s="8" t="n"/>
      <c r="G9" s="8" t="n"/>
      <c r="H9" s="8" t="n"/>
      <c r="I9" s="9" t="n"/>
      <c r="J9" s="9" t="n"/>
      <c r="K9" s="9" t="n"/>
      <c r="L9" s="9" t="n"/>
      <c r="M9" s="9" t="n"/>
      <c r="N9" s="10" t="n"/>
      <c r="O9" s="9" t="n"/>
      <c r="Q9" s="8" t="n"/>
      <c r="R9" s="7" t="n"/>
      <c r="S9" s="9" t="n"/>
      <c r="U9" s="8" t="n"/>
      <c r="V9" s="11" t="n"/>
      <c r="W9" s="7" t="n"/>
      <c r="X9" s="9" t="n"/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  <c r="I10" s="9" t="n"/>
      <c r="J10" s="9" t="n"/>
      <c r="K10" s="9" t="n"/>
      <c r="L10" s="9" t="n"/>
      <c r="M10" s="9" t="n"/>
      <c r="N10" s="10" t="n"/>
      <c r="O10" s="9" t="n"/>
      <c r="Q10" s="8" t="n"/>
      <c r="R10" s="7" t="n"/>
      <c r="S10" s="9" t="n"/>
      <c r="U10" s="8" t="n"/>
      <c r="V10" s="11" t="n"/>
      <c r="W10" s="7" t="n"/>
      <c r="X10" s="9" t="n"/>
    </row>
    <row r="11">
      <c r="A11" s="7" t="n"/>
      <c r="B11" s="8" t="n"/>
      <c r="C11" s="8" t="n"/>
      <c r="D11" s="8" t="n"/>
      <c r="E11" s="8" t="n"/>
      <c r="F11" s="8" t="n"/>
      <c r="G11" s="8" t="n"/>
      <c r="H11" s="8" t="n"/>
      <c r="I11" s="9" t="n"/>
      <c r="J11" s="9" t="n"/>
      <c r="K11" s="9" t="n"/>
      <c r="L11" s="9" t="n"/>
      <c r="M11" s="9" t="n"/>
      <c r="N11" s="10" t="n"/>
      <c r="O11" s="9" t="n"/>
      <c r="Q11" s="8" t="n"/>
      <c r="R11" s="7" t="n"/>
      <c r="S11" s="9" t="n"/>
      <c r="U11" s="8" t="n"/>
      <c r="V11" s="11" t="n"/>
      <c r="W11" s="7" t="n"/>
      <c r="X11" s="9" t="n"/>
    </row>
    <row r="12">
      <c r="A12" s="7" t="n"/>
      <c r="B12" s="8" t="n"/>
      <c r="C12" s="8" t="n"/>
      <c r="D12" s="8" t="n"/>
      <c r="E12" s="8" t="n"/>
      <c r="F12" s="8" t="n"/>
      <c r="G12" s="8" t="n"/>
      <c r="H12" s="8" t="n"/>
      <c r="I12" s="9" t="n"/>
      <c r="J12" s="9" t="n"/>
      <c r="K12" s="9" t="n"/>
      <c r="L12" s="9" t="n"/>
      <c r="M12" s="9" t="n"/>
      <c r="N12" s="10" t="n"/>
      <c r="O12" s="9" t="n"/>
      <c r="Q12" s="8" t="n"/>
      <c r="R12" s="7" t="n"/>
      <c r="S12" s="9" t="n"/>
      <c r="U12" s="8" t="n"/>
      <c r="V12" s="11" t="n"/>
      <c r="W12" s="7" t="n"/>
      <c r="X12" s="9" t="n"/>
    </row>
    <row r="13">
      <c r="A13" s="7" t="n"/>
      <c r="B13" s="8" t="n"/>
      <c r="C13" s="8" t="n"/>
      <c r="D13" s="8" t="n"/>
      <c r="E13" s="8" t="n"/>
      <c r="F13" s="8" t="n"/>
      <c r="G13" s="8" t="n"/>
      <c r="H13" s="8" t="n"/>
      <c r="I13" s="9" t="n"/>
      <c r="J13" s="9" t="n"/>
      <c r="K13" s="9" t="n"/>
      <c r="L13" s="9" t="n"/>
      <c r="M13" s="9" t="n"/>
      <c r="N13" s="10" t="n"/>
      <c r="O13" s="9" t="n"/>
      <c r="Q13" s="8" t="n"/>
      <c r="R13" s="7" t="n"/>
      <c r="S13" s="9" t="n"/>
      <c r="U13" s="8" t="n"/>
      <c r="V13" s="11" t="n"/>
      <c r="W13" s="7" t="n"/>
      <c r="X13" s="9" t="n"/>
    </row>
    <row r="14">
      <c r="A14" s="7" t="n"/>
      <c r="B14" s="8" t="n"/>
      <c r="C14" s="8" t="n"/>
      <c r="D14" s="8" t="n"/>
      <c r="E14" s="8" t="n"/>
      <c r="F14" s="8" t="n"/>
      <c r="G14" s="8" t="n"/>
      <c r="H14" s="8" t="n"/>
      <c r="I14" s="9" t="n"/>
      <c r="J14" s="9" t="n"/>
      <c r="K14" s="9" t="n"/>
      <c r="L14" s="9" t="n"/>
      <c r="M14" s="9" t="n"/>
      <c r="N14" s="10" t="n"/>
      <c r="O14" s="9" t="n"/>
      <c r="Q14" s="8" t="n"/>
      <c r="R14" s="7" t="n"/>
      <c r="S14" s="9" t="n"/>
      <c r="U14" s="8" t="n"/>
      <c r="V14" s="11" t="n"/>
      <c r="W14" s="7" t="n"/>
      <c r="X14" s="9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9" t="n"/>
      <c r="J15" s="9" t="n"/>
      <c r="K15" s="9" t="n"/>
      <c r="L15" s="9" t="n"/>
      <c r="M15" s="9" t="n"/>
      <c r="N15" s="10" t="n"/>
      <c r="O15" s="9" t="n"/>
      <c r="Q15" s="8" t="n"/>
      <c r="R15" s="7" t="n"/>
      <c r="S15" s="9" t="n"/>
      <c r="U15" s="8" t="n"/>
      <c r="V15" s="11" t="n"/>
      <c r="W15" s="7" t="n"/>
      <c r="X15" s="9" t="n"/>
    </row>
    <row r="16">
      <c r="A16" s="7" t="n"/>
      <c r="B16" s="8" t="n"/>
      <c r="C16" s="8" t="n"/>
      <c r="D16" s="8" t="n"/>
      <c r="E16" s="8" t="n"/>
      <c r="F16" s="8" t="n"/>
      <c r="G16" s="8" t="n"/>
      <c r="H16" s="8" t="n"/>
      <c r="I16" s="9" t="n"/>
      <c r="J16" s="9" t="n"/>
      <c r="K16" s="9" t="n"/>
      <c r="L16" s="9" t="n"/>
      <c r="M16" s="9" t="n"/>
      <c r="N16" s="10" t="n"/>
      <c r="O16" s="9" t="n"/>
      <c r="Q16" s="8" t="n"/>
      <c r="R16" s="7" t="n"/>
      <c r="S16" s="9" t="n"/>
      <c r="U16" s="8" t="n"/>
      <c r="V16" s="11" t="n"/>
      <c r="W16" s="7" t="n"/>
      <c r="X16" s="9" t="n"/>
    </row>
    <row r="17">
      <c r="A17" s="7" t="n"/>
      <c r="B17" s="8" t="n"/>
      <c r="C17" s="8" t="n"/>
      <c r="D17" s="8" t="n"/>
      <c r="E17" s="8" t="n"/>
      <c r="F17" s="8" t="n"/>
      <c r="G17" s="8" t="n"/>
      <c r="H17" s="8" t="n"/>
      <c r="I17" s="9" t="n"/>
      <c r="J17" s="9" t="n"/>
      <c r="K17" s="9" t="n"/>
      <c r="L17" s="9" t="n"/>
      <c r="M17" s="9" t="n"/>
      <c r="N17" s="10" t="n"/>
      <c r="O17" s="9" t="n"/>
      <c r="Q17" s="8" t="n"/>
      <c r="R17" s="7" t="n"/>
      <c r="S17" s="9" t="n"/>
      <c r="U17" s="8" t="n"/>
      <c r="V17" s="11" t="n"/>
      <c r="W17" s="7" t="n"/>
      <c r="X17" s="9" t="n"/>
    </row>
    <row r="18">
      <c r="A18" s="7" t="n"/>
      <c r="B18" s="8" t="n"/>
      <c r="C18" s="8" t="n"/>
      <c r="D18" s="8" t="n"/>
      <c r="E18" s="8" t="n"/>
      <c r="F18" s="8" t="n"/>
      <c r="G18" s="8" t="n"/>
      <c r="H18" s="8" t="n"/>
      <c r="I18" s="9" t="n"/>
      <c r="J18" s="9" t="n"/>
      <c r="K18" s="9" t="n"/>
      <c r="L18" s="9" t="n"/>
      <c r="M18" s="9" t="n"/>
      <c r="N18" s="10" t="n"/>
      <c r="O18" s="9" t="n"/>
      <c r="Q18" s="8" t="n"/>
      <c r="R18" s="7" t="n"/>
      <c r="S18" s="9" t="n"/>
      <c r="U18" s="8" t="n"/>
      <c r="V18" s="11" t="n"/>
      <c r="W18" s="7" t="n"/>
      <c r="X18" s="9" t="n"/>
    </row>
    <row r="19">
      <c r="A19" s="7" t="n"/>
      <c r="B19" s="8" t="n"/>
      <c r="C19" s="8" t="n"/>
      <c r="D19" s="8" t="n"/>
      <c r="E19" s="8" t="n"/>
      <c r="F19" s="8" t="n"/>
      <c r="G19" s="8" t="n"/>
      <c r="H19" s="8" t="n"/>
      <c r="I19" s="9" t="n"/>
      <c r="J19" s="9" t="n"/>
      <c r="K19" s="9" t="n"/>
      <c r="L19" s="9" t="n"/>
      <c r="M19" s="9" t="n"/>
      <c r="N19" s="10" t="n"/>
      <c r="O19" s="9" t="n"/>
      <c r="Q19" s="8" t="n"/>
      <c r="R19" s="7" t="n"/>
      <c r="S19" s="9" t="n"/>
      <c r="U19" s="8" t="n"/>
      <c r="V19" s="11" t="n"/>
      <c r="W19" s="7" t="n"/>
      <c r="X19" s="9" t="n"/>
    </row>
    <row r="20">
      <c r="A20" s="7" t="n"/>
      <c r="B20" s="8" t="n"/>
      <c r="C20" s="8" t="n"/>
      <c r="D20" s="8" t="n"/>
      <c r="E20" s="8" t="n"/>
      <c r="F20" s="8" t="n"/>
      <c r="G20" s="8" t="n"/>
      <c r="H20" s="8" t="n"/>
      <c r="I20" s="9" t="n"/>
      <c r="J20" s="9" t="n"/>
      <c r="K20" s="9" t="n"/>
      <c r="L20" s="9" t="n"/>
      <c r="M20" s="9" t="n"/>
      <c r="N20" s="10" t="n"/>
      <c r="O20" s="9" t="n"/>
      <c r="Q20" s="8" t="n"/>
      <c r="R20" s="7" t="n"/>
      <c r="S20" s="9" t="n"/>
      <c r="U20" s="8" t="n"/>
      <c r="V20" s="11" t="n"/>
      <c r="W20" s="7" t="n"/>
      <c r="X20" s="9" t="n"/>
    </row>
    <row r="21">
      <c r="A21" s="7" t="n"/>
      <c r="B21" s="8" t="n"/>
      <c r="C21" s="8" t="n"/>
      <c r="D21" s="8" t="n"/>
      <c r="E21" s="8" t="n"/>
      <c r="F21" s="8" t="n"/>
      <c r="G21" s="8" t="n"/>
      <c r="H21" s="8" t="n"/>
      <c r="I21" s="9" t="n"/>
      <c r="J21" s="9" t="n"/>
      <c r="K21" s="9" t="n"/>
      <c r="L21" s="9" t="n"/>
      <c r="M21" s="9" t="n"/>
      <c r="N21" s="10" t="n"/>
      <c r="O21" s="9" t="n"/>
      <c r="Q21" s="8" t="n"/>
      <c r="R21" s="7" t="n"/>
      <c r="S21" s="9" t="n"/>
      <c r="U21" s="8" t="n"/>
      <c r="V21" s="11" t="n"/>
      <c r="W21" s="7" t="n"/>
      <c r="X21" s="9" t="n"/>
    </row>
    <row r="22">
      <c r="A22" s="7" t="n"/>
      <c r="B22" s="8" t="n"/>
      <c r="C22" s="8" t="n"/>
      <c r="D22" s="8" t="n"/>
      <c r="E22" s="8" t="n"/>
      <c r="F22" s="8" t="n"/>
      <c r="G22" s="8" t="n"/>
      <c r="H22" s="8" t="n"/>
      <c r="I22" s="9" t="n"/>
      <c r="J22" s="9" t="n"/>
      <c r="K22" s="9" t="n"/>
      <c r="L22" s="9" t="n"/>
      <c r="M22" s="9" t="n"/>
      <c r="N22" s="10" t="n"/>
      <c r="O22" s="9" t="n"/>
      <c r="Q22" s="8" t="n"/>
      <c r="R22" s="7" t="n"/>
      <c r="S22" s="9" t="n"/>
      <c r="U22" s="8" t="n"/>
      <c r="V22" s="11" t="n"/>
      <c r="W22" s="7" t="n"/>
      <c r="X22" s="9" t="n"/>
    </row>
    <row r="23">
      <c r="A23" s="7" t="n"/>
      <c r="B23" s="8" t="n"/>
      <c r="C23" s="8" t="n"/>
      <c r="D23" s="8" t="n"/>
      <c r="E23" s="8" t="n"/>
      <c r="F23" s="8" t="n"/>
      <c r="G23" s="8" t="n"/>
      <c r="H23" s="8" t="n"/>
      <c r="I23" s="9" t="n"/>
      <c r="J23" s="9" t="n"/>
      <c r="K23" s="9" t="n"/>
      <c r="L23" s="9" t="n"/>
      <c r="M23" s="9" t="n"/>
      <c r="N23" s="10" t="n"/>
      <c r="O23" s="9" t="n"/>
      <c r="Q23" s="8" t="n"/>
      <c r="R23" s="7" t="n"/>
      <c r="S23" s="9" t="n"/>
      <c r="U23" s="8" t="n"/>
      <c r="V23" s="11" t="n"/>
      <c r="W23" s="7" t="n"/>
      <c r="X23" s="9" t="n"/>
    </row>
    <row r="24">
      <c r="A24" s="7" t="n"/>
      <c r="B24" s="8" t="n"/>
      <c r="C24" s="8" t="n"/>
      <c r="D24" s="8" t="n"/>
      <c r="E24" s="8" t="n"/>
      <c r="F24" s="8" t="n"/>
      <c r="G24" s="8" t="n"/>
      <c r="H24" s="8" t="n"/>
      <c r="I24" s="9" t="n"/>
      <c r="J24" s="9" t="n"/>
      <c r="K24" s="9" t="n"/>
      <c r="L24" s="9" t="n"/>
      <c r="M24" s="9" t="n"/>
      <c r="N24" s="10" t="n"/>
      <c r="O24" s="9" t="n"/>
      <c r="Q24" s="8" t="n"/>
      <c r="R24" s="7" t="n"/>
      <c r="S24" s="9" t="n"/>
      <c r="U24" s="8" t="n"/>
      <c r="V24" s="11" t="n"/>
      <c r="W24" s="7" t="n"/>
      <c r="X24" s="9" t="n"/>
    </row>
    <row r="25">
      <c r="A25" s="7" t="n"/>
      <c r="B25" s="8" t="n"/>
      <c r="C25" s="8" t="n"/>
      <c r="D25" s="8" t="n"/>
      <c r="E25" s="8" t="n"/>
      <c r="F25" s="8" t="n"/>
      <c r="G25" s="8" t="n"/>
      <c r="H25" s="8" t="n"/>
      <c r="I25" s="9" t="n"/>
      <c r="J25" s="9" t="n"/>
      <c r="K25" s="9" t="n"/>
      <c r="L25" s="9" t="n"/>
      <c r="M25" s="9" t="n"/>
      <c r="N25" s="10" t="n"/>
      <c r="O25" s="9" t="n"/>
      <c r="Q25" s="8" t="n"/>
      <c r="R25" s="7" t="n"/>
      <c r="S25" s="9" t="n"/>
      <c r="U25" s="8" t="n"/>
      <c r="V25" s="11" t="n"/>
      <c r="W25" s="7" t="n"/>
      <c r="X25" s="9" t="n"/>
    </row>
    <row r="26">
      <c r="A26" s="7" t="n"/>
      <c r="B26" s="8" t="n"/>
      <c r="C26" s="8" t="n"/>
      <c r="D26" s="8" t="n"/>
      <c r="E26" s="8" t="n"/>
      <c r="F26" s="8" t="n"/>
      <c r="G26" s="8" t="n"/>
      <c r="H26" s="8" t="n"/>
      <c r="I26" s="9" t="n"/>
      <c r="J26" s="9" t="n"/>
      <c r="K26" s="9" t="n"/>
      <c r="L26" s="9" t="n"/>
      <c r="M26" s="9" t="n"/>
      <c r="N26" s="10" t="n"/>
      <c r="O26" s="9" t="n"/>
      <c r="Q26" s="8" t="n"/>
      <c r="R26" s="7" t="n"/>
      <c r="S26" s="9" t="n"/>
      <c r="U26" s="8" t="n"/>
      <c r="V26" s="11" t="n"/>
      <c r="W26" s="7" t="n"/>
      <c r="X26" s="9" t="n"/>
    </row>
    <row r="27">
      <c r="A27" s="7" t="n"/>
      <c r="B27" s="8" t="n"/>
      <c r="C27" s="8" t="n"/>
      <c r="D27" s="8" t="n"/>
      <c r="E27" s="8" t="n"/>
      <c r="F27" s="8" t="n"/>
      <c r="G27" s="8" t="n"/>
      <c r="H27" s="8" t="n"/>
      <c r="I27" s="9" t="n"/>
      <c r="J27" s="9" t="n"/>
      <c r="K27" s="9" t="n"/>
      <c r="L27" s="9" t="n"/>
      <c r="M27" s="9" t="n"/>
      <c r="N27" s="10" t="n"/>
      <c r="O27" s="9" t="n"/>
      <c r="Q27" s="8" t="n"/>
      <c r="R27" s="7" t="n"/>
      <c r="S27" s="9" t="n"/>
      <c r="U27" s="8" t="n"/>
      <c r="V27" s="11" t="n"/>
      <c r="W27" s="7" t="n"/>
      <c r="X27" s="9" t="n"/>
    </row>
    <row r="28">
      <c r="A28" s="7" t="n"/>
      <c r="B28" s="8" t="n"/>
      <c r="C28" s="8" t="n"/>
      <c r="D28" s="8" t="n"/>
      <c r="E28" s="8" t="n"/>
      <c r="F28" s="8" t="n"/>
      <c r="G28" s="8" t="n"/>
      <c r="H28" s="8" t="n"/>
      <c r="I28" s="9" t="n"/>
      <c r="J28" s="9" t="n"/>
      <c r="K28" s="9" t="n"/>
      <c r="L28" s="9" t="n"/>
      <c r="M28" s="9" t="n"/>
      <c r="N28" s="10" t="n"/>
      <c r="O28" s="9" t="n"/>
      <c r="Q28" s="8" t="n"/>
      <c r="R28" s="7" t="n"/>
      <c r="S28" s="9" t="n"/>
      <c r="U28" s="8" t="n"/>
      <c r="V28" s="11" t="n"/>
      <c r="W28" s="7" t="n"/>
      <c r="X28" s="9" t="n"/>
    </row>
    <row r="29">
      <c r="A29" s="7" t="n"/>
      <c r="B29" s="8" t="n"/>
      <c r="C29" s="8" t="n"/>
      <c r="D29" s="8" t="n"/>
      <c r="E29" s="8" t="n"/>
      <c r="F29" s="8" t="n"/>
      <c r="G29" s="8" t="n"/>
      <c r="H29" s="8" t="n"/>
      <c r="I29" s="9" t="n"/>
      <c r="J29" s="9" t="n"/>
      <c r="K29" s="9" t="n"/>
      <c r="L29" s="9" t="n"/>
      <c r="M29" s="9" t="n"/>
      <c r="N29" s="10" t="n"/>
      <c r="O29" s="9" t="n"/>
      <c r="Q29" s="8" t="n"/>
      <c r="R29" s="7" t="n"/>
      <c r="S29" s="9" t="n"/>
      <c r="U29" s="8" t="n"/>
      <c r="V29" s="11" t="n"/>
      <c r="W29" s="7" t="n"/>
      <c r="X29" s="9" t="n"/>
    </row>
    <row r="30">
      <c r="A30" s="7" t="n"/>
      <c r="B30" s="8" t="n"/>
      <c r="C30" s="8" t="n"/>
      <c r="D30" s="8" t="n"/>
      <c r="E30" s="8" t="n"/>
      <c r="F30" s="8" t="n"/>
      <c r="G30" s="8" t="n"/>
      <c r="H30" s="8" t="n"/>
      <c r="I30" s="9" t="n"/>
      <c r="J30" s="9" t="n"/>
      <c r="K30" s="9" t="n"/>
      <c r="L30" s="9" t="n"/>
      <c r="M30" s="9" t="n"/>
      <c r="N30" s="10" t="n"/>
      <c r="O30" s="9" t="n"/>
      <c r="Q30" s="8" t="n"/>
      <c r="R30" s="7" t="n"/>
      <c r="S30" s="9" t="n"/>
      <c r="U30" s="8" t="n"/>
      <c r="V30" s="11" t="n"/>
      <c r="W30" s="7" t="n"/>
      <c r="X30" s="9" t="n"/>
    </row>
    <row r="31">
      <c r="A31" s="7" t="n"/>
      <c r="B31" s="8" t="n"/>
      <c r="C31" s="8" t="n"/>
      <c r="D31" s="8" t="n"/>
      <c r="E31" s="8" t="n"/>
      <c r="F31" s="8" t="n"/>
      <c r="G31" s="8" t="n"/>
      <c r="H31" s="8" t="n"/>
      <c r="I31" s="9" t="n"/>
      <c r="J31" s="9" t="n"/>
      <c r="K31" s="9" t="n"/>
      <c r="L31" s="9" t="n"/>
      <c r="M31" s="9" t="n"/>
      <c r="N31" s="10" t="n"/>
      <c r="O31" s="9" t="n"/>
      <c r="Q31" s="8" t="n"/>
      <c r="R31" s="7" t="n"/>
      <c r="S31" s="9" t="n"/>
      <c r="U31" s="8" t="n"/>
      <c r="V31" s="11" t="n"/>
      <c r="W31" s="7" t="n"/>
      <c r="X31" s="9" t="n"/>
    </row>
    <row r="32">
      <c r="A32" s="7" t="n"/>
      <c r="B32" s="8" t="n"/>
      <c r="C32" s="8" t="n"/>
      <c r="D32" s="8" t="n"/>
      <c r="E32" s="8" t="n"/>
      <c r="F32" s="8" t="n"/>
      <c r="G32" s="8" t="n"/>
      <c r="H32" s="8" t="n"/>
      <c r="I32" s="9" t="n"/>
      <c r="J32" s="9" t="n"/>
      <c r="K32" s="9" t="n"/>
      <c r="L32" s="9" t="n"/>
      <c r="M32" s="9" t="n"/>
      <c r="N32" s="10" t="n"/>
      <c r="O32" s="9" t="n"/>
      <c r="Q32" s="8" t="n"/>
      <c r="R32" s="7" t="n"/>
      <c r="S32" s="9" t="n"/>
      <c r="U32" s="8" t="n"/>
      <c r="V32" s="11" t="n"/>
      <c r="W32" s="7" t="n"/>
      <c r="X32" s="9" t="n"/>
    </row>
    <row r="33">
      <c r="A33" s="7" t="n"/>
      <c r="B33" s="8" t="n"/>
      <c r="C33" s="8" t="n"/>
      <c r="D33" s="8" t="n"/>
      <c r="E33" s="8" t="n"/>
      <c r="F33" s="8" t="n"/>
      <c r="G33" s="8" t="n"/>
      <c r="H33" s="8" t="n"/>
      <c r="I33" s="9" t="n"/>
      <c r="J33" s="9" t="n"/>
      <c r="K33" s="9" t="n"/>
      <c r="L33" s="9" t="n"/>
      <c r="M33" s="9" t="n"/>
      <c r="N33" s="10" t="n"/>
      <c r="O33" s="9" t="n"/>
    </row>
    <row r="34">
      <c r="A34" s="7" t="n"/>
      <c r="B34" s="8" t="n"/>
      <c r="C34" s="8" t="n"/>
      <c r="D34" s="8" t="n"/>
      <c r="E34" s="8" t="n"/>
      <c r="F34" s="8" t="n"/>
      <c r="G34" s="8" t="n"/>
      <c r="H34" s="8" t="n"/>
      <c r="I34" s="9" t="n"/>
      <c r="J34" s="9" t="n"/>
      <c r="K34" s="9" t="n"/>
      <c r="L34" s="9" t="n"/>
      <c r="M34" s="9" t="n"/>
      <c r="N34" s="10" t="n"/>
      <c r="O34" s="9" t="n"/>
    </row>
    <row r="35">
      <c r="A35" s="7" t="n"/>
      <c r="B35" s="8" t="n"/>
      <c r="C35" s="8" t="n"/>
      <c r="D35" s="8" t="n"/>
      <c r="E35" s="8" t="n"/>
      <c r="F35" s="8" t="n"/>
      <c r="G35" s="8" t="n"/>
      <c r="H35" s="8" t="n"/>
      <c r="I35" s="9" t="n"/>
      <c r="J35" s="9" t="n"/>
      <c r="K35" s="9" t="n"/>
      <c r="L35" s="9" t="n"/>
      <c r="M35" s="9" t="n"/>
      <c r="N35" s="10" t="n"/>
      <c r="O35" s="9" t="n"/>
    </row>
    <row r="36">
      <c r="A36" s="7" t="n"/>
      <c r="B36" s="8" t="n"/>
      <c r="C36" s="8" t="n"/>
      <c r="D36" s="8" t="n"/>
      <c r="E36" s="8" t="n"/>
      <c r="F36" s="8" t="n"/>
      <c r="G36" s="8" t="n"/>
      <c r="H36" s="8" t="n"/>
      <c r="I36" s="9" t="n"/>
      <c r="J36" s="9" t="n"/>
      <c r="K36" s="9" t="n"/>
      <c r="L36" s="9" t="n"/>
      <c r="M36" s="9" t="n"/>
      <c r="N36" s="10" t="n"/>
      <c r="O36" s="9" t="n"/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  <c r="I37" s="9" t="n"/>
      <c r="J37" s="9" t="n"/>
      <c r="K37" s="9" t="n"/>
      <c r="L37" s="9" t="n"/>
      <c r="M37" s="9" t="n"/>
      <c r="N37" s="10" t="n"/>
      <c r="O37" s="9" t="n"/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  <c r="I38" s="9" t="n"/>
      <c r="J38" s="9" t="n"/>
      <c r="K38" s="9" t="n"/>
      <c r="L38" s="9" t="n"/>
      <c r="M38" s="9" t="n"/>
      <c r="N38" s="10" t="n"/>
      <c r="O38" s="9" t="n"/>
    </row>
    <row r="39">
      <c r="A39" s="7" t="n"/>
      <c r="B39" s="8" t="n"/>
      <c r="C39" s="8" t="n"/>
      <c r="D39" s="8" t="n"/>
      <c r="E39" s="8" t="n"/>
      <c r="F39" s="8" t="n"/>
      <c r="G39" s="8" t="n"/>
      <c r="H39" s="8" t="n"/>
      <c r="I39" s="9" t="n"/>
      <c r="J39" s="9" t="n"/>
      <c r="K39" s="9" t="n"/>
      <c r="L39" s="9" t="n"/>
      <c r="M39" s="9" t="n"/>
      <c r="N39" s="10" t="n"/>
      <c r="O39" s="9" t="n"/>
    </row>
    <row r="40">
      <c r="A40" s="7" t="n"/>
      <c r="B40" s="8" t="n"/>
      <c r="C40" s="8" t="n"/>
      <c r="D40" s="8" t="n"/>
      <c r="E40" s="8" t="n"/>
      <c r="F40" s="8" t="n"/>
      <c r="G40" s="8" t="n"/>
      <c r="H40" s="8" t="n"/>
      <c r="I40" s="9" t="n"/>
      <c r="J40" s="9" t="n"/>
      <c r="K40" s="9" t="n"/>
      <c r="L40" s="9" t="n"/>
      <c r="M40" s="9" t="n"/>
      <c r="N40" s="10" t="n"/>
      <c r="O40" s="9" t="n"/>
    </row>
    <row r="41">
      <c r="A41" s="7" t="n"/>
      <c r="B41" s="8" t="n"/>
      <c r="C41" s="8" t="n"/>
      <c r="D41" s="8" t="n"/>
      <c r="E41" s="8" t="n"/>
      <c r="F41" s="8" t="n"/>
      <c r="G41" s="8" t="n"/>
      <c r="H41" s="8" t="n"/>
      <c r="I41" s="9" t="n"/>
      <c r="J41" s="9" t="n"/>
      <c r="K41" s="9" t="n"/>
      <c r="L41" s="9" t="n"/>
      <c r="M41" s="9" t="n"/>
      <c r="N41" s="10" t="n"/>
      <c r="O41" s="9" t="n"/>
    </row>
    <row r="42">
      <c r="A42" s="7" t="n"/>
      <c r="B42" s="8" t="n"/>
      <c r="C42" s="8" t="n"/>
      <c r="D42" s="8" t="n"/>
      <c r="E42" s="8" t="n"/>
      <c r="F42" s="8" t="n"/>
      <c r="G42" s="8" t="n"/>
      <c r="H42" s="8" t="n"/>
      <c r="I42" s="9" t="n"/>
      <c r="J42" s="9" t="n"/>
      <c r="K42" s="9" t="n"/>
      <c r="L42" s="9" t="n"/>
      <c r="M42" s="9" t="n"/>
      <c r="N42" s="10" t="n"/>
      <c r="O42" s="9" t="n"/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  <c r="I43" s="9" t="n"/>
      <c r="J43" s="9" t="n"/>
      <c r="K43" s="9" t="n"/>
      <c r="L43" s="9" t="n"/>
      <c r="M43" s="9" t="n"/>
      <c r="N43" s="10" t="n"/>
      <c r="O43" s="9" t="n"/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  <c r="I44" s="9" t="n"/>
      <c r="J44" s="9" t="n"/>
      <c r="K44" s="9" t="n"/>
      <c r="L44" s="9" t="n"/>
      <c r="M44" s="9" t="n"/>
      <c r="N44" s="10" t="n"/>
      <c r="O44" s="9" t="n"/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  <c r="I45" s="9" t="n"/>
      <c r="J45" s="9" t="n"/>
      <c r="K45" s="9" t="n"/>
      <c r="L45" s="9" t="n"/>
      <c r="M45" s="9" t="n"/>
      <c r="N45" s="10" t="n"/>
      <c r="O45" s="9" t="n"/>
    </row>
    <row r="46">
      <c r="A46" s="7" t="n"/>
      <c r="B46" s="8" t="n"/>
      <c r="C46" s="8" t="n"/>
      <c r="D46" s="8" t="n"/>
      <c r="E46" s="8" t="n"/>
      <c r="F46" s="8" t="n"/>
      <c r="G46" s="8" t="n"/>
      <c r="H46" s="8" t="n"/>
      <c r="I46" s="9" t="n"/>
      <c r="J46" s="9" t="n"/>
      <c r="K46" s="9" t="n"/>
      <c r="L46" s="9" t="n"/>
      <c r="M46" s="9" t="n"/>
      <c r="N46" s="10" t="n"/>
      <c r="O46" s="9" t="n"/>
    </row>
    <row r="47">
      <c r="A47" s="7" t="n"/>
      <c r="B47" s="8" t="n"/>
      <c r="C47" s="8" t="n"/>
      <c r="D47" s="8" t="n"/>
      <c r="E47" s="8" t="n"/>
      <c r="F47" s="8" t="n"/>
      <c r="G47" s="8" t="n"/>
      <c r="H47" s="8" t="n"/>
      <c r="I47" s="9" t="n"/>
      <c r="J47" s="9" t="n"/>
      <c r="K47" s="9" t="n"/>
      <c r="L47" s="9" t="n"/>
      <c r="M47" s="9" t="n"/>
      <c r="N47" s="10" t="n"/>
      <c r="O47" s="9" t="n"/>
    </row>
    <row r="48">
      <c r="A48" s="7" t="n"/>
      <c r="B48" s="8" t="n"/>
      <c r="C48" s="8" t="n"/>
      <c r="D48" s="8" t="n"/>
      <c r="E48" s="8" t="n"/>
      <c r="F48" s="8" t="n"/>
      <c r="G48" s="8" t="n"/>
      <c r="H48" s="8" t="n"/>
      <c r="I48" s="9" t="n"/>
      <c r="J48" s="9" t="n"/>
      <c r="K48" s="9" t="n"/>
      <c r="L48" s="9" t="n"/>
      <c r="M48" s="9" t="n"/>
      <c r="N48" s="10" t="n"/>
      <c r="O48" s="9" t="n"/>
    </row>
    <row r="49">
      <c r="A49" s="7" t="n"/>
      <c r="B49" s="8" t="n"/>
      <c r="C49" s="8" t="n"/>
      <c r="D49" s="8" t="n"/>
      <c r="E49" s="8" t="n"/>
      <c r="F49" s="8" t="n"/>
      <c r="G49" s="8" t="n"/>
      <c r="H49" s="8" t="n"/>
      <c r="I49" s="9" t="n"/>
      <c r="J49" s="9" t="n"/>
      <c r="K49" s="9" t="n"/>
      <c r="L49" s="9" t="n"/>
      <c r="M49" s="9" t="n"/>
      <c r="N49" s="10" t="n"/>
      <c r="O49" s="9" t="n"/>
    </row>
    <row r="50">
      <c r="A50" s="7" t="n"/>
      <c r="B50" s="8" t="n"/>
      <c r="C50" s="8" t="n"/>
      <c r="D50" s="8" t="n"/>
      <c r="E50" s="8" t="n"/>
      <c r="F50" s="8" t="n"/>
      <c r="G50" s="8" t="n"/>
      <c r="H50" s="8" t="n"/>
      <c r="I50" s="9" t="n"/>
      <c r="J50" s="9" t="n"/>
      <c r="K50" s="9" t="n"/>
      <c r="L50" s="9" t="n"/>
      <c r="M50" s="9" t="n"/>
      <c r="N50" s="10" t="n"/>
      <c r="O50" s="9" t="n"/>
    </row>
    <row r="51">
      <c r="A51" s="7" t="n"/>
      <c r="B51" s="8" t="n"/>
      <c r="C51" s="8" t="n"/>
      <c r="D51" s="8" t="n"/>
      <c r="E51" s="8" t="n"/>
      <c r="F51" s="8" t="n"/>
      <c r="G51" s="8" t="n"/>
      <c r="H51" s="8" t="n"/>
      <c r="I51" s="9" t="n"/>
      <c r="J51" s="9" t="n"/>
      <c r="K51" s="9" t="n"/>
      <c r="L51" s="9" t="n"/>
      <c r="M51" s="9" t="n"/>
      <c r="N51" s="10" t="n"/>
      <c r="O51" s="9" t="n"/>
    </row>
    <row r="52">
      <c r="A52" s="7" t="n"/>
      <c r="B52" s="8" t="n"/>
      <c r="C52" s="8" t="n"/>
      <c r="D52" s="8" t="n"/>
      <c r="E52" s="8" t="n"/>
      <c r="F52" s="8" t="n"/>
      <c r="G52" s="8" t="n"/>
      <c r="H52" s="8" t="n"/>
      <c r="I52" s="9" t="n"/>
      <c r="J52" s="9" t="n"/>
      <c r="K52" s="9" t="n"/>
      <c r="L52" s="9" t="n"/>
      <c r="M52" s="9" t="n"/>
      <c r="N52" s="10" t="n"/>
      <c r="O52" s="9" t="n"/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  <c r="I53" s="9" t="n"/>
      <c r="J53" s="9" t="n"/>
      <c r="K53" s="9" t="n"/>
      <c r="L53" s="9" t="n"/>
      <c r="M53" s="9" t="n"/>
      <c r="N53" s="10" t="n"/>
      <c r="O53" s="9" t="n"/>
    </row>
    <row r="54">
      <c r="A54" s="7" t="n"/>
      <c r="B54" s="8" t="n"/>
      <c r="C54" s="8" t="n"/>
      <c r="D54" s="8" t="n"/>
      <c r="E54" s="8" t="n"/>
      <c r="F54" s="8" t="n"/>
      <c r="G54" s="8" t="n"/>
      <c r="H54" s="8" t="n"/>
      <c r="I54" s="9" t="n"/>
      <c r="J54" s="9" t="n"/>
      <c r="K54" s="9" t="n"/>
      <c r="L54" s="9" t="n"/>
      <c r="M54" s="9" t="n"/>
      <c r="N54" s="10" t="n"/>
      <c r="O54" s="9" t="n"/>
    </row>
    <row r="55">
      <c r="A55" s="7" t="n"/>
      <c r="B55" s="8" t="n"/>
      <c r="C55" s="8" t="n"/>
      <c r="D55" s="8" t="n"/>
      <c r="E55" s="8" t="n"/>
      <c r="F55" s="8" t="n"/>
      <c r="G55" s="8" t="n"/>
      <c r="H55" s="8" t="n"/>
      <c r="I55" s="9" t="n"/>
      <c r="J55" s="9" t="n"/>
      <c r="K55" s="9" t="n"/>
      <c r="L55" s="9" t="n"/>
      <c r="M55" s="9" t="n"/>
      <c r="N55" s="10" t="n"/>
      <c r="O55" s="9" t="n"/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  <c r="I56" s="9" t="n"/>
      <c r="J56" s="9" t="n"/>
      <c r="K56" s="9" t="n"/>
      <c r="L56" s="9" t="n"/>
      <c r="M56" s="9" t="n"/>
      <c r="N56" s="10" t="n"/>
      <c r="O56" s="9" t="n"/>
    </row>
    <row r="57">
      <c r="A57" s="7" t="n"/>
      <c r="B57" s="8" t="n"/>
      <c r="C57" s="8" t="n"/>
      <c r="D57" s="8" t="n"/>
      <c r="E57" s="8" t="n"/>
      <c r="F57" s="8" t="n"/>
      <c r="G57" s="8" t="n"/>
      <c r="H57" s="8" t="n"/>
      <c r="I57" s="9" t="n"/>
      <c r="J57" s="9" t="n"/>
      <c r="K57" s="9" t="n"/>
      <c r="L57" s="9" t="n"/>
      <c r="M57" s="9" t="n"/>
      <c r="N57" s="10" t="n"/>
      <c r="O57" s="9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  <c r="I58" s="9" t="n"/>
      <c r="J58" s="9" t="n"/>
      <c r="K58" s="9" t="n"/>
      <c r="L58" s="9" t="n"/>
      <c r="M58" s="9" t="n"/>
      <c r="N58" s="10" t="n"/>
      <c r="O58" s="9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  <c r="I59" s="9" t="n"/>
      <c r="J59" s="9" t="n"/>
      <c r="K59" s="9" t="n"/>
      <c r="L59" s="9" t="n"/>
      <c r="M59" s="9" t="n"/>
      <c r="N59" s="10" t="n"/>
      <c r="O59" s="9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  <c r="I60" s="9" t="n"/>
      <c r="J60" s="9" t="n"/>
      <c r="K60" s="9" t="n"/>
      <c r="L60" s="9" t="n"/>
      <c r="M60" s="9" t="n"/>
      <c r="N60" s="10" t="n"/>
      <c r="O60" s="9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  <c r="I61" s="9" t="n"/>
      <c r="J61" s="9" t="n"/>
      <c r="K61" s="9" t="n"/>
      <c r="L61" s="9" t="n"/>
      <c r="M61" s="9" t="n"/>
      <c r="N61" s="10" t="n"/>
      <c r="O61" s="9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  <c r="I62" s="9" t="n"/>
      <c r="J62" s="9" t="n"/>
      <c r="K62" s="9" t="n"/>
      <c r="L62" s="9" t="n"/>
      <c r="M62" s="9" t="n"/>
      <c r="N62" s="10" t="n"/>
      <c r="O62" s="9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  <c r="I63" s="9" t="n"/>
      <c r="J63" s="9" t="n"/>
      <c r="K63" s="9" t="n"/>
      <c r="L63" s="9" t="n"/>
      <c r="M63" s="9" t="n"/>
      <c r="N63" s="10" t="n"/>
      <c r="O63" s="9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  <c r="I64" s="9" t="n"/>
      <c r="J64" s="9" t="n"/>
      <c r="K64" s="9" t="n"/>
      <c r="L64" s="9" t="n"/>
      <c r="M64" s="9" t="n"/>
      <c r="N64" s="10" t="n"/>
      <c r="O64" s="9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  <c r="I65" s="9" t="n"/>
      <c r="J65" s="9" t="n"/>
      <c r="K65" s="9" t="n"/>
      <c r="L65" s="9" t="n"/>
      <c r="M65" s="9" t="n"/>
      <c r="N65" s="10" t="n"/>
      <c r="O65" s="9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  <c r="I66" s="9" t="n"/>
      <c r="J66" s="9" t="n"/>
      <c r="K66" s="9" t="n"/>
      <c r="L66" s="9" t="n"/>
      <c r="M66" s="9" t="n"/>
      <c r="N66" s="10" t="n"/>
      <c r="O66" s="9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  <c r="I67" s="9" t="n"/>
      <c r="J67" s="9" t="n"/>
      <c r="K67" s="9" t="n"/>
      <c r="L67" s="9" t="n"/>
      <c r="M67" s="9" t="n"/>
      <c r="N67" s="10" t="n"/>
      <c r="O67" s="9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  <c r="I68" s="9" t="n"/>
      <c r="J68" s="9" t="n"/>
      <c r="K68" s="9" t="n"/>
      <c r="L68" s="9" t="n"/>
      <c r="M68" s="9" t="n"/>
      <c r="N68" s="10" t="n"/>
      <c r="O68" s="9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  <c r="I69" s="9" t="n"/>
      <c r="J69" s="9" t="n"/>
      <c r="K69" s="9" t="n"/>
      <c r="L69" s="9" t="n"/>
      <c r="M69" s="9" t="n"/>
      <c r="N69" s="10" t="n"/>
      <c r="O69" s="9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  <c r="I70" s="9" t="n"/>
      <c r="J70" s="9" t="n"/>
      <c r="K70" s="9" t="n"/>
      <c r="L70" s="9" t="n"/>
      <c r="M70" s="9" t="n"/>
      <c r="N70" s="10" t="n"/>
      <c r="O70" s="9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  <c r="I71" s="9" t="n"/>
      <c r="J71" s="9" t="n"/>
      <c r="K71" s="9" t="n"/>
      <c r="L71" s="9" t="n"/>
      <c r="M71" s="9" t="n"/>
      <c r="N71" s="10" t="n"/>
      <c r="O71" s="9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  <c r="I72" s="9" t="n"/>
      <c r="J72" s="9" t="n"/>
      <c r="K72" s="9" t="n"/>
      <c r="L72" s="9" t="n"/>
      <c r="M72" s="9" t="n"/>
      <c r="N72" s="10" t="n"/>
      <c r="O72" s="9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  <c r="I73" s="9" t="n"/>
      <c r="J73" s="9" t="n"/>
      <c r="K73" s="9" t="n"/>
      <c r="L73" s="9" t="n"/>
      <c r="M73" s="9" t="n"/>
      <c r="N73" s="10" t="n"/>
      <c r="O73" s="9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  <c r="I74" s="9" t="n"/>
      <c r="J74" s="9" t="n"/>
      <c r="K74" s="9" t="n"/>
      <c r="L74" s="9" t="n"/>
      <c r="M74" s="9" t="n"/>
      <c r="N74" s="10" t="n"/>
      <c r="O74" s="9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  <c r="I75" s="9" t="n"/>
      <c r="J75" s="9" t="n"/>
      <c r="K75" s="9" t="n"/>
      <c r="L75" s="9" t="n"/>
      <c r="M75" s="9" t="n"/>
      <c r="N75" s="10" t="n"/>
      <c r="O75" s="9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  <c r="I76" s="9" t="n"/>
      <c r="J76" s="9" t="n"/>
      <c r="K76" s="9" t="n"/>
      <c r="L76" s="9" t="n"/>
      <c r="M76" s="9" t="n"/>
      <c r="N76" s="10" t="n"/>
      <c r="O76" s="9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  <c r="I77" s="9" t="n"/>
      <c r="J77" s="9" t="n"/>
      <c r="K77" s="9" t="n"/>
      <c r="L77" s="9" t="n"/>
      <c r="M77" s="9" t="n"/>
      <c r="N77" s="10" t="n"/>
      <c r="O77" s="9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  <c r="I78" s="9" t="n"/>
      <c r="J78" s="9" t="n"/>
      <c r="K78" s="9" t="n"/>
      <c r="L78" s="9" t="n"/>
      <c r="M78" s="9" t="n"/>
      <c r="N78" s="10" t="n"/>
      <c r="O78" s="9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  <c r="I79" s="9" t="n"/>
      <c r="J79" s="9" t="n"/>
      <c r="K79" s="9" t="n"/>
      <c r="L79" s="9" t="n"/>
      <c r="M79" s="9" t="n"/>
      <c r="N79" s="10" t="n"/>
      <c r="O79" s="9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  <c r="I80" s="9" t="n"/>
      <c r="J80" s="9" t="n"/>
      <c r="K80" s="9" t="n"/>
      <c r="L80" s="9" t="n"/>
      <c r="M80" s="9" t="n"/>
      <c r="N80" s="10" t="n"/>
      <c r="O80" s="9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  <c r="I81" s="9" t="n"/>
      <c r="J81" s="9" t="n"/>
      <c r="K81" s="9" t="n"/>
      <c r="L81" s="9" t="n"/>
      <c r="M81" s="9" t="n"/>
      <c r="N81" s="10" t="n"/>
      <c r="O81" s="9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  <c r="I82" s="9" t="n"/>
      <c r="J82" s="9" t="n"/>
      <c r="K82" s="9" t="n"/>
      <c r="L82" s="9" t="n"/>
      <c r="M82" s="9" t="n"/>
      <c r="N82" s="10" t="n"/>
      <c r="O82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8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22" customWidth="1" min="4" max="4"/>
    <col width="30" customWidth="1" min="5" max="5"/>
    <col width="12" customWidth="1" min="6" max="6"/>
    <col width="30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8" customWidth="1" min="14" max="14"/>
    <col width="16" customWidth="1" min="15" max="15"/>
    <col width="22" customWidth="1" min="17" max="17"/>
    <col width="14" customWidth="1" min="18" max="18"/>
    <col width="16" customWidth="1" min="19" max="19"/>
    <col width="2" customWidth="1" min="20" max="20"/>
    <col width="32" customWidth="1" min="21" max="21"/>
    <col width="22" customWidth="1" min="22" max="22"/>
    <col width="14" customWidth="1" min="23" max="23"/>
    <col width="16" customWidth="1" min="24" max="24"/>
  </cols>
  <sheetData>
    <row r="1" ht="28" customHeight="1">
      <c r="A1" s="1" t="inlineStr">
        <is>
          <t>TRANSMOVE</t>
        </is>
      </c>
      <c r="B1" s="1" t="inlineStr">
        <is>
          <t>FOLHA DE PAGAMENTO ABRIL/2026</t>
        </is>
      </c>
      <c r="I1" s="2">
        <f>SUMIFS(tbl_dados[Provisão de Férias + 13°],tbl_dados[Tomador],$A$1)</f>
        <v/>
      </c>
      <c r="J1" s="2">
        <f>SUMIFS(tbl_dados[Provisão de Encargos],tbl_dados[Tomador],$A$1)</f>
        <v/>
      </c>
      <c r="K1" s="1" t="inlineStr">
        <is>
          <t>Soma</t>
        </is>
      </c>
      <c r="M1" s="2">
        <f>SUMIFS(tbl_dados[TT BRUTO ABRIL],tbl_dados[Tomador],$A$1)</f>
        <v/>
      </c>
      <c r="O1" s="2">
        <f>SUMIFS(tbl_dados[TT BRUTO MARÇO],tbl_dados[Tomador],$A$1)</f>
        <v/>
      </c>
    </row>
    <row r="2" ht="36" customHeight="1">
      <c r="A2" s="3" t="inlineStr">
        <is>
          <t>Qtde</t>
        </is>
      </c>
      <c r="B2" s="3" t="inlineStr">
        <is>
          <t>FUNCIONÁRIO</t>
        </is>
      </c>
      <c r="C2" s="3" t="inlineStr">
        <is>
          <t>Tipo</t>
        </is>
      </c>
      <c r="D2" s="3" t="inlineStr">
        <is>
          <t>Setor</t>
        </is>
      </c>
      <c r="E2" s="3" t="inlineStr">
        <is>
          <t xml:space="preserve">Função </t>
        </is>
      </c>
      <c r="F2" s="3" t="inlineStr">
        <is>
          <t>Status</t>
        </is>
      </c>
      <c r="G2" s="3" t="inlineStr">
        <is>
          <t>Empresa Registro</t>
        </is>
      </c>
      <c r="H2" s="3" t="inlineStr">
        <is>
          <t>CNPJ</t>
        </is>
      </c>
      <c r="I2" s="3" t="inlineStr">
        <is>
          <t>Provisão
de Férias + 13°</t>
        </is>
      </c>
      <c r="J2" s="3" t="inlineStr">
        <is>
          <t>Provisão 
de Encargos</t>
        </is>
      </c>
      <c r="K2" s="3" t="inlineStr">
        <is>
          <t>Eventos Folha
(Caixa)</t>
        </is>
      </c>
      <c r="L2" s="3" t="inlineStr">
        <is>
          <t>Sal PF</t>
        </is>
      </c>
      <c r="M2" s="3" t="inlineStr">
        <is>
          <t>TT BRUTO
ABRIL</t>
        </is>
      </c>
      <c r="N2" s="3" t="inlineStr">
        <is>
          <t>%</t>
        </is>
      </c>
      <c r="O2" s="3" t="inlineStr">
        <is>
          <t>TT BRUTO
MARÇO</t>
        </is>
      </c>
      <c r="Q2" s="3" t="inlineStr">
        <is>
          <t>MODALIDADE</t>
        </is>
      </c>
      <c r="R2" s="3" t="inlineStr">
        <is>
          <t>FUNCIONÁRIOS</t>
        </is>
      </c>
      <c r="S2" s="3" t="inlineStr">
        <is>
          <t>TT BRUTO</t>
        </is>
      </c>
      <c r="U2" s="3" t="inlineStr">
        <is>
          <t>EMPRESA</t>
        </is>
      </c>
      <c r="V2" s="3" t="inlineStr">
        <is>
          <t>CNPJ</t>
        </is>
      </c>
      <c r="W2" s="3" t="inlineStr">
        <is>
          <t>FUNCIONÁRIOS</t>
        </is>
      </c>
      <c r="X2" s="3" t="inlineStr">
        <is>
          <t>TT BRUTO</t>
        </is>
      </c>
    </row>
    <row r="3">
      <c r="A3" s="7">
        <f>IFERROR(_xlfn.SEQUENCE(ROWS(B3#)),"")</f>
        <v/>
      </c>
      <c r="B3" s="8">
        <f>IFERROR(_xlfn._xlws.SORT(_xlfn._xlws.FILTER(tbl_dados[[FUNCIONÁRIO]:[TT BRUTO ABRIL]],tbl_dados[Tomador]=$A$1),12,-1),"")</f>
        <v/>
      </c>
      <c r="C3" s="8" t="n"/>
      <c r="D3" s="8" t="n"/>
      <c r="E3" s="8" t="n"/>
      <c r="F3" s="8" t="n"/>
      <c r="G3" s="8" t="n"/>
      <c r="H3" s="8" t="n"/>
      <c r="I3" s="9" t="n"/>
      <c r="J3" s="9" t="n"/>
      <c r="K3" s="9" t="n"/>
      <c r="L3" s="9" t="n"/>
      <c r="M3" s="9" t="n"/>
      <c r="N3" s="10">
        <f>IFERROR(INDEX(B3#,,12)/$M$1,"")</f>
        <v/>
      </c>
      <c r="O3" s="9">
        <f>IFERROR(INDEX(_xlfn._xlws.SORT(_xlfn._xlws.FILTER(tbl_dados[[FUNCIONÁRIO]:[TT BRUTO MARÇO]],tbl_dados[Tomador]=$A$1),12,-1),,13),"")</f>
        <v/>
      </c>
      <c r="Q3" s="8">
        <f>IFERROR(_xlfn.UNIQUE(_xlfn._xlws.FILTER(tbl_dados[Tipo],tbl_dados[Tomador]=$A$1)),"")</f>
        <v/>
      </c>
      <c r="R3" s="7">
        <f>IFERROR(_xlfn.BYROW(Q3#,_xlfn.LAMBDA(_x,COUNTIFS(tbl_dados[Tomador],$A$1,tbl_dados[Tipo],_x))),"")</f>
        <v/>
      </c>
      <c r="S3" s="9">
        <f>IFERROR(_xlfn.BYROW(Q3#,_xlfn.LAMBDA(_x,SUMIFS(tbl_dados[TT BRUTO ABRIL],tbl_dados[Tomador],$A$1,tbl_dados[Tipo],_x))),"")</f>
        <v/>
      </c>
      <c r="U3" s="8">
        <f>IFERROR(_xlfn.UNIQUE(_xlfn._xlws.FILTER(tbl_dados[Empresa Registro],tbl_dados[Tomador]=$A$1)),"")</f>
        <v/>
      </c>
      <c r="V3" s="11">
        <f>IFERROR(_xlfn.BYROW(U3#,_xlfn.LAMBDA(_x,IFERROR(INDEX(tbl_dados[CNPJ],MATCH(_x,tbl_dados[Empresa Registro],0)),""))),"")</f>
        <v/>
      </c>
      <c r="W3" s="7">
        <f>IFERROR(_xlfn.BYROW(U3#,_xlfn.LAMBDA(_x,COUNTIFS(tbl_dados[Tomador],$A$1,tbl_dados[Empresa Registro],_x))),"")</f>
        <v/>
      </c>
      <c r="X3" s="9">
        <f>IFERROR(_xlfn.BYROW(U3#,_xlfn.LAMBDA(_x,SUMIFS(tbl_dados[TT BRUTO ABRIL],tbl_dados[Tomador],$A$1,tbl_dados[Empresa Registro],_x))),"")</f>
        <v/>
      </c>
    </row>
    <row r="4">
      <c r="A4" s="7" t="n"/>
      <c r="B4" s="8" t="n"/>
      <c r="C4" s="8" t="n"/>
      <c r="D4" s="8" t="n"/>
      <c r="E4" s="8" t="n"/>
      <c r="F4" s="8" t="n"/>
      <c r="G4" s="8" t="n"/>
      <c r="H4" s="8" t="n"/>
      <c r="I4" s="9" t="n"/>
      <c r="J4" s="9" t="n"/>
      <c r="K4" s="9" t="n"/>
      <c r="L4" s="9" t="n"/>
      <c r="M4" s="9" t="n"/>
      <c r="N4" s="10" t="n"/>
      <c r="O4" s="9" t="n"/>
      <c r="Q4" s="8" t="n"/>
      <c r="R4" s="7" t="n"/>
      <c r="S4" s="9" t="n"/>
      <c r="U4" s="8" t="n"/>
      <c r="V4" s="11" t="n"/>
      <c r="W4" s="7" t="n"/>
      <c r="X4" s="9" t="n"/>
    </row>
    <row r="5">
      <c r="A5" s="7" t="n"/>
      <c r="B5" s="8" t="n"/>
      <c r="C5" s="8" t="n"/>
      <c r="D5" s="8" t="n"/>
      <c r="E5" s="8" t="n"/>
      <c r="F5" s="8" t="n"/>
      <c r="G5" s="8" t="n"/>
      <c r="H5" s="8" t="n"/>
      <c r="I5" s="9" t="n"/>
      <c r="J5" s="9" t="n"/>
      <c r="K5" s="9" t="n"/>
      <c r="L5" s="9" t="n"/>
      <c r="M5" s="9" t="n"/>
      <c r="N5" s="10" t="n"/>
      <c r="O5" s="9" t="n"/>
      <c r="Q5" s="8" t="n"/>
      <c r="R5" s="7" t="n"/>
      <c r="S5" s="9" t="n"/>
      <c r="U5" s="8" t="n"/>
      <c r="V5" s="11" t="n"/>
      <c r="W5" s="7" t="n"/>
      <c r="X5" s="9" t="n"/>
    </row>
    <row r="6">
      <c r="A6" s="7" t="n"/>
      <c r="B6" s="8" t="n"/>
      <c r="C6" s="8" t="n"/>
      <c r="D6" s="8" t="n"/>
      <c r="E6" s="8" t="n"/>
      <c r="F6" s="8" t="n"/>
      <c r="G6" s="8" t="n"/>
      <c r="H6" s="8" t="n"/>
      <c r="I6" s="9" t="n"/>
      <c r="J6" s="9" t="n"/>
      <c r="K6" s="9" t="n"/>
      <c r="L6" s="9" t="n"/>
      <c r="M6" s="9" t="n"/>
      <c r="N6" s="10" t="n"/>
      <c r="O6" s="9" t="n"/>
      <c r="Q6" s="8" t="n"/>
      <c r="R6" s="7" t="n"/>
      <c r="S6" s="9" t="n"/>
      <c r="U6" s="8" t="n"/>
      <c r="V6" s="11" t="n"/>
      <c r="W6" s="7" t="n"/>
      <c r="X6" s="9" t="n"/>
    </row>
    <row r="7">
      <c r="A7" s="7" t="n"/>
      <c r="B7" s="8" t="n"/>
      <c r="C7" s="8" t="n"/>
      <c r="D7" s="8" t="n"/>
      <c r="E7" s="8" t="n"/>
      <c r="F7" s="8" t="n"/>
      <c r="G7" s="8" t="n"/>
      <c r="H7" s="8" t="n"/>
      <c r="I7" s="9" t="n"/>
      <c r="J7" s="9" t="n"/>
      <c r="K7" s="9" t="n"/>
      <c r="L7" s="9" t="n"/>
      <c r="M7" s="9" t="n"/>
      <c r="N7" s="10" t="n"/>
      <c r="O7" s="9" t="n"/>
      <c r="Q7" s="8" t="n"/>
      <c r="R7" s="7" t="n"/>
      <c r="S7" s="9" t="n"/>
      <c r="U7" s="8" t="n"/>
      <c r="V7" s="11" t="n"/>
      <c r="W7" s="7" t="n"/>
      <c r="X7" s="9" t="n"/>
    </row>
    <row r="8">
      <c r="A8" s="7" t="n"/>
      <c r="B8" s="8" t="n"/>
      <c r="C8" s="8" t="n"/>
      <c r="D8" s="8" t="n"/>
      <c r="E8" s="8" t="n"/>
      <c r="F8" s="8" t="n"/>
      <c r="G8" s="8" t="n"/>
      <c r="H8" s="8" t="n"/>
      <c r="I8" s="9" t="n"/>
      <c r="J8" s="9" t="n"/>
      <c r="K8" s="9" t="n"/>
      <c r="L8" s="9" t="n"/>
      <c r="M8" s="9" t="n"/>
      <c r="N8" s="10" t="n"/>
      <c r="O8" s="9" t="n"/>
      <c r="Q8" s="8" t="n"/>
      <c r="R8" s="7" t="n"/>
      <c r="S8" s="9" t="n"/>
      <c r="U8" s="8" t="n"/>
      <c r="V8" s="11" t="n"/>
      <c r="W8" s="7" t="n"/>
      <c r="X8" s="9" t="n"/>
    </row>
    <row r="9">
      <c r="A9" s="7" t="n"/>
      <c r="B9" s="8" t="n"/>
      <c r="C9" s="8" t="n"/>
      <c r="D9" s="8" t="n"/>
      <c r="E9" s="8" t="n"/>
      <c r="F9" s="8" t="n"/>
      <c r="G9" s="8" t="n"/>
      <c r="H9" s="8" t="n"/>
      <c r="I9" s="9" t="n"/>
      <c r="J9" s="9" t="n"/>
      <c r="K9" s="9" t="n"/>
      <c r="L9" s="9" t="n"/>
      <c r="M9" s="9" t="n"/>
      <c r="N9" s="10" t="n"/>
      <c r="O9" s="9" t="n"/>
      <c r="Q9" s="8" t="n"/>
      <c r="R9" s="7" t="n"/>
      <c r="S9" s="9" t="n"/>
      <c r="U9" s="8" t="n"/>
      <c r="V9" s="11" t="n"/>
      <c r="W9" s="7" t="n"/>
      <c r="X9" s="9" t="n"/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  <c r="I10" s="9" t="n"/>
      <c r="J10" s="9" t="n"/>
      <c r="K10" s="9" t="n"/>
      <c r="L10" s="9" t="n"/>
      <c r="M10" s="9" t="n"/>
      <c r="N10" s="10" t="n"/>
      <c r="O10" s="9" t="n"/>
      <c r="Q10" s="8" t="n"/>
      <c r="R10" s="7" t="n"/>
      <c r="S10" s="9" t="n"/>
      <c r="U10" s="8" t="n"/>
      <c r="V10" s="11" t="n"/>
      <c r="W10" s="7" t="n"/>
      <c r="X10" s="9" t="n"/>
    </row>
    <row r="11">
      <c r="A11" s="7" t="n"/>
      <c r="B11" s="8" t="n"/>
      <c r="C11" s="8" t="n"/>
      <c r="D11" s="8" t="n"/>
      <c r="E11" s="8" t="n"/>
      <c r="F11" s="8" t="n"/>
      <c r="G11" s="8" t="n"/>
      <c r="H11" s="8" t="n"/>
      <c r="I11" s="9" t="n"/>
      <c r="J11" s="9" t="n"/>
      <c r="K11" s="9" t="n"/>
      <c r="L11" s="9" t="n"/>
      <c r="M11" s="9" t="n"/>
      <c r="N11" s="10" t="n"/>
      <c r="O11" s="9" t="n"/>
      <c r="Q11" s="8" t="n"/>
      <c r="R11" s="7" t="n"/>
      <c r="S11" s="9" t="n"/>
      <c r="U11" s="8" t="n"/>
      <c r="V11" s="11" t="n"/>
      <c r="W11" s="7" t="n"/>
      <c r="X11" s="9" t="n"/>
    </row>
    <row r="12">
      <c r="A12" s="7" t="n"/>
      <c r="B12" s="8" t="n"/>
      <c r="C12" s="8" t="n"/>
      <c r="D12" s="8" t="n"/>
      <c r="E12" s="8" t="n"/>
      <c r="F12" s="8" t="n"/>
      <c r="G12" s="8" t="n"/>
      <c r="H12" s="8" t="n"/>
      <c r="I12" s="9" t="n"/>
      <c r="J12" s="9" t="n"/>
      <c r="K12" s="9" t="n"/>
      <c r="L12" s="9" t="n"/>
      <c r="M12" s="9" t="n"/>
      <c r="N12" s="10" t="n"/>
      <c r="O12" s="9" t="n"/>
      <c r="Q12" s="8" t="n"/>
      <c r="R12" s="7" t="n"/>
      <c r="S12" s="9" t="n"/>
      <c r="U12" s="8" t="n"/>
      <c r="V12" s="11" t="n"/>
      <c r="W12" s="7" t="n"/>
      <c r="X12" s="9" t="n"/>
    </row>
    <row r="13">
      <c r="A13" s="7" t="n"/>
      <c r="B13" s="8" t="n"/>
      <c r="C13" s="8" t="n"/>
      <c r="D13" s="8" t="n"/>
      <c r="E13" s="8" t="n"/>
      <c r="F13" s="8" t="n"/>
      <c r="G13" s="8" t="n"/>
      <c r="H13" s="8" t="n"/>
      <c r="I13" s="9" t="n"/>
      <c r="J13" s="9" t="n"/>
      <c r="K13" s="9" t="n"/>
      <c r="L13" s="9" t="n"/>
      <c r="M13" s="9" t="n"/>
      <c r="N13" s="10" t="n"/>
      <c r="O13" s="9" t="n"/>
      <c r="Q13" s="8" t="n"/>
      <c r="R13" s="7" t="n"/>
      <c r="S13" s="9" t="n"/>
      <c r="U13" s="8" t="n"/>
      <c r="V13" s="11" t="n"/>
      <c r="W13" s="7" t="n"/>
      <c r="X13" s="9" t="n"/>
    </row>
    <row r="14">
      <c r="A14" s="7" t="n"/>
      <c r="B14" s="8" t="n"/>
      <c r="C14" s="8" t="n"/>
      <c r="D14" s="8" t="n"/>
      <c r="E14" s="8" t="n"/>
      <c r="F14" s="8" t="n"/>
      <c r="G14" s="8" t="n"/>
      <c r="H14" s="8" t="n"/>
      <c r="I14" s="9" t="n"/>
      <c r="J14" s="9" t="n"/>
      <c r="K14" s="9" t="n"/>
      <c r="L14" s="9" t="n"/>
      <c r="M14" s="9" t="n"/>
      <c r="N14" s="10" t="n"/>
      <c r="O14" s="9" t="n"/>
      <c r="Q14" s="8" t="n"/>
      <c r="R14" s="7" t="n"/>
      <c r="S14" s="9" t="n"/>
      <c r="U14" s="8" t="n"/>
      <c r="V14" s="11" t="n"/>
      <c r="W14" s="7" t="n"/>
      <c r="X14" s="9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9" t="n"/>
      <c r="J15" s="9" t="n"/>
      <c r="K15" s="9" t="n"/>
      <c r="L15" s="9" t="n"/>
      <c r="M15" s="9" t="n"/>
      <c r="N15" s="10" t="n"/>
      <c r="O15" s="9" t="n"/>
      <c r="Q15" s="8" t="n"/>
      <c r="R15" s="7" t="n"/>
      <c r="S15" s="9" t="n"/>
      <c r="U15" s="8" t="n"/>
      <c r="V15" s="11" t="n"/>
      <c r="W15" s="7" t="n"/>
      <c r="X15" s="9" t="n"/>
    </row>
    <row r="16">
      <c r="A16" s="7" t="n"/>
      <c r="B16" s="8" t="n"/>
      <c r="C16" s="8" t="n"/>
      <c r="D16" s="8" t="n"/>
      <c r="E16" s="8" t="n"/>
      <c r="F16" s="8" t="n"/>
      <c r="G16" s="8" t="n"/>
      <c r="H16" s="8" t="n"/>
      <c r="I16" s="9" t="n"/>
      <c r="J16" s="9" t="n"/>
      <c r="K16" s="9" t="n"/>
      <c r="L16" s="9" t="n"/>
      <c r="M16" s="9" t="n"/>
      <c r="N16" s="10" t="n"/>
      <c r="O16" s="9" t="n"/>
      <c r="Q16" s="8" t="n"/>
      <c r="R16" s="7" t="n"/>
      <c r="S16" s="9" t="n"/>
      <c r="U16" s="8" t="n"/>
      <c r="V16" s="11" t="n"/>
      <c r="W16" s="7" t="n"/>
      <c r="X16" s="9" t="n"/>
    </row>
    <row r="17">
      <c r="A17" s="7" t="n"/>
      <c r="B17" s="8" t="n"/>
      <c r="C17" s="8" t="n"/>
      <c r="D17" s="8" t="n"/>
      <c r="E17" s="8" t="n"/>
      <c r="F17" s="8" t="n"/>
      <c r="G17" s="8" t="n"/>
      <c r="H17" s="8" t="n"/>
      <c r="I17" s="9" t="n"/>
      <c r="J17" s="9" t="n"/>
      <c r="K17" s="9" t="n"/>
      <c r="L17" s="9" t="n"/>
      <c r="M17" s="9" t="n"/>
      <c r="N17" s="10" t="n"/>
      <c r="O17" s="9" t="n"/>
      <c r="Q17" s="8" t="n"/>
      <c r="R17" s="7" t="n"/>
      <c r="S17" s="9" t="n"/>
      <c r="U17" s="8" t="n"/>
      <c r="V17" s="11" t="n"/>
      <c r="W17" s="7" t="n"/>
      <c r="X17" s="9" t="n"/>
    </row>
    <row r="18">
      <c r="A18" s="7" t="n"/>
      <c r="B18" s="8" t="n"/>
      <c r="C18" s="8" t="n"/>
      <c r="D18" s="8" t="n"/>
      <c r="E18" s="8" t="n"/>
      <c r="F18" s="8" t="n"/>
      <c r="G18" s="8" t="n"/>
      <c r="H18" s="8" t="n"/>
      <c r="I18" s="9" t="n"/>
      <c r="J18" s="9" t="n"/>
      <c r="K18" s="9" t="n"/>
      <c r="L18" s="9" t="n"/>
      <c r="M18" s="9" t="n"/>
      <c r="N18" s="10" t="n"/>
      <c r="O18" s="9" t="n"/>
      <c r="Q18" s="8" t="n"/>
      <c r="R18" s="7" t="n"/>
      <c r="S18" s="9" t="n"/>
      <c r="U18" s="8" t="n"/>
      <c r="V18" s="11" t="n"/>
      <c r="W18" s="7" t="n"/>
      <c r="X18" s="9" t="n"/>
    </row>
    <row r="19">
      <c r="A19" s="7" t="n"/>
      <c r="B19" s="8" t="n"/>
      <c r="C19" s="8" t="n"/>
      <c r="D19" s="8" t="n"/>
      <c r="E19" s="8" t="n"/>
      <c r="F19" s="8" t="n"/>
      <c r="G19" s="8" t="n"/>
      <c r="H19" s="8" t="n"/>
      <c r="I19" s="9" t="n"/>
      <c r="J19" s="9" t="n"/>
      <c r="K19" s="9" t="n"/>
      <c r="L19" s="9" t="n"/>
      <c r="M19" s="9" t="n"/>
      <c r="N19" s="10" t="n"/>
      <c r="O19" s="9" t="n"/>
      <c r="Q19" s="8" t="n"/>
      <c r="R19" s="7" t="n"/>
      <c r="S19" s="9" t="n"/>
      <c r="U19" s="8" t="n"/>
      <c r="V19" s="11" t="n"/>
      <c r="W19" s="7" t="n"/>
      <c r="X19" s="9" t="n"/>
    </row>
    <row r="20">
      <c r="A20" s="7" t="n"/>
      <c r="B20" s="8" t="n"/>
      <c r="C20" s="8" t="n"/>
      <c r="D20" s="8" t="n"/>
      <c r="E20" s="8" t="n"/>
      <c r="F20" s="8" t="n"/>
      <c r="G20" s="8" t="n"/>
      <c r="H20" s="8" t="n"/>
      <c r="I20" s="9" t="n"/>
      <c r="J20" s="9" t="n"/>
      <c r="K20" s="9" t="n"/>
      <c r="L20" s="9" t="n"/>
      <c r="M20" s="9" t="n"/>
      <c r="N20" s="10" t="n"/>
      <c r="O20" s="9" t="n"/>
      <c r="Q20" s="8" t="n"/>
      <c r="R20" s="7" t="n"/>
      <c r="S20" s="9" t="n"/>
      <c r="U20" s="8" t="n"/>
      <c r="V20" s="11" t="n"/>
      <c r="W20" s="7" t="n"/>
      <c r="X20" s="9" t="n"/>
    </row>
    <row r="21">
      <c r="A21" s="7" t="n"/>
      <c r="B21" s="8" t="n"/>
      <c r="C21" s="8" t="n"/>
      <c r="D21" s="8" t="n"/>
      <c r="E21" s="8" t="n"/>
      <c r="F21" s="8" t="n"/>
      <c r="G21" s="8" t="n"/>
      <c r="H21" s="8" t="n"/>
      <c r="I21" s="9" t="n"/>
      <c r="J21" s="9" t="n"/>
      <c r="K21" s="9" t="n"/>
      <c r="L21" s="9" t="n"/>
      <c r="M21" s="9" t="n"/>
      <c r="N21" s="10" t="n"/>
      <c r="O21" s="9" t="n"/>
      <c r="Q21" s="8" t="n"/>
      <c r="R21" s="7" t="n"/>
      <c r="S21" s="9" t="n"/>
      <c r="U21" s="8" t="n"/>
      <c r="V21" s="11" t="n"/>
      <c r="W21" s="7" t="n"/>
      <c r="X21" s="9" t="n"/>
    </row>
    <row r="22">
      <c r="A22" s="7" t="n"/>
      <c r="B22" s="8" t="n"/>
      <c r="C22" s="8" t="n"/>
      <c r="D22" s="8" t="n"/>
      <c r="E22" s="8" t="n"/>
      <c r="F22" s="8" t="n"/>
      <c r="G22" s="8" t="n"/>
      <c r="H22" s="8" t="n"/>
      <c r="I22" s="9" t="n"/>
      <c r="J22" s="9" t="n"/>
      <c r="K22" s="9" t="n"/>
      <c r="L22" s="9" t="n"/>
      <c r="M22" s="9" t="n"/>
      <c r="N22" s="10" t="n"/>
      <c r="O22" s="9" t="n"/>
      <c r="Q22" s="8" t="n"/>
      <c r="R22" s="7" t="n"/>
      <c r="S22" s="9" t="n"/>
      <c r="U22" s="8" t="n"/>
      <c r="V22" s="11" t="n"/>
      <c r="W22" s="7" t="n"/>
      <c r="X22" s="9" t="n"/>
    </row>
    <row r="23">
      <c r="A23" s="7" t="n"/>
      <c r="B23" s="8" t="n"/>
      <c r="C23" s="8" t="n"/>
      <c r="D23" s="8" t="n"/>
      <c r="E23" s="8" t="n"/>
      <c r="F23" s="8" t="n"/>
      <c r="G23" s="8" t="n"/>
      <c r="H23" s="8" t="n"/>
      <c r="I23" s="9" t="n"/>
      <c r="J23" s="9" t="n"/>
      <c r="K23" s="9" t="n"/>
      <c r="L23" s="9" t="n"/>
      <c r="M23" s="9" t="n"/>
      <c r="N23" s="10" t="n"/>
      <c r="O23" s="9" t="n"/>
      <c r="Q23" s="8" t="n"/>
      <c r="R23" s="7" t="n"/>
      <c r="S23" s="9" t="n"/>
      <c r="U23" s="8" t="n"/>
      <c r="V23" s="11" t="n"/>
      <c r="W23" s="7" t="n"/>
      <c r="X23" s="9" t="n"/>
    </row>
    <row r="24">
      <c r="A24" s="7" t="n"/>
      <c r="B24" s="8" t="n"/>
      <c r="C24" s="8" t="n"/>
      <c r="D24" s="8" t="n"/>
      <c r="E24" s="8" t="n"/>
      <c r="F24" s="8" t="n"/>
      <c r="G24" s="8" t="n"/>
      <c r="H24" s="8" t="n"/>
      <c r="I24" s="9" t="n"/>
      <c r="J24" s="9" t="n"/>
      <c r="K24" s="9" t="n"/>
      <c r="L24" s="9" t="n"/>
      <c r="M24" s="9" t="n"/>
      <c r="N24" s="10" t="n"/>
      <c r="O24" s="9" t="n"/>
      <c r="Q24" s="8" t="n"/>
      <c r="R24" s="7" t="n"/>
      <c r="S24" s="9" t="n"/>
      <c r="U24" s="8" t="n"/>
      <c r="V24" s="11" t="n"/>
      <c r="W24" s="7" t="n"/>
      <c r="X24" s="9" t="n"/>
    </row>
    <row r="25">
      <c r="A25" s="7" t="n"/>
      <c r="B25" s="8" t="n"/>
      <c r="C25" s="8" t="n"/>
      <c r="D25" s="8" t="n"/>
      <c r="E25" s="8" t="n"/>
      <c r="F25" s="8" t="n"/>
      <c r="G25" s="8" t="n"/>
      <c r="H25" s="8" t="n"/>
      <c r="I25" s="9" t="n"/>
      <c r="J25" s="9" t="n"/>
      <c r="K25" s="9" t="n"/>
      <c r="L25" s="9" t="n"/>
      <c r="M25" s="9" t="n"/>
      <c r="N25" s="10" t="n"/>
      <c r="O25" s="9" t="n"/>
      <c r="Q25" s="8" t="n"/>
      <c r="R25" s="7" t="n"/>
      <c r="S25" s="9" t="n"/>
      <c r="U25" s="8" t="n"/>
      <c r="V25" s="11" t="n"/>
      <c r="W25" s="7" t="n"/>
      <c r="X25" s="9" t="n"/>
    </row>
    <row r="26">
      <c r="A26" s="7" t="n"/>
      <c r="B26" s="8" t="n"/>
      <c r="C26" s="8" t="n"/>
      <c r="D26" s="8" t="n"/>
      <c r="E26" s="8" t="n"/>
      <c r="F26" s="8" t="n"/>
      <c r="G26" s="8" t="n"/>
      <c r="H26" s="8" t="n"/>
      <c r="I26" s="9" t="n"/>
      <c r="J26" s="9" t="n"/>
      <c r="K26" s="9" t="n"/>
      <c r="L26" s="9" t="n"/>
      <c r="M26" s="9" t="n"/>
      <c r="N26" s="10" t="n"/>
      <c r="O26" s="9" t="n"/>
      <c r="Q26" s="8" t="n"/>
      <c r="R26" s="7" t="n"/>
      <c r="S26" s="9" t="n"/>
      <c r="U26" s="8" t="n"/>
      <c r="V26" s="11" t="n"/>
      <c r="W26" s="7" t="n"/>
      <c r="X26" s="9" t="n"/>
    </row>
    <row r="27">
      <c r="A27" s="7" t="n"/>
      <c r="B27" s="8" t="n"/>
      <c r="C27" s="8" t="n"/>
      <c r="D27" s="8" t="n"/>
      <c r="E27" s="8" t="n"/>
      <c r="F27" s="8" t="n"/>
      <c r="G27" s="8" t="n"/>
      <c r="H27" s="8" t="n"/>
      <c r="I27" s="9" t="n"/>
      <c r="J27" s="9" t="n"/>
      <c r="K27" s="9" t="n"/>
      <c r="L27" s="9" t="n"/>
      <c r="M27" s="9" t="n"/>
      <c r="N27" s="10" t="n"/>
      <c r="O27" s="9" t="n"/>
      <c r="Q27" s="8" t="n"/>
      <c r="R27" s="7" t="n"/>
      <c r="S27" s="9" t="n"/>
      <c r="U27" s="8" t="n"/>
      <c r="V27" s="11" t="n"/>
      <c r="W27" s="7" t="n"/>
      <c r="X27" s="9" t="n"/>
    </row>
    <row r="28">
      <c r="A28" s="7" t="n"/>
      <c r="B28" s="8" t="n"/>
      <c r="C28" s="8" t="n"/>
      <c r="D28" s="8" t="n"/>
      <c r="E28" s="8" t="n"/>
      <c r="F28" s="8" t="n"/>
      <c r="G28" s="8" t="n"/>
      <c r="H28" s="8" t="n"/>
      <c r="I28" s="9" t="n"/>
      <c r="J28" s="9" t="n"/>
      <c r="K28" s="9" t="n"/>
      <c r="L28" s="9" t="n"/>
      <c r="M28" s="9" t="n"/>
      <c r="N28" s="10" t="n"/>
      <c r="O28" s="9" t="n"/>
      <c r="Q28" s="8" t="n"/>
      <c r="R28" s="7" t="n"/>
      <c r="S28" s="9" t="n"/>
      <c r="U28" s="8" t="n"/>
      <c r="V28" s="11" t="n"/>
      <c r="W28" s="7" t="n"/>
      <c r="X28" s="9" t="n"/>
    </row>
    <row r="29">
      <c r="A29" s="7" t="n"/>
      <c r="B29" s="8" t="n"/>
      <c r="C29" s="8" t="n"/>
      <c r="D29" s="8" t="n"/>
      <c r="E29" s="8" t="n"/>
      <c r="F29" s="8" t="n"/>
      <c r="G29" s="8" t="n"/>
      <c r="H29" s="8" t="n"/>
      <c r="I29" s="9" t="n"/>
      <c r="J29" s="9" t="n"/>
      <c r="K29" s="9" t="n"/>
      <c r="L29" s="9" t="n"/>
      <c r="M29" s="9" t="n"/>
      <c r="N29" s="10" t="n"/>
      <c r="O29" s="9" t="n"/>
      <c r="Q29" s="8" t="n"/>
      <c r="R29" s="7" t="n"/>
      <c r="S29" s="9" t="n"/>
      <c r="U29" s="8" t="n"/>
      <c r="V29" s="11" t="n"/>
      <c r="W29" s="7" t="n"/>
      <c r="X29" s="9" t="n"/>
    </row>
    <row r="30">
      <c r="A30" s="7" t="n"/>
      <c r="B30" s="8" t="n"/>
      <c r="C30" s="8" t="n"/>
      <c r="D30" s="8" t="n"/>
      <c r="E30" s="8" t="n"/>
      <c r="F30" s="8" t="n"/>
      <c r="G30" s="8" t="n"/>
      <c r="H30" s="8" t="n"/>
      <c r="I30" s="9" t="n"/>
      <c r="J30" s="9" t="n"/>
      <c r="K30" s="9" t="n"/>
      <c r="L30" s="9" t="n"/>
      <c r="M30" s="9" t="n"/>
      <c r="N30" s="10" t="n"/>
      <c r="O30" s="9" t="n"/>
      <c r="Q30" s="8" t="n"/>
      <c r="R30" s="7" t="n"/>
      <c r="S30" s="9" t="n"/>
      <c r="U30" s="8" t="n"/>
      <c r="V30" s="11" t="n"/>
      <c r="W30" s="7" t="n"/>
      <c r="X30" s="9" t="n"/>
    </row>
    <row r="31">
      <c r="A31" s="7" t="n"/>
      <c r="B31" s="8" t="n"/>
      <c r="C31" s="8" t="n"/>
      <c r="D31" s="8" t="n"/>
      <c r="E31" s="8" t="n"/>
      <c r="F31" s="8" t="n"/>
      <c r="G31" s="8" t="n"/>
      <c r="H31" s="8" t="n"/>
      <c r="I31" s="9" t="n"/>
      <c r="J31" s="9" t="n"/>
      <c r="K31" s="9" t="n"/>
      <c r="L31" s="9" t="n"/>
      <c r="M31" s="9" t="n"/>
      <c r="N31" s="10" t="n"/>
      <c r="O31" s="9" t="n"/>
      <c r="Q31" s="8" t="n"/>
      <c r="R31" s="7" t="n"/>
      <c r="S31" s="9" t="n"/>
      <c r="U31" s="8" t="n"/>
      <c r="V31" s="11" t="n"/>
      <c r="W31" s="7" t="n"/>
      <c r="X31" s="9" t="n"/>
    </row>
    <row r="32">
      <c r="A32" s="7" t="n"/>
      <c r="B32" s="8" t="n"/>
      <c r="C32" s="8" t="n"/>
      <c r="D32" s="8" t="n"/>
      <c r="E32" s="8" t="n"/>
      <c r="F32" s="8" t="n"/>
      <c r="G32" s="8" t="n"/>
      <c r="H32" s="8" t="n"/>
      <c r="I32" s="9" t="n"/>
      <c r="J32" s="9" t="n"/>
      <c r="K32" s="9" t="n"/>
      <c r="L32" s="9" t="n"/>
      <c r="M32" s="9" t="n"/>
      <c r="N32" s="10" t="n"/>
      <c r="O32" s="9" t="n"/>
      <c r="Q32" s="8" t="n"/>
      <c r="R32" s="7" t="n"/>
      <c r="S32" s="9" t="n"/>
      <c r="U32" s="8" t="n"/>
      <c r="V32" s="11" t="n"/>
      <c r="W32" s="7" t="n"/>
      <c r="X32" s="9" t="n"/>
    </row>
    <row r="33">
      <c r="A33" s="7" t="n"/>
      <c r="B33" s="8" t="n"/>
      <c r="C33" s="8" t="n"/>
      <c r="D33" s="8" t="n"/>
      <c r="E33" s="8" t="n"/>
      <c r="F33" s="8" t="n"/>
      <c r="G33" s="8" t="n"/>
      <c r="H33" s="8" t="n"/>
      <c r="I33" s="9" t="n"/>
      <c r="J33" s="9" t="n"/>
      <c r="K33" s="9" t="n"/>
      <c r="L33" s="9" t="n"/>
      <c r="M33" s="9" t="n"/>
      <c r="N33" s="10" t="n"/>
      <c r="O33" s="9" t="n"/>
    </row>
    <row r="34">
      <c r="A34" s="7" t="n"/>
      <c r="B34" s="8" t="n"/>
      <c r="C34" s="8" t="n"/>
      <c r="D34" s="8" t="n"/>
      <c r="E34" s="8" t="n"/>
      <c r="F34" s="8" t="n"/>
      <c r="G34" s="8" t="n"/>
      <c r="H34" s="8" t="n"/>
      <c r="I34" s="9" t="n"/>
      <c r="J34" s="9" t="n"/>
      <c r="K34" s="9" t="n"/>
      <c r="L34" s="9" t="n"/>
      <c r="M34" s="9" t="n"/>
      <c r="N34" s="10" t="n"/>
      <c r="O34" s="9" t="n"/>
    </row>
    <row r="35">
      <c r="A35" s="7" t="n"/>
      <c r="B35" s="8" t="n"/>
      <c r="C35" s="8" t="n"/>
      <c r="D35" s="8" t="n"/>
      <c r="E35" s="8" t="n"/>
      <c r="F35" s="8" t="n"/>
      <c r="G35" s="8" t="n"/>
      <c r="H35" s="8" t="n"/>
      <c r="I35" s="9" t="n"/>
      <c r="J35" s="9" t="n"/>
      <c r="K35" s="9" t="n"/>
      <c r="L35" s="9" t="n"/>
      <c r="M35" s="9" t="n"/>
      <c r="N35" s="10" t="n"/>
      <c r="O35" s="9" t="n"/>
    </row>
    <row r="36">
      <c r="A36" s="7" t="n"/>
      <c r="B36" s="8" t="n"/>
      <c r="C36" s="8" t="n"/>
      <c r="D36" s="8" t="n"/>
      <c r="E36" s="8" t="n"/>
      <c r="F36" s="8" t="n"/>
      <c r="G36" s="8" t="n"/>
      <c r="H36" s="8" t="n"/>
      <c r="I36" s="9" t="n"/>
      <c r="J36" s="9" t="n"/>
      <c r="K36" s="9" t="n"/>
      <c r="L36" s="9" t="n"/>
      <c r="M36" s="9" t="n"/>
      <c r="N36" s="10" t="n"/>
      <c r="O36" s="9" t="n"/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  <c r="I37" s="9" t="n"/>
      <c r="J37" s="9" t="n"/>
      <c r="K37" s="9" t="n"/>
      <c r="L37" s="9" t="n"/>
      <c r="M37" s="9" t="n"/>
      <c r="N37" s="10" t="n"/>
      <c r="O37" s="9" t="n"/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  <c r="I38" s="9" t="n"/>
      <c r="J38" s="9" t="n"/>
      <c r="K38" s="9" t="n"/>
      <c r="L38" s="9" t="n"/>
      <c r="M38" s="9" t="n"/>
      <c r="N38" s="10" t="n"/>
      <c r="O38" s="9" t="n"/>
    </row>
    <row r="39">
      <c r="A39" s="7" t="n"/>
      <c r="B39" s="8" t="n"/>
      <c r="C39" s="8" t="n"/>
      <c r="D39" s="8" t="n"/>
      <c r="E39" s="8" t="n"/>
      <c r="F39" s="8" t="n"/>
      <c r="G39" s="8" t="n"/>
      <c r="H39" s="8" t="n"/>
      <c r="I39" s="9" t="n"/>
      <c r="J39" s="9" t="n"/>
      <c r="K39" s="9" t="n"/>
      <c r="L39" s="9" t="n"/>
      <c r="M39" s="9" t="n"/>
      <c r="N39" s="10" t="n"/>
      <c r="O39" s="9" t="n"/>
    </row>
    <row r="40">
      <c r="A40" s="7" t="n"/>
      <c r="B40" s="8" t="n"/>
      <c r="C40" s="8" t="n"/>
      <c r="D40" s="8" t="n"/>
      <c r="E40" s="8" t="n"/>
      <c r="F40" s="8" t="n"/>
      <c r="G40" s="8" t="n"/>
      <c r="H40" s="8" t="n"/>
      <c r="I40" s="9" t="n"/>
      <c r="J40" s="9" t="n"/>
      <c r="K40" s="9" t="n"/>
      <c r="L40" s="9" t="n"/>
      <c r="M40" s="9" t="n"/>
      <c r="N40" s="10" t="n"/>
      <c r="O40" s="9" t="n"/>
    </row>
    <row r="41">
      <c r="A41" s="7" t="n"/>
      <c r="B41" s="8" t="n"/>
      <c r="C41" s="8" t="n"/>
      <c r="D41" s="8" t="n"/>
      <c r="E41" s="8" t="n"/>
      <c r="F41" s="8" t="n"/>
      <c r="G41" s="8" t="n"/>
      <c r="H41" s="8" t="n"/>
      <c r="I41" s="9" t="n"/>
      <c r="J41" s="9" t="n"/>
      <c r="K41" s="9" t="n"/>
      <c r="L41" s="9" t="n"/>
      <c r="M41" s="9" t="n"/>
      <c r="N41" s="10" t="n"/>
      <c r="O41" s="9" t="n"/>
    </row>
    <row r="42">
      <c r="A42" s="7" t="n"/>
      <c r="B42" s="8" t="n"/>
      <c r="C42" s="8" t="n"/>
      <c r="D42" s="8" t="n"/>
      <c r="E42" s="8" t="n"/>
      <c r="F42" s="8" t="n"/>
      <c r="G42" s="8" t="n"/>
      <c r="H42" s="8" t="n"/>
      <c r="I42" s="9" t="n"/>
      <c r="J42" s="9" t="n"/>
      <c r="K42" s="9" t="n"/>
      <c r="L42" s="9" t="n"/>
      <c r="M42" s="9" t="n"/>
      <c r="N42" s="10" t="n"/>
      <c r="O42" s="9" t="n"/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  <c r="I43" s="9" t="n"/>
      <c r="J43" s="9" t="n"/>
      <c r="K43" s="9" t="n"/>
      <c r="L43" s="9" t="n"/>
      <c r="M43" s="9" t="n"/>
      <c r="N43" s="10" t="n"/>
      <c r="O43" s="9" t="n"/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  <c r="I44" s="9" t="n"/>
      <c r="J44" s="9" t="n"/>
      <c r="K44" s="9" t="n"/>
      <c r="L44" s="9" t="n"/>
      <c r="M44" s="9" t="n"/>
      <c r="N44" s="10" t="n"/>
      <c r="O44" s="9" t="n"/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  <c r="I45" s="9" t="n"/>
      <c r="J45" s="9" t="n"/>
      <c r="K45" s="9" t="n"/>
      <c r="L45" s="9" t="n"/>
      <c r="M45" s="9" t="n"/>
      <c r="N45" s="10" t="n"/>
      <c r="O45" s="9" t="n"/>
    </row>
    <row r="46">
      <c r="A46" s="7" t="n"/>
      <c r="B46" s="8" t="n"/>
      <c r="C46" s="8" t="n"/>
      <c r="D46" s="8" t="n"/>
      <c r="E46" s="8" t="n"/>
      <c r="F46" s="8" t="n"/>
      <c r="G46" s="8" t="n"/>
      <c r="H46" s="8" t="n"/>
      <c r="I46" s="9" t="n"/>
      <c r="J46" s="9" t="n"/>
      <c r="K46" s="9" t="n"/>
      <c r="L46" s="9" t="n"/>
      <c r="M46" s="9" t="n"/>
      <c r="N46" s="10" t="n"/>
      <c r="O46" s="9" t="n"/>
    </row>
    <row r="47">
      <c r="A47" s="7" t="n"/>
      <c r="B47" s="8" t="n"/>
      <c r="C47" s="8" t="n"/>
      <c r="D47" s="8" t="n"/>
      <c r="E47" s="8" t="n"/>
      <c r="F47" s="8" t="n"/>
      <c r="G47" s="8" t="n"/>
      <c r="H47" s="8" t="n"/>
      <c r="I47" s="9" t="n"/>
      <c r="J47" s="9" t="n"/>
      <c r="K47" s="9" t="n"/>
      <c r="L47" s="9" t="n"/>
      <c r="M47" s="9" t="n"/>
      <c r="N47" s="10" t="n"/>
      <c r="O47" s="9" t="n"/>
    </row>
    <row r="48">
      <c r="A48" s="7" t="n"/>
      <c r="B48" s="8" t="n"/>
      <c r="C48" s="8" t="n"/>
      <c r="D48" s="8" t="n"/>
      <c r="E48" s="8" t="n"/>
      <c r="F48" s="8" t="n"/>
      <c r="G48" s="8" t="n"/>
      <c r="H48" s="8" t="n"/>
      <c r="I48" s="9" t="n"/>
      <c r="J48" s="9" t="n"/>
      <c r="K48" s="9" t="n"/>
      <c r="L48" s="9" t="n"/>
      <c r="M48" s="9" t="n"/>
      <c r="N48" s="10" t="n"/>
      <c r="O48" s="9" t="n"/>
    </row>
    <row r="49">
      <c r="A49" s="7" t="n"/>
      <c r="B49" s="8" t="n"/>
      <c r="C49" s="8" t="n"/>
      <c r="D49" s="8" t="n"/>
      <c r="E49" s="8" t="n"/>
      <c r="F49" s="8" t="n"/>
      <c r="G49" s="8" t="n"/>
      <c r="H49" s="8" t="n"/>
      <c r="I49" s="9" t="n"/>
      <c r="J49" s="9" t="n"/>
      <c r="K49" s="9" t="n"/>
      <c r="L49" s="9" t="n"/>
      <c r="M49" s="9" t="n"/>
      <c r="N49" s="10" t="n"/>
      <c r="O49" s="9" t="n"/>
    </row>
    <row r="50">
      <c r="A50" s="7" t="n"/>
      <c r="B50" s="8" t="n"/>
      <c r="C50" s="8" t="n"/>
      <c r="D50" s="8" t="n"/>
      <c r="E50" s="8" t="n"/>
      <c r="F50" s="8" t="n"/>
      <c r="G50" s="8" t="n"/>
      <c r="H50" s="8" t="n"/>
      <c r="I50" s="9" t="n"/>
      <c r="J50" s="9" t="n"/>
      <c r="K50" s="9" t="n"/>
      <c r="L50" s="9" t="n"/>
      <c r="M50" s="9" t="n"/>
      <c r="N50" s="10" t="n"/>
      <c r="O50" s="9" t="n"/>
    </row>
    <row r="51">
      <c r="A51" s="7" t="n"/>
      <c r="B51" s="8" t="n"/>
      <c r="C51" s="8" t="n"/>
      <c r="D51" s="8" t="n"/>
      <c r="E51" s="8" t="n"/>
      <c r="F51" s="8" t="n"/>
      <c r="G51" s="8" t="n"/>
      <c r="H51" s="8" t="n"/>
      <c r="I51" s="9" t="n"/>
      <c r="J51" s="9" t="n"/>
      <c r="K51" s="9" t="n"/>
      <c r="L51" s="9" t="n"/>
      <c r="M51" s="9" t="n"/>
      <c r="N51" s="10" t="n"/>
      <c r="O51" s="9" t="n"/>
    </row>
    <row r="52">
      <c r="A52" s="7" t="n"/>
      <c r="B52" s="8" t="n"/>
      <c r="C52" s="8" t="n"/>
      <c r="D52" s="8" t="n"/>
      <c r="E52" s="8" t="n"/>
      <c r="F52" s="8" t="n"/>
      <c r="G52" s="8" t="n"/>
      <c r="H52" s="8" t="n"/>
      <c r="I52" s="9" t="n"/>
      <c r="J52" s="9" t="n"/>
      <c r="K52" s="9" t="n"/>
      <c r="L52" s="9" t="n"/>
      <c r="M52" s="9" t="n"/>
      <c r="N52" s="10" t="n"/>
      <c r="O52" s="9" t="n"/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  <c r="I53" s="9" t="n"/>
      <c r="J53" s="9" t="n"/>
      <c r="K53" s="9" t="n"/>
      <c r="L53" s="9" t="n"/>
      <c r="M53" s="9" t="n"/>
      <c r="N53" s="10" t="n"/>
      <c r="O53" s="9" t="n"/>
    </row>
    <row r="54">
      <c r="A54" s="7" t="n"/>
      <c r="B54" s="8" t="n"/>
      <c r="C54" s="8" t="n"/>
      <c r="D54" s="8" t="n"/>
      <c r="E54" s="8" t="n"/>
      <c r="F54" s="8" t="n"/>
      <c r="G54" s="8" t="n"/>
      <c r="H54" s="8" t="n"/>
      <c r="I54" s="9" t="n"/>
      <c r="J54" s="9" t="n"/>
      <c r="K54" s="9" t="n"/>
      <c r="L54" s="9" t="n"/>
      <c r="M54" s="9" t="n"/>
      <c r="N54" s="10" t="n"/>
      <c r="O54" s="9" t="n"/>
    </row>
    <row r="55">
      <c r="A55" s="7" t="n"/>
      <c r="B55" s="8" t="n"/>
      <c r="C55" s="8" t="n"/>
      <c r="D55" s="8" t="n"/>
      <c r="E55" s="8" t="n"/>
      <c r="F55" s="8" t="n"/>
      <c r="G55" s="8" t="n"/>
      <c r="H55" s="8" t="n"/>
      <c r="I55" s="9" t="n"/>
      <c r="J55" s="9" t="n"/>
      <c r="K55" s="9" t="n"/>
      <c r="L55" s="9" t="n"/>
      <c r="M55" s="9" t="n"/>
      <c r="N55" s="10" t="n"/>
      <c r="O55" s="9" t="n"/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  <c r="I56" s="9" t="n"/>
      <c r="J56" s="9" t="n"/>
      <c r="K56" s="9" t="n"/>
      <c r="L56" s="9" t="n"/>
      <c r="M56" s="9" t="n"/>
      <c r="N56" s="10" t="n"/>
      <c r="O56" s="9" t="n"/>
    </row>
    <row r="57">
      <c r="A57" s="7" t="n"/>
      <c r="B57" s="8" t="n"/>
      <c r="C57" s="8" t="n"/>
      <c r="D57" s="8" t="n"/>
      <c r="E57" s="8" t="n"/>
      <c r="F57" s="8" t="n"/>
      <c r="G57" s="8" t="n"/>
      <c r="H57" s="8" t="n"/>
      <c r="I57" s="9" t="n"/>
      <c r="J57" s="9" t="n"/>
      <c r="K57" s="9" t="n"/>
      <c r="L57" s="9" t="n"/>
      <c r="M57" s="9" t="n"/>
      <c r="N57" s="10" t="n"/>
      <c r="O57" s="9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  <c r="I58" s="9" t="n"/>
      <c r="J58" s="9" t="n"/>
      <c r="K58" s="9" t="n"/>
      <c r="L58" s="9" t="n"/>
      <c r="M58" s="9" t="n"/>
      <c r="N58" s="10" t="n"/>
      <c r="O58" s="9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  <c r="I59" s="9" t="n"/>
      <c r="J59" s="9" t="n"/>
      <c r="K59" s="9" t="n"/>
      <c r="L59" s="9" t="n"/>
      <c r="M59" s="9" t="n"/>
      <c r="N59" s="10" t="n"/>
      <c r="O59" s="9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  <c r="I60" s="9" t="n"/>
      <c r="J60" s="9" t="n"/>
      <c r="K60" s="9" t="n"/>
      <c r="L60" s="9" t="n"/>
      <c r="M60" s="9" t="n"/>
      <c r="N60" s="10" t="n"/>
      <c r="O60" s="9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  <c r="I61" s="9" t="n"/>
      <c r="J61" s="9" t="n"/>
      <c r="K61" s="9" t="n"/>
      <c r="L61" s="9" t="n"/>
      <c r="M61" s="9" t="n"/>
      <c r="N61" s="10" t="n"/>
      <c r="O61" s="9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  <c r="I62" s="9" t="n"/>
      <c r="J62" s="9" t="n"/>
      <c r="K62" s="9" t="n"/>
      <c r="L62" s="9" t="n"/>
      <c r="M62" s="9" t="n"/>
      <c r="N62" s="10" t="n"/>
      <c r="O62" s="9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  <c r="I63" s="9" t="n"/>
      <c r="J63" s="9" t="n"/>
      <c r="K63" s="9" t="n"/>
      <c r="L63" s="9" t="n"/>
      <c r="M63" s="9" t="n"/>
      <c r="N63" s="10" t="n"/>
      <c r="O63" s="9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  <c r="I64" s="9" t="n"/>
      <c r="J64" s="9" t="n"/>
      <c r="K64" s="9" t="n"/>
      <c r="L64" s="9" t="n"/>
      <c r="M64" s="9" t="n"/>
      <c r="N64" s="10" t="n"/>
      <c r="O64" s="9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  <c r="I65" s="9" t="n"/>
      <c r="J65" s="9" t="n"/>
      <c r="K65" s="9" t="n"/>
      <c r="L65" s="9" t="n"/>
      <c r="M65" s="9" t="n"/>
      <c r="N65" s="10" t="n"/>
      <c r="O65" s="9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  <c r="I66" s="9" t="n"/>
      <c r="J66" s="9" t="n"/>
      <c r="K66" s="9" t="n"/>
      <c r="L66" s="9" t="n"/>
      <c r="M66" s="9" t="n"/>
      <c r="N66" s="10" t="n"/>
      <c r="O66" s="9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  <c r="I67" s="9" t="n"/>
      <c r="J67" s="9" t="n"/>
      <c r="K67" s="9" t="n"/>
      <c r="L67" s="9" t="n"/>
      <c r="M67" s="9" t="n"/>
      <c r="N67" s="10" t="n"/>
      <c r="O67" s="9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  <c r="I68" s="9" t="n"/>
      <c r="J68" s="9" t="n"/>
      <c r="K68" s="9" t="n"/>
      <c r="L68" s="9" t="n"/>
      <c r="M68" s="9" t="n"/>
      <c r="N68" s="10" t="n"/>
      <c r="O68" s="9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  <c r="I69" s="9" t="n"/>
      <c r="J69" s="9" t="n"/>
      <c r="K69" s="9" t="n"/>
      <c r="L69" s="9" t="n"/>
      <c r="M69" s="9" t="n"/>
      <c r="N69" s="10" t="n"/>
      <c r="O69" s="9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  <c r="I70" s="9" t="n"/>
      <c r="J70" s="9" t="n"/>
      <c r="K70" s="9" t="n"/>
      <c r="L70" s="9" t="n"/>
      <c r="M70" s="9" t="n"/>
      <c r="N70" s="10" t="n"/>
      <c r="O70" s="9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  <c r="I71" s="9" t="n"/>
      <c r="J71" s="9" t="n"/>
      <c r="K71" s="9" t="n"/>
      <c r="L71" s="9" t="n"/>
      <c r="M71" s="9" t="n"/>
      <c r="N71" s="10" t="n"/>
      <c r="O71" s="9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  <c r="I72" s="9" t="n"/>
      <c r="J72" s="9" t="n"/>
      <c r="K72" s="9" t="n"/>
      <c r="L72" s="9" t="n"/>
      <c r="M72" s="9" t="n"/>
      <c r="N72" s="10" t="n"/>
      <c r="O72" s="9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  <c r="I73" s="9" t="n"/>
      <c r="J73" s="9" t="n"/>
      <c r="K73" s="9" t="n"/>
      <c r="L73" s="9" t="n"/>
      <c r="M73" s="9" t="n"/>
      <c r="N73" s="10" t="n"/>
      <c r="O73" s="9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  <c r="I74" s="9" t="n"/>
      <c r="J74" s="9" t="n"/>
      <c r="K74" s="9" t="n"/>
      <c r="L74" s="9" t="n"/>
      <c r="M74" s="9" t="n"/>
      <c r="N74" s="10" t="n"/>
      <c r="O74" s="9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  <c r="I75" s="9" t="n"/>
      <c r="J75" s="9" t="n"/>
      <c r="K75" s="9" t="n"/>
      <c r="L75" s="9" t="n"/>
      <c r="M75" s="9" t="n"/>
      <c r="N75" s="10" t="n"/>
      <c r="O75" s="9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  <c r="I76" s="9" t="n"/>
      <c r="J76" s="9" t="n"/>
      <c r="K76" s="9" t="n"/>
      <c r="L76" s="9" t="n"/>
      <c r="M76" s="9" t="n"/>
      <c r="N76" s="10" t="n"/>
      <c r="O76" s="9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  <c r="I77" s="9" t="n"/>
      <c r="J77" s="9" t="n"/>
      <c r="K77" s="9" t="n"/>
      <c r="L77" s="9" t="n"/>
      <c r="M77" s="9" t="n"/>
      <c r="N77" s="10" t="n"/>
      <c r="O77" s="9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  <c r="I78" s="9" t="n"/>
      <c r="J78" s="9" t="n"/>
      <c r="K78" s="9" t="n"/>
      <c r="L78" s="9" t="n"/>
      <c r="M78" s="9" t="n"/>
      <c r="N78" s="10" t="n"/>
      <c r="O78" s="9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  <c r="I79" s="9" t="n"/>
      <c r="J79" s="9" t="n"/>
      <c r="K79" s="9" t="n"/>
      <c r="L79" s="9" t="n"/>
      <c r="M79" s="9" t="n"/>
      <c r="N79" s="10" t="n"/>
      <c r="O79" s="9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  <c r="I80" s="9" t="n"/>
      <c r="J80" s="9" t="n"/>
      <c r="K80" s="9" t="n"/>
      <c r="L80" s="9" t="n"/>
      <c r="M80" s="9" t="n"/>
      <c r="N80" s="10" t="n"/>
      <c r="O80" s="9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  <c r="I81" s="9" t="n"/>
      <c r="J81" s="9" t="n"/>
      <c r="K81" s="9" t="n"/>
      <c r="L81" s="9" t="n"/>
      <c r="M81" s="9" t="n"/>
      <c r="N81" s="10" t="n"/>
      <c r="O81" s="9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  <c r="I82" s="9" t="n"/>
      <c r="J82" s="9" t="n"/>
      <c r="K82" s="9" t="n"/>
      <c r="L82" s="9" t="n"/>
      <c r="M82" s="9" t="n"/>
      <c r="N82" s="10" t="n"/>
      <c r="O82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22" customWidth="1" min="4" max="4"/>
    <col width="30" customWidth="1" min="5" max="5"/>
    <col width="12" customWidth="1" min="6" max="6"/>
    <col width="30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8" customWidth="1" min="14" max="14"/>
    <col width="16" customWidth="1" min="15" max="15"/>
    <col width="22" customWidth="1" min="17" max="17"/>
    <col width="14" customWidth="1" min="18" max="18"/>
    <col width="16" customWidth="1" min="19" max="19"/>
    <col width="2" customWidth="1" min="20" max="20"/>
    <col width="32" customWidth="1" min="21" max="21"/>
    <col width="22" customWidth="1" min="22" max="22"/>
    <col width="14" customWidth="1" min="23" max="23"/>
    <col width="16" customWidth="1" min="24" max="24"/>
  </cols>
  <sheetData>
    <row r="1" ht="28" customHeight="1">
      <c r="A1" s="1" t="inlineStr">
        <is>
          <t>SELETIVA APOIO</t>
        </is>
      </c>
      <c r="B1" s="1" t="inlineStr">
        <is>
          <t>FOLHA DE PAGAMENTO ABRIL/2026</t>
        </is>
      </c>
      <c r="I1" s="2">
        <f>SUMIFS(tbl_dados[Provisão de Férias + 13°],tbl_dados[Tomador],$A$1)</f>
        <v/>
      </c>
      <c r="J1" s="2">
        <f>SUMIFS(tbl_dados[Provisão de Encargos],tbl_dados[Tomador],$A$1)</f>
        <v/>
      </c>
      <c r="K1" s="1" t="inlineStr">
        <is>
          <t>Soma</t>
        </is>
      </c>
      <c r="M1" s="2">
        <f>SUMIFS(tbl_dados[TT BRUTO ABRIL],tbl_dados[Tomador],$A$1)</f>
        <v/>
      </c>
      <c r="O1" s="2">
        <f>SUMIFS(tbl_dados[TT BRUTO MARÇO],tbl_dados[Tomador],$A$1)</f>
        <v/>
      </c>
    </row>
    <row r="2" ht="36" customHeight="1">
      <c r="A2" s="3" t="inlineStr">
        <is>
          <t>Qtde</t>
        </is>
      </c>
      <c r="B2" s="3" t="inlineStr">
        <is>
          <t>FUNCIONÁRIO</t>
        </is>
      </c>
      <c r="C2" s="3" t="inlineStr">
        <is>
          <t>Tipo</t>
        </is>
      </c>
      <c r="D2" s="3" t="inlineStr">
        <is>
          <t>Setor</t>
        </is>
      </c>
      <c r="E2" s="3" t="inlineStr">
        <is>
          <t xml:space="preserve">Função </t>
        </is>
      </c>
      <c r="F2" s="3" t="inlineStr">
        <is>
          <t>Status</t>
        </is>
      </c>
      <c r="G2" s="3" t="inlineStr">
        <is>
          <t>Empresa Registro</t>
        </is>
      </c>
      <c r="H2" s="3" t="inlineStr">
        <is>
          <t>CNPJ</t>
        </is>
      </c>
      <c r="I2" s="3" t="inlineStr">
        <is>
          <t>Provisão
de Férias + 13°</t>
        </is>
      </c>
      <c r="J2" s="3" t="inlineStr">
        <is>
          <t>Provisão 
de Encargos</t>
        </is>
      </c>
      <c r="K2" s="3" t="inlineStr">
        <is>
          <t>Eventos Folha
(Caixa)</t>
        </is>
      </c>
      <c r="L2" s="3" t="inlineStr">
        <is>
          <t>Sal PF</t>
        </is>
      </c>
      <c r="M2" s="3" t="inlineStr">
        <is>
          <t>TT BRUTO
ABRIL</t>
        </is>
      </c>
      <c r="N2" s="3" t="inlineStr">
        <is>
          <t>%</t>
        </is>
      </c>
      <c r="O2" s="3" t="inlineStr">
        <is>
          <t>TT BRUTO
MARÇO</t>
        </is>
      </c>
      <c r="Q2" s="3" t="inlineStr">
        <is>
          <t>MODALIDADE</t>
        </is>
      </c>
      <c r="R2" s="3" t="inlineStr">
        <is>
          <t>FUNCIONÁRIOS</t>
        </is>
      </c>
      <c r="S2" s="3" t="inlineStr">
        <is>
          <t>TT BRUTO</t>
        </is>
      </c>
      <c r="U2" s="3" t="inlineStr">
        <is>
          <t>EMPRESA</t>
        </is>
      </c>
      <c r="V2" s="3" t="inlineStr">
        <is>
          <t>CNPJ</t>
        </is>
      </c>
      <c r="W2" s="3" t="inlineStr">
        <is>
          <t>FUNCIONÁRIOS</t>
        </is>
      </c>
      <c r="X2" s="3" t="inlineStr">
        <is>
          <t>TT BRUTO</t>
        </is>
      </c>
    </row>
    <row r="3">
      <c r="A3" s="7">
        <f>IFERROR(_xlfn.SEQUENCE(ROWS(B3#)),"")</f>
        <v/>
      </c>
      <c r="B3" s="8">
        <f>IFERROR(_xlfn._xlws.SORT(_xlfn._xlws.FILTER(tbl_dados[[FUNCIONÁRIO]:[TT BRUTO ABRIL]],tbl_dados[Tomador]=$A$1),12,-1),"")</f>
        <v/>
      </c>
      <c r="C3" s="8" t="n"/>
      <c r="D3" s="8" t="n"/>
      <c r="E3" s="8" t="n"/>
      <c r="F3" s="8" t="n"/>
      <c r="G3" s="8" t="n"/>
      <c r="H3" s="8" t="n"/>
      <c r="I3" s="9" t="n"/>
      <c r="J3" s="9" t="n"/>
      <c r="K3" s="9" t="n"/>
      <c r="L3" s="9" t="n"/>
      <c r="M3" s="9" t="n"/>
      <c r="N3" s="10">
        <f>IFERROR(INDEX(B3#,,12)/$M$1,"")</f>
        <v/>
      </c>
      <c r="O3" s="9">
        <f>IFERROR(INDEX(_xlfn._xlws.SORT(_xlfn._xlws.FILTER(tbl_dados[[FUNCIONÁRIO]:[TT BRUTO MARÇO]],tbl_dados[Tomador]=$A$1),12,-1),,13),"")</f>
        <v/>
      </c>
      <c r="Q3" s="8">
        <f>IFERROR(_xlfn.UNIQUE(_xlfn._xlws.FILTER(tbl_dados[Tipo],tbl_dados[Tomador]=$A$1)),"")</f>
        <v/>
      </c>
      <c r="R3" s="7">
        <f>IFERROR(_xlfn.BYROW(Q3#,_xlfn.LAMBDA(_x,COUNTIFS(tbl_dados[Tomador],$A$1,tbl_dados[Tipo],_x))),"")</f>
        <v/>
      </c>
      <c r="S3" s="9">
        <f>IFERROR(_xlfn.BYROW(Q3#,_xlfn.LAMBDA(_x,SUMIFS(tbl_dados[TT BRUTO ABRIL],tbl_dados[Tomador],$A$1,tbl_dados[Tipo],_x))),"")</f>
        <v/>
      </c>
      <c r="U3" s="8">
        <f>IFERROR(_xlfn.UNIQUE(_xlfn._xlws.FILTER(tbl_dados[Empresa Registro],tbl_dados[Tomador]=$A$1)),"")</f>
        <v/>
      </c>
      <c r="V3" s="11">
        <f>IFERROR(_xlfn.BYROW(U3#,_xlfn.LAMBDA(_x,IFERROR(INDEX(tbl_dados[CNPJ],MATCH(_x,tbl_dados[Empresa Registro],0)),""))),"")</f>
        <v/>
      </c>
      <c r="W3" s="7">
        <f>IFERROR(_xlfn.BYROW(U3#,_xlfn.LAMBDA(_x,COUNTIFS(tbl_dados[Tomador],$A$1,tbl_dados[Empresa Registro],_x))),"")</f>
        <v/>
      </c>
      <c r="X3" s="9">
        <f>IFERROR(_xlfn.BYROW(U3#,_xlfn.LAMBDA(_x,SUMIFS(tbl_dados[TT BRUTO ABRIL],tbl_dados[Tomador],$A$1,tbl_dados[Empresa Registro],_x))),"")</f>
        <v/>
      </c>
    </row>
    <row r="4">
      <c r="A4" s="7" t="n"/>
      <c r="B4" s="8" t="n"/>
      <c r="C4" s="8" t="n"/>
      <c r="D4" s="8" t="n"/>
      <c r="E4" s="8" t="n"/>
      <c r="F4" s="8" t="n"/>
      <c r="G4" s="8" t="n"/>
      <c r="H4" s="8" t="n"/>
      <c r="I4" s="9" t="n"/>
      <c r="J4" s="9" t="n"/>
      <c r="K4" s="9" t="n"/>
      <c r="L4" s="9" t="n"/>
      <c r="M4" s="9" t="n"/>
      <c r="N4" s="10" t="n"/>
      <c r="O4" s="9" t="n"/>
      <c r="Q4" s="8" t="n"/>
      <c r="R4" s="7" t="n"/>
      <c r="S4" s="9" t="n"/>
      <c r="U4" s="8" t="n"/>
      <c r="V4" s="11" t="n"/>
      <c r="W4" s="7" t="n"/>
      <c r="X4" s="9" t="n"/>
    </row>
    <row r="5">
      <c r="A5" s="7" t="n"/>
      <c r="B5" s="8" t="n"/>
      <c r="C5" s="8" t="n"/>
      <c r="D5" s="8" t="n"/>
      <c r="E5" s="8" t="n"/>
      <c r="F5" s="8" t="n"/>
      <c r="G5" s="8" t="n"/>
      <c r="H5" s="8" t="n"/>
      <c r="I5" s="9" t="n"/>
      <c r="J5" s="9" t="n"/>
      <c r="K5" s="9" t="n"/>
      <c r="L5" s="9" t="n"/>
      <c r="M5" s="9" t="n"/>
      <c r="N5" s="10" t="n"/>
      <c r="O5" s="9" t="n"/>
      <c r="Q5" s="8" t="n"/>
      <c r="R5" s="7" t="n"/>
      <c r="S5" s="9" t="n"/>
      <c r="U5" s="8" t="n"/>
      <c r="V5" s="11" t="n"/>
      <c r="W5" s="7" t="n"/>
      <c r="X5" s="9" t="n"/>
    </row>
    <row r="6">
      <c r="A6" s="7" t="n"/>
      <c r="B6" s="8" t="n"/>
      <c r="C6" s="8" t="n"/>
      <c r="D6" s="8" t="n"/>
      <c r="E6" s="8" t="n"/>
      <c r="F6" s="8" t="n"/>
      <c r="G6" s="8" t="n"/>
      <c r="H6" s="8" t="n"/>
      <c r="I6" s="9" t="n"/>
      <c r="J6" s="9" t="n"/>
      <c r="K6" s="9" t="n"/>
      <c r="L6" s="9" t="n"/>
      <c r="M6" s="9" t="n"/>
      <c r="N6" s="10" t="n"/>
      <c r="O6" s="9" t="n"/>
      <c r="Q6" s="8" t="n"/>
      <c r="R6" s="7" t="n"/>
      <c r="S6" s="9" t="n"/>
      <c r="U6" s="8" t="n"/>
      <c r="V6" s="11" t="n"/>
      <c r="W6" s="7" t="n"/>
      <c r="X6" s="9" t="n"/>
    </row>
    <row r="7">
      <c r="A7" s="7" t="n"/>
      <c r="B7" s="8" t="n"/>
      <c r="C7" s="8" t="n"/>
      <c r="D7" s="8" t="n"/>
      <c r="E7" s="8" t="n"/>
      <c r="F7" s="8" t="n"/>
      <c r="G7" s="8" t="n"/>
      <c r="H7" s="8" t="n"/>
      <c r="I7" s="9" t="n"/>
      <c r="J7" s="9" t="n"/>
      <c r="K7" s="9" t="n"/>
      <c r="L7" s="9" t="n"/>
      <c r="M7" s="9" t="n"/>
      <c r="N7" s="10" t="n"/>
      <c r="O7" s="9" t="n"/>
      <c r="Q7" s="8" t="n"/>
      <c r="R7" s="7" t="n"/>
      <c r="S7" s="9" t="n"/>
      <c r="U7" s="8" t="n"/>
      <c r="V7" s="11" t="n"/>
      <c r="W7" s="7" t="n"/>
      <c r="X7" s="9" t="n"/>
    </row>
    <row r="8">
      <c r="A8" s="7" t="n"/>
      <c r="B8" s="8" t="n"/>
      <c r="C8" s="8" t="n"/>
      <c r="D8" s="8" t="n"/>
      <c r="E8" s="8" t="n"/>
      <c r="F8" s="8" t="n"/>
      <c r="G8" s="8" t="n"/>
      <c r="H8" s="8" t="n"/>
      <c r="I8" s="9" t="n"/>
      <c r="J8" s="9" t="n"/>
      <c r="K8" s="9" t="n"/>
      <c r="L8" s="9" t="n"/>
      <c r="M8" s="9" t="n"/>
      <c r="N8" s="10" t="n"/>
      <c r="O8" s="9" t="n"/>
      <c r="Q8" s="8" t="n"/>
      <c r="R8" s="7" t="n"/>
      <c r="S8" s="9" t="n"/>
      <c r="U8" s="8" t="n"/>
      <c r="V8" s="11" t="n"/>
      <c r="W8" s="7" t="n"/>
      <c r="X8" s="9" t="n"/>
    </row>
    <row r="9">
      <c r="A9" s="7" t="n"/>
      <c r="B9" s="8" t="n"/>
      <c r="C9" s="8" t="n"/>
      <c r="D9" s="8" t="n"/>
      <c r="E9" s="8" t="n"/>
      <c r="F9" s="8" t="n"/>
      <c r="G9" s="8" t="n"/>
      <c r="H9" s="8" t="n"/>
      <c r="I9" s="9" t="n"/>
      <c r="J9" s="9" t="n"/>
      <c r="K9" s="9" t="n"/>
      <c r="L9" s="9" t="n"/>
      <c r="M9" s="9" t="n"/>
      <c r="N9" s="10" t="n"/>
      <c r="O9" s="9" t="n"/>
      <c r="Q9" s="8" t="n"/>
      <c r="R9" s="7" t="n"/>
      <c r="S9" s="9" t="n"/>
      <c r="U9" s="8" t="n"/>
      <c r="V9" s="11" t="n"/>
      <c r="W9" s="7" t="n"/>
      <c r="X9" s="9" t="n"/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  <c r="I10" s="9" t="n"/>
      <c r="J10" s="9" t="n"/>
      <c r="K10" s="9" t="n"/>
      <c r="L10" s="9" t="n"/>
      <c r="M10" s="9" t="n"/>
      <c r="N10" s="10" t="n"/>
      <c r="O10" s="9" t="n"/>
      <c r="Q10" s="8" t="n"/>
      <c r="R10" s="7" t="n"/>
      <c r="S10" s="9" t="n"/>
      <c r="U10" s="8" t="n"/>
      <c r="V10" s="11" t="n"/>
      <c r="W10" s="7" t="n"/>
      <c r="X10" s="9" t="n"/>
    </row>
    <row r="11">
      <c r="A11" s="7" t="n"/>
      <c r="B11" s="8" t="n"/>
      <c r="C11" s="8" t="n"/>
      <c r="D11" s="8" t="n"/>
      <c r="E11" s="8" t="n"/>
      <c r="F11" s="8" t="n"/>
      <c r="G11" s="8" t="n"/>
      <c r="H11" s="8" t="n"/>
      <c r="I11" s="9" t="n"/>
      <c r="J11" s="9" t="n"/>
      <c r="K11" s="9" t="n"/>
      <c r="L11" s="9" t="n"/>
      <c r="M11" s="9" t="n"/>
      <c r="N11" s="10" t="n"/>
      <c r="O11" s="9" t="n"/>
      <c r="Q11" s="8" t="n"/>
      <c r="R11" s="7" t="n"/>
      <c r="S11" s="9" t="n"/>
      <c r="U11" s="8" t="n"/>
      <c r="V11" s="11" t="n"/>
      <c r="W11" s="7" t="n"/>
      <c r="X11" s="9" t="n"/>
    </row>
    <row r="12">
      <c r="A12" s="7" t="n"/>
      <c r="B12" s="8" t="n"/>
      <c r="C12" s="8" t="n"/>
      <c r="D12" s="8" t="n"/>
      <c r="E12" s="8" t="n"/>
      <c r="F12" s="8" t="n"/>
      <c r="G12" s="8" t="n"/>
      <c r="H12" s="8" t="n"/>
      <c r="I12" s="9" t="n"/>
      <c r="J12" s="9" t="n"/>
      <c r="K12" s="9" t="n"/>
      <c r="L12" s="9" t="n"/>
      <c r="M12" s="9" t="n"/>
      <c r="N12" s="10" t="n"/>
      <c r="O12" s="9" t="n"/>
      <c r="Q12" s="8" t="n"/>
      <c r="R12" s="7" t="n"/>
      <c r="S12" s="9" t="n"/>
      <c r="U12" s="8" t="n"/>
      <c r="V12" s="11" t="n"/>
      <c r="W12" s="7" t="n"/>
      <c r="X12" s="9" t="n"/>
    </row>
    <row r="13">
      <c r="A13" s="7" t="n"/>
      <c r="B13" s="8" t="n"/>
      <c r="C13" s="8" t="n"/>
      <c r="D13" s="8" t="n"/>
      <c r="E13" s="8" t="n"/>
      <c r="F13" s="8" t="n"/>
      <c r="G13" s="8" t="n"/>
      <c r="H13" s="8" t="n"/>
      <c r="I13" s="9" t="n"/>
      <c r="J13" s="9" t="n"/>
      <c r="K13" s="9" t="n"/>
      <c r="L13" s="9" t="n"/>
      <c r="M13" s="9" t="n"/>
      <c r="N13" s="10" t="n"/>
      <c r="O13" s="9" t="n"/>
      <c r="Q13" s="8" t="n"/>
      <c r="R13" s="7" t="n"/>
      <c r="S13" s="9" t="n"/>
      <c r="U13" s="8" t="n"/>
      <c r="V13" s="11" t="n"/>
      <c r="W13" s="7" t="n"/>
      <c r="X13" s="9" t="n"/>
    </row>
    <row r="14">
      <c r="A14" s="7" t="n"/>
      <c r="B14" s="8" t="n"/>
      <c r="C14" s="8" t="n"/>
      <c r="D14" s="8" t="n"/>
      <c r="E14" s="8" t="n"/>
      <c r="F14" s="8" t="n"/>
      <c r="G14" s="8" t="n"/>
      <c r="H14" s="8" t="n"/>
      <c r="I14" s="9" t="n"/>
      <c r="J14" s="9" t="n"/>
      <c r="K14" s="9" t="n"/>
      <c r="L14" s="9" t="n"/>
      <c r="M14" s="9" t="n"/>
      <c r="N14" s="10" t="n"/>
      <c r="O14" s="9" t="n"/>
      <c r="Q14" s="8" t="n"/>
      <c r="R14" s="7" t="n"/>
      <c r="S14" s="9" t="n"/>
      <c r="U14" s="8" t="n"/>
      <c r="V14" s="11" t="n"/>
      <c r="W14" s="7" t="n"/>
      <c r="X14" s="9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9" t="n"/>
      <c r="J15" s="9" t="n"/>
      <c r="K15" s="9" t="n"/>
      <c r="L15" s="9" t="n"/>
      <c r="M15" s="9" t="n"/>
      <c r="N15" s="10" t="n"/>
      <c r="O15" s="9" t="n"/>
      <c r="Q15" s="8" t="n"/>
      <c r="R15" s="7" t="n"/>
      <c r="S15" s="9" t="n"/>
      <c r="U15" s="8" t="n"/>
      <c r="V15" s="11" t="n"/>
      <c r="W15" s="7" t="n"/>
      <c r="X15" s="9" t="n"/>
    </row>
    <row r="16">
      <c r="A16" s="7" t="n"/>
      <c r="B16" s="8" t="n"/>
      <c r="C16" s="8" t="n"/>
      <c r="D16" s="8" t="n"/>
      <c r="E16" s="8" t="n"/>
      <c r="F16" s="8" t="n"/>
      <c r="G16" s="8" t="n"/>
      <c r="H16" s="8" t="n"/>
      <c r="I16" s="9" t="n"/>
      <c r="J16" s="9" t="n"/>
      <c r="K16" s="9" t="n"/>
      <c r="L16" s="9" t="n"/>
      <c r="M16" s="9" t="n"/>
      <c r="N16" s="10" t="n"/>
      <c r="O16" s="9" t="n"/>
      <c r="Q16" s="8" t="n"/>
      <c r="R16" s="7" t="n"/>
      <c r="S16" s="9" t="n"/>
      <c r="U16" s="8" t="n"/>
      <c r="V16" s="11" t="n"/>
      <c r="W16" s="7" t="n"/>
      <c r="X16" s="9" t="n"/>
    </row>
    <row r="17">
      <c r="A17" s="7" t="n"/>
      <c r="B17" s="8" t="n"/>
      <c r="C17" s="8" t="n"/>
      <c r="D17" s="8" t="n"/>
      <c r="E17" s="8" t="n"/>
      <c r="F17" s="8" t="n"/>
      <c r="G17" s="8" t="n"/>
      <c r="H17" s="8" t="n"/>
      <c r="I17" s="9" t="n"/>
      <c r="J17" s="9" t="n"/>
      <c r="K17" s="9" t="n"/>
      <c r="L17" s="9" t="n"/>
      <c r="M17" s="9" t="n"/>
      <c r="N17" s="10" t="n"/>
      <c r="O17" s="9" t="n"/>
      <c r="Q17" s="8" t="n"/>
      <c r="R17" s="7" t="n"/>
      <c r="S17" s="9" t="n"/>
      <c r="U17" s="8" t="n"/>
      <c r="V17" s="11" t="n"/>
      <c r="W17" s="7" t="n"/>
      <c r="X17" s="9" t="n"/>
    </row>
    <row r="18">
      <c r="A18" s="7" t="n"/>
      <c r="B18" s="8" t="n"/>
      <c r="C18" s="8" t="n"/>
      <c r="D18" s="8" t="n"/>
      <c r="E18" s="8" t="n"/>
      <c r="F18" s="8" t="n"/>
      <c r="G18" s="8" t="n"/>
      <c r="H18" s="8" t="n"/>
      <c r="I18" s="9" t="n"/>
      <c r="J18" s="9" t="n"/>
      <c r="K18" s="9" t="n"/>
      <c r="L18" s="9" t="n"/>
      <c r="M18" s="9" t="n"/>
      <c r="N18" s="10" t="n"/>
      <c r="O18" s="9" t="n"/>
      <c r="Q18" s="8" t="n"/>
      <c r="R18" s="7" t="n"/>
      <c r="S18" s="9" t="n"/>
      <c r="U18" s="8" t="n"/>
      <c r="V18" s="11" t="n"/>
      <c r="W18" s="7" t="n"/>
      <c r="X18" s="9" t="n"/>
    </row>
    <row r="19">
      <c r="A19" s="7" t="n"/>
      <c r="B19" s="8" t="n"/>
      <c r="C19" s="8" t="n"/>
      <c r="D19" s="8" t="n"/>
      <c r="E19" s="8" t="n"/>
      <c r="F19" s="8" t="n"/>
      <c r="G19" s="8" t="n"/>
      <c r="H19" s="8" t="n"/>
      <c r="I19" s="9" t="n"/>
      <c r="J19" s="9" t="n"/>
      <c r="K19" s="9" t="n"/>
      <c r="L19" s="9" t="n"/>
      <c r="M19" s="9" t="n"/>
      <c r="N19" s="10" t="n"/>
      <c r="O19" s="9" t="n"/>
      <c r="Q19" s="8" t="n"/>
      <c r="R19" s="7" t="n"/>
      <c r="S19" s="9" t="n"/>
      <c r="U19" s="8" t="n"/>
      <c r="V19" s="11" t="n"/>
      <c r="W19" s="7" t="n"/>
      <c r="X19" s="9" t="n"/>
    </row>
    <row r="20">
      <c r="A20" s="7" t="n"/>
      <c r="B20" s="8" t="n"/>
      <c r="C20" s="8" t="n"/>
      <c r="D20" s="8" t="n"/>
      <c r="E20" s="8" t="n"/>
      <c r="F20" s="8" t="n"/>
      <c r="G20" s="8" t="n"/>
      <c r="H20" s="8" t="n"/>
      <c r="I20" s="9" t="n"/>
      <c r="J20" s="9" t="n"/>
      <c r="K20" s="9" t="n"/>
      <c r="L20" s="9" t="n"/>
      <c r="M20" s="9" t="n"/>
      <c r="N20" s="10" t="n"/>
      <c r="O20" s="9" t="n"/>
      <c r="Q20" s="8" t="n"/>
      <c r="R20" s="7" t="n"/>
      <c r="S20" s="9" t="n"/>
      <c r="U20" s="8" t="n"/>
      <c r="V20" s="11" t="n"/>
      <c r="W20" s="7" t="n"/>
      <c r="X20" s="9" t="n"/>
    </row>
    <row r="21">
      <c r="A21" s="7" t="n"/>
      <c r="B21" s="8" t="n"/>
      <c r="C21" s="8" t="n"/>
      <c r="D21" s="8" t="n"/>
      <c r="E21" s="8" t="n"/>
      <c r="F21" s="8" t="n"/>
      <c r="G21" s="8" t="n"/>
      <c r="H21" s="8" t="n"/>
      <c r="I21" s="9" t="n"/>
      <c r="J21" s="9" t="n"/>
      <c r="K21" s="9" t="n"/>
      <c r="L21" s="9" t="n"/>
      <c r="M21" s="9" t="n"/>
      <c r="N21" s="10" t="n"/>
      <c r="O21" s="9" t="n"/>
      <c r="Q21" s="8" t="n"/>
      <c r="R21" s="7" t="n"/>
      <c r="S21" s="9" t="n"/>
      <c r="U21" s="8" t="n"/>
      <c r="V21" s="11" t="n"/>
      <c r="W21" s="7" t="n"/>
      <c r="X21" s="9" t="n"/>
    </row>
    <row r="22">
      <c r="A22" s="7" t="n"/>
      <c r="B22" s="8" t="n"/>
      <c r="C22" s="8" t="n"/>
      <c r="D22" s="8" t="n"/>
      <c r="E22" s="8" t="n"/>
      <c r="F22" s="8" t="n"/>
      <c r="G22" s="8" t="n"/>
      <c r="H22" s="8" t="n"/>
      <c r="I22" s="9" t="n"/>
      <c r="J22" s="9" t="n"/>
      <c r="K22" s="9" t="n"/>
      <c r="L22" s="9" t="n"/>
      <c r="M22" s="9" t="n"/>
      <c r="N22" s="10" t="n"/>
      <c r="O22" s="9" t="n"/>
      <c r="Q22" s="8" t="n"/>
      <c r="R22" s="7" t="n"/>
      <c r="S22" s="9" t="n"/>
      <c r="U22" s="8" t="n"/>
      <c r="V22" s="11" t="n"/>
      <c r="W22" s="7" t="n"/>
      <c r="X22" s="9" t="n"/>
    </row>
    <row r="23">
      <c r="A23" s="7" t="n"/>
      <c r="B23" s="8" t="n"/>
      <c r="C23" s="8" t="n"/>
      <c r="D23" s="8" t="n"/>
      <c r="E23" s="8" t="n"/>
      <c r="F23" s="8" t="n"/>
      <c r="G23" s="8" t="n"/>
      <c r="H23" s="8" t="n"/>
      <c r="I23" s="9" t="n"/>
      <c r="J23" s="9" t="n"/>
      <c r="K23" s="9" t="n"/>
      <c r="L23" s="9" t="n"/>
      <c r="M23" s="9" t="n"/>
      <c r="N23" s="10" t="n"/>
      <c r="O23" s="9" t="n"/>
      <c r="Q23" s="8" t="n"/>
      <c r="R23" s="7" t="n"/>
      <c r="S23" s="9" t="n"/>
      <c r="U23" s="8" t="n"/>
      <c r="V23" s="11" t="n"/>
      <c r="W23" s="7" t="n"/>
      <c r="X23" s="9" t="n"/>
    </row>
    <row r="24">
      <c r="A24" s="7" t="n"/>
      <c r="B24" s="8" t="n"/>
      <c r="C24" s="8" t="n"/>
      <c r="D24" s="8" t="n"/>
      <c r="E24" s="8" t="n"/>
      <c r="F24" s="8" t="n"/>
      <c r="G24" s="8" t="n"/>
      <c r="H24" s="8" t="n"/>
      <c r="I24" s="9" t="n"/>
      <c r="J24" s="9" t="n"/>
      <c r="K24" s="9" t="n"/>
      <c r="L24" s="9" t="n"/>
      <c r="M24" s="9" t="n"/>
      <c r="N24" s="10" t="n"/>
      <c r="O24" s="9" t="n"/>
      <c r="Q24" s="8" t="n"/>
      <c r="R24" s="7" t="n"/>
      <c r="S24" s="9" t="n"/>
      <c r="U24" s="8" t="n"/>
      <c r="V24" s="11" t="n"/>
      <c r="W24" s="7" t="n"/>
      <c r="X24" s="9" t="n"/>
    </row>
    <row r="25">
      <c r="A25" s="7" t="n"/>
      <c r="B25" s="8" t="n"/>
      <c r="C25" s="8" t="n"/>
      <c r="D25" s="8" t="n"/>
      <c r="E25" s="8" t="n"/>
      <c r="F25" s="8" t="n"/>
      <c r="G25" s="8" t="n"/>
      <c r="H25" s="8" t="n"/>
      <c r="I25" s="9" t="n"/>
      <c r="J25" s="9" t="n"/>
      <c r="K25" s="9" t="n"/>
      <c r="L25" s="9" t="n"/>
      <c r="M25" s="9" t="n"/>
      <c r="N25" s="10" t="n"/>
      <c r="O25" s="9" t="n"/>
      <c r="Q25" s="8" t="n"/>
      <c r="R25" s="7" t="n"/>
      <c r="S25" s="9" t="n"/>
      <c r="U25" s="8" t="n"/>
      <c r="V25" s="11" t="n"/>
      <c r="W25" s="7" t="n"/>
      <c r="X25" s="9" t="n"/>
    </row>
    <row r="26">
      <c r="A26" s="7" t="n"/>
      <c r="B26" s="8" t="n"/>
      <c r="C26" s="8" t="n"/>
      <c r="D26" s="8" t="n"/>
      <c r="E26" s="8" t="n"/>
      <c r="F26" s="8" t="n"/>
      <c r="G26" s="8" t="n"/>
      <c r="H26" s="8" t="n"/>
      <c r="I26" s="9" t="n"/>
      <c r="J26" s="9" t="n"/>
      <c r="K26" s="9" t="n"/>
      <c r="L26" s="9" t="n"/>
      <c r="M26" s="9" t="n"/>
      <c r="N26" s="10" t="n"/>
      <c r="O26" s="9" t="n"/>
      <c r="Q26" s="8" t="n"/>
      <c r="R26" s="7" t="n"/>
      <c r="S26" s="9" t="n"/>
      <c r="U26" s="8" t="n"/>
      <c r="V26" s="11" t="n"/>
      <c r="W26" s="7" t="n"/>
      <c r="X26" s="9" t="n"/>
    </row>
    <row r="27">
      <c r="A27" s="7" t="n"/>
      <c r="B27" s="8" t="n"/>
      <c r="C27" s="8" t="n"/>
      <c r="D27" s="8" t="n"/>
      <c r="E27" s="8" t="n"/>
      <c r="F27" s="8" t="n"/>
      <c r="G27" s="8" t="n"/>
      <c r="H27" s="8" t="n"/>
      <c r="I27" s="9" t="n"/>
      <c r="J27" s="9" t="n"/>
      <c r="K27" s="9" t="n"/>
      <c r="L27" s="9" t="n"/>
      <c r="M27" s="9" t="n"/>
      <c r="N27" s="10" t="n"/>
      <c r="O27" s="9" t="n"/>
      <c r="Q27" s="8" t="n"/>
      <c r="R27" s="7" t="n"/>
      <c r="S27" s="9" t="n"/>
      <c r="U27" s="8" t="n"/>
      <c r="V27" s="11" t="n"/>
      <c r="W27" s="7" t="n"/>
      <c r="X27" s="9" t="n"/>
    </row>
    <row r="28">
      <c r="A28" s="7" t="n"/>
      <c r="B28" s="8" t="n"/>
      <c r="C28" s="8" t="n"/>
      <c r="D28" s="8" t="n"/>
      <c r="E28" s="8" t="n"/>
      <c r="F28" s="8" t="n"/>
      <c r="G28" s="8" t="n"/>
      <c r="H28" s="8" t="n"/>
      <c r="I28" s="9" t="n"/>
      <c r="J28" s="9" t="n"/>
      <c r="K28" s="9" t="n"/>
      <c r="L28" s="9" t="n"/>
      <c r="M28" s="9" t="n"/>
      <c r="N28" s="10" t="n"/>
      <c r="O28" s="9" t="n"/>
      <c r="Q28" s="8" t="n"/>
      <c r="R28" s="7" t="n"/>
      <c r="S28" s="9" t="n"/>
      <c r="U28" s="8" t="n"/>
      <c r="V28" s="11" t="n"/>
      <c r="W28" s="7" t="n"/>
      <c r="X28" s="9" t="n"/>
    </row>
    <row r="29">
      <c r="A29" s="7" t="n"/>
      <c r="B29" s="8" t="n"/>
      <c r="C29" s="8" t="n"/>
      <c r="D29" s="8" t="n"/>
      <c r="E29" s="8" t="n"/>
      <c r="F29" s="8" t="n"/>
      <c r="G29" s="8" t="n"/>
      <c r="H29" s="8" t="n"/>
      <c r="I29" s="9" t="n"/>
      <c r="J29" s="9" t="n"/>
      <c r="K29" s="9" t="n"/>
      <c r="L29" s="9" t="n"/>
      <c r="M29" s="9" t="n"/>
      <c r="N29" s="10" t="n"/>
      <c r="O29" s="9" t="n"/>
      <c r="Q29" s="8" t="n"/>
      <c r="R29" s="7" t="n"/>
      <c r="S29" s="9" t="n"/>
      <c r="U29" s="8" t="n"/>
      <c r="V29" s="11" t="n"/>
      <c r="W29" s="7" t="n"/>
      <c r="X29" s="9" t="n"/>
    </row>
    <row r="30">
      <c r="A30" s="7" t="n"/>
      <c r="B30" s="8" t="n"/>
      <c r="C30" s="8" t="n"/>
      <c r="D30" s="8" t="n"/>
      <c r="E30" s="8" t="n"/>
      <c r="F30" s="8" t="n"/>
      <c r="G30" s="8" t="n"/>
      <c r="H30" s="8" t="n"/>
      <c r="I30" s="9" t="n"/>
      <c r="J30" s="9" t="n"/>
      <c r="K30" s="9" t="n"/>
      <c r="L30" s="9" t="n"/>
      <c r="M30" s="9" t="n"/>
      <c r="N30" s="10" t="n"/>
      <c r="O30" s="9" t="n"/>
      <c r="Q30" s="8" t="n"/>
      <c r="R30" s="7" t="n"/>
      <c r="S30" s="9" t="n"/>
      <c r="U30" s="8" t="n"/>
      <c r="V30" s="11" t="n"/>
      <c r="W30" s="7" t="n"/>
      <c r="X30" s="9" t="n"/>
    </row>
    <row r="31">
      <c r="A31" s="7" t="n"/>
      <c r="B31" s="8" t="n"/>
      <c r="C31" s="8" t="n"/>
      <c r="D31" s="8" t="n"/>
      <c r="E31" s="8" t="n"/>
      <c r="F31" s="8" t="n"/>
      <c r="G31" s="8" t="n"/>
      <c r="H31" s="8" t="n"/>
      <c r="I31" s="9" t="n"/>
      <c r="J31" s="9" t="n"/>
      <c r="K31" s="9" t="n"/>
      <c r="L31" s="9" t="n"/>
      <c r="M31" s="9" t="n"/>
      <c r="N31" s="10" t="n"/>
      <c r="O31" s="9" t="n"/>
      <c r="Q31" s="8" t="n"/>
      <c r="R31" s="7" t="n"/>
      <c r="S31" s="9" t="n"/>
      <c r="U31" s="8" t="n"/>
      <c r="V31" s="11" t="n"/>
      <c r="W31" s="7" t="n"/>
      <c r="X31" s="9" t="n"/>
    </row>
    <row r="32">
      <c r="A32" s="7" t="n"/>
      <c r="B32" s="8" t="n"/>
      <c r="C32" s="8" t="n"/>
      <c r="D32" s="8" t="n"/>
      <c r="E32" s="8" t="n"/>
      <c r="F32" s="8" t="n"/>
      <c r="G32" s="8" t="n"/>
      <c r="H32" s="8" t="n"/>
      <c r="I32" s="9" t="n"/>
      <c r="J32" s="9" t="n"/>
      <c r="K32" s="9" t="n"/>
      <c r="L32" s="9" t="n"/>
      <c r="M32" s="9" t="n"/>
      <c r="N32" s="10" t="n"/>
      <c r="O32" s="9" t="n"/>
      <c r="Q32" s="8" t="n"/>
      <c r="R32" s="7" t="n"/>
      <c r="S32" s="9" t="n"/>
      <c r="U32" s="8" t="n"/>
      <c r="V32" s="11" t="n"/>
      <c r="W32" s="7" t="n"/>
      <c r="X32" s="9" t="n"/>
    </row>
    <row r="33">
      <c r="A33" s="7" t="n"/>
      <c r="B33" s="8" t="n"/>
      <c r="C33" s="8" t="n"/>
      <c r="D33" s="8" t="n"/>
      <c r="E33" s="8" t="n"/>
      <c r="F33" s="8" t="n"/>
      <c r="G33" s="8" t="n"/>
      <c r="H33" s="8" t="n"/>
      <c r="I33" s="9" t="n"/>
      <c r="J33" s="9" t="n"/>
      <c r="K33" s="9" t="n"/>
      <c r="L33" s="9" t="n"/>
      <c r="M33" s="9" t="n"/>
      <c r="N33" s="10" t="n"/>
      <c r="O33" s="9" t="n"/>
    </row>
    <row r="34">
      <c r="A34" s="7" t="n"/>
      <c r="B34" s="8" t="n"/>
      <c r="C34" s="8" t="n"/>
      <c r="D34" s="8" t="n"/>
      <c r="E34" s="8" t="n"/>
      <c r="F34" s="8" t="n"/>
      <c r="G34" s="8" t="n"/>
      <c r="H34" s="8" t="n"/>
      <c r="I34" s="9" t="n"/>
      <c r="J34" s="9" t="n"/>
      <c r="K34" s="9" t="n"/>
      <c r="L34" s="9" t="n"/>
      <c r="M34" s="9" t="n"/>
      <c r="N34" s="10" t="n"/>
      <c r="O34" s="9" t="n"/>
    </row>
    <row r="35">
      <c r="A35" s="7" t="n"/>
      <c r="B35" s="8" t="n"/>
      <c r="C35" s="8" t="n"/>
      <c r="D35" s="8" t="n"/>
      <c r="E35" s="8" t="n"/>
      <c r="F35" s="8" t="n"/>
      <c r="G35" s="8" t="n"/>
      <c r="H35" s="8" t="n"/>
      <c r="I35" s="9" t="n"/>
      <c r="J35" s="9" t="n"/>
      <c r="K35" s="9" t="n"/>
      <c r="L35" s="9" t="n"/>
      <c r="M35" s="9" t="n"/>
      <c r="N35" s="10" t="n"/>
      <c r="O35" s="9" t="n"/>
    </row>
    <row r="36">
      <c r="A36" s="7" t="n"/>
      <c r="B36" s="8" t="n"/>
      <c r="C36" s="8" t="n"/>
      <c r="D36" s="8" t="n"/>
      <c r="E36" s="8" t="n"/>
      <c r="F36" s="8" t="n"/>
      <c r="G36" s="8" t="n"/>
      <c r="H36" s="8" t="n"/>
      <c r="I36" s="9" t="n"/>
      <c r="J36" s="9" t="n"/>
      <c r="K36" s="9" t="n"/>
      <c r="L36" s="9" t="n"/>
      <c r="M36" s="9" t="n"/>
      <c r="N36" s="10" t="n"/>
      <c r="O36" s="9" t="n"/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  <c r="I37" s="9" t="n"/>
      <c r="J37" s="9" t="n"/>
      <c r="K37" s="9" t="n"/>
      <c r="L37" s="9" t="n"/>
      <c r="M37" s="9" t="n"/>
      <c r="N37" s="10" t="n"/>
      <c r="O37" s="9" t="n"/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  <c r="I38" s="9" t="n"/>
      <c r="J38" s="9" t="n"/>
      <c r="K38" s="9" t="n"/>
      <c r="L38" s="9" t="n"/>
      <c r="M38" s="9" t="n"/>
      <c r="N38" s="10" t="n"/>
      <c r="O38" s="9" t="n"/>
    </row>
    <row r="39">
      <c r="A39" s="7" t="n"/>
      <c r="B39" s="8" t="n"/>
      <c r="C39" s="8" t="n"/>
      <c r="D39" s="8" t="n"/>
      <c r="E39" s="8" t="n"/>
      <c r="F39" s="8" t="n"/>
      <c r="G39" s="8" t="n"/>
      <c r="H39" s="8" t="n"/>
      <c r="I39" s="9" t="n"/>
      <c r="J39" s="9" t="n"/>
      <c r="K39" s="9" t="n"/>
      <c r="L39" s="9" t="n"/>
      <c r="M39" s="9" t="n"/>
      <c r="N39" s="10" t="n"/>
      <c r="O39" s="9" t="n"/>
    </row>
    <row r="40">
      <c r="A40" s="7" t="n"/>
      <c r="B40" s="8" t="n"/>
      <c r="C40" s="8" t="n"/>
      <c r="D40" s="8" t="n"/>
      <c r="E40" s="8" t="n"/>
      <c r="F40" s="8" t="n"/>
      <c r="G40" s="8" t="n"/>
      <c r="H40" s="8" t="n"/>
      <c r="I40" s="9" t="n"/>
      <c r="J40" s="9" t="n"/>
      <c r="K40" s="9" t="n"/>
      <c r="L40" s="9" t="n"/>
      <c r="M40" s="9" t="n"/>
      <c r="N40" s="10" t="n"/>
      <c r="O40" s="9" t="n"/>
    </row>
    <row r="41">
      <c r="A41" s="7" t="n"/>
      <c r="B41" s="8" t="n"/>
      <c r="C41" s="8" t="n"/>
      <c r="D41" s="8" t="n"/>
      <c r="E41" s="8" t="n"/>
      <c r="F41" s="8" t="n"/>
      <c r="G41" s="8" t="n"/>
      <c r="H41" s="8" t="n"/>
      <c r="I41" s="9" t="n"/>
      <c r="J41" s="9" t="n"/>
      <c r="K41" s="9" t="n"/>
      <c r="L41" s="9" t="n"/>
      <c r="M41" s="9" t="n"/>
      <c r="N41" s="10" t="n"/>
      <c r="O41" s="9" t="n"/>
    </row>
    <row r="42">
      <c r="A42" s="7" t="n"/>
      <c r="B42" s="8" t="n"/>
      <c r="C42" s="8" t="n"/>
      <c r="D42" s="8" t="n"/>
      <c r="E42" s="8" t="n"/>
      <c r="F42" s="8" t="n"/>
      <c r="G42" s="8" t="n"/>
      <c r="H42" s="8" t="n"/>
      <c r="I42" s="9" t="n"/>
      <c r="J42" s="9" t="n"/>
      <c r="K42" s="9" t="n"/>
      <c r="L42" s="9" t="n"/>
      <c r="M42" s="9" t="n"/>
      <c r="N42" s="10" t="n"/>
      <c r="O42" s="9" t="n"/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  <c r="I43" s="9" t="n"/>
      <c r="J43" s="9" t="n"/>
      <c r="K43" s="9" t="n"/>
      <c r="L43" s="9" t="n"/>
      <c r="M43" s="9" t="n"/>
      <c r="N43" s="10" t="n"/>
      <c r="O43" s="9" t="n"/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  <c r="I44" s="9" t="n"/>
      <c r="J44" s="9" t="n"/>
      <c r="K44" s="9" t="n"/>
      <c r="L44" s="9" t="n"/>
      <c r="M44" s="9" t="n"/>
      <c r="N44" s="10" t="n"/>
      <c r="O44" s="9" t="n"/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  <c r="I45" s="9" t="n"/>
      <c r="J45" s="9" t="n"/>
      <c r="K45" s="9" t="n"/>
      <c r="L45" s="9" t="n"/>
      <c r="M45" s="9" t="n"/>
      <c r="N45" s="10" t="n"/>
      <c r="O45" s="9" t="n"/>
    </row>
    <row r="46">
      <c r="A46" s="7" t="n"/>
      <c r="B46" s="8" t="n"/>
      <c r="C46" s="8" t="n"/>
      <c r="D46" s="8" t="n"/>
      <c r="E46" s="8" t="n"/>
      <c r="F46" s="8" t="n"/>
      <c r="G46" s="8" t="n"/>
      <c r="H46" s="8" t="n"/>
      <c r="I46" s="9" t="n"/>
      <c r="J46" s="9" t="n"/>
      <c r="K46" s="9" t="n"/>
      <c r="L46" s="9" t="n"/>
      <c r="M46" s="9" t="n"/>
      <c r="N46" s="10" t="n"/>
      <c r="O46" s="9" t="n"/>
    </row>
    <row r="47">
      <c r="A47" s="7" t="n"/>
      <c r="B47" s="8" t="n"/>
      <c r="C47" s="8" t="n"/>
      <c r="D47" s="8" t="n"/>
      <c r="E47" s="8" t="n"/>
      <c r="F47" s="8" t="n"/>
      <c r="G47" s="8" t="n"/>
      <c r="H47" s="8" t="n"/>
      <c r="I47" s="9" t="n"/>
      <c r="J47" s="9" t="n"/>
      <c r="K47" s="9" t="n"/>
      <c r="L47" s="9" t="n"/>
      <c r="M47" s="9" t="n"/>
      <c r="N47" s="10" t="n"/>
      <c r="O47" s="9" t="n"/>
    </row>
    <row r="48">
      <c r="A48" s="7" t="n"/>
      <c r="B48" s="8" t="n"/>
      <c r="C48" s="8" t="n"/>
      <c r="D48" s="8" t="n"/>
      <c r="E48" s="8" t="n"/>
      <c r="F48" s="8" t="n"/>
      <c r="G48" s="8" t="n"/>
      <c r="H48" s="8" t="n"/>
      <c r="I48" s="9" t="n"/>
      <c r="J48" s="9" t="n"/>
      <c r="K48" s="9" t="n"/>
      <c r="L48" s="9" t="n"/>
      <c r="M48" s="9" t="n"/>
      <c r="N48" s="10" t="n"/>
      <c r="O48" s="9" t="n"/>
    </row>
    <row r="49">
      <c r="A49" s="7" t="n"/>
      <c r="B49" s="8" t="n"/>
      <c r="C49" s="8" t="n"/>
      <c r="D49" s="8" t="n"/>
      <c r="E49" s="8" t="n"/>
      <c r="F49" s="8" t="n"/>
      <c r="G49" s="8" t="n"/>
      <c r="H49" s="8" t="n"/>
      <c r="I49" s="9" t="n"/>
      <c r="J49" s="9" t="n"/>
      <c r="K49" s="9" t="n"/>
      <c r="L49" s="9" t="n"/>
      <c r="M49" s="9" t="n"/>
      <c r="N49" s="10" t="n"/>
      <c r="O49" s="9" t="n"/>
    </row>
    <row r="50">
      <c r="A50" s="7" t="n"/>
      <c r="B50" s="8" t="n"/>
      <c r="C50" s="8" t="n"/>
      <c r="D50" s="8" t="n"/>
      <c r="E50" s="8" t="n"/>
      <c r="F50" s="8" t="n"/>
      <c r="G50" s="8" t="n"/>
      <c r="H50" s="8" t="n"/>
      <c r="I50" s="9" t="n"/>
      <c r="J50" s="9" t="n"/>
      <c r="K50" s="9" t="n"/>
      <c r="L50" s="9" t="n"/>
      <c r="M50" s="9" t="n"/>
      <c r="N50" s="10" t="n"/>
      <c r="O50" s="9" t="n"/>
    </row>
    <row r="51">
      <c r="A51" s="7" t="n"/>
      <c r="B51" s="8" t="n"/>
      <c r="C51" s="8" t="n"/>
      <c r="D51" s="8" t="n"/>
      <c r="E51" s="8" t="n"/>
      <c r="F51" s="8" t="n"/>
      <c r="G51" s="8" t="n"/>
      <c r="H51" s="8" t="n"/>
      <c r="I51" s="9" t="n"/>
      <c r="J51" s="9" t="n"/>
      <c r="K51" s="9" t="n"/>
      <c r="L51" s="9" t="n"/>
      <c r="M51" s="9" t="n"/>
      <c r="N51" s="10" t="n"/>
      <c r="O51" s="9" t="n"/>
    </row>
    <row r="52">
      <c r="A52" s="7" t="n"/>
      <c r="B52" s="8" t="n"/>
      <c r="C52" s="8" t="n"/>
      <c r="D52" s="8" t="n"/>
      <c r="E52" s="8" t="n"/>
      <c r="F52" s="8" t="n"/>
      <c r="G52" s="8" t="n"/>
      <c r="H52" s="8" t="n"/>
      <c r="I52" s="9" t="n"/>
      <c r="J52" s="9" t="n"/>
      <c r="K52" s="9" t="n"/>
      <c r="L52" s="9" t="n"/>
      <c r="M52" s="9" t="n"/>
      <c r="N52" s="10" t="n"/>
      <c r="O52" s="9" t="n"/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  <c r="I53" s="9" t="n"/>
      <c r="J53" s="9" t="n"/>
      <c r="K53" s="9" t="n"/>
      <c r="L53" s="9" t="n"/>
      <c r="M53" s="9" t="n"/>
      <c r="N53" s="10" t="n"/>
      <c r="O53" s="9" t="n"/>
    </row>
    <row r="54">
      <c r="A54" s="7" t="n"/>
      <c r="B54" s="8" t="n"/>
      <c r="C54" s="8" t="n"/>
      <c r="D54" s="8" t="n"/>
      <c r="E54" s="8" t="n"/>
      <c r="F54" s="8" t="n"/>
      <c r="G54" s="8" t="n"/>
      <c r="H54" s="8" t="n"/>
      <c r="I54" s="9" t="n"/>
      <c r="J54" s="9" t="n"/>
      <c r="K54" s="9" t="n"/>
      <c r="L54" s="9" t="n"/>
      <c r="M54" s="9" t="n"/>
      <c r="N54" s="10" t="n"/>
      <c r="O54" s="9" t="n"/>
    </row>
    <row r="55">
      <c r="A55" s="7" t="n"/>
      <c r="B55" s="8" t="n"/>
      <c r="C55" s="8" t="n"/>
      <c r="D55" s="8" t="n"/>
      <c r="E55" s="8" t="n"/>
      <c r="F55" s="8" t="n"/>
      <c r="G55" s="8" t="n"/>
      <c r="H55" s="8" t="n"/>
      <c r="I55" s="9" t="n"/>
      <c r="J55" s="9" t="n"/>
      <c r="K55" s="9" t="n"/>
      <c r="L55" s="9" t="n"/>
      <c r="M55" s="9" t="n"/>
      <c r="N55" s="10" t="n"/>
      <c r="O55" s="9" t="n"/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  <c r="I56" s="9" t="n"/>
      <c r="J56" s="9" t="n"/>
      <c r="K56" s="9" t="n"/>
      <c r="L56" s="9" t="n"/>
      <c r="M56" s="9" t="n"/>
      <c r="N56" s="10" t="n"/>
      <c r="O56" s="9" t="n"/>
    </row>
    <row r="57">
      <c r="A57" s="7" t="n"/>
      <c r="B57" s="8" t="n"/>
      <c r="C57" s="8" t="n"/>
      <c r="D57" s="8" t="n"/>
      <c r="E57" s="8" t="n"/>
      <c r="F57" s="8" t="n"/>
      <c r="G57" s="8" t="n"/>
      <c r="H57" s="8" t="n"/>
      <c r="I57" s="9" t="n"/>
      <c r="J57" s="9" t="n"/>
      <c r="K57" s="9" t="n"/>
      <c r="L57" s="9" t="n"/>
      <c r="M57" s="9" t="n"/>
      <c r="N57" s="10" t="n"/>
      <c r="O57" s="9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  <c r="I58" s="9" t="n"/>
      <c r="J58" s="9" t="n"/>
      <c r="K58" s="9" t="n"/>
      <c r="L58" s="9" t="n"/>
      <c r="M58" s="9" t="n"/>
      <c r="N58" s="10" t="n"/>
      <c r="O58" s="9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  <c r="I59" s="9" t="n"/>
      <c r="J59" s="9" t="n"/>
      <c r="K59" s="9" t="n"/>
      <c r="L59" s="9" t="n"/>
      <c r="M59" s="9" t="n"/>
      <c r="N59" s="10" t="n"/>
      <c r="O59" s="9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  <c r="I60" s="9" t="n"/>
      <c r="J60" s="9" t="n"/>
      <c r="K60" s="9" t="n"/>
      <c r="L60" s="9" t="n"/>
      <c r="M60" s="9" t="n"/>
      <c r="N60" s="10" t="n"/>
      <c r="O60" s="9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  <c r="I61" s="9" t="n"/>
      <c r="J61" s="9" t="n"/>
      <c r="K61" s="9" t="n"/>
      <c r="L61" s="9" t="n"/>
      <c r="M61" s="9" t="n"/>
      <c r="N61" s="10" t="n"/>
      <c r="O61" s="9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  <c r="I62" s="9" t="n"/>
      <c r="J62" s="9" t="n"/>
      <c r="K62" s="9" t="n"/>
      <c r="L62" s="9" t="n"/>
      <c r="M62" s="9" t="n"/>
      <c r="N62" s="10" t="n"/>
      <c r="O62" s="9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  <c r="I63" s="9" t="n"/>
      <c r="J63" s="9" t="n"/>
      <c r="K63" s="9" t="n"/>
      <c r="L63" s="9" t="n"/>
      <c r="M63" s="9" t="n"/>
      <c r="N63" s="10" t="n"/>
      <c r="O63" s="9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  <c r="I64" s="9" t="n"/>
      <c r="J64" s="9" t="n"/>
      <c r="K64" s="9" t="n"/>
      <c r="L64" s="9" t="n"/>
      <c r="M64" s="9" t="n"/>
      <c r="N64" s="10" t="n"/>
      <c r="O64" s="9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  <c r="I65" s="9" t="n"/>
      <c r="J65" s="9" t="n"/>
      <c r="K65" s="9" t="n"/>
      <c r="L65" s="9" t="n"/>
      <c r="M65" s="9" t="n"/>
      <c r="N65" s="10" t="n"/>
      <c r="O65" s="9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  <c r="I66" s="9" t="n"/>
      <c r="J66" s="9" t="n"/>
      <c r="K66" s="9" t="n"/>
      <c r="L66" s="9" t="n"/>
      <c r="M66" s="9" t="n"/>
      <c r="N66" s="10" t="n"/>
      <c r="O66" s="9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  <c r="I67" s="9" t="n"/>
      <c r="J67" s="9" t="n"/>
      <c r="K67" s="9" t="n"/>
      <c r="L67" s="9" t="n"/>
      <c r="M67" s="9" t="n"/>
      <c r="N67" s="10" t="n"/>
      <c r="O67" s="9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  <c r="I68" s="9" t="n"/>
      <c r="J68" s="9" t="n"/>
      <c r="K68" s="9" t="n"/>
      <c r="L68" s="9" t="n"/>
      <c r="M68" s="9" t="n"/>
      <c r="N68" s="10" t="n"/>
      <c r="O68" s="9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  <c r="I69" s="9" t="n"/>
      <c r="J69" s="9" t="n"/>
      <c r="K69" s="9" t="n"/>
      <c r="L69" s="9" t="n"/>
      <c r="M69" s="9" t="n"/>
      <c r="N69" s="10" t="n"/>
      <c r="O69" s="9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  <c r="I70" s="9" t="n"/>
      <c r="J70" s="9" t="n"/>
      <c r="K70" s="9" t="n"/>
      <c r="L70" s="9" t="n"/>
      <c r="M70" s="9" t="n"/>
      <c r="N70" s="10" t="n"/>
      <c r="O70" s="9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  <c r="I71" s="9" t="n"/>
      <c r="J71" s="9" t="n"/>
      <c r="K71" s="9" t="n"/>
      <c r="L71" s="9" t="n"/>
      <c r="M71" s="9" t="n"/>
      <c r="N71" s="10" t="n"/>
      <c r="O71" s="9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  <c r="I72" s="9" t="n"/>
      <c r="J72" s="9" t="n"/>
      <c r="K72" s="9" t="n"/>
      <c r="L72" s="9" t="n"/>
      <c r="M72" s="9" t="n"/>
      <c r="N72" s="10" t="n"/>
      <c r="O72" s="9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  <c r="I73" s="9" t="n"/>
      <c r="J73" s="9" t="n"/>
      <c r="K73" s="9" t="n"/>
      <c r="L73" s="9" t="n"/>
      <c r="M73" s="9" t="n"/>
      <c r="N73" s="10" t="n"/>
      <c r="O73" s="9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  <c r="I74" s="9" t="n"/>
      <c r="J74" s="9" t="n"/>
      <c r="K74" s="9" t="n"/>
      <c r="L74" s="9" t="n"/>
      <c r="M74" s="9" t="n"/>
      <c r="N74" s="10" t="n"/>
      <c r="O74" s="9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  <c r="I75" s="9" t="n"/>
      <c r="J75" s="9" t="n"/>
      <c r="K75" s="9" t="n"/>
      <c r="L75" s="9" t="n"/>
      <c r="M75" s="9" t="n"/>
      <c r="N75" s="10" t="n"/>
      <c r="O75" s="9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  <c r="I76" s="9" t="n"/>
      <c r="J76" s="9" t="n"/>
      <c r="K76" s="9" t="n"/>
      <c r="L76" s="9" t="n"/>
      <c r="M76" s="9" t="n"/>
      <c r="N76" s="10" t="n"/>
      <c r="O76" s="9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  <c r="I77" s="9" t="n"/>
      <c r="J77" s="9" t="n"/>
      <c r="K77" s="9" t="n"/>
      <c r="L77" s="9" t="n"/>
      <c r="M77" s="9" t="n"/>
      <c r="N77" s="10" t="n"/>
      <c r="O77" s="9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  <c r="I78" s="9" t="n"/>
      <c r="J78" s="9" t="n"/>
      <c r="K78" s="9" t="n"/>
      <c r="L78" s="9" t="n"/>
      <c r="M78" s="9" t="n"/>
      <c r="N78" s="10" t="n"/>
      <c r="O78" s="9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  <c r="I79" s="9" t="n"/>
      <c r="J79" s="9" t="n"/>
      <c r="K79" s="9" t="n"/>
      <c r="L79" s="9" t="n"/>
      <c r="M79" s="9" t="n"/>
      <c r="N79" s="10" t="n"/>
      <c r="O79" s="9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  <c r="I80" s="9" t="n"/>
      <c r="J80" s="9" t="n"/>
      <c r="K80" s="9" t="n"/>
      <c r="L80" s="9" t="n"/>
      <c r="M80" s="9" t="n"/>
      <c r="N80" s="10" t="n"/>
      <c r="O80" s="9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  <c r="I81" s="9" t="n"/>
      <c r="J81" s="9" t="n"/>
      <c r="K81" s="9" t="n"/>
      <c r="L81" s="9" t="n"/>
      <c r="M81" s="9" t="n"/>
      <c r="N81" s="10" t="n"/>
      <c r="O81" s="9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  <c r="I82" s="9" t="n"/>
      <c r="J82" s="9" t="n"/>
      <c r="K82" s="9" t="n"/>
      <c r="L82" s="9" t="n"/>
      <c r="M82" s="9" t="n"/>
      <c r="N82" s="10" t="n"/>
      <c r="O82" s="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8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22" customWidth="1" min="4" max="4"/>
    <col width="30" customWidth="1" min="5" max="5"/>
    <col width="12" customWidth="1" min="6" max="6"/>
    <col width="30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8" customWidth="1" min="14" max="14"/>
    <col width="16" customWidth="1" min="15" max="15"/>
    <col width="22" customWidth="1" min="17" max="17"/>
    <col width="14" customWidth="1" min="18" max="18"/>
    <col width="16" customWidth="1" min="19" max="19"/>
    <col width="2" customWidth="1" min="20" max="20"/>
    <col width="32" customWidth="1" min="21" max="21"/>
    <col width="22" customWidth="1" min="22" max="22"/>
    <col width="14" customWidth="1" min="23" max="23"/>
    <col width="16" customWidth="1" min="24" max="24"/>
  </cols>
  <sheetData>
    <row r="1" ht="28" customHeight="1">
      <c r="A1" s="1" t="inlineStr">
        <is>
          <t>SELETIVA C GRANDE</t>
        </is>
      </c>
      <c r="B1" s="1" t="inlineStr">
        <is>
          <t>FOLHA DE PAGAMENTO ABRIL/2026</t>
        </is>
      </c>
      <c r="I1" s="2">
        <f>SUMIFS(tbl_dados[Provisão de Férias + 13°],tbl_dados[Tomador],$A$1)</f>
        <v/>
      </c>
      <c r="J1" s="2">
        <f>SUMIFS(tbl_dados[Provisão de Encargos],tbl_dados[Tomador],$A$1)</f>
        <v/>
      </c>
      <c r="K1" s="1" t="inlineStr">
        <is>
          <t>Soma</t>
        </is>
      </c>
      <c r="M1" s="2">
        <f>SUMIFS(tbl_dados[TT BRUTO ABRIL],tbl_dados[Tomador],$A$1)</f>
        <v/>
      </c>
      <c r="O1" s="2">
        <f>SUMIFS(tbl_dados[TT BRUTO MARÇO],tbl_dados[Tomador],$A$1)</f>
        <v/>
      </c>
    </row>
    <row r="2" ht="36" customHeight="1">
      <c r="A2" s="3" t="inlineStr">
        <is>
          <t>Qtde</t>
        </is>
      </c>
      <c r="B2" s="3" t="inlineStr">
        <is>
          <t>FUNCIONÁRIO</t>
        </is>
      </c>
      <c r="C2" s="3" t="inlineStr">
        <is>
          <t>Tipo</t>
        </is>
      </c>
      <c r="D2" s="3" t="inlineStr">
        <is>
          <t>Setor</t>
        </is>
      </c>
      <c r="E2" s="3" t="inlineStr">
        <is>
          <t xml:space="preserve">Função </t>
        </is>
      </c>
      <c r="F2" s="3" t="inlineStr">
        <is>
          <t>Status</t>
        </is>
      </c>
      <c r="G2" s="3" t="inlineStr">
        <is>
          <t>Empresa Registro</t>
        </is>
      </c>
      <c r="H2" s="3" t="inlineStr">
        <is>
          <t>CNPJ</t>
        </is>
      </c>
      <c r="I2" s="3" t="inlineStr">
        <is>
          <t>Provisão
de Férias + 13°</t>
        </is>
      </c>
      <c r="J2" s="3" t="inlineStr">
        <is>
          <t>Provisão 
de Encargos</t>
        </is>
      </c>
      <c r="K2" s="3" t="inlineStr">
        <is>
          <t>Eventos Folha
(Caixa)</t>
        </is>
      </c>
      <c r="L2" s="3" t="inlineStr">
        <is>
          <t>Sal PF</t>
        </is>
      </c>
      <c r="M2" s="3" t="inlineStr">
        <is>
          <t>TT BRUTO
ABRIL</t>
        </is>
      </c>
      <c r="N2" s="3" t="inlineStr">
        <is>
          <t>%</t>
        </is>
      </c>
      <c r="O2" s="3" t="inlineStr">
        <is>
          <t>TT BRUTO
MARÇO</t>
        </is>
      </c>
      <c r="Q2" s="3" t="inlineStr">
        <is>
          <t>MODALIDADE</t>
        </is>
      </c>
      <c r="R2" s="3" t="inlineStr">
        <is>
          <t>FUNCIONÁRIOS</t>
        </is>
      </c>
      <c r="S2" s="3" t="inlineStr">
        <is>
          <t>TT BRUTO</t>
        </is>
      </c>
      <c r="U2" s="3" t="inlineStr">
        <is>
          <t>EMPRESA</t>
        </is>
      </c>
      <c r="V2" s="3" t="inlineStr">
        <is>
          <t>CNPJ</t>
        </is>
      </c>
      <c r="W2" s="3" t="inlineStr">
        <is>
          <t>FUNCIONÁRIOS</t>
        </is>
      </c>
      <c r="X2" s="3" t="inlineStr">
        <is>
          <t>TT BRUTO</t>
        </is>
      </c>
    </row>
    <row r="3">
      <c r="A3" s="7">
        <f>IFERROR(_xlfn.SEQUENCE(ROWS(B3#)),"")</f>
        <v/>
      </c>
      <c r="B3" s="8">
        <f>IFERROR(_xlfn._xlws.SORT(_xlfn._xlws.FILTER(tbl_dados[[FUNCIONÁRIO]:[TT BRUTO ABRIL]],tbl_dados[Tomador]=$A$1),12,-1),"")</f>
        <v/>
      </c>
      <c r="C3" s="8" t="n"/>
      <c r="D3" s="8" t="n"/>
      <c r="E3" s="8" t="n"/>
      <c r="F3" s="8" t="n"/>
      <c r="G3" s="8" t="n"/>
      <c r="H3" s="8" t="n"/>
      <c r="I3" s="9" t="n"/>
      <c r="J3" s="9" t="n"/>
      <c r="K3" s="9" t="n"/>
      <c r="L3" s="9" t="n"/>
      <c r="M3" s="9" t="n"/>
      <c r="N3" s="10">
        <f>IFERROR(INDEX(B3#,,12)/$M$1,"")</f>
        <v/>
      </c>
      <c r="O3" s="9">
        <f>IFERROR(INDEX(_xlfn._xlws.SORT(_xlfn._xlws.FILTER(tbl_dados[[FUNCIONÁRIO]:[TT BRUTO MARÇO]],tbl_dados[Tomador]=$A$1),12,-1),,13),"")</f>
        <v/>
      </c>
      <c r="Q3" s="8">
        <f>IFERROR(_xlfn.UNIQUE(_xlfn._xlws.FILTER(tbl_dados[Tipo],tbl_dados[Tomador]=$A$1)),"")</f>
        <v/>
      </c>
      <c r="R3" s="7">
        <f>IFERROR(_xlfn.BYROW(Q3#,_xlfn.LAMBDA(_x,COUNTIFS(tbl_dados[Tomador],$A$1,tbl_dados[Tipo],_x))),"")</f>
        <v/>
      </c>
      <c r="S3" s="9">
        <f>IFERROR(_xlfn.BYROW(Q3#,_xlfn.LAMBDA(_x,SUMIFS(tbl_dados[TT BRUTO ABRIL],tbl_dados[Tomador],$A$1,tbl_dados[Tipo],_x))),"")</f>
        <v/>
      </c>
      <c r="U3" s="8">
        <f>IFERROR(_xlfn.UNIQUE(_xlfn._xlws.FILTER(tbl_dados[Empresa Registro],tbl_dados[Tomador]=$A$1)),"")</f>
        <v/>
      </c>
      <c r="V3" s="11">
        <f>IFERROR(_xlfn.BYROW(U3#,_xlfn.LAMBDA(_x,IFERROR(INDEX(tbl_dados[CNPJ],MATCH(_x,tbl_dados[Empresa Registro],0)),""))),"")</f>
        <v/>
      </c>
      <c r="W3" s="7">
        <f>IFERROR(_xlfn.BYROW(U3#,_xlfn.LAMBDA(_x,COUNTIFS(tbl_dados[Tomador],$A$1,tbl_dados[Empresa Registro],_x))),"")</f>
        <v/>
      </c>
      <c r="X3" s="9">
        <f>IFERROR(_xlfn.BYROW(U3#,_xlfn.LAMBDA(_x,SUMIFS(tbl_dados[TT BRUTO ABRIL],tbl_dados[Tomador],$A$1,tbl_dados[Empresa Registro],_x))),"")</f>
        <v/>
      </c>
    </row>
    <row r="4">
      <c r="A4" s="7" t="n"/>
      <c r="B4" s="8" t="n"/>
      <c r="C4" s="8" t="n"/>
      <c r="D4" s="8" t="n"/>
      <c r="E4" s="8" t="n"/>
      <c r="F4" s="8" t="n"/>
      <c r="G4" s="8" t="n"/>
      <c r="H4" s="8" t="n"/>
      <c r="I4" s="9" t="n"/>
      <c r="J4" s="9" t="n"/>
      <c r="K4" s="9" t="n"/>
      <c r="L4" s="9" t="n"/>
      <c r="M4" s="9" t="n"/>
      <c r="N4" s="10" t="n"/>
      <c r="O4" s="9" t="n"/>
      <c r="Q4" s="8" t="n"/>
      <c r="R4" s="7" t="n"/>
      <c r="S4" s="9" t="n"/>
      <c r="U4" s="8" t="n"/>
      <c r="V4" s="11" t="n"/>
      <c r="W4" s="7" t="n"/>
      <c r="X4" s="9" t="n"/>
    </row>
    <row r="5">
      <c r="A5" s="7" t="n"/>
      <c r="B5" s="8" t="n"/>
      <c r="C5" s="8" t="n"/>
      <c r="D5" s="8" t="n"/>
      <c r="E5" s="8" t="n"/>
      <c r="F5" s="8" t="n"/>
      <c r="G5" s="8" t="n"/>
      <c r="H5" s="8" t="n"/>
      <c r="I5" s="9" t="n"/>
      <c r="J5" s="9" t="n"/>
      <c r="K5" s="9" t="n"/>
      <c r="L5" s="9" t="n"/>
      <c r="M5" s="9" t="n"/>
      <c r="N5" s="10" t="n"/>
      <c r="O5" s="9" t="n"/>
      <c r="Q5" s="8" t="n"/>
      <c r="R5" s="7" t="n"/>
      <c r="S5" s="9" t="n"/>
      <c r="U5" s="8" t="n"/>
      <c r="V5" s="11" t="n"/>
      <c r="W5" s="7" t="n"/>
      <c r="X5" s="9" t="n"/>
    </row>
    <row r="6">
      <c r="A6" s="7" t="n"/>
      <c r="B6" s="8" t="n"/>
      <c r="C6" s="8" t="n"/>
      <c r="D6" s="8" t="n"/>
      <c r="E6" s="8" t="n"/>
      <c r="F6" s="8" t="n"/>
      <c r="G6" s="8" t="n"/>
      <c r="H6" s="8" t="n"/>
      <c r="I6" s="9" t="n"/>
      <c r="J6" s="9" t="n"/>
      <c r="K6" s="9" t="n"/>
      <c r="L6" s="9" t="n"/>
      <c r="M6" s="9" t="n"/>
      <c r="N6" s="10" t="n"/>
      <c r="O6" s="9" t="n"/>
      <c r="Q6" s="8" t="n"/>
      <c r="R6" s="7" t="n"/>
      <c r="S6" s="9" t="n"/>
      <c r="U6" s="8" t="n"/>
      <c r="V6" s="11" t="n"/>
      <c r="W6" s="7" t="n"/>
      <c r="X6" s="9" t="n"/>
    </row>
    <row r="7">
      <c r="A7" s="7" t="n"/>
      <c r="B7" s="8" t="n"/>
      <c r="C7" s="8" t="n"/>
      <c r="D7" s="8" t="n"/>
      <c r="E7" s="8" t="n"/>
      <c r="F7" s="8" t="n"/>
      <c r="G7" s="8" t="n"/>
      <c r="H7" s="8" t="n"/>
      <c r="I7" s="9" t="n"/>
      <c r="J7" s="9" t="n"/>
      <c r="K7" s="9" t="n"/>
      <c r="L7" s="9" t="n"/>
      <c r="M7" s="9" t="n"/>
      <c r="N7" s="10" t="n"/>
      <c r="O7" s="9" t="n"/>
      <c r="Q7" s="8" t="n"/>
      <c r="R7" s="7" t="n"/>
      <c r="S7" s="9" t="n"/>
      <c r="U7" s="8" t="n"/>
      <c r="V7" s="11" t="n"/>
      <c r="W7" s="7" t="n"/>
      <c r="X7" s="9" t="n"/>
    </row>
    <row r="8">
      <c r="A8" s="7" t="n"/>
      <c r="B8" s="8" t="n"/>
      <c r="C8" s="8" t="n"/>
      <c r="D8" s="8" t="n"/>
      <c r="E8" s="8" t="n"/>
      <c r="F8" s="8" t="n"/>
      <c r="G8" s="8" t="n"/>
      <c r="H8" s="8" t="n"/>
      <c r="I8" s="9" t="n"/>
      <c r="J8" s="9" t="n"/>
      <c r="K8" s="9" t="n"/>
      <c r="L8" s="9" t="n"/>
      <c r="M8" s="9" t="n"/>
      <c r="N8" s="10" t="n"/>
      <c r="O8" s="9" t="n"/>
      <c r="Q8" s="8" t="n"/>
      <c r="R8" s="7" t="n"/>
      <c r="S8" s="9" t="n"/>
      <c r="U8" s="8" t="n"/>
      <c r="V8" s="11" t="n"/>
      <c r="W8" s="7" t="n"/>
      <c r="X8" s="9" t="n"/>
    </row>
    <row r="9">
      <c r="A9" s="7" t="n"/>
      <c r="B9" s="8" t="n"/>
      <c r="C9" s="8" t="n"/>
      <c r="D9" s="8" t="n"/>
      <c r="E9" s="8" t="n"/>
      <c r="F9" s="8" t="n"/>
      <c r="G9" s="8" t="n"/>
      <c r="H9" s="8" t="n"/>
      <c r="I9" s="9" t="n"/>
      <c r="J9" s="9" t="n"/>
      <c r="K9" s="9" t="n"/>
      <c r="L9" s="9" t="n"/>
      <c r="M9" s="9" t="n"/>
      <c r="N9" s="10" t="n"/>
      <c r="O9" s="9" t="n"/>
      <c r="Q9" s="8" t="n"/>
      <c r="R9" s="7" t="n"/>
      <c r="S9" s="9" t="n"/>
      <c r="U9" s="8" t="n"/>
      <c r="V9" s="11" t="n"/>
      <c r="W9" s="7" t="n"/>
      <c r="X9" s="9" t="n"/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  <c r="I10" s="9" t="n"/>
      <c r="J10" s="9" t="n"/>
      <c r="K10" s="9" t="n"/>
      <c r="L10" s="9" t="n"/>
      <c r="M10" s="9" t="n"/>
      <c r="N10" s="10" t="n"/>
      <c r="O10" s="9" t="n"/>
      <c r="Q10" s="8" t="n"/>
      <c r="R10" s="7" t="n"/>
      <c r="S10" s="9" t="n"/>
      <c r="U10" s="8" t="n"/>
      <c r="V10" s="11" t="n"/>
      <c r="W10" s="7" t="n"/>
      <c r="X10" s="9" t="n"/>
    </row>
    <row r="11">
      <c r="A11" s="7" t="n"/>
      <c r="B11" s="8" t="n"/>
      <c r="C11" s="8" t="n"/>
      <c r="D11" s="8" t="n"/>
      <c r="E11" s="8" t="n"/>
      <c r="F11" s="8" t="n"/>
      <c r="G11" s="8" t="n"/>
      <c r="H11" s="8" t="n"/>
      <c r="I11" s="9" t="n"/>
      <c r="J11" s="9" t="n"/>
      <c r="K11" s="9" t="n"/>
      <c r="L11" s="9" t="n"/>
      <c r="M11" s="9" t="n"/>
      <c r="N11" s="10" t="n"/>
      <c r="O11" s="9" t="n"/>
      <c r="Q11" s="8" t="n"/>
      <c r="R11" s="7" t="n"/>
      <c r="S11" s="9" t="n"/>
      <c r="U11" s="8" t="n"/>
      <c r="V11" s="11" t="n"/>
      <c r="W11" s="7" t="n"/>
      <c r="X11" s="9" t="n"/>
    </row>
    <row r="12">
      <c r="A12" s="7" t="n"/>
      <c r="B12" s="8" t="n"/>
      <c r="C12" s="8" t="n"/>
      <c r="D12" s="8" t="n"/>
      <c r="E12" s="8" t="n"/>
      <c r="F12" s="8" t="n"/>
      <c r="G12" s="8" t="n"/>
      <c r="H12" s="8" t="n"/>
      <c r="I12" s="9" t="n"/>
      <c r="J12" s="9" t="n"/>
      <c r="K12" s="9" t="n"/>
      <c r="L12" s="9" t="n"/>
      <c r="M12" s="9" t="n"/>
      <c r="N12" s="10" t="n"/>
      <c r="O12" s="9" t="n"/>
      <c r="Q12" s="8" t="n"/>
      <c r="R12" s="7" t="n"/>
      <c r="S12" s="9" t="n"/>
      <c r="U12" s="8" t="n"/>
      <c r="V12" s="11" t="n"/>
      <c r="W12" s="7" t="n"/>
      <c r="X12" s="9" t="n"/>
    </row>
    <row r="13">
      <c r="A13" s="7" t="n"/>
      <c r="B13" s="8" t="n"/>
      <c r="C13" s="8" t="n"/>
      <c r="D13" s="8" t="n"/>
      <c r="E13" s="8" t="n"/>
      <c r="F13" s="8" t="n"/>
      <c r="G13" s="8" t="n"/>
      <c r="H13" s="8" t="n"/>
      <c r="I13" s="9" t="n"/>
      <c r="J13" s="9" t="n"/>
      <c r="K13" s="9" t="n"/>
      <c r="L13" s="9" t="n"/>
      <c r="M13" s="9" t="n"/>
      <c r="N13" s="10" t="n"/>
      <c r="O13" s="9" t="n"/>
      <c r="Q13" s="8" t="n"/>
      <c r="R13" s="7" t="n"/>
      <c r="S13" s="9" t="n"/>
      <c r="U13" s="8" t="n"/>
      <c r="V13" s="11" t="n"/>
      <c r="W13" s="7" t="n"/>
      <c r="X13" s="9" t="n"/>
    </row>
    <row r="14">
      <c r="A14" s="7" t="n"/>
      <c r="B14" s="8" t="n"/>
      <c r="C14" s="8" t="n"/>
      <c r="D14" s="8" t="n"/>
      <c r="E14" s="8" t="n"/>
      <c r="F14" s="8" t="n"/>
      <c r="G14" s="8" t="n"/>
      <c r="H14" s="8" t="n"/>
      <c r="I14" s="9" t="n"/>
      <c r="J14" s="9" t="n"/>
      <c r="K14" s="9" t="n"/>
      <c r="L14" s="9" t="n"/>
      <c r="M14" s="9" t="n"/>
      <c r="N14" s="10" t="n"/>
      <c r="O14" s="9" t="n"/>
      <c r="Q14" s="8" t="n"/>
      <c r="R14" s="7" t="n"/>
      <c r="S14" s="9" t="n"/>
      <c r="U14" s="8" t="n"/>
      <c r="V14" s="11" t="n"/>
      <c r="W14" s="7" t="n"/>
      <c r="X14" s="9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9" t="n"/>
      <c r="J15" s="9" t="n"/>
      <c r="K15" s="9" t="n"/>
      <c r="L15" s="9" t="n"/>
      <c r="M15" s="9" t="n"/>
      <c r="N15" s="10" t="n"/>
      <c r="O15" s="9" t="n"/>
      <c r="Q15" s="8" t="n"/>
      <c r="R15" s="7" t="n"/>
      <c r="S15" s="9" t="n"/>
      <c r="U15" s="8" t="n"/>
      <c r="V15" s="11" t="n"/>
      <c r="W15" s="7" t="n"/>
      <c r="X15" s="9" t="n"/>
    </row>
    <row r="16">
      <c r="A16" s="7" t="n"/>
      <c r="B16" s="8" t="n"/>
      <c r="C16" s="8" t="n"/>
      <c r="D16" s="8" t="n"/>
      <c r="E16" s="8" t="n"/>
      <c r="F16" s="8" t="n"/>
      <c r="G16" s="8" t="n"/>
      <c r="H16" s="8" t="n"/>
      <c r="I16" s="9" t="n"/>
      <c r="J16" s="9" t="n"/>
      <c r="K16" s="9" t="n"/>
      <c r="L16" s="9" t="n"/>
      <c r="M16" s="9" t="n"/>
      <c r="N16" s="10" t="n"/>
      <c r="O16" s="9" t="n"/>
      <c r="Q16" s="8" t="n"/>
      <c r="R16" s="7" t="n"/>
      <c r="S16" s="9" t="n"/>
      <c r="U16" s="8" t="n"/>
      <c r="V16" s="11" t="n"/>
      <c r="W16" s="7" t="n"/>
      <c r="X16" s="9" t="n"/>
    </row>
    <row r="17">
      <c r="A17" s="7" t="n"/>
      <c r="B17" s="8" t="n"/>
      <c r="C17" s="8" t="n"/>
      <c r="D17" s="8" t="n"/>
      <c r="E17" s="8" t="n"/>
      <c r="F17" s="8" t="n"/>
      <c r="G17" s="8" t="n"/>
      <c r="H17" s="8" t="n"/>
      <c r="I17" s="9" t="n"/>
      <c r="J17" s="9" t="n"/>
      <c r="K17" s="9" t="n"/>
      <c r="L17" s="9" t="n"/>
      <c r="M17" s="9" t="n"/>
      <c r="N17" s="10" t="n"/>
      <c r="O17" s="9" t="n"/>
      <c r="Q17" s="8" t="n"/>
      <c r="R17" s="7" t="n"/>
      <c r="S17" s="9" t="n"/>
      <c r="U17" s="8" t="n"/>
      <c r="V17" s="11" t="n"/>
      <c r="W17" s="7" t="n"/>
      <c r="X17" s="9" t="n"/>
    </row>
    <row r="18">
      <c r="A18" s="7" t="n"/>
      <c r="B18" s="8" t="n"/>
      <c r="C18" s="8" t="n"/>
      <c r="D18" s="8" t="n"/>
      <c r="E18" s="8" t="n"/>
      <c r="F18" s="8" t="n"/>
      <c r="G18" s="8" t="n"/>
      <c r="H18" s="8" t="n"/>
      <c r="I18" s="9" t="n"/>
      <c r="J18" s="9" t="n"/>
      <c r="K18" s="9" t="n"/>
      <c r="L18" s="9" t="n"/>
      <c r="M18" s="9" t="n"/>
      <c r="N18" s="10" t="n"/>
      <c r="O18" s="9" t="n"/>
      <c r="Q18" s="8" t="n"/>
      <c r="R18" s="7" t="n"/>
      <c r="S18" s="9" t="n"/>
      <c r="U18" s="8" t="n"/>
      <c r="V18" s="11" t="n"/>
      <c r="W18" s="7" t="n"/>
      <c r="X18" s="9" t="n"/>
    </row>
    <row r="19">
      <c r="A19" s="7" t="n"/>
      <c r="B19" s="8" t="n"/>
      <c r="C19" s="8" t="n"/>
      <c r="D19" s="8" t="n"/>
      <c r="E19" s="8" t="n"/>
      <c r="F19" s="8" t="n"/>
      <c r="G19" s="8" t="n"/>
      <c r="H19" s="8" t="n"/>
      <c r="I19" s="9" t="n"/>
      <c r="J19" s="9" t="n"/>
      <c r="K19" s="9" t="n"/>
      <c r="L19" s="9" t="n"/>
      <c r="M19" s="9" t="n"/>
      <c r="N19" s="10" t="n"/>
      <c r="O19" s="9" t="n"/>
      <c r="Q19" s="8" t="n"/>
      <c r="R19" s="7" t="n"/>
      <c r="S19" s="9" t="n"/>
      <c r="U19" s="8" t="n"/>
      <c r="V19" s="11" t="n"/>
      <c r="W19" s="7" t="n"/>
      <c r="X19" s="9" t="n"/>
    </row>
    <row r="20">
      <c r="A20" s="7" t="n"/>
      <c r="B20" s="8" t="n"/>
      <c r="C20" s="8" t="n"/>
      <c r="D20" s="8" t="n"/>
      <c r="E20" s="8" t="n"/>
      <c r="F20" s="8" t="n"/>
      <c r="G20" s="8" t="n"/>
      <c r="H20" s="8" t="n"/>
      <c r="I20" s="9" t="n"/>
      <c r="J20" s="9" t="n"/>
      <c r="K20" s="9" t="n"/>
      <c r="L20" s="9" t="n"/>
      <c r="M20" s="9" t="n"/>
      <c r="N20" s="10" t="n"/>
      <c r="O20" s="9" t="n"/>
      <c r="Q20" s="8" t="n"/>
      <c r="R20" s="7" t="n"/>
      <c r="S20" s="9" t="n"/>
      <c r="U20" s="8" t="n"/>
      <c r="V20" s="11" t="n"/>
      <c r="W20" s="7" t="n"/>
      <c r="X20" s="9" t="n"/>
    </row>
    <row r="21">
      <c r="A21" s="7" t="n"/>
      <c r="B21" s="8" t="n"/>
      <c r="C21" s="8" t="n"/>
      <c r="D21" s="8" t="n"/>
      <c r="E21" s="8" t="n"/>
      <c r="F21" s="8" t="n"/>
      <c r="G21" s="8" t="n"/>
      <c r="H21" s="8" t="n"/>
      <c r="I21" s="9" t="n"/>
      <c r="J21" s="9" t="n"/>
      <c r="K21" s="9" t="n"/>
      <c r="L21" s="9" t="n"/>
      <c r="M21" s="9" t="n"/>
      <c r="N21" s="10" t="n"/>
      <c r="O21" s="9" t="n"/>
      <c r="Q21" s="8" t="n"/>
      <c r="R21" s="7" t="n"/>
      <c r="S21" s="9" t="n"/>
      <c r="U21" s="8" t="n"/>
      <c r="V21" s="11" t="n"/>
      <c r="W21" s="7" t="n"/>
      <c r="X21" s="9" t="n"/>
    </row>
    <row r="22">
      <c r="A22" s="7" t="n"/>
      <c r="B22" s="8" t="n"/>
      <c r="C22" s="8" t="n"/>
      <c r="D22" s="8" t="n"/>
      <c r="E22" s="8" t="n"/>
      <c r="F22" s="8" t="n"/>
      <c r="G22" s="8" t="n"/>
      <c r="H22" s="8" t="n"/>
      <c r="I22" s="9" t="n"/>
      <c r="J22" s="9" t="n"/>
      <c r="K22" s="9" t="n"/>
      <c r="L22" s="9" t="n"/>
      <c r="M22" s="9" t="n"/>
      <c r="N22" s="10" t="n"/>
      <c r="O22" s="9" t="n"/>
      <c r="Q22" s="8" t="n"/>
      <c r="R22" s="7" t="n"/>
      <c r="S22" s="9" t="n"/>
      <c r="U22" s="8" t="n"/>
      <c r="V22" s="11" t="n"/>
      <c r="W22" s="7" t="n"/>
      <c r="X22" s="9" t="n"/>
    </row>
    <row r="23">
      <c r="A23" s="7" t="n"/>
      <c r="B23" s="8" t="n"/>
      <c r="C23" s="8" t="n"/>
      <c r="D23" s="8" t="n"/>
      <c r="E23" s="8" t="n"/>
      <c r="F23" s="8" t="n"/>
      <c r="G23" s="8" t="n"/>
      <c r="H23" s="8" t="n"/>
      <c r="I23" s="9" t="n"/>
      <c r="J23" s="9" t="n"/>
      <c r="K23" s="9" t="n"/>
      <c r="L23" s="9" t="n"/>
      <c r="M23" s="9" t="n"/>
      <c r="N23" s="10" t="n"/>
      <c r="O23" s="9" t="n"/>
      <c r="Q23" s="8" t="n"/>
      <c r="R23" s="7" t="n"/>
      <c r="S23" s="9" t="n"/>
      <c r="U23" s="8" t="n"/>
      <c r="V23" s="11" t="n"/>
      <c r="W23" s="7" t="n"/>
      <c r="X23" s="9" t="n"/>
    </row>
    <row r="24">
      <c r="A24" s="7" t="n"/>
      <c r="B24" s="8" t="n"/>
      <c r="C24" s="8" t="n"/>
      <c r="D24" s="8" t="n"/>
      <c r="E24" s="8" t="n"/>
      <c r="F24" s="8" t="n"/>
      <c r="G24" s="8" t="n"/>
      <c r="H24" s="8" t="n"/>
      <c r="I24" s="9" t="n"/>
      <c r="J24" s="9" t="n"/>
      <c r="K24" s="9" t="n"/>
      <c r="L24" s="9" t="n"/>
      <c r="M24" s="9" t="n"/>
      <c r="N24" s="10" t="n"/>
      <c r="O24" s="9" t="n"/>
      <c r="Q24" s="8" t="n"/>
      <c r="R24" s="7" t="n"/>
      <c r="S24" s="9" t="n"/>
      <c r="U24" s="8" t="n"/>
      <c r="V24" s="11" t="n"/>
      <c r="W24" s="7" t="n"/>
      <c r="X24" s="9" t="n"/>
    </row>
    <row r="25">
      <c r="A25" s="7" t="n"/>
      <c r="B25" s="8" t="n"/>
      <c r="C25" s="8" t="n"/>
      <c r="D25" s="8" t="n"/>
      <c r="E25" s="8" t="n"/>
      <c r="F25" s="8" t="n"/>
      <c r="G25" s="8" t="n"/>
      <c r="H25" s="8" t="n"/>
      <c r="I25" s="9" t="n"/>
      <c r="J25" s="9" t="n"/>
      <c r="K25" s="9" t="n"/>
      <c r="L25" s="9" t="n"/>
      <c r="M25" s="9" t="n"/>
      <c r="N25" s="10" t="n"/>
      <c r="O25" s="9" t="n"/>
      <c r="Q25" s="8" t="n"/>
      <c r="R25" s="7" t="n"/>
      <c r="S25" s="9" t="n"/>
      <c r="U25" s="8" t="n"/>
      <c r="V25" s="11" t="n"/>
      <c r="W25" s="7" t="n"/>
      <c r="X25" s="9" t="n"/>
    </row>
    <row r="26">
      <c r="A26" s="7" t="n"/>
      <c r="B26" s="8" t="n"/>
      <c r="C26" s="8" t="n"/>
      <c r="D26" s="8" t="n"/>
      <c r="E26" s="8" t="n"/>
      <c r="F26" s="8" t="n"/>
      <c r="G26" s="8" t="n"/>
      <c r="H26" s="8" t="n"/>
      <c r="I26" s="9" t="n"/>
      <c r="J26" s="9" t="n"/>
      <c r="K26" s="9" t="n"/>
      <c r="L26" s="9" t="n"/>
      <c r="M26" s="9" t="n"/>
      <c r="N26" s="10" t="n"/>
      <c r="O26" s="9" t="n"/>
      <c r="Q26" s="8" t="n"/>
      <c r="R26" s="7" t="n"/>
      <c r="S26" s="9" t="n"/>
      <c r="U26" s="8" t="n"/>
      <c r="V26" s="11" t="n"/>
      <c r="W26" s="7" t="n"/>
      <c r="X26" s="9" t="n"/>
    </row>
    <row r="27">
      <c r="A27" s="7" t="n"/>
      <c r="B27" s="8" t="n"/>
      <c r="C27" s="8" t="n"/>
      <c r="D27" s="8" t="n"/>
      <c r="E27" s="8" t="n"/>
      <c r="F27" s="8" t="n"/>
      <c r="G27" s="8" t="n"/>
      <c r="H27" s="8" t="n"/>
      <c r="I27" s="9" t="n"/>
      <c r="J27" s="9" t="n"/>
      <c r="K27" s="9" t="n"/>
      <c r="L27" s="9" t="n"/>
      <c r="M27" s="9" t="n"/>
      <c r="N27" s="10" t="n"/>
      <c r="O27" s="9" t="n"/>
      <c r="Q27" s="8" t="n"/>
      <c r="R27" s="7" t="n"/>
      <c r="S27" s="9" t="n"/>
      <c r="U27" s="8" t="n"/>
      <c r="V27" s="11" t="n"/>
      <c r="W27" s="7" t="n"/>
      <c r="X27" s="9" t="n"/>
    </row>
    <row r="28">
      <c r="A28" s="7" t="n"/>
      <c r="B28" s="8" t="n"/>
      <c r="C28" s="8" t="n"/>
      <c r="D28" s="8" t="n"/>
      <c r="E28" s="8" t="n"/>
      <c r="F28" s="8" t="n"/>
      <c r="G28" s="8" t="n"/>
      <c r="H28" s="8" t="n"/>
      <c r="I28" s="9" t="n"/>
      <c r="J28" s="9" t="n"/>
      <c r="K28" s="9" t="n"/>
      <c r="L28" s="9" t="n"/>
      <c r="M28" s="9" t="n"/>
      <c r="N28" s="10" t="n"/>
      <c r="O28" s="9" t="n"/>
      <c r="Q28" s="8" t="n"/>
      <c r="R28" s="7" t="n"/>
      <c r="S28" s="9" t="n"/>
      <c r="U28" s="8" t="n"/>
      <c r="V28" s="11" t="n"/>
      <c r="W28" s="7" t="n"/>
      <c r="X28" s="9" t="n"/>
    </row>
    <row r="29">
      <c r="A29" s="7" t="n"/>
      <c r="B29" s="8" t="n"/>
      <c r="C29" s="8" t="n"/>
      <c r="D29" s="8" t="n"/>
      <c r="E29" s="8" t="n"/>
      <c r="F29" s="8" t="n"/>
      <c r="G29" s="8" t="n"/>
      <c r="H29" s="8" t="n"/>
      <c r="I29" s="9" t="n"/>
      <c r="J29" s="9" t="n"/>
      <c r="K29" s="9" t="n"/>
      <c r="L29" s="9" t="n"/>
      <c r="M29" s="9" t="n"/>
      <c r="N29" s="10" t="n"/>
      <c r="O29" s="9" t="n"/>
      <c r="Q29" s="8" t="n"/>
      <c r="R29" s="7" t="n"/>
      <c r="S29" s="9" t="n"/>
      <c r="U29" s="8" t="n"/>
      <c r="V29" s="11" t="n"/>
      <c r="W29" s="7" t="n"/>
      <c r="X29" s="9" t="n"/>
    </row>
    <row r="30">
      <c r="A30" s="7" t="n"/>
      <c r="B30" s="8" t="n"/>
      <c r="C30" s="8" t="n"/>
      <c r="D30" s="8" t="n"/>
      <c r="E30" s="8" t="n"/>
      <c r="F30" s="8" t="n"/>
      <c r="G30" s="8" t="n"/>
      <c r="H30" s="8" t="n"/>
      <c r="I30" s="9" t="n"/>
      <c r="J30" s="9" t="n"/>
      <c r="K30" s="9" t="n"/>
      <c r="L30" s="9" t="n"/>
      <c r="M30" s="9" t="n"/>
      <c r="N30" s="10" t="n"/>
      <c r="O30" s="9" t="n"/>
      <c r="Q30" s="8" t="n"/>
      <c r="R30" s="7" t="n"/>
      <c r="S30" s="9" t="n"/>
      <c r="U30" s="8" t="n"/>
      <c r="V30" s="11" t="n"/>
      <c r="W30" s="7" t="n"/>
      <c r="X30" s="9" t="n"/>
    </row>
    <row r="31">
      <c r="A31" s="7" t="n"/>
      <c r="B31" s="8" t="n"/>
      <c r="C31" s="8" t="n"/>
      <c r="D31" s="8" t="n"/>
      <c r="E31" s="8" t="n"/>
      <c r="F31" s="8" t="n"/>
      <c r="G31" s="8" t="n"/>
      <c r="H31" s="8" t="n"/>
      <c r="I31" s="9" t="n"/>
      <c r="J31" s="9" t="n"/>
      <c r="K31" s="9" t="n"/>
      <c r="L31" s="9" t="n"/>
      <c r="M31" s="9" t="n"/>
      <c r="N31" s="10" t="n"/>
      <c r="O31" s="9" t="n"/>
      <c r="Q31" s="8" t="n"/>
      <c r="R31" s="7" t="n"/>
      <c r="S31" s="9" t="n"/>
      <c r="U31" s="8" t="n"/>
      <c r="V31" s="11" t="n"/>
      <c r="W31" s="7" t="n"/>
      <c r="X31" s="9" t="n"/>
    </row>
    <row r="32">
      <c r="A32" s="7" t="n"/>
      <c r="B32" s="8" t="n"/>
      <c r="C32" s="8" t="n"/>
      <c r="D32" s="8" t="n"/>
      <c r="E32" s="8" t="n"/>
      <c r="F32" s="8" t="n"/>
      <c r="G32" s="8" t="n"/>
      <c r="H32" s="8" t="n"/>
      <c r="I32" s="9" t="n"/>
      <c r="J32" s="9" t="n"/>
      <c r="K32" s="9" t="n"/>
      <c r="L32" s="9" t="n"/>
      <c r="M32" s="9" t="n"/>
      <c r="N32" s="10" t="n"/>
      <c r="O32" s="9" t="n"/>
      <c r="Q32" s="8" t="n"/>
      <c r="R32" s="7" t="n"/>
      <c r="S32" s="9" t="n"/>
      <c r="U32" s="8" t="n"/>
      <c r="V32" s="11" t="n"/>
      <c r="W32" s="7" t="n"/>
      <c r="X32" s="9" t="n"/>
    </row>
    <row r="33">
      <c r="A33" s="7" t="n"/>
      <c r="B33" s="8" t="n"/>
      <c r="C33" s="8" t="n"/>
      <c r="D33" s="8" t="n"/>
      <c r="E33" s="8" t="n"/>
      <c r="F33" s="8" t="n"/>
      <c r="G33" s="8" t="n"/>
      <c r="H33" s="8" t="n"/>
      <c r="I33" s="9" t="n"/>
      <c r="J33" s="9" t="n"/>
      <c r="K33" s="9" t="n"/>
      <c r="L33" s="9" t="n"/>
      <c r="M33" s="9" t="n"/>
      <c r="N33" s="10" t="n"/>
      <c r="O33" s="9" t="n"/>
    </row>
    <row r="34">
      <c r="A34" s="7" t="n"/>
      <c r="B34" s="8" t="n"/>
      <c r="C34" s="8" t="n"/>
      <c r="D34" s="8" t="n"/>
      <c r="E34" s="8" t="n"/>
      <c r="F34" s="8" t="n"/>
      <c r="G34" s="8" t="n"/>
      <c r="H34" s="8" t="n"/>
      <c r="I34" s="9" t="n"/>
      <c r="J34" s="9" t="n"/>
      <c r="K34" s="9" t="n"/>
      <c r="L34" s="9" t="n"/>
      <c r="M34" s="9" t="n"/>
      <c r="N34" s="10" t="n"/>
      <c r="O34" s="9" t="n"/>
    </row>
    <row r="35">
      <c r="A35" s="7" t="n"/>
      <c r="B35" s="8" t="n"/>
      <c r="C35" s="8" t="n"/>
      <c r="D35" s="8" t="n"/>
      <c r="E35" s="8" t="n"/>
      <c r="F35" s="8" t="n"/>
      <c r="G35" s="8" t="n"/>
      <c r="H35" s="8" t="n"/>
      <c r="I35" s="9" t="n"/>
      <c r="J35" s="9" t="n"/>
      <c r="K35" s="9" t="n"/>
      <c r="L35" s="9" t="n"/>
      <c r="M35" s="9" t="n"/>
      <c r="N35" s="10" t="n"/>
      <c r="O35" s="9" t="n"/>
    </row>
    <row r="36">
      <c r="A36" s="7" t="n"/>
      <c r="B36" s="8" t="n"/>
      <c r="C36" s="8" t="n"/>
      <c r="D36" s="8" t="n"/>
      <c r="E36" s="8" t="n"/>
      <c r="F36" s="8" t="n"/>
      <c r="G36" s="8" t="n"/>
      <c r="H36" s="8" t="n"/>
      <c r="I36" s="9" t="n"/>
      <c r="J36" s="9" t="n"/>
      <c r="K36" s="9" t="n"/>
      <c r="L36" s="9" t="n"/>
      <c r="M36" s="9" t="n"/>
      <c r="N36" s="10" t="n"/>
      <c r="O36" s="9" t="n"/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  <c r="I37" s="9" t="n"/>
      <c r="J37" s="9" t="n"/>
      <c r="K37" s="9" t="n"/>
      <c r="L37" s="9" t="n"/>
      <c r="M37" s="9" t="n"/>
      <c r="N37" s="10" t="n"/>
      <c r="O37" s="9" t="n"/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  <c r="I38" s="9" t="n"/>
      <c r="J38" s="9" t="n"/>
      <c r="K38" s="9" t="n"/>
      <c r="L38" s="9" t="n"/>
      <c r="M38" s="9" t="n"/>
      <c r="N38" s="10" t="n"/>
      <c r="O38" s="9" t="n"/>
    </row>
    <row r="39">
      <c r="A39" s="7" t="n"/>
      <c r="B39" s="8" t="n"/>
      <c r="C39" s="8" t="n"/>
      <c r="D39" s="8" t="n"/>
      <c r="E39" s="8" t="n"/>
      <c r="F39" s="8" t="n"/>
      <c r="G39" s="8" t="n"/>
      <c r="H39" s="8" t="n"/>
      <c r="I39" s="9" t="n"/>
      <c r="J39" s="9" t="n"/>
      <c r="K39" s="9" t="n"/>
      <c r="L39" s="9" t="n"/>
      <c r="M39" s="9" t="n"/>
      <c r="N39" s="10" t="n"/>
      <c r="O39" s="9" t="n"/>
    </row>
    <row r="40">
      <c r="A40" s="7" t="n"/>
      <c r="B40" s="8" t="n"/>
      <c r="C40" s="8" t="n"/>
      <c r="D40" s="8" t="n"/>
      <c r="E40" s="8" t="n"/>
      <c r="F40" s="8" t="n"/>
      <c r="G40" s="8" t="n"/>
      <c r="H40" s="8" t="n"/>
      <c r="I40" s="9" t="n"/>
      <c r="J40" s="9" t="n"/>
      <c r="K40" s="9" t="n"/>
      <c r="L40" s="9" t="n"/>
      <c r="M40" s="9" t="n"/>
      <c r="N40" s="10" t="n"/>
      <c r="O40" s="9" t="n"/>
    </row>
    <row r="41">
      <c r="A41" s="7" t="n"/>
      <c r="B41" s="8" t="n"/>
      <c r="C41" s="8" t="n"/>
      <c r="D41" s="8" t="n"/>
      <c r="E41" s="8" t="n"/>
      <c r="F41" s="8" t="n"/>
      <c r="G41" s="8" t="n"/>
      <c r="H41" s="8" t="n"/>
      <c r="I41" s="9" t="n"/>
      <c r="J41" s="9" t="n"/>
      <c r="K41" s="9" t="n"/>
      <c r="L41" s="9" t="n"/>
      <c r="M41" s="9" t="n"/>
      <c r="N41" s="10" t="n"/>
      <c r="O41" s="9" t="n"/>
    </row>
    <row r="42">
      <c r="A42" s="7" t="n"/>
      <c r="B42" s="8" t="n"/>
      <c r="C42" s="8" t="n"/>
      <c r="D42" s="8" t="n"/>
      <c r="E42" s="8" t="n"/>
      <c r="F42" s="8" t="n"/>
      <c r="G42" s="8" t="n"/>
      <c r="H42" s="8" t="n"/>
      <c r="I42" s="9" t="n"/>
      <c r="J42" s="9" t="n"/>
      <c r="K42" s="9" t="n"/>
      <c r="L42" s="9" t="n"/>
      <c r="M42" s="9" t="n"/>
      <c r="N42" s="10" t="n"/>
      <c r="O42" s="9" t="n"/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  <c r="I43" s="9" t="n"/>
      <c r="J43" s="9" t="n"/>
      <c r="K43" s="9" t="n"/>
      <c r="L43" s="9" t="n"/>
      <c r="M43" s="9" t="n"/>
      <c r="N43" s="10" t="n"/>
      <c r="O43" s="9" t="n"/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  <c r="I44" s="9" t="n"/>
      <c r="J44" s="9" t="n"/>
      <c r="K44" s="9" t="n"/>
      <c r="L44" s="9" t="n"/>
      <c r="M44" s="9" t="n"/>
      <c r="N44" s="10" t="n"/>
      <c r="O44" s="9" t="n"/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  <c r="I45" s="9" t="n"/>
      <c r="J45" s="9" t="n"/>
      <c r="K45" s="9" t="n"/>
      <c r="L45" s="9" t="n"/>
      <c r="M45" s="9" t="n"/>
      <c r="N45" s="10" t="n"/>
      <c r="O45" s="9" t="n"/>
    </row>
    <row r="46">
      <c r="A46" s="7" t="n"/>
      <c r="B46" s="8" t="n"/>
      <c r="C46" s="8" t="n"/>
      <c r="D46" s="8" t="n"/>
      <c r="E46" s="8" t="n"/>
      <c r="F46" s="8" t="n"/>
      <c r="G46" s="8" t="n"/>
      <c r="H46" s="8" t="n"/>
      <c r="I46" s="9" t="n"/>
      <c r="J46" s="9" t="n"/>
      <c r="K46" s="9" t="n"/>
      <c r="L46" s="9" t="n"/>
      <c r="M46" s="9" t="n"/>
      <c r="N46" s="10" t="n"/>
      <c r="O46" s="9" t="n"/>
    </row>
    <row r="47">
      <c r="A47" s="7" t="n"/>
      <c r="B47" s="8" t="n"/>
      <c r="C47" s="8" t="n"/>
      <c r="D47" s="8" t="n"/>
      <c r="E47" s="8" t="n"/>
      <c r="F47" s="8" t="n"/>
      <c r="G47" s="8" t="n"/>
      <c r="H47" s="8" t="n"/>
      <c r="I47" s="9" t="n"/>
      <c r="J47" s="9" t="n"/>
      <c r="K47" s="9" t="n"/>
      <c r="L47" s="9" t="n"/>
      <c r="M47" s="9" t="n"/>
      <c r="N47" s="10" t="n"/>
      <c r="O47" s="9" t="n"/>
    </row>
    <row r="48">
      <c r="A48" s="7" t="n"/>
      <c r="B48" s="8" t="n"/>
      <c r="C48" s="8" t="n"/>
      <c r="D48" s="8" t="n"/>
      <c r="E48" s="8" t="n"/>
      <c r="F48" s="8" t="n"/>
      <c r="G48" s="8" t="n"/>
      <c r="H48" s="8" t="n"/>
      <c r="I48" s="9" t="n"/>
      <c r="J48" s="9" t="n"/>
      <c r="K48" s="9" t="n"/>
      <c r="L48" s="9" t="n"/>
      <c r="M48" s="9" t="n"/>
      <c r="N48" s="10" t="n"/>
      <c r="O48" s="9" t="n"/>
    </row>
    <row r="49">
      <c r="A49" s="7" t="n"/>
      <c r="B49" s="8" t="n"/>
      <c r="C49" s="8" t="n"/>
      <c r="D49" s="8" t="n"/>
      <c r="E49" s="8" t="n"/>
      <c r="F49" s="8" t="n"/>
      <c r="G49" s="8" t="n"/>
      <c r="H49" s="8" t="n"/>
      <c r="I49" s="9" t="n"/>
      <c r="J49" s="9" t="n"/>
      <c r="K49" s="9" t="n"/>
      <c r="L49" s="9" t="n"/>
      <c r="M49" s="9" t="n"/>
      <c r="N49" s="10" t="n"/>
      <c r="O49" s="9" t="n"/>
    </row>
    <row r="50">
      <c r="A50" s="7" t="n"/>
      <c r="B50" s="8" t="n"/>
      <c r="C50" s="8" t="n"/>
      <c r="D50" s="8" t="n"/>
      <c r="E50" s="8" t="n"/>
      <c r="F50" s="8" t="n"/>
      <c r="G50" s="8" t="n"/>
      <c r="H50" s="8" t="n"/>
      <c r="I50" s="9" t="n"/>
      <c r="J50" s="9" t="n"/>
      <c r="K50" s="9" t="n"/>
      <c r="L50" s="9" t="n"/>
      <c r="M50" s="9" t="n"/>
      <c r="N50" s="10" t="n"/>
      <c r="O50" s="9" t="n"/>
    </row>
    <row r="51">
      <c r="A51" s="7" t="n"/>
      <c r="B51" s="8" t="n"/>
      <c r="C51" s="8" t="n"/>
      <c r="D51" s="8" t="n"/>
      <c r="E51" s="8" t="n"/>
      <c r="F51" s="8" t="n"/>
      <c r="G51" s="8" t="n"/>
      <c r="H51" s="8" t="n"/>
      <c r="I51" s="9" t="n"/>
      <c r="J51" s="9" t="n"/>
      <c r="K51" s="9" t="n"/>
      <c r="L51" s="9" t="n"/>
      <c r="M51" s="9" t="n"/>
      <c r="N51" s="10" t="n"/>
      <c r="O51" s="9" t="n"/>
    </row>
    <row r="52">
      <c r="A52" s="7" t="n"/>
      <c r="B52" s="8" t="n"/>
      <c r="C52" s="8" t="n"/>
      <c r="D52" s="8" t="n"/>
      <c r="E52" s="8" t="n"/>
      <c r="F52" s="8" t="n"/>
      <c r="G52" s="8" t="n"/>
      <c r="H52" s="8" t="n"/>
      <c r="I52" s="9" t="n"/>
      <c r="J52" s="9" t="n"/>
      <c r="K52" s="9" t="n"/>
      <c r="L52" s="9" t="n"/>
      <c r="M52" s="9" t="n"/>
      <c r="N52" s="10" t="n"/>
      <c r="O52" s="9" t="n"/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  <c r="I53" s="9" t="n"/>
      <c r="J53" s="9" t="n"/>
      <c r="K53" s="9" t="n"/>
      <c r="L53" s="9" t="n"/>
      <c r="M53" s="9" t="n"/>
      <c r="N53" s="10" t="n"/>
      <c r="O53" s="9" t="n"/>
    </row>
    <row r="54">
      <c r="A54" s="7" t="n"/>
      <c r="B54" s="8" t="n"/>
      <c r="C54" s="8" t="n"/>
      <c r="D54" s="8" t="n"/>
      <c r="E54" s="8" t="n"/>
      <c r="F54" s="8" t="n"/>
      <c r="G54" s="8" t="n"/>
      <c r="H54" s="8" t="n"/>
      <c r="I54" s="9" t="n"/>
      <c r="J54" s="9" t="n"/>
      <c r="K54" s="9" t="n"/>
      <c r="L54" s="9" t="n"/>
      <c r="M54" s="9" t="n"/>
      <c r="N54" s="10" t="n"/>
      <c r="O54" s="9" t="n"/>
    </row>
    <row r="55">
      <c r="A55" s="7" t="n"/>
      <c r="B55" s="8" t="n"/>
      <c r="C55" s="8" t="n"/>
      <c r="D55" s="8" t="n"/>
      <c r="E55" s="8" t="n"/>
      <c r="F55" s="8" t="n"/>
      <c r="G55" s="8" t="n"/>
      <c r="H55" s="8" t="n"/>
      <c r="I55" s="9" t="n"/>
      <c r="J55" s="9" t="n"/>
      <c r="K55" s="9" t="n"/>
      <c r="L55" s="9" t="n"/>
      <c r="M55" s="9" t="n"/>
      <c r="N55" s="10" t="n"/>
      <c r="O55" s="9" t="n"/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  <c r="I56" s="9" t="n"/>
      <c r="J56" s="9" t="n"/>
      <c r="K56" s="9" t="n"/>
      <c r="L56" s="9" t="n"/>
      <c r="M56" s="9" t="n"/>
      <c r="N56" s="10" t="n"/>
      <c r="O56" s="9" t="n"/>
    </row>
    <row r="57">
      <c r="A57" s="7" t="n"/>
      <c r="B57" s="8" t="n"/>
      <c r="C57" s="8" t="n"/>
      <c r="D57" s="8" t="n"/>
      <c r="E57" s="8" t="n"/>
      <c r="F57" s="8" t="n"/>
      <c r="G57" s="8" t="n"/>
      <c r="H57" s="8" t="n"/>
      <c r="I57" s="9" t="n"/>
      <c r="J57" s="9" t="n"/>
      <c r="K57" s="9" t="n"/>
      <c r="L57" s="9" t="n"/>
      <c r="M57" s="9" t="n"/>
      <c r="N57" s="10" t="n"/>
      <c r="O57" s="9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  <c r="I58" s="9" t="n"/>
      <c r="J58" s="9" t="n"/>
      <c r="K58" s="9" t="n"/>
      <c r="L58" s="9" t="n"/>
      <c r="M58" s="9" t="n"/>
      <c r="N58" s="10" t="n"/>
      <c r="O58" s="9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  <c r="I59" s="9" t="n"/>
      <c r="J59" s="9" t="n"/>
      <c r="K59" s="9" t="n"/>
      <c r="L59" s="9" t="n"/>
      <c r="M59" s="9" t="n"/>
      <c r="N59" s="10" t="n"/>
      <c r="O59" s="9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  <c r="I60" s="9" t="n"/>
      <c r="J60" s="9" t="n"/>
      <c r="K60" s="9" t="n"/>
      <c r="L60" s="9" t="n"/>
      <c r="M60" s="9" t="n"/>
      <c r="N60" s="10" t="n"/>
      <c r="O60" s="9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  <c r="I61" s="9" t="n"/>
      <c r="J61" s="9" t="n"/>
      <c r="K61" s="9" t="n"/>
      <c r="L61" s="9" t="n"/>
      <c r="M61" s="9" t="n"/>
      <c r="N61" s="10" t="n"/>
      <c r="O61" s="9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  <c r="I62" s="9" t="n"/>
      <c r="J62" s="9" t="n"/>
      <c r="K62" s="9" t="n"/>
      <c r="L62" s="9" t="n"/>
      <c r="M62" s="9" t="n"/>
      <c r="N62" s="10" t="n"/>
      <c r="O62" s="9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  <c r="I63" s="9" t="n"/>
      <c r="J63" s="9" t="n"/>
      <c r="K63" s="9" t="n"/>
      <c r="L63" s="9" t="n"/>
      <c r="M63" s="9" t="n"/>
      <c r="N63" s="10" t="n"/>
      <c r="O63" s="9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  <c r="I64" s="9" t="n"/>
      <c r="J64" s="9" t="n"/>
      <c r="K64" s="9" t="n"/>
      <c r="L64" s="9" t="n"/>
      <c r="M64" s="9" t="n"/>
      <c r="N64" s="10" t="n"/>
      <c r="O64" s="9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  <c r="I65" s="9" t="n"/>
      <c r="J65" s="9" t="n"/>
      <c r="K65" s="9" t="n"/>
      <c r="L65" s="9" t="n"/>
      <c r="M65" s="9" t="n"/>
      <c r="N65" s="10" t="n"/>
      <c r="O65" s="9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  <c r="I66" s="9" t="n"/>
      <c r="J66" s="9" t="n"/>
      <c r="K66" s="9" t="n"/>
      <c r="L66" s="9" t="n"/>
      <c r="M66" s="9" t="n"/>
      <c r="N66" s="10" t="n"/>
      <c r="O66" s="9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  <c r="I67" s="9" t="n"/>
      <c r="J67" s="9" t="n"/>
      <c r="K67" s="9" t="n"/>
      <c r="L67" s="9" t="n"/>
      <c r="M67" s="9" t="n"/>
      <c r="N67" s="10" t="n"/>
      <c r="O67" s="9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  <c r="I68" s="9" t="n"/>
      <c r="J68" s="9" t="n"/>
      <c r="K68" s="9" t="n"/>
      <c r="L68" s="9" t="n"/>
      <c r="M68" s="9" t="n"/>
      <c r="N68" s="10" t="n"/>
      <c r="O68" s="9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  <c r="I69" s="9" t="n"/>
      <c r="J69" s="9" t="n"/>
      <c r="K69" s="9" t="n"/>
      <c r="L69" s="9" t="n"/>
      <c r="M69" s="9" t="n"/>
      <c r="N69" s="10" t="n"/>
      <c r="O69" s="9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  <c r="I70" s="9" t="n"/>
      <c r="J70" s="9" t="n"/>
      <c r="K70" s="9" t="n"/>
      <c r="L70" s="9" t="n"/>
      <c r="M70" s="9" t="n"/>
      <c r="N70" s="10" t="n"/>
      <c r="O70" s="9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  <c r="I71" s="9" t="n"/>
      <c r="J71" s="9" t="n"/>
      <c r="K71" s="9" t="n"/>
      <c r="L71" s="9" t="n"/>
      <c r="M71" s="9" t="n"/>
      <c r="N71" s="10" t="n"/>
      <c r="O71" s="9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  <c r="I72" s="9" t="n"/>
      <c r="J72" s="9" t="n"/>
      <c r="K72" s="9" t="n"/>
      <c r="L72" s="9" t="n"/>
      <c r="M72" s="9" t="n"/>
      <c r="N72" s="10" t="n"/>
      <c r="O72" s="9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  <c r="I73" s="9" t="n"/>
      <c r="J73" s="9" t="n"/>
      <c r="K73" s="9" t="n"/>
      <c r="L73" s="9" t="n"/>
      <c r="M73" s="9" t="n"/>
      <c r="N73" s="10" t="n"/>
      <c r="O73" s="9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  <c r="I74" s="9" t="n"/>
      <c r="J74" s="9" t="n"/>
      <c r="K74" s="9" t="n"/>
      <c r="L74" s="9" t="n"/>
      <c r="M74" s="9" t="n"/>
      <c r="N74" s="10" t="n"/>
      <c r="O74" s="9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  <c r="I75" s="9" t="n"/>
      <c r="J75" s="9" t="n"/>
      <c r="K75" s="9" t="n"/>
      <c r="L75" s="9" t="n"/>
      <c r="M75" s="9" t="n"/>
      <c r="N75" s="10" t="n"/>
      <c r="O75" s="9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  <c r="I76" s="9" t="n"/>
      <c r="J76" s="9" t="n"/>
      <c r="K76" s="9" t="n"/>
      <c r="L76" s="9" t="n"/>
      <c r="M76" s="9" t="n"/>
      <c r="N76" s="10" t="n"/>
      <c r="O76" s="9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  <c r="I77" s="9" t="n"/>
      <c r="J77" s="9" t="n"/>
      <c r="K77" s="9" t="n"/>
      <c r="L77" s="9" t="n"/>
      <c r="M77" s="9" t="n"/>
      <c r="N77" s="10" t="n"/>
      <c r="O77" s="9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  <c r="I78" s="9" t="n"/>
      <c r="J78" s="9" t="n"/>
      <c r="K78" s="9" t="n"/>
      <c r="L78" s="9" t="n"/>
      <c r="M78" s="9" t="n"/>
      <c r="N78" s="10" t="n"/>
      <c r="O78" s="9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  <c r="I79" s="9" t="n"/>
      <c r="J79" s="9" t="n"/>
      <c r="K79" s="9" t="n"/>
      <c r="L79" s="9" t="n"/>
      <c r="M79" s="9" t="n"/>
      <c r="N79" s="10" t="n"/>
      <c r="O79" s="9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  <c r="I80" s="9" t="n"/>
      <c r="J80" s="9" t="n"/>
      <c r="K80" s="9" t="n"/>
      <c r="L80" s="9" t="n"/>
      <c r="M80" s="9" t="n"/>
      <c r="N80" s="10" t="n"/>
      <c r="O80" s="9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  <c r="I81" s="9" t="n"/>
      <c r="J81" s="9" t="n"/>
      <c r="K81" s="9" t="n"/>
      <c r="L81" s="9" t="n"/>
      <c r="M81" s="9" t="n"/>
      <c r="N81" s="10" t="n"/>
      <c r="O81" s="9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  <c r="I82" s="9" t="n"/>
      <c r="J82" s="9" t="n"/>
      <c r="K82" s="9" t="n"/>
      <c r="L82" s="9" t="n"/>
      <c r="M82" s="9" t="n"/>
      <c r="N82" s="10" t="n"/>
      <c r="O82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22" customWidth="1" min="4" max="4"/>
    <col width="30" customWidth="1" min="5" max="5"/>
    <col width="12" customWidth="1" min="6" max="6"/>
    <col width="30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8" customWidth="1" min="14" max="14"/>
    <col width="16" customWidth="1" min="15" max="15"/>
    <col width="22" customWidth="1" min="17" max="17"/>
    <col width="14" customWidth="1" min="18" max="18"/>
    <col width="16" customWidth="1" min="19" max="19"/>
    <col width="2" customWidth="1" min="20" max="20"/>
    <col width="32" customWidth="1" min="21" max="21"/>
    <col width="22" customWidth="1" min="22" max="22"/>
    <col width="14" customWidth="1" min="23" max="23"/>
    <col width="16" customWidth="1" min="24" max="24"/>
  </cols>
  <sheetData>
    <row r="1" ht="28" customHeight="1">
      <c r="A1" s="1" t="inlineStr">
        <is>
          <t>SELETIVA DOURADOS</t>
        </is>
      </c>
      <c r="B1" s="1" t="inlineStr">
        <is>
          <t>FOLHA DE PAGAMENTO ABRIL/2026</t>
        </is>
      </c>
      <c r="I1" s="2">
        <f>SUMIFS(tbl_dados[Provisão de Férias + 13°],tbl_dados[Tomador],$A$1)</f>
        <v/>
      </c>
      <c r="J1" s="2">
        <f>SUMIFS(tbl_dados[Provisão de Encargos],tbl_dados[Tomador],$A$1)</f>
        <v/>
      </c>
      <c r="K1" s="1" t="inlineStr">
        <is>
          <t>Soma</t>
        </is>
      </c>
      <c r="M1" s="2">
        <f>SUMIFS(tbl_dados[TT BRUTO ABRIL],tbl_dados[Tomador],$A$1)</f>
        <v/>
      </c>
      <c r="O1" s="2">
        <f>SUMIFS(tbl_dados[TT BRUTO MARÇO],tbl_dados[Tomador],$A$1)</f>
        <v/>
      </c>
    </row>
    <row r="2" ht="36" customHeight="1">
      <c r="A2" s="3" t="inlineStr">
        <is>
          <t>Qtde</t>
        </is>
      </c>
      <c r="B2" s="3" t="inlineStr">
        <is>
          <t>FUNCIONÁRIO</t>
        </is>
      </c>
      <c r="C2" s="3" t="inlineStr">
        <is>
          <t>Tipo</t>
        </is>
      </c>
      <c r="D2" s="3" t="inlineStr">
        <is>
          <t>Setor</t>
        </is>
      </c>
      <c r="E2" s="3" t="inlineStr">
        <is>
          <t xml:space="preserve">Função </t>
        </is>
      </c>
      <c r="F2" s="3" t="inlineStr">
        <is>
          <t>Status</t>
        </is>
      </c>
      <c r="G2" s="3" t="inlineStr">
        <is>
          <t>Empresa Registro</t>
        </is>
      </c>
      <c r="H2" s="3" t="inlineStr">
        <is>
          <t>CNPJ</t>
        </is>
      </c>
      <c r="I2" s="3" t="inlineStr">
        <is>
          <t>Provisão
de Férias + 13°</t>
        </is>
      </c>
      <c r="J2" s="3" t="inlineStr">
        <is>
          <t>Provisão 
de Encargos</t>
        </is>
      </c>
      <c r="K2" s="3" t="inlineStr">
        <is>
          <t>Eventos Folha
(Caixa)</t>
        </is>
      </c>
      <c r="L2" s="3" t="inlineStr">
        <is>
          <t>Sal PF</t>
        </is>
      </c>
      <c r="M2" s="3" t="inlineStr">
        <is>
          <t>TT BRUTO
ABRIL</t>
        </is>
      </c>
      <c r="N2" s="3" t="inlineStr">
        <is>
          <t>%</t>
        </is>
      </c>
      <c r="O2" s="3" t="inlineStr">
        <is>
          <t>TT BRUTO
MARÇO</t>
        </is>
      </c>
      <c r="Q2" s="3" t="inlineStr">
        <is>
          <t>MODALIDADE</t>
        </is>
      </c>
      <c r="R2" s="3" t="inlineStr">
        <is>
          <t>FUNCIONÁRIOS</t>
        </is>
      </c>
      <c r="S2" s="3" t="inlineStr">
        <is>
          <t>TT BRUTO</t>
        </is>
      </c>
      <c r="U2" s="3" t="inlineStr">
        <is>
          <t>EMPRESA</t>
        </is>
      </c>
      <c r="V2" s="3" t="inlineStr">
        <is>
          <t>CNPJ</t>
        </is>
      </c>
      <c r="W2" s="3" t="inlineStr">
        <is>
          <t>FUNCIONÁRIOS</t>
        </is>
      </c>
      <c r="X2" s="3" t="inlineStr">
        <is>
          <t>TT BRUTO</t>
        </is>
      </c>
    </row>
    <row r="3">
      <c r="A3" s="7">
        <f>IFERROR(_xlfn.SEQUENCE(ROWS(B3#)),"")</f>
        <v/>
      </c>
      <c r="B3" s="8">
        <f>IFERROR(_xlfn._xlws.SORT(_xlfn._xlws.FILTER(tbl_dados[[FUNCIONÁRIO]:[TT BRUTO ABRIL]],tbl_dados[Tomador]=$A$1),12,-1),"")</f>
        <v/>
      </c>
      <c r="C3" s="8" t="n"/>
      <c r="D3" s="8" t="n"/>
      <c r="E3" s="8" t="n"/>
      <c r="F3" s="8" t="n"/>
      <c r="G3" s="8" t="n"/>
      <c r="H3" s="8" t="n"/>
      <c r="I3" s="9" t="n"/>
      <c r="J3" s="9" t="n"/>
      <c r="K3" s="9" t="n"/>
      <c r="L3" s="9" t="n"/>
      <c r="M3" s="9" t="n"/>
      <c r="N3" s="10">
        <f>IFERROR(INDEX(B3#,,12)/$M$1,"")</f>
        <v/>
      </c>
      <c r="O3" s="9">
        <f>IFERROR(INDEX(_xlfn._xlws.SORT(_xlfn._xlws.FILTER(tbl_dados[[FUNCIONÁRIO]:[TT BRUTO MARÇO]],tbl_dados[Tomador]=$A$1),12,-1),,13),"")</f>
        <v/>
      </c>
      <c r="Q3" s="8">
        <f>IFERROR(_xlfn.UNIQUE(_xlfn._xlws.FILTER(tbl_dados[Tipo],tbl_dados[Tomador]=$A$1)),"")</f>
        <v/>
      </c>
      <c r="R3" s="7">
        <f>IFERROR(_xlfn.BYROW(Q3#,_xlfn.LAMBDA(_x,COUNTIFS(tbl_dados[Tomador],$A$1,tbl_dados[Tipo],_x))),"")</f>
        <v/>
      </c>
      <c r="S3" s="9">
        <f>IFERROR(_xlfn.BYROW(Q3#,_xlfn.LAMBDA(_x,SUMIFS(tbl_dados[TT BRUTO ABRIL],tbl_dados[Tomador],$A$1,tbl_dados[Tipo],_x))),"")</f>
        <v/>
      </c>
      <c r="U3" s="8">
        <f>IFERROR(_xlfn.UNIQUE(_xlfn._xlws.FILTER(tbl_dados[Empresa Registro],tbl_dados[Tomador]=$A$1)),"")</f>
        <v/>
      </c>
      <c r="V3" s="11">
        <f>IFERROR(_xlfn.BYROW(U3#,_xlfn.LAMBDA(_x,IFERROR(INDEX(tbl_dados[CNPJ],MATCH(_x,tbl_dados[Empresa Registro],0)),""))),"")</f>
        <v/>
      </c>
      <c r="W3" s="7">
        <f>IFERROR(_xlfn.BYROW(U3#,_xlfn.LAMBDA(_x,COUNTIFS(tbl_dados[Tomador],$A$1,tbl_dados[Empresa Registro],_x))),"")</f>
        <v/>
      </c>
      <c r="X3" s="9">
        <f>IFERROR(_xlfn.BYROW(U3#,_xlfn.LAMBDA(_x,SUMIFS(tbl_dados[TT BRUTO ABRIL],tbl_dados[Tomador],$A$1,tbl_dados[Empresa Registro],_x))),"")</f>
        <v/>
      </c>
    </row>
    <row r="4">
      <c r="A4" s="7" t="n"/>
      <c r="B4" s="8" t="n"/>
      <c r="C4" s="8" t="n"/>
      <c r="D4" s="8" t="n"/>
      <c r="E4" s="8" t="n"/>
      <c r="F4" s="8" t="n"/>
      <c r="G4" s="8" t="n"/>
      <c r="H4" s="8" t="n"/>
      <c r="I4" s="9" t="n"/>
      <c r="J4" s="9" t="n"/>
      <c r="K4" s="9" t="n"/>
      <c r="L4" s="9" t="n"/>
      <c r="M4" s="9" t="n"/>
      <c r="N4" s="10" t="n"/>
      <c r="O4" s="9" t="n"/>
      <c r="Q4" s="8" t="n"/>
      <c r="R4" s="7" t="n"/>
      <c r="S4" s="9" t="n"/>
      <c r="U4" s="8" t="n"/>
      <c r="V4" s="11" t="n"/>
      <c r="W4" s="7" t="n"/>
      <c r="X4" s="9" t="n"/>
    </row>
    <row r="5">
      <c r="A5" s="7" t="n"/>
      <c r="B5" s="8" t="n"/>
      <c r="C5" s="8" t="n"/>
      <c r="D5" s="8" t="n"/>
      <c r="E5" s="8" t="n"/>
      <c r="F5" s="8" t="n"/>
      <c r="G5" s="8" t="n"/>
      <c r="H5" s="8" t="n"/>
      <c r="I5" s="9" t="n"/>
      <c r="J5" s="9" t="n"/>
      <c r="K5" s="9" t="n"/>
      <c r="L5" s="9" t="n"/>
      <c r="M5" s="9" t="n"/>
      <c r="N5" s="10" t="n"/>
      <c r="O5" s="9" t="n"/>
      <c r="Q5" s="8" t="n"/>
      <c r="R5" s="7" t="n"/>
      <c r="S5" s="9" t="n"/>
      <c r="U5" s="8" t="n"/>
      <c r="V5" s="11" t="n"/>
      <c r="W5" s="7" t="n"/>
      <c r="X5" s="9" t="n"/>
    </row>
    <row r="6">
      <c r="A6" s="7" t="n"/>
      <c r="B6" s="8" t="n"/>
      <c r="C6" s="8" t="n"/>
      <c r="D6" s="8" t="n"/>
      <c r="E6" s="8" t="n"/>
      <c r="F6" s="8" t="n"/>
      <c r="G6" s="8" t="n"/>
      <c r="H6" s="8" t="n"/>
      <c r="I6" s="9" t="n"/>
      <c r="J6" s="9" t="n"/>
      <c r="K6" s="9" t="n"/>
      <c r="L6" s="9" t="n"/>
      <c r="M6" s="9" t="n"/>
      <c r="N6" s="10" t="n"/>
      <c r="O6" s="9" t="n"/>
      <c r="Q6" s="8" t="n"/>
      <c r="R6" s="7" t="n"/>
      <c r="S6" s="9" t="n"/>
      <c r="U6" s="8" t="n"/>
      <c r="V6" s="11" t="n"/>
      <c r="W6" s="7" t="n"/>
      <c r="X6" s="9" t="n"/>
    </row>
    <row r="7">
      <c r="A7" s="7" t="n"/>
      <c r="B7" s="8" t="n"/>
      <c r="C7" s="8" t="n"/>
      <c r="D7" s="8" t="n"/>
      <c r="E7" s="8" t="n"/>
      <c r="F7" s="8" t="n"/>
      <c r="G7" s="8" t="n"/>
      <c r="H7" s="8" t="n"/>
      <c r="I7" s="9" t="n"/>
      <c r="J7" s="9" t="n"/>
      <c r="K7" s="9" t="n"/>
      <c r="L7" s="9" t="n"/>
      <c r="M7" s="9" t="n"/>
      <c r="N7" s="10" t="n"/>
      <c r="O7" s="9" t="n"/>
      <c r="Q7" s="8" t="n"/>
      <c r="R7" s="7" t="n"/>
      <c r="S7" s="9" t="n"/>
      <c r="U7" s="8" t="n"/>
      <c r="V7" s="11" t="n"/>
      <c r="W7" s="7" t="n"/>
      <c r="X7" s="9" t="n"/>
    </row>
    <row r="8">
      <c r="A8" s="7" t="n"/>
      <c r="B8" s="8" t="n"/>
      <c r="C8" s="8" t="n"/>
      <c r="D8" s="8" t="n"/>
      <c r="E8" s="8" t="n"/>
      <c r="F8" s="8" t="n"/>
      <c r="G8" s="8" t="n"/>
      <c r="H8" s="8" t="n"/>
      <c r="I8" s="9" t="n"/>
      <c r="J8" s="9" t="n"/>
      <c r="K8" s="9" t="n"/>
      <c r="L8" s="9" t="n"/>
      <c r="M8" s="9" t="n"/>
      <c r="N8" s="10" t="n"/>
      <c r="O8" s="9" t="n"/>
      <c r="Q8" s="8" t="n"/>
      <c r="R8" s="7" t="n"/>
      <c r="S8" s="9" t="n"/>
      <c r="U8" s="8" t="n"/>
      <c r="V8" s="11" t="n"/>
      <c r="W8" s="7" t="n"/>
      <c r="X8" s="9" t="n"/>
    </row>
    <row r="9">
      <c r="A9" s="7" t="n"/>
      <c r="B9" s="8" t="n"/>
      <c r="C9" s="8" t="n"/>
      <c r="D9" s="8" t="n"/>
      <c r="E9" s="8" t="n"/>
      <c r="F9" s="8" t="n"/>
      <c r="G9" s="8" t="n"/>
      <c r="H9" s="8" t="n"/>
      <c r="I9" s="9" t="n"/>
      <c r="J9" s="9" t="n"/>
      <c r="K9" s="9" t="n"/>
      <c r="L9" s="9" t="n"/>
      <c r="M9" s="9" t="n"/>
      <c r="N9" s="10" t="n"/>
      <c r="O9" s="9" t="n"/>
      <c r="Q9" s="8" t="n"/>
      <c r="R9" s="7" t="n"/>
      <c r="S9" s="9" t="n"/>
      <c r="U9" s="8" t="n"/>
      <c r="V9" s="11" t="n"/>
      <c r="W9" s="7" t="n"/>
      <c r="X9" s="9" t="n"/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  <c r="I10" s="9" t="n"/>
      <c r="J10" s="9" t="n"/>
      <c r="K10" s="9" t="n"/>
      <c r="L10" s="9" t="n"/>
      <c r="M10" s="9" t="n"/>
      <c r="N10" s="10" t="n"/>
      <c r="O10" s="9" t="n"/>
      <c r="Q10" s="8" t="n"/>
      <c r="R10" s="7" t="n"/>
      <c r="S10" s="9" t="n"/>
      <c r="U10" s="8" t="n"/>
      <c r="V10" s="11" t="n"/>
      <c r="W10" s="7" t="n"/>
      <c r="X10" s="9" t="n"/>
    </row>
    <row r="11">
      <c r="A11" s="7" t="n"/>
      <c r="B11" s="8" t="n"/>
      <c r="C11" s="8" t="n"/>
      <c r="D11" s="8" t="n"/>
      <c r="E11" s="8" t="n"/>
      <c r="F11" s="8" t="n"/>
      <c r="G11" s="8" t="n"/>
      <c r="H11" s="8" t="n"/>
      <c r="I11" s="9" t="n"/>
      <c r="J11" s="9" t="n"/>
      <c r="K11" s="9" t="n"/>
      <c r="L11" s="9" t="n"/>
      <c r="M11" s="9" t="n"/>
      <c r="N11" s="10" t="n"/>
      <c r="O11" s="9" t="n"/>
      <c r="Q11" s="8" t="n"/>
      <c r="R11" s="7" t="n"/>
      <c r="S11" s="9" t="n"/>
      <c r="U11" s="8" t="n"/>
      <c r="V11" s="11" t="n"/>
      <c r="W11" s="7" t="n"/>
      <c r="X11" s="9" t="n"/>
    </row>
    <row r="12">
      <c r="A12" s="7" t="n"/>
      <c r="B12" s="8" t="n"/>
      <c r="C12" s="8" t="n"/>
      <c r="D12" s="8" t="n"/>
      <c r="E12" s="8" t="n"/>
      <c r="F12" s="8" t="n"/>
      <c r="G12" s="8" t="n"/>
      <c r="H12" s="8" t="n"/>
      <c r="I12" s="9" t="n"/>
      <c r="J12" s="9" t="n"/>
      <c r="K12" s="9" t="n"/>
      <c r="L12" s="9" t="n"/>
      <c r="M12" s="9" t="n"/>
      <c r="N12" s="10" t="n"/>
      <c r="O12" s="9" t="n"/>
      <c r="Q12" s="8" t="n"/>
      <c r="R12" s="7" t="n"/>
      <c r="S12" s="9" t="n"/>
      <c r="U12" s="8" t="n"/>
      <c r="V12" s="11" t="n"/>
      <c r="W12" s="7" t="n"/>
      <c r="X12" s="9" t="n"/>
    </row>
    <row r="13">
      <c r="A13" s="7" t="n"/>
      <c r="B13" s="8" t="n"/>
      <c r="C13" s="8" t="n"/>
      <c r="D13" s="8" t="n"/>
      <c r="E13" s="8" t="n"/>
      <c r="F13" s="8" t="n"/>
      <c r="G13" s="8" t="n"/>
      <c r="H13" s="8" t="n"/>
      <c r="I13" s="9" t="n"/>
      <c r="J13" s="9" t="n"/>
      <c r="K13" s="9" t="n"/>
      <c r="L13" s="9" t="n"/>
      <c r="M13" s="9" t="n"/>
      <c r="N13" s="10" t="n"/>
      <c r="O13" s="9" t="n"/>
      <c r="Q13" s="8" t="n"/>
      <c r="R13" s="7" t="n"/>
      <c r="S13" s="9" t="n"/>
      <c r="U13" s="8" t="n"/>
      <c r="V13" s="11" t="n"/>
      <c r="W13" s="7" t="n"/>
      <c r="X13" s="9" t="n"/>
    </row>
    <row r="14">
      <c r="A14" s="7" t="n"/>
      <c r="B14" s="8" t="n"/>
      <c r="C14" s="8" t="n"/>
      <c r="D14" s="8" t="n"/>
      <c r="E14" s="8" t="n"/>
      <c r="F14" s="8" t="n"/>
      <c r="G14" s="8" t="n"/>
      <c r="H14" s="8" t="n"/>
      <c r="I14" s="9" t="n"/>
      <c r="J14" s="9" t="n"/>
      <c r="K14" s="9" t="n"/>
      <c r="L14" s="9" t="n"/>
      <c r="M14" s="9" t="n"/>
      <c r="N14" s="10" t="n"/>
      <c r="O14" s="9" t="n"/>
      <c r="Q14" s="8" t="n"/>
      <c r="R14" s="7" t="n"/>
      <c r="S14" s="9" t="n"/>
      <c r="U14" s="8" t="n"/>
      <c r="V14" s="11" t="n"/>
      <c r="W14" s="7" t="n"/>
      <c r="X14" s="9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9" t="n"/>
      <c r="J15" s="9" t="n"/>
      <c r="K15" s="9" t="n"/>
      <c r="L15" s="9" t="n"/>
      <c r="M15" s="9" t="n"/>
      <c r="N15" s="10" t="n"/>
      <c r="O15" s="9" t="n"/>
      <c r="Q15" s="8" t="n"/>
      <c r="R15" s="7" t="n"/>
      <c r="S15" s="9" t="n"/>
      <c r="U15" s="8" t="n"/>
      <c r="V15" s="11" t="n"/>
      <c r="W15" s="7" t="n"/>
      <c r="X15" s="9" t="n"/>
    </row>
    <row r="16">
      <c r="A16" s="7" t="n"/>
      <c r="B16" s="8" t="n"/>
      <c r="C16" s="8" t="n"/>
      <c r="D16" s="8" t="n"/>
      <c r="E16" s="8" t="n"/>
      <c r="F16" s="8" t="n"/>
      <c r="G16" s="8" t="n"/>
      <c r="H16" s="8" t="n"/>
      <c r="I16" s="9" t="n"/>
      <c r="J16" s="9" t="n"/>
      <c r="K16" s="9" t="n"/>
      <c r="L16" s="9" t="n"/>
      <c r="M16" s="9" t="n"/>
      <c r="N16" s="10" t="n"/>
      <c r="O16" s="9" t="n"/>
      <c r="Q16" s="8" t="n"/>
      <c r="R16" s="7" t="n"/>
      <c r="S16" s="9" t="n"/>
      <c r="U16" s="8" t="n"/>
      <c r="V16" s="11" t="n"/>
      <c r="W16" s="7" t="n"/>
      <c r="X16" s="9" t="n"/>
    </row>
    <row r="17">
      <c r="A17" s="7" t="n"/>
      <c r="B17" s="8" t="n"/>
      <c r="C17" s="8" t="n"/>
      <c r="D17" s="8" t="n"/>
      <c r="E17" s="8" t="n"/>
      <c r="F17" s="8" t="n"/>
      <c r="G17" s="8" t="n"/>
      <c r="H17" s="8" t="n"/>
      <c r="I17" s="9" t="n"/>
      <c r="J17" s="9" t="n"/>
      <c r="K17" s="9" t="n"/>
      <c r="L17" s="9" t="n"/>
      <c r="M17" s="9" t="n"/>
      <c r="N17" s="10" t="n"/>
      <c r="O17" s="9" t="n"/>
      <c r="Q17" s="8" t="n"/>
      <c r="R17" s="7" t="n"/>
      <c r="S17" s="9" t="n"/>
      <c r="U17" s="8" t="n"/>
      <c r="V17" s="11" t="n"/>
      <c r="W17" s="7" t="n"/>
      <c r="X17" s="9" t="n"/>
    </row>
    <row r="18">
      <c r="A18" s="7" t="n"/>
      <c r="B18" s="8" t="n"/>
      <c r="C18" s="8" t="n"/>
      <c r="D18" s="8" t="n"/>
      <c r="E18" s="8" t="n"/>
      <c r="F18" s="8" t="n"/>
      <c r="G18" s="8" t="n"/>
      <c r="H18" s="8" t="n"/>
      <c r="I18" s="9" t="n"/>
      <c r="J18" s="9" t="n"/>
      <c r="K18" s="9" t="n"/>
      <c r="L18" s="9" t="n"/>
      <c r="M18" s="9" t="n"/>
      <c r="N18" s="10" t="n"/>
      <c r="O18" s="9" t="n"/>
      <c r="Q18" s="8" t="n"/>
      <c r="R18" s="7" t="n"/>
      <c r="S18" s="9" t="n"/>
      <c r="U18" s="8" t="n"/>
      <c r="V18" s="11" t="n"/>
      <c r="W18" s="7" t="n"/>
      <c r="X18" s="9" t="n"/>
    </row>
    <row r="19">
      <c r="A19" s="7" t="n"/>
      <c r="B19" s="8" t="n"/>
      <c r="C19" s="8" t="n"/>
      <c r="D19" s="8" t="n"/>
      <c r="E19" s="8" t="n"/>
      <c r="F19" s="8" t="n"/>
      <c r="G19" s="8" t="n"/>
      <c r="H19" s="8" t="n"/>
      <c r="I19" s="9" t="n"/>
      <c r="J19" s="9" t="n"/>
      <c r="K19" s="9" t="n"/>
      <c r="L19" s="9" t="n"/>
      <c r="M19" s="9" t="n"/>
      <c r="N19" s="10" t="n"/>
      <c r="O19" s="9" t="n"/>
      <c r="Q19" s="8" t="n"/>
      <c r="R19" s="7" t="n"/>
      <c r="S19" s="9" t="n"/>
      <c r="U19" s="8" t="n"/>
      <c r="V19" s="11" t="n"/>
      <c r="W19" s="7" t="n"/>
      <c r="X19" s="9" t="n"/>
    </row>
    <row r="20">
      <c r="A20" s="7" t="n"/>
      <c r="B20" s="8" t="n"/>
      <c r="C20" s="8" t="n"/>
      <c r="D20" s="8" t="n"/>
      <c r="E20" s="8" t="n"/>
      <c r="F20" s="8" t="n"/>
      <c r="G20" s="8" t="n"/>
      <c r="H20" s="8" t="n"/>
      <c r="I20" s="9" t="n"/>
      <c r="J20" s="9" t="n"/>
      <c r="K20" s="9" t="n"/>
      <c r="L20" s="9" t="n"/>
      <c r="M20" s="9" t="n"/>
      <c r="N20" s="10" t="n"/>
      <c r="O20" s="9" t="n"/>
      <c r="Q20" s="8" t="n"/>
      <c r="R20" s="7" t="n"/>
      <c r="S20" s="9" t="n"/>
      <c r="U20" s="8" t="n"/>
      <c r="V20" s="11" t="n"/>
      <c r="W20" s="7" t="n"/>
      <c r="X20" s="9" t="n"/>
    </row>
    <row r="21">
      <c r="A21" s="7" t="n"/>
      <c r="B21" s="8" t="n"/>
      <c r="C21" s="8" t="n"/>
      <c r="D21" s="8" t="n"/>
      <c r="E21" s="8" t="n"/>
      <c r="F21" s="8" t="n"/>
      <c r="G21" s="8" t="n"/>
      <c r="H21" s="8" t="n"/>
      <c r="I21" s="9" t="n"/>
      <c r="J21" s="9" t="n"/>
      <c r="K21" s="9" t="n"/>
      <c r="L21" s="9" t="n"/>
      <c r="M21" s="9" t="n"/>
      <c r="N21" s="10" t="n"/>
      <c r="O21" s="9" t="n"/>
      <c r="Q21" s="8" t="n"/>
      <c r="R21" s="7" t="n"/>
      <c r="S21" s="9" t="n"/>
      <c r="U21" s="8" t="n"/>
      <c r="V21" s="11" t="n"/>
      <c r="W21" s="7" t="n"/>
      <c r="X21" s="9" t="n"/>
    </row>
    <row r="22">
      <c r="A22" s="7" t="n"/>
      <c r="B22" s="8" t="n"/>
      <c r="C22" s="8" t="n"/>
      <c r="D22" s="8" t="n"/>
      <c r="E22" s="8" t="n"/>
      <c r="F22" s="8" t="n"/>
      <c r="G22" s="8" t="n"/>
      <c r="H22" s="8" t="n"/>
      <c r="I22" s="9" t="n"/>
      <c r="J22" s="9" t="n"/>
      <c r="K22" s="9" t="n"/>
      <c r="L22" s="9" t="n"/>
      <c r="M22" s="9" t="n"/>
      <c r="N22" s="10" t="n"/>
      <c r="O22" s="9" t="n"/>
      <c r="Q22" s="8" t="n"/>
      <c r="R22" s="7" t="n"/>
      <c r="S22" s="9" t="n"/>
      <c r="U22" s="8" t="n"/>
      <c r="V22" s="11" t="n"/>
      <c r="W22" s="7" t="n"/>
      <c r="X22" s="9" t="n"/>
    </row>
    <row r="23">
      <c r="A23" s="7" t="n"/>
      <c r="B23" s="8" t="n"/>
      <c r="C23" s="8" t="n"/>
      <c r="D23" s="8" t="n"/>
      <c r="E23" s="8" t="n"/>
      <c r="F23" s="8" t="n"/>
      <c r="G23" s="8" t="n"/>
      <c r="H23" s="8" t="n"/>
      <c r="I23" s="9" t="n"/>
      <c r="J23" s="9" t="n"/>
      <c r="K23" s="9" t="n"/>
      <c r="L23" s="9" t="n"/>
      <c r="M23" s="9" t="n"/>
      <c r="N23" s="10" t="n"/>
      <c r="O23" s="9" t="n"/>
      <c r="Q23" s="8" t="n"/>
      <c r="R23" s="7" t="n"/>
      <c r="S23" s="9" t="n"/>
      <c r="U23" s="8" t="n"/>
      <c r="V23" s="11" t="n"/>
      <c r="W23" s="7" t="n"/>
      <c r="X23" s="9" t="n"/>
    </row>
    <row r="24">
      <c r="A24" s="7" t="n"/>
      <c r="B24" s="8" t="n"/>
      <c r="C24" s="8" t="n"/>
      <c r="D24" s="8" t="n"/>
      <c r="E24" s="8" t="n"/>
      <c r="F24" s="8" t="n"/>
      <c r="G24" s="8" t="n"/>
      <c r="H24" s="8" t="n"/>
      <c r="I24" s="9" t="n"/>
      <c r="J24" s="9" t="n"/>
      <c r="K24" s="9" t="n"/>
      <c r="L24" s="9" t="n"/>
      <c r="M24" s="9" t="n"/>
      <c r="N24" s="10" t="n"/>
      <c r="O24" s="9" t="n"/>
      <c r="Q24" s="8" t="n"/>
      <c r="R24" s="7" t="n"/>
      <c r="S24" s="9" t="n"/>
      <c r="U24" s="8" t="n"/>
      <c r="V24" s="11" t="n"/>
      <c r="W24" s="7" t="n"/>
      <c r="X24" s="9" t="n"/>
    </row>
    <row r="25">
      <c r="A25" s="7" t="n"/>
      <c r="B25" s="8" t="n"/>
      <c r="C25" s="8" t="n"/>
      <c r="D25" s="8" t="n"/>
      <c r="E25" s="8" t="n"/>
      <c r="F25" s="8" t="n"/>
      <c r="G25" s="8" t="n"/>
      <c r="H25" s="8" t="n"/>
      <c r="I25" s="9" t="n"/>
      <c r="J25" s="9" t="n"/>
      <c r="K25" s="9" t="n"/>
      <c r="L25" s="9" t="n"/>
      <c r="M25" s="9" t="n"/>
      <c r="N25" s="10" t="n"/>
      <c r="O25" s="9" t="n"/>
      <c r="Q25" s="8" t="n"/>
      <c r="R25" s="7" t="n"/>
      <c r="S25" s="9" t="n"/>
      <c r="U25" s="8" t="n"/>
      <c r="V25" s="11" t="n"/>
      <c r="W25" s="7" t="n"/>
      <c r="X25" s="9" t="n"/>
    </row>
    <row r="26">
      <c r="A26" s="7" t="n"/>
      <c r="B26" s="8" t="n"/>
      <c r="C26" s="8" t="n"/>
      <c r="D26" s="8" t="n"/>
      <c r="E26" s="8" t="n"/>
      <c r="F26" s="8" t="n"/>
      <c r="G26" s="8" t="n"/>
      <c r="H26" s="8" t="n"/>
      <c r="I26" s="9" t="n"/>
      <c r="J26" s="9" t="n"/>
      <c r="K26" s="9" t="n"/>
      <c r="L26" s="9" t="n"/>
      <c r="M26" s="9" t="n"/>
      <c r="N26" s="10" t="n"/>
      <c r="O26" s="9" t="n"/>
      <c r="Q26" s="8" t="n"/>
      <c r="R26" s="7" t="n"/>
      <c r="S26" s="9" t="n"/>
      <c r="U26" s="8" t="n"/>
      <c r="V26" s="11" t="n"/>
      <c r="W26" s="7" t="n"/>
      <c r="X26" s="9" t="n"/>
    </row>
    <row r="27">
      <c r="A27" s="7" t="n"/>
      <c r="B27" s="8" t="n"/>
      <c r="C27" s="8" t="n"/>
      <c r="D27" s="8" t="n"/>
      <c r="E27" s="8" t="n"/>
      <c r="F27" s="8" t="n"/>
      <c r="G27" s="8" t="n"/>
      <c r="H27" s="8" t="n"/>
      <c r="I27" s="9" t="n"/>
      <c r="J27" s="9" t="n"/>
      <c r="K27" s="9" t="n"/>
      <c r="L27" s="9" t="n"/>
      <c r="M27" s="9" t="n"/>
      <c r="N27" s="10" t="n"/>
      <c r="O27" s="9" t="n"/>
      <c r="Q27" s="8" t="n"/>
      <c r="R27" s="7" t="n"/>
      <c r="S27" s="9" t="n"/>
      <c r="U27" s="8" t="n"/>
      <c r="V27" s="11" t="n"/>
      <c r="W27" s="7" t="n"/>
      <c r="X27" s="9" t="n"/>
    </row>
    <row r="28">
      <c r="A28" s="7" t="n"/>
      <c r="B28" s="8" t="n"/>
      <c r="C28" s="8" t="n"/>
      <c r="D28" s="8" t="n"/>
      <c r="E28" s="8" t="n"/>
      <c r="F28" s="8" t="n"/>
      <c r="G28" s="8" t="n"/>
      <c r="H28" s="8" t="n"/>
      <c r="I28" s="9" t="n"/>
      <c r="J28" s="9" t="n"/>
      <c r="K28" s="9" t="n"/>
      <c r="L28" s="9" t="n"/>
      <c r="M28" s="9" t="n"/>
      <c r="N28" s="10" t="n"/>
      <c r="O28" s="9" t="n"/>
      <c r="Q28" s="8" t="n"/>
      <c r="R28" s="7" t="n"/>
      <c r="S28" s="9" t="n"/>
      <c r="U28" s="8" t="n"/>
      <c r="V28" s="11" t="n"/>
      <c r="W28" s="7" t="n"/>
      <c r="X28" s="9" t="n"/>
    </row>
    <row r="29">
      <c r="A29" s="7" t="n"/>
      <c r="B29" s="8" t="n"/>
      <c r="C29" s="8" t="n"/>
      <c r="D29" s="8" t="n"/>
      <c r="E29" s="8" t="n"/>
      <c r="F29" s="8" t="n"/>
      <c r="G29" s="8" t="n"/>
      <c r="H29" s="8" t="n"/>
      <c r="I29" s="9" t="n"/>
      <c r="J29" s="9" t="n"/>
      <c r="K29" s="9" t="n"/>
      <c r="L29" s="9" t="n"/>
      <c r="M29" s="9" t="n"/>
      <c r="N29" s="10" t="n"/>
      <c r="O29" s="9" t="n"/>
      <c r="Q29" s="8" t="n"/>
      <c r="R29" s="7" t="n"/>
      <c r="S29" s="9" t="n"/>
      <c r="U29" s="8" t="n"/>
      <c r="V29" s="11" t="n"/>
      <c r="W29" s="7" t="n"/>
      <c r="X29" s="9" t="n"/>
    </row>
    <row r="30">
      <c r="A30" s="7" t="n"/>
      <c r="B30" s="8" t="n"/>
      <c r="C30" s="8" t="n"/>
      <c r="D30" s="8" t="n"/>
      <c r="E30" s="8" t="n"/>
      <c r="F30" s="8" t="n"/>
      <c r="G30" s="8" t="n"/>
      <c r="H30" s="8" t="n"/>
      <c r="I30" s="9" t="n"/>
      <c r="J30" s="9" t="n"/>
      <c r="K30" s="9" t="n"/>
      <c r="L30" s="9" t="n"/>
      <c r="M30" s="9" t="n"/>
      <c r="N30" s="10" t="n"/>
      <c r="O30" s="9" t="n"/>
      <c r="Q30" s="8" t="n"/>
      <c r="R30" s="7" t="n"/>
      <c r="S30" s="9" t="n"/>
      <c r="U30" s="8" t="n"/>
      <c r="V30" s="11" t="n"/>
      <c r="W30" s="7" t="n"/>
      <c r="X30" s="9" t="n"/>
    </row>
    <row r="31">
      <c r="A31" s="7" t="n"/>
      <c r="B31" s="8" t="n"/>
      <c r="C31" s="8" t="n"/>
      <c r="D31" s="8" t="n"/>
      <c r="E31" s="8" t="n"/>
      <c r="F31" s="8" t="n"/>
      <c r="G31" s="8" t="n"/>
      <c r="H31" s="8" t="n"/>
      <c r="I31" s="9" t="n"/>
      <c r="J31" s="9" t="n"/>
      <c r="K31" s="9" t="n"/>
      <c r="L31" s="9" t="n"/>
      <c r="M31" s="9" t="n"/>
      <c r="N31" s="10" t="n"/>
      <c r="O31" s="9" t="n"/>
      <c r="Q31" s="8" t="n"/>
      <c r="R31" s="7" t="n"/>
      <c r="S31" s="9" t="n"/>
      <c r="U31" s="8" t="n"/>
      <c r="V31" s="11" t="n"/>
      <c r="W31" s="7" t="n"/>
      <c r="X31" s="9" t="n"/>
    </row>
    <row r="32">
      <c r="A32" s="7" t="n"/>
      <c r="B32" s="8" t="n"/>
      <c r="C32" s="8" t="n"/>
      <c r="D32" s="8" t="n"/>
      <c r="E32" s="8" t="n"/>
      <c r="F32" s="8" t="n"/>
      <c r="G32" s="8" t="n"/>
      <c r="H32" s="8" t="n"/>
      <c r="I32" s="9" t="n"/>
      <c r="J32" s="9" t="n"/>
      <c r="K32" s="9" t="n"/>
      <c r="L32" s="9" t="n"/>
      <c r="M32" s="9" t="n"/>
      <c r="N32" s="10" t="n"/>
      <c r="O32" s="9" t="n"/>
      <c r="Q32" s="8" t="n"/>
      <c r="R32" s="7" t="n"/>
      <c r="S32" s="9" t="n"/>
      <c r="U32" s="8" t="n"/>
      <c r="V32" s="11" t="n"/>
      <c r="W32" s="7" t="n"/>
      <c r="X32" s="9" t="n"/>
    </row>
    <row r="33">
      <c r="A33" s="7" t="n"/>
      <c r="B33" s="8" t="n"/>
      <c r="C33" s="8" t="n"/>
      <c r="D33" s="8" t="n"/>
      <c r="E33" s="8" t="n"/>
      <c r="F33" s="8" t="n"/>
      <c r="G33" s="8" t="n"/>
      <c r="H33" s="8" t="n"/>
      <c r="I33" s="9" t="n"/>
      <c r="J33" s="9" t="n"/>
      <c r="K33" s="9" t="n"/>
      <c r="L33" s="9" t="n"/>
      <c r="M33" s="9" t="n"/>
      <c r="N33" s="10" t="n"/>
      <c r="O33" s="9" t="n"/>
    </row>
    <row r="34">
      <c r="A34" s="7" t="n"/>
      <c r="B34" s="8" t="n"/>
      <c r="C34" s="8" t="n"/>
      <c r="D34" s="8" t="n"/>
      <c r="E34" s="8" t="n"/>
      <c r="F34" s="8" t="n"/>
      <c r="G34" s="8" t="n"/>
      <c r="H34" s="8" t="n"/>
      <c r="I34" s="9" t="n"/>
      <c r="J34" s="9" t="n"/>
      <c r="K34" s="9" t="n"/>
      <c r="L34" s="9" t="n"/>
      <c r="M34" s="9" t="n"/>
      <c r="N34" s="10" t="n"/>
      <c r="O34" s="9" t="n"/>
    </row>
    <row r="35">
      <c r="A35" s="7" t="n"/>
      <c r="B35" s="8" t="n"/>
      <c r="C35" s="8" t="n"/>
      <c r="D35" s="8" t="n"/>
      <c r="E35" s="8" t="n"/>
      <c r="F35" s="8" t="n"/>
      <c r="G35" s="8" t="n"/>
      <c r="H35" s="8" t="n"/>
      <c r="I35" s="9" t="n"/>
      <c r="J35" s="9" t="n"/>
      <c r="K35" s="9" t="n"/>
      <c r="L35" s="9" t="n"/>
      <c r="M35" s="9" t="n"/>
      <c r="N35" s="10" t="n"/>
      <c r="O35" s="9" t="n"/>
    </row>
    <row r="36">
      <c r="A36" s="7" t="n"/>
      <c r="B36" s="8" t="n"/>
      <c r="C36" s="8" t="n"/>
      <c r="D36" s="8" t="n"/>
      <c r="E36" s="8" t="n"/>
      <c r="F36" s="8" t="n"/>
      <c r="G36" s="8" t="n"/>
      <c r="H36" s="8" t="n"/>
      <c r="I36" s="9" t="n"/>
      <c r="J36" s="9" t="n"/>
      <c r="K36" s="9" t="n"/>
      <c r="L36" s="9" t="n"/>
      <c r="M36" s="9" t="n"/>
      <c r="N36" s="10" t="n"/>
      <c r="O36" s="9" t="n"/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  <c r="I37" s="9" t="n"/>
      <c r="J37" s="9" t="n"/>
      <c r="K37" s="9" t="n"/>
      <c r="L37" s="9" t="n"/>
      <c r="M37" s="9" t="n"/>
      <c r="N37" s="10" t="n"/>
      <c r="O37" s="9" t="n"/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  <c r="I38" s="9" t="n"/>
      <c r="J38" s="9" t="n"/>
      <c r="K38" s="9" t="n"/>
      <c r="L38" s="9" t="n"/>
      <c r="M38" s="9" t="n"/>
      <c r="N38" s="10" t="n"/>
      <c r="O38" s="9" t="n"/>
    </row>
    <row r="39">
      <c r="A39" s="7" t="n"/>
      <c r="B39" s="8" t="n"/>
      <c r="C39" s="8" t="n"/>
      <c r="D39" s="8" t="n"/>
      <c r="E39" s="8" t="n"/>
      <c r="F39" s="8" t="n"/>
      <c r="G39" s="8" t="n"/>
      <c r="H39" s="8" t="n"/>
      <c r="I39" s="9" t="n"/>
      <c r="J39" s="9" t="n"/>
      <c r="K39" s="9" t="n"/>
      <c r="L39" s="9" t="n"/>
      <c r="M39" s="9" t="n"/>
      <c r="N39" s="10" t="n"/>
      <c r="O39" s="9" t="n"/>
    </row>
    <row r="40">
      <c r="A40" s="7" t="n"/>
      <c r="B40" s="8" t="n"/>
      <c r="C40" s="8" t="n"/>
      <c r="D40" s="8" t="n"/>
      <c r="E40" s="8" t="n"/>
      <c r="F40" s="8" t="n"/>
      <c r="G40" s="8" t="n"/>
      <c r="H40" s="8" t="n"/>
      <c r="I40" s="9" t="n"/>
      <c r="J40" s="9" t="n"/>
      <c r="K40" s="9" t="n"/>
      <c r="L40" s="9" t="n"/>
      <c r="M40" s="9" t="n"/>
      <c r="N40" s="10" t="n"/>
      <c r="O40" s="9" t="n"/>
    </row>
    <row r="41">
      <c r="A41" s="7" t="n"/>
      <c r="B41" s="8" t="n"/>
      <c r="C41" s="8" t="n"/>
      <c r="D41" s="8" t="n"/>
      <c r="E41" s="8" t="n"/>
      <c r="F41" s="8" t="n"/>
      <c r="G41" s="8" t="n"/>
      <c r="H41" s="8" t="n"/>
      <c r="I41" s="9" t="n"/>
      <c r="J41" s="9" t="n"/>
      <c r="K41" s="9" t="n"/>
      <c r="L41" s="9" t="n"/>
      <c r="M41" s="9" t="n"/>
      <c r="N41" s="10" t="n"/>
      <c r="O41" s="9" t="n"/>
    </row>
    <row r="42">
      <c r="A42" s="7" t="n"/>
      <c r="B42" s="8" t="n"/>
      <c r="C42" s="8" t="n"/>
      <c r="D42" s="8" t="n"/>
      <c r="E42" s="8" t="n"/>
      <c r="F42" s="8" t="n"/>
      <c r="G42" s="8" t="n"/>
      <c r="H42" s="8" t="n"/>
      <c r="I42" s="9" t="n"/>
      <c r="J42" s="9" t="n"/>
      <c r="K42" s="9" t="n"/>
      <c r="L42" s="9" t="n"/>
      <c r="M42" s="9" t="n"/>
      <c r="N42" s="10" t="n"/>
      <c r="O42" s="9" t="n"/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  <c r="I43" s="9" t="n"/>
      <c r="J43" s="9" t="n"/>
      <c r="K43" s="9" t="n"/>
      <c r="L43" s="9" t="n"/>
      <c r="M43" s="9" t="n"/>
      <c r="N43" s="10" t="n"/>
      <c r="O43" s="9" t="n"/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  <c r="I44" s="9" t="n"/>
      <c r="J44" s="9" t="n"/>
      <c r="K44" s="9" t="n"/>
      <c r="L44" s="9" t="n"/>
      <c r="M44" s="9" t="n"/>
      <c r="N44" s="10" t="n"/>
      <c r="O44" s="9" t="n"/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  <c r="I45" s="9" t="n"/>
      <c r="J45" s="9" t="n"/>
      <c r="K45" s="9" t="n"/>
      <c r="L45" s="9" t="n"/>
      <c r="M45" s="9" t="n"/>
      <c r="N45" s="10" t="n"/>
      <c r="O45" s="9" t="n"/>
    </row>
    <row r="46">
      <c r="A46" s="7" t="n"/>
      <c r="B46" s="8" t="n"/>
      <c r="C46" s="8" t="n"/>
      <c r="D46" s="8" t="n"/>
      <c r="E46" s="8" t="n"/>
      <c r="F46" s="8" t="n"/>
      <c r="G46" s="8" t="n"/>
      <c r="H46" s="8" t="n"/>
      <c r="I46" s="9" t="n"/>
      <c r="J46" s="9" t="n"/>
      <c r="K46" s="9" t="n"/>
      <c r="L46" s="9" t="n"/>
      <c r="M46" s="9" t="n"/>
      <c r="N46" s="10" t="n"/>
      <c r="O46" s="9" t="n"/>
    </row>
    <row r="47">
      <c r="A47" s="7" t="n"/>
      <c r="B47" s="8" t="n"/>
      <c r="C47" s="8" t="n"/>
      <c r="D47" s="8" t="n"/>
      <c r="E47" s="8" t="n"/>
      <c r="F47" s="8" t="n"/>
      <c r="G47" s="8" t="n"/>
      <c r="H47" s="8" t="n"/>
      <c r="I47" s="9" t="n"/>
      <c r="J47" s="9" t="n"/>
      <c r="K47" s="9" t="n"/>
      <c r="L47" s="9" t="n"/>
      <c r="M47" s="9" t="n"/>
      <c r="N47" s="10" t="n"/>
      <c r="O47" s="9" t="n"/>
    </row>
    <row r="48">
      <c r="A48" s="7" t="n"/>
      <c r="B48" s="8" t="n"/>
      <c r="C48" s="8" t="n"/>
      <c r="D48" s="8" t="n"/>
      <c r="E48" s="8" t="n"/>
      <c r="F48" s="8" t="n"/>
      <c r="G48" s="8" t="n"/>
      <c r="H48" s="8" t="n"/>
      <c r="I48" s="9" t="n"/>
      <c r="J48" s="9" t="n"/>
      <c r="K48" s="9" t="n"/>
      <c r="L48" s="9" t="n"/>
      <c r="M48" s="9" t="n"/>
      <c r="N48" s="10" t="n"/>
      <c r="O48" s="9" t="n"/>
    </row>
    <row r="49">
      <c r="A49" s="7" t="n"/>
      <c r="B49" s="8" t="n"/>
      <c r="C49" s="8" t="n"/>
      <c r="D49" s="8" t="n"/>
      <c r="E49" s="8" t="n"/>
      <c r="F49" s="8" t="n"/>
      <c r="G49" s="8" t="n"/>
      <c r="H49" s="8" t="n"/>
      <c r="I49" s="9" t="n"/>
      <c r="J49" s="9" t="n"/>
      <c r="K49" s="9" t="n"/>
      <c r="L49" s="9" t="n"/>
      <c r="M49" s="9" t="n"/>
      <c r="N49" s="10" t="n"/>
      <c r="O49" s="9" t="n"/>
    </row>
    <row r="50">
      <c r="A50" s="7" t="n"/>
      <c r="B50" s="8" t="n"/>
      <c r="C50" s="8" t="n"/>
      <c r="D50" s="8" t="n"/>
      <c r="E50" s="8" t="n"/>
      <c r="F50" s="8" t="n"/>
      <c r="G50" s="8" t="n"/>
      <c r="H50" s="8" t="n"/>
      <c r="I50" s="9" t="n"/>
      <c r="J50" s="9" t="n"/>
      <c r="K50" s="9" t="n"/>
      <c r="L50" s="9" t="n"/>
      <c r="M50" s="9" t="n"/>
      <c r="N50" s="10" t="n"/>
      <c r="O50" s="9" t="n"/>
    </row>
    <row r="51">
      <c r="A51" s="7" t="n"/>
      <c r="B51" s="8" t="n"/>
      <c r="C51" s="8" t="n"/>
      <c r="D51" s="8" t="n"/>
      <c r="E51" s="8" t="n"/>
      <c r="F51" s="8" t="n"/>
      <c r="G51" s="8" t="n"/>
      <c r="H51" s="8" t="n"/>
      <c r="I51" s="9" t="n"/>
      <c r="J51" s="9" t="n"/>
      <c r="K51" s="9" t="n"/>
      <c r="L51" s="9" t="n"/>
      <c r="M51" s="9" t="n"/>
      <c r="N51" s="10" t="n"/>
      <c r="O51" s="9" t="n"/>
    </row>
    <row r="52">
      <c r="A52" s="7" t="n"/>
      <c r="B52" s="8" t="n"/>
      <c r="C52" s="8" t="n"/>
      <c r="D52" s="8" t="n"/>
      <c r="E52" s="8" t="n"/>
      <c r="F52" s="8" t="n"/>
      <c r="G52" s="8" t="n"/>
      <c r="H52" s="8" t="n"/>
      <c r="I52" s="9" t="n"/>
      <c r="J52" s="9" t="n"/>
      <c r="K52" s="9" t="n"/>
      <c r="L52" s="9" t="n"/>
      <c r="M52" s="9" t="n"/>
      <c r="N52" s="10" t="n"/>
      <c r="O52" s="9" t="n"/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  <c r="I53" s="9" t="n"/>
      <c r="J53" s="9" t="n"/>
      <c r="K53" s="9" t="n"/>
      <c r="L53" s="9" t="n"/>
      <c r="M53" s="9" t="n"/>
      <c r="N53" s="10" t="n"/>
      <c r="O53" s="9" t="n"/>
    </row>
    <row r="54">
      <c r="A54" s="7" t="n"/>
      <c r="B54" s="8" t="n"/>
      <c r="C54" s="8" t="n"/>
      <c r="D54" s="8" t="n"/>
      <c r="E54" s="8" t="n"/>
      <c r="F54" s="8" t="n"/>
      <c r="G54" s="8" t="n"/>
      <c r="H54" s="8" t="n"/>
      <c r="I54" s="9" t="n"/>
      <c r="J54" s="9" t="n"/>
      <c r="K54" s="9" t="n"/>
      <c r="L54" s="9" t="n"/>
      <c r="M54" s="9" t="n"/>
      <c r="N54" s="10" t="n"/>
      <c r="O54" s="9" t="n"/>
    </row>
    <row r="55">
      <c r="A55" s="7" t="n"/>
      <c r="B55" s="8" t="n"/>
      <c r="C55" s="8" t="n"/>
      <c r="D55" s="8" t="n"/>
      <c r="E55" s="8" t="n"/>
      <c r="F55" s="8" t="n"/>
      <c r="G55" s="8" t="n"/>
      <c r="H55" s="8" t="n"/>
      <c r="I55" s="9" t="n"/>
      <c r="J55" s="9" t="n"/>
      <c r="K55" s="9" t="n"/>
      <c r="L55" s="9" t="n"/>
      <c r="M55" s="9" t="n"/>
      <c r="N55" s="10" t="n"/>
      <c r="O55" s="9" t="n"/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  <c r="I56" s="9" t="n"/>
      <c r="J56" s="9" t="n"/>
      <c r="K56" s="9" t="n"/>
      <c r="L56" s="9" t="n"/>
      <c r="M56" s="9" t="n"/>
      <c r="N56" s="10" t="n"/>
      <c r="O56" s="9" t="n"/>
    </row>
    <row r="57">
      <c r="A57" s="7" t="n"/>
      <c r="B57" s="8" t="n"/>
      <c r="C57" s="8" t="n"/>
      <c r="D57" s="8" t="n"/>
      <c r="E57" s="8" t="n"/>
      <c r="F57" s="8" t="n"/>
      <c r="G57" s="8" t="n"/>
      <c r="H57" s="8" t="n"/>
      <c r="I57" s="9" t="n"/>
      <c r="J57" s="9" t="n"/>
      <c r="K57" s="9" t="n"/>
      <c r="L57" s="9" t="n"/>
      <c r="M57" s="9" t="n"/>
      <c r="N57" s="10" t="n"/>
      <c r="O57" s="9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  <c r="I58" s="9" t="n"/>
      <c r="J58" s="9" t="n"/>
      <c r="K58" s="9" t="n"/>
      <c r="L58" s="9" t="n"/>
      <c r="M58" s="9" t="n"/>
      <c r="N58" s="10" t="n"/>
      <c r="O58" s="9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  <c r="I59" s="9" t="n"/>
      <c r="J59" s="9" t="n"/>
      <c r="K59" s="9" t="n"/>
      <c r="L59" s="9" t="n"/>
      <c r="M59" s="9" t="n"/>
      <c r="N59" s="10" t="n"/>
      <c r="O59" s="9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  <c r="I60" s="9" t="n"/>
      <c r="J60" s="9" t="n"/>
      <c r="K60" s="9" t="n"/>
      <c r="L60" s="9" t="n"/>
      <c r="M60" s="9" t="n"/>
      <c r="N60" s="10" t="n"/>
      <c r="O60" s="9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  <c r="I61" s="9" t="n"/>
      <c r="J61" s="9" t="n"/>
      <c r="K61" s="9" t="n"/>
      <c r="L61" s="9" t="n"/>
      <c r="M61" s="9" t="n"/>
      <c r="N61" s="10" t="n"/>
      <c r="O61" s="9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  <c r="I62" s="9" t="n"/>
      <c r="J62" s="9" t="n"/>
      <c r="K62" s="9" t="n"/>
      <c r="L62" s="9" t="n"/>
      <c r="M62" s="9" t="n"/>
      <c r="N62" s="10" t="n"/>
      <c r="O62" s="9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  <c r="I63" s="9" t="n"/>
      <c r="J63" s="9" t="n"/>
      <c r="K63" s="9" t="n"/>
      <c r="L63" s="9" t="n"/>
      <c r="M63" s="9" t="n"/>
      <c r="N63" s="10" t="n"/>
      <c r="O63" s="9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  <c r="I64" s="9" t="n"/>
      <c r="J64" s="9" t="n"/>
      <c r="K64" s="9" t="n"/>
      <c r="L64" s="9" t="n"/>
      <c r="M64" s="9" t="n"/>
      <c r="N64" s="10" t="n"/>
      <c r="O64" s="9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  <c r="I65" s="9" t="n"/>
      <c r="J65" s="9" t="n"/>
      <c r="K65" s="9" t="n"/>
      <c r="L65" s="9" t="n"/>
      <c r="M65" s="9" t="n"/>
      <c r="N65" s="10" t="n"/>
      <c r="O65" s="9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  <c r="I66" s="9" t="n"/>
      <c r="J66" s="9" t="n"/>
      <c r="K66" s="9" t="n"/>
      <c r="L66" s="9" t="n"/>
      <c r="M66" s="9" t="n"/>
      <c r="N66" s="10" t="n"/>
      <c r="O66" s="9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  <c r="I67" s="9" t="n"/>
      <c r="J67" s="9" t="n"/>
      <c r="K67" s="9" t="n"/>
      <c r="L67" s="9" t="n"/>
      <c r="M67" s="9" t="n"/>
      <c r="N67" s="10" t="n"/>
      <c r="O67" s="9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  <c r="I68" s="9" t="n"/>
      <c r="J68" s="9" t="n"/>
      <c r="K68" s="9" t="n"/>
      <c r="L68" s="9" t="n"/>
      <c r="M68" s="9" t="n"/>
      <c r="N68" s="10" t="n"/>
      <c r="O68" s="9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  <c r="I69" s="9" t="n"/>
      <c r="J69" s="9" t="n"/>
      <c r="K69" s="9" t="n"/>
      <c r="L69" s="9" t="n"/>
      <c r="M69" s="9" t="n"/>
      <c r="N69" s="10" t="n"/>
      <c r="O69" s="9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  <c r="I70" s="9" t="n"/>
      <c r="J70" s="9" t="n"/>
      <c r="K70" s="9" t="n"/>
      <c r="L70" s="9" t="n"/>
      <c r="M70" s="9" t="n"/>
      <c r="N70" s="10" t="n"/>
      <c r="O70" s="9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  <c r="I71" s="9" t="n"/>
      <c r="J71" s="9" t="n"/>
      <c r="K71" s="9" t="n"/>
      <c r="L71" s="9" t="n"/>
      <c r="M71" s="9" t="n"/>
      <c r="N71" s="10" t="n"/>
      <c r="O71" s="9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  <c r="I72" s="9" t="n"/>
      <c r="J72" s="9" t="n"/>
      <c r="K72" s="9" t="n"/>
      <c r="L72" s="9" t="n"/>
      <c r="M72" s="9" t="n"/>
      <c r="N72" s="10" t="n"/>
      <c r="O72" s="9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  <c r="I73" s="9" t="n"/>
      <c r="J73" s="9" t="n"/>
      <c r="K73" s="9" t="n"/>
      <c r="L73" s="9" t="n"/>
      <c r="M73" s="9" t="n"/>
      <c r="N73" s="10" t="n"/>
      <c r="O73" s="9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  <c r="I74" s="9" t="n"/>
      <c r="J74" s="9" t="n"/>
      <c r="K74" s="9" t="n"/>
      <c r="L74" s="9" t="n"/>
      <c r="M74" s="9" t="n"/>
      <c r="N74" s="10" t="n"/>
      <c r="O74" s="9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  <c r="I75" s="9" t="n"/>
      <c r="J75" s="9" t="n"/>
      <c r="K75" s="9" t="n"/>
      <c r="L75" s="9" t="n"/>
      <c r="M75" s="9" t="n"/>
      <c r="N75" s="10" t="n"/>
      <c r="O75" s="9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  <c r="I76" s="9" t="n"/>
      <c r="J76" s="9" t="n"/>
      <c r="K76" s="9" t="n"/>
      <c r="L76" s="9" t="n"/>
      <c r="M76" s="9" t="n"/>
      <c r="N76" s="10" t="n"/>
      <c r="O76" s="9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  <c r="I77" s="9" t="n"/>
      <c r="J77" s="9" t="n"/>
      <c r="K77" s="9" t="n"/>
      <c r="L77" s="9" t="n"/>
      <c r="M77" s="9" t="n"/>
      <c r="N77" s="10" t="n"/>
      <c r="O77" s="9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  <c r="I78" s="9" t="n"/>
      <c r="J78" s="9" t="n"/>
      <c r="K78" s="9" t="n"/>
      <c r="L78" s="9" t="n"/>
      <c r="M78" s="9" t="n"/>
      <c r="N78" s="10" t="n"/>
      <c r="O78" s="9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  <c r="I79" s="9" t="n"/>
      <c r="J79" s="9" t="n"/>
      <c r="K79" s="9" t="n"/>
      <c r="L79" s="9" t="n"/>
      <c r="M79" s="9" t="n"/>
      <c r="N79" s="10" t="n"/>
      <c r="O79" s="9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  <c r="I80" s="9" t="n"/>
      <c r="J80" s="9" t="n"/>
      <c r="K80" s="9" t="n"/>
      <c r="L80" s="9" t="n"/>
      <c r="M80" s="9" t="n"/>
      <c r="N80" s="10" t="n"/>
      <c r="O80" s="9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  <c r="I81" s="9" t="n"/>
      <c r="J81" s="9" t="n"/>
      <c r="K81" s="9" t="n"/>
      <c r="L81" s="9" t="n"/>
      <c r="M81" s="9" t="n"/>
      <c r="N81" s="10" t="n"/>
      <c r="O81" s="9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  <c r="I82" s="9" t="n"/>
      <c r="J82" s="9" t="n"/>
      <c r="K82" s="9" t="n"/>
      <c r="L82" s="9" t="n"/>
      <c r="M82" s="9" t="n"/>
      <c r="N82" s="10" t="n"/>
      <c r="O82" s="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8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22" customWidth="1" min="4" max="4"/>
    <col width="30" customWidth="1" min="5" max="5"/>
    <col width="12" customWidth="1" min="6" max="6"/>
    <col width="30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8" customWidth="1" min="14" max="14"/>
    <col width="16" customWidth="1" min="15" max="15"/>
    <col width="22" customWidth="1" min="17" max="17"/>
    <col width="14" customWidth="1" min="18" max="18"/>
    <col width="16" customWidth="1" min="19" max="19"/>
    <col width="2" customWidth="1" min="20" max="20"/>
    <col width="32" customWidth="1" min="21" max="21"/>
    <col width="22" customWidth="1" min="22" max="22"/>
    <col width="14" customWidth="1" min="23" max="23"/>
    <col width="16" customWidth="1" min="24" max="24"/>
  </cols>
  <sheetData>
    <row r="1" ht="28" customHeight="1">
      <c r="A1" s="1" t="inlineStr">
        <is>
          <t>SELETIVA PRUDENTE</t>
        </is>
      </c>
      <c r="B1" s="1" t="inlineStr">
        <is>
          <t>FOLHA DE PAGAMENTO ABRIL/2026</t>
        </is>
      </c>
      <c r="I1" s="2">
        <f>SUMIFS(tbl_dados[Provisão de Férias + 13°],tbl_dados[Tomador],$A$1)</f>
        <v/>
      </c>
      <c r="J1" s="2">
        <f>SUMIFS(tbl_dados[Provisão de Encargos],tbl_dados[Tomador],$A$1)</f>
        <v/>
      </c>
      <c r="K1" s="1" t="inlineStr">
        <is>
          <t>Soma</t>
        </is>
      </c>
      <c r="M1" s="2">
        <f>SUMIFS(tbl_dados[TT BRUTO ABRIL],tbl_dados[Tomador],$A$1)</f>
        <v/>
      </c>
      <c r="O1" s="2">
        <f>SUMIFS(tbl_dados[TT BRUTO MARÇO],tbl_dados[Tomador],$A$1)</f>
        <v/>
      </c>
    </row>
    <row r="2" ht="36" customHeight="1">
      <c r="A2" s="3" t="inlineStr">
        <is>
          <t>Qtde</t>
        </is>
      </c>
      <c r="B2" s="3" t="inlineStr">
        <is>
          <t>FUNCIONÁRIO</t>
        </is>
      </c>
      <c r="C2" s="3" t="inlineStr">
        <is>
          <t>Tipo</t>
        </is>
      </c>
      <c r="D2" s="3" t="inlineStr">
        <is>
          <t>Setor</t>
        </is>
      </c>
      <c r="E2" s="3" t="inlineStr">
        <is>
          <t xml:space="preserve">Função </t>
        </is>
      </c>
      <c r="F2" s="3" t="inlineStr">
        <is>
          <t>Status</t>
        </is>
      </c>
      <c r="G2" s="3" t="inlineStr">
        <is>
          <t>Empresa Registro</t>
        </is>
      </c>
      <c r="H2" s="3" t="inlineStr">
        <is>
          <t>CNPJ</t>
        </is>
      </c>
      <c r="I2" s="3" t="inlineStr">
        <is>
          <t>Provisão
de Férias + 13°</t>
        </is>
      </c>
      <c r="J2" s="3" t="inlineStr">
        <is>
          <t>Provisão 
de Encargos</t>
        </is>
      </c>
      <c r="K2" s="3" t="inlineStr">
        <is>
          <t>Eventos Folha
(Caixa)</t>
        </is>
      </c>
      <c r="L2" s="3" t="inlineStr">
        <is>
          <t>Sal PF</t>
        </is>
      </c>
      <c r="M2" s="3" t="inlineStr">
        <is>
          <t>TT BRUTO
ABRIL</t>
        </is>
      </c>
      <c r="N2" s="3" t="inlineStr">
        <is>
          <t>%</t>
        </is>
      </c>
      <c r="O2" s="3" t="inlineStr">
        <is>
          <t>TT BRUTO
MARÇO</t>
        </is>
      </c>
      <c r="Q2" s="3" t="inlineStr">
        <is>
          <t>MODALIDADE</t>
        </is>
      </c>
      <c r="R2" s="3" t="inlineStr">
        <is>
          <t>FUNCIONÁRIOS</t>
        </is>
      </c>
      <c r="S2" s="3" t="inlineStr">
        <is>
          <t>TT BRUTO</t>
        </is>
      </c>
      <c r="U2" s="3" t="inlineStr">
        <is>
          <t>EMPRESA</t>
        </is>
      </c>
      <c r="V2" s="3" t="inlineStr">
        <is>
          <t>CNPJ</t>
        </is>
      </c>
      <c r="W2" s="3" t="inlineStr">
        <is>
          <t>FUNCIONÁRIOS</t>
        </is>
      </c>
      <c r="X2" s="3" t="inlineStr">
        <is>
          <t>TT BRUTO</t>
        </is>
      </c>
    </row>
    <row r="3">
      <c r="A3" s="7">
        <f>IFERROR(_xlfn.SEQUENCE(ROWS(B3#)),"")</f>
        <v/>
      </c>
      <c r="B3" s="8">
        <f>IFERROR(_xlfn._xlws.SORT(_xlfn._xlws.FILTER(tbl_dados[[FUNCIONÁRIO]:[TT BRUTO ABRIL]],tbl_dados[Tomador]=$A$1),12,-1),"")</f>
        <v/>
      </c>
      <c r="C3" s="8" t="n"/>
      <c r="D3" s="8" t="n"/>
      <c r="E3" s="8" t="n"/>
      <c r="F3" s="8" t="n"/>
      <c r="G3" s="8" t="n"/>
      <c r="H3" s="8" t="n"/>
      <c r="I3" s="9" t="n"/>
      <c r="J3" s="9" t="n"/>
      <c r="K3" s="9" t="n"/>
      <c r="L3" s="9" t="n"/>
      <c r="M3" s="9" t="n"/>
      <c r="N3" s="10">
        <f>IFERROR(INDEX(B3#,,12)/$M$1,"")</f>
        <v/>
      </c>
      <c r="O3" s="9">
        <f>IFERROR(INDEX(_xlfn._xlws.SORT(_xlfn._xlws.FILTER(tbl_dados[[FUNCIONÁRIO]:[TT BRUTO MARÇO]],tbl_dados[Tomador]=$A$1),12,-1),,13),"")</f>
        <v/>
      </c>
      <c r="Q3" s="8">
        <f>IFERROR(_xlfn.UNIQUE(_xlfn._xlws.FILTER(tbl_dados[Tipo],tbl_dados[Tomador]=$A$1)),"")</f>
        <v/>
      </c>
      <c r="R3" s="7">
        <f>IFERROR(_xlfn.BYROW(Q3#,_xlfn.LAMBDA(_x,COUNTIFS(tbl_dados[Tomador],$A$1,tbl_dados[Tipo],_x))),"")</f>
        <v/>
      </c>
      <c r="S3" s="9">
        <f>IFERROR(_xlfn.BYROW(Q3#,_xlfn.LAMBDA(_x,SUMIFS(tbl_dados[TT BRUTO ABRIL],tbl_dados[Tomador],$A$1,tbl_dados[Tipo],_x))),"")</f>
        <v/>
      </c>
      <c r="U3" s="8">
        <f>IFERROR(_xlfn.UNIQUE(_xlfn._xlws.FILTER(tbl_dados[Empresa Registro],tbl_dados[Tomador]=$A$1)),"")</f>
        <v/>
      </c>
      <c r="V3" s="11">
        <f>IFERROR(_xlfn.BYROW(U3#,_xlfn.LAMBDA(_x,IFERROR(INDEX(tbl_dados[CNPJ],MATCH(_x,tbl_dados[Empresa Registro],0)),""))),"")</f>
        <v/>
      </c>
      <c r="W3" s="7">
        <f>IFERROR(_xlfn.BYROW(U3#,_xlfn.LAMBDA(_x,COUNTIFS(tbl_dados[Tomador],$A$1,tbl_dados[Empresa Registro],_x))),"")</f>
        <v/>
      </c>
      <c r="X3" s="9">
        <f>IFERROR(_xlfn.BYROW(U3#,_xlfn.LAMBDA(_x,SUMIFS(tbl_dados[TT BRUTO ABRIL],tbl_dados[Tomador],$A$1,tbl_dados[Empresa Registro],_x))),"")</f>
        <v/>
      </c>
    </row>
    <row r="4">
      <c r="A4" s="7" t="n"/>
      <c r="B4" s="8" t="n"/>
      <c r="C4" s="8" t="n"/>
      <c r="D4" s="8" t="n"/>
      <c r="E4" s="8" t="n"/>
      <c r="F4" s="8" t="n"/>
      <c r="G4" s="8" t="n"/>
      <c r="H4" s="8" t="n"/>
      <c r="I4" s="9" t="n"/>
      <c r="J4" s="9" t="n"/>
      <c r="K4" s="9" t="n"/>
      <c r="L4" s="9" t="n"/>
      <c r="M4" s="9" t="n"/>
      <c r="N4" s="10" t="n"/>
      <c r="O4" s="9" t="n"/>
      <c r="Q4" s="8" t="n"/>
      <c r="R4" s="7" t="n"/>
      <c r="S4" s="9" t="n"/>
      <c r="U4" s="8" t="n"/>
      <c r="V4" s="11" t="n"/>
      <c r="W4" s="7" t="n"/>
      <c r="X4" s="9" t="n"/>
    </row>
    <row r="5">
      <c r="A5" s="7" t="n"/>
      <c r="B5" s="8" t="n"/>
      <c r="C5" s="8" t="n"/>
      <c r="D5" s="8" t="n"/>
      <c r="E5" s="8" t="n"/>
      <c r="F5" s="8" t="n"/>
      <c r="G5" s="8" t="n"/>
      <c r="H5" s="8" t="n"/>
      <c r="I5" s="9" t="n"/>
      <c r="J5" s="9" t="n"/>
      <c r="K5" s="9" t="n"/>
      <c r="L5" s="9" t="n"/>
      <c r="M5" s="9" t="n"/>
      <c r="N5" s="10" t="n"/>
      <c r="O5" s="9" t="n"/>
      <c r="Q5" s="8" t="n"/>
      <c r="R5" s="7" t="n"/>
      <c r="S5" s="9" t="n"/>
      <c r="U5" s="8" t="n"/>
      <c r="V5" s="11" t="n"/>
      <c r="W5" s="7" t="n"/>
      <c r="X5" s="9" t="n"/>
    </row>
    <row r="6">
      <c r="A6" s="7" t="n"/>
      <c r="B6" s="8" t="n"/>
      <c r="C6" s="8" t="n"/>
      <c r="D6" s="8" t="n"/>
      <c r="E6" s="8" t="n"/>
      <c r="F6" s="8" t="n"/>
      <c r="G6" s="8" t="n"/>
      <c r="H6" s="8" t="n"/>
      <c r="I6" s="9" t="n"/>
      <c r="J6" s="9" t="n"/>
      <c r="K6" s="9" t="n"/>
      <c r="L6" s="9" t="n"/>
      <c r="M6" s="9" t="n"/>
      <c r="N6" s="10" t="n"/>
      <c r="O6" s="9" t="n"/>
      <c r="Q6" s="8" t="n"/>
      <c r="R6" s="7" t="n"/>
      <c r="S6" s="9" t="n"/>
      <c r="U6" s="8" t="n"/>
      <c r="V6" s="11" t="n"/>
      <c r="W6" s="7" t="n"/>
      <c r="X6" s="9" t="n"/>
    </row>
    <row r="7">
      <c r="A7" s="7" t="n"/>
      <c r="B7" s="8" t="n"/>
      <c r="C7" s="8" t="n"/>
      <c r="D7" s="8" t="n"/>
      <c r="E7" s="8" t="n"/>
      <c r="F7" s="8" t="n"/>
      <c r="G7" s="8" t="n"/>
      <c r="H7" s="8" t="n"/>
      <c r="I7" s="9" t="n"/>
      <c r="J7" s="9" t="n"/>
      <c r="K7" s="9" t="n"/>
      <c r="L7" s="9" t="n"/>
      <c r="M7" s="9" t="n"/>
      <c r="N7" s="10" t="n"/>
      <c r="O7" s="9" t="n"/>
      <c r="Q7" s="8" t="n"/>
      <c r="R7" s="7" t="n"/>
      <c r="S7" s="9" t="n"/>
      <c r="U7" s="8" t="n"/>
      <c r="V7" s="11" t="n"/>
      <c r="W7" s="7" t="n"/>
      <c r="X7" s="9" t="n"/>
    </row>
    <row r="8">
      <c r="A8" s="7" t="n"/>
      <c r="B8" s="8" t="n"/>
      <c r="C8" s="8" t="n"/>
      <c r="D8" s="8" t="n"/>
      <c r="E8" s="8" t="n"/>
      <c r="F8" s="8" t="n"/>
      <c r="G8" s="8" t="n"/>
      <c r="H8" s="8" t="n"/>
      <c r="I8" s="9" t="n"/>
      <c r="J8" s="9" t="n"/>
      <c r="K8" s="9" t="n"/>
      <c r="L8" s="9" t="n"/>
      <c r="M8" s="9" t="n"/>
      <c r="N8" s="10" t="n"/>
      <c r="O8" s="9" t="n"/>
      <c r="Q8" s="8" t="n"/>
      <c r="R8" s="7" t="n"/>
      <c r="S8" s="9" t="n"/>
      <c r="U8" s="8" t="n"/>
      <c r="V8" s="11" t="n"/>
      <c r="W8" s="7" t="n"/>
      <c r="X8" s="9" t="n"/>
    </row>
    <row r="9">
      <c r="A9" s="7" t="n"/>
      <c r="B9" s="8" t="n"/>
      <c r="C9" s="8" t="n"/>
      <c r="D9" s="8" t="n"/>
      <c r="E9" s="8" t="n"/>
      <c r="F9" s="8" t="n"/>
      <c r="G9" s="8" t="n"/>
      <c r="H9" s="8" t="n"/>
      <c r="I9" s="9" t="n"/>
      <c r="J9" s="9" t="n"/>
      <c r="K9" s="9" t="n"/>
      <c r="L9" s="9" t="n"/>
      <c r="M9" s="9" t="n"/>
      <c r="N9" s="10" t="n"/>
      <c r="O9" s="9" t="n"/>
      <c r="Q9" s="8" t="n"/>
      <c r="R9" s="7" t="n"/>
      <c r="S9" s="9" t="n"/>
      <c r="U9" s="8" t="n"/>
      <c r="V9" s="11" t="n"/>
      <c r="W9" s="7" t="n"/>
      <c r="X9" s="9" t="n"/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  <c r="I10" s="9" t="n"/>
      <c r="J10" s="9" t="n"/>
      <c r="K10" s="9" t="n"/>
      <c r="L10" s="9" t="n"/>
      <c r="M10" s="9" t="n"/>
      <c r="N10" s="10" t="n"/>
      <c r="O10" s="9" t="n"/>
      <c r="Q10" s="8" t="n"/>
      <c r="R10" s="7" t="n"/>
      <c r="S10" s="9" t="n"/>
      <c r="U10" s="8" t="n"/>
      <c r="V10" s="11" t="n"/>
      <c r="W10" s="7" t="n"/>
      <c r="X10" s="9" t="n"/>
    </row>
    <row r="11">
      <c r="A11" s="7" t="n"/>
      <c r="B11" s="8" t="n"/>
      <c r="C11" s="8" t="n"/>
      <c r="D11" s="8" t="n"/>
      <c r="E11" s="8" t="n"/>
      <c r="F11" s="8" t="n"/>
      <c r="G11" s="8" t="n"/>
      <c r="H11" s="8" t="n"/>
      <c r="I11" s="9" t="n"/>
      <c r="J11" s="9" t="n"/>
      <c r="K11" s="9" t="n"/>
      <c r="L11" s="9" t="n"/>
      <c r="M11" s="9" t="n"/>
      <c r="N11" s="10" t="n"/>
      <c r="O11" s="9" t="n"/>
      <c r="Q11" s="8" t="n"/>
      <c r="R11" s="7" t="n"/>
      <c r="S11" s="9" t="n"/>
      <c r="U11" s="8" t="n"/>
      <c r="V11" s="11" t="n"/>
      <c r="W11" s="7" t="n"/>
      <c r="X11" s="9" t="n"/>
    </row>
    <row r="12">
      <c r="A12" s="7" t="n"/>
      <c r="B12" s="8" t="n"/>
      <c r="C12" s="8" t="n"/>
      <c r="D12" s="8" t="n"/>
      <c r="E12" s="8" t="n"/>
      <c r="F12" s="8" t="n"/>
      <c r="G12" s="8" t="n"/>
      <c r="H12" s="8" t="n"/>
      <c r="I12" s="9" t="n"/>
      <c r="J12" s="9" t="n"/>
      <c r="K12" s="9" t="n"/>
      <c r="L12" s="9" t="n"/>
      <c r="M12" s="9" t="n"/>
      <c r="N12" s="10" t="n"/>
      <c r="O12" s="9" t="n"/>
      <c r="Q12" s="8" t="n"/>
      <c r="R12" s="7" t="n"/>
      <c r="S12" s="9" t="n"/>
      <c r="U12" s="8" t="n"/>
      <c r="V12" s="11" t="n"/>
      <c r="W12" s="7" t="n"/>
      <c r="X12" s="9" t="n"/>
    </row>
    <row r="13">
      <c r="A13" s="7" t="n"/>
      <c r="B13" s="8" t="n"/>
      <c r="C13" s="8" t="n"/>
      <c r="D13" s="8" t="n"/>
      <c r="E13" s="8" t="n"/>
      <c r="F13" s="8" t="n"/>
      <c r="G13" s="8" t="n"/>
      <c r="H13" s="8" t="n"/>
      <c r="I13" s="9" t="n"/>
      <c r="J13" s="9" t="n"/>
      <c r="K13" s="9" t="n"/>
      <c r="L13" s="9" t="n"/>
      <c r="M13" s="9" t="n"/>
      <c r="N13" s="10" t="n"/>
      <c r="O13" s="9" t="n"/>
      <c r="Q13" s="8" t="n"/>
      <c r="R13" s="7" t="n"/>
      <c r="S13" s="9" t="n"/>
      <c r="U13" s="8" t="n"/>
      <c r="V13" s="11" t="n"/>
      <c r="W13" s="7" t="n"/>
      <c r="X13" s="9" t="n"/>
    </row>
    <row r="14">
      <c r="A14" s="7" t="n"/>
      <c r="B14" s="8" t="n"/>
      <c r="C14" s="8" t="n"/>
      <c r="D14" s="8" t="n"/>
      <c r="E14" s="8" t="n"/>
      <c r="F14" s="8" t="n"/>
      <c r="G14" s="8" t="n"/>
      <c r="H14" s="8" t="n"/>
      <c r="I14" s="9" t="n"/>
      <c r="J14" s="9" t="n"/>
      <c r="K14" s="9" t="n"/>
      <c r="L14" s="9" t="n"/>
      <c r="M14" s="9" t="n"/>
      <c r="N14" s="10" t="n"/>
      <c r="O14" s="9" t="n"/>
      <c r="Q14" s="8" t="n"/>
      <c r="R14" s="7" t="n"/>
      <c r="S14" s="9" t="n"/>
      <c r="U14" s="8" t="n"/>
      <c r="V14" s="11" t="n"/>
      <c r="W14" s="7" t="n"/>
      <c r="X14" s="9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9" t="n"/>
      <c r="J15" s="9" t="n"/>
      <c r="K15" s="9" t="n"/>
      <c r="L15" s="9" t="n"/>
      <c r="M15" s="9" t="n"/>
      <c r="N15" s="10" t="n"/>
      <c r="O15" s="9" t="n"/>
      <c r="Q15" s="8" t="n"/>
      <c r="R15" s="7" t="n"/>
      <c r="S15" s="9" t="n"/>
      <c r="U15" s="8" t="n"/>
      <c r="V15" s="11" t="n"/>
      <c r="W15" s="7" t="n"/>
      <c r="X15" s="9" t="n"/>
    </row>
    <row r="16">
      <c r="A16" s="7" t="n"/>
      <c r="B16" s="8" t="n"/>
      <c r="C16" s="8" t="n"/>
      <c r="D16" s="8" t="n"/>
      <c r="E16" s="8" t="n"/>
      <c r="F16" s="8" t="n"/>
      <c r="G16" s="8" t="n"/>
      <c r="H16" s="8" t="n"/>
      <c r="I16" s="9" t="n"/>
      <c r="J16" s="9" t="n"/>
      <c r="K16" s="9" t="n"/>
      <c r="L16" s="9" t="n"/>
      <c r="M16" s="9" t="n"/>
      <c r="N16" s="10" t="n"/>
      <c r="O16" s="9" t="n"/>
      <c r="Q16" s="8" t="n"/>
      <c r="R16" s="7" t="n"/>
      <c r="S16" s="9" t="n"/>
      <c r="U16" s="8" t="n"/>
      <c r="V16" s="11" t="n"/>
      <c r="W16" s="7" t="n"/>
      <c r="X16" s="9" t="n"/>
    </row>
    <row r="17">
      <c r="A17" s="7" t="n"/>
      <c r="B17" s="8" t="n"/>
      <c r="C17" s="8" t="n"/>
      <c r="D17" s="8" t="n"/>
      <c r="E17" s="8" t="n"/>
      <c r="F17" s="8" t="n"/>
      <c r="G17" s="8" t="n"/>
      <c r="H17" s="8" t="n"/>
      <c r="I17" s="9" t="n"/>
      <c r="J17" s="9" t="n"/>
      <c r="K17" s="9" t="n"/>
      <c r="L17" s="9" t="n"/>
      <c r="M17" s="9" t="n"/>
      <c r="N17" s="10" t="n"/>
      <c r="O17" s="9" t="n"/>
      <c r="Q17" s="8" t="n"/>
      <c r="R17" s="7" t="n"/>
      <c r="S17" s="9" t="n"/>
      <c r="U17" s="8" t="n"/>
      <c r="V17" s="11" t="n"/>
      <c r="W17" s="7" t="n"/>
      <c r="X17" s="9" t="n"/>
    </row>
    <row r="18">
      <c r="A18" s="7" t="n"/>
      <c r="B18" s="8" t="n"/>
      <c r="C18" s="8" t="n"/>
      <c r="D18" s="8" t="n"/>
      <c r="E18" s="8" t="n"/>
      <c r="F18" s="8" t="n"/>
      <c r="G18" s="8" t="n"/>
      <c r="H18" s="8" t="n"/>
      <c r="I18" s="9" t="n"/>
      <c r="J18" s="9" t="n"/>
      <c r="K18" s="9" t="n"/>
      <c r="L18" s="9" t="n"/>
      <c r="M18" s="9" t="n"/>
      <c r="N18" s="10" t="n"/>
      <c r="O18" s="9" t="n"/>
      <c r="Q18" s="8" t="n"/>
      <c r="R18" s="7" t="n"/>
      <c r="S18" s="9" t="n"/>
      <c r="U18" s="8" t="n"/>
      <c r="V18" s="11" t="n"/>
      <c r="W18" s="7" t="n"/>
      <c r="X18" s="9" t="n"/>
    </row>
    <row r="19">
      <c r="A19" s="7" t="n"/>
      <c r="B19" s="8" t="n"/>
      <c r="C19" s="8" t="n"/>
      <c r="D19" s="8" t="n"/>
      <c r="E19" s="8" t="n"/>
      <c r="F19" s="8" t="n"/>
      <c r="G19" s="8" t="n"/>
      <c r="H19" s="8" t="n"/>
      <c r="I19" s="9" t="n"/>
      <c r="J19" s="9" t="n"/>
      <c r="K19" s="9" t="n"/>
      <c r="L19" s="9" t="n"/>
      <c r="M19" s="9" t="n"/>
      <c r="N19" s="10" t="n"/>
      <c r="O19" s="9" t="n"/>
      <c r="Q19" s="8" t="n"/>
      <c r="R19" s="7" t="n"/>
      <c r="S19" s="9" t="n"/>
      <c r="U19" s="8" t="n"/>
      <c r="V19" s="11" t="n"/>
      <c r="W19" s="7" t="n"/>
      <c r="X19" s="9" t="n"/>
    </row>
    <row r="20">
      <c r="A20" s="7" t="n"/>
      <c r="B20" s="8" t="n"/>
      <c r="C20" s="8" t="n"/>
      <c r="D20" s="8" t="n"/>
      <c r="E20" s="8" t="n"/>
      <c r="F20" s="8" t="n"/>
      <c r="G20" s="8" t="n"/>
      <c r="H20" s="8" t="n"/>
      <c r="I20" s="9" t="n"/>
      <c r="J20" s="9" t="n"/>
      <c r="K20" s="9" t="n"/>
      <c r="L20" s="9" t="n"/>
      <c r="M20" s="9" t="n"/>
      <c r="N20" s="10" t="n"/>
      <c r="O20" s="9" t="n"/>
      <c r="Q20" s="8" t="n"/>
      <c r="R20" s="7" t="n"/>
      <c r="S20" s="9" t="n"/>
      <c r="U20" s="8" t="n"/>
      <c r="V20" s="11" t="n"/>
      <c r="W20" s="7" t="n"/>
      <c r="X20" s="9" t="n"/>
    </row>
    <row r="21">
      <c r="A21" s="7" t="n"/>
      <c r="B21" s="8" t="n"/>
      <c r="C21" s="8" t="n"/>
      <c r="D21" s="8" t="n"/>
      <c r="E21" s="8" t="n"/>
      <c r="F21" s="8" t="n"/>
      <c r="G21" s="8" t="n"/>
      <c r="H21" s="8" t="n"/>
      <c r="I21" s="9" t="n"/>
      <c r="J21" s="9" t="n"/>
      <c r="K21" s="9" t="n"/>
      <c r="L21" s="9" t="n"/>
      <c r="M21" s="9" t="n"/>
      <c r="N21" s="10" t="n"/>
      <c r="O21" s="9" t="n"/>
      <c r="Q21" s="8" t="n"/>
      <c r="R21" s="7" t="n"/>
      <c r="S21" s="9" t="n"/>
      <c r="U21" s="8" t="n"/>
      <c r="V21" s="11" t="n"/>
      <c r="W21" s="7" t="n"/>
      <c r="X21" s="9" t="n"/>
    </row>
    <row r="22">
      <c r="A22" s="7" t="n"/>
      <c r="B22" s="8" t="n"/>
      <c r="C22" s="8" t="n"/>
      <c r="D22" s="8" t="n"/>
      <c r="E22" s="8" t="n"/>
      <c r="F22" s="8" t="n"/>
      <c r="G22" s="8" t="n"/>
      <c r="H22" s="8" t="n"/>
      <c r="I22" s="9" t="n"/>
      <c r="J22" s="9" t="n"/>
      <c r="K22" s="9" t="n"/>
      <c r="L22" s="9" t="n"/>
      <c r="M22" s="9" t="n"/>
      <c r="N22" s="10" t="n"/>
      <c r="O22" s="9" t="n"/>
      <c r="Q22" s="8" t="n"/>
      <c r="R22" s="7" t="n"/>
      <c r="S22" s="9" t="n"/>
      <c r="U22" s="8" t="n"/>
      <c r="V22" s="11" t="n"/>
      <c r="W22" s="7" t="n"/>
      <c r="X22" s="9" t="n"/>
    </row>
    <row r="23">
      <c r="A23" s="7" t="n"/>
      <c r="B23" s="8" t="n"/>
      <c r="C23" s="8" t="n"/>
      <c r="D23" s="8" t="n"/>
      <c r="E23" s="8" t="n"/>
      <c r="F23" s="8" t="n"/>
      <c r="G23" s="8" t="n"/>
      <c r="H23" s="8" t="n"/>
      <c r="I23" s="9" t="n"/>
      <c r="J23" s="9" t="n"/>
      <c r="K23" s="9" t="n"/>
      <c r="L23" s="9" t="n"/>
      <c r="M23" s="9" t="n"/>
      <c r="N23" s="10" t="n"/>
      <c r="O23" s="9" t="n"/>
      <c r="Q23" s="8" t="n"/>
      <c r="R23" s="7" t="n"/>
      <c r="S23" s="9" t="n"/>
      <c r="U23" s="8" t="n"/>
      <c r="V23" s="11" t="n"/>
      <c r="W23" s="7" t="n"/>
      <c r="X23" s="9" t="n"/>
    </row>
    <row r="24">
      <c r="A24" s="7" t="n"/>
      <c r="B24" s="8" t="n"/>
      <c r="C24" s="8" t="n"/>
      <c r="D24" s="8" t="n"/>
      <c r="E24" s="8" t="n"/>
      <c r="F24" s="8" t="n"/>
      <c r="G24" s="8" t="n"/>
      <c r="H24" s="8" t="n"/>
      <c r="I24" s="9" t="n"/>
      <c r="J24" s="9" t="n"/>
      <c r="K24" s="9" t="n"/>
      <c r="L24" s="9" t="n"/>
      <c r="M24" s="9" t="n"/>
      <c r="N24" s="10" t="n"/>
      <c r="O24" s="9" t="n"/>
      <c r="Q24" s="8" t="n"/>
      <c r="R24" s="7" t="n"/>
      <c r="S24" s="9" t="n"/>
      <c r="U24" s="8" t="n"/>
      <c r="V24" s="11" t="n"/>
      <c r="W24" s="7" t="n"/>
      <c r="X24" s="9" t="n"/>
    </row>
    <row r="25">
      <c r="A25" s="7" t="n"/>
      <c r="B25" s="8" t="n"/>
      <c r="C25" s="8" t="n"/>
      <c r="D25" s="8" t="n"/>
      <c r="E25" s="8" t="n"/>
      <c r="F25" s="8" t="n"/>
      <c r="G25" s="8" t="n"/>
      <c r="H25" s="8" t="n"/>
      <c r="I25" s="9" t="n"/>
      <c r="J25" s="9" t="n"/>
      <c r="K25" s="9" t="n"/>
      <c r="L25" s="9" t="n"/>
      <c r="M25" s="9" t="n"/>
      <c r="N25" s="10" t="n"/>
      <c r="O25" s="9" t="n"/>
      <c r="Q25" s="8" t="n"/>
      <c r="R25" s="7" t="n"/>
      <c r="S25" s="9" t="n"/>
      <c r="U25" s="8" t="n"/>
      <c r="V25" s="11" t="n"/>
      <c r="W25" s="7" t="n"/>
      <c r="X25" s="9" t="n"/>
    </row>
    <row r="26">
      <c r="A26" s="7" t="n"/>
      <c r="B26" s="8" t="n"/>
      <c r="C26" s="8" t="n"/>
      <c r="D26" s="8" t="n"/>
      <c r="E26" s="8" t="n"/>
      <c r="F26" s="8" t="n"/>
      <c r="G26" s="8" t="n"/>
      <c r="H26" s="8" t="n"/>
      <c r="I26" s="9" t="n"/>
      <c r="J26" s="9" t="n"/>
      <c r="K26" s="9" t="n"/>
      <c r="L26" s="9" t="n"/>
      <c r="M26" s="9" t="n"/>
      <c r="N26" s="10" t="n"/>
      <c r="O26" s="9" t="n"/>
      <c r="Q26" s="8" t="n"/>
      <c r="R26" s="7" t="n"/>
      <c r="S26" s="9" t="n"/>
      <c r="U26" s="8" t="n"/>
      <c r="V26" s="11" t="n"/>
      <c r="W26" s="7" t="n"/>
      <c r="X26" s="9" t="n"/>
    </row>
    <row r="27">
      <c r="A27" s="7" t="n"/>
      <c r="B27" s="8" t="n"/>
      <c r="C27" s="8" t="n"/>
      <c r="D27" s="8" t="n"/>
      <c r="E27" s="8" t="n"/>
      <c r="F27" s="8" t="n"/>
      <c r="G27" s="8" t="n"/>
      <c r="H27" s="8" t="n"/>
      <c r="I27" s="9" t="n"/>
      <c r="J27" s="9" t="n"/>
      <c r="K27" s="9" t="n"/>
      <c r="L27" s="9" t="n"/>
      <c r="M27" s="9" t="n"/>
      <c r="N27" s="10" t="n"/>
      <c r="O27" s="9" t="n"/>
      <c r="Q27" s="8" t="n"/>
      <c r="R27" s="7" t="n"/>
      <c r="S27" s="9" t="n"/>
      <c r="U27" s="8" t="n"/>
      <c r="V27" s="11" t="n"/>
      <c r="W27" s="7" t="n"/>
      <c r="X27" s="9" t="n"/>
    </row>
    <row r="28">
      <c r="A28" s="7" t="n"/>
      <c r="B28" s="8" t="n"/>
      <c r="C28" s="8" t="n"/>
      <c r="D28" s="8" t="n"/>
      <c r="E28" s="8" t="n"/>
      <c r="F28" s="8" t="n"/>
      <c r="G28" s="8" t="n"/>
      <c r="H28" s="8" t="n"/>
      <c r="I28" s="9" t="n"/>
      <c r="J28" s="9" t="n"/>
      <c r="K28" s="9" t="n"/>
      <c r="L28" s="9" t="n"/>
      <c r="M28" s="9" t="n"/>
      <c r="N28" s="10" t="n"/>
      <c r="O28" s="9" t="n"/>
      <c r="Q28" s="8" t="n"/>
      <c r="R28" s="7" t="n"/>
      <c r="S28" s="9" t="n"/>
      <c r="U28" s="8" t="n"/>
      <c r="V28" s="11" t="n"/>
      <c r="W28" s="7" t="n"/>
      <c r="X28" s="9" t="n"/>
    </row>
    <row r="29">
      <c r="A29" s="7" t="n"/>
      <c r="B29" s="8" t="n"/>
      <c r="C29" s="8" t="n"/>
      <c r="D29" s="8" t="n"/>
      <c r="E29" s="8" t="n"/>
      <c r="F29" s="8" t="n"/>
      <c r="G29" s="8" t="n"/>
      <c r="H29" s="8" t="n"/>
      <c r="I29" s="9" t="n"/>
      <c r="J29" s="9" t="n"/>
      <c r="K29" s="9" t="n"/>
      <c r="L29" s="9" t="n"/>
      <c r="M29" s="9" t="n"/>
      <c r="N29" s="10" t="n"/>
      <c r="O29" s="9" t="n"/>
      <c r="Q29" s="8" t="n"/>
      <c r="R29" s="7" t="n"/>
      <c r="S29" s="9" t="n"/>
      <c r="U29" s="8" t="n"/>
      <c r="V29" s="11" t="n"/>
      <c r="W29" s="7" t="n"/>
      <c r="X29" s="9" t="n"/>
    </row>
    <row r="30">
      <c r="A30" s="7" t="n"/>
      <c r="B30" s="8" t="n"/>
      <c r="C30" s="8" t="n"/>
      <c r="D30" s="8" t="n"/>
      <c r="E30" s="8" t="n"/>
      <c r="F30" s="8" t="n"/>
      <c r="G30" s="8" t="n"/>
      <c r="H30" s="8" t="n"/>
      <c r="I30" s="9" t="n"/>
      <c r="J30" s="9" t="n"/>
      <c r="K30" s="9" t="n"/>
      <c r="L30" s="9" t="n"/>
      <c r="M30" s="9" t="n"/>
      <c r="N30" s="10" t="n"/>
      <c r="O30" s="9" t="n"/>
      <c r="Q30" s="8" t="n"/>
      <c r="R30" s="7" t="n"/>
      <c r="S30" s="9" t="n"/>
      <c r="U30" s="8" t="n"/>
      <c r="V30" s="11" t="n"/>
      <c r="W30" s="7" t="n"/>
      <c r="X30" s="9" t="n"/>
    </row>
    <row r="31">
      <c r="A31" s="7" t="n"/>
      <c r="B31" s="8" t="n"/>
      <c r="C31" s="8" t="n"/>
      <c r="D31" s="8" t="n"/>
      <c r="E31" s="8" t="n"/>
      <c r="F31" s="8" t="n"/>
      <c r="G31" s="8" t="n"/>
      <c r="H31" s="8" t="n"/>
      <c r="I31" s="9" t="n"/>
      <c r="J31" s="9" t="n"/>
      <c r="K31" s="9" t="n"/>
      <c r="L31" s="9" t="n"/>
      <c r="M31" s="9" t="n"/>
      <c r="N31" s="10" t="n"/>
      <c r="O31" s="9" t="n"/>
      <c r="Q31" s="8" t="n"/>
      <c r="R31" s="7" t="n"/>
      <c r="S31" s="9" t="n"/>
      <c r="U31" s="8" t="n"/>
      <c r="V31" s="11" t="n"/>
      <c r="W31" s="7" t="n"/>
      <c r="X31" s="9" t="n"/>
    </row>
    <row r="32">
      <c r="A32" s="7" t="n"/>
      <c r="B32" s="8" t="n"/>
      <c r="C32" s="8" t="n"/>
      <c r="D32" s="8" t="n"/>
      <c r="E32" s="8" t="n"/>
      <c r="F32" s="8" t="n"/>
      <c r="G32" s="8" t="n"/>
      <c r="H32" s="8" t="n"/>
      <c r="I32" s="9" t="n"/>
      <c r="J32" s="9" t="n"/>
      <c r="K32" s="9" t="n"/>
      <c r="L32" s="9" t="n"/>
      <c r="M32" s="9" t="n"/>
      <c r="N32" s="10" t="n"/>
      <c r="O32" s="9" t="n"/>
      <c r="Q32" s="8" t="n"/>
      <c r="R32" s="7" t="n"/>
      <c r="S32" s="9" t="n"/>
      <c r="U32" s="8" t="n"/>
      <c r="V32" s="11" t="n"/>
      <c r="W32" s="7" t="n"/>
      <c r="X32" s="9" t="n"/>
    </row>
    <row r="33">
      <c r="A33" s="7" t="n"/>
      <c r="B33" s="8" t="n"/>
      <c r="C33" s="8" t="n"/>
      <c r="D33" s="8" t="n"/>
      <c r="E33" s="8" t="n"/>
      <c r="F33" s="8" t="n"/>
      <c r="G33" s="8" t="n"/>
      <c r="H33" s="8" t="n"/>
      <c r="I33" s="9" t="n"/>
      <c r="J33" s="9" t="n"/>
      <c r="K33" s="9" t="n"/>
      <c r="L33" s="9" t="n"/>
      <c r="M33" s="9" t="n"/>
      <c r="N33" s="10" t="n"/>
      <c r="O33" s="9" t="n"/>
    </row>
    <row r="34">
      <c r="A34" s="7" t="n"/>
      <c r="B34" s="8" t="n"/>
      <c r="C34" s="8" t="n"/>
      <c r="D34" s="8" t="n"/>
      <c r="E34" s="8" t="n"/>
      <c r="F34" s="8" t="n"/>
      <c r="G34" s="8" t="n"/>
      <c r="H34" s="8" t="n"/>
      <c r="I34" s="9" t="n"/>
      <c r="J34" s="9" t="n"/>
      <c r="K34" s="9" t="n"/>
      <c r="L34" s="9" t="n"/>
      <c r="M34" s="9" t="n"/>
      <c r="N34" s="10" t="n"/>
      <c r="O34" s="9" t="n"/>
    </row>
    <row r="35">
      <c r="A35" s="7" t="n"/>
      <c r="B35" s="8" t="n"/>
      <c r="C35" s="8" t="n"/>
      <c r="D35" s="8" t="n"/>
      <c r="E35" s="8" t="n"/>
      <c r="F35" s="8" t="n"/>
      <c r="G35" s="8" t="n"/>
      <c r="H35" s="8" t="n"/>
      <c r="I35" s="9" t="n"/>
      <c r="J35" s="9" t="n"/>
      <c r="K35" s="9" t="n"/>
      <c r="L35" s="9" t="n"/>
      <c r="M35" s="9" t="n"/>
      <c r="N35" s="10" t="n"/>
      <c r="O35" s="9" t="n"/>
    </row>
    <row r="36">
      <c r="A36" s="7" t="n"/>
      <c r="B36" s="8" t="n"/>
      <c r="C36" s="8" t="n"/>
      <c r="D36" s="8" t="n"/>
      <c r="E36" s="8" t="n"/>
      <c r="F36" s="8" t="n"/>
      <c r="G36" s="8" t="n"/>
      <c r="H36" s="8" t="n"/>
      <c r="I36" s="9" t="n"/>
      <c r="J36" s="9" t="n"/>
      <c r="K36" s="9" t="n"/>
      <c r="L36" s="9" t="n"/>
      <c r="M36" s="9" t="n"/>
      <c r="N36" s="10" t="n"/>
      <c r="O36" s="9" t="n"/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  <c r="I37" s="9" t="n"/>
      <c r="J37" s="9" t="n"/>
      <c r="K37" s="9" t="n"/>
      <c r="L37" s="9" t="n"/>
      <c r="M37" s="9" t="n"/>
      <c r="N37" s="10" t="n"/>
      <c r="O37" s="9" t="n"/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  <c r="I38" s="9" t="n"/>
      <c r="J38" s="9" t="n"/>
      <c r="K38" s="9" t="n"/>
      <c r="L38" s="9" t="n"/>
      <c r="M38" s="9" t="n"/>
      <c r="N38" s="10" t="n"/>
      <c r="O38" s="9" t="n"/>
    </row>
    <row r="39">
      <c r="A39" s="7" t="n"/>
      <c r="B39" s="8" t="n"/>
      <c r="C39" s="8" t="n"/>
      <c r="D39" s="8" t="n"/>
      <c r="E39" s="8" t="n"/>
      <c r="F39" s="8" t="n"/>
      <c r="G39" s="8" t="n"/>
      <c r="H39" s="8" t="n"/>
      <c r="I39" s="9" t="n"/>
      <c r="J39" s="9" t="n"/>
      <c r="K39" s="9" t="n"/>
      <c r="L39" s="9" t="n"/>
      <c r="M39" s="9" t="n"/>
      <c r="N39" s="10" t="n"/>
      <c r="O39" s="9" t="n"/>
    </row>
    <row r="40">
      <c r="A40" s="7" t="n"/>
      <c r="B40" s="8" t="n"/>
      <c r="C40" s="8" t="n"/>
      <c r="D40" s="8" t="n"/>
      <c r="E40" s="8" t="n"/>
      <c r="F40" s="8" t="n"/>
      <c r="G40" s="8" t="n"/>
      <c r="H40" s="8" t="n"/>
      <c r="I40" s="9" t="n"/>
      <c r="J40" s="9" t="n"/>
      <c r="K40" s="9" t="n"/>
      <c r="L40" s="9" t="n"/>
      <c r="M40" s="9" t="n"/>
      <c r="N40" s="10" t="n"/>
      <c r="O40" s="9" t="n"/>
    </row>
    <row r="41">
      <c r="A41" s="7" t="n"/>
      <c r="B41" s="8" t="n"/>
      <c r="C41" s="8" t="n"/>
      <c r="D41" s="8" t="n"/>
      <c r="E41" s="8" t="n"/>
      <c r="F41" s="8" t="n"/>
      <c r="G41" s="8" t="n"/>
      <c r="H41" s="8" t="n"/>
      <c r="I41" s="9" t="n"/>
      <c r="J41" s="9" t="n"/>
      <c r="K41" s="9" t="n"/>
      <c r="L41" s="9" t="n"/>
      <c r="M41" s="9" t="n"/>
      <c r="N41" s="10" t="n"/>
      <c r="O41" s="9" t="n"/>
    </row>
    <row r="42">
      <c r="A42" s="7" t="n"/>
      <c r="B42" s="8" t="n"/>
      <c r="C42" s="8" t="n"/>
      <c r="D42" s="8" t="n"/>
      <c r="E42" s="8" t="n"/>
      <c r="F42" s="8" t="n"/>
      <c r="G42" s="8" t="n"/>
      <c r="H42" s="8" t="n"/>
      <c r="I42" s="9" t="n"/>
      <c r="J42" s="9" t="n"/>
      <c r="K42" s="9" t="n"/>
      <c r="L42" s="9" t="n"/>
      <c r="M42" s="9" t="n"/>
      <c r="N42" s="10" t="n"/>
      <c r="O42" s="9" t="n"/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  <c r="I43" s="9" t="n"/>
      <c r="J43" s="9" t="n"/>
      <c r="K43" s="9" t="n"/>
      <c r="L43" s="9" t="n"/>
      <c r="M43" s="9" t="n"/>
      <c r="N43" s="10" t="n"/>
      <c r="O43" s="9" t="n"/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  <c r="I44" s="9" t="n"/>
      <c r="J44" s="9" t="n"/>
      <c r="K44" s="9" t="n"/>
      <c r="L44" s="9" t="n"/>
      <c r="M44" s="9" t="n"/>
      <c r="N44" s="10" t="n"/>
      <c r="O44" s="9" t="n"/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  <c r="I45" s="9" t="n"/>
      <c r="J45" s="9" t="n"/>
      <c r="K45" s="9" t="n"/>
      <c r="L45" s="9" t="n"/>
      <c r="M45" s="9" t="n"/>
      <c r="N45" s="10" t="n"/>
      <c r="O45" s="9" t="n"/>
    </row>
    <row r="46">
      <c r="A46" s="7" t="n"/>
      <c r="B46" s="8" t="n"/>
      <c r="C46" s="8" t="n"/>
      <c r="D46" s="8" t="n"/>
      <c r="E46" s="8" t="n"/>
      <c r="F46" s="8" t="n"/>
      <c r="G46" s="8" t="n"/>
      <c r="H46" s="8" t="n"/>
      <c r="I46" s="9" t="n"/>
      <c r="J46" s="9" t="n"/>
      <c r="K46" s="9" t="n"/>
      <c r="L46" s="9" t="n"/>
      <c r="M46" s="9" t="n"/>
      <c r="N46" s="10" t="n"/>
      <c r="O46" s="9" t="n"/>
    </row>
    <row r="47">
      <c r="A47" s="7" t="n"/>
      <c r="B47" s="8" t="n"/>
      <c r="C47" s="8" t="n"/>
      <c r="D47" s="8" t="n"/>
      <c r="E47" s="8" t="n"/>
      <c r="F47" s="8" t="n"/>
      <c r="G47" s="8" t="n"/>
      <c r="H47" s="8" t="n"/>
      <c r="I47" s="9" t="n"/>
      <c r="J47" s="9" t="n"/>
      <c r="K47" s="9" t="n"/>
      <c r="L47" s="9" t="n"/>
      <c r="M47" s="9" t="n"/>
      <c r="N47" s="10" t="n"/>
      <c r="O47" s="9" t="n"/>
    </row>
    <row r="48">
      <c r="A48" s="7" t="n"/>
      <c r="B48" s="8" t="n"/>
      <c r="C48" s="8" t="n"/>
      <c r="D48" s="8" t="n"/>
      <c r="E48" s="8" t="n"/>
      <c r="F48" s="8" t="n"/>
      <c r="G48" s="8" t="n"/>
      <c r="H48" s="8" t="n"/>
      <c r="I48" s="9" t="n"/>
      <c r="J48" s="9" t="n"/>
      <c r="K48" s="9" t="n"/>
      <c r="L48" s="9" t="n"/>
      <c r="M48" s="9" t="n"/>
      <c r="N48" s="10" t="n"/>
      <c r="O48" s="9" t="n"/>
    </row>
    <row r="49">
      <c r="A49" s="7" t="n"/>
      <c r="B49" s="8" t="n"/>
      <c r="C49" s="8" t="n"/>
      <c r="D49" s="8" t="n"/>
      <c r="E49" s="8" t="n"/>
      <c r="F49" s="8" t="n"/>
      <c r="G49" s="8" t="n"/>
      <c r="H49" s="8" t="n"/>
      <c r="I49" s="9" t="n"/>
      <c r="J49" s="9" t="n"/>
      <c r="K49" s="9" t="n"/>
      <c r="L49" s="9" t="n"/>
      <c r="M49" s="9" t="n"/>
      <c r="N49" s="10" t="n"/>
      <c r="O49" s="9" t="n"/>
    </row>
    <row r="50">
      <c r="A50" s="7" t="n"/>
      <c r="B50" s="8" t="n"/>
      <c r="C50" s="8" t="n"/>
      <c r="D50" s="8" t="n"/>
      <c r="E50" s="8" t="n"/>
      <c r="F50" s="8" t="n"/>
      <c r="G50" s="8" t="n"/>
      <c r="H50" s="8" t="n"/>
      <c r="I50" s="9" t="n"/>
      <c r="J50" s="9" t="n"/>
      <c r="K50" s="9" t="n"/>
      <c r="L50" s="9" t="n"/>
      <c r="M50" s="9" t="n"/>
      <c r="N50" s="10" t="n"/>
      <c r="O50" s="9" t="n"/>
    </row>
    <row r="51">
      <c r="A51" s="7" t="n"/>
      <c r="B51" s="8" t="n"/>
      <c r="C51" s="8" t="n"/>
      <c r="D51" s="8" t="n"/>
      <c r="E51" s="8" t="n"/>
      <c r="F51" s="8" t="n"/>
      <c r="G51" s="8" t="n"/>
      <c r="H51" s="8" t="n"/>
      <c r="I51" s="9" t="n"/>
      <c r="J51" s="9" t="n"/>
      <c r="K51" s="9" t="n"/>
      <c r="L51" s="9" t="n"/>
      <c r="M51" s="9" t="n"/>
      <c r="N51" s="10" t="n"/>
      <c r="O51" s="9" t="n"/>
    </row>
    <row r="52">
      <c r="A52" s="7" t="n"/>
      <c r="B52" s="8" t="n"/>
      <c r="C52" s="8" t="n"/>
      <c r="D52" s="8" t="n"/>
      <c r="E52" s="8" t="n"/>
      <c r="F52" s="8" t="n"/>
      <c r="G52" s="8" t="n"/>
      <c r="H52" s="8" t="n"/>
      <c r="I52" s="9" t="n"/>
      <c r="J52" s="9" t="n"/>
      <c r="K52" s="9" t="n"/>
      <c r="L52" s="9" t="n"/>
      <c r="M52" s="9" t="n"/>
      <c r="N52" s="10" t="n"/>
      <c r="O52" s="9" t="n"/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  <c r="I53" s="9" t="n"/>
      <c r="J53" s="9" t="n"/>
      <c r="K53" s="9" t="n"/>
      <c r="L53" s="9" t="n"/>
      <c r="M53" s="9" t="n"/>
      <c r="N53" s="10" t="n"/>
      <c r="O53" s="9" t="n"/>
    </row>
    <row r="54">
      <c r="A54" s="7" t="n"/>
      <c r="B54" s="8" t="n"/>
      <c r="C54" s="8" t="n"/>
      <c r="D54" s="8" t="n"/>
      <c r="E54" s="8" t="n"/>
      <c r="F54" s="8" t="n"/>
      <c r="G54" s="8" t="n"/>
      <c r="H54" s="8" t="n"/>
      <c r="I54" s="9" t="n"/>
      <c r="J54" s="9" t="n"/>
      <c r="K54" s="9" t="n"/>
      <c r="L54" s="9" t="n"/>
      <c r="M54" s="9" t="n"/>
      <c r="N54" s="10" t="n"/>
      <c r="O54" s="9" t="n"/>
    </row>
    <row r="55">
      <c r="A55" s="7" t="n"/>
      <c r="B55" s="8" t="n"/>
      <c r="C55" s="8" t="n"/>
      <c r="D55" s="8" t="n"/>
      <c r="E55" s="8" t="n"/>
      <c r="F55" s="8" t="n"/>
      <c r="G55" s="8" t="n"/>
      <c r="H55" s="8" t="n"/>
      <c r="I55" s="9" t="n"/>
      <c r="J55" s="9" t="n"/>
      <c r="K55" s="9" t="n"/>
      <c r="L55" s="9" t="n"/>
      <c r="M55" s="9" t="n"/>
      <c r="N55" s="10" t="n"/>
      <c r="O55" s="9" t="n"/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  <c r="I56" s="9" t="n"/>
      <c r="J56" s="9" t="n"/>
      <c r="K56" s="9" t="n"/>
      <c r="L56" s="9" t="n"/>
      <c r="M56" s="9" t="n"/>
      <c r="N56" s="10" t="n"/>
      <c r="O56" s="9" t="n"/>
    </row>
    <row r="57">
      <c r="A57" s="7" t="n"/>
      <c r="B57" s="8" t="n"/>
      <c r="C57" s="8" t="n"/>
      <c r="D57" s="8" t="n"/>
      <c r="E57" s="8" t="n"/>
      <c r="F57" s="8" t="n"/>
      <c r="G57" s="8" t="n"/>
      <c r="H57" s="8" t="n"/>
      <c r="I57" s="9" t="n"/>
      <c r="J57" s="9" t="n"/>
      <c r="K57" s="9" t="n"/>
      <c r="L57" s="9" t="n"/>
      <c r="M57" s="9" t="n"/>
      <c r="N57" s="10" t="n"/>
      <c r="O57" s="9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  <c r="I58" s="9" t="n"/>
      <c r="J58" s="9" t="n"/>
      <c r="K58" s="9" t="n"/>
      <c r="L58" s="9" t="n"/>
      <c r="M58" s="9" t="n"/>
      <c r="N58" s="10" t="n"/>
      <c r="O58" s="9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  <c r="I59" s="9" t="n"/>
      <c r="J59" s="9" t="n"/>
      <c r="K59" s="9" t="n"/>
      <c r="L59" s="9" t="n"/>
      <c r="M59" s="9" t="n"/>
      <c r="N59" s="10" t="n"/>
      <c r="O59" s="9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  <c r="I60" s="9" t="n"/>
      <c r="J60" s="9" t="n"/>
      <c r="K60" s="9" t="n"/>
      <c r="L60" s="9" t="n"/>
      <c r="M60" s="9" t="n"/>
      <c r="N60" s="10" t="n"/>
      <c r="O60" s="9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  <c r="I61" s="9" t="n"/>
      <c r="J61" s="9" t="n"/>
      <c r="K61" s="9" t="n"/>
      <c r="L61" s="9" t="n"/>
      <c r="M61" s="9" t="n"/>
      <c r="N61" s="10" t="n"/>
      <c r="O61" s="9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  <c r="I62" s="9" t="n"/>
      <c r="J62" s="9" t="n"/>
      <c r="K62" s="9" t="n"/>
      <c r="L62" s="9" t="n"/>
      <c r="M62" s="9" t="n"/>
      <c r="N62" s="10" t="n"/>
      <c r="O62" s="9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  <c r="I63" s="9" t="n"/>
      <c r="J63" s="9" t="n"/>
      <c r="K63" s="9" t="n"/>
      <c r="L63" s="9" t="n"/>
      <c r="M63" s="9" t="n"/>
      <c r="N63" s="10" t="n"/>
      <c r="O63" s="9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  <c r="I64" s="9" t="n"/>
      <c r="J64" s="9" t="n"/>
      <c r="K64" s="9" t="n"/>
      <c r="L64" s="9" t="n"/>
      <c r="M64" s="9" t="n"/>
      <c r="N64" s="10" t="n"/>
      <c r="O64" s="9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  <c r="I65" s="9" t="n"/>
      <c r="J65" s="9" t="n"/>
      <c r="K65" s="9" t="n"/>
      <c r="L65" s="9" t="n"/>
      <c r="M65" s="9" t="n"/>
      <c r="N65" s="10" t="n"/>
      <c r="O65" s="9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  <c r="I66" s="9" t="n"/>
      <c r="J66" s="9" t="n"/>
      <c r="K66" s="9" t="n"/>
      <c r="L66" s="9" t="n"/>
      <c r="M66" s="9" t="n"/>
      <c r="N66" s="10" t="n"/>
      <c r="O66" s="9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  <c r="I67" s="9" t="n"/>
      <c r="J67" s="9" t="n"/>
      <c r="K67" s="9" t="n"/>
      <c r="L67" s="9" t="n"/>
      <c r="M67" s="9" t="n"/>
      <c r="N67" s="10" t="n"/>
      <c r="O67" s="9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  <c r="I68" s="9" t="n"/>
      <c r="J68" s="9" t="n"/>
      <c r="K68" s="9" t="n"/>
      <c r="L68" s="9" t="n"/>
      <c r="M68" s="9" t="n"/>
      <c r="N68" s="10" t="n"/>
      <c r="O68" s="9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  <c r="I69" s="9" t="n"/>
      <c r="J69" s="9" t="n"/>
      <c r="K69" s="9" t="n"/>
      <c r="L69" s="9" t="n"/>
      <c r="M69" s="9" t="n"/>
      <c r="N69" s="10" t="n"/>
      <c r="O69" s="9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  <c r="I70" s="9" t="n"/>
      <c r="J70" s="9" t="n"/>
      <c r="K70" s="9" t="n"/>
      <c r="L70" s="9" t="n"/>
      <c r="M70" s="9" t="n"/>
      <c r="N70" s="10" t="n"/>
      <c r="O70" s="9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  <c r="I71" s="9" t="n"/>
      <c r="J71" s="9" t="n"/>
      <c r="K71" s="9" t="n"/>
      <c r="L71" s="9" t="n"/>
      <c r="M71" s="9" t="n"/>
      <c r="N71" s="10" t="n"/>
      <c r="O71" s="9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  <c r="I72" s="9" t="n"/>
      <c r="J72" s="9" t="n"/>
      <c r="K72" s="9" t="n"/>
      <c r="L72" s="9" t="n"/>
      <c r="M72" s="9" t="n"/>
      <c r="N72" s="10" t="n"/>
      <c r="O72" s="9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  <c r="I73" s="9" t="n"/>
      <c r="J73" s="9" t="n"/>
      <c r="K73" s="9" t="n"/>
      <c r="L73" s="9" t="n"/>
      <c r="M73" s="9" t="n"/>
      <c r="N73" s="10" t="n"/>
      <c r="O73" s="9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  <c r="I74" s="9" t="n"/>
      <c r="J74" s="9" t="n"/>
      <c r="K74" s="9" t="n"/>
      <c r="L74" s="9" t="n"/>
      <c r="M74" s="9" t="n"/>
      <c r="N74" s="10" t="n"/>
      <c r="O74" s="9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  <c r="I75" s="9" t="n"/>
      <c r="J75" s="9" t="n"/>
      <c r="K75" s="9" t="n"/>
      <c r="L75" s="9" t="n"/>
      <c r="M75" s="9" t="n"/>
      <c r="N75" s="10" t="n"/>
      <c r="O75" s="9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  <c r="I76" s="9" t="n"/>
      <c r="J76" s="9" t="n"/>
      <c r="K76" s="9" t="n"/>
      <c r="L76" s="9" t="n"/>
      <c r="M76" s="9" t="n"/>
      <c r="N76" s="10" t="n"/>
      <c r="O76" s="9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  <c r="I77" s="9" t="n"/>
      <c r="J77" s="9" t="n"/>
      <c r="K77" s="9" t="n"/>
      <c r="L77" s="9" t="n"/>
      <c r="M77" s="9" t="n"/>
      <c r="N77" s="10" t="n"/>
      <c r="O77" s="9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  <c r="I78" s="9" t="n"/>
      <c r="J78" s="9" t="n"/>
      <c r="K78" s="9" t="n"/>
      <c r="L78" s="9" t="n"/>
      <c r="M78" s="9" t="n"/>
      <c r="N78" s="10" t="n"/>
      <c r="O78" s="9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  <c r="I79" s="9" t="n"/>
      <c r="J79" s="9" t="n"/>
      <c r="K79" s="9" t="n"/>
      <c r="L79" s="9" t="n"/>
      <c r="M79" s="9" t="n"/>
      <c r="N79" s="10" t="n"/>
      <c r="O79" s="9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  <c r="I80" s="9" t="n"/>
      <c r="J80" s="9" t="n"/>
      <c r="K80" s="9" t="n"/>
      <c r="L80" s="9" t="n"/>
      <c r="M80" s="9" t="n"/>
      <c r="N80" s="10" t="n"/>
      <c r="O80" s="9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  <c r="I81" s="9" t="n"/>
      <c r="J81" s="9" t="n"/>
      <c r="K81" s="9" t="n"/>
      <c r="L81" s="9" t="n"/>
      <c r="M81" s="9" t="n"/>
      <c r="N81" s="10" t="n"/>
      <c r="O81" s="9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  <c r="I82" s="9" t="n"/>
      <c r="J82" s="9" t="n"/>
      <c r="K82" s="9" t="n"/>
      <c r="L82" s="9" t="n"/>
      <c r="M82" s="9" t="n"/>
      <c r="N82" s="10" t="n"/>
      <c r="O82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8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22" customWidth="1" min="4" max="4"/>
    <col width="30" customWidth="1" min="5" max="5"/>
    <col width="12" customWidth="1" min="6" max="6"/>
    <col width="30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8" customWidth="1" min="14" max="14"/>
    <col width="16" customWidth="1" min="15" max="15"/>
    <col width="22" customWidth="1" min="17" max="17"/>
    <col width="14" customWidth="1" min="18" max="18"/>
    <col width="16" customWidth="1" min="19" max="19"/>
    <col width="2" customWidth="1" min="20" max="20"/>
    <col width="32" customWidth="1" min="21" max="21"/>
    <col width="22" customWidth="1" min="22" max="22"/>
    <col width="14" customWidth="1" min="23" max="23"/>
    <col width="16" customWidth="1" min="24" max="24"/>
  </cols>
  <sheetData>
    <row r="1" ht="28" customHeight="1">
      <c r="A1" s="1" t="inlineStr">
        <is>
          <t>SELETIVA MARINGÁ</t>
        </is>
      </c>
      <c r="B1" s="1" t="inlineStr">
        <is>
          <t>FOLHA DE PAGAMENTO ABRIL/2026</t>
        </is>
      </c>
      <c r="I1" s="2">
        <f>SUMIFS(tbl_dados[Provisão de Férias + 13°],tbl_dados[Tomador],$A$1)</f>
        <v/>
      </c>
      <c r="J1" s="2">
        <f>SUMIFS(tbl_dados[Provisão de Encargos],tbl_dados[Tomador],$A$1)</f>
        <v/>
      </c>
      <c r="K1" s="1" t="inlineStr">
        <is>
          <t>Soma</t>
        </is>
      </c>
      <c r="M1" s="2">
        <f>SUMIFS(tbl_dados[TT BRUTO ABRIL],tbl_dados[Tomador],$A$1)</f>
        <v/>
      </c>
      <c r="O1" s="2">
        <f>SUMIFS(tbl_dados[TT BRUTO MARÇO],tbl_dados[Tomador],$A$1)</f>
        <v/>
      </c>
    </row>
    <row r="2" ht="36" customHeight="1">
      <c r="A2" s="3" t="inlineStr">
        <is>
          <t>Qtde</t>
        </is>
      </c>
      <c r="B2" s="3" t="inlineStr">
        <is>
          <t>FUNCIONÁRIO</t>
        </is>
      </c>
      <c r="C2" s="3" t="inlineStr">
        <is>
          <t>Tipo</t>
        </is>
      </c>
      <c r="D2" s="3" t="inlineStr">
        <is>
          <t>Setor</t>
        </is>
      </c>
      <c r="E2" s="3" t="inlineStr">
        <is>
          <t xml:space="preserve">Função </t>
        </is>
      </c>
      <c r="F2" s="3" t="inlineStr">
        <is>
          <t>Status</t>
        </is>
      </c>
      <c r="G2" s="3" t="inlineStr">
        <is>
          <t>Empresa Registro</t>
        </is>
      </c>
      <c r="H2" s="3" t="inlineStr">
        <is>
          <t>CNPJ</t>
        </is>
      </c>
      <c r="I2" s="3" t="inlineStr">
        <is>
          <t>Provisão
de Férias + 13°</t>
        </is>
      </c>
      <c r="J2" s="3" t="inlineStr">
        <is>
          <t>Provisão 
de Encargos</t>
        </is>
      </c>
      <c r="K2" s="3" t="inlineStr">
        <is>
          <t>Eventos Folha
(Caixa)</t>
        </is>
      </c>
      <c r="L2" s="3" t="inlineStr">
        <is>
          <t>Sal PF</t>
        </is>
      </c>
      <c r="M2" s="3" t="inlineStr">
        <is>
          <t>TT BRUTO
ABRIL</t>
        </is>
      </c>
      <c r="N2" s="3" t="inlineStr">
        <is>
          <t>%</t>
        </is>
      </c>
      <c r="O2" s="3" t="inlineStr">
        <is>
          <t>TT BRUTO
MARÇO</t>
        </is>
      </c>
      <c r="Q2" s="3" t="inlineStr">
        <is>
          <t>MODALIDADE</t>
        </is>
      </c>
      <c r="R2" s="3" t="inlineStr">
        <is>
          <t>FUNCIONÁRIOS</t>
        </is>
      </c>
      <c r="S2" s="3" t="inlineStr">
        <is>
          <t>TT BRUTO</t>
        </is>
      </c>
      <c r="U2" s="3" t="inlineStr">
        <is>
          <t>EMPRESA</t>
        </is>
      </c>
      <c r="V2" s="3" t="inlineStr">
        <is>
          <t>CNPJ</t>
        </is>
      </c>
      <c r="W2" s="3" t="inlineStr">
        <is>
          <t>FUNCIONÁRIOS</t>
        </is>
      </c>
      <c r="X2" s="3" t="inlineStr">
        <is>
          <t>TT BRUTO</t>
        </is>
      </c>
    </row>
    <row r="3">
      <c r="A3" s="7">
        <f>IFERROR(_xlfn.SEQUENCE(ROWS(B3#)),"")</f>
        <v/>
      </c>
      <c r="B3" s="8">
        <f>IFERROR(_xlfn._xlws.SORT(_xlfn._xlws.FILTER(tbl_dados[[FUNCIONÁRIO]:[TT BRUTO ABRIL]],tbl_dados[Tomador]=$A$1),12,-1),"")</f>
        <v/>
      </c>
      <c r="C3" s="8" t="n"/>
      <c r="D3" s="8" t="n"/>
      <c r="E3" s="8" t="n"/>
      <c r="F3" s="8" t="n"/>
      <c r="G3" s="8" t="n"/>
      <c r="H3" s="8" t="n"/>
      <c r="I3" s="9" t="n"/>
      <c r="J3" s="9" t="n"/>
      <c r="K3" s="9" t="n"/>
      <c r="L3" s="9" t="n"/>
      <c r="M3" s="9" t="n"/>
      <c r="N3" s="10">
        <f>IFERROR(INDEX(B3#,,12)/$M$1,"")</f>
        <v/>
      </c>
      <c r="O3" s="9">
        <f>IFERROR(INDEX(_xlfn._xlws.SORT(_xlfn._xlws.FILTER(tbl_dados[[FUNCIONÁRIO]:[TT BRUTO MARÇO]],tbl_dados[Tomador]=$A$1),12,-1),,13),"")</f>
        <v/>
      </c>
      <c r="Q3" s="8">
        <f>IFERROR(_xlfn.UNIQUE(_xlfn._xlws.FILTER(tbl_dados[Tipo],tbl_dados[Tomador]=$A$1)),"")</f>
        <v/>
      </c>
      <c r="R3" s="7">
        <f>IFERROR(_xlfn.BYROW(Q3#,_xlfn.LAMBDA(_x,COUNTIFS(tbl_dados[Tomador],$A$1,tbl_dados[Tipo],_x))),"")</f>
        <v/>
      </c>
      <c r="S3" s="9">
        <f>IFERROR(_xlfn.BYROW(Q3#,_xlfn.LAMBDA(_x,SUMIFS(tbl_dados[TT BRUTO ABRIL],tbl_dados[Tomador],$A$1,tbl_dados[Tipo],_x))),"")</f>
        <v/>
      </c>
      <c r="U3" s="8">
        <f>IFERROR(_xlfn.UNIQUE(_xlfn._xlws.FILTER(tbl_dados[Empresa Registro],tbl_dados[Tomador]=$A$1)),"")</f>
        <v/>
      </c>
      <c r="V3" s="11">
        <f>IFERROR(_xlfn.BYROW(U3#,_xlfn.LAMBDA(_x,IFERROR(INDEX(tbl_dados[CNPJ],MATCH(_x,tbl_dados[Empresa Registro],0)),""))),"")</f>
        <v/>
      </c>
      <c r="W3" s="7">
        <f>IFERROR(_xlfn.BYROW(U3#,_xlfn.LAMBDA(_x,COUNTIFS(tbl_dados[Tomador],$A$1,tbl_dados[Empresa Registro],_x))),"")</f>
        <v/>
      </c>
      <c r="X3" s="9">
        <f>IFERROR(_xlfn.BYROW(U3#,_xlfn.LAMBDA(_x,SUMIFS(tbl_dados[TT BRUTO ABRIL],tbl_dados[Tomador],$A$1,tbl_dados[Empresa Registro],_x))),"")</f>
        <v/>
      </c>
    </row>
    <row r="4">
      <c r="A4" s="7" t="n"/>
      <c r="B4" s="8" t="n"/>
      <c r="C4" s="8" t="n"/>
      <c r="D4" s="8" t="n"/>
      <c r="E4" s="8" t="n"/>
      <c r="F4" s="8" t="n"/>
      <c r="G4" s="8" t="n"/>
      <c r="H4" s="8" t="n"/>
      <c r="I4" s="9" t="n"/>
      <c r="J4" s="9" t="n"/>
      <c r="K4" s="9" t="n"/>
      <c r="L4" s="9" t="n"/>
      <c r="M4" s="9" t="n"/>
      <c r="N4" s="10" t="n"/>
      <c r="O4" s="9" t="n"/>
      <c r="Q4" s="8" t="n"/>
      <c r="R4" s="7" t="n"/>
      <c r="S4" s="9" t="n"/>
      <c r="U4" s="8" t="n"/>
      <c r="V4" s="11" t="n"/>
      <c r="W4" s="7" t="n"/>
      <c r="X4" s="9" t="n"/>
    </row>
    <row r="5">
      <c r="A5" s="7" t="n"/>
      <c r="B5" s="8" t="n"/>
      <c r="C5" s="8" t="n"/>
      <c r="D5" s="8" t="n"/>
      <c r="E5" s="8" t="n"/>
      <c r="F5" s="8" t="n"/>
      <c r="G5" s="8" t="n"/>
      <c r="H5" s="8" t="n"/>
      <c r="I5" s="9" t="n"/>
      <c r="J5" s="9" t="n"/>
      <c r="K5" s="9" t="n"/>
      <c r="L5" s="9" t="n"/>
      <c r="M5" s="9" t="n"/>
      <c r="N5" s="10" t="n"/>
      <c r="O5" s="9" t="n"/>
      <c r="Q5" s="8" t="n"/>
      <c r="R5" s="7" t="n"/>
      <c r="S5" s="9" t="n"/>
      <c r="U5" s="8" t="n"/>
      <c r="V5" s="11" t="n"/>
      <c r="W5" s="7" t="n"/>
      <c r="X5" s="9" t="n"/>
    </row>
    <row r="6">
      <c r="A6" s="7" t="n"/>
      <c r="B6" s="8" t="n"/>
      <c r="C6" s="8" t="n"/>
      <c r="D6" s="8" t="n"/>
      <c r="E6" s="8" t="n"/>
      <c r="F6" s="8" t="n"/>
      <c r="G6" s="8" t="n"/>
      <c r="H6" s="8" t="n"/>
      <c r="I6" s="9" t="n"/>
      <c r="J6" s="9" t="n"/>
      <c r="K6" s="9" t="n"/>
      <c r="L6" s="9" t="n"/>
      <c r="M6" s="9" t="n"/>
      <c r="N6" s="10" t="n"/>
      <c r="O6" s="9" t="n"/>
      <c r="Q6" s="8" t="n"/>
      <c r="R6" s="7" t="n"/>
      <c r="S6" s="9" t="n"/>
      <c r="U6" s="8" t="n"/>
      <c r="V6" s="11" t="n"/>
      <c r="W6" s="7" t="n"/>
      <c r="X6" s="9" t="n"/>
    </row>
    <row r="7">
      <c r="A7" s="7" t="n"/>
      <c r="B7" s="8" t="n"/>
      <c r="C7" s="8" t="n"/>
      <c r="D7" s="8" t="n"/>
      <c r="E7" s="8" t="n"/>
      <c r="F7" s="8" t="n"/>
      <c r="G7" s="8" t="n"/>
      <c r="H7" s="8" t="n"/>
      <c r="I7" s="9" t="n"/>
      <c r="J7" s="9" t="n"/>
      <c r="K7" s="9" t="n"/>
      <c r="L7" s="9" t="n"/>
      <c r="M7" s="9" t="n"/>
      <c r="N7" s="10" t="n"/>
      <c r="O7" s="9" t="n"/>
      <c r="Q7" s="8" t="n"/>
      <c r="R7" s="7" t="n"/>
      <c r="S7" s="9" t="n"/>
      <c r="U7" s="8" t="n"/>
      <c r="V7" s="11" t="n"/>
      <c r="W7" s="7" t="n"/>
      <c r="X7" s="9" t="n"/>
    </row>
    <row r="8">
      <c r="A8" s="7" t="n"/>
      <c r="B8" s="8" t="n"/>
      <c r="C8" s="8" t="n"/>
      <c r="D8" s="8" t="n"/>
      <c r="E8" s="8" t="n"/>
      <c r="F8" s="8" t="n"/>
      <c r="G8" s="8" t="n"/>
      <c r="H8" s="8" t="n"/>
      <c r="I8" s="9" t="n"/>
      <c r="J8" s="9" t="n"/>
      <c r="K8" s="9" t="n"/>
      <c r="L8" s="9" t="n"/>
      <c r="M8" s="9" t="n"/>
      <c r="N8" s="10" t="n"/>
      <c r="O8" s="9" t="n"/>
      <c r="Q8" s="8" t="n"/>
      <c r="R8" s="7" t="n"/>
      <c r="S8" s="9" t="n"/>
      <c r="U8" s="8" t="n"/>
      <c r="V8" s="11" t="n"/>
      <c r="W8" s="7" t="n"/>
      <c r="X8" s="9" t="n"/>
    </row>
    <row r="9">
      <c r="A9" s="7" t="n"/>
      <c r="B9" s="8" t="n"/>
      <c r="C9" s="8" t="n"/>
      <c r="D9" s="8" t="n"/>
      <c r="E9" s="8" t="n"/>
      <c r="F9" s="8" t="n"/>
      <c r="G9" s="8" t="n"/>
      <c r="H9" s="8" t="n"/>
      <c r="I9" s="9" t="n"/>
      <c r="J9" s="9" t="n"/>
      <c r="K9" s="9" t="n"/>
      <c r="L9" s="9" t="n"/>
      <c r="M9" s="9" t="n"/>
      <c r="N9" s="10" t="n"/>
      <c r="O9" s="9" t="n"/>
      <c r="Q9" s="8" t="n"/>
      <c r="R9" s="7" t="n"/>
      <c r="S9" s="9" t="n"/>
      <c r="U9" s="8" t="n"/>
      <c r="V9" s="11" t="n"/>
      <c r="W9" s="7" t="n"/>
      <c r="X9" s="9" t="n"/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  <c r="I10" s="9" t="n"/>
      <c r="J10" s="9" t="n"/>
      <c r="K10" s="9" t="n"/>
      <c r="L10" s="9" t="n"/>
      <c r="M10" s="9" t="n"/>
      <c r="N10" s="10" t="n"/>
      <c r="O10" s="9" t="n"/>
      <c r="Q10" s="8" t="n"/>
      <c r="R10" s="7" t="n"/>
      <c r="S10" s="9" t="n"/>
      <c r="U10" s="8" t="n"/>
      <c r="V10" s="11" t="n"/>
      <c r="W10" s="7" t="n"/>
      <c r="X10" s="9" t="n"/>
    </row>
    <row r="11">
      <c r="A11" s="7" t="n"/>
      <c r="B11" s="8" t="n"/>
      <c r="C11" s="8" t="n"/>
      <c r="D11" s="8" t="n"/>
      <c r="E11" s="8" t="n"/>
      <c r="F11" s="8" t="n"/>
      <c r="G11" s="8" t="n"/>
      <c r="H11" s="8" t="n"/>
      <c r="I11" s="9" t="n"/>
      <c r="J11" s="9" t="n"/>
      <c r="K11" s="9" t="n"/>
      <c r="L11" s="9" t="n"/>
      <c r="M11" s="9" t="n"/>
      <c r="N11" s="10" t="n"/>
      <c r="O11" s="9" t="n"/>
      <c r="Q11" s="8" t="n"/>
      <c r="R11" s="7" t="n"/>
      <c r="S11" s="9" t="n"/>
      <c r="U11" s="8" t="n"/>
      <c r="V11" s="11" t="n"/>
      <c r="W11" s="7" t="n"/>
      <c r="X11" s="9" t="n"/>
    </row>
    <row r="12">
      <c r="A12" s="7" t="n"/>
      <c r="B12" s="8" t="n"/>
      <c r="C12" s="8" t="n"/>
      <c r="D12" s="8" t="n"/>
      <c r="E12" s="8" t="n"/>
      <c r="F12" s="8" t="n"/>
      <c r="G12" s="8" t="n"/>
      <c r="H12" s="8" t="n"/>
      <c r="I12" s="9" t="n"/>
      <c r="J12" s="9" t="n"/>
      <c r="K12" s="9" t="n"/>
      <c r="L12" s="9" t="n"/>
      <c r="M12" s="9" t="n"/>
      <c r="N12" s="10" t="n"/>
      <c r="O12" s="9" t="n"/>
      <c r="Q12" s="8" t="n"/>
      <c r="R12" s="7" t="n"/>
      <c r="S12" s="9" t="n"/>
      <c r="U12" s="8" t="n"/>
      <c r="V12" s="11" t="n"/>
      <c r="W12" s="7" t="n"/>
      <c r="X12" s="9" t="n"/>
    </row>
    <row r="13">
      <c r="A13" s="7" t="n"/>
      <c r="B13" s="8" t="n"/>
      <c r="C13" s="8" t="n"/>
      <c r="D13" s="8" t="n"/>
      <c r="E13" s="8" t="n"/>
      <c r="F13" s="8" t="n"/>
      <c r="G13" s="8" t="n"/>
      <c r="H13" s="8" t="n"/>
      <c r="I13" s="9" t="n"/>
      <c r="J13" s="9" t="n"/>
      <c r="K13" s="9" t="n"/>
      <c r="L13" s="9" t="n"/>
      <c r="M13" s="9" t="n"/>
      <c r="N13" s="10" t="n"/>
      <c r="O13" s="9" t="n"/>
      <c r="Q13" s="8" t="n"/>
      <c r="R13" s="7" t="n"/>
      <c r="S13" s="9" t="n"/>
      <c r="U13" s="8" t="n"/>
      <c r="V13" s="11" t="n"/>
      <c r="W13" s="7" t="n"/>
      <c r="X13" s="9" t="n"/>
    </row>
    <row r="14">
      <c r="A14" s="7" t="n"/>
      <c r="B14" s="8" t="n"/>
      <c r="C14" s="8" t="n"/>
      <c r="D14" s="8" t="n"/>
      <c r="E14" s="8" t="n"/>
      <c r="F14" s="8" t="n"/>
      <c r="G14" s="8" t="n"/>
      <c r="H14" s="8" t="n"/>
      <c r="I14" s="9" t="n"/>
      <c r="J14" s="9" t="n"/>
      <c r="K14" s="9" t="n"/>
      <c r="L14" s="9" t="n"/>
      <c r="M14" s="9" t="n"/>
      <c r="N14" s="10" t="n"/>
      <c r="O14" s="9" t="n"/>
      <c r="Q14" s="8" t="n"/>
      <c r="R14" s="7" t="n"/>
      <c r="S14" s="9" t="n"/>
      <c r="U14" s="8" t="n"/>
      <c r="V14" s="11" t="n"/>
      <c r="W14" s="7" t="n"/>
      <c r="X14" s="9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9" t="n"/>
      <c r="J15" s="9" t="n"/>
      <c r="K15" s="9" t="n"/>
      <c r="L15" s="9" t="n"/>
      <c r="M15" s="9" t="n"/>
      <c r="N15" s="10" t="n"/>
      <c r="O15" s="9" t="n"/>
      <c r="Q15" s="8" t="n"/>
      <c r="R15" s="7" t="n"/>
      <c r="S15" s="9" t="n"/>
      <c r="U15" s="8" t="n"/>
      <c r="V15" s="11" t="n"/>
      <c r="W15" s="7" t="n"/>
      <c r="X15" s="9" t="n"/>
    </row>
    <row r="16">
      <c r="A16" s="7" t="n"/>
      <c r="B16" s="8" t="n"/>
      <c r="C16" s="8" t="n"/>
      <c r="D16" s="8" t="n"/>
      <c r="E16" s="8" t="n"/>
      <c r="F16" s="8" t="n"/>
      <c r="G16" s="8" t="n"/>
      <c r="H16" s="8" t="n"/>
      <c r="I16" s="9" t="n"/>
      <c r="J16" s="9" t="n"/>
      <c r="K16" s="9" t="n"/>
      <c r="L16" s="9" t="n"/>
      <c r="M16" s="9" t="n"/>
      <c r="N16" s="10" t="n"/>
      <c r="O16" s="9" t="n"/>
      <c r="Q16" s="8" t="n"/>
      <c r="R16" s="7" t="n"/>
      <c r="S16" s="9" t="n"/>
      <c r="U16" s="8" t="n"/>
      <c r="V16" s="11" t="n"/>
      <c r="W16" s="7" t="n"/>
      <c r="X16" s="9" t="n"/>
    </row>
    <row r="17">
      <c r="A17" s="7" t="n"/>
      <c r="B17" s="8" t="n"/>
      <c r="C17" s="8" t="n"/>
      <c r="D17" s="8" t="n"/>
      <c r="E17" s="8" t="n"/>
      <c r="F17" s="8" t="n"/>
      <c r="G17" s="8" t="n"/>
      <c r="H17" s="8" t="n"/>
      <c r="I17" s="9" t="n"/>
      <c r="J17" s="9" t="n"/>
      <c r="K17" s="9" t="n"/>
      <c r="L17" s="9" t="n"/>
      <c r="M17" s="9" t="n"/>
      <c r="N17" s="10" t="n"/>
      <c r="O17" s="9" t="n"/>
      <c r="Q17" s="8" t="n"/>
      <c r="R17" s="7" t="n"/>
      <c r="S17" s="9" t="n"/>
      <c r="U17" s="8" t="n"/>
      <c r="V17" s="11" t="n"/>
      <c r="W17" s="7" t="n"/>
      <c r="X17" s="9" t="n"/>
    </row>
    <row r="18">
      <c r="A18" s="7" t="n"/>
      <c r="B18" s="8" t="n"/>
      <c r="C18" s="8" t="n"/>
      <c r="D18" s="8" t="n"/>
      <c r="E18" s="8" t="n"/>
      <c r="F18" s="8" t="n"/>
      <c r="G18" s="8" t="n"/>
      <c r="H18" s="8" t="n"/>
      <c r="I18" s="9" t="n"/>
      <c r="J18" s="9" t="n"/>
      <c r="K18" s="9" t="n"/>
      <c r="L18" s="9" t="n"/>
      <c r="M18" s="9" t="n"/>
      <c r="N18" s="10" t="n"/>
      <c r="O18" s="9" t="n"/>
      <c r="Q18" s="8" t="n"/>
      <c r="R18" s="7" t="n"/>
      <c r="S18" s="9" t="n"/>
      <c r="U18" s="8" t="n"/>
      <c r="V18" s="11" t="n"/>
      <c r="W18" s="7" t="n"/>
      <c r="X18" s="9" t="n"/>
    </row>
    <row r="19">
      <c r="A19" s="7" t="n"/>
      <c r="B19" s="8" t="n"/>
      <c r="C19" s="8" t="n"/>
      <c r="D19" s="8" t="n"/>
      <c r="E19" s="8" t="n"/>
      <c r="F19" s="8" t="n"/>
      <c r="G19" s="8" t="n"/>
      <c r="H19" s="8" t="n"/>
      <c r="I19" s="9" t="n"/>
      <c r="J19" s="9" t="n"/>
      <c r="K19" s="9" t="n"/>
      <c r="L19" s="9" t="n"/>
      <c r="M19" s="9" t="n"/>
      <c r="N19" s="10" t="n"/>
      <c r="O19" s="9" t="n"/>
      <c r="Q19" s="8" t="n"/>
      <c r="R19" s="7" t="n"/>
      <c r="S19" s="9" t="n"/>
      <c r="U19" s="8" t="n"/>
      <c r="V19" s="11" t="n"/>
      <c r="W19" s="7" t="n"/>
      <c r="X19" s="9" t="n"/>
    </row>
    <row r="20">
      <c r="A20" s="7" t="n"/>
      <c r="B20" s="8" t="n"/>
      <c r="C20" s="8" t="n"/>
      <c r="D20" s="8" t="n"/>
      <c r="E20" s="8" t="n"/>
      <c r="F20" s="8" t="n"/>
      <c r="G20" s="8" t="n"/>
      <c r="H20" s="8" t="n"/>
      <c r="I20" s="9" t="n"/>
      <c r="J20" s="9" t="n"/>
      <c r="K20" s="9" t="n"/>
      <c r="L20" s="9" t="n"/>
      <c r="M20" s="9" t="n"/>
      <c r="N20" s="10" t="n"/>
      <c r="O20" s="9" t="n"/>
      <c r="Q20" s="8" t="n"/>
      <c r="R20" s="7" t="n"/>
      <c r="S20" s="9" t="n"/>
      <c r="U20" s="8" t="n"/>
      <c r="V20" s="11" t="n"/>
      <c r="W20" s="7" t="n"/>
      <c r="X20" s="9" t="n"/>
    </row>
    <row r="21">
      <c r="A21" s="7" t="n"/>
      <c r="B21" s="8" t="n"/>
      <c r="C21" s="8" t="n"/>
      <c r="D21" s="8" t="n"/>
      <c r="E21" s="8" t="n"/>
      <c r="F21" s="8" t="n"/>
      <c r="G21" s="8" t="n"/>
      <c r="H21" s="8" t="n"/>
      <c r="I21" s="9" t="n"/>
      <c r="J21" s="9" t="n"/>
      <c r="K21" s="9" t="n"/>
      <c r="L21" s="9" t="n"/>
      <c r="M21" s="9" t="n"/>
      <c r="N21" s="10" t="n"/>
      <c r="O21" s="9" t="n"/>
      <c r="Q21" s="8" t="n"/>
      <c r="R21" s="7" t="n"/>
      <c r="S21" s="9" t="n"/>
      <c r="U21" s="8" t="n"/>
      <c r="V21" s="11" t="n"/>
      <c r="W21" s="7" t="n"/>
      <c r="X21" s="9" t="n"/>
    </row>
    <row r="22">
      <c r="A22" s="7" t="n"/>
      <c r="B22" s="8" t="n"/>
      <c r="C22" s="8" t="n"/>
      <c r="D22" s="8" t="n"/>
      <c r="E22" s="8" t="n"/>
      <c r="F22" s="8" t="n"/>
      <c r="G22" s="8" t="n"/>
      <c r="H22" s="8" t="n"/>
      <c r="I22" s="9" t="n"/>
      <c r="J22" s="9" t="n"/>
      <c r="K22" s="9" t="n"/>
      <c r="L22" s="9" t="n"/>
      <c r="M22" s="9" t="n"/>
      <c r="N22" s="10" t="n"/>
      <c r="O22" s="9" t="n"/>
      <c r="Q22" s="8" t="n"/>
      <c r="R22" s="7" t="n"/>
      <c r="S22" s="9" t="n"/>
      <c r="U22" s="8" t="n"/>
      <c r="V22" s="11" t="n"/>
      <c r="W22" s="7" t="n"/>
      <c r="X22" s="9" t="n"/>
    </row>
    <row r="23">
      <c r="A23" s="7" t="n"/>
      <c r="B23" s="8" t="n"/>
      <c r="C23" s="8" t="n"/>
      <c r="D23" s="8" t="n"/>
      <c r="E23" s="8" t="n"/>
      <c r="F23" s="8" t="n"/>
      <c r="G23" s="8" t="n"/>
      <c r="H23" s="8" t="n"/>
      <c r="I23" s="9" t="n"/>
      <c r="J23" s="9" t="n"/>
      <c r="K23" s="9" t="n"/>
      <c r="L23" s="9" t="n"/>
      <c r="M23" s="9" t="n"/>
      <c r="N23" s="10" t="n"/>
      <c r="O23" s="9" t="n"/>
      <c r="Q23" s="8" t="n"/>
      <c r="R23" s="7" t="n"/>
      <c r="S23" s="9" t="n"/>
      <c r="U23" s="8" t="n"/>
      <c r="V23" s="11" t="n"/>
      <c r="W23" s="7" t="n"/>
      <c r="X23" s="9" t="n"/>
    </row>
    <row r="24">
      <c r="A24" s="7" t="n"/>
      <c r="B24" s="8" t="n"/>
      <c r="C24" s="8" t="n"/>
      <c r="D24" s="8" t="n"/>
      <c r="E24" s="8" t="n"/>
      <c r="F24" s="8" t="n"/>
      <c r="G24" s="8" t="n"/>
      <c r="H24" s="8" t="n"/>
      <c r="I24" s="9" t="n"/>
      <c r="J24" s="9" t="n"/>
      <c r="K24" s="9" t="n"/>
      <c r="L24" s="9" t="n"/>
      <c r="M24" s="9" t="n"/>
      <c r="N24" s="10" t="n"/>
      <c r="O24" s="9" t="n"/>
      <c r="Q24" s="8" t="n"/>
      <c r="R24" s="7" t="n"/>
      <c r="S24" s="9" t="n"/>
      <c r="U24" s="8" t="n"/>
      <c r="V24" s="11" t="n"/>
      <c r="W24" s="7" t="n"/>
      <c r="X24" s="9" t="n"/>
    </row>
    <row r="25">
      <c r="A25" s="7" t="n"/>
      <c r="B25" s="8" t="n"/>
      <c r="C25" s="8" t="n"/>
      <c r="D25" s="8" t="n"/>
      <c r="E25" s="8" t="n"/>
      <c r="F25" s="8" t="n"/>
      <c r="G25" s="8" t="n"/>
      <c r="H25" s="8" t="n"/>
      <c r="I25" s="9" t="n"/>
      <c r="J25" s="9" t="n"/>
      <c r="K25" s="9" t="n"/>
      <c r="L25" s="9" t="n"/>
      <c r="M25" s="9" t="n"/>
      <c r="N25" s="10" t="n"/>
      <c r="O25" s="9" t="n"/>
      <c r="Q25" s="8" t="n"/>
      <c r="R25" s="7" t="n"/>
      <c r="S25" s="9" t="n"/>
      <c r="U25" s="8" t="n"/>
      <c r="V25" s="11" t="n"/>
      <c r="W25" s="7" t="n"/>
      <c r="X25" s="9" t="n"/>
    </row>
    <row r="26">
      <c r="A26" s="7" t="n"/>
      <c r="B26" s="8" t="n"/>
      <c r="C26" s="8" t="n"/>
      <c r="D26" s="8" t="n"/>
      <c r="E26" s="8" t="n"/>
      <c r="F26" s="8" t="n"/>
      <c r="G26" s="8" t="n"/>
      <c r="H26" s="8" t="n"/>
      <c r="I26" s="9" t="n"/>
      <c r="J26" s="9" t="n"/>
      <c r="K26" s="9" t="n"/>
      <c r="L26" s="9" t="n"/>
      <c r="M26" s="9" t="n"/>
      <c r="N26" s="10" t="n"/>
      <c r="O26" s="9" t="n"/>
      <c r="Q26" s="8" t="n"/>
      <c r="R26" s="7" t="n"/>
      <c r="S26" s="9" t="n"/>
      <c r="U26" s="8" t="n"/>
      <c r="V26" s="11" t="n"/>
      <c r="W26" s="7" t="n"/>
      <c r="X26" s="9" t="n"/>
    </row>
    <row r="27">
      <c r="A27" s="7" t="n"/>
      <c r="B27" s="8" t="n"/>
      <c r="C27" s="8" t="n"/>
      <c r="D27" s="8" t="n"/>
      <c r="E27" s="8" t="n"/>
      <c r="F27" s="8" t="n"/>
      <c r="G27" s="8" t="n"/>
      <c r="H27" s="8" t="n"/>
      <c r="I27" s="9" t="n"/>
      <c r="J27" s="9" t="n"/>
      <c r="K27" s="9" t="n"/>
      <c r="L27" s="9" t="n"/>
      <c r="M27" s="9" t="n"/>
      <c r="N27" s="10" t="n"/>
      <c r="O27" s="9" t="n"/>
      <c r="Q27" s="8" t="n"/>
      <c r="R27" s="7" t="n"/>
      <c r="S27" s="9" t="n"/>
      <c r="U27" s="8" t="n"/>
      <c r="V27" s="11" t="n"/>
      <c r="W27" s="7" t="n"/>
      <c r="X27" s="9" t="n"/>
    </row>
    <row r="28">
      <c r="A28" s="7" t="n"/>
      <c r="B28" s="8" t="n"/>
      <c r="C28" s="8" t="n"/>
      <c r="D28" s="8" t="n"/>
      <c r="E28" s="8" t="n"/>
      <c r="F28" s="8" t="n"/>
      <c r="G28" s="8" t="n"/>
      <c r="H28" s="8" t="n"/>
      <c r="I28" s="9" t="n"/>
      <c r="J28" s="9" t="n"/>
      <c r="K28" s="9" t="n"/>
      <c r="L28" s="9" t="n"/>
      <c r="M28" s="9" t="n"/>
      <c r="N28" s="10" t="n"/>
      <c r="O28" s="9" t="n"/>
      <c r="Q28" s="8" t="n"/>
      <c r="R28" s="7" t="n"/>
      <c r="S28" s="9" t="n"/>
      <c r="U28" s="8" t="n"/>
      <c r="V28" s="11" t="n"/>
      <c r="W28" s="7" t="n"/>
      <c r="X28" s="9" t="n"/>
    </row>
    <row r="29">
      <c r="A29" s="7" t="n"/>
      <c r="B29" s="8" t="n"/>
      <c r="C29" s="8" t="n"/>
      <c r="D29" s="8" t="n"/>
      <c r="E29" s="8" t="n"/>
      <c r="F29" s="8" t="n"/>
      <c r="G29" s="8" t="n"/>
      <c r="H29" s="8" t="n"/>
      <c r="I29" s="9" t="n"/>
      <c r="J29" s="9" t="n"/>
      <c r="K29" s="9" t="n"/>
      <c r="L29" s="9" t="n"/>
      <c r="M29" s="9" t="n"/>
      <c r="N29" s="10" t="n"/>
      <c r="O29" s="9" t="n"/>
      <c r="Q29" s="8" t="n"/>
      <c r="R29" s="7" t="n"/>
      <c r="S29" s="9" t="n"/>
      <c r="U29" s="8" t="n"/>
      <c r="V29" s="11" t="n"/>
      <c r="W29" s="7" t="n"/>
      <c r="X29" s="9" t="n"/>
    </row>
    <row r="30">
      <c r="A30" s="7" t="n"/>
      <c r="B30" s="8" t="n"/>
      <c r="C30" s="8" t="n"/>
      <c r="D30" s="8" t="n"/>
      <c r="E30" s="8" t="n"/>
      <c r="F30" s="8" t="n"/>
      <c r="G30" s="8" t="n"/>
      <c r="H30" s="8" t="n"/>
      <c r="I30" s="9" t="n"/>
      <c r="J30" s="9" t="n"/>
      <c r="K30" s="9" t="n"/>
      <c r="L30" s="9" t="n"/>
      <c r="M30" s="9" t="n"/>
      <c r="N30" s="10" t="n"/>
      <c r="O30" s="9" t="n"/>
      <c r="Q30" s="8" t="n"/>
      <c r="R30" s="7" t="n"/>
      <c r="S30" s="9" t="n"/>
      <c r="U30" s="8" t="n"/>
      <c r="V30" s="11" t="n"/>
      <c r="W30" s="7" t="n"/>
      <c r="X30" s="9" t="n"/>
    </row>
    <row r="31">
      <c r="A31" s="7" t="n"/>
      <c r="B31" s="8" t="n"/>
      <c r="C31" s="8" t="n"/>
      <c r="D31" s="8" t="n"/>
      <c r="E31" s="8" t="n"/>
      <c r="F31" s="8" t="n"/>
      <c r="G31" s="8" t="n"/>
      <c r="H31" s="8" t="n"/>
      <c r="I31" s="9" t="n"/>
      <c r="J31" s="9" t="n"/>
      <c r="K31" s="9" t="n"/>
      <c r="L31" s="9" t="n"/>
      <c r="M31" s="9" t="n"/>
      <c r="N31" s="10" t="n"/>
      <c r="O31" s="9" t="n"/>
      <c r="Q31" s="8" t="n"/>
      <c r="R31" s="7" t="n"/>
      <c r="S31" s="9" t="n"/>
      <c r="U31" s="8" t="n"/>
      <c r="V31" s="11" t="n"/>
      <c r="W31" s="7" t="n"/>
      <c r="X31" s="9" t="n"/>
    </row>
    <row r="32">
      <c r="A32" s="7" t="n"/>
      <c r="B32" s="8" t="n"/>
      <c r="C32" s="8" t="n"/>
      <c r="D32" s="8" t="n"/>
      <c r="E32" s="8" t="n"/>
      <c r="F32" s="8" t="n"/>
      <c r="G32" s="8" t="n"/>
      <c r="H32" s="8" t="n"/>
      <c r="I32" s="9" t="n"/>
      <c r="J32" s="9" t="n"/>
      <c r="K32" s="9" t="n"/>
      <c r="L32" s="9" t="n"/>
      <c r="M32" s="9" t="n"/>
      <c r="N32" s="10" t="n"/>
      <c r="O32" s="9" t="n"/>
      <c r="Q32" s="8" t="n"/>
      <c r="R32" s="7" t="n"/>
      <c r="S32" s="9" t="n"/>
      <c r="U32" s="8" t="n"/>
      <c r="V32" s="11" t="n"/>
      <c r="W32" s="7" t="n"/>
      <c r="X32" s="9" t="n"/>
    </row>
    <row r="33">
      <c r="A33" s="7" t="n"/>
      <c r="B33" s="8" t="n"/>
      <c r="C33" s="8" t="n"/>
      <c r="D33" s="8" t="n"/>
      <c r="E33" s="8" t="n"/>
      <c r="F33" s="8" t="n"/>
      <c r="G33" s="8" t="n"/>
      <c r="H33" s="8" t="n"/>
      <c r="I33" s="9" t="n"/>
      <c r="J33" s="9" t="n"/>
      <c r="K33" s="9" t="n"/>
      <c r="L33" s="9" t="n"/>
      <c r="M33" s="9" t="n"/>
      <c r="N33" s="10" t="n"/>
      <c r="O33" s="9" t="n"/>
    </row>
    <row r="34">
      <c r="A34" s="7" t="n"/>
      <c r="B34" s="8" t="n"/>
      <c r="C34" s="8" t="n"/>
      <c r="D34" s="8" t="n"/>
      <c r="E34" s="8" t="n"/>
      <c r="F34" s="8" t="n"/>
      <c r="G34" s="8" t="n"/>
      <c r="H34" s="8" t="n"/>
      <c r="I34" s="9" t="n"/>
      <c r="J34" s="9" t="n"/>
      <c r="K34" s="9" t="n"/>
      <c r="L34" s="9" t="n"/>
      <c r="M34" s="9" t="n"/>
      <c r="N34" s="10" t="n"/>
      <c r="O34" s="9" t="n"/>
    </row>
    <row r="35">
      <c r="A35" s="7" t="n"/>
      <c r="B35" s="8" t="n"/>
      <c r="C35" s="8" t="n"/>
      <c r="D35" s="8" t="n"/>
      <c r="E35" s="8" t="n"/>
      <c r="F35" s="8" t="n"/>
      <c r="G35" s="8" t="n"/>
      <c r="H35" s="8" t="n"/>
      <c r="I35" s="9" t="n"/>
      <c r="J35" s="9" t="n"/>
      <c r="K35" s="9" t="n"/>
      <c r="L35" s="9" t="n"/>
      <c r="M35" s="9" t="n"/>
      <c r="N35" s="10" t="n"/>
      <c r="O35" s="9" t="n"/>
    </row>
    <row r="36">
      <c r="A36" s="7" t="n"/>
      <c r="B36" s="8" t="n"/>
      <c r="C36" s="8" t="n"/>
      <c r="D36" s="8" t="n"/>
      <c r="E36" s="8" t="n"/>
      <c r="F36" s="8" t="n"/>
      <c r="G36" s="8" t="n"/>
      <c r="H36" s="8" t="n"/>
      <c r="I36" s="9" t="n"/>
      <c r="J36" s="9" t="n"/>
      <c r="K36" s="9" t="n"/>
      <c r="L36" s="9" t="n"/>
      <c r="M36" s="9" t="n"/>
      <c r="N36" s="10" t="n"/>
      <c r="O36" s="9" t="n"/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  <c r="I37" s="9" t="n"/>
      <c r="J37" s="9" t="n"/>
      <c r="K37" s="9" t="n"/>
      <c r="L37" s="9" t="n"/>
      <c r="M37" s="9" t="n"/>
      <c r="N37" s="10" t="n"/>
      <c r="O37" s="9" t="n"/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  <c r="I38" s="9" t="n"/>
      <c r="J38" s="9" t="n"/>
      <c r="K38" s="9" t="n"/>
      <c r="L38" s="9" t="n"/>
      <c r="M38" s="9" t="n"/>
      <c r="N38" s="10" t="n"/>
      <c r="O38" s="9" t="n"/>
    </row>
    <row r="39">
      <c r="A39" s="7" t="n"/>
      <c r="B39" s="8" t="n"/>
      <c r="C39" s="8" t="n"/>
      <c r="D39" s="8" t="n"/>
      <c r="E39" s="8" t="n"/>
      <c r="F39" s="8" t="n"/>
      <c r="G39" s="8" t="n"/>
      <c r="H39" s="8" t="n"/>
      <c r="I39" s="9" t="n"/>
      <c r="J39" s="9" t="n"/>
      <c r="K39" s="9" t="n"/>
      <c r="L39" s="9" t="n"/>
      <c r="M39" s="9" t="n"/>
      <c r="N39" s="10" t="n"/>
      <c r="O39" s="9" t="n"/>
    </row>
    <row r="40">
      <c r="A40" s="7" t="n"/>
      <c r="B40" s="8" t="n"/>
      <c r="C40" s="8" t="n"/>
      <c r="D40" s="8" t="n"/>
      <c r="E40" s="8" t="n"/>
      <c r="F40" s="8" t="n"/>
      <c r="G40" s="8" t="n"/>
      <c r="H40" s="8" t="n"/>
      <c r="I40" s="9" t="n"/>
      <c r="J40" s="9" t="n"/>
      <c r="K40" s="9" t="n"/>
      <c r="L40" s="9" t="n"/>
      <c r="M40" s="9" t="n"/>
      <c r="N40" s="10" t="n"/>
      <c r="O40" s="9" t="n"/>
    </row>
    <row r="41">
      <c r="A41" s="7" t="n"/>
      <c r="B41" s="8" t="n"/>
      <c r="C41" s="8" t="n"/>
      <c r="D41" s="8" t="n"/>
      <c r="E41" s="8" t="n"/>
      <c r="F41" s="8" t="n"/>
      <c r="G41" s="8" t="n"/>
      <c r="H41" s="8" t="n"/>
      <c r="I41" s="9" t="n"/>
      <c r="J41" s="9" t="n"/>
      <c r="K41" s="9" t="n"/>
      <c r="L41" s="9" t="n"/>
      <c r="M41" s="9" t="n"/>
      <c r="N41" s="10" t="n"/>
      <c r="O41" s="9" t="n"/>
    </row>
    <row r="42">
      <c r="A42" s="7" t="n"/>
      <c r="B42" s="8" t="n"/>
      <c r="C42" s="8" t="n"/>
      <c r="D42" s="8" t="n"/>
      <c r="E42" s="8" t="n"/>
      <c r="F42" s="8" t="n"/>
      <c r="G42" s="8" t="n"/>
      <c r="H42" s="8" t="n"/>
      <c r="I42" s="9" t="n"/>
      <c r="J42" s="9" t="n"/>
      <c r="K42" s="9" t="n"/>
      <c r="L42" s="9" t="n"/>
      <c r="M42" s="9" t="n"/>
      <c r="N42" s="10" t="n"/>
      <c r="O42" s="9" t="n"/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  <c r="I43" s="9" t="n"/>
      <c r="J43" s="9" t="n"/>
      <c r="K43" s="9" t="n"/>
      <c r="L43" s="9" t="n"/>
      <c r="M43" s="9" t="n"/>
      <c r="N43" s="10" t="n"/>
      <c r="O43" s="9" t="n"/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  <c r="I44" s="9" t="n"/>
      <c r="J44" s="9" t="n"/>
      <c r="K44" s="9" t="n"/>
      <c r="L44" s="9" t="n"/>
      <c r="M44" s="9" t="n"/>
      <c r="N44" s="10" t="n"/>
      <c r="O44" s="9" t="n"/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  <c r="I45" s="9" t="n"/>
      <c r="J45" s="9" t="n"/>
      <c r="K45" s="9" t="n"/>
      <c r="L45" s="9" t="n"/>
      <c r="M45" s="9" t="n"/>
      <c r="N45" s="10" t="n"/>
      <c r="O45" s="9" t="n"/>
    </row>
    <row r="46">
      <c r="A46" s="7" t="n"/>
      <c r="B46" s="8" t="n"/>
      <c r="C46" s="8" t="n"/>
      <c r="D46" s="8" t="n"/>
      <c r="E46" s="8" t="n"/>
      <c r="F46" s="8" t="n"/>
      <c r="G46" s="8" t="n"/>
      <c r="H46" s="8" t="n"/>
      <c r="I46" s="9" t="n"/>
      <c r="J46" s="9" t="n"/>
      <c r="K46" s="9" t="n"/>
      <c r="L46" s="9" t="n"/>
      <c r="M46" s="9" t="n"/>
      <c r="N46" s="10" t="n"/>
      <c r="O46" s="9" t="n"/>
    </row>
    <row r="47">
      <c r="A47" s="7" t="n"/>
      <c r="B47" s="8" t="n"/>
      <c r="C47" s="8" t="n"/>
      <c r="D47" s="8" t="n"/>
      <c r="E47" s="8" t="n"/>
      <c r="F47" s="8" t="n"/>
      <c r="G47" s="8" t="n"/>
      <c r="H47" s="8" t="n"/>
      <c r="I47" s="9" t="n"/>
      <c r="J47" s="9" t="n"/>
      <c r="K47" s="9" t="n"/>
      <c r="L47" s="9" t="n"/>
      <c r="M47" s="9" t="n"/>
      <c r="N47" s="10" t="n"/>
      <c r="O47" s="9" t="n"/>
    </row>
    <row r="48">
      <c r="A48" s="7" t="n"/>
      <c r="B48" s="8" t="n"/>
      <c r="C48" s="8" t="n"/>
      <c r="D48" s="8" t="n"/>
      <c r="E48" s="8" t="n"/>
      <c r="F48" s="8" t="n"/>
      <c r="G48" s="8" t="n"/>
      <c r="H48" s="8" t="n"/>
      <c r="I48" s="9" t="n"/>
      <c r="J48" s="9" t="n"/>
      <c r="K48" s="9" t="n"/>
      <c r="L48" s="9" t="n"/>
      <c r="M48" s="9" t="n"/>
      <c r="N48" s="10" t="n"/>
      <c r="O48" s="9" t="n"/>
    </row>
    <row r="49">
      <c r="A49" s="7" t="n"/>
      <c r="B49" s="8" t="n"/>
      <c r="C49" s="8" t="n"/>
      <c r="D49" s="8" t="n"/>
      <c r="E49" s="8" t="n"/>
      <c r="F49" s="8" t="n"/>
      <c r="G49" s="8" t="n"/>
      <c r="H49" s="8" t="n"/>
      <c r="I49" s="9" t="n"/>
      <c r="J49" s="9" t="n"/>
      <c r="K49" s="9" t="n"/>
      <c r="L49" s="9" t="n"/>
      <c r="M49" s="9" t="n"/>
      <c r="N49" s="10" t="n"/>
      <c r="O49" s="9" t="n"/>
    </row>
    <row r="50">
      <c r="A50" s="7" t="n"/>
      <c r="B50" s="8" t="n"/>
      <c r="C50" s="8" t="n"/>
      <c r="D50" s="8" t="n"/>
      <c r="E50" s="8" t="n"/>
      <c r="F50" s="8" t="n"/>
      <c r="G50" s="8" t="n"/>
      <c r="H50" s="8" t="n"/>
      <c r="I50" s="9" t="n"/>
      <c r="J50" s="9" t="n"/>
      <c r="K50" s="9" t="n"/>
      <c r="L50" s="9" t="n"/>
      <c r="M50" s="9" t="n"/>
      <c r="N50" s="10" t="n"/>
      <c r="O50" s="9" t="n"/>
    </row>
    <row r="51">
      <c r="A51" s="7" t="n"/>
      <c r="B51" s="8" t="n"/>
      <c r="C51" s="8" t="n"/>
      <c r="D51" s="8" t="n"/>
      <c r="E51" s="8" t="n"/>
      <c r="F51" s="8" t="n"/>
      <c r="G51" s="8" t="n"/>
      <c r="H51" s="8" t="n"/>
      <c r="I51" s="9" t="n"/>
      <c r="J51" s="9" t="n"/>
      <c r="K51" s="9" t="n"/>
      <c r="L51" s="9" t="n"/>
      <c r="M51" s="9" t="n"/>
      <c r="N51" s="10" t="n"/>
      <c r="O51" s="9" t="n"/>
    </row>
    <row r="52">
      <c r="A52" s="7" t="n"/>
      <c r="B52" s="8" t="n"/>
      <c r="C52" s="8" t="n"/>
      <c r="D52" s="8" t="n"/>
      <c r="E52" s="8" t="n"/>
      <c r="F52" s="8" t="n"/>
      <c r="G52" s="8" t="n"/>
      <c r="H52" s="8" t="n"/>
      <c r="I52" s="9" t="n"/>
      <c r="J52" s="9" t="n"/>
      <c r="K52" s="9" t="n"/>
      <c r="L52" s="9" t="n"/>
      <c r="M52" s="9" t="n"/>
      <c r="N52" s="10" t="n"/>
      <c r="O52" s="9" t="n"/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  <c r="I53" s="9" t="n"/>
      <c r="J53" s="9" t="n"/>
      <c r="K53" s="9" t="n"/>
      <c r="L53" s="9" t="n"/>
      <c r="M53" s="9" t="n"/>
      <c r="N53" s="10" t="n"/>
      <c r="O53" s="9" t="n"/>
    </row>
    <row r="54">
      <c r="A54" s="7" t="n"/>
      <c r="B54" s="8" t="n"/>
      <c r="C54" s="8" t="n"/>
      <c r="D54" s="8" t="n"/>
      <c r="E54" s="8" t="n"/>
      <c r="F54" s="8" t="n"/>
      <c r="G54" s="8" t="n"/>
      <c r="H54" s="8" t="n"/>
      <c r="I54" s="9" t="n"/>
      <c r="J54" s="9" t="n"/>
      <c r="K54" s="9" t="n"/>
      <c r="L54" s="9" t="n"/>
      <c r="M54" s="9" t="n"/>
      <c r="N54" s="10" t="n"/>
      <c r="O54" s="9" t="n"/>
    </row>
    <row r="55">
      <c r="A55" s="7" t="n"/>
      <c r="B55" s="8" t="n"/>
      <c r="C55" s="8" t="n"/>
      <c r="D55" s="8" t="n"/>
      <c r="E55" s="8" t="n"/>
      <c r="F55" s="8" t="n"/>
      <c r="G55" s="8" t="n"/>
      <c r="H55" s="8" t="n"/>
      <c r="I55" s="9" t="n"/>
      <c r="J55" s="9" t="n"/>
      <c r="K55" s="9" t="n"/>
      <c r="L55" s="9" t="n"/>
      <c r="M55" s="9" t="n"/>
      <c r="N55" s="10" t="n"/>
      <c r="O55" s="9" t="n"/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  <c r="I56" s="9" t="n"/>
      <c r="J56" s="9" t="n"/>
      <c r="K56" s="9" t="n"/>
      <c r="L56" s="9" t="n"/>
      <c r="M56" s="9" t="n"/>
      <c r="N56" s="10" t="n"/>
      <c r="O56" s="9" t="n"/>
    </row>
    <row r="57">
      <c r="A57" s="7" t="n"/>
      <c r="B57" s="8" t="n"/>
      <c r="C57" s="8" t="n"/>
      <c r="D57" s="8" t="n"/>
      <c r="E57" s="8" t="n"/>
      <c r="F57" s="8" t="n"/>
      <c r="G57" s="8" t="n"/>
      <c r="H57" s="8" t="n"/>
      <c r="I57" s="9" t="n"/>
      <c r="J57" s="9" t="n"/>
      <c r="K57" s="9" t="n"/>
      <c r="L57" s="9" t="n"/>
      <c r="M57" s="9" t="n"/>
      <c r="N57" s="10" t="n"/>
      <c r="O57" s="9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  <c r="I58" s="9" t="n"/>
      <c r="J58" s="9" t="n"/>
      <c r="K58" s="9" t="n"/>
      <c r="L58" s="9" t="n"/>
      <c r="M58" s="9" t="n"/>
      <c r="N58" s="10" t="n"/>
      <c r="O58" s="9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  <c r="I59" s="9" t="n"/>
      <c r="J59" s="9" t="n"/>
      <c r="K59" s="9" t="n"/>
      <c r="L59" s="9" t="n"/>
      <c r="M59" s="9" t="n"/>
      <c r="N59" s="10" t="n"/>
      <c r="O59" s="9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  <c r="I60" s="9" t="n"/>
      <c r="J60" s="9" t="n"/>
      <c r="K60" s="9" t="n"/>
      <c r="L60" s="9" t="n"/>
      <c r="M60" s="9" t="n"/>
      <c r="N60" s="10" t="n"/>
      <c r="O60" s="9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  <c r="I61" s="9" t="n"/>
      <c r="J61" s="9" t="n"/>
      <c r="K61" s="9" t="n"/>
      <c r="L61" s="9" t="n"/>
      <c r="M61" s="9" t="n"/>
      <c r="N61" s="10" t="n"/>
      <c r="O61" s="9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  <c r="I62" s="9" t="n"/>
      <c r="J62" s="9" t="n"/>
      <c r="K62" s="9" t="n"/>
      <c r="L62" s="9" t="n"/>
      <c r="M62" s="9" t="n"/>
      <c r="N62" s="10" t="n"/>
      <c r="O62" s="9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  <c r="I63" s="9" t="n"/>
      <c r="J63" s="9" t="n"/>
      <c r="K63" s="9" t="n"/>
      <c r="L63" s="9" t="n"/>
      <c r="M63" s="9" t="n"/>
      <c r="N63" s="10" t="n"/>
      <c r="O63" s="9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  <c r="I64" s="9" t="n"/>
      <c r="J64" s="9" t="n"/>
      <c r="K64" s="9" t="n"/>
      <c r="L64" s="9" t="n"/>
      <c r="M64" s="9" t="n"/>
      <c r="N64" s="10" t="n"/>
      <c r="O64" s="9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  <c r="I65" s="9" t="n"/>
      <c r="J65" s="9" t="n"/>
      <c r="K65" s="9" t="n"/>
      <c r="L65" s="9" t="n"/>
      <c r="M65" s="9" t="n"/>
      <c r="N65" s="10" t="n"/>
      <c r="O65" s="9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  <c r="I66" s="9" t="n"/>
      <c r="J66" s="9" t="n"/>
      <c r="K66" s="9" t="n"/>
      <c r="L66" s="9" t="n"/>
      <c r="M66" s="9" t="n"/>
      <c r="N66" s="10" t="n"/>
      <c r="O66" s="9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  <c r="I67" s="9" t="n"/>
      <c r="J67" s="9" t="n"/>
      <c r="K67" s="9" t="n"/>
      <c r="L67" s="9" t="n"/>
      <c r="M67" s="9" t="n"/>
      <c r="N67" s="10" t="n"/>
      <c r="O67" s="9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  <c r="I68" s="9" t="n"/>
      <c r="J68" s="9" t="n"/>
      <c r="K68" s="9" t="n"/>
      <c r="L68" s="9" t="n"/>
      <c r="M68" s="9" t="n"/>
      <c r="N68" s="10" t="n"/>
      <c r="O68" s="9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  <c r="I69" s="9" t="n"/>
      <c r="J69" s="9" t="n"/>
      <c r="K69" s="9" t="n"/>
      <c r="L69" s="9" t="n"/>
      <c r="M69" s="9" t="n"/>
      <c r="N69" s="10" t="n"/>
      <c r="O69" s="9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  <c r="I70" s="9" t="n"/>
      <c r="J70" s="9" t="n"/>
      <c r="K70" s="9" t="n"/>
      <c r="L70" s="9" t="n"/>
      <c r="M70" s="9" t="n"/>
      <c r="N70" s="10" t="n"/>
      <c r="O70" s="9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  <c r="I71" s="9" t="n"/>
      <c r="J71" s="9" t="n"/>
      <c r="K71" s="9" t="n"/>
      <c r="L71" s="9" t="n"/>
      <c r="M71" s="9" t="n"/>
      <c r="N71" s="10" t="n"/>
      <c r="O71" s="9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  <c r="I72" s="9" t="n"/>
      <c r="J72" s="9" t="n"/>
      <c r="K72" s="9" t="n"/>
      <c r="L72" s="9" t="n"/>
      <c r="M72" s="9" t="n"/>
      <c r="N72" s="10" t="n"/>
      <c r="O72" s="9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  <c r="I73" s="9" t="n"/>
      <c r="J73" s="9" t="n"/>
      <c r="K73" s="9" t="n"/>
      <c r="L73" s="9" t="n"/>
      <c r="M73" s="9" t="n"/>
      <c r="N73" s="10" t="n"/>
      <c r="O73" s="9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  <c r="I74" s="9" t="n"/>
      <c r="J74" s="9" t="n"/>
      <c r="K74" s="9" t="n"/>
      <c r="L74" s="9" t="n"/>
      <c r="M74" s="9" t="n"/>
      <c r="N74" s="10" t="n"/>
      <c r="O74" s="9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  <c r="I75" s="9" t="n"/>
      <c r="J75" s="9" t="n"/>
      <c r="K75" s="9" t="n"/>
      <c r="L75" s="9" t="n"/>
      <c r="M75" s="9" t="n"/>
      <c r="N75" s="10" t="n"/>
      <c r="O75" s="9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  <c r="I76" s="9" t="n"/>
      <c r="J76" s="9" t="n"/>
      <c r="K76" s="9" t="n"/>
      <c r="L76" s="9" t="n"/>
      <c r="M76" s="9" t="n"/>
      <c r="N76" s="10" t="n"/>
      <c r="O76" s="9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  <c r="I77" s="9" t="n"/>
      <c r="J77" s="9" t="n"/>
      <c r="K77" s="9" t="n"/>
      <c r="L77" s="9" t="n"/>
      <c r="M77" s="9" t="n"/>
      <c r="N77" s="10" t="n"/>
      <c r="O77" s="9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  <c r="I78" s="9" t="n"/>
      <c r="J78" s="9" t="n"/>
      <c r="K78" s="9" t="n"/>
      <c r="L78" s="9" t="n"/>
      <c r="M78" s="9" t="n"/>
      <c r="N78" s="10" t="n"/>
      <c r="O78" s="9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  <c r="I79" s="9" t="n"/>
      <c r="J79" s="9" t="n"/>
      <c r="K79" s="9" t="n"/>
      <c r="L79" s="9" t="n"/>
      <c r="M79" s="9" t="n"/>
      <c r="N79" s="10" t="n"/>
      <c r="O79" s="9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  <c r="I80" s="9" t="n"/>
      <c r="J80" s="9" t="n"/>
      <c r="K80" s="9" t="n"/>
      <c r="L80" s="9" t="n"/>
      <c r="M80" s="9" t="n"/>
      <c r="N80" s="10" t="n"/>
      <c r="O80" s="9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  <c r="I81" s="9" t="n"/>
      <c r="J81" s="9" t="n"/>
      <c r="K81" s="9" t="n"/>
      <c r="L81" s="9" t="n"/>
      <c r="M81" s="9" t="n"/>
      <c r="N81" s="10" t="n"/>
      <c r="O81" s="9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  <c r="I82" s="9" t="n"/>
      <c r="J82" s="9" t="n"/>
      <c r="K82" s="9" t="n"/>
      <c r="L82" s="9" t="n"/>
      <c r="M82" s="9" t="n"/>
      <c r="N82" s="10" t="n"/>
      <c r="O82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8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22" customWidth="1" min="4" max="4"/>
    <col width="30" customWidth="1" min="5" max="5"/>
    <col width="12" customWidth="1" min="6" max="6"/>
    <col width="30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8" customWidth="1" min="14" max="14"/>
    <col width="16" customWidth="1" min="15" max="15"/>
    <col width="22" customWidth="1" min="17" max="17"/>
    <col width="14" customWidth="1" min="18" max="18"/>
    <col width="16" customWidth="1" min="19" max="19"/>
    <col width="2" customWidth="1" min="20" max="20"/>
    <col width="32" customWidth="1" min="21" max="21"/>
    <col width="22" customWidth="1" min="22" max="22"/>
    <col width="14" customWidth="1" min="23" max="23"/>
    <col width="16" customWidth="1" min="24" max="24"/>
  </cols>
  <sheetData>
    <row r="1" ht="28" customHeight="1">
      <c r="A1" s="1" t="inlineStr">
        <is>
          <t>SELETIVA CIDADE ALTA</t>
        </is>
      </c>
      <c r="B1" s="1" t="inlineStr">
        <is>
          <t>FOLHA DE PAGAMENTO ABRIL/2026</t>
        </is>
      </c>
      <c r="I1" s="2">
        <f>SUMIFS(tbl_dados[Provisão de Férias + 13°],tbl_dados[Tomador],$A$1)</f>
        <v/>
      </c>
      <c r="J1" s="2">
        <f>SUMIFS(tbl_dados[Provisão de Encargos],tbl_dados[Tomador],$A$1)</f>
        <v/>
      </c>
      <c r="K1" s="1" t="inlineStr">
        <is>
          <t>Soma</t>
        </is>
      </c>
      <c r="M1" s="2">
        <f>SUMIFS(tbl_dados[TT BRUTO ABRIL],tbl_dados[Tomador],$A$1)</f>
        <v/>
      </c>
      <c r="O1" s="2">
        <f>SUMIFS(tbl_dados[TT BRUTO MARÇO],tbl_dados[Tomador],$A$1)</f>
        <v/>
      </c>
    </row>
    <row r="2" ht="36" customHeight="1">
      <c r="A2" s="3" t="inlineStr">
        <is>
          <t>Qtde</t>
        </is>
      </c>
      <c r="B2" s="3" t="inlineStr">
        <is>
          <t>FUNCIONÁRIO</t>
        </is>
      </c>
      <c r="C2" s="3" t="inlineStr">
        <is>
          <t>Tipo</t>
        </is>
      </c>
      <c r="D2" s="3" t="inlineStr">
        <is>
          <t>Setor</t>
        </is>
      </c>
      <c r="E2" s="3" t="inlineStr">
        <is>
          <t xml:space="preserve">Função </t>
        </is>
      </c>
      <c r="F2" s="3" t="inlineStr">
        <is>
          <t>Status</t>
        </is>
      </c>
      <c r="G2" s="3" t="inlineStr">
        <is>
          <t>Empresa Registro</t>
        </is>
      </c>
      <c r="H2" s="3" t="inlineStr">
        <is>
          <t>CNPJ</t>
        </is>
      </c>
      <c r="I2" s="3" t="inlineStr">
        <is>
          <t>Provisão
de Férias + 13°</t>
        </is>
      </c>
      <c r="J2" s="3" t="inlineStr">
        <is>
          <t>Provisão 
de Encargos</t>
        </is>
      </c>
      <c r="K2" s="3" t="inlineStr">
        <is>
          <t>Eventos Folha
(Caixa)</t>
        </is>
      </c>
      <c r="L2" s="3" t="inlineStr">
        <is>
          <t>Sal PF</t>
        </is>
      </c>
      <c r="M2" s="3" t="inlineStr">
        <is>
          <t>TT BRUTO
ABRIL</t>
        </is>
      </c>
      <c r="N2" s="3" t="inlineStr">
        <is>
          <t>%</t>
        </is>
      </c>
      <c r="O2" s="3" t="inlineStr">
        <is>
          <t>TT BRUTO
MARÇO</t>
        </is>
      </c>
      <c r="Q2" s="3" t="inlineStr">
        <is>
          <t>MODALIDADE</t>
        </is>
      </c>
      <c r="R2" s="3" t="inlineStr">
        <is>
          <t>FUNCIONÁRIOS</t>
        </is>
      </c>
      <c r="S2" s="3" t="inlineStr">
        <is>
          <t>TT BRUTO</t>
        </is>
      </c>
      <c r="U2" s="3" t="inlineStr">
        <is>
          <t>EMPRESA</t>
        </is>
      </c>
      <c r="V2" s="3" t="inlineStr">
        <is>
          <t>CNPJ</t>
        </is>
      </c>
      <c r="W2" s="3" t="inlineStr">
        <is>
          <t>FUNCIONÁRIOS</t>
        </is>
      </c>
      <c r="X2" s="3" t="inlineStr">
        <is>
          <t>TT BRUTO</t>
        </is>
      </c>
    </row>
    <row r="3">
      <c r="A3" s="7">
        <f>IFERROR(_xlfn.SEQUENCE(ROWS(B3#)),"")</f>
        <v/>
      </c>
      <c r="B3" s="8">
        <f>IFERROR(_xlfn._xlws.SORT(_xlfn._xlws.FILTER(tbl_dados[[FUNCIONÁRIO]:[TT BRUTO ABRIL]],tbl_dados[Tomador]=$A$1),12,-1),"")</f>
        <v/>
      </c>
      <c r="C3" s="8" t="n"/>
      <c r="D3" s="8" t="n"/>
      <c r="E3" s="8" t="n"/>
      <c r="F3" s="8" t="n"/>
      <c r="G3" s="8" t="n"/>
      <c r="H3" s="8" t="n"/>
      <c r="I3" s="9" t="n"/>
      <c r="J3" s="9" t="n"/>
      <c r="K3" s="9" t="n"/>
      <c r="L3" s="9" t="n"/>
      <c r="M3" s="9" t="n"/>
      <c r="N3" s="10">
        <f>IFERROR(INDEX(B3#,,12)/$M$1,"")</f>
        <v/>
      </c>
      <c r="O3" s="9">
        <f>IFERROR(INDEX(_xlfn._xlws.SORT(_xlfn._xlws.FILTER(tbl_dados[[FUNCIONÁRIO]:[TT BRUTO MARÇO]],tbl_dados[Tomador]=$A$1),12,-1),,13),"")</f>
        <v/>
      </c>
      <c r="Q3" s="8">
        <f>IFERROR(_xlfn.UNIQUE(_xlfn._xlws.FILTER(tbl_dados[Tipo],tbl_dados[Tomador]=$A$1)),"")</f>
        <v/>
      </c>
      <c r="R3" s="7">
        <f>IFERROR(_xlfn.BYROW(Q3#,_xlfn.LAMBDA(_x,COUNTIFS(tbl_dados[Tomador],$A$1,tbl_dados[Tipo],_x))),"")</f>
        <v/>
      </c>
      <c r="S3" s="9">
        <f>IFERROR(_xlfn.BYROW(Q3#,_xlfn.LAMBDA(_x,SUMIFS(tbl_dados[TT BRUTO ABRIL],tbl_dados[Tomador],$A$1,tbl_dados[Tipo],_x))),"")</f>
        <v/>
      </c>
      <c r="U3" s="8">
        <f>IFERROR(_xlfn.UNIQUE(_xlfn._xlws.FILTER(tbl_dados[Empresa Registro],tbl_dados[Tomador]=$A$1)),"")</f>
        <v/>
      </c>
      <c r="V3" s="11">
        <f>IFERROR(_xlfn.BYROW(U3#,_xlfn.LAMBDA(_x,IFERROR(INDEX(tbl_dados[CNPJ],MATCH(_x,tbl_dados[Empresa Registro],0)),""))),"")</f>
        <v/>
      </c>
      <c r="W3" s="7">
        <f>IFERROR(_xlfn.BYROW(U3#,_xlfn.LAMBDA(_x,COUNTIFS(tbl_dados[Tomador],$A$1,tbl_dados[Empresa Registro],_x))),"")</f>
        <v/>
      </c>
      <c r="X3" s="9">
        <f>IFERROR(_xlfn.BYROW(U3#,_xlfn.LAMBDA(_x,SUMIFS(tbl_dados[TT BRUTO ABRIL],tbl_dados[Tomador],$A$1,tbl_dados[Empresa Registro],_x))),"")</f>
        <v/>
      </c>
    </row>
    <row r="4">
      <c r="A4" s="7" t="n"/>
      <c r="B4" s="8" t="n"/>
      <c r="C4" s="8" t="n"/>
      <c r="D4" s="8" t="n"/>
      <c r="E4" s="8" t="n"/>
      <c r="F4" s="8" t="n"/>
      <c r="G4" s="8" t="n"/>
      <c r="H4" s="8" t="n"/>
      <c r="I4" s="9" t="n"/>
      <c r="J4" s="9" t="n"/>
      <c r="K4" s="9" t="n"/>
      <c r="L4" s="9" t="n"/>
      <c r="M4" s="9" t="n"/>
      <c r="N4" s="10" t="n"/>
      <c r="O4" s="9" t="n"/>
      <c r="Q4" s="8" t="n"/>
      <c r="R4" s="7" t="n"/>
      <c r="S4" s="9" t="n"/>
      <c r="U4" s="8" t="n"/>
      <c r="V4" s="11" t="n"/>
      <c r="W4" s="7" t="n"/>
      <c r="X4" s="9" t="n"/>
    </row>
    <row r="5">
      <c r="A5" s="7" t="n"/>
      <c r="B5" s="8" t="n"/>
      <c r="C5" s="8" t="n"/>
      <c r="D5" s="8" t="n"/>
      <c r="E5" s="8" t="n"/>
      <c r="F5" s="8" t="n"/>
      <c r="G5" s="8" t="n"/>
      <c r="H5" s="8" t="n"/>
      <c r="I5" s="9" t="n"/>
      <c r="J5" s="9" t="n"/>
      <c r="K5" s="9" t="n"/>
      <c r="L5" s="9" t="n"/>
      <c r="M5" s="9" t="n"/>
      <c r="N5" s="10" t="n"/>
      <c r="O5" s="9" t="n"/>
      <c r="Q5" s="8" t="n"/>
      <c r="R5" s="7" t="n"/>
      <c r="S5" s="9" t="n"/>
      <c r="U5" s="8" t="n"/>
      <c r="V5" s="11" t="n"/>
      <c r="W5" s="7" t="n"/>
      <c r="X5" s="9" t="n"/>
    </row>
    <row r="6">
      <c r="A6" s="7" t="n"/>
      <c r="B6" s="8" t="n"/>
      <c r="C6" s="8" t="n"/>
      <c r="D6" s="8" t="n"/>
      <c r="E6" s="8" t="n"/>
      <c r="F6" s="8" t="n"/>
      <c r="G6" s="8" t="n"/>
      <c r="H6" s="8" t="n"/>
      <c r="I6" s="9" t="n"/>
      <c r="J6" s="9" t="n"/>
      <c r="K6" s="9" t="n"/>
      <c r="L6" s="9" t="n"/>
      <c r="M6" s="9" t="n"/>
      <c r="N6" s="10" t="n"/>
      <c r="O6" s="9" t="n"/>
      <c r="Q6" s="8" t="n"/>
      <c r="R6" s="7" t="n"/>
      <c r="S6" s="9" t="n"/>
      <c r="U6" s="8" t="n"/>
      <c r="V6" s="11" t="n"/>
      <c r="W6" s="7" t="n"/>
      <c r="X6" s="9" t="n"/>
    </row>
    <row r="7">
      <c r="A7" s="7" t="n"/>
      <c r="B7" s="8" t="n"/>
      <c r="C7" s="8" t="n"/>
      <c r="D7" s="8" t="n"/>
      <c r="E7" s="8" t="n"/>
      <c r="F7" s="8" t="n"/>
      <c r="G7" s="8" t="n"/>
      <c r="H7" s="8" t="n"/>
      <c r="I7" s="9" t="n"/>
      <c r="J7" s="9" t="n"/>
      <c r="K7" s="9" t="n"/>
      <c r="L7" s="9" t="n"/>
      <c r="M7" s="9" t="n"/>
      <c r="N7" s="10" t="n"/>
      <c r="O7" s="9" t="n"/>
      <c r="Q7" s="8" t="n"/>
      <c r="R7" s="7" t="n"/>
      <c r="S7" s="9" t="n"/>
      <c r="U7" s="8" t="n"/>
      <c r="V7" s="11" t="n"/>
      <c r="W7" s="7" t="n"/>
      <c r="X7" s="9" t="n"/>
    </row>
    <row r="8">
      <c r="A8" s="7" t="n"/>
      <c r="B8" s="8" t="n"/>
      <c r="C8" s="8" t="n"/>
      <c r="D8" s="8" t="n"/>
      <c r="E8" s="8" t="n"/>
      <c r="F8" s="8" t="n"/>
      <c r="G8" s="8" t="n"/>
      <c r="H8" s="8" t="n"/>
      <c r="I8" s="9" t="n"/>
      <c r="J8" s="9" t="n"/>
      <c r="K8" s="9" t="n"/>
      <c r="L8" s="9" t="n"/>
      <c r="M8" s="9" t="n"/>
      <c r="N8" s="10" t="n"/>
      <c r="O8" s="9" t="n"/>
      <c r="Q8" s="8" t="n"/>
      <c r="R8" s="7" t="n"/>
      <c r="S8" s="9" t="n"/>
      <c r="U8" s="8" t="n"/>
      <c r="V8" s="11" t="n"/>
      <c r="W8" s="7" t="n"/>
      <c r="X8" s="9" t="n"/>
    </row>
    <row r="9">
      <c r="A9" s="7" t="n"/>
      <c r="B9" s="8" t="n"/>
      <c r="C9" s="8" t="n"/>
      <c r="D9" s="8" t="n"/>
      <c r="E9" s="8" t="n"/>
      <c r="F9" s="8" t="n"/>
      <c r="G9" s="8" t="n"/>
      <c r="H9" s="8" t="n"/>
      <c r="I9" s="9" t="n"/>
      <c r="J9" s="9" t="n"/>
      <c r="K9" s="9" t="n"/>
      <c r="L9" s="9" t="n"/>
      <c r="M9" s="9" t="n"/>
      <c r="N9" s="10" t="n"/>
      <c r="O9" s="9" t="n"/>
      <c r="Q9" s="8" t="n"/>
      <c r="R9" s="7" t="n"/>
      <c r="S9" s="9" t="n"/>
      <c r="U9" s="8" t="n"/>
      <c r="V9" s="11" t="n"/>
      <c r="W9" s="7" t="n"/>
      <c r="X9" s="9" t="n"/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  <c r="I10" s="9" t="n"/>
      <c r="J10" s="9" t="n"/>
      <c r="K10" s="9" t="n"/>
      <c r="L10" s="9" t="n"/>
      <c r="M10" s="9" t="n"/>
      <c r="N10" s="10" t="n"/>
      <c r="O10" s="9" t="n"/>
      <c r="Q10" s="8" t="n"/>
      <c r="R10" s="7" t="n"/>
      <c r="S10" s="9" t="n"/>
      <c r="U10" s="8" t="n"/>
      <c r="V10" s="11" t="n"/>
      <c r="W10" s="7" t="n"/>
      <c r="X10" s="9" t="n"/>
    </row>
    <row r="11">
      <c r="A11" s="7" t="n"/>
      <c r="B11" s="8" t="n"/>
      <c r="C11" s="8" t="n"/>
      <c r="D11" s="8" t="n"/>
      <c r="E11" s="8" t="n"/>
      <c r="F11" s="8" t="n"/>
      <c r="G11" s="8" t="n"/>
      <c r="H11" s="8" t="n"/>
      <c r="I11" s="9" t="n"/>
      <c r="J11" s="9" t="n"/>
      <c r="K11" s="9" t="n"/>
      <c r="L11" s="9" t="n"/>
      <c r="M11" s="9" t="n"/>
      <c r="N11" s="10" t="n"/>
      <c r="O11" s="9" t="n"/>
      <c r="Q11" s="8" t="n"/>
      <c r="R11" s="7" t="n"/>
      <c r="S11" s="9" t="n"/>
      <c r="U11" s="8" t="n"/>
      <c r="V11" s="11" t="n"/>
      <c r="W11" s="7" t="n"/>
      <c r="X11" s="9" t="n"/>
    </row>
    <row r="12">
      <c r="A12" s="7" t="n"/>
      <c r="B12" s="8" t="n"/>
      <c r="C12" s="8" t="n"/>
      <c r="D12" s="8" t="n"/>
      <c r="E12" s="8" t="n"/>
      <c r="F12" s="8" t="n"/>
      <c r="G12" s="8" t="n"/>
      <c r="H12" s="8" t="n"/>
      <c r="I12" s="9" t="n"/>
      <c r="J12" s="9" t="n"/>
      <c r="K12" s="9" t="n"/>
      <c r="L12" s="9" t="n"/>
      <c r="M12" s="9" t="n"/>
      <c r="N12" s="10" t="n"/>
      <c r="O12" s="9" t="n"/>
      <c r="Q12" s="8" t="n"/>
      <c r="R12" s="7" t="n"/>
      <c r="S12" s="9" t="n"/>
      <c r="U12" s="8" t="n"/>
      <c r="V12" s="11" t="n"/>
      <c r="W12" s="7" t="n"/>
      <c r="X12" s="9" t="n"/>
    </row>
    <row r="13">
      <c r="A13" s="7" t="n"/>
      <c r="B13" s="8" t="n"/>
      <c r="C13" s="8" t="n"/>
      <c r="D13" s="8" t="n"/>
      <c r="E13" s="8" t="n"/>
      <c r="F13" s="8" t="n"/>
      <c r="G13" s="8" t="n"/>
      <c r="H13" s="8" t="n"/>
      <c r="I13" s="9" t="n"/>
      <c r="J13" s="9" t="n"/>
      <c r="K13" s="9" t="n"/>
      <c r="L13" s="9" t="n"/>
      <c r="M13" s="9" t="n"/>
      <c r="N13" s="10" t="n"/>
      <c r="O13" s="9" t="n"/>
      <c r="Q13" s="8" t="n"/>
      <c r="R13" s="7" t="n"/>
      <c r="S13" s="9" t="n"/>
      <c r="U13" s="8" t="n"/>
      <c r="V13" s="11" t="n"/>
      <c r="W13" s="7" t="n"/>
      <c r="X13" s="9" t="n"/>
    </row>
    <row r="14">
      <c r="A14" s="7" t="n"/>
      <c r="B14" s="8" t="n"/>
      <c r="C14" s="8" t="n"/>
      <c r="D14" s="8" t="n"/>
      <c r="E14" s="8" t="n"/>
      <c r="F14" s="8" t="n"/>
      <c r="G14" s="8" t="n"/>
      <c r="H14" s="8" t="n"/>
      <c r="I14" s="9" t="n"/>
      <c r="J14" s="9" t="n"/>
      <c r="K14" s="9" t="n"/>
      <c r="L14" s="9" t="n"/>
      <c r="M14" s="9" t="n"/>
      <c r="N14" s="10" t="n"/>
      <c r="O14" s="9" t="n"/>
      <c r="Q14" s="8" t="n"/>
      <c r="R14" s="7" t="n"/>
      <c r="S14" s="9" t="n"/>
      <c r="U14" s="8" t="n"/>
      <c r="V14" s="11" t="n"/>
      <c r="W14" s="7" t="n"/>
      <c r="X14" s="9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9" t="n"/>
      <c r="J15" s="9" t="n"/>
      <c r="K15" s="9" t="n"/>
      <c r="L15" s="9" t="n"/>
      <c r="M15" s="9" t="n"/>
      <c r="N15" s="10" t="n"/>
      <c r="O15" s="9" t="n"/>
      <c r="Q15" s="8" t="n"/>
      <c r="R15" s="7" t="n"/>
      <c r="S15" s="9" t="n"/>
      <c r="U15" s="8" t="n"/>
      <c r="V15" s="11" t="n"/>
      <c r="W15" s="7" t="n"/>
      <c r="X15" s="9" t="n"/>
    </row>
    <row r="16">
      <c r="A16" s="7" t="n"/>
      <c r="B16" s="8" t="n"/>
      <c r="C16" s="8" t="n"/>
      <c r="D16" s="8" t="n"/>
      <c r="E16" s="8" t="n"/>
      <c r="F16" s="8" t="n"/>
      <c r="G16" s="8" t="n"/>
      <c r="H16" s="8" t="n"/>
      <c r="I16" s="9" t="n"/>
      <c r="J16" s="9" t="n"/>
      <c r="K16" s="9" t="n"/>
      <c r="L16" s="9" t="n"/>
      <c r="M16" s="9" t="n"/>
      <c r="N16" s="10" t="n"/>
      <c r="O16" s="9" t="n"/>
      <c r="Q16" s="8" t="n"/>
      <c r="R16" s="7" t="n"/>
      <c r="S16" s="9" t="n"/>
      <c r="U16" s="8" t="n"/>
      <c r="V16" s="11" t="n"/>
      <c r="W16" s="7" t="n"/>
      <c r="X16" s="9" t="n"/>
    </row>
    <row r="17">
      <c r="A17" s="7" t="n"/>
      <c r="B17" s="8" t="n"/>
      <c r="C17" s="8" t="n"/>
      <c r="D17" s="8" t="n"/>
      <c r="E17" s="8" t="n"/>
      <c r="F17" s="8" t="n"/>
      <c r="G17" s="8" t="n"/>
      <c r="H17" s="8" t="n"/>
      <c r="I17" s="9" t="n"/>
      <c r="J17" s="9" t="n"/>
      <c r="K17" s="9" t="n"/>
      <c r="L17" s="9" t="n"/>
      <c r="M17" s="9" t="n"/>
      <c r="N17" s="10" t="n"/>
      <c r="O17" s="9" t="n"/>
      <c r="Q17" s="8" t="n"/>
      <c r="R17" s="7" t="n"/>
      <c r="S17" s="9" t="n"/>
      <c r="U17" s="8" t="n"/>
      <c r="V17" s="11" t="n"/>
      <c r="W17" s="7" t="n"/>
      <c r="X17" s="9" t="n"/>
    </row>
    <row r="18">
      <c r="A18" s="7" t="n"/>
      <c r="B18" s="8" t="n"/>
      <c r="C18" s="8" t="n"/>
      <c r="D18" s="8" t="n"/>
      <c r="E18" s="8" t="n"/>
      <c r="F18" s="8" t="n"/>
      <c r="G18" s="8" t="n"/>
      <c r="H18" s="8" t="n"/>
      <c r="I18" s="9" t="n"/>
      <c r="J18" s="9" t="n"/>
      <c r="K18" s="9" t="n"/>
      <c r="L18" s="9" t="n"/>
      <c r="M18" s="9" t="n"/>
      <c r="N18" s="10" t="n"/>
      <c r="O18" s="9" t="n"/>
      <c r="Q18" s="8" t="n"/>
      <c r="R18" s="7" t="n"/>
      <c r="S18" s="9" t="n"/>
      <c r="U18" s="8" t="n"/>
      <c r="V18" s="11" t="n"/>
      <c r="W18" s="7" t="n"/>
      <c r="X18" s="9" t="n"/>
    </row>
    <row r="19">
      <c r="A19" s="7" t="n"/>
      <c r="B19" s="8" t="n"/>
      <c r="C19" s="8" t="n"/>
      <c r="D19" s="8" t="n"/>
      <c r="E19" s="8" t="n"/>
      <c r="F19" s="8" t="n"/>
      <c r="G19" s="8" t="n"/>
      <c r="H19" s="8" t="n"/>
      <c r="I19" s="9" t="n"/>
      <c r="J19" s="9" t="n"/>
      <c r="K19" s="9" t="n"/>
      <c r="L19" s="9" t="n"/>
      <c r="M19" s="9" t="n"/>
      <c r="N19" s="10" t="n"/>
      <c r="O19" s="9" t="n"/>
      <c r="Q19" s="8" t="n"/>
      <c r="R19" s="7" t="n"/>
      <c r="S19" s="9" t="n"/>
      <c r="U19" s="8" t="n"/>
      <c r="V19" s="11" t="n"/>
      <c r="W19" s="7" t="n"/>
      <c r="X19" s="9" t="n"/>
    </row>
    <row r="20">
      <c r="A20" s="7" t="n"/>
      <c r="B20" s="8" t="n"/>
      <c r="C20" s="8" t="n"/>
      <c r="D20" s="8" t="n"/>
      <c r="E20" s="8" t="n"/>
      <c r="F20" s="8" t="n"/>
      <c r="G20" s="8" t="n"/>
      <c r="H20" s="8" t="n"/>
      <c r="I20" s="9" t="n"/>
      <c r="J20" s="9" t="n"/>
      <c r="K20" s="9" t="n"/>
      <c r="L20" s="9" t="n"/>
      <c r="M20" s="9" t="n"/>
      <c r="N20" s="10" t="n"/>
      <c r="O20" s="9" t="n"/>
      <c r="Q20" s="8" t="n"/>
      <c r="R20" s="7" t="n"/>
      <c r="S20" s="9" t="n"/>
      <c r="U20" s="8" t="n"/>
      <c r="V20" s="11" t="n"/>
      <c r="W20" s="7" t="n"/>
      <c r="X20" s="9" t="n"/>
    </row>
    <row r="21">
      <c r="A21" s="7" t="n"/>
      <c r="B21" s="8" t="n"/>
      <c r="C21" s="8" t="n"/>
      <c r="D21" s="8" t="n"/>
      <c r="E21" s="8" t="n"/>
      <c r="F21" s="8" t="n"/>
      <c r="G21" s="8" t="n"/>
      <c r="H21" s="8" t="n"/>
      <c r="I21" s="9" t="n"/>
      <c r="J21" s="9" t="n"/>
      <c r="K21" s="9" t="n"/>
      <c r="L21" s="9" t="n"/>
      <c r="M21" s="9" t="n"/>
      <c r="N21" s="10" t="n"/>
      <c r="O21" s="9" t="n"/>
      <c r="Q21" s="8" t="n"/>
      <c r="R21" s="7" t="n"/>
      <c r="S21" s="9" t="n"/>
      <c r="U21" s="8" t="n"/>
      <c r="V21" s="11" t="n"/>
      <c r="W21" s="7" t="n"/>
      <c r="X21" s="9" t="n"/>
    </row>
    <row r="22">
      <c r="A22" s="7" t="n"/>
      <c r="B22" s="8" t="n"/>
      <c r="C22" s="8" t="n"/>
      <c r="D22" s="8" t="n"/>
      <c r="E22" s="8" t="n"/>
      <c r="F22" s="8" t="n"/>
      <c r="G22" s="8" t="n"/>
      <c r="H22" s="8" t="n"/>
      <c r="I22" s="9" t="n"/>
      <c r="J22" s="9" t="n"/>
      <c r="K22" s="9" t="n"/>
      <c r="L22" s="9" t="n"/>
      <c r="M22" s="9" t="n"/>
      <c r="N22" s="10" t="n"/>
      <c r="O22" s="9" t="n"/>
      <c r="Q22" s="8" t="n"/>
      <c r="R22" s="7" t="n"/>
      <c r="S22" s="9" t="n"/>
      <c r="U22" s="8" t="n"/>
      <c r="V22" s="11" t="n"/>
      <c r="W22" s="7" t="n"/>
      <c r="X22" s="9" t="n"/>
    </row>
    <row r="23">
      <c r="A23" s="7" t="n"/>
      <c r="B23" s="8" t="n"/>
      <c r="C23" s="8" t="n"/>
      <c r="D23" s="8" t="n"/>
      <c r="E23" s="8" t="n"/>
      <c r="F23" s="8" t="n"/>
      <c r="G23" s="8" t="n"/>
      <c r="H23" s="8" t="n"/>
      <c r="I23" s="9" t="n"/>
      <c r="J23" s="9" t="n"/>
      <c r="K23" s="9" t="n"/>
      <c r="L23" s="9" t="n"/>
      <c r="M23" s="9" t="n"/>
      <c r="N23" s="10" t="n"/>
      <c r="O23" s="9" t="n"/>
      <c r="Q23" s="8" t="n"/>
      <c r="R23" s="7" t="n"/>
      <c r="S23" s="9" t="n"/>
      <c r="U23" s="8" t="n"/>
      <c r="V23" s="11" t="n"/>
      <c r="W23" s="7" t="n"/>
      <c r="X23" s="9" t="n"/>
    </row>
    <row r="24">
      <c r="A24" s="7" t="n"/>
      <c r="B24" s="8" t="n"/>
      <c r="C24" s="8" t="n"/>
      <c r="D24" s="8" t="n"/>
      <c r="E24" s="8" t="n"/>
      <c r="F24" s="8" t="n"/>
      <c r="G24" s="8" t="n"/>
      <c r="H24" s="8" t="n"/>
      <c r="I24" s="9" t="n"/>
      <c r="J24" s="9" t="n"/>
      <c r="K24" s="9" t="n"/>
      <c r="L24" s="9" t="n"/>
      <c r="M24" s="9" t="n"/>
      <c r="N24" s="10" t="n"/>
      <c r="O24" s="9" t="n"/>
      <c r="Q24" s="8" t="n"/>
      <c r="R24" s="7" t="n"/>
      <c r="S24" s="9" t="n"/>
      <c r="U24" s="8" t="n"/>
      <c r="V24" s="11" t="n"/>
      <c r="W24" s="7" t="n"/>
      <c r="X24" s="9" t="n"/>
    </row>
    <row r="25">
      <c r="A25" s="7" t="n"/>
      <c r="B25" s="8" t="n"/>
      <c r="C25" s="8" t="n"/>
      <c r="D25" s="8" t="n"/>
      <c r="E25" s="8" t="n"/>
      <c r="F25" s="8" t="n"/>
      <c r="G25" s="8" t="n"/>
      <c r="H25" s="8" t="n"/>
      <c r="I25" s="9" t="n"/>
      <c r="J25" s="9" t="n"/>
      <c r="K25" s="9" t="n"/>
      <c r="L25" s="9" t="n"/>
      <c r="M25" s="9" t="n"/>
      <c r="N25" s="10" t="n"/>
      <c r="O25" s="9" t="n"/>
      <c r="Q25" s="8" t="n"/>
      <c r="R25" s="7" t="n"/>
      <c r="S25" s="9" t="n"/>
      <c r="U25" s="8" t="n"/>
      <c r="V25" s="11" t="n"/>
      <c r="W25" s="7" t="n"/>
      <c r="X25" s="9" t="n"/>
    </row>
    <row r="26">
      <c r="A26" s="7" t="n"/>
      <c r="B26" s="8" t="n"/>
      <c r="C26" s="8" t="n"/>
      <c r="D26" s="8" t="n"/>
      <c r="E26" s="8" t="n"/>
      <c r="F26" s="8" t="n"/>
      <c r="G26" s="8" t="n"/>
      <c r="H26" s="8" t="n"/>
      <c r="I26" s="9" t="n"/>
      <c r="J26" s="9" t="n"/>
      <c r="K26" s="9" t="n"/>
      <c r="L26" s="9" t="n"/>
      <c r="M26" s="9" t="n"/>
      <c r="N26" s="10" t="n"/>
      <c r="O26" s="9" t="n"/>
      <c r="Q26" s="8" t="n"/>
      <c r="R26" s="7" t="n"/>
      <c r="S26" s="9" t="n"/>
      <c r="U26" s="8" t="n"/>
      <c r="V26" s="11" t="n"/>
      <c r="W26" s="7" t="n"/>
      <c r="X26" s="9" t="n"/>
    </row>
    <row r="27">
      <c r="A27" s="7" t="n"/>
      <c r="B27" s="8" t="n"/>
      <c r="C27" s="8" t="n"/>
      <c r="D27" s="8" t="n"/>
      <c r="E27" s="8" t="n"/>
      <c r="F27" s="8" t="n"/>
      <c r="G27" s="8" t="n"/>
      <c r="H27" s="8" t="n"/>
      <c r="I27" s="9" t="n"/>
      <c r="J27" s="9" t="n"/>
      <c r="K27" s="9" t="n"/>
      <c r="L27" s="9" t="n"/>
      <c r="M27" s="9" t="n"/>
      <c r="N27" s="10" t="n"/>
      <c r="O27" s="9" t="n"/>
      <c r="Q27" s="8" t="n"/>
      <c r="R27" s="7" t="n"/>
      <c r="S27" s="9" t="n"/>
      <c r="U27" s="8" t="n"/>
      <c r="V27" s="11" t="n"/>
      <c r="W27" s="7" t="n"/>
      <c r="X27" s="9" t="n"/>
    </row>
    <row r="28">
      <c r="A28" s="7" t="n"/>
      <c r="B28" s="8" t="n"/>
      <c r="C28" s="8" t="n"/>
      <c r="D28" s="8" t="n"/>
      <c r="E28" s="8" t="n"/>
      <c r="F28" s="8" t="n"/>
      <c r="G28" s="8" t="n"/>
      <c r="H28" s="8" t="n"/>
      <c r="I28" s="9" t="n"/>
      <c r="J28" s="9" t="n"/>
      <c r="K28" s="9" t="n"/>
      <c r="L28" s="9" t="n"/>
      <c r="M28" s="9" t="n"/>
      <c r="N28" s="10" t="n"/>
      <c r="O28" s="9" t="n"/>
      <c r="Q28" s="8" t="n"/>
      <c r="R28" s="7" t="n"/>
      <c r="S28" s="9" t="n"/>
      <c r="U28" s="8" t="n"/>
      <c r="V28" s="11" t="n"/>
      <c r="W28" s="7" t="n"/>
      <c r="X28" s="9" t="n"/>
    </row>
    <row r="29">
      <c r="A29" s="7" t="n"/>
      <c r="B29" s="8" t="n"/>
      <c r="C29" s="8" t="n"/>
      <c r="D29" s="8" t="n"/>
      <c r="E29" s="8" t="n"/>
      <c r="F29" s="8" t="n"/>
      <c r="G29" s="8" t="n"/>
      <c r="H29" s="8" t="n"/>
      <c r="I29" s="9" t="n"/>
      <c r="J29" s="9" t="n"/>
      <c r="K29" s="9" t="n"/>
      <c r="L29" s="9" t="n"/>
      <c r="M29" s="9" t="n"/>
      <c r="N29" s="10" t="n"/>
      <c r="O29" s="9" t="n"/>
      <c r="Q29" s="8" t="n"/>
      <c r="R29" s="7" t="n"/>
      <c r="S29" s="9" t="n"/>
      <c r="U29" s="8" t="n"/>
      <c r="V29" s="11" t="n"/>
      <c r="W29" s="7" t="n"/>
      <c r="X29" s="9" t="n"/>
    </row>
    <row r="30">
      <c r="A30" s="7" t="n"/>
      <c r="B30" s="8" t="n"/>
      <c r="C30" s="8" t="n"/>
      <c r="D30" s="8" t="n"/>
      <c r="E30" s="8" t="n"/>
      <c r="F30" s="8" t="n"/>
      <c r="G30" s="8" t="n"/>
      <c r="H30" s="8" t="n"/>
      <c r="I30" s="9" t="n"/>
      <c r="J30" s="9" t="n"/>
      <c r="K30" s="9" t="n"/>
      <c r="L30" s="9" t="n"/>
      <c r="M30" s="9" t="n"/>
      <c r="N30" s="10" t="n"/>
      <c r="O30" s="9" t="n"/>
      <c r="Q30" s="8" t="n"/>
      <c r="R30" s="7" t="n"/>
      <c r="S30" s="9" t="n"/>
      <c r="U30" s="8" t="n"/>
      <c r="V30" s="11" t="n"/>
      <c r="W30" s="7" t="n"/>
      <c r="X30" s="9" t="n"/>
    </row>
    <row r="31">
      <c r="A31" s="7" t="n"/>
      <c r="B31" s="8" t="n"/>
      <c r="C31" s="8" t="n"/>
      <c r="D31" s="8" t="n"/>
      <c r="E31" s="8" t="n"/>
      <c r="F31" s="8" t="n"/>
      <c r="G31" s="8" t="n"/>
      <c r="H31" s="8" t="n"/>
      <c r="I31" s="9" t="n"/>
      <c r="J31" s="9" t="n"/>
      <c r="K31" s="9" t="n"/>
      <c r="L31" s="9" t="n"/>
      <c r="M31" s="9" t="n"/>
      <c r="N31" s="10" t="n"/>
      <c r="O31" s="9" t="n"/>
      <c r="Q31" s="8" t="n"/>
      <c r="R31" s="7" t="n"/>
      <c r="S31" s="9" t="n"/>
      <c r="U31" s="8" t="n"/>
      <c r="V31" s="11" t="n"/>
      <c r="W31" s="7" t="n"/>
      <c r="X31" s="9" t="n"/>
    </row>
    <row r="32">
      <c r="A32" s="7" t="n"/>
      <c r="B32" s="8" t="n"/>
      <c r="C32" s="8" t="n"/>
      <c r="D32" s="8" t="n"/>
      <c r="E32" s="8" t="n"/>
      <c r="F32" s="8" t="n"/>
      <c r="G32" s="8" t="n"/>
      <c r="H32" s="8" t="n"/>
      <c r="I32" s="9" t="n"/>
      <c r="J32" s="9" t="n"/>
      <c r="K32" s="9" t="n"/>
      <c r="L32" s="9" t="n"/>
      <c r="M32" s="9" t="n"/>
      <c r="N32" s="10" t="n"/>
      <c r="O32" s="9" t="n"/>
      <c r="Q32" s="8" t="n"/>
      <c r="R32" s="7" t="n"/>
      <c r="S32" s="9" t="n"/>
      <c r="U32" s="8" t="n"/>
      <c r="V32" s="11" t="n"/>
      <c r="W32" s="7" t="n"/>
      <c r="X32" s="9" t="n"/>
    </row>
    <row r="33">
      <c r="A33" s="7" t="n"/>
      <c r="B33" s="8" t="n"/>
      <c r="C33" s="8" t="n"/>
      <c r="D33" s="8" t="n"/>
      <c r="E33" s="8" t="n"/>
      <c r="F33" s="8" t="n"/>
      <c r="G33" s="8" t="n"/>
      <c r="H33" s="8" t="n"/>
      <c r="I33" s="9" t="n"/>
      <c r="J33" s="9" t="n"/>
      <c r="K33" s="9" t="n"/>
      <c r="L33" s="9" t="n"/>
      <c r="M33" s="9" t="n"/>
      <c r="N33" s="10" t="n"/>
      <c r="O33" s="9" t="n"/>
    </row>
    <row r="34">
      <c r="A34" s="7" t="n"/>
      <c r="B34" s="8" t="n"/>
      <c r="C34" s="8" t="n"/>
      <c r="D34" s="8" t="n"/>
      <c r="E34" s="8" t="n"/>
      <c r="F34" s="8" t="n"/>
      <c r="G34" s="8" t="n"/>
      <c r="H34" s="8" t="n"/>
      <c r="I34" s="9" t="n"/>
      <c r="J34" s="9" t="n"/>
      <c r="K34" s="9" t="n"/>
      <c r="L34" s="9" t="n"/>
      <c r="M34" s="9" t="n"/>
      <c r="N34" s="10" t="n"/>
      <c r="O34" s="9" t="n"/>
    </row>
    <row r="35">
      <c r="A35" s="7" t="n"/>
      <c r="B35" s="8" t="n"/>
      <c r="C35" s="8" t="n"/>
      <c r="D35" s="8" t="n"/>
      <c r="E35" s="8" t="n"/>
      <c r="F35" s="8" t="n"/>
      <c r="G35" s="8" t="n"/>
      <c r="H35" s="8" t="n"/>
      <c r="I35" s="9" t="n"/>
      <c r="J35" s="9" t="n"/>
      <c r="K35" s="9" t="n"/>
      <c r="L35" s="9" t="n"/>
      <c r="M35" s="9" t="n"/>
      <c r="N35" s="10" t="n"/>
      <c r="O35" s="9" t="n"/>
    </row>
    <row r="36">
      <c r="A36" s="7" t="n"/>
      <c r="B36" s="8" t="n"/>
      <c r="C36" s="8" t="n"/>
      <c r="D36" s="8" t="n"/>
      <c r="E36" s="8" t="n"/>
      <c r="F36" s="8" t="n"/>
      <c r="G36" s="8" t="n"/>
      <c r="H36" s="8" t="n"/>
      <c r="I36" s="9" t="n"/>
      <c r="J36" s="9" t="n"/>
      <c r="K36" s="9" t="n"/>
      <c r="L36" s="9" t="n"/>
      <c r="M36" s="9" t="n"/>
      <c r="N36" s="10" t="n"/>
      <c r="O36" s="9" t="n"/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  <c r="I37" s="9" t="n"/>
      <c r="J37" s="9" t="n"/>
      <c r="K37" s="9" t="n"/>
      <c r="L37" s="9" t="n"/>
      <c r="M37" s="9" t="n"/>
      <c r="N37" s="10" t="n"/>
      <c r="O37" s="9" t="n"/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  <c r="I38" s="9" t="n"/>
      <c r="J38" s="9" t="n"/>
      <c r="K38" s="9" t="n"/>
      <c r="L38" s="9" t="n"/>
      <c r="M38" s="9" t="n"/>
      <c r="N38" s="10" t="n"/>
      <c r="O38" s="9" t="n"/>
    </row>
    <row r="39">
      <c r="A39" s="7" t="n"/>
      <c r="B39" s="8" t="n"/>
      <c r="C39" s="8" t="n"/>
      <c r="D39" s="8" t="n"/>
      <c r="E39" s="8" t="n"/>
      <c r="F39" s="8" t="n"/>
      <c r="G39" s="8" t="n"/>
      <c r="H39" s="8" t="n"/>
      <c r="I39" s="9" t="n"/>
      <c r="J39" s="9" t="n"/>
      <c r="K39" s="9" t="n"/>
      <c r="L39" s="9" t="n"/>
      <c r="M39" s="9" t="n"/>
      <c r="N39" s="10" t="n"/>
      <c r="O39" s="9" t="n"/>
    </row>
    <row r="40">
      <c r="A40" s="7" t="n"/>
      <c r="B40" s="8" t="n"/>
      <c r="C40" s="8" t="n"/>
      <c r="D40" s="8" t="n"/>
      <c r="E40" s="8" t="n"/>
      <c r="F40" s="8" t="n"/>
      <c r="G40" s="8" t="n"/>
      <c r="H40" s="8" t="n"/>
      <c r="I40" s="9" t="n"/>
      <c r="J40" s="9" t="n"/>
      <c r="K40" s="9" t="n"/>
      <c r="L40" s="9" t="n"/>
      <c r="M40" s="9" t="n"/>
      <c r="N40" s="10" t="n"/>
      <c r="O40" s="9" t="n"/>
    </row>
    <row r="41">
      <c r="A41" s="7" t="n"/>
      <c r="B41" s="8" t="n"/>
      <c r="C41" s="8" t="n"/>
      <c r="D41" s="8" t="n"/>
      <c r="E41" s="8" t="n"/>
      <c r="F41" s="8" t="n"/>
      <c r="G41" s="8" t="n"/>
      <c r="H41" s="8" t="n"/>
      <c r="I41" s="9" t="n"/>
      <c r="J41" s="9" t="n"/>
      <c r="K41" s="9" t="n"/>
      <c r="L41" s="9" t="n"/>
      <c r="M41" s="9" t="n"/>
      <c r="N41" s="10" t="n"/>
      <c r="O41" s="9" t="n"/>
    </row>
    <row r="42">
      <c r="A42" s="7" t="n"/>
      <c r="B42" s="8" t="n"/>
      <c r="C42" s="8" t="n"/>
      <c r="D42" s="8" t="n"/>
      <c r="E42" s="8" t="n"/>
      <c r="F42" s="8" t="n"/>
      <c r="G42" s="8" t="n"/>
      <c r="H42" s="8" t="n"/>
      <c r="I42" s="9" t="n"/>
      <c r="J42" s="9" t="n"/>
      <c r="K42" s="9" t="n"/>
      <c r="L42" s="9" t="n"/>
      <c r="M42" s="9" t="n"/>
      <c r="N42" s="10" t="n"/>
      <c r="O42" s="9" t="n"/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  <c r="I43" s="9" t="n"/>
      <c r="J43" s="9" t="n"/>
      <c r="K43" s="9" t="n"/>
      <c r="L43" s="9" t="n"/>
      <c r="M43" s="9" t="n"/>
      <c r="N43" s="10" t="n"/>
      <c r="O43" s="9" t="n"/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  <c r="I44" s="9" t="n"/>
      <c r="J44" s="9" t="n"/>
      <c r="K44" s="9" t="n"/>
      <c r="L44" s="9" t="n"/>
      <c r="M44" s="9" t="n"/>
      <c r="N44" s="10" t="n"/>
      <c r="O44" s="9" t="n"/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  <c r="I45" s="9" t="n"/>
      <c r="J45" s="9" t="n"/>
      <c r="K45" s="9" t="n"/>
      <c r="L45" s="9" t="n"/>
      <c r="M45" s="9" t="n"/>
      <c r="N45" s="10" t="n"/>
      <c r="O45" s="9" t="n"/>
    </row>
    <row r="46">
      <c r="A46" s="7" t="n"/>
      <c r="B46" s="8" t="n"/>
      <c r="C46" s="8" t="n"/>
      <c r="D46" s="8" t="n"/>
      <c r="E46" s="8" t="n"/>
      <c r="F46" s="8" t="n"/>
      <c r="G46" s="8" t="n"/>
      <c r="H46" s="8" t="n"/>
      <c r="I46" s="9" t="n"/>
      <c r="J46" s="9" t="n"/>
      <c r="K46" s="9" t="n"/>
      <c r="L46" s="9" t="n"/>
      <c r="M46" s="9" t="n"/>
      <c r="N46" s="10" t="n"/>
      <c r="O46" s="9" t="n"/>
    </row>
    <row r="47">
      <c r="A47" s="7" t="n"/>
      <c r="B47" s="8" t="n"/>
      <c r="C47" s="8" t="n"/>
      <c r="D47" s="8" t="n"/>
      <c r="E47" s="8" t="n"/>
      <c r="F47" s="8" t="n"/>
      <c r="G47" s="8" t="n"/>
      <c r="H47" s="8" t="n"/>
      <c r="I47" s="9" t="n"/>
      <c r="J47" s="9" t="n"/>
      <c r="K47" s="9" t="n"/>
      <c r="L47" s="9" t="n"/>
      <c r="M47" s="9" t="n"/>
      <c r="N47" s="10" t="n"/>
      <c r="O47" s="9" t="n"/>
    </row>
    <row r="48">
      <c r="A48" s="7" t="n"/>
      <c r="B48" s="8" t="n"/>
      <c r="C48" s="8" t="n"/>
      <c r="D48" s="8" t="n"/>
      <c r="E48" s="8" t="n"/>
      <c r="F48" s="8" t="n"/>
      <c r="G48" s="8" t="n"/>
      <c r="H48" s="8" t="n"/>
      <c r="I48" s="9" t="n"/>
      <c r="J48" s="9" t="n"/>
      <c r="K48" s="9" t="n"/>
      <c r="L48" s="9" t="n"/>
      <c r="M48" s="9" t="n"/>
      <c r="N48" s="10" t="n"/>
      <c r="O48" s="9" t="n"/>
    </row>
    <row r="49">
      <c r="A49" s="7" t="n"/>
      <c r="B49" s="8" t="n"/>
      <c r="C49" s="8" t="n"/>
      <c r="D49" s="8" t="n"/>
      <c r="E49" s="8" t="n"/>
      <c r="F49" s="8" t="n"/>
      <c r="G49" s="8" t="n"/>
      <c r="H49" s="8" t="n"/>
      <c r="I49" s="9" t="n"/>
      <c r="J49" s="9" t="n"/>
      <c r="K49" s="9" t="n"/>
      <c r="L49" s="9" t="n"/>
      <c r="M49" s="9" t="n"/>
      <c r="N49" s="10" t="n"/>
      <c r="O49" s="9" t="n"/>
    </row>
    <row r="50">
      <c r="A50" s="7" t="n"/>
      <c r="B50" s="8" t="n"/>
      <c r="C50" s="8" t="n"/>
      <c r="D50" s="8" t="n"/>
      <c r="E50" s="8" t="n"/>
      <c r="F50" s="8" t="n"/>
      <c r="G50" s="8" t="n"/>
      <c r="H50" s="8" t="n"/>
      <c r="I50" s="9" t="n"/>
      <c r="J50" s="9" t="n"/>
      <c r="K50" s="9" t="n"/>
      <c r="L50" s="9" t="n"/>
      <c r="M50" s="9" t="n"/>
      <c r="N50" s="10" t="n"/>
      <c r="O50" s="9" t="n"/>
    </row>
    <row r="51">
      <c r="A51" s="7" t="n"/>
      <c r="B51" s="8" t="n"/>
      <c r="C51" s="8" t="n"/>
      <c r="D51" s="8" t="n"/>
      <c r="E51" s="8" t="n"/>
      <c r="F51" s="8" t="n"/>
      <c r="G51" s="8" t="n"/>
      <c r="H51" s="8" t="n"/>
      <c r="I51" s="9" t="n"/>
      <c r="J51" s="9" t="n"/>
      <c r="K51" s="9" t="n"/>
      <c r="L51" s="9" t="n"/>
      <c r="M51" s="9" t="n"/>
      <c r="N51" s="10" t="n"/>
      <c r="O51" s="9" t="n"/>
    </row>
    <row r="52">
      <c r="A52" s="7" t="n"/>
      <c r="B52" s="8" t="n"/>
      <c r="C52" s="8" t="n"/>
      <c r="D52" s="8" t="n"/>
      <c r="E52" s="8" t="n"/>
      <c r="F52" s="8" t="n"/>
      <c r="G52" s="8" t="n"/>
      <c r="H52" s="8" t="n"/>
      <c r="I52" s="9" t="n"/>
      <c r="J52" s="9" t="n"/>
      <c r="K52" s="9" t="n"/>
      <c r="L52" s="9" t="n"/>
      <c r="M52" s="9" t="n"/>
      <c r="N52" s="10" t="n"/>
      <c r="O52" s="9" t="n"/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  <c r="I53" s="9" t="n"/>
      <c r="J53" s="9" t="n"/>
      <c r="K53" s="9" t="n"/>
      <c r="L53" s="9" t="n"/>
      <c r="M53" s="9" t="n"/>
      <c r="N53" s="10" t="n"/>
      <c r="O53" s="9" t="n"/>
    </row>
    <row r="54">
      <c r="A54" s="7" t="n"/>
      <c r="B54" s="8" t="n"/>
      <c r="C54" s="8" t="n"/>
      <c r="D54" s="8" t="n"/>
      <c r="E54" s="8" t="n"/>
      <c r="F54" s="8" t="n"/>
      <c r="G54" s="8" t="n"/>
      <c r="H54" s="8" t="n"/>
      <c r="I54" s="9" t="n"/>
      <c r="J54" s="9" t="n"/>
      <c r="K54" s="9" t="n"/>
      <c r="L54" s="9" t="n"/>
      <c r="M54" s="9" t="n"/>
      <c r="N54" s="10" t="n"/>
      <c r="O54" s="9" t="n"/>
    </row>
    <row r="55">
      <c r="A55" s="7" t="n"/>
      <c r="B55" s="8" t="n"/>
      <c r="C55" s="8" t="n"/>
      <c r="D55" s="8" t="n"/>
      <c r="E55" s="8" t="n"/>
      <c r="F55" s="8" t="n"/>
      <c r="G55" s="8" t="n"/>
      <c r="H55" s="8" t="n"/>
      <c r="I55" s="9" t="n"/>
      <c r="J55" s="9" t="n"/>
      <c r="K55" s="9" t="n"/>
      <c r="L55" s="9" t="n"/>
      <c r="M55" s="9" t="n"/>
      <c r="N55" s="10" t="n"/>
      <c r="O55" s="9" t="n"/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  <c r="I56" s="9" t="n"/>
      <c r="J56" s="9" t="n"/>
      <c r="K56" s="9" t="n"/>
      <c r="L56" s="9" t="n"/>
      <c r="M56" s="9" t="n"/>
      <c r="N56" s="10" t="n"/>
      <c r="O56" s="9" t="n"/>
    </row>
    <row r="57">
      <c r="A57" s="7" t="n"/>
      <c r="B57" s="8" t="n"/>
      <c r="C57" s="8" t="n"/>
      <c r="D57" s="8" t="n"/>
      <c r="E57" s="8" t="n"/>
      <c r="F57" s="8" t="n"/>
      <c r="G57" s="8" t="n"/>
      <c r="H57" s="8" t="n"/>
      <c r="I57" s="9" t="n"/>
      <c r="J57" s="9" t="n"/>
      <c r="K57" s="9" t="n"/>
      <c r="L57" s="9" t="n"/>
      <c r="M57" s="9" t="n"/>
      <c r="N57" s="10" t="n"/>
      <c r="O57" s="9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  <c r="I58" s="9" t="n"/>
      <c r="J58" s="9" t="n"/>
      <c r="K58" s="9" t="n"/>
      <c r="L58" s="9" t="n"/>
      <c r="M58" s="9" t="n"/>
      <c r="N58" s="10" t="n"/>
      <c r="O58" s="9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  <c r="I59" s="9" t="n"/>
      <c r="J59" s="9" t="n"/>
      <c r="K59" s="9" t="n"/>
      <c r="L59" s="9" t="n"/>
      <c r="M59" s="9" t="n"/>
      <c r="N59" s="10" t="n"/>
      <c r="O59" s="9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  <c r="I60" s="9" t="n"/>
      <c r="J60" s="9" t="n"/>
      <c r="K60" s="9" t="n"/>
      <c r="L60" s="9" t="n"/>
      <c r="M60" s="9" t="n"/>
      <c r="N60" s="10" t="n"/>
      <c r="O60" s="9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  <c r="I61" s="9" t="n"/>
      <c r="J61" s="9" t="n"/>
      <c r="K61" s="9" t="n"/>
      <c r="L61" s="9" t="n"/>
      <c r="M61" s="9" t="n"/>
      <c r="N61" s="10" t="n"/>
      <c r="O61" s="9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  <c r="I62" s="9" t="n"/>
      <c r="J62" s="9" t="n"/>
      <c r="K62" s="9" t="n"/>
      <c r="L62" s="9" t="n"/>
      <c r="M62" s="9" t="n"/>
      <c r="N62" s="10" t="n"/>
      <c r="O62" s="9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  <c r="I63" s="9" t="n"/>
      <c r="J63" s="9" t="n"/>
      <c r="K63" s="9" t="n"/>
      <c r="L63" s="9" t="n"/>
      <c r="M63" s="9" t="n"/>
      <c r="N63" s="10" t="n"/>
      <c r="O63" s="9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  <c r="I64" s="9" t="n"/>
      <c r="J64" s="9" t="n"/>
      <c r="K64" s="9" t="n"/>
      <c r="L64" s="9" t="n"/>
      <c r="M64" s="9" t="n"/>
      <c r="N64" s="10" t="n"/>
      <c r="O64" s="9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  <c r="I65" s="9" t="n"/>
      <c r="J65" s="9" t="n"/>
      <c r="K65" s="9" t="n"/>
      <c r="L65" s="9" t="n"/>
      <c r="M65" s="9" t="n"/>
      <c r="N65" s="10" t="n"/>
      <c r="O65" s="9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  <c r="I66" s="9" t="n"/>
      <c r="J66" s="9" t="n"/>
      <c r="K66" s="9" t="n"/>
      <c r="L66" s="9" t="n"/>
      <c r="M66" s="9" t="n"/>
      <c r="N66" s="10" t="n"/>
      <c r="O66" s="9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  <c r="I67" s="9" t="n"/>
      <c r="J67" s="9" t="n"/>
      <c r="K67" s="9" t="n"/>
      <c r="L67" s="9" t="n"/>
      <c r="M67" s="9" t="n"/>
      <c r="N67" s="10" t="n"/>
      <c r="O67" s="9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  <c r="I68" s="9" t="n"/>
      <c r="J68" s="9" t="n"/>
      <c r="K68" s="9" t="n"/>
      <c r="L68" s="9" t="n"/>
      <c r="M68" s="9" t="n"/>
      <c r="N68" s="10" t="n"/>
      <c r="O68" s="9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  <c r="I69" s="9" t="n"/>
      <c r="J69" s="9" t="n"/>
      <c r="K69" s="9" t="n"/>
      <c r="L69" s="9" t="n"/>
      <c r="M69" s="9" t="n"/>
      <c r="N69" s="10" t="n"/>
      <c r="O69" s="9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  <c r="I70" s="9" t="n"/>
      <c r="J70" s="9" t="n"/>
      <c r="K70" s="9" t="n"/>
      <c r="L70" s="9" t="n"/>
      <c r="M70" s="9" t="n"/>
      <c r="N70" s="10" t="n"/>
      <c r="O70" s="9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  <c r="I71" s="9" t="n"/>
      <c r="J71" s="9" t="n"/>
      <c r="K71" s="9" t="n"/>
      <c r="L71" s="9" t="n"/>
      <c r="M71" s="9" t="n"/>
      <c r="N71" s="10" t="n"/>
      <c r="O71" s="9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  <c r="I72" s="9" t="n"/>
      <c r="J72" s="9" t="n"/>
      <c r="K72" s="9" t="n"/>
      <c r="L72" s="9" t="n"/>
      <c r="M72" s="9" t="n"/>
      <c r="N72" s="10" t="n"/>
      <c r="O72" s="9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  <c r="I73" s="9" t="n"/>
      <c r="J73" s="9" t="n"/>
      <c r="K73" s="9" t="n"/>
      <c r="L73" s="9" t="n"/>
      <c r="M73" s="9" t="n"/>
      <c r="N73" s="10" t="n"/>
      <c r="O73" s="9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  <c r="I74" s="9" t="n"/>
      <c r="J74" s="9" t="n"/>
      <c r="K74" s="9" t="n"/>
      <c r="L74" s="9" t="n"/>
      <c r="M74" s="9" t="n"/>
      <c r="N74" s="10" t="n"/>
      <c r="O74" s="9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  <c r="I75" s="9" t="n"/>
      <c r="J75" s="9" t="n"/>
      <c r="K75" s="9" t="n"/>
      <c r="L75" s="9" t="n"/>
      <c r="M75" s="9" t="n"/>
      <c r="N75" s="10" t="n"/>
      <c r="O75" s="9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  <c r="I76" s="9" t="n"/>
      <c r="J76" s="9" t="n"/>
      <c r="K76" s="9" t="n"/>
      <c r="L76" s="9" t="n"/>
      <c r="M76" s="9" t="n"/>
      <c r="N76" s="10" t="n"/>
      <c r="O76" s="9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  <c r="I77" s="9" t="n"/>
      <c r="J77" s="9" t="n"/>
      <c r="K77" s="9" t="n"/>
      <c r="L77" s="9" t="n"/>
      <c r="M77" s="9" t="n"/>
      <c r="N77" s="10" t="n"/>
      <c r="O77" s="9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  <c r="I78" s="9" t="n"/>
      <c r="J78" s="9" t="n"/>
      <c r="K78" s="9" t="n"/>
      <c r="L78" s="9" t="n"/>
      <c r="M78" s="9" t="n"/>
      <c r="N78" s="10" t="n"/>
      <c r="O78" s="9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  <c r="I79" s="9" t="n"/>
      <c r="J79" s="9" t="n"/>
      <c r="K79" s="9" t="n"/>
      <c r="L79" s="9" t="n"/>
      <c r="M79" s="9" t="n"/>
      <c r="N79" s="10" t="n"/>
      <c r="O79" s="9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  <c r="I80" s="9" t="n"/>
      <c r="J80" s="9" t="n"/>
      <c r="K80" s="9" t="n"/>
      <c r="L80" s="9" t="n"/>
      <c r="M80" s="9" t="n"/>
      <c r="N80" s="10" t="n"/>
      <c r="O80" s="9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  <c r="I81" s="9" t="n"/>
      <c r="J81" s="9" t="n"/>
      <c r="K81" s="9" t="n"/>
      <c r="L81" s="9" t="n"/>
      <c r="M81" s="9" t="n"/>
      <c r="N81" s="10" t="n"/>
      <c r="O81" s="9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  <c r="I82" s="9" t="n"/>
      <c r="J82" s="9" t="n"/>
      <c r="K82" s="9" t="n"/>
      <c r="L82" s="9" t="n"/>
      <c r="M82" s="9" t="n"/>
      <c r="N82" s="10" t="n"/>
      <c r="O82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8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22" customWidth="1" min="4" max="4"/>
    <col width="30" customWidth="1" min="5" max="5"/>
    <col width="12" customWidth="1" min="6" max="6"/>
    <col width="30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8" customWidth="1" min="14" max="14"/>
    <col width="16" customWidth="1" min="15" max="15"/>
    <col width="22" customWidth="1" min="17" max="17"/>
    <col width="14" customWidth="1" min="18" max="18"/>
    <col width="16" customWidth="1" min="19" max="19"/>
    <col width="2" customWidth="1" min="20" max="20"/>
    <col width="32" customWidth="1" min="21" max="21"/>
    <col width="22" customWidth="1" min="22" max="22"/>
    <col width="14" customWidth="1" min="23" max="23"/>
    <col width="16" customWidth="1" min="24" max="24"/>
  </cols>
  <sheetData>
    <row r="1" ht="28" customHeight="1">
      <c r="A1" s="1" t="inlineStr">
        <is>
          <t>SELETIVA LONDRINA</t>
        </is>
      </c>
      <c r="B1" s="1" t="inlineStr">
        <is>
          <t>FOLHA DE PAGAMENTO ABRIL/2026</t>
        </is>
      </c>
      <c r="I1" s="2">
        <f>SUMIFS(tbl_dados[Provisão de Férias + 13°],tbl_dados[Tomador],$A$1)</f>
        <v/>
      </c>
      <c r="J1" s="2">
        <f>SUMIFS(tbl_dados[Provisão de Encargos],tbl_dados[Tomador],$A$1)</f>
        <v/>
      </c>
      <c r="K1" s="1" t="inlineStr">
        <is>
          <t>Soma</t>
        </is>
      </c>
      <c r="M1" s="2">
        <f>SUMIFS(tbl_dados[TT BRUTO ABRIL],tbl_dados[Tomador],$A$1)</f>
        <v/>
      </c>
      <c r="O1" s="2">
        <f>SUMIFS(tbl_dados[TT BRUTO MARÇO],tbl_dados[Tomador],$A$1)</f>
        <v/>
      </c>
    </row>
    <row r="2" ht="36" customHeight="1">
      <c r="A2" s="3" t="inlineStr">
        <is>
          <t>Qtde</t>
        </is>
      </c>
      <c r="B2" s="3" t="inlineStr">
        <is>
          <t>FUNCIONÁRIO</t>
        </is>
      </c>
      <c r="C2" s="3" t="inlineStr">
        <is>
          <t>Tipo</t>
        </is>
      </c>
      <c r="D2" s="3" t="inlineStr">
        <is>
          <t>Setor</t>
        </is>
      </c>
      <c r="E2" s="3" t="inlineStr">
        <is>
          <t xml:space="preserve">Função </t>
        </is>
      </c>
      <c r="F2" s="3" t="inlineStr">
        <is>
          <t>Status</t>
        </is>
      </c>
      <c r="G2" s="3" t="inlineStr">
        <is>
          <t>Empresa Registro</t>
        </is>
      </c>
      <c r="H2" s="3" t="inlineStr">
        <is>
          <t>CNPJ</t>
        </is>
      </c>
      <c r="I2" s="3" t="inlineStr">
        <is>
          <t>Provisão
de Férias + 13°</t>
        </is>
      </c>
      <c r="J2" s="3" t="inlineStr">
        <is>
          <t>Provisão 
de Encargos</t>
        </is>
      </c>
      <c r="K2" s="3" t="inlineStr">
        <is>
          <t>Eventos Folha
(Caixa)</t>
        </is>
      </c>
      <c r="L2" s="3" t="inlineStr">
        <is>
          <t>Sal PF</t>
        </is>
      </c>
      <c r="M2" s="3" t="inlineStr">
        <is>
          <t>TT BRUTO
ABRIL</t>
        </is>
      </c>
      <c r="N2" s="3" t="inlineStr">
        <is>
          <t>%</t>
        </is>
      </c>
      <c r="O2" s="3" t="inlineStr">
        <is>
          <t>TT BRUTO
MARÇO</t>
        </is>
      </c>
      <c r="Q2" s="3" t="inlineStr">
        <is>
          <t>MODALIDADE</t>
        </is>
      </c>
      <c r="R2" s="3" t="inlineStr">
        <is>
          <t>FUNCIONÁRIOS</t>
        </is>
      </c>
      <c r="S2" s="3" t="inlineStr">
        <is>
          <t>TT BRUTO</t>
        </is>
      </c>
      <c r="U2" s="3" t="inlineStr">
        <is>
          <t>EMPRESA</t>
        </is>
      </c>
      <c r="V2" s="3" t="inlineStr">
        <is>
          <t>CNPJ</t>
        </is>
      </c>
      <c r="W2" s="3" t="inlineStr">
        <is>
          <t>FUNCIONÁRIOS</t>
        </is>
      </c>
      <c r="X2" s="3" t="inlineStr">
        <is>
          <t>TT BRUTO</t>
        </is>
      </c>
    </row>
    <row r="3">
      <c r="A3" s="7">
        <f>IFERROR(_xlfn.SEQUENCE(ROWS(B3#)),"")</f>
        <v/>
      </c>
      <c r="B3" s="8">
        <f>IFERROR(_xlfn._xlws.SORT(_xlfn._xlws.FILTER(tbl_dados[[FUNCIONÁRIO]:[TT BRUTO ABRIL]],tbl_dados[Tomador]=$A$1),12,-1),"")</f>
        <v/>
      </c>
      <c r="C3" s="8" t="n"/>
      <c r="D3" s="8" t="n"/>
      <c r="E3" s="8" t="n"/>
      <c r="F3" s="8" t="n"/>
      <c r="G3" s="8" t="n"/>
      <c r="H3" s="8" t="n"/>
      <c r="I3" s="9" t="n"/>
      <c r="J3" s="9" t="n"/>
      <c r="K3" s="9" t="n"/>
      <c r="L3" s="9" t="n"/>
      <c r="M3" s="9" t="n"/>
      <c r="N3" s="10">
        <f>IFERROR(INDEX(B3#,,12)/$M$1,"")</f>
        <v/>
      </c>
      <c r="O3" s="9">
        <f>IFERROR(INDEX(_xlfn._xlws.SORT(_xlfn._xlws.FILTER(tbl_dados[[FUNCIONÁRIO]:[TT BRUTO MARÇO]],tbl_dados[Tomador]=$A$1),12,-1),,13),"")</f>
        <v/>
      </c>
      <c r="Q3" s="8">
        <f>IFERROR(_xlfn.UNIQUE(_xlfn._xlws.FILTER(tbl_dados[Tipo],tbl_dados[Tomador]=$A$1)),"")</f>
        <v/>
      </c>
      <c r="R3" s="7">
        <f>IFERROR(_xlfn.BYROW(Q3#,_xlfn.LAMBDA(_x,COUNTIFS(tbl_dados[Tomador],$A$1,tbl_dados[Tipo],_x))),"")</f>
        <v/>
      </c>
      <c r="S3" s="9">
        <f>IFERROR(_xlfn.BYROW(Q3#,_xlfn.LAMBDA(_x,SUMIFS(tbl_dados[TT BRUTO ABRIL],tbl_dados[Tomador],$A$1,tbl_dados[Tipo],_x))),"")</f>
        <v/>
      </c>
      <c r="U3" s="8">
        <f>IFERROR(_xlfn.UNIQUE(_xlfn._xlws.FILTER(tbl_dados[Empresa Registro],tbl_dados[Tomador]=$A$1)),"")</f>
        <v/>
      </c>
      <c r="V3" s="11">
        <f>IFERROR(_xlfn.BYROW(U3#,_xlfn.LAMBDA(_x,IFERROR(INDEX(tbl_dados[CNPJ],MATCH(_x,tbl_dados[Empresa Registro],0)),""))),"")</f>
        <v/>
      </c>
      <c r="W3" s="7">
        <f>IFERROR(_xlfn.BYROW(U3#,_xlfn.LAMBDA(_x,COUNTIFS(tbl_dados[Tomador],$A$1,tbl_dados[Empresa Registro],_x))),"")</f>
        <v/>
      </c>
      <c r="X3" s="9">
        <f>IFERROR(_xlfn.BYROW(U3#,_xlfn.LAMBDA(_x,SUMIFS(tbl_dados[TT BRUTO ABRIL],tbl_dados[Tomador],$A$1,tbl_dados[Empresa Registro],_x))),"")</f>
        <v/>
      </c>
    </row>
    <row r="4">
      <c r="A4" s="7" t="n"/>
      <c r="B4" s="8" t="n"/>
      <c r="C4" s="8" t="n"/>
      <c r="D4" s="8" t="n"/>
      <c r="E4" s="8" t="n"/>
      <c r="F4" s="8" t="n"/>
      <c r="G4" s="8" t="n"/>
      <c r="H4" s="8" t="n"/>
      <c r="I4" s="9" t="n"/>
      <c r="J4" s="9" t="n"/>
      <c r="K4" s="9" t="n"/>
      <c r="L4" s="9" t="n"/>
      <c r="M4" s="9" t="n"/>
      <c r="N4" s="10" t="n"/>
      <c r="O4" s="9" t="n"/>
      <c r="Q4" s="8" t="n"/>
      <c r="R4" s="7" t="n"/>
      <c r="S4" s="9" t="n"/>
      <c r="U4" s="8" t="n"/>
      <c r="V4" s="11" t="n"/>
      <c r="W4" s="7" t="n"/>
      <c r="X4" s="9" t="n"/>
    </row>
    <row r="5">
      <c r="A5" s="7" t="n"/>
      <c r="B5" s="8" t="n"/>
      <c r="C5" s="8" t="n"/>
      <c r="D5" s="8" t="n"/>
      <c r="E5" s="8" t="n"/>
      <c r="F5" s="8" t="n"/>
      <c r="G5" s="8" t="n"/>
      <c r="H5" s="8" t="n"/>
      <c r="I5" s="9" t="n"/>
      <c r="J5" s="9" t="n"/>
      <c r="K5" s="9" t="n"/>
      <c r="L5" s="9" t="n"/>
      <c r="M5" s="9" t="n"/>
      <c r="N5" s="10" t="n"/>
      <c r="O5" s="9" t="n"/>
      <c r="Q5" s="8" t="n"/>
      <c r="R5" s="7" t="n"/>
      <c r="S5" s="9" t="n"/>
      <c r="U5" s="8" t="n"/>
      <c r="V5" s="11" t="n"/>
      <c r="W5" s="7" t="n"/>
      <c r="X5" s="9" t="n"/>
    </row>
    <row r="6">
      <c r="A6" s="7" t="n"/>
      <c r="B6" s="8" t="n"/>
      <c r="C6" s="8" t="n"/>
      <c r="D6" s="8" t="n"/>
      <c r="E6" s="8" t="n"/>
      <c r="F6" s="8" t="n"/>
      <c r="G6" s="8" t="n"/>
      <c r="H6" s="8" t="n"/>
      <c r="I6" s="9" t="n"/>
      <c r="J6" s="9" t="n"/>
      <c r="K6" s="9" t="n"/>
      <c r="L6" s="9" t="n"/>
      <c r="M6" s="9" t="n"/>
      <c r="N6" s="10" t="n"/>
      <c r="O6" s="9" t="n"/>
      <c r="Q6" s="8" t="n"/>
      <c r="R6" s="7" t="n"/>
      <c r="S6" s="9" t="n"/>
      <c r="U6" s="8" t="n"/>
      <c r="V6" s="11" t="n"/>
      <c r="W6" s="7" t="n"/>
      <c r="X6" s="9" t="n"/>
    </row>
    <row r="7">
      <c r="A7" s="7" t="n"/>
      <c r="B7" s="8" t="n"/>
      <c r="C7" s="8" t="n"/>
      <c r="D7" s="8" t="n"/>
      <c r="E7" s="8" t="n"/>
      <c r="F7" s="8" t="n"/>
      <c r="G7" s="8" t="n"/>
      <c r="H7" s="8" t="n"/>
      <c r="I7" s="9" t="n"/>
      <c r="J7" s="9" t="n"/>
      <c r="K7" s="9" t="n"/>
      <c r="L7" s="9" t="n"/>
      <c r="M7" s="9" t="n"/>
      <c r="N7" s="10" t="n"/>
      <c r="O7" s="9" t="n"/>
      <c r="Q7" s="8" t="n"/>
      <c r="R7" s="7" t="n"/>
      <c r="S7" s="9" t="n"/>
      <c r="U7" s="8" t="n"/>
      <c r="V7" s="11" t="n"/>
      <c r="W7" s="7" t="n"/>
      <c r="X7" s="9" t="n"/>
    </row>
    <row r="8">
      <c r="A8" s="7" t="n"/>
      <c r="B8" s="8" t="n"/>
      <c r="C8" s="8" t="n"/>
      <c r="D8" s="8" t="n"/>
      <c r="E8" s="8" t="n"/>
      <c r="F8" s="8" t="n"/>
      <c r="G8" s="8" t="n"/>
      <c r="H8" s="8" t="n"/>
      <c r="I8" s="9" t="n"/>
      <c r="J8" s="9" t="n"/>
      <c r="K8" s="9" t="n"/>
      <c r="L8" s="9" t="n"/>
      <c r="M8" s="9" t="n"/>
      <c r="N8" s="10" t="n"/>
      <c r="O8" s="9" t="n"/>
      <c r="Q8" s="8" t="n"/>
      <c r="R8" s="7" t="n"/>
      <c r="S8" s="9" t="n"/>
      <c r="U8" s="8" t="n"/>
      <c r="V8" s="11" t="n"/>
      <c r="W8" s="7" t="n"/>
      <c r="X8" s="9" t="n"/>
    </row>
    <row r="9">
      <c r="A9" s="7" t="n"/>
      <c r="B9" s="8" t="n"/>
      <c r="C9" s="8" t="n"/>
      <c r="D9" s="8" t="n"/>
      <c r="E9" s="8" t="n"/>
      <c r="F9" s="8" t="n"/>
      <c r="G9" s="8" t="n"/>
      <c r="H9" s="8" t="n"/>
      <c r="I9" s="9" t="n"/>
      <c r="J9" s="9" t="n"/>
      <c r="K9" s="9" t="n"/>
      <c r="L9" s="9" t="n"/>
      <c r="M9" s="9" t="n"/>
      <c r="N9" s="10" t="n"/>
      <c r="O9" s="9" t="n"/>
      <c r="Q9" s="8" t="n"/>
      <c r="R9" s="7" t="n"/>
      <c r="S9" s="9" t="n"/>
      <c r="U9" s="8" t="n"/>
      <c r="V9" s="11" t="n"/>
      <c r="W9" s="7" t="n"/>
      <c r="X9" s="9" t="n"/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  <c r="I10" s="9" t="n"/>
      <c r="J10" s="9" t="n"/>
      <c r="K10" s="9" t="n"/>
      <c r="L10" s="9" t="n"/>
      <c r="M10" s="9" t="n"/>
      <c r="N10" s="10" t="n"/>
      <c r="O10" s="9" t="n"/>
      <c r="Q10" s="8" t="n"/>
      <c r="R10" s="7" t="n"/>
      <c r="S10" s="9" t="n"/>
      <c r="U10" s="8" t="n"/>
      <c r="V10" s="11" t="n"/>
      <c r="W10" s="7" t="n"/>
      <c r="X10" s="9" t="n"/>
    </row>
    <row r="11">
      <c r="A11" s="7" t="n"/>
      <c r="B11" s="8" t="n"/>
      <c r="C11" s="8" t="n"/>
      <c r="D11" s="8" t="n"/>
      <c r="E11" s="8" t="n"/>
      <c r="F11" s="8" t="n"/>
      <c r="G11" s="8" t="n"/>
      <c r="H11" s="8" t="n"/>
      <c r="I11" s="9" t="n"/>
      <c r="J11" s="9" t="n"/>
      <c r="K11" s="9" t="n"/>
      <c r="L11" s="9" t="n"/>
      <c r="M11" s="9" t="n"/>
      <c r="N11" s="10" t="n"/>
      <c r="O11" s="9" t="n"/>
      <c r="Q11" s="8" t="n"/>
      <c r="R11" s="7" t="n"/>
      <c r="S11" s="9" t="n"/>
      <c r="U11" s="8" t="n"/>
      <c r="V11" s="11" t="n"/>
      <c r="W11" s="7" t="n"/>
      <c r="X11" s="9" t="n"/>
    </row>
    <row r="12">
      <c r="A12" s="7" t="n"/>
      <c r="B12" s="8" t="n"/>
      <c r="C12" s="8" t="n"/>
      <c r="D12" s="8" t="n"/>
      <c r="E12" s="8" t="n"/>
      <c r="F12" s="8" t="n"/>
      <c r="G12" s="8" t="n"/>
      <c r="H12" s="8" t="n"/>
      <c r="I12" s="9" t="n"/>
      <c r="J12" s="9" t="n"/>
      <c r="K12" s="9" t="n"/>
      <c r="L12" s="9" t="n"/>
      <c r="M12" s="9" t="n"/>
      <c r="N12" s="10" t="n"/>
      <c r="O12" s="9" t="n"/>
      <c r="Q12" s="8" t="n"/>
      <c r="R12" s="7" t="n"/>
      <c r="S12" s="9" t="n"/>
      <c r="U12" s="8" t="n"/>
      <c r="V12" s="11" t="n"/>
      <c r="W12" s="7" t="n"/>
      <c r="X12" s="9" t="n"/>
    </row>
    <row r="13">
      <c r="A13" s="7" t="n"/>
      <c r="B13" s="8" t="n"/>
      <c r="C13" s="8" t="n"/>
      <c r="D13" s="8" t="n"/>
      <c r="E13" s="8" t="n"/>
      <c r="F13" s="8" t="n"/>
      <c r="G13" s="8" t="n"/>
      <c r="H13" s="8" t="n"/>
      <c r="I13" s="9" t="n"/>
      <c r="J13" s="9" t="n"/>
      <c r="K13" s="9" t="n"/>
      <c r="L13" s="9" t="n"/>
      <c r="M13" s="9" t="n"/>
      <c r="N13" s="10" t="n"/>
      <c r="O13" s="9" t="n"/>
      <c r="Q13" s="8" t="n"/>
      <c r="R13" s="7" t="n"/>
      <c r="S13" s="9" t="n"/>
      <c r="U13" s="8" t="n"/>
      <c r="V13" s="11" t="n"/>
      <c r="W13" s="7" t="n"/>
      <c r="X13" s="9" t="n"/>
    </row>
    <row r="14">
      <c r="A14" s="7" t="n"/>
      <c r="B14" s="8" t="n"/>
      <c r="C14" s="8" t="n"/>
      <c r="D14" s="8" t="n"/>
      <c r="E14" s="8" t="n"/>
      <c r="F14" s="8" t="n"/>
      <c r="G14" s="8" t="n"/>
      <c r="H14" s="8" t="n"/>
      <c r="I14" s="9" t="n"/>
      <c r="J14" s="9" t="n"/>
      <c r="K14" s="9" t="n"/>
      <c r="L14" s="9" t="n"/>
      <c r="M14" s="9" t="n"/>
      <c r="N14" s="10" t="n"/>
      <c r="O14" s="9" t="n"/>
      <c r="Q14" s="8" t="n"/>
      <c r="R14" s="7" t="n"/>
      <c r="S14" s="9" t="n"/>
      <c r="U14" s="8" t="n"/>
      <c r="V14" s="11" t="n"/>
      <c r="W14" s="7" t="n"/>
      <c r="X14" s="9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9" t="n"/>
      <c r="J15" s="9" t="n"/>
      <c r="K15" s="9" t="n"/>
      <c r="L15" s="9" t="n"/>
      <c r="M15" s="9" t="n"/>
      <c r="N15" s="10" t="n"/>
      <c r="O15" s="9" t="n"/>
      <c r="Q15" s="8" t="n"/>
      <c r="R15" s="7" t="n"/>
      <c r="S15" s="9" t="n"/>
      <c r="U15" s="8" t="n"/>
      <c r="V15" s="11" t="n"/>
      <c r="W15" s="7" t="n"/>
      <c r="X15" s="9" t="n"/>
    </row>
    <row r="16">
      <c r="A16" s="7" t="n"/>
      <c r="B16" s="8" t="n"/>
      <c r="C16" s="8" t="n"/>
      <c r="D16" s="8" t="n"/>
      <c r="E16" s="8" t="n"/>
      <c r="F16" s="8" t="n"/>
      <c r="G16" s="8" t="n"/>
      <c r="H16" s="8" t="n"/>
      <c r="I16" s="9" t="n"/>
      <c r="J16" s="9" t="n"/>
      <c r="K16" s="9" t="n"/>
      <c r="L16" s="9" t="n"/>
      <c r="M16" s="9" t="n"/>
      <c r="N16" s="10" t="n"/>
      <c r="O16" s="9" t="n"/>
      <c r="Q16" s="8" t="n"/>
      <c r="R16" s="7" t="n"/>
      <c r="S16" s="9" t="n"/>
      <c r="U16" s="8" t="n"/>
      <c r="V16" s="11" t="n"/>
      <c r="W16" s="7" t="n"/>
      <c r="X16" s="9" t="n"/>
    </row>
    <row r="17">
      <c r="A17" s="7" t="n"/>
      <c r="B17" s="8" t="n"/>
      <c r="C17" s="8" t="n"/>
      <c r="D17" s="8" t="n"/>
      <c r="E17" s="8" t="n"/>
      <c r="F17" s="8" t="n"/>
      <c r="G17" s="8" t="n"/>
      <c r="H17" s="8" t="n"/>
      <c r="I17" s="9" t="n"/>
      <c r="J17" s="9" t="n"/>
      <c r="K17" s="9" t="n"/>
      <c r="L17" s="9" t="n"/>
      <c r="M17" s="9" t="n"/>
      <c r="N17" s="10" t="n"/>
      <c r="O17" s="9" t="n"/>
      <c r="Q17" s="8" t="n"/>
      <c r="R17" s="7" t="n"/>
      <c r="S17" s="9" t="n"/>
      <c r="U17" s="8" t="n"/>
      <c r="V17" s="11" t="n"/>
      <c r="W17" s="7" t="n"/>
      <c r="X17" s="9" t="n"/>
    </row>
    <row r="18">
      <c r="A18" s="7" t="n"/>
      <c r="B18" s="8" t="n"/>
      <c r="C18" s="8" t="n"/>
      <c r="D18" s="8" t="n"/>
      <c r="E18" s="8" t="n"/>
      <c r="F18" s="8" t="n"/>
      <c r="G18" s="8" t="n"/>
      <c r="H18" s="8" t="n"/>
      <c r="I18" s="9" t="n"/>
      <c r="J18" s="9" t="n"/>
      <c r="K18" s="9" t="n"/>
      <c r="L18" s="9" t="n"/>
      <c r="M18" s="9" t="n"/>
      <c r="N18" s="10" t="n"/>
      <c r="O18" s="9" t="n"/>
      <c r="Q18" s="8" t="n"/>
      <c r="R18" s="7" t="n"/>
      <c r="S18" s="9" t="n"/>
      <c r="U18" s="8" t="n"/>
      <c r="V18" s="11" t="n"/>
      <c r="W18" s="7" t="n"/>
      <c r="X18" s="9" t="n"/>
    </row>
    <row r="19">
      <c r="A19" s="7" t="n"/>
      <c r="B19" s="8" t="n"/>
      <c r="C19" s="8" t="n"/>
      <c r="D19" s="8" t="n"/>
      <c r="E19" s="8" t="n"/>
      <c r="F19" s="8" t="n"/>
      <c r="G19" s="8" t="n"/>
      <c r="H19" s="8" t="n"/>
      <c r="I19" s="9" t="n"/>
      <c r="J19" s="9" t="n"/>
      <c r="K19" s="9" t="n"/>
      <c r="L19" s="9" t="n"/>
      <c r="M19" s="9" t="n"/>
      <c r="N19" s="10" t="n"/>
      <c r="O19" s="9" t="n"/>
      <c r="Q19" s="8" t="n"/>
      <c r="R19" s="7" t="n"/>
      <c r="S19" s="9" t="n"/>
      <c r="U19" s="8" t="n"/>
      <c r="V19" s="11" t="n"/>
      <c r="W19" s="7" t="n"/>
      <c r="X19" s="9" t="n"/>
    </row>
    <row r="20">
      <c r="A20" s="7" t="n"/>
      <c r="B20" s="8" t="n"/>
      <c r="C20" s="8" t="n"/>
      <c r="D20" s="8" t="n"/>
      <c r="E20" s="8" t="n"/>
      <c r="F20" s="8" t="n"/>
      <c r="G20" s="8" t="n"/>
      <c r="H20" s="8" t="n"/>
      <c r="I20" s="9" t="n"/>
      <c r="J20" s="9" t="n"/>
      <c r="K20" s="9" t="n"/>
      <c r="L20" s="9" t="n"/>
      <c r="M20" s="9" t="n"/>
      <c r="N20" s="10" t="n"/>
      <c r="O20" s="9" t="n"/>
      <c r="Q20" s="8" t="n"/>
      <c r="R20" s="7" t="n"/>
      <c r="S20" s="9" t="n"/>
      <c r="U20" s="8" t="n"/>
      <c r="V20" s="11" t="n"/>
      <c r="W20" s="7" t="n"/>
      <c r="X20" s="9" t="n"/>
    </row>
    <row r="21">
      <c r="A21" s="7" t="n"/>
      <c r="B21" s="8" t="n"/>
      <c r="C21" s="8" t="n"/>
      <c r="D21" s="8" t="n"/>
      <c r="E21" s="8" t="n"/>
      <c r="F21" s="8" t="n"/>
      <c r="G21" s="8" t="n"/>
      <c r="H21" s="8" t="n"/>
      <c r="I21" s="9" t="n"/>
      <c r="J21" s="9" t="n"/>
      <c r="K21" s="9" t="n"/>
      <c r="L21" s="9" t="n"/>
      <c r="M21" s="9" t="n"/>
      <c r="N21" s="10" t="n"/>
      <c r="O21" s="9" t="n"/>
      <c r="Q21" s="8" t="n"/>
      <c r="R21" s="7" t="n"/>
      <c r="S21" s="9" t="n"/>
      <c r="U21" s="8" t="n"/>
      <c r="V21" s="11" t="n"/>
      <c r="W21" s="7" t="n"/>
      <c r="X21" s="9" t="n"/>
    </row>
    <row r="22">
      <c r="A22" s="7" t="n"/>
      <c r="B22" s="8" t="n"/>
      <c r="C22" s="8" t="n"/>
      <c r="D22" s="8" t="n"/>
      <c r="E22" s="8" t="n"/>
      <c r="F22" s="8" t="n"/>
      <c r="G22" s="8" t="n"/>
      <c r="H22" s="8" t="n"/>
      <c r="I22" s="9" t="n"/>
      <c r="J22" s="9" t="n"/>
      <c r="K22" s="9" t="n"/>
      <c r="L22" s="9" t="n"/>
      <c r="M22" s="9" t="n"/>
      <c r="N22" s="10" t="n"/>
      <c r="O22" s="9" t="n"/>
      <c r="Q22" s="8" t="n"/>
      <c r="R22" s="7" t="n"/>
      <c r="S22" s="9" t="n"/>
      <c r="U22" s="8" t="n"/>
      <c r="V22" s="11" t="n"/>
      <c r="W22" s="7" t="n"/>
      <c r="X22" s="9" t="n"/>
    </row>
    <row r="23">
      <c r="A23" s="7" t="n"/>
      <c r="B23" s="8" t="n"/>
      <c r="C23" s="8" t="n"/>
      <c r="D23" s="8" t="n"/>
      <c r="E23" s="8" t="n"/>
      <c r="F23" s="8" t="n"/>
      <c r="G23" s="8" t="n"/>
      <c r="H23" s="8" t="n"/>
      <c r="I23" s="9" t="n"/>
      <c r="J23" s="9" t="n"/>
      <c r="K23" s="9" t="n"/>
      <c r="L23" s="9" t="n"/>
      <c r="M23" s="9" t="n"/>
      <c r="N23" s="10" t="n"/>
      <c r="O23" s="9" t="n"/>
      <c r="Q23" s="8" t="n"/>
      <c r="R23" s="7" t="n"/>
      <c r="S23" s="9" t="n"/>
      <c r="U23" s="8" t="n"/>
      <c r="V23" s="11" t="n"/>
      <c r="W23" s="7" t="n"/>
      <c r="X23" s="9" t="n"/>
    </row>
    <row r="24">
      <c r="A24" s="7" t="n"/>
      <c r="B24" s="8" t="n"/>
      <c r="C24" s="8" t="n"/>
      <c r="D24" s="8" t="n"/>
      <c r="E24" s="8" t="n"/>
      <c r="F24" s="8" t="n"/>
      <c r="G24" s="8" t="n"/>
      <c r="H24" s="8" t="n"/>
      <c r="I24" s="9" t="n"/>
      <c r="J24" s="9" t="n"/>
      <c r="K24" s="9" t="n"/>
      <c r="L24" s="9" t="n"/>
      <c r="M24" s="9" t="n"/>
      <c r="N24" s="10" t="n"/>
      <c r="O24" s="9" t="n"/>
      <c r="Q24" s="8" t="n"/>
      <c r="R24" s="7" t="n"/>
      <c r="S24" s="9" t="n"/>
      <c r="U24" s="8" t="n"/>
      <c r="V24" s="11" t="n"/>
      <c r="W24" s="7" t="n"/>
      <c r="X24" s="9" t="n"/>
    </row>
    <row r="25">
      <c r="A25" s="7" t="n"/>
      <c r="B25" s="8" t="n"/>
      <c r="C25" s="8" t="n"/>
      <c r="D25" s="8" t="n"/>
      <c r="E25" s="8" t="n"/>
      <c r="F25" s="8" t="n"/>
      <c r="G25" s="8" t="n"/>
      <c r="H25" s="8" t="n"/>
      <c r="I25" s="9" t="n"/>
      <c r="J25" s="9" t="n"/>
      <c r="K25" s="9" t="n"/>
      <c r="L25" s="9" t="n"/>
      <c r="M25" s="9" t="n"/>
      <c r="N25" s="10" t="n"/>
      <c r="O25" s="9" t="n"/>
      <c r="Q25" s="8" t="n"/>
      <c r="R25" s="7" t="n"/>
      <c r="S25" s="9" t="n"/>
      <c r="U25" s="8" t="n"/>
      <c r="V25" s="11" t="n"/>
      <c r="W25" s="7" t="n"/>
      <c r="X25" s="9" t="n"/>
    </row>
    <row r="26">
      <c r="A26" s="7" t="n"/>
      <c r="B26" s="8" t="n"/>
      <c r="C26" s="8" t="n"/>
      <c r="D26" s="8" t="n"/>
      <c r="E26" s="8" t="n"/>
      <c r="F26" s="8" t="n"/>
      <c r="G26" s="8" t="n"/>
      <c r="H26" s="8" t="n"/>
      <c r="I26" s="9" t="n"/>
      <c r="J26" s="9" t="n"/>
      <c r="K26" s="9" t="n"/>
      <c r="L26" s="9" t="n"/>
      <c r="M26" s="9" t="n"/>
      <c r="N26" s="10" t="n"/>
      <c r="O26" s="9" t="n"/>
      <c r="Q26" s="8" t="n"/>
      <c r="R26" s="7" t="n"/>
      <c r="S26" s="9" t="n"/>
      <c r="U26" s="8" t="n"/>
      <c r="V26" s="11" t="n"/>
      <c r="W26" s="7" t="n"/>
      <c r="X26" s="9" t="n"/>
    </row>
    <row r="27">
      <c r="A27" s="7" t="n"/>
      <c r="B27" s="8" t="n"/>
      <c r="C27" s="8" t="n"/>
      <c r="D27" s="8" t="n"/>
      <c r="E27" s="8" t="n"/>
      <c r="F27" s="8" t="n"/>
      <c r="G27" s="8" t="n"/>
      <c r="H27" s="8" t="n"/>
      <c r="I27" s="9" t="n"/>
      <c r="J27" s="9" t="n"/>
      <c r="K27" s="9" t="n"/>
      <c r="L27" s="9" t="n"/>
      <c r="M27" s="9" t="n"/>
      <c r="N27" s="10" t="n"/>
      <c r="O27" s="9" t="n"/>
      <c r="Q27" s="8" t="n"/>
      <c r="R27" s="7" t="n"/>
      <c r="S27" s="9" t="n"/>
      <c r="U27" s="8" t="n"/>
      <c r="V27" s="11" t="n"/>
      <c r="W27" s="7" t="n"/>
      <c r="X27" s="9" t="n"/>
    </row>
    <row r="28">
      <c r="A28" s="7" t="n"/>
      <c r="B28" s="8" t="n"/>
      <c r="C28" s="8" t="n"/>
      <c r="D28" s="8" t="n"/>
      <c r="E28" s="8" t="n"/>
      <c r="F28" s="8" t="n"/>
      <c r="G28" s="8" t="n"/>
      <c r="H28" s="8" t="n"/>
      <c r="I28" s="9" t="n"/>
      <c r="J28" s="9" t="n"/>
      <c r="K28" s="9" t="n"/>
      <c r="L28" s="9" t="n"/>
      <c r="M28" s="9" t="n"/>
      <c r="N28" s="10" t="n"/>
      <c r="O28" s="9" t="n"/>
      <c r="Q28" s="8" t="n"/>
      <c r="R28" s="7" t="n"/>
      <c r="S28" s="9" t="n"/>
      <c r="U28" s="8" t="n"/>
      <c r="V28" s="11" t="n"/>
      <c r="W28" s="7" t="n"/>
      <c r="X28" s="9" t="n"/>
    </row>
    <row r="29">
      <c r="A29" s="7" t="n"/>
      <c r="B29" s="8" t="n"/>
      <c r="C29" s="8" t="n"/>
      <c r="D29" s="8" t="n"/>
      <c r="E29" s="8" t="n"/>
      <c r="F29" s="8" t="n"/>
      <c r="G29" s="8" t="n"/>
      <c r="H29" s="8" t="n"/>
      <c r="I29" s="9" t="n"/>
      <c r="J29" s="9" t="n"/>
      <c r="K29" s="9" t="n"/>
      <c r="L29" s="9" t="n"/>
      <c r="M29" s="9" t="n"/>
      <c r="N29" s="10" t="n"/>
      <c r="O29" s="9" t="n"/>
      <c r="Q29" s="8" t="n"/>
      <c r="R29" s="7" t="n"/>
      <c r="S29" s="9" t="n"/>
      <c r="U29" s="8" t="n"/>
      <c r="V29" s="11" t="n"/>
      <c r="W29" s="7" t="n"/>
      <c r="X29" s="9" t="n"/>
    </row>
    <row r="30">
      <c r="A30" s="7" t="n"/>
      <c r="B30" s="8" t="n"/>
      <c r="C30" s="8" t="n"/>
      <c r="D30" s="8" t="n"/>
      <c r="E30" s="8" t="n"/>
      <c r="F30" s="8" t="n"/>
      <c r="G30" s="8" t="n"/>
      <c r="H30" s="8" t="n"/>
      <c r="I30" s="9" t="n"/>
      <c r="J30" s="9" t="n"/>
      <c r="K30" s="9" t="n"/>
      <c r="L30" s="9" t="n"/>
      <c r="M30" s="9" t="n"/>
      <c r="N30" s="10" t="n"/>
      <c r="O30" s="9" t="n"/>
      <c r="Q30" s="8" t="n"/>
      <c r="R30" s="7" t="n"/>
      <c r="S30" s="9" t="n"/>
      <c r="U30" s="8" t="n"/>
      <c r="V30" s="11" t="n"/>
      <c r="W30" s="7" t="n"/>
      <c r="X30" s="9" t="n"/>
    </row>
    <row r="31">
      <c r="A31" s="7" t="n"/>
      <c r="B31" s="8" t="n"/>
      <c r="C31" s="8" t="n"/>
      <c r="D31" s="8" t="n"/>
      <c r="E31" s="8" t="n"/>
      <c r="F31" s="8" t="n"/>
      <c r="G31" s="8" t="n"/>
      <c r="H31" s="8" t="n"/>
      <c r="I31" s="9" t="n"/>
      <c r="J31" s="9" t="n"/>
      <c r="K31" s="9" t="n"/>
      <c r="L31" s="9" t="n"/>
      <c r="M31" s="9" t="n"/>
      <c r="N31" s="10" t="n"/>
      <c r="O31" s="9" t="n"/>
      <c r="Q31" s="8" t="n"/>
      <c r="R31" s="7" t="n"/>
      <c r="S31" s="9" t="n"/>
      <c r="U31" s="8" t="n"/>
      <c r="V31" s="11" t="n"/>
      <c r="W31" s="7" t="n"/>
      <c r="X31" s="9" t="n"/>
    </row>
    <row r="32">
      <c r="A32" s="7" t="n"/>
      <c r="B32" s="8" t="n"/>
      <c r="C32" s="8" t="n"/>
      <c r="D32" s="8" t="n"/>
      <c r="E32" s="8" t="n"/>
      <c r="F32" s="8" t="n"/>
      <c r="G32" s="8" t="n"/>
      <c r="H32" s="8" t="n"/>
      <c r="I32" s="9" t="n"/>
      <c r="J32" s="9" t="n"/>
      <c r="K32" s="9" t="n"/>
      <c r="L32" s="9" t="n"/>
      <c r="M32" s="9" t="n"/>
      <c r="N32" s="10" t="n"/>
      <c r="O32" s="9" t="n"/>
      <c r="Q32" s="8" t="n"/>
      <c r="R32" s="7" t="n"/>
      <c r="S32" s="9" t="n"/>
      <c r="U32" s="8" t="n"/>
      <c r="V32" s="11" t="n"/>
      <c r="W32" s="7" t="n"/>
      <c r="X32" s="9" t="n"/>
    </row>
    <row r="33">
      <c r="A33" s="7" t="n"/>
      <c r="B33" s="8" t="n"/>
      <c r="C33" s="8" t="n"/>
      <c r="D33" s="8" t="n"/>
      <c r="E33" s="8" t="n"/>
      <c r="F33" s="8" t="n"/>
      <c r="G33" s="8" t="n"/>
      <c r="H33" s="8" t="n"/>
      <c r="I33" s="9" t="n"/>
      <c r="J33" s="9" t="n"/>
      <c r="K33" s="9" t="n"/>
      <c r="L33" s="9" t="n"/>
      <c r="M33" s="9" t="n"/>
      <c r="N33" s="10" t="n"/>
      <c r="O33" s="9" t="n"/>
    </row>
    <row r="34">
      <c r="A34" s="7" t="n"/>
      <c r="B34" s="8" t="n"/>
      <c r="C34" s="8" t="n"/>
      <c r="D34" s="8" t="n"/>
      <c r="E34" s="8" t="n"/>
      <c r="F34" s="8" t="n"/>
      <c r="G34" s="8" t="n"/>
      <c r="H34" s="8" t="n"/>
      <c r="I34" s="9" t="n"/>
      <c r="J34" s="9" t="n"/>
      <c r="K34" s="9" t="n"/>
      <c r="L34" s="9" t="n"/>
      <c r="M34" s="9" t="n"/>
      <c r="N34" s="10" t="n"/>
      <c r="O34" s="9" t="n"/>
    </row>
    <row r="35">
      <c r="A35" s="7" t="n"/>
      <c r="B35" s="8" t="n"/>
      <c r="C35" s="8" t="n"/>
      <c r="D35" s="8" t="n"/>
      <c r="E35" s="8" t="n"/>
      <c r="F35" s="8" t="n"/>
      <c r="G35" s="8" t="n"/>
      <c r="H35" s="8" t="n"/>
      <c r="I35" s="9" t="n"/>
      <c r="J35" s="9" t="n"/>
      <c r="K35" s="9" t="n"/>
      <c r="L35" s="9" t="n"/>
      <c r="M35" s="9" t="n"/>
      <c r="N35" s="10" t="n"/>
      <c r="O35" s="9" t="n"/>
    </row>
    <row r="36">
      <c r="A36" s="7" t="n"/>
      <c r="B36" s="8" t="n"/>
      <c r="C36" s="8" t="n"/>
      <c r="D36" s="8" t="n"/>
      <c r="E36" s="8" t="n"/>
      <c r="F36" s="8" t="n"/>
      <c r="G36" s="8" t="n"/>
      <c r="H36" s="8" t="n"/>
      <c r="I36" s="9" t="n"/>
      <c r="J36" s="9" t="n"/>
      <c r="K36" s="9" t="n"/>
      <c r="L36" s="9" t="n"/>
      <c r="M36" s="9" t="n"/>
      <c r="N36" s="10" t="n"/>
      <c r="O36" s="9" t="n"/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  <c r="I37" s="9" t="n"/>
      <c r="J37" s="9" t="n"/>
      <c r="K37" s="9" t="n"/>
      <c r="L37" s="9" t="n"/>
      <c r="M37" s="9" t="n"/>
      <c r="N37" s="10" t="n"/>
      <c r="O37" s="9" t="n"/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  <c r="I38" s="9" t="n"/>
      <c r="J38" s="9" t="n"/>
      <c r="K38" s="9" t="n"/>
      <c r="L38" s="9" t="n"/>
      <c r="M38" s="9" t="n"/>
      <c r="N38" s="10" t="n"/>
      <c r="O38" s="9" t="n"/>
    </row>
    <row r="39">
      <c r="A39" s="7" t="n"/>
      <c r="B39" s="8" t="n"/>
      <c r="C39" s="8" t="n"/>
      <c r="D39" s="8" t="n"/>
      <c r="E39" s="8" t="n"/>
      <c r="F39" s="8" t="n"/>
      <c r="G39" s="8" t="n"/>
      <c r="H39" s="8" t="n"/>
      <c r="I39" s="9" t="n"/>
      <c r="J39" s="9" t="n"/>
      <c r="K39" s="9" t="n"/>
      <c r="L39" s="9" t="n"/>
      <c r="M39" s="9" t="n"/>
      <c r="N39" s="10" t="n"/>
      <c r="O39" s="9" t="n"/>
    </row>
    <row r="40">
      <c r="A40" s="7" t="n"/>
      <c r="B40" s="8" t="n"/>
      <c r="C40" s="8" t="n"/>
      <c r="D40" s="8" t="n"/>
      <c r="E40" s="8" t="n"/>
      <c r="F40" s="8" t="n"/>
      <c r="G40" s="8" t="n"/>
      <c r="H40" s="8" t="n"/>
      <c r="I40" s="9" t="n"/>
      <c r="J40" s="9" t="n"/>
      <c r="K40" s="9" t="n"/>
      <c r="L40" s="9" t="n"/>
      <c r="M40" s="9" t="n"/>
      <c r="N40" s="10" t="n"/>
      <c r="O40" s="9" t="n"/>
    </row>
    <row r="41">
      <c r="A41" s="7" t="n"/>
      <c r="B41" s="8" t="n"/>
      <c r="C41" s="8" t="n"/>
      <c r="D41" s="8" t="n"/>
      <c r="E41" s="8" t="n"/>
      <c r="F41" s="8" t="n"/>
      <c r="G41" s="8" t="n"/>
      <c r="H41" s="8" t="n"/>
      <c r="I41" s="9" t="n"/>
      <c r="J41" s="9" t="n"/>
      <c r="K41" s="9" t="n"/>
      <c r="L41" s="9" t="n"/>
      <c r="M41" s="9" t="n"/>
      <c r="N41" s="10" t="n"/>
      <c r="O41" s="9" t="n"/>
    </row>
    <row r="42">
      <c r="A42" s="7" t="n"/>
      <c r="B42" s="8" t="n"/>
      <c r="C42" s="8" t="n"/>
      <c r="D42" s="8" t="n"/>
      <c r="E42" s="8" t="n"/>
      <c r="F42" s="8" t="n"/>
      <c r="G42" s="8" t="n"/>
      <c r="H42" s="8" t="n"/>
      <c r="I42" s="9" t="n"/>
      <c r="J42" s="9" t="n"/>
      <c r="K42" s="9" t="n"/>
      <c r="L42" s="9" t="n"/>
      <c r="M42" s="9" t="n"/>
      <c r="N42" s="10" t="n"/>
      <c r="O42" s="9" t="n"/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  <c r="I43" s="9" t="n"/>
      <c r="J43" s="9" t="n"/>
      <c r="K43" s="9" t="n"/>
      <c r="L43" s="9" t="n"/>
      <c r="M43" s="9" t="n"/>
      <c r="N43" s="10" t="n"/>
      <c r="O43" s="9" t="n"/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  <c r="I44" s="9" t="n"/>
      <c r="J44" s="9" t="n"/>
      <c r="K44" s="9" t="n"/>
      <c r="L44" s="9" t="n"/>
      <c r="M44" s="9" t="n"/>
      <c r="N44" s="10" t="n"/>
      <c r="O44" s="9" t="n"/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  <c r="I45" s="9" t="n"/>
      <c r="J45" s="9" t="n"/>
      <c r="K45" s="9" t="n"/>
      <c r="L45" s="9" t="n"/>
      <c r="M45" s="9" t="n"/>
      <c r="N45" s="10" t="n"/>
      <c r="O45" s="9" t="n"/>
    </row>
    <row r="46">
      <c r="A46" s="7" t="n"/>
      <c r="B46" s="8" t="n"/>
      <c r="C46" s="8" t="n"/>
      <c r="D46" s="8" t="n"/>
      <c r="E46" s="8" t="n"/>
      <c r="F46" s="8" t="n"/>
      <c r="G46" s="8" t="n"/>
      <c r="H46" s="8" t="n"/>
      <c r="I46" s="9" t="n"/>
      <c r="J46" s="9" t="n"/>
      <c r="K46" s="9" t="n"/>
      <c r="L46" s="9" t="n"/>
      <c r="M46" s="9" t="n"/>
      <c r="N46" s="10" t="n"/>
      <c r="O46" s="9" t="n"/>
    </row>
    <row r="47">
      <c r="A47" s="7" t="n"/>
      <c r="B47" s="8" t="n"/>
      <c r="C47" s="8" t="n"/>
      <c r="D47" s="8" t="n"/>
      <c r="E47" s="8" t="n"/>
      <c r="F47" s="8" t="n"/>
      <c r="G47" s="8" t="n"/>
      <c r="H47" s="8" t="n"/>
      <c r="I47" s="9" t="n"/>
      <c r="J47" s="9" t="n"/>
      <c r="K47" s="9" t="n"/>
      <c r="L47" s="9" t="n"/>
      <c r="M47" s="9" t="n"/>
      <c r="N47" s="10" t="n"/>
      <c r="O47" s="9" t="n"/>
    </row>
    <row r="48">
      <c r="A48" s="7" t="n"/>
      <c r="B48" s="8" t="n"/>
      <c r="C48" s="8" t="n"/>
      <c r="D48" s="8" t="n"/>
      <c r="E48" s="8" t="n"/>
      <c r="F48" s="8" t="n"/>
      <c r="G48" s="8" t="n"/>
      <c r="H48" s="8" t="n"/>
      <c r="I48" s="9" t="n"/>
      <c r="J48" s="9" t="n"/>
      <c r="K48" s="9" t="n"/>
      <c r="L48" s="9" t="n"/>
      <c r="M48" s="9" t="n"/>
      <c r="N48" s="10" t="n"/>
      <c r="O48" s="9" t="n"/>
    </row>
    <row r="49">
      <c r="A49" s="7" t="n"/>
      <c r="B49" s="8" t="n"/>
      <c r="C49" s="8" t="n"/>
      <c r="D49" s="8" t="n"/>
      <c r="E49" s="8" t="n"/>
      <c r="F49" s="8" t="n"/>
      <c r="G49" s="8" t="n"/>
      <c r="H49" s="8" t="n"/>
      <c r="I49" s="9" t="n"/>
      <c r="J49" s="9" t="n"/>
      <c r="K49" s="9" t="n"/>
      <c r="L49" s="9" t="n"/>
      <c r="M49" s="9" t="n"/>
      <c r="N49" s="10" t="n"/>
      <c r="O49" s="9" t="n"/>
    </row>
    <row r="50">
      <c r="A50" s="7" t="n"/>
      <c r="B50" s="8" t="n"/>
      <c r="C50" s="8" t="n"/>
      <c r="D50" s="8" t="n"/>
      <c r="E50" s="8" t="n"/>
      <c r="F50" s="8" t="n"/>
      <c r="G50" s="8" t="n"/>
      <c r="H50" s="8" t="n"/>
      <c r="I50" s="9" t="n"/>
      <c r="J50" s="9" t="n"/>
      <c r="K50" s="9" t="n"/>
      <c r="L50" s="9" t="n"/>
      <c r="M50" s="9" t="n"/>
      <c r="N50" s="10" t="n"/>
      <c r="O50" s="9" t="n"/>
    </row>
    <row r="51">
      <c r="A51" s="7" t="n"/>
      <c r="B51" s="8" t="n"/>
      <c r="C51" s="8" t="n"/>
      <c r="D51" s="8" t="n"/>
      <c r="E51" s="8" t="n"/>
      <c r="F51" s="8" t="n"/>
      <c r="G51" s="8" t="n"/>
      <c r="H51" s="8" t="n"/>
      <c r="I51" s="9" t="n"/>
      <c r="J51" s="9" t="n"/>
      <c r="K51" s="9" t="n"/>
      <c r="L51" s="9" t="n"/>
      <c r="M51" s="9" t="n"/>
      <c r="N51" s="10" t="n"/>
      <c r="O51" s="9" t="n"/>
    </row>
    <row r="52">
      <c r="A52" s="7" t="n"/>
      <c r="B52" s="8" t="n"/>
      <c r="C52" s="8" t="n"/>
      <c r="D52" s="8" t="n"/>
      <c r="E52" s="8" t="n"/>
      <c r="F52" s="8" t="n"/>
      <c r="G52" s="8" t="n"/>
      <c r="H52" s="8" t="n"/>
      <c r="I52" s="9" t="n"/>
      <c r="J52" s="9" t="n"/>
      <c r="K52" s="9" t="n"/>
      <c r="L52" s="9" t="n"/>
      <c r="M52" s="9" t="n"/>
      <c r="N52" s="10" t="n"/>
      <c r="O52" s="9" t="n"/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  <c r="I53" s="9" t="n"/>
      <c r="J53" s="9" t="n"/>
      <c r="K53" s="9" t="n"/>
      <c r="L53" s="9" t="n"/>
      <c r="M53" s="9" t="n"/>
      <c r="N53" s="10" t="n"/>
      <c r="O53" s="9" t="n"/>
    </row>
    <row r="54">
      <c r="A54" s="7" t="n"/>
      <c r="B54" s="8" t="n"/>
      <c r="C54" s="8" t="n"/>
      <c r="D54" s="8" t="n"/>
      <c r="E54" s="8" t="n"/>
      <c r="F54" s="8" t="n"/>
      <c r="G54" s="8" t="n"/>
      <c r="H54" s="8" t="n"/>
      <c r="I54" s="9" t="n"/>
      <c r="J54" s="9" t="n"/>
      <c r="K54" s="9" t="n"/>
      <c r="L54" s="9" t="n"/>
      <c r="M54" s="9" t="n"/>
      <c r="N54" s="10" t="n"/>
      <c r="O54" s="9" t="n"/>
    </row>
    <row r="55">
      <c r="A55" s="7" t="n"/>
      <c r="B55" s="8" t="n"/>
      <c r="C55" s="8" t="n"/>
      <c r="D55" s="8" t="n"/>
      <c r="E55" s="8" t="n"/>
      <c r="F55" s="8" t="n"/>
      <c r="G55" s="8" t="n"/>
      <c r="H55" s="8" t="n"/>
      <c r="I55" s="9" t="n"/>
      <c r="J55" s="9" t="n"/>
      <c r="K55" s="9" t="n"/>
      <c r="L55" s="9" t="n"/>
      <c r="M55" s="9" t="n"/>
      <c r="N55" s="10" t="n"/>
      <c r="O55" s="9" t="n"/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  <c r="I56" s="9" t="n"/>
      <c r="J56" s="9" t="n"/>
      <c r="K56" s="9" t="n"/>
      <c r="L56" s="9" t="n"/>
      <c r="M56" s="9" t="n"/>
      <c r="N56" s="10" t="n"/>
      <c r="O56" s="9" t="n"/>
    </row>
    <row r="57">
      <c r="A57" s="7" t="n"/>
      <c r="B57" s="8" t="n"/>
      <c r="C57" s="8" t="n"/>
      <c r="D57" s="8" t="n"/>
      <c r="E57" s="8" t="n"/>
      <c r="F57" s="8" t="n"/>
      <c r="G57" s="8" t="n"/>
      <c r="H57" s="8" t="n"/>
      <c r="I57" s="9" t="n"/>
      <c r="J57" s="9" t="n"/>
      <c r="K57" s="9" t="n"/>
      <c r="L57" s="9" t="n"/>
      <c r="M57" s="9" t="n"/>
      <c r="N57" s="10" t="n"/>
      <c r="O57" s="9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  <c r="I58" s="9" t="n"/>
      <c r="J58" s="9" t="n"/>
      <c r="K58" s="9" t="n"/>
      <c r="L58" s="9" t="n"/>
      <c r="M58" s="9" t="n"/>
      <c r="N58" s="10" t="n"/>
      <c r="O58" s="9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  <c r="I59" s="9" t="n"/>
      <c r="J59" s="9" t="n"/>
      <c r="K59" s="9" t="n"/>
      <c r="L59" s="9" t="n"/>
      <c r="M59" s="9" t="n"/>
      <c r="N59" s="10" t="n"/>
      <c r="O59" s="9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  <c r="I60" s="9" t="n"/>
      <c r="J60" s="9" t="n"/>
      <c r="K60" s="9" t="n"/>
      <c r="L60" s="9" t="n"/>
      <c r="M60" s="9" t="n"/>
      <c r="N60" s="10" t="n"/>
      <c r="O60" s="9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  <c r="I61" s="9" t="n"/>
      <c r="J61" s="9" t="n"/>
      <c r="K61" s="9" t="n"/>
      <c r="L61" s="9" t="n"/>
      <c r="M61" s="9" t="n"/>
      <c r="N61" s="10" t="n"/>
      <c r="O61" s="9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  <c r="I62" s="9" t="n"/>
      <c r="J62" s="9" t="n"/>
      <c r="K62" s="9" t="n"/>
      <c r="L62" s="9" t="n"/>
      <c r="M62" s="9" t="n"/>
      <c r="N62" s="10" t="n"/>
      <c r="O62" s="9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  <c r="I63" s="9" t="n"/>
      <c r="J63" s="9" t="n"/>
      <c r="K63" s="9" t="n"/>
      <c r="L63" s="9" t="n"/>
      <c r="M63" s="9" t="n"/>
      <c r="N63" s="10" t="n"/>
      <c r="O63" s="9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  <c r="I64" s="9" t="n"/>
      <c r="J64" s="9" t="n"/>
      <c r="K64" s="9" t="n"/>
      <c r="L64" s="9" t="n"/>
      <c r="M64" s="9" t="n"/>
      <c r="N64" s="10" t="n"/>
      <c r="O64" s="9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  <c r="I65" s="9" t="n"/>
      <c r="J65" s="9" t="n"/>
      <c r="K65" s="9" t="n"/>
      <c r="L65" s="9" t="n"/>
      <c r="M65" s="9" t="n"/>
      <c r="N65" s="10" t="n"/>
      <c r="O65" s="9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  <c r="I66" s="9" t="n"/>
      <c r="J66" s="9" t="n"/>
      <c r="K66" s="9" t="n"/>
      <c r="L66" s="9" t="n"/>
      <c r="M66" s="9" t="n"/>
      <c r="N66" s="10" t="n"/>
      <c r="O66" s="9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  <c r="I67" s="9" t="n"/>
      <c r="J67" s="9" t="n"/>
      <c r="K67" s="9" t="n"/>
      <c r="L67" s="9" t="n"/>
      <c r="M67" s="9" t="n"/>
      <c r="N67" s="10" t="n"/>
      <c r="O67" s="9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  <c r="I68" s="9" t="n"/>
      <c r="J68" s="9" t="n"/>
      <c r="K68" s="9" t="n"/>
      <c r="L68" s="9" t="n"/>
      <c r="M68" s="9" t="n"/>
      <c r="N68" s="10" t="n"/>
      <c r="O68" s="9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  <c r="I69" s="9" t="n"/>
      <c r="J69" s="9" t="n"/>
      <c r="K69" s="9" t="n"/>
      <c r="L69" s="9" t="n"/>
      <c r="M69" s="9" t="n"/>
      <c r="N69" s="10" t="n"/>
      <c r="O69" s="9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  <c r="I70" s="9" t="n"/>
      <c r="J70" s="9" t="n"/>
      <c r="K70" s="9" t="n"/>
      <c r="L70" s="9" t="n"/>
      <c r="M70" s="9" t="n"/>
      <c r="N70" s="10" t="n"/>
      <c r="O70" s="9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  <c r="I71" s="9" t="n"/>
      <c r="J71" s="9" t="n"/>
      <c r="K71" s="9" t="n"/>
      <c r="L71" s="9" t="n"/>
      <c r="M71" s="9" t="n"/>
      <c r="N71" s="10" t="n"/>
      <c r="O71" s="9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  <c r="I72" s="9" t="n"/>
      <c r="J72" s="9" t="n"/>
      <c r="K72" s="9" t="n"/>
      <c r="L72" s="9" t="n"/>
      <c r="M72" s="9" t="n"/>
      <c r="N72" s="10" t="n"/>
      <c r="O72" s="9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  <c r="I73" s="9" t="n"/>
      <c r="J73" s="9" t="n"/>
      <c r="K73" s="9" t="n"/>
      <c r="L73" s="9" t="n"/>
      <c r="M73" s="9" t="n"/>
      <c r="N73" s="10" t="n"/>
      <c r="O73" s="9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  <c r="I74" s="9" t="n"/>
      <c r="J74" s="9" t="n"/>
      <c r="K74" s="9" t="n"/>
      <c r="L74" s="9" t="n"/>
      <c r="M74" s="9" t="n"/>
      <c r="N74" s="10" t="n"/>
      <c r="O74" s="9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  <c r="I75" s="9" t="n"/>
      <c r="J75" s="9" t="n"/>
      <c r="K75" s="9" t="n"/>
      <c r="L75" s="9" t="n"/>
      <c r="M75" s="9" t="n"/>
      <c r="N75" s="10" t="n"/>
      <c r="O75" s="9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  <c r="I76" s="9" t="n"/>
      <c r="J76" s="9" t="n"/>
      <c r="K76" s="9" t="n"/>
      <c r="L76" s="9" t="n"/>
      <c r="M76" s="9" t="n"/>
      <c r="N76" s="10" t="n"/>
      <c r="O76" s="9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  <c r="I77" s="9" t="n"/>
      <c r="J77" s="9" t="n"/>
      <c r="K77" s="9" t="n"/>
      <c r="L77" s="9" t="n"/>
      <c r="M77" s="9" t="n"/>
      <c r="N77" s="10" t="n"/>
      <c r="O77" s="9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  <c r="I78" s="9" t="n"/>
      <c r="J78" s="9" t="n"/>
      <c r="K78" s="9" t="n"/>
      <c r="L78" s="9" t="n"/>
      <c r="M78" s="9" t="n"/>
      <c r="N78" s="10" t="n"/>
      <c r="O78" s="9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  <c r="I79" s="9" t="n"/>
      <c r="J79" s="9" t="n"/>
      <c r="K79" s="9" t="n"/>
      <c r="L79" s="9" t="n"/>
      <c r="M79" s="9" t="n"/>
      <c r="N79" s="10" t="n"/>
      <c r="O79" s="9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  <c r="I80" s="9" t="n"/>
      <c r="J80" s="9" t="n"/>
      <c r="K80" s="9" t="n"/>
      <c r="L80" s="9" t="n"/>
      <c r="M80" s="9" t="n"/>
      <c r="N80" s="10" t="n"/>
      <c r="O80" s="9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  <c r="I81" s="9" t="n"/>
      <c r="J81" s="9" t="n"/>
      <c r="K81" s="9" t="n"/>
      <c r="L81" s="9" t="n"/>
      <c r="M81" s="9" t="n"/>
      <c r="N81" s="10" t="n"/>
      <c r="O81" s="9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  <c r="I82" s="9" t="n"/>
      <c r="J82" s="9" t="n"/>
      <c r="K82" s="9" t="n"/>
      <c r="L82" s="9" t="n"/>
      <c r="M82" s="9" t="n"/>
      <c r="N82" s="10" t="n"/>
      <c r="O82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2026-05-11T12:04:38Z</dcterms:created>
  <dcterms:modified xsi:type="dcterms:W3CDTF">2026-05-11T12:04:39Z</dcterms:modified>
</cp:coreProperties>
</file>