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D890A2C4-31E3-415F-B9DA-98A383732FF8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Fechamento" sheetId="1" r:id="rId1"/>
  </sheets>
  <definedNames>
    <definedName name="_xlnm._FilterDatabase" localSheetId="0" hidden="1">Fechamento!$A$1:$AE$35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U3" i="1"/>
  <c r="V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AE2" i="1"/>
  <c r="V2" i="1"/>
  <c r="U2" i="1"/>
</calcChain>
</file>

<file path=xl/sharedStrings.xml><?xml version="1.0" encoding="utf-8"?>
<sst xmlns="http://schemas.openxmlformats.org/spreadsheetml/2006/main" count="812" uniqueCount="208">
  <si>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</si>
  <si>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</si>
  <si>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</si>
  <si>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</si>
  <si>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</si>
  <si>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</si>
  <si>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</si>
  <si>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</si>
  <si>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</si>
  <si>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</si>
  <si>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</si>
  <si>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</si>
  <si>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</si>
  <si>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</si>
  <si>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</si>
  <si>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</si>
  <si>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</si>
  <si>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</si>
  <si>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</si>
  <si>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</si>
  <si>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</si>
  <si>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</si>
  <si>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</si>
  <si>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</si>
  <si>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</si>
  <si>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</si>
  <si>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</si>
  <si>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</si>
  <si>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</si>
  <si>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</si>
  <si>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</si>
  <si>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PILARES</t>
  </si>
  <si>
    <t>1.1</t>
  </si>
  <si>
    <t>1.1 G3S ESCRITORIO</t>
  </si>
  <si>
    <t>1.1.10</t>
  </si>
  <si>
    <t>PESSOAS</t>
  </si>
  <si>
    <t>1.1.10 PESSOAS</t>
  </si>
  <si>
    <t>7.3.1</t>
  </si>
  <si>
    <t>SALÁRIOS</t>
  </si>
  <si>
    <t>7.3.1 SALÁRIOS</t>
  </si>
  <si>
    <t>1.1.3</t>
  </si>
  <si>
    <t>FINANCEIRO</t>
  </si>
  <si>
    <t>1.1.3 FINANCEIRO</t>
  </si>
  <si>
    <t>1.1.4</t>
  </si>
  <si>
    <t>CONTABILIDADE/FISCAL</t>
  </si>
  <si>
    <t>1.1.4 CONTABILIDADE/FISCAL</t>
  </si>
  <si>
    <t>SELETIVA</t>
  </si>
  <si>
    <t>1.2</t>
  </si>
  <si>
    <t>1.2 SELETIVA</t>
  </si>
  <si>
    <t>1.2.1</t>
  </si>
  <si>
    <t>CORPORATIVO SUCATA</t>
  </si>
  <si>
    <t>1.2.1 CORPORATIVO SUCATA</t>
  </si>
  <si>
    <t>1.2.1.1</t>
  </si>
  <si>
    <t>APOIO</t>
  </si>
  <si>
    <t>1.2.1.1 APOIO</t>
  </si>
  <si>
    <t>1.2.2</t>
  </si>
  <si>
    <t>DOURADOS</t>
  </si>
  <si>
    <t>1.2.2 DOURADOS</t>
  </si>
  <si>
    <t>1.2.2.1</t>
  </si>
  <si>
    <t>ADMINISTRATIVO</t>
  </si>
  <si>
    <t>1.2.2.1 ADMINISTRATIVO</t>
  </si>
  <si>
    <t>1.2.2.3</t>
  </si>
  <si>
    <t>OPERACIONAL</t>
  </si>
  <si>
    <t>1.2.2.3 OPERACIONAL</t>
  </si>
  <si>
    <t>1.2.3</t>
  </si>
  <si>
    <t>LONDRINA</t>
  </si>
  <si>
    <t>1.2.3 LONDRINA</t>
  </si>
  <si>
    <t>1.2.3.1</t>
  </si>
  <si>
    <t>1.2.3.1 ADMINISTRATIVO</t>
  </si>
  <si>
    <t>1.2.3.3</t>
  </si>
  <si>
    <t>1.2.3.3 OPERACIONAL</t>
  </si>
  <si>
    <t>1.2.4</t>
  </si>
  <si>
    <t>MARINGA DISTRITO</t>
  </si>
  <si>
    <t>1.2.4 MARINGA DISTRITO</t>
  </si>
  <si>
    <t>1.2.4.1</t>
  </si>
  <si>
    <t>1.2.4.1 ADMINISTRATIVO</t>
  </si>
  <si>
    <t>1.2.4.3</t>
  </si>
  <si>
    <t>1.2.4.3 OPERACIONAL</t>
  </si>
  <si>
    <t>1.2.5</t>
  </si>
  <si>
    <t>PRESIDENTE PRUDENTE</t>
  </si>
  <si>
    <t>1.2.5 PRESIDENTE PRUDENTE</t>
  </si>
  <si>
    <t>1.2.5.1</t>
  </si>
  <si>
    <t>1.2.5.1 ADMINISTRATIVO</t>
  </si>
  <si>
    <t>1.2.5.3</t>
  </si>
  <si>
    <t>1.2.5.3 OPERACIONAL</t>
  </si>
  <si>
    <t>1.2.7</t>
  </si>
  <si>
    <t>CAMPO GRANDE</t>
  </si>
  <si>
    <t>1.2.7 CAMPO GRANDE</t>
  </si>
  <si>
    <t>1.2.7.1</t>
  </si>
  <si>
    <t>1.2.7.1 ADMINISTRATIVO</t>
  </si>
  <si>
    <t>1.2.7.3</t>
  </si>
  <si>
    <t>1.2.7.3 OPERACIONAL</t>
  </si>
  <si>
    <t>1.2.8</t>
  </si>
  <si>
    <t>MARINGA CIDADE ALTA</t>
  </si>
  <si>
    <t>1.2.8 MARINGA CIDADE ALTA</t>
  </si>
  <si>
    <t>1.2.8.3</t>
  </si>
  <si>
    <t>1.2.8.3 OPERACIONAL</t>
  </si>
  <si>
    <t>BRACOFER</t>
  </si>
  <si>
    <t>1.3</t>
  </si>
  <si>
    <t>1.3 BRACOFER</t>
  </si>
  <si>
    <t>1.3.1</t>
  </si>
  <si>
    <t>1.3.1 PRESIDENTE PRUDENTE</t>
  </si>
  <si>
    <t>1.3.1.1</t>
  </si>
  <si>
    <t>1.3.1.1 ADMINISTRATIVO</t>
  </si>
  <si>
    <t>1.3.1.2</t>
  </si>
  <si>
    <t>COMERCIAL</t>
  </si>
  <si>
    <t>1.3.1.2 COMERCIAL</t>
  </si>
  <si>
    <t>1.3.1.3</t>
  </si>
  <si>
    <t>1.3.1.3 OPERACIONAL</t>
  </si>
  <si>
    <t>1.3.1.4</t>
  </si>
  <si>
    <t>LOGISTICA</t>
  </si>
  <si>
    <t>1.3.1.4 LOGISTICA</t>
  </si>
  <si>
    <t>1.3.1.5</t>
  </si>
  <si>
    <t>CORTE E DOBRA</t>
  </si>
  <si>
    <t>1.3.1.5 CORTE E DOBRA</t>
  </si>
  <si>
    <t>TRANSMOVE</t>
  </si>
  <si>
    <t>1.4</t>
  </si>
  <si>
    <t>TRANSMOVE GSL</t>
  </si>
  <si>
    <t>1.4 TRANSMOVE GSL</t>
  </si>
  <si>
    <t>1.4.1</t>
  </si>
  <si>
    <t>1.4.1 PRESIDENTE PRUDENTE</t>
  </si>
  <si>
    <t>1.4.1.2</t>
  </si>
  <si>
    <t>1.4.1.2 ADMINISTRATIVO</t>
  </si>
  <si>
    <t>EKIPA</t>
  </si>
  <si>
    <t>1.5</t>
  </si>
  <si>
    <t>EKIPA CONTEINER</t>
  </si>
  <si>
    <t>1.5 EKIPA CONTEINER</t>
  </si>
  <si>
    <t>1.5.1</t>
  </si>
  <si>
    <t>1.5.1 PRESIDENTE PRUDENTE</t>
  </si>
  <si>
    <t>1.5.1.2</t>
  </si>
  <si>
    <t>1.5.1.2 COMERCIAL</t>
  </si>
  <si>
    <t>EKIPA SERVICOS - G&amp;S</t>
  </si>
  <si>
    <t>1.7</t>
  </si>
  <si>
    <t>EKIPA LOCACOES E SERV G&amp;S</t>
  </si>
  <si>
    <t>1.7 EKIPA LOCACOES E SERV G&amp;S</t>
  </si>
  <si>
    <t>1.7.1</t>
  </si>
  <si>
    <t>CONTRATOS</t>
  </si>
  <si>
    <t>1.7.1 CONTRATOS</t>
  </si>
  <si>
    <t>1.7.1.2</t>
  </si>
  <si>
    <t>ARCELOR - RESENDE/RJ</t>
  </si>
  <si>
    <t>1.7.1.2 ARCELOR - RESENDE/RJ</t>
  </si>
  <si>
    <t>1.7.1.2.1</t>
  </si>
  <si>
    <t>ARCELOR/ RESENDE/R</t>
  </si>
  <si>
    <t>1.7.1.2.1 ARCELOR/ RESENDE/R</t>
  </si>
  <si>
    <t>1.7.1.3</t>
  </si>
  <si>
    <t>ARCELOR - BARRA MANSA/RJ</t>
  </si>
  <si>
    <t>1.7.1.3 ARCELOR - BARRA MANSA/RJ</t>
  </si>
  <si>
    <t>1.7.1.3.1</t>
  </si>
  <si>
    <t>ARCELOR/BARRA MANS</t>
  </si>
  <si>
    <t>1.7.1.3.1 ARCELOR/BARRA MANS</t>
  </si>
  <si>
    <t>1.7.1.4</t>
  </si>
  <si>
    <t>ARCELOR - PIRACICABA/SP</t>
  </si>
  <si>
    <t>1.7.1.4 ARCELOR - PIRACICABA/SP</t>
  </si>
  <si>
    <t>1.7.1.4.1</t>
  </si>
  <si>
    <t>ARCELOR/PIRACICABA</t>
  </si>
  <si>
    <t>1.7.1.4.1 ARCELOR/PIRACICABA</t>
  </si>
  <si>
    <t>1.7.3</t>
  </si>
  <si>
    <t>G&amp;S BARUERI</t>
  </si>
  <si>
    <t>1.7.3 G&amp;S BARUERI</t>
  </si>
  <si>
    <t>1.7.3.3</t>
  </si>
  <si>
    <t>1.7.3.3 OPERACIONAL</t>
  </si>
  <si>
    <t>1.7.4</t>
  </si>
  <si>
    <t>G&amp;S CAMPO GRANDE</t>
  </si>
  <si>
    <t>1.7.4 G&amp;S CAMPO GRANDE</t>
  </si>
  <si>
    <t>1.7.4.4</t>
  </si>
  <si>
    <t>1.7.4.4 LOGISTICA</t>
  </si>
  <si>
    <t>1.7.5</t>
  </si>
  <si>
    <t>G&amp;S DOURADOS</t>
  </si>
  <si>
    <t>1.7.5 G&amp;S DOURADOS</t>
  </si>
  <si>
    <t>1.7.5.4</t>
  </si>
  <si>
    <t>1.7.5.4 LOGISTICA</t>
  </si>
  <si>
    <t>1.7.6</t>
  </si>
  <si>
    <t>G&amp;S LONDRINA</t>
  </si>
  <si>
    <t>1.7.6 G&amp;S LONDRINA</t>
  </si>
  <si>
    <t>1.7.6.4</t>
  </si>
  <si>
    <t>1.7.6.4 LOGISTICA</t>
  </si>
  <si>
    <t>1.7.7</t>
  </si>
  <si>
    <t>G&amp;S MARINGA</t>
  </si>
  <si>
    <t>1.7.7 G&amp;S MARINGA</t>
  </si>
  <si>
    <t>1.7.7.4</t>
  </si>
  <si>
    <t>1.7.7.4 LOGISTICA</t>
  </si>
  <si>
    <t>1.7.8</t>
  </si>
  <si>
    <t>G&amp;S PRUDENTE</t>
  </si>
  <si>
    <t>1.7.8 G&amp;S PRUDENTE</t>
  </si>
  <si>
    <t>1.7.8.1</t>
  </si>
  <si>
    <t>1.7.8.1.1</t>
  </si>
  <si>
    <t>TUPY - JOINVILLE/S</t>
  </si>
  <si>
    <t>1.7.8.1.1 TUPY - JOINVILLE/S</t>
  </si>
  <si>
    <t>1.7.8.4</t>
  </si>
  <si>
    <t>1.7.8.4 LOGISTICA</t>
  </si>
  <si>
    <t>1.7.8.3</t>
  </si>
  <si>
    <t>1.7.8.3 OPERACIONAL</t>
  </si>
  <si>
    <t>ARCELOR - BARRA MANS</t>
  </si>
  <si>
    <t>1.7.1.3.1 ARCELOR - BARRA MANS</t>
  </si>
  <si>
    <t>PROCESSAMENTO DE FOLHA</t>
  </si>
  <si>
    <t>Saída (Aplicações)</t>
  </si>
  <si>
    <t>FOPA</t>
  </si>
  <si>
    <t>Processamento de folha</t>
  </si>
  <si>
    <t>Processamento de Folha 30/04/2026</t>
  </si>
  <si>
    <t>FOPA_04_2026</t>
  </si>
  <si>
    <t>G3S ADM</t>
  </si>
  <si>
    <t>G3S DOURADOS</t>
  </si>
  <si>
    <t>G3S LONDRINA</t>
  </si>
  <si>
    <t>G3S MARINGA</t>
  </si>
  <si>
    <t>G3S PRUDENTE</t>
  </si>
  <si>
    <t>G3S CAMPO GRANDE</t>
  </si>
  <si>
    <t>G3S CIDADE ALTA</t>
  </si>
  <si>
    <t>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</si>
</sst>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"/>
  <sheetViews>
    <sheetView tabSelected="1" workbookViewId="0">
      <selection activeCell="D6" sqref="D6"/>
    </sheetView>
  </sheetViews>
  <sheetFormatPr defaultRowHeight="15" x14ac:dyDescent="0.25"/>
  <cols>
    <col min="2" max="2" width="20.140625" customWidth="1"/>
    <col min="3" max="3" width="20" bestFit="1" customWidth="1"/>
    <col min="4" max="4" width="26.85546875" bestFit="1" customWidth="1"/>
    <col min="5" max="5" width="30" bestFit="1" customWidth="1"/>
    <col min="6" max="6" width="20" bestFit="1" customWidth="1"/>
    <col min="7" max="7" width="22.42578125" bestFit="1" customWidth="1"/>
    <col min="8" max="8" width="27.140625" bestFit="1" customWidth="1"/>
    <col min="9" max="9" width="20" bestFit="1" customWidth="1"/>
    <col min="11" max="11" width="33.28515625" bestFit="1" customWidth="1"/>
    <col min="13" max="13" width="22.85546875" bestFit="1" customWidth="1"/>
    <col min="14" max="14" width="30.85546875" bestFit="1" customWidth="1"/>
    <col min="17" max="17" width="15.5703125" bestFit="1" customWidth="1"/>
    <col min="18" max="18" width="14" customWidth="1"/>
    <col min="23" max="23" width="33.42578125" bestFit="1" customWidth="1"/>
    <col min="24" max="24" width="14.42578125" customWidth="1"/>
    <col min="25" max="25" width="16" bestFit="1" customWidth="1"/>
    <col min="26" max="26" width="16.140625" customWidth="1"/>
    <col min="27" max="27" width="30.5703125" customWidth="1"/>
    <col min="28" max="28" width="11.7109375" customWidth="1"/>
    <col min="30" max="30" width="22.7109375" bestFit="1" customWidth="1"/>
    <col min="31" max="31" width="11.85546875" bestFit="1" customWidth="1"/>
    <col min="32" max="32" width="9.85546875" bestFit="1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1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35</v>
      </c>
      <c r="H2" t="s">
        <v>36</v>
      </c>
      <c r="I2" t="s">
        <v>34</v>
      </c>
      <c r="J2" t="s">
        <v>35</v>
      </c>
      <c r="K2" t="s">
        <v>36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200</v>
      </c>
      <c r="S2" t="s">
        <v>199</v>
      </c>
      <c r="T2">
        <v>-15419.54</v>
      </c>
      <c r="U2">
        <f>T2</f>
        <v>-15419.54</v>
      </c>
      <c r="V2">
        <f>T2</f>
        <v>-15419.54</v>
      </c>
      <c r="W2" t="s">
        <v>198</v>
      </c>
      <c r="X2" s="2">
        <v>46142</v>
      </c>
      <c r="Y2" s="2">
        <v>46150</v>
      </c>
      <c r="AA2" t="s">
        <v>194</v>
      </c>
      <c r="AB2" t="s">
        <v>195</v>
      </c>
      <c r="AC2" t="s">
        <v>196</v>
      </c>
      <c r="AD2" t="s">
        <v>197</v>
      </c>
      <c r="AE2">
        <f>T2</f>
        <v>-15419.54</v>
      </c>
    </row>
    <row r="3" spans="1:31" x14ac:dyDescent="0.25">
      <c r="A3">
        <v>2</v>
      </c>
      <c r="B3" t="s">
        <v>31</v>
      </c>
      <c r="C3" t="s">
        <v>32</v>
      </c>
      <c r="D3" t="s">
        <v>31</v>
      </c>
      <c r="E3" t="s">
        <v>33</v>
      </c>
      <c r="F3" t="s">
        <v>40</v>
      </c>
      <c r="G3" t="s">
        <v>41</v>
      </c>
      <c r="H3" t="s">
        <v>42</v>
      </c>
      <c r="I3" t="s">
        <v>40</v>
      </c>
      <c r="J3" t="s">
        <v>41</v>
      </c>
      <c r="K3" t="s">
        <v>42</v>
      </c>
      <c r="L3" t="s">
        <v>40</v>
      </c>
      <c r="M3" t="s">
        <v>41</v>
      </c>
      <c r="N3" t="s">
        <v>42</v>
      </c>
      <c r="O3" t="s">
        <v>37</v>
      </c>
      <c r="P3" t="s">
        <v>38</v>
      </c>
      <c r="Q3" t="s">
        <v>39</v>
      </c>
      <c r="R3" t="s">
        <v>200</v>
      </c>
      <c r="S3" t="s">
        <v>199</v>
      </c>
      <c r="T3">
        <v>-11209.38</v>
      </c>
      <c r="U3">
        <f t="shared" ref="U3:U35" si="0">T3</f>
        <v>-11209.38</v>
      </c>
      <c r="V3">
        <f t="shared" ref="V3:V35" si="1">T3</f>
        <v>-11209.38</v>
      </c>
      <c r="W3" t="s">
        <v>198</v>
      </c>
      <c r="X3" s="2">
        <v>46142</v>
      </c>
      <c r="Y3" s="2">
        <v>46150</v>
      </c>
      <c r="AA3" t="s">
        <v>194</v>
      </c>
      <c r="AB3" t="s">
        <v>195</v>
      </c>
      <c r="AC3" t="s">
        <v>196</v>
      </c>
      <c r="AD3" t="s">
        <v>197</v>
      </c>
      <c r="AE3">
        <f t="shared" ref="AE3:AE35" si="2">T3</f>
        <v>-11209.38</v>
      </c>
    </row>
    <row r="4" spans="1:31" x14ac:dyDescent="0.25">
      <c r="A4">
        <v>3</v>
      </c>
      <c r="B4" t="s">
        <v>31</v>
      </c>
      <c r="C4" t="s">
        <v>32</v>
      </c>
      <c r="D4" t="s">
        <v>31</v>
      </c>
      <c r="E4" t="s">
        <v>33</v>
      </c>
      <c r="F4" t="s">
        <v>43</v>
      </c>
      <c r="G4" t="s">
        <v>44</v>
      </c>
      <c r="H4" t="s">
        <v>45</v>
      </c>
      <c r="I4" t="s">
        <v>43</v>
      </c>
      <c r="J4" t="s">
        <v>44</v>
      </c>
      <c r="K4" t="s">
        <v>45</v>
      </c>
      <c r="L4" t="s">
        <v>43</v>
      </c>
      <c r="M4" t="s">
        <v>44</v>
      </c>
      <c r="N4" t="s">
        <v>45</v>
      </c>
      <c r="O4" t="s">
        <v>37</v>
      </c>
      <c r="P4" t="s">
        <v>38</v>
      </c>
      <c r="Q4" t="s">
        <v>39</v>
      </c>
      <c r="R4" t="s">
        <v>200</v>
      </c>
      <c r="S4" t="s">
        <v>199</v>
      </c>
      <c r="T4">
        <v>-17189.38</v>
      </c>
      <c r="U4">
        <f t="shared" si="0"/>
        <v>-17189.38</v>
      </c>
      <c r="V4">
        <f t="shared" si="1"/>
        <v>-17189.38</v>
      </c>
      <c r="W4" t="s">
        <v>198</v>
      </c>
      <c r="X4" s="2">
        <v>46142</v>
      </c>
      <c r="Y4" s="2">
        <v>46150</v>
      </c>
      <c r="AA4" t="s">
        <v>194</v>
      </c>
      <c r="AB4" t="s">
        <v>195</v>
      </c>
      <c r="AC4" t="s">
        <v>196</v>
      </c>
      <c r="AD4" t="s">
        <v>197</v>
      </c>
      <c r="AE4">
        <f t="shared" si="2"/>
        <v>-17189.38</v>
      </c>
    </row>
    <row r="5" spans="1:31" x14ac:dyDescent="0.25">
      <c r="A5">
        <v>4</v>
      </c>
      <c r="B5" t="s">
        <v>46</v>
      </c>
      <c r="C5" t="s">
        <v>47</v>
      </c>
      <c r="D5" t="s">
        <v>46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52</v>
      </c>
      <c r="M5" t="s">
        <v>53</v>
      </c>
      <c r="N5" t="s">
        <v>54</v>
      </c>
      <c r="O5" t="s">
        <v>37</v>
      </c>
      <c r="P5" t="s">
        <v>38</v>
      </c>
      <c r="Q5" t="s">
        <v>39</v>
      </c>
      <c r="R5" t="s">
        <v>200</v>
      </c>
      <c r="S5" t="s">
        <v>199</v>
      </c>
      <c r="T5">
        <v>-39243.99</v>
      </c>
      <c r="U5">
        <f t="shared" si="0"/>
        <v>-39243.99</v>
      </c>
      <c r="V5">
        <f t="shared" si="1"/>
        <v>-39243.99</v>
      </c>
      <c r="W5" t="s">
        <v>198</v>
      </c>
      <c r="X5" s="2">
        <v>46142</v>
      </c>
      <c r="Y5" s="2">
        <v>46150</v>
      </c>
      <c r="AA5" t="s">
        <v>194</v>
      </c>
      <c r="AB5" t="s">
        <v>195</v>
      </c>
      <c r="AC5" t="s">
        <v>196</v>
      </c>
      <c r="AD5" t="s">
        <v>197</v>
      </c>
      <c r="AE5">
        <f t="shared" si="2"/>
        <v>-39243.99</v>
      </c>
    </row>
    <row r="6" spans="1:31" x14ac:dyDescent="0.25">
      <c r="A6">
        <v>5</v>
      </c>
      <c r="B6" t="s">
        <v>46</v>
      </c>
      <c r="C6" t="s">
        <v>47</v>
      </c>
      <c r="D6" t="s">
        <v>46</v>
      </c>
      <c r="E6" t="s">
        <v>48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58</v>
      </c>
      <c r="M6" t="s">
        <v>59</v>
      </c>
      <c r="N6" t="s">
        <v>60</v>
      </c>
      <c r="O6" t="s">
        <v>37</v>
      </c>
      <c r="P6" t="s">
        <v>38</v>
      </c>
      <c r="Q6" t="s">
        <v>39</v>
      </c>
      <c r="R6" t="s">
        <v>201</v>
      </c>
      <c r="S6" t="s">
        <v>199</v>
      </c>
      <c r="T6">
        <v>-10733.51</v>
      </c>
      <c r="U6">
        <f t="shared" si="0"/>
        <v>-10733.51</v>
      </c>
      <c r="V6">
        <f t="shared" si="1"/>
        <v>-10733.51</v>
      </c>
      <c r="W6" t="s">
        <v>198</v>
      </c>
      <c r="X6" s="2">
        <v>46142</v>
      </c>
      <c r="Y6" s="2">
        <v>46150</v>
      </c>
      <c r="AA6" t="s">
        <v>194</v>
      </c>
      <c r="AB6" t="s">
        <v>195</v>
      </c>
      <c r="AC6" t="s">
        <v>196</v>
      </c>
      <c r="AD6" t="s">
        <v>197</v>
      </c>
      <c r="AE6">
        <f t="shared" si="2"/>
        <v>-10733.51</v>
      </c>
    </row>
    <row r="7" spans="1:31" x14ac:dyDescent="0.25">
      <c r="A7">
        <v>6</v>
      </c>
      <c r="B7" t="s">
        <v>46</v>
      </c>
      <c r="C7" t="s">
        <v>47</v>
      </c>
      <c r="D7" t="s">
        <v>46</v>
      </c>
      <c r="E7" t="s">
        <v>48</v>
      </c>
      <c r="F7" t="s">
        <v>55</v>
      </c>
      <c r="G7" t="s">
        <v>56</v>
      </c>
      <c r="H7" t="s">
        <v>57</v>
      </c>
      <c r="I7" t="s">
        <v>61</v>
      </c>
      <c r="J7" t="s">
        <v>62</v>
      </c>
      <c r="K7" t="s">
        <v>63</v>
      </c>
      <c r="L7" t="s">
        <v>61</v>
      </c>
      <c r="M7" t="s">
        <v>62</v>
      </c>
      <c r="N7" t="s">
        <v>63</v>
      </c>
      <c r="O7" t="s">
        <v>37</v>
      </c>
      <c r="P7" t="s">
        <v>38</v>
      </c>
      <c r="Q7" t="s">
        <v>39</v>
      </c>
      <c r="R7" t="s">
        <v>201</v>
      </c>
      <c r="S7" t="s">
        <v>199</v>
      </c>
      <c r="T7">
        <v>-27376.080000000002</v>
      </c>
      <c r="U7">
        <f t="shared" si="0"/>
        <v>-27376.080000000002</v>
      </c>
      <c r="V7">
        <f t="shared" si="1"/>
        <v>-27376.080000000002</v>
      </c>
      <c r="W7" t="s">
        <v>198</v>
      </c>
      <c r="X7" s="2">
        <v>46142</v>
      </c>
      <c r="Y7" s="2">
        <v>46150</v>
      </c>
      <c r="AA7" t="s">
        <v>194</v>
      </c>
      <c r="AB7" t="s">
        <v>195</v>
      </c>
      <c r="AC7" t="s">
        <v>196</v>
      </c>
      <c r="AD7" t="s">
        <v>197</v>
      </c>
      <c r="AE7">
        <f t="shared" si="2"/>
        <v>-27376.080000000002</v>
      </c>
    </row>
    <row r="8" spans="1:31" x14ac:dyDescent="0.25">
      <c r="A8">
        <v>7</v>
      </c>
      <c r="B8" t="s">
        <v>46</v>
      </c>
      <c r="C8" t="s">
        <v>47</v>
      </c>
      <c r="D8" t="s">
        <v>46</v>
      </c>
      <c r="E8" t="s">
        <v>48</v>
      </c>
      <c r="F8" t="s">
        <v>64</v>
      </c>
      <c r="G8" t="s">
        <v>65</v>
      </c>
      <c r="H8" t="s">
        <v>66</v>
      </c>
      <c r="I8" t="s">
        <v>67</v>
      </c>
      <c r="J8" t="s">
        <v>59</v>
      </c>
      <c r="K8" t="s">
        <v>68</v>
      </c>
      <c r="L8" t="s">
        <v>67</v>
      </c>
      <c r="M8" t="s">
        <v>59</v>
      </c>
      <c r="N8" t="s">
        <v>68</v>
      </c>
      <c r="O8" t="s">
        <v>37</v>
      </c>
      <c r="P8" t="s">
        <v>38</v>
      </c>
      <c r="Q8" t="s">
        <v>39</v>
      </c>
      <c r="R8" t="s">
        <v>202</v>
      </c>
      <c r="S8" t="s">
        <v>199</v>
      </c>
      <c r="T8">
        <v>-6950.75</v>
      </c>
      <c r="U8">
        <f t="shared" si="0"/>
        <v>-6950.75</v>
      </c>
      <c r="V8">
        <f t="shared" si="1"/>
        <v>-6950.75</v>
      </c>
      <c r="W8" t="s">
        <v>198</v>
      </c>
      <c r="X8" s="2">
        <v>46142</v>
      </c>
      <c r="Y8" s="2">
        <v>46150</v>
      </c>
      <c r="AA8" t="s">
        <v>194</v>
      </c>
      <c r="AB8" t="s">
        <v>195</v>
      </c>
      <c r="AC8" t="s">
        <v>196</v>
      </c>
      <c r="AD8" t="s">
        <v>197</v>
      </c>
      <c r="AE8">
        <f t="shared" si="2"/>
        <v>-6950.75</v>
      </c>
    </row>
    <row r="9" spans="1:31" x14ac:dyDescent="0.25">
      <c r="A9">
        <v>8</v>
      </c>
      <c r="B9" t="s">
        <v>46</v>
      </c>
      <c r="C9" t="s">
        <v>47</v>
      </c>
      <c r="D9" t="s">
        <v>46</v>
      </c>
      <c r="E9" t="s">
        <v>48</v>
      </c>
      <c r="F9" t="s">
        <v>64</v>
      </c>
      <c r="G9" t="s">
        <v>65</v>
      </c>
      <c r="H9" t="s">
        <v>66</v>
      </c>
      <c r="I9" t="s">
        <v>69</v>
      </c>
      <c r="J9" t="s">
        <v>62</v>
      </c>
      <c r="K9" t="s">
        <v>70</v>
      </c>
      <c r="L9" t="s">
        <v>69</v>
      </c>
      <c r="M9" t="s">
        <v>62</v>
      </c>
      <c r="N9" t="s">
        <v>70</v>
      </c>
      <c r="O9" t="s">
        <v>37</v>
      </c>
      <c r="P9" t="s">
        <v>38</v>
      </c>
      <c r="Q9" t="s">
        <v>39</v>
      </c>
      <c r="R9" t="s">
        <v>202</v>
      </c>
      <c r="S9" t="s">
        <v>199</v>
      </c>
      <c r="T9">
        <v>-23166.18</v>
      </c>
      <c r="U9">
        <f t="shared" si="0"/>
        <v>-23166.18</v>
      </c>
      <c r="V9">
        <f t="shared" si="1"/>
        <v>-23166.18</v>
      </c>
      <c r="W9" t="s">
        <v>198</v>
      </c>
      <c r="X9" s="2">
        <v>46142</v>
      </c>
      <c r="Y9" s="2">
        <v>46150</v>
      </c>
      <c r="AA9" t="s">
        <v>194</v>
      </c>
      <c r="AB9" t="s">
        <v>195</v>
      </c>
      <c r="AC9" t="s">
        <v>196</v>
      </c>
      <c r="AD9" t="s">
        <v>197</v>
      </c>
      <c r="AE9">
        <f t="shared" si="2"/>
        <v>-23166.18</v>
      </c>
    </row>
    <row r="10" spans="1:31" x14ac:dyDescent="0.25">
      <c r="A10">
        <v>9</v>
      </c>
      <c r="B10" t="s">
        <v>46</v>
      </c>
      <c r="C10" t="s">
        <v>47</v>
      </c>
      <c r="D10" t="s">
        <v>46</v>
      </c>
      <c r="E10" t="s">
        <v>48</v>
      </c>
      <c r="F10" t="s">
        <v>71</v>
      </c>
      <c r="G10" t="s">
        <v>72</v>
      </c>
      <c r="H10" t="s">
        <v>73</v>
      </c>
      <c r="I10" t="s">
        <v>74</v>
      </c>
      <c r="J10" t="s">
        <v>59</v>
      </c>
      <c r="K10" t="s">
        <v>75</v>
      </c>
      <c r="L10" t="s">
        <v>74</v>
      </c>
      <c r="M10" t="s">
        <v>59</v>
      </c>
      <c r="N10" t="s">
        <v>75</v>
      </c>
      <c r="O10" t="s">
        <v>37</v>
      </c>
      <c r="P10" t="s">
        <v>38</v>
      </c>
      <c r="Q10" t="s">
        <v>39</v>
      </c>
      <c r="R10" t="s">
        <v>203</v>
      </c>
      <c r="S10" t="s">
        <v>199</v>
      </c>
      <c r="T10">
        <v>-10763.61</v>
      </c>
      <c r="U10">
        <f t="shared" si="0"/>
        <v>-10763.61</v>
      </c>
      <c r="V10">
        <f t="shared" si="1"/>
        <v>-10763.61</v>
      </c>
      <c r="W10" t="s">
        <v>198</v>
      </c>
      <c r="X10" s="2">
        <v>46142</v>
      </c>
      <c r="Y10" s="2">
        <v>46150</v>
      </c>
      <c r="AA10" t="s">
        <v>194</v>
      </c>
      <c r="AB10" t="s">
        <v>195</v>
      </c>
      <c r="AC10" t="s">
        <v>196</v>
      </c>
      <c r="AD10" t="s">
        <v>197</v>
      </c>
      <c r="AE10">
        <f t="shared" si="2"/>
        <v>-10763.61</v>
      </c>
    </row>
    <row r="11" spans="1:31" x14ac:dyDescent="0.25">
      <c r="A11">
        <v>10</v>
      </c>
      <c r="B11" t="s">
        <v>46</v>
      </c>
      <c r="C11" t="s">
        <v>47</v>
      </c>
      <c r="D11" t="s">
        <v>46</v>
      </c>
      <c r="E11" t="s">
        <v>48</v>
      </c>
      <c r="F11" t="s">
        <v>71</v>
      </c>
      <c r="G11" t="s">
        <v>72</v>
      </c>
      <c r="H11" t="s">
        <v>73</v>
      </c>
      <c r="I11" t="s">
        <v>76</v>
      </c>
      <c r="J11" t="s">
        <v>62</v>
      </c>
      <c r="K11" t="s">
        <v>77</v>
      </c>
      <c r="L11" t="s">
        <v>76</v>
      </c>
      <c r="M11" t="s">
        <v>62</v>
      </c>
      <c r="N11" t="s">
        <v>77</v>
      </c>
      <c r="O11" t="s">
        <v>37</v>
      </c>
      <c r="P11" t="s">
        <v>38</v>
      </c>
      <c r="Q11" t="s">
        <v>39</v>
      </c>
      <c r="R11" t="s">
        <v>203</v>
      </c>
      <c r="S11" t="s">
        <v>199</v>
      </c>
      <c r="T11">
        <v>-50884.61</v>
      </c>
      <c r="U11">
        <f t="shared" si="0"/>
        <v>-50884.61</v>
      </c>
      <c r="V11">
        <f t="shared" si="1"/>
        <v>-50884.61</v>
      </c>
      <c r="W11" t="s">
        <v>198</v>
      </c>
      <c r="X11" s="2">
        <v>46142</v>
      </c>
      <c r="Y11" s="2">
        <v>46150</v>
      </c>
      <c r="AA11" t="s">
        <v>194</v>
      </c>
      <c r="AB11" t="s">
        <v>195</v>
      </c>
      <c r="AC11" t="s">
        <v>196</v>
      </c>
      <c r="AD11" t="s">
        <v>197</v>
      </c>
      <c r="AE11">
        <f t="shared" si="2"/>
        <v>-50884.61</v>
      </c>
    </row>
    <row r="12" spans="1:31" x14ac:dyDescent="0.25">
      <c r="A12">
        <v>11</v>
      </c>
      <c r="B12" t="s">
        <v>46</v>
      </c>
      <c r="C12" t="s">
        <v>47</v>
      </c>
      <c r="D12" t="s">
        <v>46</v>
      </c>
      <c r="E12" t="s">
        <v>48</v>
      </c>
      <c r="F12" t="s">
        <v>78</v>
      </c>
      <c r="G12" t="s">
        <v>79</v>
      </c>
      <c r="H12" t="s">
        <v>80</v>
      </c>
      <c r="I12" t="s">
        <v>81</v>
      </c>
      <c r="J12" t="s">
        <v>59</v>
      </c>
      <c r="K12" t="s">
        <v>82</v>
      </c>
      <c r="L12" t="s">
        <v>81</v>
      </c>
      <c r="M12" t="s">
        <v>59</v>
      </c>
      <c r="N12" t="s">
        <v>82</v>
      </c>
      <c r="O12" t="s">
        <v>37</v>
      </c>
      <c r="P12" t="s">
        <v>38</v>
      </c>
      <c r="Q12" t="s">
        <v>39</v>
      </c>
      <c r="R12" t="s">
        <v>204</v>
      </c>
      <c r="S12" t="s">
        <v>199</v>
      </c>
      <c r="T12">
        <v>-14624.34</v>
      </c>
      <c r="U12">
        <f t="shared" si="0"/>
        <v>-14624.34</v>
      </c>
      <c r="V12">
        <f t="shared" si="1"/>
        <v>-14624.34</v>
      </c>
      <c r="W12" t="s">
        <v>198</v>
      </c>
      <c r="X12" s="2">
        <v>46142</v>
      </c>
      <c r="Y12" s="2">
        <v>46150</v>
      </c>
      <c r="AA12" t="s">
        <v>194</v>
      </c>
      <c r="AB12" t="s">
        <v>195</v>
      </c>
      <c r="AC12" t="s">
        <v>196</v>
      </c>
      <c r="AD12" t="s">
        <v>197</v>
      </c>
      <c r="AE12">
        <f t="shared" si="2"/>
        <v>-14624.34</v>
      </c>
    </row>
    <row r="13" spans="1:31" x14ac:dyDescent="0.25">
      <c r="A13">
        <v>12</v>
      </c>
      <c r="B13" t="s">
        <v>46</v>
      </c>
      <c r="C13" t="s">
        <v>47</v>
      </c>
      <c r="D13" t="s">
        <v>46</v>
      </c>
      <c r="E13" t="s">
        <v>48</v>
      </c>
      <c r="F13" t="s">
        <v>78</v>
      </c>
      <c r="G13" t="s">
        <v>79</v>
      </c>
      <c r="H13" t="s">
        <v>80</v>
      </c>
      <c r="I13" t="s">
        <v>83</v>
      </c>
      <c r="J13" t="s">
        <v>62</v>
      </c>
      <c r="K13" t="s">
        <v>84</v>
      </c>
      <c r="L13" t="s">
        <v>83</v>
      </c>
      <c r="M13" t="s">
        <v>62</v>
      </c>
      <c r="N13" t="s">
        <v>84</v>
      </c>
      <c r="O13" t="s">
        <v>37</v>
      </c>
      <c r="P13" t="s">
        <v>38</v>
      </c>
      <c r="Q13" t="s">
        <v>39</v>
      </c>
      <c r="R13" t="s">
        <v>204</v>
      </c>
      <c r="S13" t="s">
        <v>199</v>
      </c>
      <c r="T13">
        <v>-52645.599999999999</v>
      </c>
      <c r="U13">
        <f t="shared" si="0"/>
        <v>-52645.599999999999</v>
      </c>
      <c r="V13">
        <f t="shared" si="1"/>
        <v>-52645.599999999999</v>
      </c>
      <c r="W13" t="s">
        <v>198</v>
      </c>
      <c r="X13" s="2">
        <v>46142</v>
      </c>
      <c r="Y13" s="2">
        <v>46150</v>
      </c>
      <c r="AA13" t="s">
        <v>194</v>
      </c>
      <c r="AB13" t="s">
        <v>195</v>
      </c>
      <c r="AC13" t="s">
        <v>196</v>
      </c>
      <c r="AD13" t="s">
        <v>197</v>
      </c>
      <c r="AE13">
        <f t="shared" si="2"/>
        <v>-52645.599999999999</v>
      </c>
    </row>
    <row r="14" spans="1:31" x14ac:dyDescent="0.25">
      <c r="A14">
        <v>13</v>
      </c>
      <c r="B14" t="s">
        <v>46</v>
      </c>
      <c r="C14" t="s">
        <v>47</v>
      </c>
      <c r="D14" t="s">
        <v>46</v>
      </c>
      <c r="E14" t="s">
        <v>48</v>
      </c>
      <c r="F14" t="s">
        <v>85</v>
      </c>
      <c r="G14" t="s">
        <v>86</v>
      </c>
      <c r="H14" t="s">
        <v>87</v>
      </c>
      <c r="I14" t="s">
        <v>88</v>
      </c>
      <c r="J14" t="s">
        <v>59</v>
      </c>
      <c r="K14" t="s">
        <v>89</v>
      </c>
      <c r="L14" t="s">
        <v>88</v>
      </c>
      <c r="M14" t="s">
        <v>59</v>
      </c>
      <c r="N14" t="s">
        <v>89</v>
      </c>
      <c r="O14" t="s">
        <v>37</v>
      </c>
      <c r="P14" t="s">
        <v>38</v>
      </c>
      <c r="Q14" t="s">
        <v>39</v>
      </c>
      <c r="R14" t="s">
        <v>205</v>
      </c>
      <c r="S14" t="s">
        <v>199</v>
      </c>
      <c r="T14">
        <v>-5484.54</v>
      </c>
      <c r="U14">
        <f t="shared" si="0"/>
        <v>-5484.54</v>
      </c>
      <c r="V14">
        <f t="shared" si="1"/>
        <v>-5484.54</v>
      </c>
      <c r="W14" t="s">
        <v>198</v>
      </c>
      <c r="X14" s="2">
        <v>46142</v>
      </c>
      <c r="Y14" s="2">
        <v>46150</v>
      </c>
      <c r="AA14" t="s">
        <v>194</v>
      </c>
      <c r="AB14" t="s">
        <v>195</v>
      </c>
      <c r="AC14" t="s">
        <v>196</v>
      </c>
      <c r="AD14" t="s">
        <v>197</v>
      </c>
      <c r="AE14">
        <f t="shared" si="2"/>
        <v>-5484.54</v>
      </c>
    </row>
    <row r="15" spans="1:31" x14ac:dyDescent="0.25">
      <c r="A15">
        <v>14</v>
      </c>
      <c r="B15" t="s">
        <v>46</v>
      </c>
      <c r="C15" t="s">
        <v>47</v>
      </c>
      <c r="D15" t="s">
        <v>46</v>
      </c>
      <c r="E15" t="s">
        <v>48</v>
      </c>
      <c r="F15" t="s">
        <v>85</v>
      </c>
      <c r="G15" t="s">
        <v>86</v>
      </c>
      <c r="H15" t="s">
        <v>87</v>
      </c>
      <c r="I15" t="s">
        <v>90</v>
      </c>
      <c r="J15" t="s">
        <v>62</v>
      </c>
      <c r="K15" t="s">
        <v>91</v>
      </c>
      <c r="L15" t="s">
        <v>90</v>
      </c>
      <c r="M15" t="s">
        <v>62</v>
      </c>
      <c r="N15" t="s">
        <v>91</v>
      </c>
      <c r="O15" t="s">
        <v>37</v>
      </c>
      <c r="P15" t="s">
        <v>38</v>
      </c>
      <c r="Q15" t="s">
        <v>39</v>
      </c>
      <c r="R15" t="s">
        <v>205</v>
      </c>
      <c r="S15" t="s">
        <v>199</v>
      </c>
      <c r="T15">
        <v>-21900.9</v>
      </c>
      <c r="U15">
        <f t="shared" si="0"/>
        <v>-21900.9</v>
      </c>
      <c r="V15">
        <f t="shared" si="1"/>
        <v>-21900.9</v>
      </c>
      <c r="W15" t="s">
        <v>198</v>
      </c>
      <c r="X15" s="2">
        <v>46142</v>
      </c>
      <c r="Y15" s="2">
        <v>46150</v>
      </c>
      <c r="AA15" t="s">
        <v>194</v>
      </c>
      <c r="AB15" t="s">
        <v>195</v>
      </c>
      <c r="AC15" t="s">
        <v>196</v>
      </c>
      <c r="AD15" t="s">
        <v>197</v>
      </c>
      <c r="AE15">
        <f t="shared" si="2"/>
        <v>-21900.9</v>
      </c>
    </row>
    <row r="16" spans="1:31" x14ac:dyDescent="0.25">
      <c r="A16">
        <v>15</v>
      </c>
      <c r="B16" t="s">
        <v>46</v>
      </c>
      <c r="C16" t="s">
        <v>47</v>
      </c>
      <c r="D16" t="s">
        <v>46</v>
      </c>
      <c r="E16" t="s">
        <v>48</v>
      </c>
      <c r="F16" t="s">
        <v>92</v>
      </c>
      <c r="G16" t="s">
        <v>93</v>
      </c>
      <c r="H16" t="s">
        <v>94</v>
      </c>
      <c r="I16" t="s">
        <v>95</v>
      </c>
      <c r="J16" t="s">
        <v>62</v>
      </c>
      <c r="K16" t="s">
        <v>96</v>
      </c>
      <c r="L16" t="s">
        <v>95</v>
      </c>
      <c r="M16" t="s">
        <v>62</v>
      </c>
      <c r="N16" t="s">
        <v>96</v>
      </c>
      <c r="O16" t="s">
        <v>37</v>
      </c>
      <c r="P16" t="s">
        <v>38</v>
      </c>
      <c r="Q16" t="s">
        <v>39</v>
      </c>
      <c r="R16" t="s">
        <v>206</v>
      </c>
      <c r="S16" t="s">
        <v>199</v>
      </c>
      <c r="T16">
        <v>-5545.78</v>
      </c>
      <c r="U16">
        <f t="shared" si="0"/>
        <v>-5545.78</v>
      </c>
      <c r="V16">
        <f t="shared" si="1"/>
        <v>-5545.78</v>
      </c>
      <c r="W16" t="s">
        <v>198</v>
      </c>
      <c r="X16" s="2">
        <v>46142</v>
      </c>
      <c r="Y16" s="2">
        <v>46150</v>
      </c>
      <c r="AA16" t="s">
        <v>194</v>
      </c>
      <c r="AB16" t="s">
        <v>195</v>
      </c>
      <c r="AC16" t="s">
        <v>196</v>
      </c>
      <c r="AD16" t="s">
        <v>197</v>
      </c>
      <c r="AE16">
        <f t="shared" si="2"/>
        <v>-5545.78</v>
      </c>
    </row>
    <row r="17" spans="1:31" x14ac:dyDescent="0.25">
      <c r="A17">
        <v>16</v>
      </c>
      <c r="B17" t="s">
        <v>97</v>
      </c>
      <c r="C17" t="s">
        <v>98</v>
      </c>
      <c r="D17" t="s">
        <v>97</v>
      </c>
      <c r="E17" t="s">
        <v>99</v>
      </c>
      <c r="F17" t="s">
        <v>100</v>
      </c>
      <c r="G17" t="s">
        <v>79</v>
      </c>
      <c r="H17" t="s">
        <v>101</v>
      </c>
      <c r="I17" t="s">
        <v>102</v>
      </c>
      <c r="J17" t="s">
        <v>59</v>
      </c>
      <c r="K17" t="s">
        <v>103</v>
      </c>
      <c r="L17" t="s">
        <v>102</v>
      </c>
      <c r="M17" t="s">
        <v>59</v>
      </c>
      <c r="N17" t="s">
        <v>103</v>
      </c>
      <c r="O17" t="s">
        <v>37</v>
      </c>
      <c r="P17" t="s">
        <v>38</v>
      </c>
      <c r="Q17" t="s">
        <v>39</v>
      </c>
      <c r="R17" t="s">
        <v>97</v>
      </c>
      <c r="S17" t="s">
        <v>199</v>
      </c>
      <c r="T17">
        <v>-13162.31</v>
      </c>
      <c r="U17">
        <f t="shared" si="0"/>
        <v>-13162.31</v>
      </c>
      <c r="V17">
        <f t="shared" si="1"/>
        <v>-13162.31</v>
      </c>
      <c r="W17" t="s">
        <v>198</v>
      </c>
      <c r="X17" s="2">
        <v>46142</v>
      </c>
      <c r="Y17" s="2">
        <v>46150</v>
      </c>
      <c r="AA17" t="s">
        <v>194</v>
      </c>
      <c r="AB17" t="s">
        <v>195</v>
      </c>
      <c r="AC17" t="s">
        <v>196</v>
      </c>
      <c r="AD17" t="s">
        <v>197</v>
      </c>
      <c r="AE17">
        <f t="shared" si="2"/>
        <v>-13162.31</v>
      </c>
    </row>
    <row r="18" spans="1:31" x14ac:dyDescent="0.25">
      <c r="A18">
        <v>17</v>
      </c>
      <c r="B18" t="s">
        <v>97</v>
      </c>
      <c r="C18" t="s">
        <v>98</v>
      </c>
      <c r="D18" t="s">
        <v>97</v>
      </c>
      <c r="E18" t="s">
        <v>99</v>
      </c>
      <c r="F18" t="s">
        <v>100</v>
      </c>
      <c r="G18" t="s">
        <v>79</v>
      </c>
      <c r="H18" t="s">
        <v>101</v>
      </c>
      <c r="I18" t="s">
        <v>104</v>
      </c>
      <c r="J18" t="s">
        <v>105</v>
      </c>
      <c r="K18" t="s">
        <v>106</v>
      </c>
      <c r="L18" t="s">
        <v>104</v>
      </c>
      <c r="M18" t="s">
        <v>105</v>
      </c>
      <c r="N18" t="s">
        <v>106</v>
      </c>
      <c r="O18" t="s">
        <v>37</v>
      </c>
      <c r="P18" t="s">
        <v>38</v>
      </c>
      <c r="Q18" t="s">
        <v>39</v>
      </c>
      <c r="R18" t="s">
        <v>97</v>
      </c>
      <c r="S18" t="s">
        <v>199</v>
      </c>
      <c r="T18">
        <v>-23317.14</v>
      </c>
      <c r="U18">
        <f t="shared" si="0"/>
        <v>-23317.14</v>
      </c>
      <c r="V18">
        <f t="shared" si="1"/>
        <v>-23317.14</v>
      </c>
      <c r="W18" t="s">
        <v>198</v>
      </c>
      <c r="X18" s="2">
        <v>46142</v>
      </c>
      <c r="Y18" s="2">
        <v>46150</v>
      </c>
      <c r="AA18" t="s">
        <v>194</v>
      </c>
      <c r="AB18" t="s">
        <v>195</v>
      </c>
      <c r="AC18" t="s">
        <v>196</v>
      </c>
      <c r="AD18" t="s">
        <v>197</v>
      </c>
      <c r="AE18">
        <f t="shared" si="2"/>
        <v>-23317.14</v>
      </c>
    </row>
    <row r="19" spans="1:31" x14ac:dyDescent="0.25">
      <c r="A19">
        <v>18</v>
      </c>
      <c r="B19" t="s">
        <v>97</v>
      </c>
      <c r="C19" t="s">
        <v>98</v>
      </c>
      <c r="D19" t="s">
        <v>97</v>
      </c>
      <c r="E19" t="s">
        <v>99</v>
      </c>
      <c r="F19" t="s">
        <v>100</v>
      </c>
      <c r="G19" t="s">
        <v>79</v>
      </c>
      <c r="H19" t="s">
        <v>101</v>
      </c>
      <c r="I19" t="s">
        <v>107</v>
      </c>
      <c r="J19" t="s">
        <v>62</v>
      </c>
      <c r="K19" t="s">
        <v>108</v>
      </c>
      <c r="L19" t="s">
        <v>107</v>
      </c>
      <c r="M19" t="s">
        <v>62</v>
      </c>
      <c r="N19" t="s">
        <v>108</v>
      </c>
      <c r="O19" t="s">
        <v>37</v>
      </c>
      <c r="P19" t="s">
        <v>38</v>
      </c>
      <c r="Q19" t="s">
        <v>39</v>
      </c>
      <c r="R19" t="s">
        <v>97</v>
      </c>
      <c r="S19" t="s">
        <v>199</v>
      </c>
      <c r="T19">
        <v>-11382.19</v>
      </c>
      <c r="U19">
        <f t="shared" si="0"/>
        <v>-11382.19</v>
      </c>
      <c r="V19">
        <f t="shared" si="1"/>
        <v>-11382.19</v>
      </c>
      <c r="W19" t="s">
        <v>198</v>
      </c>
      <c r="X19" s="2">
        <v>46142</v>
      </c>
      <c r="Y19" s="2">
        <v>46150</v>
      </c>
      <c r="AA19" t="s">
        <v>194</v>
      </c>
      <c r="AB19" t="s">
        <v>195</v>
      </c>
      <c r="AC19" t="s">
        <v>196</v>
      </c>
      <c r="AD19" t="s">
        <v>197</v>
      </c>
      <c r="AE19">
        <f t="shared" si="2"/>
        <v>-11382.19</v>
      </c>
    </row>
    <row r="20" spans="1:31" x14ac:dyDescent="0.25">
      <c r="A20">
        <v>19</v>
      </c>
      <c r="B20" t="s">
        <v>97</v>
      </c>
      <c r="C20" t="s">
        <v>98</v>
      </c>
      <c r="D20" t="s">
        <v>97</v>
      </c>
      <c r="E20" t="s">
        <v>99</v>
      </c>
      <c r="F20" t="s">
        <v>100</v>
      </c>
      <c r="G20" t="s">
        <v>79</v>
      </c>
      <c r="H20" t="s">
        <v>101</v>
      </c>
      <c r="I20" t="s">
        <v>109</v>
      </c>
      <c r="J20" t="s">
        <v>110</v>
      </c>
      <c r="K20" t="s">
        <v>111</v>
      </c>
      <c r="L20" t="s">
        <v>109</v>
      </c>
      <c r="M20" t="s">
        <v>110</v>
      </c>
      <c r="N20" t="s">
        <v>111</v>
      </c>
      <c r="O20" t="s">
        <v>37</v>
      </c>
      <c r="P20" t="s">
        <v>38</v>
      </c>
      <c r="Q20" t="s">
        <v>39</v>
      </c>
      <c r="R20" t="s">
        <v>97</v>
      </c>
      <c r="S20" t="s">
        <v>199</v>
      </c>
      <c r="T20">
        <v>-21567.51</v>
      </c>
      <c r="U20">
        <f t="shared" si="0"/>
        <v>-21567.51</v>
      </c>
      <c r="V20">
        <f t="shared" si="1"/>
        <v>-21567.51</v>
      </c>
      <c r="W20" t="s">
        <v>198</v>
      </c>
      <c r="X20" s="2">
        <v>46142</v>
      </c>
      <c r="Y20" s="2">
        <v>46150</v>
      </c>
      <c r="AA20" t="s">
        <v>194</v>
      </c>
      <c r="AB20" t="s">
        <v>195</v>
      </c>
      <c r="AC20" t="s">
        <v>196</v>
      </c>
      <c r="AD20" t="s">
        <v>197</v>
      </c>
      <c r="AE20">
        <f t="shared" si="2"/>
        <v>-21567.51</v>
      </c>
    </row>
    <row r="21" spans="1:31" x14ac:dyDescent="0.25">
      <c r="A21">
        <v>20</v>
      </c>
      <c r="B21" t="s">
        <v>97</v>
      </c>
      <c r="C21" t="s">
        <v>98</v>
      </c>
      <c r="D21" t="s">
        <v>97</v>
      </c>
      <c r="E21" t="s">
        <v>99</v>
      </c>
      <c r="F21" t="s">
        <v>100</v>
      </c>
      <c r="G21" t="s">
        <v>79</v>
      </c>
      <c r="H21" t="s">
        <v>101</v>
      </c>
      <c r="I21" t="s">
        <v>112</v>
      </c>
      <c r="J21" t="s">
        <v>113</v>
      </c>
      <c r="K21" t="s">
        <v>114</v>
      </c>
      <c r="L21" t="s">
        <v>112</v>
      </c>
      <c r="M21" t="s">
        <v>113</v>
      </c>
      <c r="N21" t="s">
        <v>114</v>
      </c>
      <c r="O21" t="s">
        <v>37</v>
      </c>
      <c r="P21" t="s">
        <v>38</v>
      </c>
      <c r="Q21" t="s">
        <v>39</v>
      </c>
      <c r="R21" t="s">
        <v>97</v>
      </c>
      <c r="S21" t="s">
        <v>199</v>
      </c>
      <c r="T21">
        <v>-33842.660000000003</v>
      </c>
      <c r="U21">
        <f t="shared" si="0"/>
        <v>-33842.660000000003</v>
      </c>
      <c r="V21">
        <f t="shared" si="1"/>
        <v>-33842.660000000003</v>
      </c>
      <c r="W21" t="s">
        <v>198</v>
      </c>
      <c r="X21" s="2">
        <v>46142</v>
      </c>
      <c r="Y21" s="2">
        <v>46150</v>
      </c>
      <c r="AA21" t="s">
        <v>194</v>
      </c>
      <c r="AB21" t="s">
        <v>195</v>
      </c>
      <c r="AC21" t="s">
        <v>196</v>
      </c>
      <c r="AD21" t="s">
        <v>197</v>
      </c>
      <c r="AE21">
        <f t="shared" si="2"/>
        <v>-33842.660000000003</v>
      </c>
    </row>
    <row r="22" spans="1:31" x14ac:dyDescent="0.25">
      <c r="A22">
        <v>21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79</v>
      </c>
      <c r="H22" t="s">
        <v>120</v>
      </c>
      <c r="I22" t="s">
        <v>121</v>
      </c>
      <c r="J22" t="s">
        <v>59</v>
      </c>
      <c r="K22" t="s">
        <v>122</v>
      </c>
      <c r="L22" t="s">
        <v>121</v>
      </c>
      <c r="M22" t="s">
        <v>59</v>
      </c>
      <c r="N22" t="s">
        <v>122</v>
      </c>
      <c r="O22" t="s">
        <v>37</v>
      </c>
      <c r="P22" t="s">
        <v>38</v>
      </c>
      <c r="Q22" t="s">
        <v>39</v>
      </c>
      <c r="R22" t="s">
        <v>182</v>
      </c>
      <c r="S22" t="s">
        <v>199</v>
      </c>
      <c r="T22">
        <v>-21251.87</v>
      </c>
      <c r="U22">
        <f t="shared" si="0"/>
        <v>-21251.87</v>
      </c>
      <c r="V22">
        <f t="shared" si="1"/>
        <v>-21251.87</v>
      </c>
      <c r="W22" t="s">
        <v>198</v>
      </c>
      <c r="X22" s="2">
        <v>46142</v>
      </c>
      <c r="Y22" s="2">
        <v>46150</v>
      </c>
      <c r="AA22" t="s">
        <v>194</v>
      </c>
      <c r="AB22" t="s">
        <v>195</v>
      </c>
      <c r="AC22" t="s">
        <v>196</v>
      </c>
      <c r="AD22" t="s">
        <v>197</v>
      </c>
      <c r="AE22">
        <f t="shared" si="2"/>
        <v>-21251.87</v>
      </c>
    </row>
    <row r="23" spans="1:31" x14ac:dyDescent="0.25">
      <c r="A23">
        <v>22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  <c r="G23" t="s">
        <v>79</v>
      </c>
      <c r="H23" t="s">
        <v>128</v>
      </c>
      <c r="I23" t="s">
        <v>129</v>
      </c>
      <c r="J23" t="s">
        <v>105</v>
      </c>
      <c r="K23" t="s">
        <v>130</v>
      </c>
      <c r="L23" t="s">
        <v>129</v>
      </c>
      <c r="M23" t="s">
        <v>105</v>
      </c>
      <c r="N23" t="s">
        <v>130</v>
      </c>
      <c r="O23" t="s">
        <v>37</v>
      </c>
      <c r="P23" t="s">
        <v>38</v>
      </c>
      <c r="Q23" t="s">
        <v>39</v>
      </c>
      <c r="R23" t="s">
        <v>207</v>
      </c>
      <c r="S23" t="s">
        <v>199</v>
      </c>
      <c r="T23">
        <v>-5090.4799999999996</v>
      </c>
      <c r="U23">
        <f t="shared" si="0"/>
        <v>-5090.4799999999996</v>
      </c>
      <c r="V23">
        <f t="shared" si="1"/>
        <v>-5090.4799999999996</v>
      </c>
      <c r="W23" t="s">
        <v>198</v>
      </c>
      <c r="X23" s="2">
        <v>46142</v>
      </c>
      <c r="Y23" s="2">
        <v>46150</v>
      </c>
      <c r="AA23" t="s">
        <v>194</v>
      </c>
      <c r="AB23" t="s">
        <v>195</v>
      </c>
      <c r="AC23" t="s">
        <v>196</v>
      </c>
      <c r="AD23" t="s">
        <v>197</v>
      </c>
      <c r="AE23">
        <f t="shared" si="2"/>
        <v>-5090.4799999999996</v>
      </c>
    </row>
    <row r="24" spans="1:31" x14ac:dyDescent="0.25">
      <c r="A24">
        <v>23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  <c r="H24" t="s">
        <v>137</v>
      </c>
      <c r="I24" t="s">
        <v>138</v>
      </c>
      <c r="J24" t="s">
        <v>139</v>
      </c>
      <c r="K24" t="s">
        <v>140</v>
      </c>
      <c r="L24" t="s">
        <v>141</v>
      </c>
      <c r="M24" t="s">
        <v>142</v>
      </c>
      <c r="N24" t="s">
        <v>143</v>
      </c>
      <c r="O24" t="s">
        <v>37</v>
      </c>
      <c r="P24" t="s">
        <v>38</v>
      </c>
      <c r="Q24" t="s">
        <v>39</v>
      </c>
      <c r="R24" t="s">
        <v>157</v>
      </c>
      <c r="S24" t="s">
        <v>199</v>
      </c>
      <c r="T24">
        <v>-20157.32</v>
      </c>
      <c r="U24">
        <f t="shared" si="0"/>
        <v>-20157.32</v>
      </c>
      <c r="V24">
        <f t="shared" si="1"/>
        <v>-20157.32</v>
      </c>
      <c r="W24" t="s">
        <v>198</v>
      </c>
      <c r="X24" s="2">
        <v>46142</v>
      </c>
      <c r="Y24" s="2">
        <v>46150</v>
      </c>
      <c r="AA24" t="s">
        <v>194</v>
      </c>
      <c r="AB24" t="s">
        <v>195</v>
      </c>
      <c r="AC24" t="s">
        <v>196</v>
      </c>
      <c r="AD24" t="s">
        <v>197</v>
      </c>
      <c r="AE24">
        <f t="shared" si="2"/>
        <v>-20157.32</v>
      </c>
    </row>
    <row r="25" spans="1:31" x14ac:dyDescent="0.25">
      <c r="A25">
        <v>24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  <c r="I25" t="s">
        <v>144</v>
      </c>
      <c r="J25" t="s">
        <v>145</v>
      </c>
      <c r="K25" t="s">
        <v>146</v>
      </c>
      <c r="L25" t="s">
        <v>147</v>
      </c>
      <c r="M25" t="s">
        <v>148</v>
      </c>
      <c r="N25" t="s">
        <v>149</v>
      </c>
      <c r="O25" t="s">
        <v>37</v>
      </c>
      <c r="P25" t="s">
        <v>38</v>
      </c>
      <c r="Q25" t="s">
        <v>39</v>
      </c>
      <c r="R25" t="s">
        <v>157</v>
      </c>
      <c r="S25" t="s">
        <v>199</v>
      </c>
      <c r="T25">
        <v>-21582.720000000001</v>
      </c>
      <c r="U25">
        <f t="shared" si="0"/>
        <v>-21582.720000000001</v>
      </c>
      <c r="V25">
        <f t="shared" si="1"/>
        <v>-21582.720000000001</v>
      </c>
      <c r="W25" t="s">
        <v>198</v>
      </c>
      <c r="X25" s="2">
        <v>46142</v>
      </c>
      <c r="Y25" s="2">
        <v>46150</v>
      </c>
      <c r="AA25" t="s">
        <v>194</v>
      </c>
      <c r="AB25" t="s">
        <v>195</v>
      </c>
      <c r="AC25" t="s">
        <v>196</v>
      </c>
      <c r="AD25" t="s">
        <v>197</v>
      </c>
      <c r="AE25">
        <f t="shared" si="2"/>
        <v>-21582.720000000001</v>
      </c>
    </row>
    <row r="26" spans="1:31" x14ac:dyDescent="0.25">
      <c r="A26">
        <v>25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136</v>
      </c>
      <c r="H26" t="s">
        <v>137</v>
      </c>
      <c r="I26" t="s">
        <v>150</v>
      </c>
      <c r="J26" t="s">
        <v>151</v>
      </c>
      <c r="K26" t="s">
        <v>152</v>
      </c>
      <c r="L26" t="s">
        <v>153</v>
      </c>
      <c r="M26" t="s">
        <v>154</v>
      </c>
      <c r="N26" t="s">
        <v>155</v>
      </c>
      <c r="O26" t="s">
        <v>37</v>
      </c>
      <c r="P26" t="s">
        <v>38</v>
      </c>
      <c r="Q26" t="s">
        <v>39</v>
      </c>
      <c r="R26" t="s">
        <v>157</v>
      </c>
      <c r="S26" t="s">
        <v>199</v>
      </c>
      <c r="T26">
        <v>-11594.9</v>
      </c>
      <c r="U26">
        <f t="shared" si="0"/>
        <v>-11594.9</v>
      </c>
      <c r="V26">
        <f t="shared" si="1"/>
        <v>-11594.9</v>
      </c>
      <c r="W26" t="s">
        <v>198</v>
      </c>
      <c r="X26" s="2">
        <v>46142</v>
      </c>
      <c r="Y26" s="2">
        <v>46150</v>
      </c>
      <c r="AA26" t="s">
        <v>194</v>
      </c>
      <c r="AB26" t="s">
        <v>195</v>
      </c>
      <c r="AC26" t="s">
        <v>196</v>
      </c>
      <c r="AD26" t="s">
        <v>197</v>
      </c>
      <c r="AE26">
        <f t="shared" si="2"/>
        <v>-11594.9</v>
      </c>
    </row>
    <row r="27" spans="1:31" x14ac:dyDescent="0.25">
      <c r="A27">
        <v>26</v>
      </c>
      <c r="B27" t="s">
        <v>131</v>
      </c>
      <c r="C27" t="s">
        <v>132</v>
      </c>
      <c r="D27" t="s">
        <v>133</v>
      </c>
      <c r="E27" t="s">
        <v>134</v>
      </c>
      <c r="F27" t="s">
        <v>156</v>
      </c>
      <c r="G27" t="s">
        <v>157</v>
      </c>
      <c r="H27" t="s">
        <v>158</v>
      </c>
      <c r="I27" t="s">
        <v>159</v>
      </c>
      <c r="J27" t="s">
        <v>62</v>
      </c>
      <c r="K27" t="s">
        <v>160</v>
      </c>
      <c r="L27" t="s">
        <v>159</v>
      </c>
      <c r="M27" t="s">
        <v>62</v>
      </c>
      <c r="N27" t="s">
        <v>160</v>
      </c>
      <c r="O27" t="s">
        <v>37</v>
      </c>
      <c r="P27" t="s">
        <v>38</v>
      </c>
      <c r="Q27" t="s">
        <v>39</v>
      </c>
      <c r="R27" t="s">
        <v>157</v>
      </c>
      <c r="S27" t="s">
        <v>199</v>
      </c>
      <c r="T27">
        <v>-23233.06</v>
      </c>
      <c r="U27">
        <f t="shared" si="0"/>
        <v>-23233.06</v>
      </c>
      <c r="V27">
        <f t="shared" si="1"/>
        <v>-23233.06</v>
      </c>
      <c r="W27" t="s">
        <v>198</v>
      </c>
      <c r="X27" s="2">
        <v>46142</v>
      </c>
      <c r="Y27" s="2">
        <v>46150</v>
      </c>
      <c r="AA27" t="s">
        <v>194</v>
      </c>
      <c r="AB27" t="s">
        <v>195</v>
      </c>
      <c r="AC27" t="s">
        <v>196</v>
      </c>
      <c r="AD27" t="s">
        <v>197</v>
      </c>
      <c r="AE27">
        <f t="shared" si="2"/>
        <v>-23233.06</v>
      </c>
    </row>
    <row r="28" spans="1:31" x14ac:dyDescent="0.25">
      <c r="A28">
        <v>27</v>
      </c>
      <c r="B28" t="s">
        <v>131</v>
      </c>
      <c r="C28" t="s">
        <v>132</v>
      </c>
      <c r="D28" t="s">
        <v>133</v>
      </c>
      <c r="E28" t="s">
        <v>134</v>
      </c>
      <c r="F28" t="s">
        <v>161</v>
      </c>
      <c r="G28" t="s">
        <v>162</v>
      </c>
      <c r="H28" t="s">
        <v>163</v>
      </c>
      <c r="I28" t="s">
        <v>164</v>
      </c>
      <c r="J28" t="s">
        <v>110</v>
      </c>
      <c r="K28" t="s">
        <v>165</v>
      </c>
      <c r="L28" t="s">
        <v>164</v>
      </c>
      <c r="M28" t="s">
        <v>110</v>
      </c>
      <c r="N28" t="s">
        <v>165</v>
      </c>
      <c r="O28" t="s">
        <v>37</v>
      </c>
      <c r="P28" t="s">
        <v>38</v>
      </c>
      <c r="Q28" t="s">
        <v>39</v>
      </c>
      <c r="R28" t="s">
        <v>162</v>
      </c>
      <c r="S28" t="s">
        <v>199</v>
      </c>
      <c r="T28">
        <v>-12313.83</v>
      </c>
      <c r="U28">
        <f t="shared" si="0"/>
        <v>-12313.83</v>
      </c>
      <c r="V28">
        <f t="shared" si="1"/>
        <v>-12313.83</v>
      </c>
      <c r="W28" t="s">
        <v>198</v>
      </c>
      <c r="X28" s="2">
        <v>46142</v>
      </c>
      <c r="Y28" s="2">
        <v>46150</v>
      </c>
      <c r="AA28" t="s">
        <v>194</v>
      </c>
      <c r="AB28" t="s">
        <v>195</v>
      </c>
      <c r="AC28" t="s">
        <v>196</v>
      </c>
      <c r="AD28" t="s">
        <v>197</v>
      </c>
      <c r="AE28">
        <f t="shared" si="2"/>
        <v>-12313.83</v>
      </c>
    </row>
    <row r="29" spans="1:31" x14ac:dyDescent="0.25">
      <c r="A29">
        <v>28</v>
      </c>
      <c r="B29" t="s">
        <v>131</v>
      </c>
      <c r="C29" t="s">
        <v>132</v>
      </c>
      <c r="D29" t="s">
        <v>133</v>
      </c>
      <c r="E29" t="s">
        <v>134</v>
      </c>
      <c r="F29" t="s">
        <v>166</v>
      </c>
      <c r="G29" t="s">
        <v>167</v>
      </c>
      <c r="H29" t="s">
        <v>168</v>
      </c>
      <c r="I29" t="s">
        <v>169</v>
      </c>
      <c r="J29" t="s">
        <v>110</v>
      </c>
      <c r="K29" t="s">
        <v>170</v>
      </c>
      <c r="L29" t="s">
        <v>169</v>
      </c>
      <c r="M29" t="s">
        <v>110</v>
      </c>
      <c r="N29" t="s">
        <v>170</v>
      </c>
      <c r="O29" t="s">
        <v>37</v>
      </c>
      <c r="P29" t="s">
        <v>38</v>
      </c>
      <c r="Q29" t="s">
        <v>39</v>
      </c>
      <c r="R29" t="s">
        <v>167</v>
      </c>
      <c r="S29" t="s">
        <v>199</v>
      </c>
      <c r="T29">
        <v>-18540.88</v>
      </c>
      <c r="U29">
        <f t="shared" si="0"/>
        <v>-18540.88</v>
      </c>
      <c r="V29">
        <f t="shared" si="1"/>
        <v>-18540.88</v>
      </c>
      <c r="W29" t="s">
        <v>198</v>
      </c>
      <c r="X29" s="2">
        <v>46142</v>
      </c>
      <c r="Y29" s="2">
        <v>46150</v>
      </c>
      <c r="AA29" t="s">
        <v>194</v>
      </c>
      <c r="AB29" t="s">
        <v>195</v>
      </c>
      <c r="AC29" t="s">
        <v>196</v>
      </c>
      <c r="AD29" t="s">
        <v>197</v>
      </c>
      <c r="AE29">
        <f t="shared" si="2"/>
        <v>-18540.88</v>
      </c>
    </row>
    <row r="30" spans="1:31" x14ac:dyDescent="0.25">
      <c r="A30">
        <v>29</v>
      </c>
      <c r="B30" t="s">
        <v>131</v>
      </c>
      <c r="C30" t="s">
        <v>132</v>
      </c>
      <c r="D30" t="s">
        <v>133</v>
      </c>
      <c r="E30" t="s">
        <v>134</v>
      </c>
      <c r="F30" t="s">
        <v>171</v>
      </c>
      <c r="G30" t="s">
        <v>172</v>
      </c>
      <c r="H30" t="s">
        <v>173</v>
      </c>
      <c r="I30" t="s">
        <v>174</v>
      </c>
      <c r="J30" t="s">
        <v>110</v>
      </c>
      <c r="K30" t="s">
        <v>175</v>
      </c>
      <c r="L30" t="s">
        <v>174</v>
      </c>
      <c r="M30" t="s">
        <v>110</v>
      </c>
      <c r="N30" t="s">
        <v>175</v>
      </c>
      <c r="O30" t="s">
        <v>37</v>
      </c>
      <c r="P30" t="s">
        <v>38</v>
      </c>
      <c r="Q30" t="s">
        <v>39</v>
      </c>
      <c r="R30" t="s">
        <v>172</v>
      </c>
      <c r="S30" t="s">
        <v>199</v>
      </c>
      <c r="T30">
        <v>-10601.29</v>
      </c>
      <c r="U30">
        <f t="shared" si="0"/>
        <v>-10601.29</v>
      </c>
      <c r="V30">
        <f t="shared" si="1"/>
        <v>-10601.29</v>
      </c>
      <c r="W30" t="s">
        <v>198</v>
      </c>
      <c r="X30" s="2">
        <v>46142</v>
      </c>
      <c r="Y30" s="2">
        <v>46150</v>
      </c>
      <c r="AA30" t="s">
        <v>194</v>
      </c>
      <c r="AB30" t="s">
        <v>195</v>
      </c>
      <c r="AC30" t="s">
        <v>196</v>
      </c>
      <c r="AD30" t="s">
        <v>197</v>
      </c>
      <c r="AE30">
        <f t="shared" si="2"/>
        <v>-10601.29</v>
      </c>
    </row>
    <row r="31" spans="1:31" x14ac:dyDescent="0.25">
      <c r="A31">
        <v>30</v>
      </c>
      <c r="B31" t="s">
        <v>131</v>
      </c>
      <c r="C31" t="s">
        <v>132</v>
      </c>
      <c r="D31" t="s">
        <v>133</v>
      </c>
      <c r="E31" t="s">
        <v>134</v>
      </c>
      <c r="F31" t="s">
        <v>176</v>
      </c>
      <c r="G31" t="s">
        <v>177</v>
      </c>
      <c r="H31" t="s">
        <v>178</v>
      </c>
      <c r="I31" t="s">
        <v>179</v>
      </c>
      <c r="J31" t="s">
        <v>110</v>
      </c>
      <c r="K31" t="s">
        <v>180</v>
      </c>
      <c r="L31" t="s">
        <v>179</v>
      </c>
      <c r="M31" t="s">
        <v>110</v>
      </c>
      <c r="N31" t="s">
        <v>180</v>
      </c>
      <c r="O31" t="s">
        <v>37</v>
      </c>
      <c r="P31" t="s">
        <v>38</v>
      </c>
      <c r="Q31" t="s">
        <v>39</v>
      </c>
      <c r="R31" t="s">
        <v>177</v>
      </c>
      <c r="S31" t="s">
        <v>199</v>
      </c>
      <c r="T31">
        <v>-29986.82</v>
      </c>
      <c r="U31">
        <f t="shared" si="0"/>
        <v>-29986.82</v>
      </c>
      <c r="V31">
        <f t="shared" si="1"/>
        <v>-29986.82</v>
      </c>
      <c r="W31" t="s">
        <v>198</v>
      </c>
      <c r="X31" s="2">
        <v>46142</v>
      </c>
      <c r="Y31" s="2">
        <v>46150</v>
      </c>
      <c r="AA31" t="s">
        <v>194</v>
      </c>
      <c r="AB31" t="s">
        <v>195</v>
      </c>
      <c r="AC31" t="s">
        <v>196</v>
      </c>
      <c r="AD31" t="s">
        <v>197</v>
      </c>
      <c r="AE31">
        <f t="shared" si="2"/>
        <v>-29986.82</v>
      </c>
    </row>
    <row r="32" spans="1:31" x14ac:dyDescent="0.25">
      <c r="A32">
        <v>31</v>
      </c>
      <c r="B32" t="s">
        <v>131</v>
      </c>
      <c r="C32" t="s">
        <v>132</v>
      </c>
      <c r="D32" t="s">
        <v>133</v>
      </c>
      <c r="E32" t="s">
        <v>134</v>
      </c>
      <c r="F32" t="s">
        <v>181</v>
      </c>
      <c r="G32" t="s">
        <v>182</v>
      </c>
      <c r="H32" t="s">
        <v>183</v>
      </c>
      <c r="I32" t="s">
        <v>184</v>
      </c>
      <c r="K32" t="s">
        <v>184</v>
      </c>
      <c r="L32" t="s">
        <v>185</v>
      </c>
      <c r="M32" t="s">
        <v>186</v>
      </c>
      <c r="N32" t="s">
        <v>187</v>
      </c>
      <c r="O32" t="s">
        <v>37</v>
      </c>
      <c r="P32" t="s">
        <v>38</v>
      </c>
      <c r="Q32" t="s">
        <v>39</v>
      </c>
      <c r="R32" t="s">
        <v>182</v>
      </c>
      <c r="S32" t="s">
        <v>199</v>
      </c>
      <c r="T32">
        <v>-17848.099999999999</v>
      </c>
      <c r="U32">
        <f t="shared" si="0"/>
        <v>-17848.099999999999</v>
      </c>
      <c r="V32">
        <f t="shared" si="1"/>
        <v>-17848.099999999999</v>
      </c>
      <c r="W32" t="s">
        <v>198</v>
      </c>
      <c r="X32" s="2">
        <v>46142</v>
      </c>
      <c r="Y32" s="2">
        <v>46150</v>
      </c>
      <c r="AA32" t="s">
        <v>194</v>
      </c>
      <c r="AB32" t="s">
        <v>195</v>
      </c>
      <c r="AC32" t="s">
        <v>196</v>
      </c>
      <c r="AD32" t="s">
        <v>197</v>
      </c>
      <c r="AE32">
        <f t="shared" si="2"/>
        <v>-17848.099999999999</v>
      </c>
    </row>
    <row r="33" spans="1:31" x14ac:dyDescent="0.25">
      <c r="A33">
        <v>32</v>
      </c>
      <c r="B33" t="s">
        <v>131</v>
      </c>
      <c r="C33" t="s">
        <v>132</v>
      </c>
      <c r="D33" t="s">
        <v>133</v>
      </c>
      <c r="E33" t="s">
        <v>134</v>
      </c>
      <c r="F33" t="s">
        <v>181</v>
      </c>
      <c r="G33" t="s">
        <v>182</v>
      </c>
      <c r="H33" t="s">
        <v>183</v>
      </c>
      <c r="I33" t="s">
        <v>188</v>
      </c>
      <c r="J33" t="s">
        <v>110</v>
      </c>
      <c r="K33" t="s">
        <v>189</v>
      </c>
      <c r="L33" t="s">
        <v>188</v>
      </c>
      <c r="M33" t="s">
        <v>110</v>
      </c>
      <c r="N33" t="s">
        <v>189</v>
      </c>
      <c r="O33" t="s">
        <v>37</v>
      </c>
      <c r="P33" t="s">
        <v>38</v>
      </c>
      <c r="Q33" t="s">
        <v>39</v>
      </c>
      <c r="R33" t="s">
        <v>182</v>
      </c>
      <c r="S33" t="s">
        <v>199</v>
      </c>
      <c r="T33">
        <v>-22417.19</v>
      </c>
      <c r="U33">
        <f t="shared" si="0"/>
        <v>-22417.19</v>
      </c>
      <c r="V33">
        <f t="shared" si="1"/>
        <v>-22417.19</v>
      </c>
      <c r="W33" t="s">
        <v>198</v>
      </c>
      <c r="X33" s="2">
        <v>46142</v>
      </c>
      <c r="Y33" s="2">
        <v>46150</v>
      </c>
      <c r="AA33" t="s">
        <v>194</v>
      </c>
      <c r="AB33" t="s">
        <v>195</v>
      </c>
      <c r="AC33" t="s">
        <v>196</v>
      </c>
      <c r="AD33" t="s">
        <v>197</v>
      </c>
      <c r="AE33">
        <f t="shared" si="2"/>
        <v>-22417.19</v>
      </c>
    </row>
    <row r="34" spans="1:31" x14ac:dyDescent="0.25">
      <c r="A34">
        <v>33</v>
      </c>
      <c r="B34" t="s">
        <v>131</v>
      </c>
      <c r="C34" t="s">
        <v>132</v>
      </c>
      <c r="D34" t="s">
        <v>133</v>
      </c>
      <c r="E34" t="s">
        <v>134</v>
      </c>
      <c r="F34" t="s">
        <v>181</v>
      </c>
      <c r="G34" t="s">
        <v>182</v>
      </c>
      <c r="H34" t="s">
        <v>183</v>
      </c>
      <c r="I34" t="s">
        <v>190</v>
      </c>
      <c r="J34" t="s">
        <v>62</v>
      </c>
      <c r="K34" t="s">
        <v>191</v>
      </c>
      <c r="L34" t="s">
        <v>190</v>
      </c>
      <c r="M34" t="s">
        <v>62</v>
      </c>
      <c r="N34" t="s">
        <v>191</v>
      </c>
      <c r="O34" t="s">
        <v>37</v>
      </c>
      <c r="P34" t="s">
        <v>38</v>
      </c>
      <c r="Q34" t="s">
        <v>39</v>
      </c>
      <c r="R34" t="s">
        <v>182</v>
      </c>
      <c r="S34" t="s">
        <v>199</v>
      </c>
      <c r="T34">
        <v>-13454.28</v>
      </c>
      <c r="U34">
        <f t="shared" si="0"/>
        <v>-13454.28</v>
      </c>
      <c r="V34">
        <f t="shared" si="1"/>
        <v>-13454.28</v>
      </c>
      <c r="W34" t="s">
        <v>198</v>
      </c>
      <c r="X34" s="2">
        <v>46142</v>
      </c>
      <c r="Y34" s="2">
        <v>46150</v>
      </c>
      <c r="AA34" t="s">
        <v>194</v>
      </c>
      <c r="AB34" t="s">
        <v>195</v>
      </c>
      <c r="AC34" t="s">
        <v>196</v>
      </c>
      <c r="AD34" t="s">
        <v>197</v>
      </c>
      <c r="AE34">
        <f t="shared" si="2"/>
        <v>-13454.28</v>
      </c>
    </row>
    <row r="35" spans="1:31" x14ac:dyDescent="0.25">
      <c r="A35">
        <v>34</v>
      </c>
      <c r="B35" t="s">
        <v>131</v>
      </c>
      <c r="C35" t="s">
        <v>132</v>
      </c>
      <c r="D35" t="s">
        <v>133</v>
      </c>
      <c r="E35" t="s">
        <v>134</v>
      </c>
      <c r="F35" t="s">
        <v>135</v>
      </c>
      <c r="G35" t="s">
        <v>136</v>
      </c>
      <c r="H35" t="s">
        <v>137</v>
      </c>
      <c r="I35" t="s">
        <v>144</v>
      </c>
      <c r="J35" t="s">
        <v>145</v>
      </c>
      <c r="K35" t="s">
        <v>146</v>
      </c>
      <c r="L35" t="s">
        <v>147</v>
      </c>
      <c r="M35" t="s">
        <v>192</v>
      </c>
      <c r="N35" t="s">
        <v>193</v>
      </c>
      <c r="O35" t="s">
        <v>37</v>
      </c>
      <c r="P35" t="s">
        <v>38</v>
      </c>
      <c r="Q35" t="s">
        <v>39</v>
      </c>
      <c r="R35" t="s">
        <v>157</v>
      </c>
      <c r="S35" t="s">
        <v>199</v>
      </c>
      <c r="T35">
        <v>-5793.01</v>
      </c>
      <c r="U35">
        <f t="shared" si="0"/>
        <v>-5793.01</v>
      </c>
      <c r="V35">
        <f t="shared" si="1"/>
        <v>-5793.01</v>
      </c>
      <c r="W35" t="s">
        <v>198</v>
      </c>
      <c r="X35" s="2">
        <v>46142</v>
      </c>
      <c r="Y35" s="2">
        <v>46150</v>
      </c>
      <c r="AA35" t="s">
        <v>194</v>
      </c>
      <c r="AB35" t="s">
        <v>195</v>
      </c>
      <c r="AC35" t="s">
        <v>196</v>
      </c>
      <c r="AD35" t="s">
        <v>197</v>
      </c>
      <c r="AE35">
        <f t="shared" si="2"/>
        <v>-5793.01</v>
      </c>
    </row>
  </sheetData>
  <autoFilter ref="A1:AE35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2026-05-14T14:40:11Z</dcterms:created>
  <dcterms:modified xsi:type="dcterms:W3CDTF">2026-05-14T15:36:28Z</dcterms:modified>
</cp:coreProperties>
</file>