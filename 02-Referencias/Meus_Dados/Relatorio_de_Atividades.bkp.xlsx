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Atividades" sheetId="1" state="visible" r:id="rId1"/>
    <sheet name="Banco de Horas" sheetId="2" state="visible" r:id="rId2"/>
  </sheets>
  <definedNames>
    <definedName name="_xlnm._FilterDatabase" localSheetId="0" hidden="1">'Atividades'!$A$1:$G$349</definedName>
    <definedName name="_xlnm.Print_Area" localSheetId="0">'Atividades'!$A$1:$G$219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h]:mm"/>
    <numFmt numFmtId="165" formatCode="h:mm;@"/>
  </numFmts>
  <fonts count="7">
    <font>
      <name val="Aptos Narrow"/>
      <family val="2"/>
      <color theme="1"/>
      <sz val="11"/>
      <scheme val="minor"/>
    </font>
    <font>
      <name val="Times New Roman"/>
      <family val="1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 Unicode MS"/>
      <color theme="1"/>
      <sz val="12"/>
    </font>
    <font>
      <name val="Aptos Narrow"/>
      <family val="2"/>
      <color theme="1"/>
      <sz val="12"/>
      <scheme val="minor"/>
    </font>
    <font>
      <name val="Aptos Narrow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87A4FA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FF0000"/>
      </right>
      <top style="thin">
        <color indexed="64"/>
      </top>
      <bottom/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rgb="FFFF0000"/>
      </bottom>
      <diagonal/>
    </border>
    <border>
      <left/>
      <right/>
      <top style="thin">
        <color indexed="64"/>
      </top>
      <bottom style="thin">
        <color rgb="FFFF0000"/>
      </bottom>
      <diagonal/>
    </border>
  </borders>
  <cellStyleXfs count="1">
    <xf numFmtId="0" fontId="6" fillId="0" borderId="0"/>
  </cellStyleXfs>
  <cellXfs count="12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" fontId="0" fillId="0" borderId="0" pivotButton="0" quotePrefix="0" xfId="0"/>
    <xf numFmtId="0" fontId="2" fillId="5" borderId="5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14" fontId="3" fillId="4" borderId="5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4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 vertical="center" wrapText="1"/>
    </xf>
    <xf numFmtId="165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/>
    </xf>
    <xf numFmtId="0" fontId="6" fillId="3" borderId="7" applyAlignment="1" pivotButton="0" quotePrefix="0" xfId="0">
      <alignment horizontal="left" vertical="center"/>
    </xf>
    <xf numFmtId="0" fontId="6" fillId="0" borderId="7" applyAlignment="1" pivotButton="0" quotePrefix="0" xfId="0">
      <alignment horizontal="left" vertical="center"/>
    </xf>
    <xf numFmtId="20" fontId="6" fillId="3" borderId="7" applyAlignment="1" pivotButton="0" quotePrefix="0" xfId="0">
      <alignment vertical="center"/>
    </xf>
    <xf numFmtId="20" fontId="6" fillId="3" borderId="10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20" fontId="6" fillId="3" borderId="1" applyAlignment="1" pivotButton="0" quotePrefix="0" xfId="0">
      <alignment vertical="center"/>
    </xf>
    <xf numFmtId="20" fontId="6" fillId="3" borderId="14" applyAlignment="1" pivotButton="0" quotePrefix="0" xfId="0">
      <alignment vertical="center"/>
    </xf>
    <xf numFmtId="0" fontId="6" fillId="3" borderId="8" applyAlignment="1" pivotButton="0" quotePrefix="0" xfId="0">
      <alignment horizontal="center" vertical="center"/>
    </xf>
    <xf numFmtId="0" fontId="6" fillId="3" borderId="8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20" fontId="6" fillId="3" borderId="8" applyAlignment="1" pivotButton="0" quotePrefix="0" xfId="0">
      <alignment vertical="center"/>
    </xf>
    <xf numFmtId="20" fontId="6" fillId="3" borderId="16" applyAlignment="1" pivotButton="0" quotePrefix="0" xfId="0">
      <alignment vertical="center"/>
    </xf>
    <xf numFmtId="0" fontId="6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20" fontId="6" fillId="3" borderId="4" applyAlignment="1" pivotButton="0" quotePrefix="0" xfId="0">
      <alignment vertical="center"/>
    </xf>
    <xf numFmtId="20" fontId="6" fillId="3" borderId="12" applyAlignment="1" pivotButton="0" quotePrefix="0" xfId="0">
      <alignment vertical="center"/>
    </xf>
    <xf numFmtId="0" fontId="6" fillId="3" borderId="3" applyAlignment="1" pivotButton="0" quotePrefix="0" xfId="0">
      <alignment horizontal="center" vertical="center"/>
    </xf>
    <xf numFmtId="0" fontId="6" fillId="3" borderId="3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4" fontId="6" fillId="4" borderId="9" applyAlignment="1" pivotButton="0" quotePrefix="0" xfId="0">
      <alignment horizontal="center" vertical="center"/>
    </xf>
    <xf numFmtId="14" fontId="6" fillId="4" borderId="11" applyAlignment="1" pivotButton="0" quotePrefix="0" xfId="0">
      <alignment horizontal="center" vertical="center"/>
    </xf>
    <xf numFmtId="14" fontId="6" fillId="4" borderId="15" applyAlignment="1" pivotButton="0" quotePrefix="0" xfId="0">
      <alignment horizontal="center" vertical="center"/>
    </xf>
    <xf numFmtId="14" fontId="6" fillId="4" borderId="13" applyAlignment="1" pivotButton="0" quotePrefix="0" xfId="0">
      <alignment horizontal="center" vertical="center"/>
    </xf>
    <xf numFmtId="14" fontId="5" fillId="0" borderId="0" applyAlignment="1" pivotButton="0" quotePrefix="0" xfId="0">
      <alignment horizontal="center" vertical="center"/>
    </xf>
    <xf numFmtId="14" fontId="3" fillId="6" borderId="5" applyAlignment="1" pivotButton="0" quotePrefix="0" xfId="0">
      <alignment horizontal="center" vertical="center"/>
    </xf>
    <xf numFmtId="165" fontId="5" fillId="2" borderId="2" applyAlignment="1" pivotButton="0" quotePrefix="0" xfId="0">
      <alignment horizontal="center" vertical="center"/>
    </xf>
    <xf numFmtId="14" fontId="6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6" fillId="3" borderId="17" applyAlignment="1" pivotButton="0" quotePrefix="0" xfId="0">
      <alignment horizontal="center" vertical="center"/>
    </xf>
    <xf numFmtId="0" fontId="6" fillId="3" borderId="17" applyAlignment="1" pivotButton="0" quotePrefix="0" xfId="0">
      <alignment horizontal="left" vertical="center"/>
    </xf>
    <xf numFmtId="0" fontId="6" fillId="0" borderId="4" applyAlignment="1" pivotButton="0" quotePrefix="0" xfId="0">
      <alignment vertical="center"/>
    </xf>
    <xf numFmtId="20" fontId="3" fillId="0" borderId="5" applyAlignment="1" pivotButton="0" quotePrefix="0" xfId="0">
      <alignment horizontal="center" vertical="center"/>
    </xf>
    <xf numFmtId="20" fontId="4" fillId="0" borderId="5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20" fontId="5" fillId="0" borderId="0" applyAlignment="1" pivotButton="0" quotePrefix="0" xfId="0">
      <alignment horizontal="center" vertical="center"/>
    </xf>
    <xf numFmtId="20" fontId="6" fillId="3" borderId="1" applyAlignment="1" pivotButton="0" quotePrefix="0" xfId="0">
      <alignment horizontal="center" vertical="center"/>
    </xf>
    <xf numFmtId="20" fontId="5" fillId="0" borderId="0" applyAlignment="1" pivotButton="0" quotePrefix="0" xfId="0">
      <alignment horizontal="center" vertical="center"/>
    </xf>
    <xf numFmtId="20" fontId="6" fillId="3" borderId="4" applyAlignment="1" pivotButton="0" quotePrefix="0" xfId="0">
      <alignment horizontal="center" vertical="center"/>
    </xf>
    <xf numFmtId="20" fontId="0" fillId="3" borderId="1" applyAlignment="1" pivotButton="0" quotePrefix="0" xfId="0">
      <alignment horizontal="center" vertical="center"/>
    </xf>
    <xf numFmtId="0" fontId="6" fillId="0" borderId="17" applyAlignment="1" pivotButton="0" quotePrefix="0" xfId="0">
      <alignment vertical="center"/>
    </xf>
    <xf numFmtId="14" fontId="6" fillId="4" borderId="4" applyAlignment="1" pivotButton="0" quotePrefix="0" xfId="0">
      <alignment horizontal="center" vertical="center"/>
    </xf>
    <xf numFmtId="20" fontId="0" fillId="3" borderId="4" applyAlignment="1" pivotButton="0" quotePrefix="0" xfId="0">
      <alignment horizontal="center" vertical="center"/>
    </xf>
    <xf numFmtId="14" fontId="6" fillId="4" borderId="17" applyAlignment="1" pivotButton="0" quotePrefix="0" xfId="0">
      <alignment horizontal="center" vertical="center"/>
    </xf>
    <xf numFmtId="20" fontId="6" fillId="3" borderId="17" applyAlignment="1" pivotButton="0" quotePrefix="0" xfId="0">
      <alignment horizontal="center" vertical="center"/>
    </xf>
    <xf numFmtId="20" fontId="0" fillId="3" borderId="17" applyAlignment="1" pivotButton="0" quotePrefix="0" xfId="0">
      <alignment horizontal="center" vertical="center"/>
    </xf>
    <xf numFmtId="14" fontId="6" fillId="4" borderId="19" applyAlignment="1" pivotButton="0" quotePrefix="0" xfId="0">
      <alignment horizontal="center" vertical="center"/>
    </xf>
    <xf numFmtId="0" fontId="6" fillId="3" borderId="19" applyAlignment="1" pivotButton="0" quotePrefix="0" xfId="0">
      <alignment horizontal="center" vertical="center"/>
    </xf>
    <xf numFmtId="0" fontId="6" fillId="3" borderId="19" applyAlignment="1" pivotButton="0" quotePrefix="0" xfId="0">
      <alignment horizontal="left" vertical="center"/>
    </xf>
    <xf numFmtId="0" fontId="6" fillId="0" borderId="19" applyAlignment="1" pivotButton="0" quotePrefix="0" xfId="0">
      <alignment vertical="center"/>
    </xf>
    <xf numFmtId="20" fontId="6" fillId="3" borderId="19" applyAlignment="1" pivotButton="0" quotePrefix="0" xfId="0">
      <alignment horizontal="center" vertical="center"/>
    </xf>
    <xf numFmtId="20" fontId="0" fillId="3" borderId="19" applyAlignment="1" pivotButton="0" quotePrefix="0" xfId="0">
      <alignment horizontal="center" vertical="center"/>
    </xf>
    <xf numFmtId="20" fontId="6" fillId="3" borderId="17" applyAlignment="1" pivotButton="0" quotePrefix="0" xfId="0">
      <alignment vertical="center"/>
    </xf>
    <xf numFmtId="20" fontId="6" fillId="3" borderId="19" applyAlignment="1" pivotButton="0" quotePrefix="0" xfId="0">
      <alignment vertical="center"/>
    </xf>
    <xf numFmtId="14" fontId="6" fillId="4" borderId="20" applyAlignment="1" pivotButton="0" quotePrefix="0" xfId="0">
      <alignment horizontal="center" vertical="center"/>
    </xf>
    <xf numFmtId="20" fontId="6" fillId="3" borderId="20" applyAlignment="1" pivotButton="0" quotePrefix="0" xfId="0">
      <alignment vertical="center"/>
    </xf>
    <xf numFmtId="0" fontId="6" fillId="0" borderId="20" applyAlignment="1" pivotButton="0" quotePrefix="0" xfId="0">
      <alignment vertical="center"/>
    </xf>
    <xf numFmtId="20" fontId="6" fillId="3" borderId="20" applyAlignment="1" pivotButton="0" quotePrefix="0" xfId="0">
      <alignment horizontal="center" vertical="center"/>
    </xf>
    <xf numFmtId="14" fontId="6" fillId="4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20" fontId="6" fillId="3" borderId="3" applyAlignment="1" pivotButton="0" quotePrefix="0" xfId="0">
      <alignment horizontal="center" vertical="center"/>
    </xf>
    <xf numFmtId="20" fontId="0" fillId="3" borderId="3" applyAlignment="1" pivotButton="0" quotePrefix="0" xfId="0">
      <alignment horizontal="center" vertical="center"/>
    </xf>
    <xf numFmtId="14" fontId="6" fillId="4" borderId="21" applyAlignment="1" pivotButton="0" quotePrefix="0" xfId="0">
      <alignment horizontal="center" vertical="center"/>
    </xf>
    <xf numFmtId="0" fontId="6" fillId="0" borderId="17" applyAlignment="1" pivotButton="0" quotePrefix="0" xfId="0">
      <alignment horizontal="left" vertical="center"/>
    </xf>
    <xf numFmtId="20" fontId="6" fillId="3" borderId="22" applyAlignment="1" pivotButton="0" quotePrefix="0" xfId="0">
      <alignment vertical="center"/>
    </xf>
    <xf numFmtId="14" fontId="6" fillId="4" borderId="23" applyAlignment="1" pivotButton="0" quotePrefix="0" xfId="0">
      <alignment horizontal="center" vertical="center"/>
    </xf>
    <xf numFmtId="0" fontId="6" fillId="0" borderId="19" applyAlignment="1" pivotButton="0" quotePrefix="0" xfId="0">
      <alignment horizontal="left" vertical="center"/>
    </xf>
    <xf numFmtId="20" fontId="6" fillId="3" borderId="24" applyAlignment="1" pivotButton="0" quotePrefix="0" xfId="0">
      <alignment vertical="center"/>
    </xf>
    <xf numFmtId="20" fontId="6" fillId="3" borderId="3" applyAlignment="1" pivotButton="0" quotePrefix="0" xfId="0">
      <alignment vertical="center"/>
    </xf>
    <xf numFmtId="14" fontId="3" fillId="0" borderId="5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20" fontId="0" fillId="0" borderId="0" pivotButton="0" quotePrefix="0" xfId="0"/>
    <xf numFmtId="14" fontId="0" fillId="0" borderId="0" pivotButton="0" quotePrefix="0" xfId="0"/>
    <xf numFmtId="20" fontId="0" fillId="0" borderId="0" pivotButton="0" quotePrefix="0" xfId="0"/>
    <xf numFmtId="14" fontId="0" fillId="0" borderId="18" pivotButton="0" quotePrefix="0" xfId="0"/>
    <xf numFmtId="0" fontId="0" fillId="3" borderId="25" applyAlignment="1" pivotButton="0" quotePrefix="0" xfId="0">
      <alignment horizontal="center" vertical="center"/>
    </xf>
    <xf numFmtId="0" fontId="0" fillId="3" borderId="25" applyAlignment="1" pivotButton="0" quotePrefix="0" xfId="0">
      <alignment horizontal="left" vertical="center"/>
    </xf>
    <xf numFmtId="0" fontId="0" fillId="0" borderId="25" applyAlignment="1" pivotButton="0" quotePrefix="0" xfId="0">
      <alignment vertical="center"/>
    </xf>
    <xf numFmtId="20" fontId="0" fillId="0" borderId="18" pivotButton="0" quotePrefix="0" xfId="0"/>
    <xf numFmtId="20" fontId="0" fillId="0" borderId="18" pivotButton="0" quotePrefix="0" xfId="0"/>
    <xf numFmtId="20" fontId="0" fillId="3" borderId="17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5" fillId="0" borderId="26" applyAlignment="1" pivotButton="0" quotePrefix="0" xfId="0">
      <alignment vertical="center"/>
    </xf>
    <xf numFmtId="0" fontId="6" fillId="0" borderId="26" applyAlignment="1" pivotButton="0" quotePrefix="0" xfId="0">
      <alignment vertical="center"/>
    </xf>
    <xf numFmtId="20" fontId="5" fillId="0" borderId="26" applyAlignment="1" pivotButton="0" quotePrefix="0" xfId="0">
      <alignment horizontal="center" vertical="center"/>
    </xf>
    <xf numFmtId="20" fontId="5" fillId="0" borderId="26" applyAlignment="1" pivotButton="0" quotePrefix="0" xfId="0">
      <alignment horizontal="center" vertical="center"/>
    </xf>
    <xf numFmtId="165" fontId="5" fillId="2" borderId="2" applyAlignment="1" pivotButton="0" quotePrefix="0" xfId="0">
      <alignment horizontal="center" vertical="center"/>
    </xf>
    <xf numFmtId="165" fontId="5" fillId="2" borderId="2" applyAlignment="1" pivotButton="0" quotePrefix="0" xfId="0">
      <alignment horizontal="center" vertical="center" wrapText="1"/>
    </xf>
    <xf numFmtId="20" fontId="6" fillId="3" borderId="1" applyAlignment="1" pivotButton="0" quotePrefix="0" xfId="0">
      <alignment horizontal="center" vertical="center"/>
    </xf>
    <xf numFmtId="20" fontId="6" fillId="3" borderId="17" applyAlignment="1" pivotButton="0" quotePrefix="0" xfId="0">
      <alignment horizontal="center" vertical="center"/>
    </xf>
    <xf numFmtId="20" fontId="6" fillId="3" borderId="20" applyAlignment="1" pivotButton="0" quotePrefix="0" xfId="0">
      <alignment horizontal="center" vertical="center"/>
    </xf>
    <xf numFmtId="20" fontId="6" fillId="3" borderId="4" applyAlignment="1" pivotButton="0" quotePrefix="0" xfId="0">
      <alignment horizontal="center" vertical="center"/>
    </xf>
    <xf numFmtId="20" fontId="6" fillId="3" borderId="19" applyAlignment="1" pivotButton="0" quotePrefix="0" xfId="0">
      <alignment horizontal="center" vertical="center"/>
    </xf>
    <xf numFmtId="20" fontId="6" fillId="3" borderId="3" applyAlignment="1" pivotButton="0" quotePrefix="0" xfId="0">
      <alignment horizontal="center" vertical="center"/>
    </xf>
    <xf numFmtId="20" fontId="0" fillId="3" borderId="4" applyAlignment="1" pivotButton="0" quotePrefix="0" xfId="0">
      <alignment horizontal="center" vertical="center"/>
    </xf>
    <xf numFmtId="20" fontId="0" fillId="3" borderId="19" applyAlignment="1" pivotButton="0" quotePrefix="0" xfId="0">
      <alignment horizontal="center" vertical="center"/>
    </xf>
    <xf numFmtId="20" fontId="0" fillId="3" borderId="1" applyAlignment="1" pivotButton="0" quotePrefix="0" xfId="0">
      <alignment horizontal="center" vertical="center"/>
    </xf>
    <xf numFmtId="20" fontId="0" fillId="3" borderId="3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64" fontId="2" fillId="5" borderId="5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20" fontId="4" fillId="0" borderId="5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tc={EB6CA398-EDED-4319-9474-AB8CA6B5CDBA}</author>
    <author>Julio Oliveira Santana | Pilares</author>
  </authors>
  <commentList>
    <comment ref="A20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[Tasks]
Há uma tarefa ancorada a este comentário que não pode ser exibida no cliente.
Comentário:
    @Pedro Marques Guarnieri | Pilares está em formato americano.
Sugiro alterar nas opçes regionais e alterar para portugues
Responder:
    pra mim esta/estava normal.</t>
      </text>
    </comment>
    <comment ref="D326" authorId="1" shapeId="0">
      <text>
        <t/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1">
    <outlinePr summaryBelow="1" summaryRight="1"/>
    <pageSetUpPr fitToPage="1"/>
  </sheetPr>
  <dimension ref="A1:Z641"/>
  <sheetViews>
    <sheetView showGridLines="0" tabSelected="1" zoomScaleNormal="100" workbookViewId="0">
      <pane ySplit="1" topLeftCell="A529" activePane="bottomLeft" state="frozen"/>
      <selection pane="bottomLeft" activeCell="C1" sqref="C1"/>
    </sheetView>
  </sheetViews>
  <sheetFormatPr baseColWidth="8" defaultColWidth="9.140625" defaultRowHeight="15" customHeight="1"/>
  <cols>
    <col width="17.42578125" customWidth="1" style="44" min="1" max="1"/>
    <col width="14.85546875" bestFit="1" customWidth="1" style="37" min="2" max="2"/>
    <col width="19.5703125" customWidth="1" style="38" min="3" max="3"/>
    <col width="117.85546875" customWidth="1" style="39" min="4" max="4"/>
    <col width="11.140625" customWidth="1" style="37" min="5" max="5"/>
    <col width="14.42578125" bestFit="1" customWidth="1" style="37" min="6" max="6"/>
    <col width="12.5703125" customWidth="1" style="37" min="7" max="7"/>
    <col width="9.140625" customWidth="1" style="9" min="8" max="16384"/>
  </cols>
  <sheetData>
    <row r="1" ht="31.5" customFormat="1" customHeight="1" s="1">
      <c r="A1" s="10" t="inlineStr">
        <is>
          <t>DATA</t>
        </is>
      </c>
      <c r="B1" s="11" t="inlineStr">
        <is>
          <t>EMPRESA</t>
        </is>
      </c>
      <c r="C1" s="12" t="inlineStr">
        <is>
          <t>RESUMO ATIV.</t>
        </is>
      </c>
      <c r="D1" s="12" t="inlineStr">
        <is>
          <t>DESCRIÇÃO DA ATIV.</t>
        </is>
      </c>
      <c r="E1" s="109" t="inlineStr">
        <is>
          <t>INICIAL</t>
        </is>
      </c>
      <c r="F1" s="110" t="inlineStr">
        <is>
          <t>FINAL</t>
        </is>
      </c>
      <c r="G1" s="14" t="inlineStr">
        <is>
          <t>QTDE DE HORAS</t>
        </is>
      </c>
    </row>
    <row r="2" hidden="1" ht="15" customHeight="1">
      <c r="A2" s="40" t="inlineStr">
        <is>
          <t>23/05/2026</t>
        </is>
      </c>
      <c r="B2" s="15" t="inlineStr">
        <is>
          <t>G3S 10</t>
        </is>
      </c>
      <c r="C2" s="16" t="inlineStr">
        <is>
          <t>BCBI Seletiva</t>
        </is>
      </c>
      <c r="D2" s="17" t="inlineStr">
        <is>
          <t>Operação assistida do sistema de BI da seletiva, acompanhamento e checagem de erros no sistema</t>
        </is>
      </c>
      <c r="E2" s="18" t="n">
        <v>0.3229166666666667</v>
      </c>
      <c r="F2" s="18" t="n">
        <v>0.4166666666666667</v>
      </c>
      <c r="G2" s="19" t="n">
        <v>0.09375</v>
      </c>
    </row>
    <row r="3" hidden="1" ht="15" customHeight="1">
      <c r="A3" s="41" t="inlineStr">
        <is>
          <t>20/05/2026</t>
        </is>
      </c>
      <c r="B3" s="20" t="inlineStr">
        <is>
          <t>G3S 10</t>
        </is>
      </c>
      <c r="C3" s="21" t="inlineStr">
        <is>
          <t>BCBI Seletiva</t>
        </is>
      </c>
      <c r="D3" s="22" t="inlineStr">
        <is>
          <t>Operação assistida do sistema de BI da seletiva, acompanhamento e checagem de erros no sistema</t>
        </is>
      </c>
      <c r="E3" s="23" t="n">
        <v>0.3243055555555556</v>
      </c>
      <c r="F3" s="23" t="n">
        <v>0.4375</v>
      </c>
      <c r="G3" s="24" t="n">
        <v>0.1131944444444444</v>
      </c>
    </row>
    <row r="4" hidden="1" ht="15" customHeight="1">
      <c r="A4" s="41" t="inlineStr">
        <is>
          <t>21/05/2026</t>
        </is>
      </c>
      <c r="B4" s="20" t="inlineStr">
        <is>
          <t>G3S 10</t>
        </is>
      </c>
      <c r="C4" s="21" t="inlineStr">
        <is>
          <t>BCBI Seletiva</t>
        </is>
      </c>
      <c r="D4" s="22" t="inlineStr">
        <is>
          <t>Operação assistida do sistema de BI da seletiva, acompanhamento e checagem de erros no sistema</t>
        </is>
      </c>
      <c r="E4" s="23" t="n">
        <v>0.3243055555555556</v>
      </c>
      <c r="F4" s="23" t="n">
        <v>0.3541666666666667</v>
      </c>
      <c r="G4" s="24" t="n">
        <v>0.02986111111111111</v>
      </c>
    </row>
    <row r="5" hidden="1" ht="15" customHeight="1">
      <c r="A5" s="41" t="inlineStr">
        <is>
          <t>14/05/2026</t>
        </is>
      </c>
      <c r="B5" s="20" t="inlineStr">
        <is>
          <t>G3S 10</t>
        </is>
      </c>
      <c r="C5" s="21" t="inlineStr">
        <is>
          <t>BCBI Seletiva</t>
        </is>
      </c>
      <c r="D5" s="22" t="inlineStr">
        <is>
          <t>Operação assistida do sistema de BI da seletiva</t>
        </is>
      </c>
      <c r="E5" s="23" t="n">
        <v>0.3263888888888889</v>
      </c>
      <c r="F5" s="23" t="n">
        <v>0.3541666666666667</v>
      </c>
      <c r="G5" s="24" t="n">
        <v>0.02777777777777778</v>
      </c>
    </row>
    <row r="6" hidden="1" ht="15" customHeight="1">
      <c r="A6" s="41" t="inlineStr">
        <is>
          <t>22/05/2026</t>
        </is>
      </c>
      <c r="B6" s="20" t="inlineStr">
        <is>
          <t>G3S 10</t>
        </is>
      </c>
      <c r="C6" s="21" t="inlineStr">
        <is>
          <t>BCBI Seletiva</t>
        </is>
      </c>
      <c r="D6" s="22" t="inlineStr">
        <is>
          <t>Atualização do ODBC e verificação de integridade dos dados</t>
        </is>
      </c>
      <c r="E6" s="23" t="n">
        <v>0.3270833333333333</v>
      </c>
      <c r="F6" s="23" t="n">
        <v>0.4375</v>
      </c>
      <c r="G6" s="24" t="n">
        <v>0.1104166666666667</v>
      </c>
    </row>
    <row r="7" hidden="1" ht="15" customHeight="1">
      <c r="A7" s="41" t="inlineStr">
        <is>
          <t>15/05/2026</t>
        </is>
      </c>
      <c r="B7" s="20" t="inlineStr">
        <is>
          <t>G3S 10</t>
        </is>
      </c>
      <c r="C7" s="21" t="inlineStr">
        <is>
          <t>BCBI Seletiva</t>
        </is>
      </c>
      <c r="D7" s="22" t="inlineStr">
        <is>
          <t>Operação assistida do sistema de BI da seletiva, acompanhamento e checagem de erros no sistema</t>
        </is>
      </c>
      <c r="E7" s="23" t="n">
        <v>0.3277777777777778</v>
      </c>
      <c r="F7" s="23" t="n">
        <v>0.4375</v>
      </c>
      <c r="G7" s="24" t="n">
        <v>0.1097222222222222</v>
      </c>
    </row>
    <row r="8" hidden="1" ht="15" customHeight="1">
      <c r="A8" s="41" t="inlineStr">
        <is>
          <t>24/05/2026</t>
        </is>
      </c>
      <c r="B8" s="20" t="inlineStr">
        <is>
          <t>G3S 10</t>
        </is>
      </c>
      <c r="C8" s="21" t="inlineStr">
        <is>
          <t>Fechamento</t>
        </is>
      </c>
      <c r="D8" s="22" t="inlineStr">
        <is>
          <t>Tratamento dos dados de fechamento abril pré carga</t>
        </is>
      </c>
      <c r="E8" s="23" t="n">
        <v>0.3277777777777778</v>
      </c>
      <c r="F8" s="23" t="n">
        <v>0.4166666666666667</v>
      </c>
      <c r="G8" s="24" t="n">
        <v>0.08888888888888889</v>
      </c>
    </row>
    <row r="9" hidden="1" ht="15" customHeight="1">
      <c r="A9" s="41" t="inlineStr">
        <is>
          <t>16/05/2026</t>
        </is>
      </c>
      <c r="B9" s="20" t="inlineStr">
        <is>
          <t>G3S 10</t>
        </is>
      </c>
      <c r="C9" s="21" t="inlineStr">
        <is>
          <t>Fechamento</t>
        </is>
      </c>
      <c r="D9" s="22" t="inlineStr">
        <is>
          <t>Tratamento dos dados de fechamento abril pré carga</t>
        </is>
      </c>
      <c r="E9" s="23" t="n">
        <v>0.3291666666666667</v>
      </c>
      <c r="F9" s="23" t="n">
        <v>0.4166666666666667</v>
      </c>
      <c r="G9" s="24" t="n">
        <v>0.08749999999999999</v>
      </c>
    </row>
    <row r="10" hidden="1" ht="15" customHeight="1">
      <c r="A10" s="41" t="inlineStr">
        <is>
          <t>26/05/2026</t>
        </is>
      </c>
      <c r="B10" s="20" t="inlineStr">
        <is>
          <t>G3S 10</t>
        </is>
      </c>
      <c r="C10" s="21" t="inlineStr">
        <is>
          <t>BCBI Seletiva</t>
        </is>
      </c>
      <c r="D10" s="22" t="inlineStr">
        <is>
          <t>Auditoria entre relatórios do SAGI e dados do BCBI</t>
        </is>
      </c>
      <c r="E10" s="23" t="n">
        <v>0.3298611111111111</v>
      </c>
      <c r="F10" s="23" t="n">
        <v>0.4166666666666667</v>
      </c>
      <c r="G10" s="24" t="n">
        <v>0.08680555555555555</v>
      </c>
    </row>
    <row r="11" hidden="1" ht="15" customHeight="1">
      <c r="A11" s="41" t="inlineStr">
        <is>
          <t>27/05/2026</t>
        </is>
      </c>
      <c r="B11" s="20" t="inlineStr">
        <is>
          <t>G3S 10</t>
        </is>
      </c>
      <c r="C11" s="21" t="inlineStr">
        <is>
          <t>BCBI Seletiva</t>
        </is>
      </c>
      <c r="D11" s="22" t="inlineStr">
        <is>
          <t>Operação assistida do sistema de BI da seletiva, acompanhamento e checagem de erros no sistema</t>
        </is>
      </c>
      <c r="E11" s="23" t="n">
        <v>0.3298611111111111</v>
      </c>
      <c r="F11" s="23" t="n">
        <v>0.4166666666666667</v>
      </c>
      <c r="G11" s="24" t="n">
        <v>0.08680555555555555</v>
      </c>
    </row>
    <row r="12" hidden="1" ht="15" customHeight="1">
      <c r="A12" s="41" t="inlineStr">
        <is>
          <t>19/05/2026</t>
        </is>
      </c>
      <c r="B12" s="20" t="inlineStr">
        <is>
          <t>G3S 10</t>
        </is>
      </c>
      <c r="C12" s="21" t="inlineStr">
        <is>
          <t>BCBI Seletiva</t>
        </is>
      </c>
      <c r="D12" s="22" t="inlineStr">
        <is>
          <t>Auditoria entre relatórios do SAGI e dados do BCBI</t>
        </is>
      </c>
      <c r="E12" s="23" t="n">
        <v>0.3319444444444444</v>
      </c>
      <c r="F12" s="23" t="n">
        <v>0.4375</v>
      </c>
      <c r="G12" s="24" t="n">
        <v>0.1055555555555556</v>
      </c>
    </row>
    <row r="13" hidden="1" ht="15" customHeight="1">
      <c r="A13" s="41" t="inlineStr">
        <is>
          <t>13/04/2026</t>
        </is>
      </c>
      <c r="B13" s="20" t="inlineStr">
        <is>
          <t>G3S 10</t>
        </is>
      </c>
      <c r="C13" s="21" t="inlineStr">
        <is>
          <t>BCBI Seletiva</t>
        </is>
      </c>
      <c r="D13" s="22" t="inlineStr">
        <is>
          <t>Operação assistida do sistema de BI da seletiva, acompanhamento e checagem de erros no sistema</t>
        </is>
      </c>
      <c r="E13" s="23" t="n">
        <v>0.3333333333333333</v>
      </c>
      <c r="F13" s="23" t="n">
        <v>0.4375</v>
      </c>
      <c r="G13" s="24" t="n">
        <v>0.1041666666666667</v>
      </c>
    </row>
    <row r="14" hidden="1" ht="15" customHeight="1">
      <c r="A14" s="41" t="inlineStr">
        <is>
          <t>14/04/2026</t>
        </is>
      </c>
      <c r="B14" s="20" t="inlineStr">
        <is>
          <t>G3S 10</t>
        </is>
      </c>
      <c r="C14" s="21" t="inlineStr">
        <is>
          <t>BCBI Seletiva</t>
        </is>
      </c>
      <c r="D14" s="22" t="inlineStr">
        <is>
          <t>Checagem de valores e integrações BCBIxSAGI</t>
        </is>
      </c>
      <c r="E14" s="23" t="n">
        <v>0.3333333333333333</v>
      </c>
      <c r="F14" s="23" t="n">
        <v>0.4375</v>
      </c>
      <c r="G14" s="24" t="n">
        <v>0.1041666666666667</v>
      </c>
    </row>
    <row r="15" hidden="1" ht="15" customHeight="1">
      <c r="A15" s="41" t="inlineStr">
        <is>
          <t>15/04/2026</t>
        </is>
      </c>
      <c r="B15" s="20" t="inlineStr">
        <is>
          <t>G3S 10</t>
        </is>
      </c>
      <c r="C15" s="21" t="inlineStr">
        <is>
          <t>BCBI Seletiva</t>
        </is>
      </c>
      <c r="D15" s="22" t="inlineStr">
        <is>
          <t>Operação assistida do sistema de BI da seletiva, acompanhamento e checagem de erros no sistema</t>
        </is>
      </c>
      <c r="E15" s="23" t="n">
        <v>0.3333333333333333</v>
      </c>
      <c r="F15" s="23" t="n">
        <v>0.4375</v>
      </c>
      <c r="G15" s="24" t="n">
        <v>0.1041666666666667</v>
      </c>
    </row>
    <row r="16" hidden="1" ht="15" customHeight="1">
      <c r="A16" s="41" t="inlineStr">
        <is>
          <t>16/04/2026</t>
        </is>
      </c>
      <c r="B16" s="20" t="inlineStr">
        <is>
          <t>G3S 10</t>
        </is>
      </c>
      <c r="C16" s="21" t="inlineStr">
        <is>
          <t>BCBI Seletiva</t>
        </is>
      </c>
      <c r="D16" s="22" t="inlineStr">
        <is>
          <t>Operação assistida do sistema de BI da seletiva</t>
        </is>
      </c>
      <c r="E16" s="23" t="n">
        <v>0.3333333333333333</v>
      </c>
      <c r="F16" s="23" t="n">
        <v>0.3541666666666667</v>
      </c>
      <c r="G16" s="24" t="n">
        <v>0.02083333333333333</v>
      </c>
    </row>
    <row r="17" hidden="1" ht="15" customHeight="1">
      <c r="A17" s="41" t="inlineStr">
        <is>
          <t>19/04/2026</t>
        </is>
      </c>
      <c r="B17" s="20" t="inlineStr">
        <is>
          <t>G3S 10</t>
        </is>
      </c>
      <c r="C17" s="21" t="inlineStr">
        <is>
          <t>Fechamento</t>
        </is>
      </c>
      <c r="D17" s="22" t="inlineStr">
        <is>
          <t>Tratamento dos dados de fechamento março pré carga</t>
        </is>
      </c>
      <c r="E17" s="23" t="n">
        <v>0.3333333333333333</v>
      </c>
      <c r="F17" s="23" t="n">
        <v>0.4375</v>
      </c>
      <c r="G17" s="24" t="n">
        <v>0.1041666666666667</v>
      </c>
    </row>
    <row r="18" hidden="1" ht="15" customHeight="1">
      <c r="A18" s="41" t="inlineStr">
        <is>
          <t>21/04/2026</t>
        </is>
      </c>
      <c r="B18" s="20" t="inlineStr">
        <is>
          <t>G3S 10</t>
        </is>
      </c>
      <c r="C18" s="21" t="inlineStr">
        <is>
          <t>BCBI Seletiva</t>
        </is>
      </c>
      <c r="D18" s="22" t="inlineStr">
        <is>
          <t>Operação assistida do sistema de BI da seletiva, acompanhamento e checagem de erros no sistema</t>
        </is>
      </c>
      <c r="E18" s="23" t="n">
        <v>0.3333333333333333</v>
      </c>
      <c r="F18" s="23" t="n">
        <v>0.4375</v>
      </c>
      <c r="G18" s="24" t="n">
        <v>0.1041666666666667</v>
      </c>
    </row>
    <row r="19" hidden="1" ht="15" customHeight="1">
      <c r="A19" s="41" t="inlineStr">
        <is>
          <t>22/04/2026</t>
        </is>
      </c>
      <c r="B19" s="20" t="inlineStr">
        <is>
          <t>G3S 10</t>
        </is>
      </c>
      <c r="C19" s="21" t="inlineStr">
        <is>
          <t>BCBI Seletiva</t>
        </is>
      </c>
      <c r="D19" s="22" t="inlineStr">
        <is>
          <t>Auditoria entre relatórios do SAGI e dados do BCBI</t>
        </is>
      </c>
      <c r="E19" s="23" t="n">
        <v>0.3333333333333333</v>
      </c>
      <c r="F19" s="23" t="n">
        <v>0.4375</v>
      </c>
      <c r="G19" s="24" t="n">
        <v>0.1041666666666667</v>
      </c>
    </row>
    <row r="20" hidden="1" ht="15" customHeight="1">
      <c r="A20" s="41" t="inlineStr">
        <is>
          <t>23/04/2026</t>
        </is>
      </c>
      <c r="B20" s="20" t="inlineStr">
        <is>
          <t>G3S 10</t>
        </is>
      </c>
      <c r="C20" s="21" t="inlineStr">
        <is>
          <t>BCBI Seletiva</t>
        </is>
      </c>
      <c r="D20" s="22" t="inlineStr">
        <is>
          <t>Operação assistida do sistema de BI da seletiva</t>
        </is>
      </c>
      <c r="E20" s="23" t="n">
        <v>0.3333333333333333</v>
      </c>
      <c r="F20" s="23" t="n">
        <v>0.3541666666666667</v>
      </c>
      <c r="G20" s="24" t="n">
        <v>0.02083333333333333</v>
      </c>
    </row>
    <row r="21" hidden="1" ht="15" customHeight="1">
      <c r="A21" s="41" t="inlineStr">
        <is>
          <t>26/04/2026</t>
        </is>
      </c>
      <c r="B21" s="20" t="inlineStr">
        <is>
          <t>G3S 10</t>
        </is>
      </c>
      <c r="C21" s="21" t="inlineStr">
        <is>
          <t>Fechamento</t>
        </is>
      </c>
      <c r="D21" s="22" t="inlineStr">
        <is>
          <t>Tratamento dos dados de fechamento março pré carga</t>
        </is>
      </c>
      <c r="E21" s="23" t="n">
        <v>0.3333333333333333</v>
      </c>
      <c r="F21" s="23" t="n">
        <v>0.4375</v>
      </c>
      <c r="G21" s="24" t="n">
        <v>0.1041666666666667</v>
      </c>
    </row>
    <row r="22" hidden="1" ht="15" customHeight="1" thickBot="1">
      <c r="A22" s="42" t="inlineStr">
        <is>
          <t>27/04/2026</t>
        </is>
      </c>
      <c r="B22" s="25" t="inlineStr">
        <is>
          <t>G3S 10</t>
        </is>
      </c>
      <c r="C22" s="26" t="inlineStr">
        <is>
          <t>BCBI Seletiva</t>
        </is>
      </c>
      <c r="D22" s="27" t="inlineStr">
        <is>
          <t>Operação assistida do sistema de BI da seletiva, acompanhamento e checagem de erros no sistema</t>
        </is>
      </c>
      <c r="E22" s="28" t="n">
        <v>0.3333333333333333</v>
      </c>
      <c r="F22" s="28" t="n">
        <v>0.4166666666666667</v>
      </c>
      <c r="G22" s="29" t="n">
        <v>0.08333333333333333</v>
      </c>
    </row>
    <row r="23" hidden="1" ht="15" customHeight="1">
      <c r="A23" s="43" t="inlineStr">
        <is>
          <t>28/04/2026</t>
        </is>
      </c>
      <c r="B23" s="30" t="inlineStr">
        <is>
          <t>G3S 10</t>
        </is>
      </c>
      <c r="C23" s="31" t="inlineStr">
        <is>
          <t>BCBI Seletiva</t>
        </is>
      </c>
      <c r="D23" s="32" t="inlineStr">
        <is>
          <t>Auditoria entre relatórios do SAGI e dados do BCBI</t>
        </is>
      </c>
      <c r="E23" s="33" t="n">
        <v>0.3333333333333333</v>
      </c>
      <c r="F23" s="33" t="n">
        <v>0.4375</v>
      </c>
      <c r="G23" s="34" t="n">
        <v>0.1041666666666667</v>
      </c>
    </row>
    <row r="24" hidden="1" ht="15" customHeight="1">
      <c r="A24" s="41" t="inlineStr">
        <is>
          <t>29/04/2026</t>
        </is>
      </c>
      <c r="B24" s="20" t="inlineStr">
        <is>
          <t>G3S 10</t>
        </is>
      </c>
      <c r="C24" s="21" t="inlineStr">
        <is>
          <t>BCBI Seletiva</t>
        </is>
      </c>
      <c r="D24" s="22" t="inlineStr">
        <is>
          <t>Operação assistida do sistema de BI da seletiva, acompanhamento e checagem de erros no sistema</t>
        </is>
      </c>
      <c r="E24" s="23" t="n">
        <v>0.3333333333333333</v>
      </c>
      <c r="F24" s="23" t="n">
        <v>0.4166666666666667</v>
      </c>
      <c r="G24" s="24" t="n">
        <v>0.08333333333333333</v>
      </c>
    </row>
    <row r="25" hidden="1" ht="15" customHeight="1">
      <c r="A25" s="41" t="inlineStr">
        <is>
          <t>13/05/2026</t>
        </is>
      </c>
      <c r="B25" s="20" t="inlineStr">
        <is>
          <t>G3S 10</t>
        </is>
      </c>
      <c r="C25" s="21" t="inlineStr">
        <is>
          <t>BCBI Seletiva</t>
        </is>
      </c>
      <c r="D25" s="22" t="inlineStr">
        <is>
          <t>Operação assistida do sistema de BI da seletiva, acompanhamento e checagem de erros no sistema</t>
        </is>
      </c>
      <c r="E25" s="23" t="n">
        <v>0.3333333333333333</v>
      </c>
      <c r="F25" s="23" t="n">
        <v>0.4375</v>
      </c>
      <c r="G25" s="24" t="n">
        <v>0.1041666666666667</v>
      </c>
    </row>
    <row r="26" hidden="1" ht="15" customHeight="1">
      <c r="A26" s="41" t="inlineStr">
        <is>
          <t>17/05/2026</t>
        </is>
      </c>
      <c r="B26" s="20" t="inlineStr">
        <is>
          <t>G3S 10</t>
        </is>
      </c>
      <c r="C26" s="21" t="inlineStr">
        <is>
          <t>Fechamento</t>
        </is>
      </c>
      <c r="D26" s="22" t="inlineStr">
        <is>
          <t>Tratamento dos dados de fechamento abril pré carga</t>
        </is>
      </c>
      <c r="E26" s="23" t="n">
        <v>0.3333333333333333</v>
      </c>
      <c r="F26" s="23" t="n">
        <v>0.4375</v>
      </c>
      <c r="G26" s="24" t="n">
        <v>0.1041666666666667</v>
      </c>
    </row>
    <row r="27" hidden="1" ht="15" customHeight="1">
      <c r="A27" s="41" t="inlineStr">
        <is>
          <t>18/05/2026</t>
        </is>
      </c>
      <c r="B27" s="20" t="inlineStr">
        <is>
          <t>G3S 10</t>
        </is>
      </c>
      <c r="C27" s="21" t="inlineStr">
        <is>
          <t>BCBI Seletiva</t>
        </is>
      </c>
      <c r="D27" s="22" t="inlineStr">
        <is>
          <t>Operação assistida do sistema de BI da seletiva, acompanhamento e checagem de erros no sistema</t>
        </is>
      </c>
      <c r="E27" s="23" t="n">
        <v>0.3333333333333333</v>
      </c>
      <c r="F27" s="23" t="n">
        <v>0.4375</v>
      </c>
      <c r="G27" s="24" t="n">
        <v>0.1041666666666667</v>
      </c>
    </row>
    <row r="28" hidden="1" ht="15" customHeight="1">
      <c r="A28" s="41" t="inlineStr">
        <is>
          <t>25/05/2026</t>
        </is>
      </c>
      <c r="B28" s="20" t="inlineStr">
        <is>
          <t>G3S 10</t>
        </is>
      </c>
      <c r="C28" s="21" t="inlineStr">
        <is>
          <t>BCBI Seletiva</t>
        </is>
      </c>
      <c r="D28" s="22" t="inlineStr">
        <is>
          <t>Operação assistida do sistema de BI da seletiva, acompanhamento e checagem de erros no sistema</t>
        </is>
      </c>
      <c r="E28" s="23" t="n">
        <v>0.3333333333333333</v>
      </c>
      <c r="F28" s="23" t="n">
        <v>0.4375</v>
      </c>
      <c r="G28" s="24" t="n">
        <v>0.1041666666666667</v>
      </c>
    </row>
    <row r="29" hidden="1" ht="15" customHeight="1">
      <c r="A29" s="41" t="inlineStr">
        <is>
          <t>21/05/2026</t>
        </is>
      </c>
      <c r="B29" s="20" t="inlineStr">
        <is>
          <t>RH</t>
        </is>
      </c>
      <c r="C29" s="21" t="inlineStr">
        <is>
          <t>Ginástica Laboral</t>
        </is>
      </c>
      <c r="D29" s="22" t="inlineStr">
        <is>
          <t>Ginástica Laboral</t>
        </is>
      </c>
      <c r="E29" s="23" t="n">
        <v>0.3541666666666667</v>
      </c>
      <c r="F29" s="23" t="n">
        <v>0.375</v>
      </c>
      <c r="G29" s="24" t="n">
        <v>0.02083333333333333</v>
      </c>
    </row>
    <row r="30" hidden="1" ht="15" customHeight="1">
      <c r="A30" s="41" t="inlineStr">
        <is>
          <t>14/05/2026</t>
        </is>
      </c>
      <c r="B30" s="20" t="inlineStr">
        <is>
          <t>RH</t>
        </is>
      </c>
      <c r="C30" s="21" t="inlineStr">
        <is>
          <t>Ginástica Laboral</t>
        </is>
      </c>
      <c r="D30" s="22" t="inlineStr">
        <is>
          <t>Ginástica Laboral</t>
        </is>
      </c>
      <c r="E30" s="23" t="n">
        <v>0.3541666666666667</v>
      </c>
      <c r="F30" s="23" t="n">
        <v>0.375</v>
      </c>
      <c r="G30" s="24" t="n">
        <v>0.02083333333333333</v>
      </c>
    </row>
    <row r="31" hidden="1" ht="15" customHeight="1">
      <c r="A31" s="41" t="inlineStr">
        <is>
          <t>16/04/2026</t>
        </is>
      </c>
      <c r="B31" s="20" t="inlineStr">
        <is>
          <t>RH</t>
        </is>
      </c>
      <c r="C31" s="21" t="inlineStr">
        <is>
          <t>Ginástica Laboral</t>
        </is>
      </c>
      <c r="D31" s="22" t="inlineStr">
        <is>
          <t>Ginástica Laboral</t>
        </is>
      </c>
      <c r="E31" s="23" t="n">
        <v>0.3541666666666667</v>
      </c>
      <c r="F31" s="23" t="n">
        <v>0.375</v>
      </c>
      <c r="G31" s="24" t="n">
        <v>0.02083333333333333</v>
      </c>
    </row>
    <row r="32" hidden="1" ht="15" customHeight="1">
      <c r="A32" s="41" t="inlineStr">
        <is>
          <t>23/04/2026</t>
        </is>
      </c>
      <c r="B32" s="20" t="inlineStr">
        <is>
          <t>RH</t>
        </is>
      </c>
      <c r="C32" s="21" t="inlineStr">
        <is>
          <t>Ginástica Laboral</t>
        </is>
      </c>
      <c r="D32" s="22" t="inlineStr">
        <is>
          <t>Ginástica Laboral</t>
        </is>
      </c>
      <c r="E32" s="23" t="n">
        <v>0.3541666666666667</v>
      </c>
      <c r="F32" s="23" t="n">
        <v>0.375</v>
      </c>
      <c r="G32" s="24" t="n">
        <v>0.02083333333333333</v>
      </c>
    </row>
    <row r="33" hidden="1" ht="15" customHeight="1">
      <c r="A33" s="41" t="inlineStr">
        <is>
          <t>21/05/2026</t>
        </is>
      </c>
      <c r="B33" s="20" t="inlineStr">
        <is>
          <t>G3S 10</t>
        </is>
      </c>
      <c r="C33" s="21" t="inlineStr">
        <is>
          <t>BCBI Seletiva</t>
        </is>
      </c>
      <c r="D33" s="22" t="inlineStr">
        <is>
          <t>Auditoria entre relatórios do SAGI e dados do BCBI</t>
        </is>
      </c>
      <c r="E33" s="23" t="n">
        <v>0.375</v>
      </c>
      <c r="F33" s="23" t="n">
        <v>0.5</v>
      </c>
      <c r="G33" s="24" t="n">
        <v>0.125</v>
      </c>
    </row>
    <row r="34" hidden="1" ht="15" customHeight="1">
      <c r="A34" s="41" t="inlineStr">
        <is>
          <t>14/05/2026</t>
        </is>
      </c>
      <c r="B34" s="20" t="inlineStr">
        <is>
          <t>G3S 10</t>
        </is>
      </c>
      <c r="C34" s="21" t="inlineStr">
        <is>
          <t>BCBI Seletiva</t>
        </is>
      </c>
      <c r="D34" s="22" t="inlineStr">
        <is>
          <t>Auditoria entre relatórios do SAGI e dados do BCBI</t>
        </is>
      </c>
      <c r="E34" s="23" t="n">
        <v>0.375</v>
      </c>
      <c r="F34" s="23" t="n">
        <v>0.5</v>
      </c>
      <c r="G34" s="24" t="n">
        <v>0.125</v>
      </c>
    </row>
    <row r="35" hidden="1" ht="15" customHeight="1">
      <c r="A35" s="41" t="inlineStr">
        <is>
          <t>16/04/2026</t>
        </is>
      </c>
      <c r="B35" s="20" t="inlineStr">
        <is>
          <t>G3S 10</t>
        </is>
      </c>
      <c r="C35" s="21" t="inlineStr">
        <is>
          <t>BCBI Seletiva</t>
        </is>
      </c>
      <c r="D35" s="22" t="inlineStr">
        <is>
          <t>Auditoria entre relatórios do SAGI e dados do BCBI</t>
        </is>
      </c>
      <c r="E35" s="23" t="n">
        <v>0.375</v>
      </c>
      <c r="F35" s="23" t="n">
        <v>0.5</v>
      </c>
      <c r="G35" s="24" t="n">
        <v>0.125</v>
      </c>
    </row>
    <row r="36" hidden="1" ht="15" customHeight="1">
      <c r="A36" s="41" t="inlineStr">
        <is>
          <t>23/04/2026</t>
        </is>
      </c>
      <c r="B36" s="20" t="inlineStr">
        <is>
          <t>G3S 10</t>
        </is>
      </c>
      <c r="C36" s="21" t="inlineStr">
        <is>
          <t>BCBI Seletiva</t>
        </is>
      </c>
      <c r="D36" s="22" t="inlineStr">
        <is>
          <t>Checagem de valores e integrações BCBIxSAGI</t>
        </is>
      </c>
      <c r="E36" s="23" t="n">
        <v>0.375</v>
      </c>
      <c r="F36" s="23" t="n">
        <v>0.5</v>
      </c>
      <c r="G36" s="24" t="n">
        <v>0.125</v>
      </c>
    </row>
    <row r="37" hidden="1" ht="15" customHeight="1">
      <c r="A37" s="41" t="inlineStr">
        <is>
          <t>23/05/2026</t>
        </is>
      </c>
      <c r="B37" s="20" t="inlineStr">
        <is>
          <t>G3S 10</t>
        </is>
      </c>
      <c r="C37" s="21" t="inlineStr">
        <is>
          <t>BCBI Seletiva</t>
        </is>
      </c>
      <c r="D37" s="22" t="inlineStr">
        <is>
          <t>Auditoria entre relatórios do SAGI e dados do BCBI</t>
        </is>
      </c>
      <c r="E37" s="23" t="n">
        <v>0.4166666666666667</v>
      </c>
      <c r="F37" s="23" t="n">
        <v>0.5</v>
      </c>
      <c r="G37" s="24" t="n">
        <v>0.08333333333333333</v>
      </c>
    </row>
    <row r="38" hidden="1" ht="15" customHeight="1">
      <c r="A38" s="41" t="inlineStr">
        <is>
          <t>24/05/2026</t>
        </is>
      </c>
      <c r="B38" s="20" t="inlineStr">
        <is>
          <t>G3S 10</t>
        </is>
      </c>
      <c r="C38" s="21" t="inlineStr">
        <is>
          <t>BCBI Seletiva</t>
        </is>
      </c>
      <c r="D38" s="22" t="inlineStr">
        <is>
          <t>Checagem de valores e integrações BCBIxSAGI</t>
        </is>
      </c>
      <c r="E38" s="23" t="n">
        <v>0.4166666666666667</v>
      </c>
      <c r="F38" s="23" t="n">
        <v>0.5</v>
      </c>
      <c r="G38" s="24" t="n">
        <v>0.08333333333333333</v>
      </c>
    </row>
    <row r="39" hidden="1" ht="15" customHeight="1" thickBot="1">
      <c r="A39" s="42" t="inlineStr">
        <is>
          <t>16/05/2026</t>
        </is>
      </c>
      <c r="B39" s="25" t="inlineStr">
        <is>
          <t>G3S 10</t>
        </is>
      </c>
      <c r="C39" s="26" t="inlineStr">
        <is>
          <t>BCBI Seletiva</t>
        </is>
      </c>
      <c r="D39" s="27" t="inlineStr">
        <is>
          <t>Checagem de valores e integrações BCBIxSAGI</t>
        </is>
      </c>
      <c r="E39" s="28" t="n">
        <v>0.4166666666666667</v>
      </c>
      <c r="F39" s="28" t="n">
        <v>0.5</v>
      </c>
      <c r="G39" s="29" t="n">
        <v>0.08333333333333333</v>
      </c>
    </row>
    <row r="40" hidden="1" ht="15" customHeight="1">
      <c r="A40" s="43" t="inlineStr">
        <is>
          <t>26/05/2026</t>
        </is>
      </c>
      <c r="B40" s="30" t="inlineStr">
        <is>
          <t>G3S 10</t>
        </is>
      </c>
      <c r="C40" s="31" t="inlineStr">
        <is>
          <t>Qualidade</t>
        </is>
      </c>
      <c r="D40" s="32" t="inlineStr">
        <is>
          <t>Alinhamento de demandas e atividades</t>
        </is>
      </c>
      <c r="E40" s="33" t="n">
        <v>0.4166666666666667</v>
      </c>
      <c r="F40" s="33" t="n">
        <v>0.5</v>
      </c>
      <c r="G40" s="34" t="n">
        <v>0.08333333333333333</v>
      </c>
    </row>
    <row r="41" hidden="1" ht="15" customHeight="1">
      <c r="A41" s="41" t="inlineStr">
        <is>
          <t>27/05/2026</t>
        </is>
      </c>
      <c r="B41" s="20" t="inlineStr">
        <is>
          <t>G3S 10</t>
        </is>
      </c>
      <c r="C41" s="21" t="inlineStr">
        <is>
          <t>BCBI Seletiva</t>
        </is>
      </c>
      <c r="D41" s="22" t="inlineStr">
        <is>
          <t>Auditoria entre relatórios do SAGI e dados do BCBI</t>
        </is>
      </c>
      <c r="E41" s="23" t="n">
        <v>0.4166666666666667</v>
      </c>
      <c r="F41" s="23" t="n">
        <v>0.5</v>
      </c>
      <c r="G41" s="24" t="n">
        <v>0.08333333333333333</v>
      </c>
    </row>
    <row r="42" hidden="1" ht="15" customHeight="1">
      <c r="A42" s="82" t="inlineStr">
        <is>
          <t>27/04/2026</t>
        </is>
      </c>
      <c r="B42" s="49" t="inlineStr">
        <is>
          <t>G3S 10</t>
        </is>
      </c>
      <c r="C42" s="50" t="inlineStr">
        <is>
          <t>Fechamento</t>
        </is>
      </c>
      <c r="D42" s="83" t="inlineStr">
        <is>
          <t>Adequação de relatórios de sistemas externos para formato de Fechamento</t>
        </is>
      </c>
      <c r="E42" s="72" t="n">
        <v>0.4166666666666667</v>
      </c>
      <c r="F42" s="72" t="n">
        <v>0.5</v>
      </c>
      <c r="G42" s="84" t="n">
        <v>0.08333333333333333</v>
      </c>
    </row>
    <row r="43" hidden="1" ht="15" customHeight="1" thickBot="1">
      <c r="A43" s="85" t="inlineStr">
        <is>
          <t>29/04/2026</t>
        </is>
      </c>
      <c r="B43" s="67" t="inlineStr">
        <is>
          <t>G3S 10</t>
        </is>
      </c>
      <c r="C43" s="68" t="inlineStr">
        <is>
          <t>Fechamento</t>
        </is>
      </c>
      <c r="D43" s="86" t="inlineStr">
        <is>
          <t>Tratamento dos dados de fechamento março pré carga</t>
        </is>
      </c>
      <c r="E43" s="73" t="n">
        <v>0.4166666666666667</v>
      </c>
      <c r="F43" s="73" t="n">
        <v>0.5</v>
      </c>
      <c r="G43" s="87" t="n">
        <v>0.08333333333333333</v>
      </c>
    </row>
    <row r="44" hidden="1" ht="15" customHeight="1">
      <c r="A44" s="43" t="inlineStr">
        <is>
          <t>20/05/2026</t>
        </is>
      </c>
      <c r="B44" s="30" t="inlineStr">
        <is>
          <t>G3S 10</t>
        </is>
      </c>
      <c r="C44" s="31" t="inlineStr">
        <is>
          <t>Suporte Áreas</t>
        </is>
      </c>
      <c r="D44" s="32" t="inlineStr">
        <is>
          <t>Desenvolvimento de relatórios para áreas internas</t>
        </is>
      </c>
      <c r="E44" s="33" t="n">
        <v>0.4375</v>
      </c>
      <c r="F44" s="33" t="n">
        <v>0.5</v>
      </c>
      <c r="G44" s="34" t="n">
        <v>0.0625</v>
      </c>
    </row>
    <row r="45" hidden="1" ht="15" customHeight="1">
      <c r="A45" s="41" t="inlineStr">
        <is>
          <t>22/05/2026</t>
        </is>
      </c>
      <c r="B45" s="20" t="inlineStr">
        <is>
          <t>G3S 10</t>
        </is>
      </c>
      <c r="C45" s="21" t="inlineStr">
        <is>
          <t>Suporte Áreas</t>
        </is>
      </c>
      <c r="D45" s="22" t="inlineStr">
        <is>
          <t>Suporte para desenvolvimento de relatórios internos</t>
        </is>
      </c>
      <c r="E45" s="23" t="n">
        <v>0.4375</v>
      </c>
      <c r="F45" s="23" t="n">
        <v>0.5</v>
      </c>
      <c r="G45" s="24" t="n">
        <v>0.0625</v>
      </c>
    </row>
    <row r="46" hidden="1" ht="15" customHeight="1">
      <c r="A46" s="41" t="inlineStr">
        <is>
          <t>15/05/2026</t>
        </is>
      </c>
      <c r="B46" s="20" t="inlineStr">
        <is>
          <t>G3S 10</t>
        </is>
      </c>
      <c r="C46" s="21" t="inlineStr">
        <is>
          <t>Suporte Áreas</t>
        </is>
      </c>
      <c r="D46" s="22" t="inlineStr">
        <is>
          <t>Desenvolvimento de relatórios para áreas internas</t>
        </is>
      </c>
      <c r="E46" s="23" t="n">
        <v>0.4375</v>
      </c>
      <c r="F46" s="23" t="n">
        <v>0.5</v>
      </c>
      <c r="G46" s="24" t="n">
        <v>0.0625</v>
      </c>
    </row>
    <row r="47" hidden="1" ht="15" customHeight="1">
      <c r="A47" s="41" t="inlineStr">
        <is>
          <t>19/05/2026</t>
        </is>
      </c>
      <c r="B47" s="20" t="inlineStr">
        <is>
          <t>G3S 10</t>
        </is>
      </c>
      <c r="C47" s="21" t="inlineStr">
        <is>
          <t>Qualidade</t>
        </is>
      </c>
      <c r="D47" s="22" t="inlineStr">
        <is>
          <t>Alinhamento de demandas e atividades</t>
        </is>
      </c>
      <c r="E47" s="23" t="n">
        <v>0.4375</v>
      </c>
      <c r="F47" s="23" t="n">
        <v>0.5</v>
      </c>
      <c r="G47" s="24" t="n">
        <v>0.0625</v>
      </c>
    </row>
    <row r="48" hidden="1" ht="15" customHeight="1" thickBot="1">
      <c r="A48" s="42" t="inlineStr">
        <is>
          <t>13/04/2026</t>
        </is>
      </c>
      <c r="B48" s="25" t="inlineStr">
        <is>
          <t>G3S 10</t>
        </is>
      </c>
      <c r="C48" s="26" t="inlineStr">
        <is>
          <t>Suporte Áreas</t>
        </is>
      </c>
      <c r="D48" s="27" t="inlineStr">
        <is>
          <t>Atualização do ODBC e verificação de integridade</t>
        </is>
      </c>
      <c r="E48" s="28" t="n">
        <v>0.4375</v>
      </c>
      <c r="F48" s="28" t="n">
        <v>0.5</v>
      </c>
      <c r="G48" s="29" t="n">
        <v>0.0625</v>
      </c>
    </row>
    <row r="49" hidden="1" ht="15" customHeight="1">
      <c r="A49" s="43" t="inlineStr">
        <is>
          <t>14/04/2026</t>
        </is>
      </c>
      <c r="B49" s="30" t="inlineStr">
        <is>
          <t>G3S 10</t>
        </is>
      </c>
      <c r="C49" s="31" t="inlineStr">
        <is>
          <t>Qualidade</t>
        </is>
      </c>
      <c r="D49" s="32" t="inlineStr">
        <is>
          <t>Alinhamento de demandas e atividades</t>
        </is>
      </c>
      <c r="E49" s="33" t="n">
        <v>0.4375</v>
      </c>
      <c r="F49" s="33" t="n">
        <v>0.5</v>
      </c>
      <c r="G49" s="34" t="n">
        <v>0.0625</v>
      </c>
    </row>
    <row r="50" hidden="1" ht="15" customHeight="1">
      <c r="A50" s="41" t="inlineStr">
        <is>
          <t>15/04/2026</t>
        </is>
      </c>
      <c r="B50" s="20" t="inlineStr">
        <is>
          <t>G3S 10</t>
        </is>
      </c>
      <c r="C50" s="21" t="inlineStr">
        <is>
          <t>Suporte Áreas</t>
        </is>
      </c>
      <c r="D50" s="22" t="inlineStr">
        <is>
          <t>Desenvolvimento de relatórios para áreas internas</t>
        </is>
      </c>
      <c r="E50" s="23" t="n">
        <v>0.4375</v>
      </c>
      <c r="F50" s="23" t="n">
        <v>0.5</v>
      </c>
      <c r="G50" s="24" t="n">
        <v>0.0625</v>
      </c>
    </row>
    <row r="51" hidden="1" ht="15" customHeight="1">
      <c r="A51" s="41" t="inlineStr">
        <is>
          <t>19/04/2026</t>
        </is>
      </c>
      <c r="B51" s="20" t="inlineStr">
        <is>
          <t>G3S 10</t>
        </is>
      </c>
      <c r="C51" s="21" t="inlineStr">
        <is>
          <t>BCBI Seletiva</t>
        </is>
      </c>
      <c r="D51" s="22" t="inlineStr">
        <is>
          <t>Validação de cargas e conferência de dados</t>
        </is>
      </c>
      <c r="E51" s="23" t="n">
        <v>0.4375</v>
      </c>
      <c r="F51" s="23" t="n">
        <v>0.5</v>
      </c>
      <c r="G51" s="24" t="n">
        <v>0.0625</v>
      </c>
    </row>
    <row r="52" hidden="1" ht="15" customHeight="1">
      <c r="A52" s="41" t="inlineStr">
        <is>
          <t>21/04/2026</t>
        </is>
      </c>
      <c r="B52" s="20" t="inlineStr">
        <is>
          <t>G3S 10</t>
        </is>
      </c>
      <c r="C52" s="21" t="inlineStr">
        <is>
          <t>Fechamento</t>
        </is>
      </c>
      <c r="D52" s="22" t="inlineStr">
        <is>
          <t>Tratamento dos dados de fechamento março</t>
        </is>
      </c>
      <c r="E52" s="23" t="n">
        <v>0.4375</v>
      </c>
      <c r="F52" s="23" t="n">
        <v>0.5</v>
      </c>
      <c r="G52" s="24" t="n">
        <v>0.0625</v>
      </c>
    </row>
    <row r="53" hidden="1" ht="15" customHeight="1">
      <c r="A53" s="41" t="inlineStr">
        <is>
          <t>22/04/2026</t>
        </is>
      </c>
      <c r="B53" s="20" t="inlineStr">
        <is>
          <t>G3S 10</t>
        </is>
      </c>
      <c r="C53" s="21" t="inlineStr">
        <is>
          <t>Qualidade</t>
        </is>
      </c>
      <c r="D53" s="22" t="inlineStr">
        <is>
          <t>Alinhamento de demandas e atividades</t>
        </is>
      </c>
      <c r="E53" s="23" t="n">
        <v>0.4375</v>
      </c>
      <c r="F53" s="23" t="n">
        <v>0.5</v>
      </c>
      <c r="G53" s="24" t="n">
        <v>0.0625</v>
      </c>
    </row>
    <row r="54" hidden="1" ht="15" customHeight="1" thickBot="1">
      <c r="A54" s="42" t="inlineStr">
        <is>
          <t>26/04/2026</t>
        </is>
      </c>
      <c r="B54" s="25" t="inlineStr">
        <is>
          <t>G3S 10</t>
        </is>
      </c>
      <c r="C54" s="26" t="inlineStr">
        <is>
          <t>BCBI Seletiva</t>
        </is>
      </c>
      <c r="D54" s="27" t="inlineStr">
        <is>
          <t>Atualização do ODBC e validação de conexões</t>
        </is>
      </c>
      <c r="E54" s="28" t="n">
        <v>0.4375</v>
      </c>
      <c r="F54" s="28" t="n">
        <v>0.5</v>
      </c>
      <c r="G54" s="29" t="n">
        <v>0.0625</v>
      </c>
    </row>
    <row r="55" hidden="1" ht="15" customHeight="1">
      <c r="A55" s="43" t="inlineStr">
        <is>
          <t>28/04/2026</t>
        </is>
      </c>
      <c r="B55" s="30" t="inlineStr">
        <is>
          <t>G3S 10</t>
        </is>
      </c>
      <c r="C55" s="31" t="inlineStr">
        <is>
          <t>Qualidade</t>
        </is>
      </c>
      <c r="D55" s="32" t="inlineStr">
        <is>
          <t>Alinhamento de demandas e atividades</t>
        </is>
      </c>
      <c r="E55" s="33" t="n">
        <v>0.4375</v>
      </c>
      <c r="F55" s="33" t="n">
        <v>0.5</v>
      </c>
      <c r="G55" s="34" t="n">
        <v>0.0625</v>
      </c>
    </row>
    <row r="56" hidden="1" ht="15" customHeight="1" thickBot="1">
      <c r="A56" s="42" t="inlineStr">
        <is>
          <t>13/05/2026</t>
        </is>
      </c>
      <c r="B56" s="25" t="inlineStr">
        <is>
          <t>G3S 10</t>
        </is>
      </c>
      <c r="C56" s="26" t="inlineStr">
        <is>
          <t>Suporte Áreas</t>
        </is>
      </c>
      <c r="D56" s="27" t="inlineStr">
        <is>
          <t>Atualização do ODBC e verificação de integridade</t>
        </is>
      </c>
      <c r="E56" s="28" t="n">
        <v>0.4375</v>
      </c>
      <c r="F56" s="28" t="n">
        <v>0.5</v>
      </c>
      <c r="G56" s="29" t="n">
        <v>0.0625</v>
      </c>
    </row>
    <row r="57" ht="15" customHeight="1">
      <c r="A57" s="47" t="inlineStr">
        <is>
          <t>17/05/2026</t>
        </is>
      </c>
      <c r="B57" s="23" t="inlineStr">
        <is>
          <t>G3S 10</t>
        </is>
      </c>
      <c r="C57" s="23" t="inlineStr">
        <is>
          <t>BCBI Seletiva</t>
        </is>
      </c>
      <c r="D57" s="48" t="inlineStr">
        <is>
          <t>Validação de cargas e conferência de dados</t>
        </is>
      </c>
      <c r="E57" s="111" t="n">
        <v>0.4375</v>
      </c>
      <c r="F57" s="111" t="n">
        <v>0.5</v>
      </c>
      <c r="G57" s="111" t="n">
        <v>0.0625</v>
      </c>
    </row>
    <row r="58" ht="15" customHeight="1">
      <c r="A58" s="47" t="inlineStr">
        <is>
          <t>18/05/2026</t>
        </is>
      </c>
      <c r="B58" s="23" t="inlineStr">
        <is>
          <t>G3S 10</t>
        </is>
      </c>
      <c r="C58" s="23" t="inlineStr">
        <is>
          <t>Fechamento</t>
        </is>
      </c>
      <c r="D58" s="48" t="inlineStr">
        <is>
          <t>Adequação de relatórios de sistemas externos para formato de Fechamento</t>
        </is>
      </c>
      <c r="E58" s="111" t="n">
        <v>0.4375</v>
      </c>
      <c r="F58" s="111" t="n">
        <v>0.5</v>
      </c>
      <c r="G58" s="111" t="n">
        <v>0.0625</v>
      </c>
    </row>
    <row r="59" ht="15" customHeight="1">
      <c r="A59" s="47" t="inlineStr">
        <is>
          <t>25/05/2026</t>
        </is>
      </c>
      <c r="B59" s="23" t="inlineStr">
        <is>
          <t>G3S 10</t>
        </is>
      </c>
      <c r="C59" s="23" t="inlineStr">
        <is>
          <t>Suporte Áreas</t>
        </is>
      </c>
      <c r="D59" s="48" t="inlineStr">
        <is>
          <t>Atualização do ODBC e verificação de integridade</t>
        </is>
      </c>
      <c r="E59" s="111" t="n">
        <v>0.4375</v>
      </c>
      <c r="F59" s="111" t="n">
        <v>0.5</v>
      </c>
      <c r="G59" s="111" t="n">
        <v>0.0625</v>
      </c>
    </row>
    <row r="60" ht="15" customHeight="1">
      <c r="A60" s="47" t="inlineStr">
        <is>
          <t>23/05/2026</t>
        </is>
      </c>
      <c r="B60" s="23" t="inlineStr">
        <is>
          <t>G3S 10</t>
        </is>
      </c>
      <c r="C60" s="23" t="inlineStr">
        <is>
          <t>Fechamento</t>
        </is>
      </c>
      <c r="D60" s="48" t="inlineStr">
        <is>
          <t>Tratamento dos dados de fechamento</t>
        </is>
      </c>
      <c r="E60" s="111" t="n">
        <v>0.5416666666666666</v>
      </c>
      <c r="F60" s="111" t="n">
        <v>0.6284722222222222</v>
      </c>
      <c r="G60" s="111" t="n">
        <v>0.08680555555555555</v>
      </c>
    </row>
    <row r="61" ht="15" customHeight="1">
      <c r="A61" s="47" t="inlineStr">
        <is>
          <t>20/05/2026</t>
        </is>
      </c>
      <c r="B61" s="23" t="inlineStr">
        <is>
          <t>G3S 10</t>
        </is>
      </c>
      <c r="C61" s="23" t="inlineStr">
        <is>
          <t>Fechamento</t>
        </is>
      </c>
      <c r="D61" s="48" t="inlineStr">
        <is>
          <t>Tratamento dos dados de fechamento abril</t>
        </is>
      </c>
      <c r="E61" s="111" t="n">
        <v>0.5416666666666666</v>
      </c>
      <c r="F61" s="111" t="n">
        <v>0.6305555555555555</v>
      </c>
      <c r="G61" s="111" t="n">
        <v>0.08888888888888889</v>
      </c>
    </row>
    <row r="62" ht="15" customHeight="1">
      <c r="A62" s="47" t="inlineStr">
        <is>
          <t>21/05/2026</t>
        </is>
      </c>
      <c r="B62" s="23" t="inlineStr">
        <is>
          <t>G3S 10</t>
        </is>
      </c>
      <c r="C62" s="23" t="inlineStr">
        <is>
          <t>Fechamento</t>
        </is>
      </c>
      <c r="D62" s="48" t="inlineStr">
        <is>
          <t>Tratamento dos dados de fechamento abril</t>
        </is>
      </c>
      <c r="E62" s="111" t="n">
        <v>0.5416666666666666</v>
      </c>
      <c r="F62" s="111" t="n">
        <v>0.6305555555555555</v>
      </c>
      <c r="G62" s="111" t="n">
        <v>0.08888888888888889</v>
      </c>
    </row>
    <row r="63" ht="15" customHeight="1">
      <c r="A63" s="47" t="inlineStr">
        <is>
          <t>14/05/2026</t>
        </is>
      </c>
      <c r="B63" s="23" t="inlineStr">
        <is>
          <t>G3S 10</t>
        </is>
      </c>
      <c r="C63" s="23" t="inlineStr">
        <is>
          <t>Fechamento</t>
        </is>
      </c>
      <c r="D63" s="48" t="inlineStr">
        <is>
          <t>Adequação de relatórios de sistemas externos para formato de Fechamento</t>
        </is>
      </c>
      <c r="E63" s="111" t="n">
        <v>0.5416666666666666</v>
      </c>
      <c r="F63" s="111" t="n">
        <v>0.6298611111111111</v>
      </c>
      <c r="G63" s="111" t="n">
        <v>0.08819444444444445</v>
      </c>
    </row>
    <row r="64" ht="15" customHeight="1">
      <c r="A64" s="47" t="inlineStr">
        <is>
          <t>22/05/2026</t>
        </is>
      </c>
      <c r="B64" s="23" t="inlineStr">
        <is>
          <t>G3S 10</t>
        </is>
      </c>
      <c r="C64" s="23" t="inlineStr">
        <is>
          <t>Fechamento</t>
        </is>
      </c>
      <c r="D64" s="48" t="inlineStr">
        <is>
          <t>Adequação de relatórios de sistemas externos para formato de Fechamento</t>
        </is>
      </c>
      <c r="E64" s="111" t="n">
        <v>0.5416666666666666</v>
      </c>
      <c r="F64" s="111" t="n">
        <v>0.6291666666666667</v>
      </c>
      <c r="G64" s="111" t="n">
        <v>0.08749999999999999</v>
      </c>
    </row>
    <row r="65" ht="15" customHeight="1">
      <c r="A65" s="47" t="inlineStr">
        <is>
          <t>15/05/2026</t>
        </is>
      </c>
      <c r="B65" s="23" t="inlineStr">
        <is>
          <t>G3S 10</t>
        </is>
      </c>
      <c r="C65" s="23" t="inlineStr">
        <is>
          <t>BCBI Seletiva</t>
        </is>
      </c>
      <c r="D65" s="48" t="inlineStr">
        <is>
          <t>Auditoria entre relatórios do SAGI e dados do BCBI</t>
        </is>
      </c>
      <c r="E65" s="111" t="n">
        <v>0.5416666666666666</v>
      </c>
      <c r="F65" s="111" t="n">
        <v>0.6298611111111111</v>
      </c>
      <c r="G65" s="111" t="n">
        <v>0.08819444444444445</v>
      </c>
    </row>
    <row r="66" ht="15" customHeight="1">
      <c r="A66" s="47" t="inlineStr">
        <is>
          <t>24/05/2026</t>
        </is>
      </c>
      <c r="B66" s="23" t="inlineStr">
        <is>
          <t>G3S 10</t>
        </is>
      </c>
      <c r="C66" s="23" t="inlineStr">
        <is>
          <t>BCBI Seletiva</t>
        </is>
      </c>
      <c r="D66" s="48" t="inlineStr">
        <is>
          <t>Validação de cargas e conferência de dados</t>
        </is>
      </c>
      <c r="E66" s="111" t="n">
        <v>0.5416666666666666</v>
      </c>
      <c r="F66" s="111" t="n">
        <v>0.6298611111111111</v>
      </c>
      <c r="G66" s="111" t="n">
        <v>0.08819444444444445</v>
      </c>
    </row>
    <row r="67" ht="15" customHeight="1">
      <c r="A67" s="47" t="inlineStr">
        <is>
          <t>16/05/2026</t>
        </is>
      </c>
      <c r="B67" s="23" t="inlineStr">
        <is>
          <t>G3S 10</t>
        </is>
      </c>
      <c r="C67" s="23" t="inlineStr">
        <is>
          <t>Fechamento</t>
        </is>
      </c>
      <c r="D67" s="48" t="inlineStr">
        <is>
          <t>Adequação de relatórios de sistemas externos para formato de Fechamento</t>
        </is>
      </c>
      <c r="E67" s="111" t="n">
        <v>0.5416666666666666</v>
      </c>
      <c r="F67" s="111" t="n">
        <v>0.6284722222222222</v>
      </c>
      <c r="G67" s="111" t="n">
        <v>0.08680555555555555</v>
      </c>
    </row>
    <row r="68" ht="15" customHeight="1">
      <c r="A68" s="47" t="inlineStr">
        <is>
          <t>26/05/2026</t>
        </is>
      </c>
      <c r="B68" s="23" t="inlineStr">
        <is>
          <t>G3S 10</t>
        </is>
      </c>
      <c r="C68" s="23" t="inlineStr">
        <is>
          <t>Fechamento</t>
        </is>
      </c>
      <c r="D68" s="48" t="inlineStr">
        <is>
          <t>Tratamento dos dados de fechamento</t>
        </is>
      </c>
      <c r="E68" s="111" t="n">
        <v>0.5416666666666666</v>
      </c>
      <c r="F68" s="111" t="n">
        <v>0.6666666666666666</v>
      </c>
      <c r="G68" s="111" t="n">
        <v>0.125</v>
      </c>
    </row>
    <row r="69" ht="15" customHeight="1">
      <c r="A69" s="47" t="inlineStr">
        <is>
          <t>27/05/2026</t>
        </is>
      </c>
      <c r="B69" s="23" t="inlineStr">
        <is>
          <t>G3S 10</t>
        </is>
      </c>
      <c r="C69" s="23" t="inlineStr">
        <is>
          <t>Fechamento</t>
        </is>
      </c>
      <c r="D69" s="48" t="inlineStr">
        <is>
          <t>Tratamento dos dados de fechamento abril pré carga</t>
        </is>
      </c>
      <c r="E69" s="111" t="n">
        <v>0.5416666666666666</v>
      </c>
      <c r="F69" s="111" t="n">
        <v>0.6666666666666666</v>
      </c>
      <c r="G69" s="111" t="n">
        <v>0.125</v>
      </c>
    </row>
    <row r="70" ht="15" customHeight="1">
      <c r="A70" s="47" t="inlineStr">
        <is>
          <t>19/05/2026</t>
        </is>
      </c>
      <c r="B70" s="23" t="inlineStr">
        <is>
          <t>G3S 10</t>
        </is>
      </c>
      <c r="C70" s="23" t="inlineStr">
        <is>
          <t>BCBI Seletiva</t>
        </is>
      </c>
      <c r="D70" s="48" t="inlineStr">
        <is>
          <t>Atualização do ODBC e validação de conexões</t>
        </is>
      </c>
      <c r="E70" s="111" t="n">
        <v>0.5416666666666666</v>
      </c>
      <c r="F70" s="111" t="n">
        <v>0.625</v>
      </c>
      <c r="G70" s="111" t="n">
        <v>0.08333333333333333</v>
      </c>
    </row>
    <row r="71" ht="15" customHeight="1">
      <c r="A71" s="47" t="inlineStr">
        <is>
          <t>13/04/2026</t>
        </is>
      </c>
      <c r="B71" s="23" t="inlineStr">
        <is>
          <t>G3S 10</t>
        </is>
      </c>
      <c r="C71" s="23" t="inlineStr">
        <is>
          <t>BCBI Seletiva</t>
        </is>
      </c>
      <c r="D71" s="48" t="inlineStr">
        <is>
          <t>Auditoria entre relatórios do SAGI e dados do BCBI</t>
        </is>
      </c>
      <c r="E71" s="111" t="n">
        <v>0.5416666666666666</v>
      </c>
      <c r="F71" s="111" t="n">
        <v>0.625</v>
      </c>
      <c r="G71" s="111" t="n">
        <v>0.08333333333333333</v>
      </c>
    </row>
    <row r="72" ht="15" customHeight="1">
      <c r="A72" s="63" t="inlineStr">
        <is>
          <t>14/04/2026</t>
        </is>
      </c>
      <c r="B72" s="72" t="inlineStr">
        <is>
          <t>G3S 10</t>
        </is>
      </c>
      <c r="C72" s="72" t="inlineStr">
        <is>
          <t>Fechamento</t>
        </is>
      </c>
      <c r="D72" s="60" t="inlineStr">
        <is>
          <t>Adequação de relatórios de sistemas externos para formato de Fechamento</t>
        </is>
      </c>
      <c r="E72" s="112" t="n">
        <v>0.5416666666666666</v>
      </c>
      <c r="F72" s="112" t="n">
        <v>0.625</v>
      </c>
      <c r="G72" s="112" t="n">
        <v>0.08333333333333333</v>
      </c>
    </row>
    <row r="73" ht="15" customHeight="1" thickBot="1">
      <c r="A73" s="63" t="inlineStr">
        <is>
          <t>15/04/2026</t>
        </is>
      </c>
      <c r="B73" s="72" t="inlineStr">
        <is>
          <t>G3S 10</t>
        </is>
      </c>
      <c r="C73" s="72" t="inlineStr">
        <is>
          <t>Fechamento</t>
        </is>
      </c>
      <c r="D73" s="60" t="inlineStr">
        <is>
          <t>Tratamento dos dados de fechamento março</t>
        </is>
      </c>
      <c r="E73" s="112" t="n">
        <v>0.5416666666666666</v>
      </c>
      <c r="F73" s="112" t="n">
        <v>0.625</v>
      </c>
      <c r="G73" s="112" t="n">
        <v>0.08333333333333333</v>
      </c>
    </row>
    <row r="74" ht="15" customHeight="1" thickBot="1" thickTop="1">
      <c r="A74" s="74" t="inlineStr">
        <is>
          <t>16/04/2026</t>
        </is>
      </c>
      <c r="B74" s="75" t="inlineStr">
        <is>
          <t>G3S 10</t>
        </is>
      </c>
      <c r="C74" s="75" t="inlineStr">
        <is>
          <t>Fechamento</t>
        </is>
      </c>
      <c r="D74" s="76" t="inlineStr">
        <is>
          <t>Adequação de relatórios de sistemas externos para formato de Fechamento</t>
        </is>
      </c>
      <c r="E74" s="113" t="n">
        <v>0.5416666666666666</v>
      </c>
      <c r="F74" s="113" t="n">
        <v>0.625</v>
      </c>
      <c r="G74" s="113" t="n">
        <v>0.08333333333333333</v>
      </c>
    </row>
    <row r="75" ht="15" customHeight="1" thickTop="1">
      <c r="A75" s="61" t="inlineStr">
        <is>
          <t>19/04/2026</t>
        </is>
      </c>
      <c r="B75" s="33" t="inlineStr">
        <is>
          <t>G3S 10</t>
        </is>
      </c>
      <c r="C75" s="33" t="inlineStr">
        <is>
          <t>BCBI Seletiva</t>
        </is>
      </c>
      <c r="D75" s="51" t="inlineStr">
        <is>
          <t>Checagem de valores e integrações BCBIxSAGI</t>
        </is>
      </c>
      <c r="E75" s="114" t="n">
        <v>0.5416666666666666</v>
      </c>
      <c r="F75" s="114" t="n">
        <v>0.625</v>
      </c>
      <c r="G75" s="114" t="n">
        <v>0.08333333333333333</v>
      </c>
    </row>
    <row r="76" ht="15" customHeight="1">
      <c r="A76" s="63" t="inlineStr">
        <is>
          <t>21/04/2026</t>
        </is>
      </c>
      <c r="B76" s="72" t="inlineStr">
        <is>
          <t>G3S 10</t>
        </is>
      </c>
      <c r="C76" s="72" t="inlineStr">
        <is>
          <t>Suporte Áreas</t>
        </is>
      </c>
      <c r="D76" s="60" t="inlineStr">
        <is>
          <t>Atualização do ODBC e verificação de integridade</t>
        </is>
      </c>
      <c r="E76" s="112" t="n">
        <v>0.5416666666666666</v>
      </c>
      <c r="F76" s="112" t="n">
        <v>0.625</v>
      </c>
      <c r="G76" s="112" t="n">
        <v>0.08333333333333333</v>
      </c>
    </row>
    <row r="77" ht="15" customHeight="1" thickBot="1">
      <c r="A77" s="63" t="inlineStr">
        <is>
          <t>22/04/2026</t>
        </is>
      </c>
      <c r="B77" s="72" t="inlineStr">
        <is>
          <t>G3S 10</t>
        </is>
      </c>
      <c r="C77" s="72" t="inlineStr">
        <is>
          <t>Fechamento</t>
        </is>
      </c>
      <c r="D77" s="60" t="inlineStr">
        <is>
          <t>Adequação de relatórios de sistemas externos para formato de Fechamento</t>
        </is>
      </c>
      <c r="E77" s="112" t="n">
        <v>0.5416666666666666</v>
      </c>
      <c r="F77" s="112" t="n">
        <v>0.625</v>
      </c>
      <c r="G77" s="112" t="n">
        <v>0.08333333333333333</v>
      </c>
    </row>
    <row r="78" ht="15" customHeight="1" thickBot="1" thickTop="1">
      <c r="A78" s="74" t="inlineStr">
        <is>
          <t>23/04/2026</t>
        </is>
      </c>
      <c r="B78" s="75" t="inlineStr">
        <is>
          <t>G3S 10</t>
        </is>
      </c>
      <c r="C78" s="75" t="inlineStr">
        <is>
          <t>Fechamento</t>
        </is>
      </c>
      <c r="D78" s="76" t="inlineStr">
        <is>
          <t>Tratamento dos dados de fechamento março</t>
        </is>
      </c>
      <c r="E78" s="113" t="n">
        <v>0.5416666666666666</v>
      </c>
      <c r="F78" s="113" t="n">
        <v>0.625</v>
      </c>
      <c r="G78" s="113" t="n">
        <v>0.08333333333333333</v>
      </c>
    </row>
    <row r="79" ht="15" customHeight="1" thickTop="1">
      <c r="A79" s="61" t="inlineStr">
        <is>
          <t>26/04/2026</t>
        </is>
      </c>
      <c r="B79" s="33" t="inlineStr">
        <is>
          <t>G3S 10</t>
        </is>
      </c>
      <c r="C79" s="33" t="inlineStr">
        <is>
          <t>BCBI Seletiva</t>
        </is>
      </c>
      <c r="D79" s="51" t="inlineStr">
        <is>
          <t>Validação de cargas e conferência de dados</t>
        </is>
      </c>
      <c r="E79" s="114" t="n">
        <v>0.5416666666666666</v>
      </c>
      <c r="F79" s="114" t="n">
        <v>0.625</v>
      </c>
      <c r="G79" s="114" t="n">
        <v>0.08333333333333333</v>
      </c>
    </row>
    <row r="80" ht="15" customHeight="1">
      <c r="A80" s="63" t="inlineStr">
        <is>
          <t>27/04/2026</t>
        </is>
      </c>
      <c r="B80" s="72" t="inlineStr">
        <is>
          <t>G3S 10</t>
        </is>
      </c>
      <c r="C80" s="72" t="inlineStr">
        <is>
          <t>Fechamento</t>
        </is>
      </c>
      <c r="D80" s="60" t="inlineStr">
        <is>
          <t>Tratamento dos dados de fechamento março</t>
        </is>
      </c>
      <c r="E80" s="112" t="n">
        <v>0.5416666666666666</v>
      </c>
      <c r="F80" s="112" t="n">
        <v>0.6666666666666666</v>
      </c>
      <c r="G80" s="112" t="n">
        <v>0.125</v>
      </c>
    </row>
    <row r="81" ht="15" customHeight="1" thickBot="1">
      <c r="A81" s="66" t="inlineStr">
        <is>
          <t>28/04/2026</t>
        </is>
      </c>
      <c r="B81" s="73" t="inlineStr">
        <is>
          <t>G3S 10</t>
        </is>
      </c>
      <c r="C81" s="73" t="inlineStr">
        <is>
          <t>Fechamento</t>
        </is>
      </c>
      <c r="D81" s="69" t="inlineStr">
        <is>
          <t>Tratamento dos dados de fechamento março</t>
        </is>
      </c>
      <c r="E81" s="115" t="n">
        <v>0.5416666666666666</v>
      </c>
      <c r="F81" s="115" t="n">
        <v>0.625</v>
      </c>
      <c r="G81" s="115" t="n">
        <v>0.08333333333333333</v>
      </c>
    </row>
    <row r="82" ht="15" customHeight="1" thickTop="1">
      <c r="A82" s="61" t="inlineStr">
        <is>
          <t>13/05/2026</t>
        </is>
      </c>
      <c r="B82" s="33" t="inlineStr">
        <is>
          <t>G3S 10</t>
        </is>
      </c>
      <c r="C82" s="33" t="inlineStr">
        <is>
          <t>Fechamento</t>
        </is>
      </c>
      <c r="D82" s="51" t="inlineStr">
        <is>
          <t>Tratamento dos dados de fechamento abril</t>
        </is>
      </c>
      <c r="E82" s="114" t="n">
        <v>0.5416666666666666</v>
      </c>
      <c r="F82" s="114" t="n">
        <v>0.625</v>
      </c>
      <c r="G82" s="114" t="n">
        <v>0.08333333333333333</v>
      </c>
    </row>
    <row r="83" ht="15" customHeight="1">
      <c r="A83" s="47" t="inlineStr">
        <is>
          <t>17/05/2026</t>
        </is>
      </c>
      <c r="B83" s="23" t="inlineStr">
        <is>
          <t>G3S 10</t>
        </is>
      </c>
      <c r="C83" s="23" t="inlineStr">
        <is>
          <t>BCBI Seletiva</t>
        </is>
      </c>
      <c r="D83" s="48" t="inlineStr">
        <is>
          <t>Checagem de valores e integrações BCBIxSAGI</t>
        </is>
      </c>
      <c r="E83" s="111" t="n">
        <v>0.5416666666666666</v>
      </c>
      <c r="F83" s="111" t="n">
        <v>0.625</v>
      </c>
      <c r="G83" s="111" t="n">
        <v>0.08333333333333333</v>
      </c>
    </row>
    <row r="84" ht="15" customHeight="1">
      <c r="A84" s="47" t="inlineStr">
        <is>
          <t>18/05/2026</t>
        </is>
      </c>
      <c r="B84" s="23" t="inlineStr">
        <is>
          <t>G3S 10</t>
        </is>
      </c>
      <c r="C84" s="23" t="inlineStr">
        <is>
          <t>Fechamento</t>
        </is>
      </c>
      <c r="D84" s="48" t="inlineStr">
        <is>
          <t>Tratamento dos dados de fechamento abril</t>
        </is>
      </c>
      <c r="E84" s="111" t="n">
        <v>0.5416666666666666</v>
      </c>
      <c r="F84" s="111" t="n">
        <v>0.625</v>
      </c>
      <c r="G84" s="111" t="n">
        <v>0.08333333333333333</v>
      </c>
    </row>
    <row r="85" ht="15" customHeight="1">
      <c r="A85" s="47" t="inlineStr">
        <is>
          <t>25/05/2026</t>
        </is>
      </c>
      <c r="B85" s="23" t="inlineStr">
        <is>
          <t>G3S 10</t>
        </is>
      </c>
      <c r="C85" s="23" t="inlineStr">
        <is>
          <t>Fechamento</t>
        </is>
      </c>
      <c r="D85" s="48" t="inlineStr">
        <is>
          <t>Adequação de relatórios de sistemas externos para formato de Fechamento</t>
        </is>
      </c>
      <c r="E85" s="111" t="n">
        <v>0.5416666666666666</v>
      </c>
      <c r="F85" s="111" t="n">
        <v>0.625</v>
      </c>
      <c r="G85" s="111" t="n">
        <v>0.08333333333333333</v>
      </c>
    </row>
    <row r="86" ht="15" customHeight="1">
      <c r="A86" s="63" t="inlineStr">
        <is>
          <t>26/05/2026</t>
        </is>
      </c>
      <c r="B86" s="72" t="inlineStr">
        <is>
          <t>G3S 10</t>
        </is>
      </c>
      <c r="C86" s="72" t="inlineStr">
        <is>
          <t>Fechamento</t>
        </is>
      </c>
      <c r="D86" s="60" t="inlineStr">
        <is>
          <t>Finalização e validação dos dados de fechamento</t>
        </is>
      </c>
      <c r="E86" s="112" t="n">
        <v>0.6666666666666666</v>
      </c>
      <c r="F86" s="112" t="n">
        <v>0.75</v>
      </c>
      <c r="G86" s="112" t="n">
        <v>0.08333333333333333</v>
      </c>
    </row>
    <row r="87" ht="15" customHeight="1" thickBot="1">
      <c r="A87" s="66" t="inlineStr">
        <is>
          <t>27/05/2026</t>
        </is>
      </c>
      <c r="B87" s="73" t="inlineStr">
        <is>
          <t>G3S 10</t>
        </is>
      </c>
      <c r="C87" s="73" t="inlineStr">
        <is>
          <t>Fechamento</t>
        </is>
      </c>
      <c r="D87" s="69" t="inlineStr">
        <is>
          <t>Finalização e validação dos dados de fechamento</t>
        </is>
      </c>
      <c r="E87" s="115" t="n">
        <v>0.6666666666666666</v>
      </c>
      <c r="F87" s="115" t="n">
        <v>0.75</v>
      </c>
      <c r="G87" s="115" t="n">
        <v>0.08333333333333333</v>
      </c>
    </row>
    <row r="88" ht="15" customHeight="1" thickTop="1">
      <c r="A88" s="61" t="inlineStr">
        <is>
          <t>27/04/2026</t>
        </is>
      </c>
      <c r="B88" s="33" t="inlineStr">
        <is>
          <t>G3S 10</t>
        </is>
      </c>
      <c r="C88" s="33" t="inlineStr">
        <is>
          <t>Fechamento</t>
        </is>
      </c>
      <c r="D88" s="51" t="inlineStr">
        <is>
          <t>Finalização e validação dos dados de fechamento</t>
        </is>
      </c>
      <c r="E88" s="114" t="n">
        <v>0.6666666666666666</v>
      </c>
      <c r="F88" s="114" t="n">
        <v>0.75</v>
      </c>
      <c r="G88" s="114" t="n">
        <v>0.08333333333333333</v>
      </c>
    </row>
    <row r="89" ht="15" customHeight="1">
      <c r="A89" s="47" t="n">
        <v>45992</v>
      </c>
      <c r="B89" s="23" t="inlineStr">
        <is>
          <t xml:space="preserve">G3S </t>
        </is>
      </c>
      <c r="C89" s="23" t="inlineStr">
        <is>
          <t>Suporte Áreas</t>
        </is>
      </c>
      <c r="D89" s="48" t="inlineStr">
        <is>
          <t>relatório Horas extras marcondes 24-25</t>
        </is>
      </c>
      <c r="E89" s="111" t="n">
        <v>0.5</v>
      </c>
      <c r="F89" s="111" t="n">
        <v>0.6527777777777778</v>
      </c>
      <c r="G89" s="111" t="n">
        <v>0.1527777777777778</v>
      </c>
    </row>
    <row r="90" ht="15" customHeight="1">
      <c r="A90" s="63" t="n">
        <v>45992</v>
      </c>
      <c r="B90" s="72" t="inlineStr">
        <is>
          <t>EKIPA</t>
        </is>
      </c>
      <c r="C90" s="72" t="inlineStr">
        <is>
          <t>Centro de custo</t>
        </is>
      </c>
      <c r="D90" s="60" t="inlineStr">
        <is>
          <t>Adequação de centro de custo da máquina phh0044(atual gbl8h44)</t>
        </is>
      </c>
      <c r="E90" s="112" t="n">
        <v>0.6527777777777778</v>
      </c>
      <c r="F90" s="112" t="n">
        <v>0.6770833333333334</v>
      </c>
      <c r="G90" s="112" t="n">
        <v>0.02430555555555556</v>
      </c>
    </row>
    <row r="91" ht="15" customHeight="1" thickBot="1">
      <c r="A91" s="66" t="n">
        <v>45992</v>
      </c>
      <c r="B91" s="73" t="inlineStr">
        <is>
          <t>G3S 10</t>
        </is>
      </c>
      <c r="C91" s="73" t="inlineStr">
        <is>
          <t>Fechamento</t>
        </is>
      </c>
      <c r="D91" s="69" t="inlineStr">
        <is>
          <t>Tratamento dos dados de fechamento pré carga</t>
        </is>
      </c>
      <c r="E91" s="115" t="n">
        <v>0.6770833333333334</v>
      </c>
      <c r="F91" s="115" t="n">
        <v>0.75</v>
      </c>
      <c r="G91" s="115" t="n">
        <v>0.07291666666666667</v>
      </c>
    </row>
    <row r="92" ht="15" customHeight="1" thickTop="1">
      <c r="A92" s="61" t="n">
        <v>45993</v>
      </c>
      <c r="B92" s="33" t="inlineStr">
        <is>
          <t>G3S 10</t>
        </is>
      </c>
      <c r="C92" s="33" t="inlineStr">
        <is>
          <t>Fechamento</t>
        </is>
      </c>
      <c r="D92" s="51" t="inlineStr">
        <is>
          <t>Tratamento dos dados de fechamento pré carga</t>
        </is>
      </c>
      <c r="E92" s="114" t="n">
        <v>0.5</v>
      </c>
      <c r="F92" s="114" t="n">
        <v>0.625</v>
      </c>
      <c r="G92" s="114" t="n">
        <v>0.125</v>
      </c>
    </row>
    <row r="93" ht="15" customHeight="1">
      <c r="A93" s="63" t="n">
        <v>45993</v>
      </c>
      <c r="B93" s="72" t="inlineStr">
        <is>
          <t>G3S 10</t>
        </is>
      </c>
      <c r="C93" s="72" t="inlineStr">
        <is>
          <t>Suporte Áreas</t>
        </is>
      </c>
      <c r="D93" s="60" t="inlineStr">
        <is>
          <t>Criação arquivo "cola" de rateio de centro de custo estagiários para a Elaine do RH</t>
        </is>
      </c>
      <c r="E93" s="112" t="n">
        <v>0.625</v>
      </c>
      <c r="F93" s="112" t="n">
        <v>0.6388888888888888</v>
      </c>
      <c r="G93" s="112" t="n">
        <v>0.01388888888888889</v>
      </c>
    </row>
    <row r="94" ht="15" customHeight="1" thickBot="1">
      <c r="A94" s="66" t="n">
        <v>45993</v>
      </c>
      <c r="B94" s="73" t="inlineStr">
        <is>
          <t>G3S 10</t>
        </is>
      </c>
      <c r="C94" s="73" t="inlineStr">
        <is>
          <t>Fechamento</t>
        </is>
      </c>
      <c r="D94" s="69" t="inlineStr">
        <is>
          <t>Tratamento dos dados de fechamento pré carga</t>
        </is>
      </c>
      <c r="E94" s="115" t="n">
        <v>0.6388888888888888</v>
      </c>
      <c r="F94" s="115" t="n">
        <v>0.75</v>
      </c>
      <c r="G94" s="115" t="n">
        <v>0.1111111111111111</v>
      </c>
    </row>
    <row r="95" ht="15" customHeight="1" thickTop="1">
      <c r="A95" s="61" t="n">
        <v>45994</v>
      </c>
      <c r="B95" s="33" t="inlineStr">
        <is>
          <t>G3S 10</t>
        </is>
      </c>
      <c r="C95" s="33" t="inlineStr">
        <is>
          <t>Fechamento</t>
        </is>
      </c>
      <c r="D95" s="51" t="inlineStr">
        <is>
          <t>Tratamento dos dados de fechamento pré carga</t>
        </is>
      </c>
      <c r="E95" s="114" t="n">
        <v>0.3333333333333333</v>
      </c>
      <c r="F95" s="114" t="n">
        <v>0.375</v>
      </c>
      <c r="G95" s="114" t="n">
        <v>0.04166666666666666</v>
      </c>
    </row>
    <row r="96" ht="15" customHeight="1">
      <c r="A96" s="47" t="n">
        <v>45994</v>
      </c>
      <c r="B96" s="23" t="inlineStr">
        <is>
          <t>G3S 10</t>
        </is>
      </c>
      <c r="C96" s="23" t="inlineStr">
        <is>
          <t>Sagi</t>
        </is>
      </c>
      <c r="D96" s="48" t="inlineStr">
        <is>
          <t>Abertura de chamado no SAGI para solução de troca do tipo de centro de custo, mas não foi resolvido, iremos acionar o Leonardo</t>
        </is>
      </c>
      <c r="E96" s="111" t="n">
        <v>0.375</v>
      </c>
      <c r="F96" s="111" t="n">
        <v>0.4076388888888889</v>
      </c>
      <c r="G96" s="111" t="n">
        <v>0.03263888888888889</v>
      </c>
    </row>
    <row r="97" ht="15" customHeight="1">
      <c r="A97" s="47" t="n">
        <v>45994</v>
      </c>
      <c r="B97" s="23" t="inlineStr">
        <is>
          <t>G3S 10</t>
        </is>
      </c>
      <c r="C97" s="23" t="inlineStr">
        <is>
          <t>Fechamento</t>
        </is>
      </c>
      <c r="D97" s="48" t="inlineStr">
        <is>
          <t>Tratamento dos dados de fechamento pré carga</t>
        </is>
      </c>
      <c r="E97" s="111" t="n">
        <v>0.4076388888888889</v>
      </c>
      <c r="F97" s="111" t="n">
        <v>0.4895833333333333</v>
      </c>
      <c r="G97" s="111" t="n">
        <v>0.08194444444444444</v>
      </c>
    </row>
    <row r="98" ht="15" customHeight="1">
      <c r="A98" s="63" t="n">
        <v>45994</v>
      </c>
      <c r="B98" s="72" t="inlineStr">
        <is>
          <t>G3S 10</t>
        </is>
      </c>
      <c r="C98" s="72" t="inlineStr">
        <is>
          <t>Fechamento</t>
        </is>
      </c>
      <c r="D98" s="60" t="inlineStr">
        <is>
          <t>Tratamento dos dados de fechamento pré carga</t>
        </is>
      </c>
      <c r="E98" s="112" t="n">
        <v>0.53125</v>
      </c>
      <c r="F98" s="112" t="n">
        <v>0.5833333333333334</v>
      </c>
      <c r="G98" s="112" t="n">
        <v>0.05208333333333334</v>
      </c>
    </row>
    <row r="99" ht="15" customHeight="1" thickBot="1">
      <c r="A99" s="66" t="n">
        <v>45994</v>
      </c>
      <c r="B99" s="73" t="inlineStr">
        <is>
          <t>G3S 10</t>
        </is>
      </c>
      <c r="C99" s="73" t="inlineStr">
        <is>
          <t>Suporte Áreas</t>
        </is>
      </c>
      <c r="D99" s="69" t="inlineStr">
        <is>
          <t xml:space="preserve">Cálculo/definição dos rateios a serem feitos para cada empresa </t>
        </is>
      </c>
      <c r="E99" s="115" t="n">
        <v>0.5833333333333334</v>
      </c>
      <c r="F99" s="115" t="n">
        <v>0.625</v>
      </c>
      <c r="G99" s="115" t="n">
        <v>0.04166666666666666</v>
      </c>
    </row>
    <row r="100" ht="15" customHeight="1" thickTop="1">
      <c r="A100" s="61" t="n">
        <v>45995</v>
      </c>
      <c r="B100" s="33" t="inlineStr">
        <is>
          <t xml:space="preserve">G3S </t>
        </is>
      </c>
      <c r="C100" s="33" t="inlineStr">
        <is>
          <t>BCBI Seletiva</t>
        </is>
      </c>
      <c r="D100" s="51" t="inlineStr">
        <is>
          <t>Operação assistida do sistema de BI da seletiva, acompanhamento e checagem de erros no sistema</t>
        </is>
      </c>
      <c r="E100" s="114" t="n">
        <v>0.3333333333333333</v>
      </c>
      <c r="F100" s="114" t="n">
        <v>0.3611111111111111</v>
      </c>
      <c r="G100" s="114" t="n">
        <v>0.02777777777777778</v>
      </c>
    </row>
    <row r="101" ht="15" customHeight="1">
      <c r="A101" s="47" t="n">
        <v>45995</v>
      </c>
      <c r="B101" s="23" t="inlineStr">
        <is>
          <t>RH</t>
        </is>
      </c>
      <c r="C101" s="23" t="inlineStr">
        <is>
          <t>Ginastica laboral</t>
        </is>
      </c>
      <c r="D101" s="48" t="inlineStr">
        <is>
          <t>Ginastica laboral</t>
        </is>
      </c>
      <c r="E101" s="111" t="n">
        <v>0.3611111111111111</v>
      </c>
      <c r="F101" s="111" t="n">
        <v>0.3715277777777778</v>
      </c>
      <c r="G101" s="111" t="n">
        <v>0.01041666666666667</v>
      </c>
    </row>
    <row r="102" ht="15" customHeight="1">
      <c r="A102" s="47" t="n">
        <v>45995</v>
      </c>
      <c r="B102" s="23" t="inlineStr">
        <is>
          <t xml:space="preserve">G3S </t>
        </is>
      </c>
      <c r="C102" s="23" t="inlineStr">
        <is>
          <t>BCBI Seletiva</t>
        </is>
      </c>
      <c r="D102" s="48" t="inlineStr">
        <is>
          <t>Operação assistida do sistema de BI da seletiva, acompanhamento e checagem de erros no sistema</t>
        </is>
      </c>
      <c r="E102" s="111" t="n">
        <v>0.3715277777777778</v>
      </c>
      <c r="F102" s="111" t="n">
        <v>0.3958333333333333</v>
      </c>
      <c r="G102" s="111" t="n">
        <v>0.02430555555555556</v>
      </c>
    </row>
    <row r="103" ht="15" customHeight="1">
      <c r="A103" s="47" t="n">
        <v>45995</v>
      </c>
      <c r="B103" s="23" t="inlineStr">
        <is>
          <t>G3S 10</t>
        </is>
      </c>
      <c r="C103" s="23" t="inlineStr">
        <is>
          <t>Fechamento</t>
        </is>
      </c>
      <c r="D103" s="48" t="inlineStr">
        <is>
          <t>Criação de relatório dos erros de lançamento referentes aos meses AGOSTO, SETEMBRO e OUTUBRO, para em sequencia disparar os erros para cada gestor e assim corrigir e não gerar retrabalho.</t>
        </is>
      </c>
      <c r="E103" s="111" t="n">
        <v>0.3958333333333333</v>
      </c>
      <c r="F103" s="111" t="n">
        <v>0.46875</v>
      </c>
      <c r="G103" s="111" t="n">
        <v>0.07291666666666667</v>
      </c>
    </row>
    <row r="104" ht="15" customHeight="1">
      <c r="A104" s="63" t="n">
        <v>45995</v>
      </c>
      <c r="B104" s="72" t="inlineStr">
        <is>
          <t>G3S 10</t>
        </is>
      </c>
      <c r="C104" s="72" t="inlineStr">
        <is>
          <t>Suporte Áreas</t>
        </is>
      </c>
      <c r="D104" s="60" t="inlineStr">
        <is>
          <t>Listagem da relação de sistemas utilizados no grupo desde 2023 via ODBC, solicitado pela Cristina</t>
        </is>
      </c>
      <c r="E104" s="112" t="n">
        <v>0.46875</v>
      </c>
      <c r="F104" s="112" t="n">
        <v>0.5034722222222222</v>
      </c>
      <c r="G104" s="112" t="n">
        <v>0.03472222222222222</v>
      </c>
    </row>
    <row r="105" ht="15" customHeight="1" thickBot="1">
      <c r="A105" s="66" t="n">
        <v>45995</v>
      </c>
      <c r="B105" s="73" t="inlineStr">
        <is>
          <t>G3S 10</t>
        </is>
      </c>
      <c r="C105" s="73" t="inlineStr">
        <is>
          <t>Fechamento</t>
        </is>
      </c>
      <c r="D105" s="69" t="inlineStr">
        <is>
          <t>Criação de relatório dos erros de lançamento referentes aos meses AGOSTO, SETEMBRO e OUTUBRO, para em sequencia disparar os erros para cada gestor e assim corrigir e não gerar retrabalho.</t>
        </is>
      </c>
      <c r="E105" s="115" t="n">
        <v>0.5451388888888888</v>
      </c>
      <c r="F105" s="115" t="n">
        <v>0.625</v>
      </c>
      <c r="G105" s="115" t="n">
        <v>0.0798611111111111</v>
      </c>
    </row>
    <row r="106" ht="15" customHeight="1" thickTop="1">
      <c r="A106" s="61" t="n">
        <v>45996</v>
      </c>
      <c r="B106" s="33" t="inlineStr">
        <is>
          <t>G3S 10</t>
        </is>
      </c>
      <c r="C106" s="33" t="inlineStr">
        <is>
          <t>Suporte Áreas</t>
        </is>
      </c>
      <c r="D106" s="51" t="inlineStr">
        <is>
          <t>Assistência para problemas de lançamentos do novo sistema sem parar</t>
        </is>
      </c>
      <c r="E106" s="114" t="n">
        <v>0.5</v>
      </c>
      <c r="F106" s="114" t="n">
        <v>0.5805555555555556</v>
      </c>
      <c r="G106" s="114" t="n">
        <v>0.08055555555555556</v>
      </c>
    </row>
    <row r="107" ht="15" customHeight="1">
      <c r="A107" s="47" t="n">
        <v>45996</v>
      </c>
      <c r="B107" s="23" t="inlineStr">
        <is>
          <t>G3S 10</t>
        </is>
      </c>
      <c r="C107" s="23" t="inlineStr">
        <is>
          <t>Fechamento</t>
        </is>
      </c>
      <c r="D107" s="48" t="inlineStr">
        <is>
          <t>Criação de relatório dos erros de lançamento referentes aos meses AGOSTO, SETEMBRO e OUTUBRO, para em sequencia disparar os erros para cada gestor e assim corrigir e não gerar retrabalho.</t>
        </is>
      </c>
      <c r="E107" s="111" t="n">
        <v>0.5805555555555556</v>
      </c>
      <c r="F107" s="111" t="n">
        <v>0.65625</v>
      </c>
      <c r="G107" s="111" t="n">
        <v>0.07569444444444444</v>
      </c>
    </row>
    <row r="108" ht="15" customHeight="1">
      <c r="A108" s="63" t="n">
        <v>45996</v>
      </c>
      <c r="B108" s="72" t="inlineStr">
        <is>
          <t>G3S 10</t>
        </is>
      </c>
      <c r="C108" s="72" t="inlineStr">
        <is>
          <t>Suporte Áreas</t>
        </is>
      </c>
      <c r="D108" s="60" t="inlineStr">
        <is>
          <t>Assistência para problemas de lançamentos do novo sistema sem parar</t>
        </is>
      </c>
      <c r="E108" s="112" t="n">
        <v>0.65625</v>
      </c>
      <c r="F108" s="112" t="n">
        <v>0.7361111111111112</v>
      </c>
      <c r="G108" s="112" t="n">
        <v>0.0798611111111111</v>
      </c>
    </row>
    <row r="109" ht="15" customHeight="1" thickBot="1">
      <c r="A109" s="66" t="n">
        <v>45996</v>
      </c>
      <c r="B109" s="73" t="inlineStr">
        <is>
          <t>G3S 10</t>
        </is>
      </c>
      <c r="C109" s="73" t="inlineStr">
        <is>
          <t>Fechamento</t>
        </is>
      </c>
      <c r="D109" s="69" t="inlineStr">
        <is>
          <t>Criação de relatório dos erros de lançamento referentes aos meses AGOSTO, SETEMBRO e OUTUBRO, para em sequencia disparar os erros para cada gestor e assim corrigir e não gerar retrabalho.</t>
        </is>
      </c>
      <c r="E109" s="115" t="n">
        <v>0.7361111111111112</v>
      </c>
      <c r="F109" s="115" t="n">
        <v>0.75</v>
      </c>
      <c r="G109" s="115" t="n">
        <v>0.01388888888888889</v>
      </c>
    </row>
    <row r="110" ht="15" customHeight="1" thickTop="1">
      <c r="A110" s="61" t="n">
        <v>45999</v>
      </c>
      <c r="B110" s="33" t="inlineStr">
        <is>
          <t xml:space="preserve">G3S </t>
        </is>
      </c>
      <c r="C110" s="33" t="inlineStr">
        <is>
          <t>BCBI Seletiva</t>
        </is>
      </c>
      <c r="D110" s="51" t="inlineStr">
        <is>
          <t>Operação assistida do sistema de BI da seletiva, acompanhamento e checagem de erros no sistema</t>
        </is>
      </c>
      <c r="E110" s="114" t="n">
        <v>0.3333333333333333</v>
      </c>
      <c r="F110" s="114" t="n">
        <v>0.3958333333333333</v>
      </c>
      <c r="G110" s="114" t="n">
        <v>0.0625</v>
      </c>
    </row>
    <row r="111" ht="15" customHeight="1">
      <c r="A111" s="47" t="n">
        <v>45999</v>
      </c>
      <c r="B111" s="23" t="inlineStr">
        <is>
          <t xml:space="preserve">G3S </t>
        </is>
      </c>
      <c r="C111" s="23" t="inlineStr">
        <is>
          <t>BCBI Seletiva</t>
        </is>
      </c>
      <c r="D111" s="48" t="inlineStr">
        <is>
          <t xml:space="preserve">Abertura de chamado consulti para correção de erro </t>
        </is>
      </c>
      <c r="E111" s="111" t="n">
        <v>0.3958333333333333</v>
      </c>
      <c r="F111" s="111" t="n">
        <v>0.4027777777777778</v>
      </c>
      <c r="G111" s="111" t="n">
        <v>0.006944444444444444</v>
      </c>
    </row>
    <row r="112" ht="15" customHeight="1">
      <c r="A112" s="63" t="n">
        <v>45999</v>
      </c>
      <c r="B112" s="72" t="inlineStr">
        <is>
          <t>G3S 10</t>
        </is>
      </c>
      <c r="C112" s="72" t="inlineStr">
        <is>
          <t>Suporte Áreas</t>
        </is>
      </c>
      <c r="D112" s="60" t="inlineStr">
        <is>
          <t>Definindo estrutura de rateio para lançamento de contas (BMC, AMTI, EXPERTISE, MM SOARES, SMART TAX E KONFIDO)</t>
        </is>
      </c>
      <c r="E112" s="112" t="n">
        <v>0.4027777777777778</v>
      </c>
      <c r="F112" s="112" t="n">
        <v>0.5069444444444444</v>
      </c>
      <c r="G112" s="112" t="n">
        <v>0.1041666666666667</v>
      </c>
    </row>
    <row r="113" ht="15" customHeight="1" thickBot="1">
      <c r="A113" s="63" t="n">
        <v>45999</v>
      </c>
      <c r="B113" s="72" t="inlineStr">
        <is>
          <t>G3S 10</t>
        </is>
      </c>
      <c r="C113" s="72" t="inlineStr">
        <is>
          <t>Suporte Áreas</t>
        </is>
      </c>
      <c r="D113" s="60" t="inlineStr">
        <is>
          <t>Geração de arquivo .pdf, escrita e envio de email sobre a estrutura de rateio para as áreas</t>
        </is>
      </c>
      <c r="E113" s="112" t="n">
        <v>0.5486111111111112</v>
      </c>
      <c r="F113" s="112" t="n">
        <v>0.625</v>
      </c>
      <c r="G113" s="112" t="n">
        <v>0.0763888888888889</v>
      </c>
    </row>
    <row r="114" ht="15" customHeight="1" thickBot="1" thickTop="1">
      <c r="A114" s="74" t="n">
        <v>46000</v>
      </c>
      <c r="B114" s="75" t="inlineStr">
        <is>
          <t>G3S 10</t>
        </is>
      </c>
      <c r="C114" s="75" t="inlineStr">
        <is>
          <t>Fechamento</t>
        </is>
      </c>
      <c r="D114" s="76" t="inlineStr">
        <is>
          <t>Tratamento dos dados de fechamento novembro pré carga</t>
        </is>
      </c>
      <c r="E114" s="113" t="n">
        <v>0.3333333333333333</v>
      </c>
      <c r="F114" s="113" t="n">
        <v>0.5833333333333334</v>
      </c>
      <c r="G114" s="113" t="n">
        <v>0.25</v>
      </c>
    </row>
    <row r="115" ht="15" customHeight="1" thickTop="1">
      <c r="A115" s="61" t="n">
        <v>46001</v>
      </c>
      <c r="B115" s="33" t="inlineStr">
        <is>
          <t>G3S 10</t>
        </is>
      </c>
      <c r="C115" s="33" t="inlineStr">
        <is>
          <t>Fechamento</t>
        </is>
      </c>
      <c r="D115" s="51" t="inlineStr">
        <is>
          <t>Tratamento dos dados de fechamento novembro pré carga</t>
        </is>
      </c>
      <c r="E115" s="114" t="n">
        <v>0.3333333333333333</v>
      </c>
      <c r="F115" s="114" t="n">
        <v>0.375</v>
      </c>
      <c r="G115" s="114" t="n">
        <v>0.04166666666666666</v>
      </c>
    </row>
    <row r="116" ht="15" customHeight="1">
      <c r="A116" s="47" t="n">
        <v>46001</v>
      </c>
      <c r="B116" s="23" t="inlineStr">
        <is>
          <t xml:space="preserve">G3S </t>
        </is>
      </c>
      <c r="C116" s="23" t="inlineStr">
        <is>
          <t>BCBI Seletiva</t>
        </is>
      </c>
      <c r="D116" s="48" t="inlineStr">
        <is>
          <t>Operação assistida do sistema de BI da seletiva, acompanhamento e checagem de erros no sistema</t>
        </is>
      </c>
      <c r="E116" s="111" t="n">
        <v>0.375</v>
      </c>
      <c r="F116" s="111" t="n">
        <v>0.3958333333333333</v>
      </c>
      <c r="G116" s="111" t="n">
        <v>0.02083333333333333</v>
      </c>
    </row>
    <row r="117" ht="15" customHeight="1">
      <c r="A117" s="47" t="n">
        <v>46001</v>
      </c>
      <c r="B117" s="23" t="inlineStr">
        <is>
          <t>G3S 5</t>
        </is>
      </c>
      <c r="C117" s="23" t="inlineStr">
        <is>
          <t>Fechamento</t>
        </is>
      </c>
      <c r="D117" s="48" t="inlineStr">
        <is>
          <t>Análise BRAÇOFER outubro.</t>
        </is>
      </c>
      <c r="E117" s="111" t="n">
        <v>0.3958333333333333</v>
      </c>
      <c r="F117" s="111" t="n">
        <v>0.4791666666666667</v>
      </c>
      <c r="G117" s="111" t="n">
        <v>0.08333333333333333</v>
      </c>
    </row>
    <row r="118" ht="15" customHeight="1">
      <c r="A118" s="47" t="n">
        <v>46001</v>
      </c>
      <c r="B118" s="23" t="inlineStr">
        <is>
          <t>Consulti</t>
        </is>
      </c>
      <c r="C118" s="23" t="inlineStr">
        <is>
          <t>CONSULTI</t>
        </is>
      </c>
      <c r="D118" s="48" t="inlineStr">
        <is>
          <t>Abertura de chamado consulti para acesso ao novo portal de suporte para acompanhamento de status dos tickets abertos.</t>
        </is>
      </c>
      <c r="E118" s="111" t="n">
        <v>0.4791666666666667</v>
      </c>
      <c r="F118" s="111" t="n">
        <v>0.4895833333333333</v>
      </c>
      <c r="G118" s="111" t="n">
        <v>0.01041666666666667</v>
      </c>
    </row>
    <row r="119" ht="15" customHeight="1">
      <c r="A119" s="47" t="n">
        <v>46001</v>
      </c>
      <c r="B119" s="23" t="inlineStr">
        <is>
          <t>G3S 10</t>
        </is>
      </c>
      <c r="C119" s="23" t="inlineStr">
        <is>
          <t>Fechamento</t>
        </is>
      </c>
      <c r="D119" s="48" t="inlineStr">
        <is>
          <t>Tratamento dos dados de fechamento novembro pré carga e atualização da consulta ODBC</t>
        </is>
      </c>
      <c r="E119" s="111" t="n">
        <v>0.4895833333333333</v>
      </c>
      <c r="F119" s="111" t="n">
        <v>0.5104166666666666</v>
      </c>
      <c r="G119" s="111" t="n">
        <v>0.02083333333333333</v>
      </c>
    </row>
    <row r="120" ht="15" customHeight="1">
      <c r="A120" s="63" t="n">
        <v>46001</v>
      </c>
      <c r="B120" s="72" t="inlineStr">
        <is>
          <t>G3S 10</t>
        </is>
      </c>
      <c r="C120" s="72" t="inlineStr">
        <is>
          <t>Fechamento</t>
        </is>
      </c>
      <c r="D120" s="60" t="inlineStr">
        <is>
          <t>Tratamento dos dados de fechamento novembro pré carga</t>
        </is>
      </c>
      <c r="E120" s="112" t="n">
        <v>0.5520833333333334</v>
      </c>
      <c r="F120" s="112" t="n">
        <v>0.5833333333333334</v>
      </c>
      <c r="G120" s="112" t="n">
        <v>0.03125</v>
      </c>
    </row>
    <row r="121" ht="15" customHeight="1" thickBot="1">
      <c r="A121" s="66" t="n">
        <v>46001</v>
      </c>
      <c r="B121" s="73" t="inlineStr">
        <is>
          <t xml:space="preserve">G3S </t>
        </is>
      </c>
      <c r="C121" s="73" t="inlineStr">
        <is>
          <t>BCBI Seletiva</t>
        </is>
      </c>
      <c r="D121" s="69" t="inlineStr">
        <is>
          <t>Validação da entrega do matheus nazaro, comunicada via whatsapp, de compras e vendas de sucata em R$</t>
        </is>
      </c>
      <c r="E121" s="115" t="n">
        <v>0.5833333333333334</v>
      </c>
      <c r="F121" s="115" t="n">
        <v>0.625</v>
      </c>
      <c r="G121" s="115" t="n">
        <v>0.04166666666666666</v>
      </c>
    </row>
    <row r="122" ht="15" customHeight="1" thickTop="1">
      <c r="A122" s="61" t="n">
        <v>46002</v>
      </c>
      <c r="B122" s="33" t="inlineStr">
        <is>
          <t xml:space="preserve">G3S </t>
        </is>
      </c>
      <c r="C122" s="33" t="inlineStr">
        <is>
          <t>BCBI Seletiva</t>
        </is>
      </c>
      <c r="D122" s="51" t="inlineStr">
        <is>
          <t>Validação da entrega do matheus nazaro, comunicada via whatsapp, de compras e vendas de sucata em R$</t>
        </is>
      </c>
      <c r="E122" s="114" t="n">
        <v>0.3333333333333333</v>
      </c>
      <c r="F122" s="114" t="n">
        <v>0.3541666666666667</v>
      </c>
      <c r="G122" s="114" t="n">
        <v>0.02083333333333333</v>
      </c>
    </row>
    <row r="123" ht="15" customHeight="1">
      <c r="A123" s="47" t="n">
        <v>46002</v>
      </c>
      <c r="B123" s="23" t="inlineStr">
        <is>
          <t>RH</t>
        </is>
      </c>
      <c r="C123" s="23" t="inlineStr">
        <is>
          <t>Ginastica laboral</t>
        </is>
      </c>
      <c r="D123" s="48" t="inlineStr">
        <is>
          <t>Ginastica laboral</t>
        </is>
      </c>
      <c r="E123" s="111" t="n">
        <v>0.3541666666666667</v>
      </c>
      <c r="F123" s="111" t="n">
        <v>0.375</v>
      </c>
      <c r="G123" s="111" t="n">
        <v>0.02083333333333333</v>
      </c>
    </row>
    <row r="124" ht="15" customHeight="1">
      <c r="A124" s="47" t="n">
        <v>46002</v>
      </c>
      <c r="B124" s="23" t="inlineStr">
        <is>
          <t>G3S 10</t>
        </is>
      </c>
      <c r="C124" s="23" t="inlineStr">
        <is>
          <t>Suporte Áreas</t>
        </is>
      </c>
      <c r="D124" s="48" t="inlineStr">
        <is>
          <t>Definindo estrutura de rateio para lançamento da nota do Sinomar na convenção</t>
        </is>
      </c>
      <c r="E124" s="111" t="n">
        <v>0.375</v>
      </c>
      <c r="F124" s="111" t="n">
        <v>0.3888888888888889</v>
      </c>
      <c r="G124" s="111" t="n">
        <v>0.01388888888888889</v>
      </c>
    </row>
    <row r="125" ht="15" customHeight="1">
      <c r="A125" s="63" t="n">
        <v>46002</v>
      </c>
      <c r="B125" s="72" t="inlineStr">
        <is>
          <t>G3S 10</t>
        </is>
      </c>
      <c r="C125" s="72" t="inlineStr">
        <is>
          <t>Fechamento</t>
        </is>
      </c>
      <c r="D125" s="60" t="inlineStr">
        <is>
          <t>Tratamento dos dados de fechamento novembro pré carga</t>
        </is>
      </c>
      <c r="E125" s="112" t="n">
        <v>0.3888888888888889</v>
      </c>
      <c r="F125" s="112" t="n">
        <v>0.5069444444444444</v>
      </c>
      <c r="G125" s="112" t="n">
        <v>0.1180555555555556</v>
      </c>
    </row>
    <row r="126" ht="15" customHeight="1" thickBot="1">
      <c r="A126" s="66" t="n">
        <v>46002</v>
      </c>
      <c r="B126" s="73" t="inlineStr">
        <is>
          <t>G3S 10</t>
        </is>
      </c>
      <c r="C126" s="73" t="inlineStr">
        <is>
          <t>Fechamento</t>
        </is>
      </c>
      <c r="D126" s="69" t="inlineStr">
        <is>
          <t>Tratamento dos dados de fechamento novembro pré carga</t>
        </is>
      </c>
      <c r="E126" s="115" t="n">
        <v>0.5486111111111112</v>
      </c>
      <c r="F126" s="115" t="n">
        <v>0.625</v>
      </c>
      <c r="G126" s="115" t="n">
        <v>0.0763888888888889</v>
      </c>
    </row>
    <row r="127" ht="15" customHeight="1" thickTop="1">
      <c r="A127" s="61" t="n">
        <v>46003</v>
      </c>
      <c r="B127" s="33" t="inlineStr">
        <is>
          <t>G3S 10</t>
        </is>
      </c>
      <c r="C127" s="33" t="inlineStr">
        <is>
          <t>Fechamento</t>
        </is>
      </c>
      <c r="D127" s="51" t="inlineStr">
        <is>
          <t>Tratamento dos dados de fechamento novembro pré carga</t>
        </is>
      </c>
      <c r="E127" s="114" t="n">
        <v>0.3333333333333333</v>
      </c>
      <c r="F127" s="114" t="n">
        <v>0.4166666666666667</v>
      </c>
      <c r="G127" s="114" t="n">
        <v>0.08333333333333333</v>
      </c>
    </row>
    <row r="128" ht="15" customHeight="1">
      <c r="A128" s="47" t="n">
        <v>46003</v>
      </c>
      <c r="B128" s="23" t="inlineStr">
        <is>
          <t xml:space="preserve">G3S </t>
        </is>
      </c>
      <c r="C128" s="23" t="inlineStr">
        <is>
          <t>Reunião</t>
        </is>
      </c>
      <c r="D128" s="48" t="inlineStr">
        <is>
          <t>Reunião de apresentação da plataforma payfy</t>
        </is>
      </c>
      <c r="E128" s="111" t="n">
        <v>0.4166666666666667</v>
      </c>
      <c r="F128" s="111" t="n">
        <v>0.4791666666666667</v>
      </c>
      <c r="G128" s="111" t="n">
        <v>0.0625</v>
      </c>
    </row>
    <row r="129" ht="15" customHeight="1">
      <c r="A129" s="63" t="n">
        <v>46003</v>
      </c>
      <c r="B129" s="72" t="inlineStr">
        <is>
          <t>G3S 10</t>
        </is>
      </c>
      <c r="C129" s="72" t="inlineStr">
        <is>
          <t>Fechamento</t>
        </is>
      </c>
      <c r="D129" s="60" t="inlineStr">
        <is>
          <t>Tratamento dos dados de fechamento novembro pré carga</t>
        </is>
      </c>
      <c r="E129" s="112" t="n">
        <v>0.4791666666666667</v>
      </c>
      <c r="F129" s="112" t="n">
        <v>0.5069444444444444</v>
      </c>
      <c r="G129" s="112" t="n">
        <v>0.02777777777777778</v>
      </c>
    </row>
    <row r="130" ht="15" customHeight="1" thickBot="1">
      <c r="A130" s="66" t="n">
        <v>46003</v>
      </c>
      <c r="B130" s="73" t="inlineStr">
        <is>
          <t xml:space="preserve">G3S </t>
        </is>
      </c>
      <c r="C130" s="73" t="inlineStr">
        <is>
          <t>BCBI Seletiva</t>
        </is>
      </c>
      <c r="D130" s="69" t="inlineStr">
        <is>
          <t>Operação assistida do sistema de BI da seletiva, acompanhamento e validação das entregas do desenvolvimento.</t>
        </is>
      </c>
      <c r="E130" s="115" t="n">
        <v>0.5486111111111112</v>
      </c>
      <c r="F130" s="115" t="n">
        <v>0.625</v>
      </c>
      <c r="G130" s="115" t="n">
        <v>0.0763888888888889</v>
      </c>
    </row>
    <row r="131" ht="15" customHeight="1" thickTop="1">
      <c r="A131" s="61" t="n">
        <v>46006</v>
      </c>
      <c r="B131" s="33" t="inlineStr">
        <is>
          <t xml:space="preserve">G3S </t>
        </is>
      </c>
      <c r="C131" s="33" t="inlineStr">
        <is>
          <t>BCBI Seletiva</t>
        </is>
      </c>
      <c r="D131" s="51" t="inlineStr">
        <is>
          <t>Operação assistida do sistema de BI da seletiva, acompanhamento e validação das entregas do desenvolvimento.</t>
        </is>
      </c>
      <c r="E131" s="114" t="n">
        <v>0.3333333333333333</v>
      </c>
      <c r="F131" s="114" t="n">
        <v>0.3541666666666667</v>
      </c>
      <c r="G131" s="114" t="n">
        <v>0.02083333333333333</v>
      </c>
    </row>
    <row r="132" ht="15" customHeight="1">
      <c r="A132" s="47" t="n">
        <v>46006</v>
      </c>
      <c r="B132" s="23" t="inlineStr">
        <is>
          <t>G3S 10</t>
        </is>
      </c>
      <c r="C132" s="23" t="inlineStr">
        <is>
          <t>Suporte Áreas</t>
        </is>
      </c>
      <c r="D132" s="48" t="inlineStr">
        <is>
          <t>Relarório de Funcionários 2025 para Marcondes</t>
        </is>
      </c>
      <c r="E132" s="111" t="n">
        <v>0.3541666666666667</v>
      </c>
      <c r="F132" s="111" t="n">
        <v>0.4479166666666667</v>
      </c>
      <c r="G132" s="111" t="n">
        <v>0.09375</v>
      </c>
    </row>
    <row r="133" ht="15" customHeight="1">
      <c r="A133" s="47" t="n">
        <v>46006</v>
      </c>
      <c r="B133" s="23" t="inlineStr">
        <is>
          <t xml:space="preserve">G3S </t>
        </is>
      </c>
      <c r="C133" s="23" t="inlineStr">
        <is>
          <t>BCBI Seletiva</t>
        </is>
      </c>
      <c r="D133" s="48" t="inlineStr">
        <is>
          <t>Abertura de Ticket na Consulti, referente à discrepância nos valores de compras de sucata do BI(erro de 35 ton) e referente aos valores da Análise vertical errados.</t>
        </is>
      </c>
      <c r="E133" s="111" t="n">
        <v>0.4479166666666667</v>
      </c>
      <c r="F133" s="111" t="n">
        <v>0.46875</v>
      </c>
      <c r="G133" s="111" t="n">
        <v>0.02083333333333333</v>
      </c>
    </row>
    <row r="134" ht="15" customHeight="1">
      <c r="A134" s="63" t="n">
        <v>46006</v>
      </c>
      <c r="B134" s="72" t="inlineStr">
        <is>
          <t xml:space="preserve">G3S </t>
        </is>
      </c>
      <c r="C134" s="72" t="inlineStr">
        <is>
          <t>BCBI Seletiva</t>
        </is>
      </c>
      <c r="D134" s="60" t="inlineStr">
        <is>
          <t>Operação assistida do sistema de BI da seletiva, acompanhamento e checagem de erros no sistema</t>
        </is>
      </c>
      <c r="E134" s="112" t="n">
        <v>0.46875</v>
      </c>
      <c r="F134" s="112" t="n">
        <v>0.5138888888888888</v>
      </c>
      <c r="G134" s="112" t="n">
        <v>0.04513888888888889</v>
      </c>
    </row>
    <row r="135" ht="15" customHeight="1" thickBot="1">
      <c r="A135" s="66" t="n">
        <v>46006</v>
      </c>
      <c r="B135" s="73" t="inlineStr">
        <is>
          <t>G3S 10</t>
        </is>
      </c>
      <c r="C135" s="73" t="inlineStr">
        <is>
          <t>Suporte Áreas</t>
        </is>
      </c>
      <c r="D135" s="69" t="inlineStr">
        <is>
          <t>Relarório de Funcionários 2025 para Marcondes</t>
        </is>
      </c>
      <c r="E135" s="115" t="n">
        <v>0.5555555555555556</v>
      </c>
      <c r="F135" s="115" t="n">
        <v>0.6770833333333334</v>
      </c>
      <c r="G135" s="115" t="n">
        <v>0.1215277777777778</v>
      </c>
    </row>
    <row r="136" ht="15" customHeight="1" thickTop="1">
      <c r="A136" s="61" t="n">
        <v>46007</v>
      </c>
      <c r="B136" s="33" t="inlineStr">
        <is>
          <t>G3S 10</t>
        </is>
      </c>
      <c r="C136" s="33" t="inlineStr">
        <is>
          <t>Suporte Áreas</t>
        </is>
      </c>
      <c r="D136" s="51" t="inlineStr">
        <is>
          <t>Relarório de Funcionários 2025 para Marcondes</t>
        </is>
      </c>
      <c r="E136" s="114" t="n">
        <v>0.3333333333333333</v>
      </c>
      <c r="F136" s="114" t="n">
        <v>0.375</v>
      </c>
      <c r="G136" s="114" t="n">
        <v>0.04166666666666666</v>
      </c>
    </row>
    <row r="137" ht="15" customHeight="1">
      <c r="A137" s="47" t="n">
        <v>46007</v>
      </c>
      <c r="B137" s="23" t="inlineStr">
        <is>
          <t>RH</t>
        </is>
      </c>
      <c r="C137" s="23" t="inlineStr">
        <is>
          <t>Programa de Desenvolvimento</t>
        </is>
      </c>
      <c r="D137" s="48" t="inlineStr">
        <is>
          <t>Programa de Desenvolvimento de Estágio - Operação, Venda e Compra de Sucata</t>
        </is>
      </c>
      <c r="E137" s="111" t="n">
        <v>0.375</v>
      </c>
      <c r="F137" s="111" t="n">
        <v>0.4375</v>
      </c>
      <c r="G137" s="111" t="n">
        <v>0.0625</v>
      </c>
    </row>
    <row r="138" ht="15" customHeight="1">
      <c r="A138" s="47" t="n">
        <v>46007</v>
      </c>
      <c r="B138" s="23" t="inlineStr">
        <is>
          <t>G3S 10</t>
        </is>
      </c>
      <c r="C138" s="23" t="inlineStr">
        <is>
          <t>Suporte Áreas</t>
        </is>
      </c>
      <c r="D138" s="48" t="inlineStr">
        <is>
          <t>Relarório de Funcionários 2025 para Marcondes</t>
        </is>
      </c>
      <c r="E138" s="111" t="n">
        <v>0.4375</v>
      </c>
      <c r="F138" s="111" t="n">
        <v>0.4583333333333333</v>
      </c>
      <c r="G138" s="111" t="n">
        <v>0.02083333333333333</v>
      </c>
    </row>
    <row r="139" ht="15" customHeight="1">
      <c r="A139" s="47" t="n">
        <v>46007</v>
      </c>
      <c r="B139" s="23" t="inlineStr">
        <is>
          <t xml:space="preserve">G3S </t>
        </is>
      </c>
      <c r="C139" s="23" t="inlineStr">
        <is>
          <t>BCBI Seletiva</t>
        </is>
      </c>
      <c r="D139" s="48" t="inlineStr">
        <is>
          <t>Operação assistida do sistema de BI da seletiva, acompanhamento e checagem de erros no sistema</t>
        </is>
      </c>
      <c r="E139" s="111" t="n">
        <v>0.4583333333333333</v>
      </c>
      <c r="F139" s="111" t="n">
        <v>0.5173611111111112</v>
      </c>
      <c r="G139" s="111" t="n">
        <v>0.05902777777777778</v>
      </c>
    </row>
    <row r="140" ht="15" customHeight="1">
      <c r="A140" s="63" t="n">
        <v>46007</v>
      </c>
      <c r="B140" s="72" t="inlineStr">
        <is>
          <t xml:space="preserve">G3S </t>
        </is>
      </c>
      <c r="C140" s="72" t="inlineStr">
        <is>
          <t>BCBI Seletiva</t>
        </is>
      </c>
      <c r="D140" s="60" t="inlineStr">
        <is>
          <t>Operação assistida do sistema de BI da seletiva, acompanhamento e checagem de erros no sistema</t>
        </is>
      </c>
      <c r="E140" s="112" t="n">
        <v>0.5555555555555556</v>
      </c>
      <c r="F140" s="112" t="n">
        <v>0.5694444444444444</v>
      </c>
      <c r="G140" s="112" t="n">
        <v>0.01388888888888889</v>
      </c>
    </row>
    <row r="141" ht="15" customHeight="1" thickBot="1">
      <c r="A141" s="66" t="n">
        <v>46007</v>
      </c>
      <c r="B141" s="73" t="inlineStr">
        <is>
          <t>G3S 10</t>
        </is>
      </c>
      <c r="C141" s="73" t="inlineStr">
        <is>
          <t>Suporte Áreas</t>
        </is>
      </c>
      <c r="D141" s="69" t="inlineStr">
        <is>
          <t>Geração de rateio temporário para despesa do benefício do SEM PARAR e instrução de lançamento</t>
        </is>
      </c>
      <c r="E141" s="115" t="n">
        <v>0.5694444444444444</v>
      </c>
      <c r="F141" s="115" t="n">
        <v>0.625</v>
      </c>
      <c r="G141" s="115" t="n">
        <v>0.05555555555555555</v>
      </c>
    </row>
    <row r="142" ht="15" customHeight="1" thickTop="1">
      <c r="A142" s="78" t="n">
        <v>46008</v>
      </c>
      <c r="B142" s="88" t="inlineStr">
        <is>
          <t xml:space="preserve">G3S </t>
        </is>
      </c>
      <c r="C142" s="88" t="inlineStr">
        <is>
          <t>BCBI Seletiva</t>
        </is>
      </c>
      <c r="D142" s="79" t="inlineStr">
        <is>
          <t>Operação assistida do sistema de BI da seletiva, acompanhamento e checagem de erros no sistema</t>
        </is>
      </c>
      <c r="E142" s="116" t="n">
        <v>0.3333333333333333</v>
      </c>
      <c r="F142" s="116" t="n">
        <v>0.5034722222222222</v>
      </c>
      <c r="G142" s="116" t="n">
        <v>0.1701388888888889</v>
      </c>
    </row>
    <row r="143" ht="15" customHeight="1" thickBot="1">
      <c r="A143" s="66" t="n">
        <v>46008</v>
      </c>
      <c r="B143" s="73" t="inlineStr">
        <is>
          <t>G3S 10</t>
        </is>
      </c>
      <c r="C143" s="73" t="inlineStr">
        <is>
          <t>Suporte Áreas</t>
        </is>
      </c>
      <c r="D143" s="69" t="inlineStr">
        <is>
          <t>Auxílio no fechamento da FOPA</t>
        </is>
      </c>
      <c r="E143" s="115" t="n">
        <v>0.5451388888888888</v>
      </c>
      <c r="F143" s="115" t="n">
        <v>0.6944444444444444</v>
      </c>
      <c r="G143" s="115" t="n">
        <v>0.1493055555555556</v>
      </c>
    </row>
    <row r="144" ht="15" customHeight="1" thickTop="1">
      <c r="A144" s="61" t="n">
        <v>46027</v>
      </c>
      <c r="B144" s="33" t="inlineStr">
        <is>
          <t>G3S 10</t>
        </is>
      </c>
      <c r="C144" s="33" t="inlineStr">
        <is>
          <t>Plano de Trabalho</t>
        </is>
      </c>
      <c r="D144" s="51" t="inlineStr">
        <is>
          <t>Alinhamento de planejamento, perspectivas e projetos 2026</t>
        </is>
      </c>
      <c r="E144" s="114" t="n">
        <v>0.3333333333333333</v>
      </c>
      <c r="F144" s="114" t="n">
        <v>0.3958333333333333</v>
      </c>
      <c r="G144" s="114" t="n">
        <v>0.0625</v>
      </c>
    </row>
    <row r="145" ht="15" customHeight="1">
      <c r="A145" s="63" t="n">
        <v>46027</v>
      </c>
      <c r="B145" s="72" t="inlineStr">
        <is>
          <t>G3S 04</t>
        </is>
      </c>
      <c r="C145" s="72" t="inlineStr">
        <is>
          <t>BCBI Seletiva</t>
        </is>
      </c>
      <c r="D145" s="60" t="inlineStr">
        <is>
          <t xml:space="preserve">Entender processo de saída e como isso impacta no BI </t>
        </is>
      </c>
      <c r="E145" s="112" t="n">
        <v>0.3958333333333333</v>
      </c>
      <c r="F145" s="112" t="n">
        <v>0.4166666666666667</v>
      </c>
      <c r="G145" s="112" t="n">
        <v>0.02083333333333333</v>
      </c>
    </row>
    <row r="146" ht="15" customHeight="1" thickBot="1">
      <c r="A146" s="66" t="n">
        <v>46027</v>
      </c>
      <c r="B146" s="73" t="inlineStr">
        <is>
          <t>G3S 10</t>
        </is>
      </c>
      <c r="C146" s="73" t="inlineStr">
        <is>
          <t>Fechamento</t>
        </is>
      </c>
      <c r="D146" s="69" t="inlineStr">
        <is>
          <t>Tratamento dos dados de fechamento novembro pré carga</t>
        </is>
      </c>
      <c r="E146" s="115" t="n">
        <v>0.4166666666666667</v>
      </c>
      <c r="F146" s="115" t="n">
        <v>0.5972222222222222</v>
      </c>
      <c r="G146" s="115" t="n">
        <v>0.1805555555555556</v>
      </c>
    </row>
    <row r="147" ht="15" customHeight="1" thickTop="1">
      <c r="A147" s="61" t="n">
        <v>46028</v>
      </c>
      <c r="B147" s="33" t="inlineStr">
        <is>
          <t>G3S 04</t>
        </is>
      </c>
      <c r="C147" s="33" t="inlineStr">
        <is>
          <t>BCBI Seletiva</t>
        </is>
      </c>
      <c r="D147" s="51" t="inlineStr">
        <is>
          <t>Fornecimento de relatórios Caique</t>
        </is>
      </c>
      <c r="E147" s="114" t="n">
        <v>0.3333333333333333</v>
      </c>
      <c r="F147" s="114" t="n">
        <v>0.3888888888888889</v>
      </c>
      <c r="G147" s="114" t="n">
        <v>0.05555555555555555</v>
      </c>
    </row>
    <row r="148" ht="15" customHeight="1">
      <c r="A148" s="63" t="n">
        <v>46028</v>
      </c>
      <c r="B148" s="72" t="inlineStr">
        <is>
          <t>G3S 10</t>
        </is>
      </c>
      <c r="C148" s="72" t="inlineStr">
        <is>
          <t>Fechamento</t>
        </is>
      </c>
      <c r="D148" s="60" t="inlineStr">
        <is>
          <t>Tratamento dos dados de fechamento novembro pré carga</t>
        </is>
      </c>
      <c r="E148" s="112" t="n">
        <v>0.3888888888888889</v>
      </c>
      <c r="F148" s="112" t="n">
        <v>0.5069444444444444</v>
      </c>
      <c r="G148" s="112" t="n">
        <v>0.1180555555555556</v>
      </c>
    </row>
    <row r="149" ht="15" customHeight="1" thickBot="1">
      <c r="A149" s="66" t="n">
        <v>46028</v>
      </c>
      <c r="B149" s="73" t="inlineStr">
        <is>
          <t>G3S 10</t>
        </is>
      </c>
      <c r="C149" s="73" t="inlineStr">
        <is>
          <t>Fechamento</t>
        </is>
      </c>
      <c r="D149" s="69" t="inlineStr">
        <is>
          <t>Tratamento dos dados de fechamento novembro pré carga</t>
        </is>
      </c>
      <c r="E149" s="115" t="n">
        <v>0.5486111111111112</v>
      </c>
      <c r="F149" s="115" t="n">
        <v>0.625</v>
      </c>
      <c r="G149" s="115" t="n">
        <v>0.0763888888888889</v>
      </c>
    </row>
    <row r="150" ht="15" customHeight="1" thickTop="1">
      <c r="A150" s="61" t="n">
        <v>46029</v>
      </c>
      <c r="B150" s="33" t="inlineStr">
        <is>
          <t>Ekipa Container</t>
        </is>
      </c>
      <c r="C150" s="33" t="inlineStr">
        <is>
          <t>Suporte Áreas</t>
        </is>
      </c>
      <c r="D150" s="51" t="inlineStr">
        <is>
          <t>Apoio Leticia para geração manual dos contratos de locação por mala direta.</t>
        </is>
      </c>
      <c r="E150" s="114" t="n">
        <v>0.3333333333333333</v>
      </c>
      <c r="F150" s="114" t="n">
        <v>0.4166666666666667</v>
      </c>
      <c r="G150" s="114" t="n">
        <v>0.08333333333333333</v>
      </c>
    </row>
    <row r="151" ht="15" customHeight="1">
      <c r="A151" s="63" t="n">
        <v>46029</v>
      </c>
      <c r="B151" s="72" t="inlineStr">
        <is>
          <t>G3S</t>
        </is>
      </c>
      <c r="C151" s="72" t="inlineStr">
        <is>
          <t>Sagi</t>
        </is>
      </c>
      <c r="D151" s="60" t="inlineStr">
        <is>
          <t>Reunião com Leonardo para identificação e resolução do problema das devoluções das vendas</t>
        </is>
      </c>
      <c r="E151" s="112" t="n">
        <v>0.4166666666666667</v>
      </c>
      <c r="F151" s="112" t="n">
        <v>0.5138888888888888</v>
      </c>
      <c r="G151" s="112" t="n">
        <v>0.09722222222222222</v>
      </c>
    </row>
    <row r="152" ht="15" customHeight="1" thickBot="1">
      <c r="A152" s="66" t="n">
        <v>46029</v>
      </c>
      <c r="B152" s="73" t="inlineStr">
        <is>
          <t>Ekipa Container</t>
        </is>
      </c>
      <c r="C152" s="73" t="inlineStr">
        <is>
          <t>Suporte Áreas</t>
        </is>
      </c>
      <c r="D152" s="69" t="inlineStr">
        <is>
          <t>Apoio Leticia para geração manual dos contratos de locação por mala direta.</t>
        </is>
      </c>
      <c r="E152" s="115" t="n">
        <v>0.5555555555555556</v>
      </c>
      <c r="F152" s="115" t="n">
        <v>0.6458333333333334</v>
      </c>
      <c r="G152" s="115" t="n">
        <v>0.09027777777777778</v>
      </c>
    </row>
    <row r="153" ht="15" customHeight="1" thickTop="1">
      <c r="A153" s="61" t="n">
        <v>46030</v>
      </c>
      <c r="B153" s="33" t="inlineStr">
        <is>
          <t>G3S 04</t>
        </is>
      </c>
      <c r="C153" s="33" t="inlineStr">
        <is>
          <t>BCBI Seletiva</t>
        </is>
      </c>
      <c r="D153" s="51" t="inlineStr">
        <is>
          <t>Operação assistida do sistema de BI da seletiva, acompanhamento e checagem de erros no sistema</t>
        </is>
      </c>
      <c r="E153" s="114" t="n">
        <v>0.3333333333333333</v>
      </c>
      <c r="F153" s="114" t="n">
        <v>0.3541666666666667</v>
      </c>
      <c r="G153" s="114" t="n">
        <v>0.02083333333333333</v>
      </c>
    </row>
    <row r="154" ht="15" customHeight="1">
      <c r="A154" s="47" t="n">
        <v>46030</v>
      </c>
      <c r="B154" s="23" t="inlineStr">
        <is>
          <t>Rh</t>
        </is>
      </c>
      <c r="C154" s="23" t="inlineStr">
        <is>
          <t>Ginástica Laboral</t>
        </is>
      </c>
      <c r="D154" s="48" t="inlineStr">
        <is>
          <t>Ginástica Laboral</t>
        </is>
      </c>
      <c r="E154" s="111" t="n">
        <v>0.3541666666666667</v>
      </c>
      <c r="F154" s="111" t="n">
        <v>0.375</v>
      </c>
      <c r="G154" s="111" t="n">
        <v>0.02083333333333333</v>
      </c>
    </row>
    <row r="155" ht="15" customHeight="1">
      <c r="A155" s="47" t="n">
        <v>46030</v>
      </c>
      <c r="B155" s="23" t="inlineStr">
        <is>
          <t>G3S 04</t>
        </is>
      </c>
      <c r="C155" s="23" t="inlineStr">
        <is>
          <t>BCBI Seletiva</t>
        </is>
      </c>
      <c r="D155" s="48" t="inlineStr">
        <is>
          <t>Operação assistida do sistema de BI da seletiva, acompanhamento e checagem de erros no sistema</t>
        </is>
      </c>
      <c r="E155" s="111" t="n">
        <v>0.375</v>
      </c>
      <c r="F155" s="111" t="n">
        <v>0.4375</v>
      </c>
      <c r="G155" s="111" t="n">
        <v>0.0625</v>
      </c>
    </row>
    <row r="156" ht="15" customHeight="1">
      <c r="A156" s="47" t="n">
        <v>46030</v>
      </c>
      <c r="B156" s="23" t="inlineStr">
        <is>
          <t>G3S 04</t>
        </is>
      </c>
      <c r="C156" s="23" t="inlineStr">
        <is>
          <t>BCBI Seletiva</t>
        </is>
      </c>
      <c r="D156" s="48" t="inlineStr">
        <is>
          <t>Reunião com Leonardo e Caique para identificação e resolução do problema das devoluções das vendas</t>
        </is>
      </c>
      <c r="E156" s="111" t="n">
        <v>0.4375</v>
      </c>
      <c r="F156" s="111" t="n">
        <v>0.4583333333333333</v>
      </c>
      <c r="G156" s="111" t="n">
        <v>0.02083333333333333</v>
      </c>
    </row>
    <row r="157" ht="15" customHeight="1">
      <c r="A157" s="63" t="n">
        <v>46030</v>
      </c>
      <c r="B157" s="72" t="inlineStr">
        <is>
          <t>G3S 04</t>
        </is>
      </c>
      <c r="C157" s="72" t="inlineStr">
        <is>
          <t>BCBI Seletiva</t>
        </is>
      </c>
      <c r="D157" s="60" t="inlineStr">
        <is>
          <t>Operação assistida do sistema de BI da seletiva, acompanhamento e checagem de erros no sistema</t>
        </is>
      </c>
      <c r="E157" s="112" t="n">
        <v>0.4583333333333333</v>
      </c>
      <c r="F157" s="112" t="n">
        <v>0.5138888888888888</v>
      </c>
      <c r="G157" s="112" t="n">
        <v>0.05555555555555555</v>
      </c>
    </row>
    <row r="158" ht="15" customHeight="1" thickBot="1">
      <c r="A158" s="66" t="n">
        <v>46030</v>
      </c>
      <c r="B158" s="73" t="inlineStr">
        <is>
          <t>G3S 04</t>
        </is>
      </c>
      <c r="C158" s="73" t="inlineStr">
        <is>
          <t>Suporte Áreas</t>
        </is>
      </c>
      <c r="D158" s="69" t="inlineStr">
        <is>
          <t>Suporte desenvolvimento de condicional para planilha de logistica reversa - GISELE</t>
        </is>
      </c>
      <c r="E158" s="115" t="n">
        <v>0.5555555555555556</v>
      </c>
      <c r="F158" s="115" t="n">
        <v>0.625</v>
      </c>
      <c r="G158" s="115" t="n">
        <v>0.06944444444444445</v>
      </c>
    </row>
    <row r="159" ht="15" customHeight="1" thickTop="1">
      <c r="A159" s="61" t="n">
        <v>46031</v>
      </c>
      <c r="B159" s="33" t="inlineStr">
        <is>
          <t>G3S 04</t>
        </is>
      </c>
      <c r="C159" s="33" t="inlineStr">
        <is>
          <t>Suporte Áreas</t>
        </is>
      </c>
      <c r="D159" s="51" t="inlineStr">
        <is>
          <t>Suporte desenvolvimento de condicional para planilha de logistica reversa - GISELE</t>
        </is>
      </c>
      <c r="E159" s="114" t="n">
        <v>0.3333333333333333</v>
      </c>
      <c r="F159" s="114" t="n">
        <v>0.375</v>
      </c>
      <c r="G159" s="114" t="n">
        <v>0.04166666666666666</v>
      </c>
    </row>
    <row r="160" ht="15" customHeight="1">
      <c r="A160" s="47" t="n">
        <v>46031</v>
      </c>
      <c r="B160" s="23" t="inlineStr">
        <is>
          <t>G3S 10</t>
        </is>
      </c>
      <c r="C160" s="23" t="inlineStr">
        <is>
          <t>Folha</t>
        </is>
      </c>
      <c r="D160" s="48" t="inlineStr">
        <is>
          <t xml:space="preserve">Desenv. folha novembro </t>
        </is>
      </c>
      <c r="E160" s="111" t="n">
        <v>0.375</v>
      </c>
      <c r="F160" s="111" t="n">
        <v>0.3958333333333333</v>
      </c>
      <c r="G160" s="111" t="n">
        <v>0.02083333333333333</v>
      </c>
    </row>
    <row r="161" ht="15" customHeight="1">
      <c r="A161" s="63" t="n">
        <v>46031</v>
      </c>
      <c r="B161" s="72" t="inlineStr">
        <is>
          <t>G3S 04</t>
        </is>
      </c>
      <c r="C161" s="72" t="inlineStr">
        <is>
          <t>Suporte Áreas</t>
        </is>
      </c>
      <c r="D161" s="60" t="inlineStr">
        <is>
          <t>Desenvolvimento do relatório HE marcondes 2024-2025</t>
        </is>
      </c>
      <c r="E161" s="112" t="n">
        <v>0.3958333333333333</v>
      </c>
      <c r="F161" s="112" t="n">
        <v>0.5138888888888888</v>
      </c>
      <c r="G161" s="112" t="n">
        <v>0.1180555555555556</v>
      </c>
    </row>
    <row r="162" ht="15" customHeight="1" thickBot="1">
      <c r="A162" s="66" t="n">
        <v>46031</v>
      </c>
      <c r="B162" s="73" t="inlineStr">
        <is>
          <t>G3S 04</t>
        </is>
      </c>
      <c r="C162" s="73" t="inlineStr">
        <is>
          <t>BCBI Seletiva</t>
        </is>
      </c>
      <c r="D162" s="69" t="inlineStr">
        <is>
          <t>Operação assistida do sistema de BI da seletiva, acompanhamento e checagem de erros no sistema</t>
        </is>
      </c>
      <c r="E162" s="115" t="n">
        <v>0.5555555555555556</v>
      </c>
      <c r="F162" s="115" t="n">
        <v>0.625</v>
      </c>
      <c r="G162" s="115" t="n">
        <v>0.06944444444444445</v>
      </c>
    </row>
    <row r="163" ht="15" customHeight="1" thickTop="1">
      <c r="A163" s="61" t="n">
        <v>46034</v>
      </c>
      <c r="B163" s="33" t="inlineStr">
        <is>
          <t>G3S 04</t>
        </is>
      </c>
      <c r="C163" s="33" t="inlineStr">
        <is>
          <t>BCBI Seletiva</t>
        </is>
      </c>
      <c r="D163" s="51" t="inlineStr">
        <is>
          <t>Operação assistida do sistema de BI da seletiva, acompanhamento e checagem de erros no sistema</t>
        </is>
      </c>
      <c r="E163" s="114" t="n">
        <v>0.3333333333333333</v>
      </c>
      <c r="F163" s="114" t="n">
        <v>0.3958333333333333</v>
      </c>
      <c r="G163" s="114" t="n">
        <v>0.0625</v>
      </c>
    </row>
    <row r="164" ht="15" customHeight="1">
      <c r="A164" s="63" t="n">
        <v>46034</v>
      </c>
      <c r="B164" s="72" t="inlineStr">
        <is>
          <t>G3S 10</t>
        </is>
      </c>
      <c r="C164" s="72" t="inlineStr">
        <is>
          <t>Parâmetros</t>
        </is>
      </c>
      <c r="D164" s="60" t="inlineStr">
        <is>
          <t>Alterações/criação de CC conforme e-mail controladoria</t>
        </is>
      </c>
      <c r="E164" s="112" t="n">
        <v>0.3958333333333333</v>
      </c>
      <c r="F164" s="112" t="n">
        <v>0.5104166666666666</v>
      </c>
      <c r="G164" s="112" t="n">
        <v>0.1145833333333333</v>
      </c>
    </row>
    <row r="165" ht="15" customHeight="1" thickBot="1">
      <c r="A165" s="66" t="n">
        <v>46034</v>
      </c>
      <c r="B165" s="73" t="inlineStr">
        <is>
          <t>G3S 04</t>
        </is>
      </c>
      <c r="C165" s="73" t="inlineStr">
        <is>
          <t>BCBI Seletiva</t>
        </is>
      </c>
      <c r="D165" s="69" t="inlineStr">
        <is>
          <t>Operação assistida do sistema de BI da seletiva, acompanhamento e checagem de erros no sistema</t>
        </is>
      </c>
      <c r="E165" s="115" t="n">
        <v>0.5520833333333334</v>
      </c>
      <c r="F165" s="115" t="n">
        <v>0.625</v>
      </c>
      <c r="G165" s="115" t="n">
        <v>0.07291666666666667</v>
      </c>
    </row>
    <row r="166" ht="15" customHeight="1" thickTop="1">
      <c r="A166" s="61" t="n">
        <v>46035</v>
      </c>
      <c r="B166" s="33" t="inlineStr">
        <is>
          <t>G3S 04</t>
        </is>
      </c>
      <c r="C166" s="33" t="inlineStr">
        <is>
          <t>Suporte Áreas</t>
        </is>
      </c>
      <c r="D166" s="51" t="inlineStr">
        <is>
          <t>Ajustes relatório HE marcondes.</t>
        </is>
      </c>
      <c r="E166" s="114" t="n">
        <v>0.3333333333333333</v>
      </c>
      <c r="F166" s="114" t="n">
        <v>0.4375</v>
      </c>
      <c r="G166" s="114" t="n">
        <v>0.1041666666666667</v>
      </c>
    </row>
    <row r="167" ht="15" customHeight="1">
      <c r="A167" s="63" t="n">
        <v>46035</v>
      </c>
      <c r="B167" s="72" t="inlineStr">
        <is>
          <t>Ekipa</t>
        </is>
      </c>
      <c r="C167" s="72" t="inlineStr">
        <is>
          <t>Suporte Áreas</t>
        </is>
      </c>
      <c r="D167" s="60" t="inlineStr">
        <is>
          <t>Apoio Leticia para geração manual dos contratos de locação</t>
        </is>
      </c>
      <c r="E167" s="112" t="n">
        <v>0.4375</v>
      </c>
      <c r="F167" s="112" t="n">
        <v>0.4791666666666667</v>
      </c>
      <c r="G167" s="112" t="n">
        <v>0.04166666666666666</v>
      </c>
    </row>
    <row r="168" ht="15" customHeight="1" thickBot="1">
      <c r="A168" s="66" t="n">
        <v>46035</v>
      </c>
      <c r="B168" s="73" t="inlineStr">
        <is>
          <t>G3S 10</t>
        </is>
      </c>
      <c r="C168" s="73" t="inlineStr">
        <is>
          <t>Fechamento</t>
        </is>
      </c>
      <c r="D168" s="69" t="inlineStr">
        <is>
          <t>Tratamento dos dados de fechamento dezembro pré carga</t>
        </is>
      </c>
      <c r="E168" s="115" t="n">
        <v>0.5486111111111112</v>
      </c>
      <c r="F168" s="115" t="n">
        <v>0.625</v>
      </c>
      <c r="G168" s="115" t="n">
        <v>0.0763888888888889</v>
      </c>
    </row>
    <row r="169" ht="15" customHeight="1" thickTop="1">
      <c r="A169" s="61" t="n">
        <v>46036</v>
      </c>
      <c r="B169" s="33" t="inlineStr">
        <is>
          <t>G3S 04</t>
        </is>
      </c>
      <c r="C169" s="33" t="inlineStr">
        <is>
          <t>Suporte Áreas</t>
        </is>
      </c>
      <c r="D169" s="51" t="inlineStr">
        <is>
          <t>Confronto relatório marcondes HE X Faturamento</t>
        </is>
      </c>
      <c r="E169" s="114" t="n">
        <v>0.3333333333333333</v>
      </c>
      <c r="F169" s="114" t="n">
        <v>0.375</v>
      </c>
      <c r="G169" s="114" t="n">
        <v>0.04166666666666666</v>
      </c>
    </row>
    <row r="170" ht="15" customHeight="1">
      <c r="A170" s="47" t="n">
        <v>46036</v>
      </c>
      <c r="B170" s="23" t="inlineStr">
        <is>
          <t>G3S 04</t>
        </is>
      </c>
      <c r="C170" s="23" t="inlineStr">
        <is>
          <t>BCBI Seletiva</t>
        </is>
      </c>
      <c r="D170" s="48" t="inlineStr">
        <is>
          <t>Reunião com Leonardo(SAGI) e Matheus(Consulti) para alinhamentos BCBI</t>
        </is>
      </c>
      <c r="E170" s="111" t="n">
        <v>0.375</v>
      </c>
      <c r="F170" s="111" t="n">
        <v>0.4166666666666667</v>
      </c>
      <c r="G170" s="111" t="n">
        <v>0.04166666666666666</v>
      </c>
    </row>
    <row r="171" ht="15" customHeight="1">
      <c r="A171" s="47" t="n">
        <v>46036</v>
      </c>
      <c r="B171" s="23" t="inlineStr">
        <is>
          <t>G3S 04</t>
        </is>
      </c>
      <c r="C171" s="23" t="inlineStr">
        <is>
          <t>Suporte Áreas</t>
        </is>
      </c>
      <c r="D171" s="48" t="inlineStr">
        <is>
          <t>Confronto relatório marcondes HE X Faturamento</t>
        </is>
      </c>
      <c r="E171" s="111" t="n">
        <v>0.4166666666666667</v>
      </c>
      <c r="F171" s="111" t="n">
        <v>0.4895833333333333</v>
      </c>
      <c r="G171" s="111" t="n">
        <v>0.07291666666666667</v>
      </c>
    </row>
    <row r="172" ht="15" customHeight="1">
      <c r="A172" s="63" t="n">
        <v>46036</v>
      </c>
      <c r="B172" s="72" t="inlineStr">
        <is>
          <t>G3S 10</t>
        </is>
      </c>
      <c r="C172" s="72" t="inlineStr">
        <is>
          <t>Fechamento</t>
        </is>
      </c>
      <c r="D172" s="60" t="inlineStr">
        <is>
          <t>Tratamento dos dados de fechamento dezembro pré carga</t>
        </is>
      </c>
      <c r="E172" s="112" t="n">
        <v>0.4895833333333333</v>
      </c>
      <c r="F172" s="112" t="n">
        <v>0.5208333333333334</v>
      </c>
      <c r="G172" s="112" t="n">
        <v>0.03125</v>
      </c>
    </row>
    <row r="173" ht="15" customHeight="1" thickBot="1">
      <c r="A173" s="66" t="n">
        <v>46036</v>
      </c>
      <c r="B173" s="73" t="inlineStr">
        <is>
          <t>G3S 10</t>
        </is>
      </c>
      <c r="C173" s="73" t="inlineStr">
        <is>
          <t>Fechamento</t>
        </is>
      </c>
      <c r="D173" s="69" t="inlineStr">
        <is>
          <t>Tratamento dos dados de fechamento dezembro pré carga</t>
        </is>
      </c>
      <c r="E173" s="115" t="n">
        <v>0.5625</v>
      </c>
      <c r="F173" s="115" t="n">
        <v>0.625</v>
      </c>
      <c r="G173" s="115" t="n">
        <v>0.0625</v>
      </c>
    </row>
    <row r="174" ht="15" customHeight="1" thickTop="1">
      <c r="A174" s="61" t="n">
        <v>46037</v>
      </c>
      <c r="B174" s="33" t="inlineStr">
        <is>
          <t>G3S 04</t>
        </is>
      </c>
      <c r="C174" s="33" t="inlineStr">
        <is>
          <t>BCBI Seletiva</t>
        </is>
      </c>
      <c r="D174" s="51" t="inlineStr">
        <is>
          <t>Operação assistida do sistema de BI da seletiva, acompanhamento e checagem de erros no sistema</t>
        </is>
      </c>
      <c r="E174" s="114" t="n">
        <v>0.3333333333333333</v>
      </c>
      <c r="F174" s="114" t="n">
        <v>0.3541666666666667</v>
      </c>
      <c r="G174" s="114" t="n">
        <v>0.02083333333333333</v>
      </c>
    </row>
    <row r="175" ht="15" customHeight="1">
      <c r="A175" s="47" t="n">
        <v>46037</v>
      </c>
      <c r="B175" s="23" t="inlineStr">
        <is>
          <t>RH</t>
        </is>
      </c>
      <c r="C175" s="23" t="inlineStr">
        <is>
          <t>Ginástica Laboral</t>
        </is>
      </c>
      <c r="D175" s="48" t="inlineStr">
        <is>
          <t>Ginástica Laboral</t>
        </is>
      </c>
      <c r="E175" s="111" t="n">
        <v>0.3541666666666667</v>
      </c>
      <c r="F175" s="111" t="n">
        <v>0.375</v>
      </c>
      <c r="G175" s="111" t="n">
        <v>0.02083333333333333</v>
      </c>
    </row>
    <row r="176" ht="15" customHeight="1">
      <c r="A176" s="47" t="n">
        <v>46037</v>
      </c>
      <c r="B176" s="23" t="inlineStr">
        <is>
          <t>G3S 04</t>
        </is>
      </c>
      <c r="C176" s="23" t="inlineStr">
        <is>
          <t>BCBI Seletiva</t>
        </is>
      </c>
      <c r="D176" s="48" t="inlineStr">
        <is>
          <t xml:space="preserve">Validação das receitas </t>
        </is>
      </c>
      <c r="E176" s="111" t="n">
        <v>0.375</v>
      </c>
      <c r="F176" s="111" t="n">
        <v>0.4722222222222222</v>
      </c>
      <c r="G176" s="111" t="n">
        <v>0.09722222222222222</v>
      </c>
    </row>
    <row r="177" ht="15" customHeight="1">
      <c r="A177" s="63" t="n">
        <v>46037</v>
      </c>
      <c r="B177" s="72" t="inlineStr">
        <is>
          <t>G3S 10</t>
        </is>
      </c>
      <c r="C177" s="72" t="inlineStr">
        <is>
          <t>BCBI/Fechamento</t>
        </is>
      </c>
      <c r="D177" s="60" t="inlineStr">
        <is>
          <t xml:space="preserve">Reemissão dos relatórios de vendas para checagem de valores utilizando o tipo TODOS indicado pelo leonardo  </t>
        </is>
      </c>
      <c r="E177" s="112" t="n">
        <v>0.4722222222222222</v>
      </c>
      <c r="F177" s="112" t="n">
        <v>0.5243055555555556</v>
      </c>
      <c r="G177" s="112" t="n">
        <v>0.05208333333333334</v>
      </c>
    </row>
    <row r="178" ht="15" customHeight="1" thickBot="1">
      <c r="A178" s="66" t="n">
        <v>46037</v>
      </c>
      <c r="B178" s="73" t="inlineStr">
        <is>
          <t>G3S 10</t>
        </is>
      </c>
      <c r="C178" s="73" t="inlineStr">
        <is>
          <t>BCBI/Fechamento</t>
        </is>
      </c>
      <c r="D178" s="69" t="inlineStr">
        <is>
          <t xml:space="preserve">Reemissão dos relatórios de vendas para checagem de valores utilizando o tipo TODOS indicado pelo leonardo  </t>
        </is>
      </c>
      <c r="E178" s="115" t="n">
        <v>0.5659722222222222</v>
      </c>
      <c r="F178" s="115" t="n">
        <v>0.625</v>
      </c>
      <c r="G178" s="115" t="n">
        <v>0.05902777777777778</v>
      </c>
    </row>
    <row r="179" ht="15" customHeight="1" thickTop="1">
      <c r="A179" s="61" t="n">
        <v>46038</v>
      </c>
      <c r="B179" s="33" t="inlineStr">
        <is>
          <t>G3S 10</t>
        </is>
      </c>
      <c r="C179" s="33" t="inlineStr">
        <is>
          <t>BCBI/Fechamento</t>
        </is>
      </c>
      <c r="D179" s="51" t="inlineStr">
        <is>
          <t xml:space="preserve">Reemissão dos relatórios de vendas para checagem de valores utilizando o tipo TODOS indicado pelo leonardo  </t>
        </is>
      </c>
      <c r="E179" s="114" t="n">
        <v>0.3333333333333333</v>
      </c>
      <c r="F179" s="114" t="n">
        <v>0.4583333333333333</v>
      </c>
      <c r="G179" s="114" t="n">
        <v>0.125</v>
      </c>
    </row>
    <row r="180" ht="15" customHeight="1">
      <c r="A180" s="63" t="n">
        <v>46038</v>
      </c>
      <c r="B180" s="72" t="inlineStr">
        <is>
          <t>G3S 04</t>
        </is>
      </c>
      <c r="C180" s="72" t="inlineStr">
        <is>
          <t>Suporte Áreas</t>
        </is>
      </c>
      <c r="D180" s="60" t="inlineStr">
        <is>
          <t>Ajuste relatório HE marcondes</t>
        </is>
      </c>
      <c r="E180" s="112" t="n">
        <v>0.4583333333333333</v>
      </c>
      <c r="F180" s="112" t="n">
        <v>0.5034722222222222</v>
      </c>
      <c r="G180" s="112" t="n">
        <v>0.04513888888888889</v>
      </c>
    </row>
    <row r="181" ht="15" customHeight="1" thickBot="1">
      <c r="A181" s="66" t="n">
        <v>46038</v>
      </c>
      <c r="B181" s="73" t="inlineStr">
        <is>
          <t>Consulti</t>
        </is>
      </c>
      <c r="C181" s="73" t="inlineStr">
        <is>
          <t>Ticket de suporte</t>
        </is>
      </c>
      <c r="D181" s="69" t="inlineStr">
        <is>
          <t>Configuração de máquina para acesso à impressora da recepção do distrito</t>
        </is>
      </c>
      <c r="E181" s="115" t="n">
        <v>0.5451388888888888</v>
      </c>
      <c r="F181" s="115" t="n">
        <v>0.625</v>
      </c>
      <c r="G181" s="115" t="n">
        <v>0.0798611111111111</v>
      </c>
    </row>
    <row r="182" ht="15" customHeight="1" thickTop="1">
      <c r="A182" s="61" t="n">
        <v>46041</v>
      </c>
      <c r="B182" s="33" t="inlineStr">
        <is>
          <t>G3S 10</t>
        </is>
      </c>
      <c r="C182" s="33" t="inlineStr">
        <is>
          <t>Suporte Áreas</t>
        </is>
      </c>
      <c r="D182" s="51" t="inlineStr">
        <is>
          <t>Impressão e entrega de relatórios FOPA novembro e dezembro para Giovane</t>
        </is>
      </c>
      <c r="E182" s="114" t="n">
        <v>0.3333333333333333</v>
      </c>
      <c r="F182" s="114" t="n">
        <v>0.3958333333333333</v>
      </c>
      <c r="G182" s="114" t="n">
        <v>0.0625</v>
      </c>
    </row>
    <row r="183" ht="15" customHeight="1">
      <c r="A183" s="63" t="n">
        <v>46041</v>
      </c>
      <c r="B183" s="72" t="inlineStr">
        <is>
          <t>G3S 10</t>
        </is>
      </c>
      <c r="C183" s="72" t="inlineStr">
        <is>
          <t>Fechamento</t>
        </is>
      </c>
      <c r="D183" s="60" t="inlineStr">
        <is>
          <t>ETL dados de Fechamento Dezembro</t>
        </is>
      </c>
      <c r="E183" s="112" t="n">
        <v>0.3958333333333333</v>
      </c>
      <c r="F183" s="112" t="n">
        <v>0.5076388888888889</v>
      </c>
      <c r="G183" s="112" t="n">
        <v>0.1118055555555556</v>
      </c>
    </row>
    <row r="184" ht="15" customHeight="1" thickBot="1">
      <c r="A184" s="66" t="n">
        <v>46041</v>
      </c>
      <c r="B184" s="73" t="inlineStr">
        <is>
          <t>G3S 10</t>
        </is>
      </c>
      <c r="C184" s="73" t="inlineStr">
        <is>
          <t>Fechamento</t>
        </is>
      </c>
      <c r="D184" s="69" t="inlineStr">
        <is>
          <t>ETL dados de Fechamento Dezembro</t>
        </is>
      </c>
      <c r="E184" s="115" t="n">
        <v>0.5493055555555556</v>
      </c>
      <c r="F184" s="115" t="n">
        <v>0.625</v>
      </c>
      <c r="G184" s="115" t="n">
        <v>0.07569444444444444</v>
      </c>
    </row>
    <row r="185" ht="15" customHeight="1" thickTop="1">
      <c r="A185" s="78" t="n">
        <v>46043</v>
      </c>
      <c r="B185" s="88" t="inlineStr">
        <is>
          <t>G3S 10</t>
        </is>
      </c>
      <c r="C185" s="88" t="inlineStr">
        <is>
          <t>Fechamento</t>
        </is>
      </c>
      <c r="D185" s="79" t="inlineStr">
        <is>
          <t>ETL dados de Fechamento Dezembro</t>
        </is>
      </c>
      <c r="E185" s="116" t="n">
        <v>0.3333333333333333</v>
      </c>
      <c r="F185" s="116" t="n">
        <v>0.5034722222222222</v>
      </c>
      <c r="G185" s="116" t="n">
        <v>0.1701388888888889</v>
      </c>
    </row>
    <row r="186" ht="15" customHeight="1" thickBot="1">
      <c r="A186" s="66" t="n">
        <v>46043</v>
      </c>
      <c r="B186" s="73" t="inlineStr">
        <is>
          <t>G3S 10</t>
        </is>
      </c>
      <c r="C186" s="73" t="inlineStr">
        <is>
          <t>Fechamento</t>
        </is>
      </c>
      <c r="D186" s="69" t="inlineStr">
        <is>
          <t>ETL dados de Fechamento Dezembro</t>
        </is>
      </c>
      <c r="E186" s="115" t="n">
        <v>0.5451388888888888</v>
      </c>
      <c r="F186" s="115" t="n">
        <v>0.625</v>
      </c>
      <c r="G186" s="115" t="n">
        <v>0.0798611111111111</v>
      </c>
    </row>
    <row r="187" ht="15" customHeight="1" thickTop="1">
      <c r="A187" s="61" t="n">
        <v>46044</v>
      </c>
      <c r="B187" s="33" t="inlineStr">
        <is>
          <t>G3S 10</t>
        </is>
      </c>
      <c r="C187" s="33" t="inlineStr">
        <is>
          <t>Fechamento</t>
        </is>
      </c>
      <c r="D187" s="51" t="inlineStr">
        <is>
          <t>ETL dados de Fechamento Dezembro</t>
        </is>
      </c>
      <c r="E187" s="114" t="n">
        <v>0.3333333333333333</v>
      </c>
      <c r="F187" s="114" t="n">
        <v>0.3611111111111111</v>
      </c>
      <c r="G187" s="114" t="n">
        <v>0.02777777777777778</v>
      </c>
    </row>
    <row r="188" ht="15" customHeight="1">
      <c r="A188" s="47" t="n">
        <v>46044</v>
      </c>
      <c r="B188" s="23" t="inlineStr">
        <is>
          <t>Rh</t>
        </is>
      </c>
      <c r="C188" s="23" t="inlineStr">
        <is>
          <t>Ginástica Laboral</t>
        </is>
      </c>
      <c r="D188" s="48" t="inlineStr">
        <is>
          <t>Ginástica Laboral</t>
        </is>
      </c>
      <c r="E188" s="111" t="n">
        <v>0.3611111111111111</v>
      </c>
      <c r="F188" s="111" t="n">
        <v>0.375</v>
      </c>
      <c r="G188" s="111" t="n">
        <v>0.01388888888888889</v>
      </c>
    </row>
    <row r="189" ht="15" customHeight="1">
      <c r="A189" s="47" t="n">
        <v>46044</v>
      </c>
      <c r="B189" s="23" t="inlineStr">
        <is>
          <t>G3S 10</t>
        </is>
      </c>
      <c r="C189" s="23" t="inlineStr">
        <is>
          <t>BCBI Seletiva</t>
        </is>
      </c>
      <c r="D189" s="48" t="inlineStr">
        <is>
          <t>Reunião com Luciano, Leonardo(Sagi) e Gisele para identificação e solução de problema com os relatórios de compra/venda de sucata. Os relatórios estavam contabilizando os valores de transferência entre empresas.</t>
        </is>
      </c>
      <c r="E189" s="111" t="n">
        <v>0.375</v>
      </c>
      <c r="F189" s="111" t="n">
        <v>0.4166666666666667</v>
      </c>
      <c r="G189" s="111" t="n">
        <v>0.04166666666666666</v>
      </c>
    </row>
    <row r="190" ht="15" customHeight="1">
      <c r="A190" s="47" t="n">
        <v>46044</v>
      </c>
      <c r="B190" s="23" t="inlineStr">
        <is>
          <t>G3S 10</t>
        </is>
      </c>
      <c r="C190" s="23" t="inlineStr">
        <is>
          <t>Fechamento</t>
        </is>
      </c>
      <c r="D190" s="48" t="inlineStr">
        <is>
          <t>ETL dados de Fechamento Dezembro</t>
        </is>
      </c>
      <c r="E190" s="111" t="n">
        <v>0.4166666666666667</v>
      </c>
      <c r="F190" s="111" t="n">
        <v>0.4375</v>
      </c>
      <c r="G190" s="111" t="n">
        <v>0.02083333333333333</v>
      </c>
    </row>
    <row r="191" ht="15" customHeight="1">
      <c r="A191" s="47" t="n">
        <v>46044</v>
      </c>
      <c r="B191" s="23" t="inlineStr">
        <is>
          <t>G3S 04</t>
        </is>
      </c>
      <c r="C191" s="23" t="inlineStr">
        <is>
          <t>BCBI Seletiva</t>
        </is>
      </c>
      <c r="D191" s="48" t="inlineStr">
        <is>
          <t>Reunião com Luciano, Renato(SAGI) e Matheus(Consulti) para fazer ajustes das consultas utilizadas no BCBI</t>
        </is>
      </c>
      <c r="E191" s="111" t="n">
        <v>0.4375</v>
      </c>
      <c r="F191" s="111" t="n">
        <v>0.5</v>
      </c>
      <c r="G191" s="111" t="n">
        <v>0.0625</v>
      </c>
    </row>
    <row r="192" ht="15" customHeight="1">
      <c r="A192" s="63" t="n">
        <v>46044</v>
      </c>
      <c r="B192" s="72" t="inlineStr">
        <is>
          <t>G3S 10</t>
        </is>
      </c>
      <c r="C192" s="72" t="inlineStr">
        <is>
          <t>Fechamento</t>
        </is>
      </c>
      <c r="D192" s="60" t="inlineStr">
        <is>
          <t>ETL dados de Fechamento Dezembro</t>
        </is>
      </c>
      <c r="E192" s="112" t="n">
        <v>0.5</v>
      </c>
      <c r="F192" s="112" t="n">
        <v>0.5138888888888888</v>
      </c>
      <c r="G192" s="112" t="n">
        <v>0.01388888888888889</v>
      </c>
    </row>
    <row r="193" ht="15" customHeight="1" thickBot="1">
      <c r="A193" s="66" t="n">
        <v>46044</v>
      </c>
      <c r="B193" s="73" t="inlineStr">
        <is>
          <t>G3S 10</t>
        </is>
      </c>
      <c r="C193" s="73" t="inlineStr">
        <is>
          <t>Fechamento</t>
        </is>
      </c>
      <c r="D193" s="69" t="inlineStr">
        <is>
          <t>ETL dados de Fechamento Dezembro</t>
        </is>
      </c>
      <c r="E193" s="115" t="n">
        <v>0.5555555555555556</v>
      </c>
      <c r="F193" s="115" t="n">
        <v>0.625</v>
      </c>
      <c r="G193" s="115" t="n">
        <v>0.06944444444444445</v>
      </c>
    </row>
    <row r="194" ht="15" customHeight="1" thickTop="1">
      <c r="A194" s="78" t="n">
        <v>46045</v>
      </c>
      <c r="B194" s="88" t="inlineStr">
        <is>
          <t>G3S 10</t>
        </is>
      </c>
      <c r="C194" s="88" t="inlineStr">
        <is>
          <t>Qualidade</t>
        </is>
      </c>
      <c r="D194" s="79" t="inlineStr">
        <is>
          <t>Alinhamento de demandas e atividades</t>
        </is>
      </c>
      <c r="E194" s="116" t="n">
        <v>0.3333333333333333</v>
      </c>
      <c r="F194" s="116" t="n">
        <v>0.375</v>
      </c>
      <c r="G194" s="116" t="n">
        <v>0.04166666666666666</v>
      </c>
    </row>
    <row r="195" ht="15" customHeight="1" thickBot="1">
      <c r="A195" s="66" t="n">
        <v>46045</v>
      </c>
      <c r="B195" s="73" t="inlineStr">
        <is>
          <t>G3S 04</t>
        </is>
      </c>
      <c r="C195" s="73" t="inlineStr">
        <is>
          <t>Suporte Áreas</t>
        </is>
      </c>
      <c r="D195" s="69" t="inlineStr">
        <is>
          <t>Relatório de Manutenções Marcondes 2025, extração, tratamento e validação dos valores.</t>
        </is>
      </c>
      <c r="E195" s="115" t="n">
        <v>0.375</v>
      </c>
      <c r="F195" s="115" t="n">
        <v>0.5</v>
      </c>
      <c r="G195" s="115" t="n">
        <v>0.125</v>
      </c>
    </row>
    <row r="196" ht="15" customHeight="1" thickTop="1">
      <c r="A196" s="61" t="n">
        <v>46048</v>
      </c>
      <c r="B196" s="33" t="inlineStr">
        <is>
          <t>G3S 04</t>
        </is>
      </c>
      <c r="C196" s="33" t="inlineStr">
        <is>
          <t>BCBI Seletiva</t>
        </is>
      </c>
      <c r="D196" s="51" t="inlineStr">
        <is>
          <t>Operação assistida do sistema de BI da seletiva, acompanhamento e checagem de erros no sistema</t>
        </is>
      </c>
      <c r="E196" s="114" t="n">
        <v>0.3333333333333333</v>
      </c>
      <c r="F196" s="114" t="n">
        <v>0.4236111111111111</v>
      </c>
      <c r="G196" s="114" t="n">
        <v>0.09027777777777778</v>
      </c>
    </row>
    <row r="197" ht="15" customHeight="1">
      <c r="A197" s="47" t="n">
        <v>46048</v>
      </c>
      <c r="B197" s="23" t="inlineStr">
        <is>
          <t>G3S 10</t>
        </is>
      </c>
      <c r="C197" s="23" t="inlineStr">
        <is>
          <t>Suporte Áreas</t>
        </is>
      </c>
      <c r="D197" s="48" t="inlineStr">
        <is>
          <t>Geração de custos do Rufino, solicitado por Cristina Sugui</t>
        </is>
      </c>
      <c r="E197" s="111" t="n">
        <v>0.4236111111111111</v>
      </c>
      <c r="F197" s="111" t="n">
        <v>0.4375</v>
      </c>
      <c r="G197" s="111" t="n">
        <v>0.01388888888888889</v>
      </c>
    </row>
    <row r="198" ht="15" customHeight="1">
      <c r="A198" s="47" t="n">
        <v>46048</v>
      </c>
      <c r="B198" s="23" t="inlineStr">
        <is>
          <t>G3S 10</t>
        </is>
      </c>
      <c r="C198" s="23" t="inlineStr">
        <is>
          <t>BCBI/Fechamento</t>
        </is>
      </c>
      <c r="D198" s="48" t="inlineStr">
        <is>
          <t>Reemissão dos relatórios de compras para checagem de valores utilizando o tipo NORMAL de acordo com o método indicado pelo Leonardo SAGI</t>
        </is>
      </c>
      <c r="E198" s="111" t="n">
        <v>0.4375</v>
      </c>
      <c r="F198" s="111" t="n">
        <v>0.4722222222222222</v>
      </c>
      <c r="G198" s="111" t="n">
        <v>0.03472222222222222</v>
      </c>
    </row>
    <row r="199" ht="15" customHeight="1">
      <c r="A199" s="63" t="n">
        <v>46048</v>
      </c>
      <c r="B199" s="72" t="inlineStr">
        <is>
          <t>G3S 10</t>
        </is>
      </c>
      <c r="C199" s="72" t="inlineStr">
        <is>
          <t>Suporte Áreas</t>
        </is>
      </c>
      <c r="D199" s="60" t="inlineStr">
        <is>
          <t>Geração de custos do Rufino, solicitado por Cristina Sugui</t>
        </is>
      </c>
      <c r="E199" s="112" t="n">
        <v>0.4722222222222222</v>
      </c>
      <c r="F199" s="112" t="n">
        <v>0.5104166666666666</v>
      </c>
      <c r="G199" s="112" t="n">
        <v>0.03819444444444445</v>
      </c>
    </row>
    <row r="200" ht="15" customHeight="1" thickBot="1">
      <c r="A200" s="66" t="n">
        <v>46048</v>
      </c>
      <c r="B200" s="73" t="inlineStr">
        <is>
          <t>G3S 10</t>
        </is>
      </c>
      <c r="C200" s="73" t="inlineStr">
        <is>
          <t>BCBI/Fechamento</t>
        </is>
      </c>
      <c r="D200" s="69" t="inlineStr">
        <is>
          <t>Reemissão dos relatórios de compras para checagem de valores utilizando o tipo NORMAL de acordo com o método indicado pelo Leonardo SAGI</t>
        </is>
      </c>
      <c r="E200" s="115" t="n">
        <v>0.5520833333333334</v>
      </c>
      <c r="F200" s="115" t="n">
        <v>0.6284722222222222</v>
      </c>
      <c r="G200" s="115" t="n">
        <v>0.0763888888888889</v>
      </c>
    </row>
    <row r="201" ht="15" customHeight="1" thickTop="1">
      <c r="A201" s="61" t="n">
        <v>46049</v>
      </c>
      <c r="B201" s="33" t="inlineStr">
        <is>
          <t>G3S 04</t>
        </is>
      </c>
      <c r="C201" s="33" t="inlineStr">
        <is>
          <t>BCBI Seletiva</t>
        </is>
      </c>
      <c r="D201" s="51" t="inlineStr">
        <is>
          <t>Operação assistida do sistema de BI da seletiva, acompanhamento e checagem de erros no sistema</t>
        </is>
      </c>
      <c r="E201" s="114" t="n">
        <v>0.3333333333333333</v>
      </c>
      <c r="F201" s="114" t="n">
        <v>0.3541666666666667</v>
      </c>
      <c r="G201" s="114" t="n">
        <v>0.02083333333333333</v>
      </c>
    </row>
    <row r="202" ht="15" customHeight="1">
      <c r="A202" s="47" t="n">
        <v>46049</v>
      </c>
      <c r="B202" s="23" t="inlineStr">
        <is>
          <t>G3S 04</t>
        </is>
      </c>
      <c r="C202" s="23" t="inlineStr">
        <is>
          <t>BCBI Seletiva</t>
        </is>
      </c>
      <c r="D202" s="48" t="inlineStr">
        <is>
          <t>Reunião com Renato(SAGI), Matheus(Consulti) e Luciano para verificação e correção de erros de consulta e tratamento do BCBI</t>
        </is>
      </c>
      <c r="E202" s="111" t="n">
        <v>0.3541666666666667</v>
      </c>
      <c r="F202" s="111" t="n">
        <v>0.375</v>
      </c>
      <c r="G202" s="111" t="n">
        <v>0.02083333333333333</v>
      </c>
    </row>
    <row r="203" ht="15" customHeight="1">
      <c r="A203" s="47" t="n">
        <v>46049</v>
      </c>
      <c r="B203" s="23" t="inlineStr">
        <is>
          <t>Rh</t>
        </is>
      </c>
      <c r="C203" s="23" t="inlineStr">
        <is>
          <t>Programa de Desenvolvimento</t>
        </is>
      </c>
      <c r="D203" s="48" t="inlineStr">
        <is>
          <t>Programa de desenvolvimento de estágio, apresentação dos setores fiscais e financeiros com Michelle, Adriana e Hugo.</t>
        </is>
      </c>
      <c r="E203" s="111" t="n">
        <v>0.375</v>
      </c>
      <c r="F203" s="111" t="n">
        <v>0.4375</v>
      </c>
      <c r="G203" s="111" t="n">
        <v>0.0625</v>
      </c>
    </row>
    <row r="204" ht="15" customHeight="1">
      <c r="A204" s="47" t="n">
        <v>46049</v>
      </c>
      <c r="B204" s="23" t="inlineStr">
        <is>
          <t>Consulti</t>
        </is>
      </c>
      <c r="C204" s="23" t="inlineStr">
        <is>
          <t>Chamado</t>
        </is>
      </c>
      <c r="D204" s="48" t="inlineStr">
        <is>
          <t>Validação de resultado de chamado aberto anteriormente sobre as máquinas que utilizam o antivírus</t>
        </is>
      </c>
      <c r="E204" s="111" t="n">
        <v>0.4375</v>
      </c>
      <c r="F204" s="111" t="n">
        <v>0.4583333333333333</v>
      </c>
      <c r="G204" s="111" t="n">
        <v>0.02083333333333333</v>
      </c>
    </row>
    <row r="205" ht="15" customHeight="1">
      <c r="A205" s="47" t="n">
        <v>46049</v>
      </c>
      <c r="B205" s="23" t="inlineStr">
        <is>
          <t>G3S 04</t>
        </is>
      </c>
      <c r="C205" s="23" t="inlineStr">
        <is>
          <t>Suporte Áreas</t>
        </is>
      </c>
      <c r="D205" s="48" t="inlineStr">
        <is>
          <t>Relatório de Manutenções Marcondes, aplicando melhorias/correções apontadas pelo mesmo para melhor visualiação e aplicação de valores no relatório de horas extras/faturamento.</t>
        </is>
      </c>
      <c r="E205" s="111" t="n">
        <v>0.4583333333333333</v>
      </c>
      <c r="F205" s="111" t="n">
        <v>0.5</v>
      </c>
      <c r="G205" s="111" t="n">
        <v>0.04166666666666666</v>
      </c>
    </row>
    <row r="206" ht="15" customHeight="1">
      <c r="A206" s="47" t="n">
        <v>46049</v>
      </c>
      <c r="B206" s="23" t="inlineStr">
        <is>
          <t>G3S 10</t>
        </is>
      </c>
      <c r="C206" s="23" t="inlineStr">
        <is>
          <t>Qualidade</t>
        </is>
      </c>
      <c r="D206" s="48" t="inlineStr">
        <is>
          <t>Alinhamento de demandas e atividades</t>
        </is>
      </c>
      <c r="E206" s="111" t="n">
        <v>0.5</v>
      </c>
      <c r="F206" s="111" t="n">
        <v>0.5138888888888888</v>
      </c>
      <c r="G206" s="111" t="n">
        <v>0.01388888888888889</v>
      </c>
    </row>
    <row r="207" ht="15" customHeight="1">
      <c r="A207" s="47" t="n">
        <v>46049</v>
      </c>
      <c r="B207" s="23" t="inlineStr">
        <is>
          <t>G3S 10</t>
        </is>
      </c>
      <c r="C207" s="23" t="inlineStr">
        <is>
          <t>Qualidade</t>
        </is>
      </c>
      <c r="D207" s="48" t="inlineStr">
        <is>
          <t>Alinhamento de demandas e atividades</t>
        </is>
      </c>
      <c r="E207" s="111" t="n">
        <v>0.5555555555555556</v>
      </c>
      <c r="F207" s="111" t="n">
        <v>0.5833333333333334</v>
      </c>
      <c r="G207" s="111" t="n">
        <v>0.02777777777777778</v>
      </c>
    </row>
    <row r="208" ht="15" customHeight="1">
      <c r="A208" s="63" t="n">
        <v>46049</v>
      </c>
      <c r="B208" s="72" t="inlineStr">
        <is>
          <t>G3S 10</t>
        </is>
      </c>
      <c r="C208" s="72" t="inlineStr">
        <is>
          <t>Projeto Controle de despesas e KM</t>
        </is>
      </c>
      <c r="D208" s="60" t="inlineStr">
        <is>
          <t>Reunião PAYFY para alinhamento de informações do sistema, juntamente com equipe do financeiro</t>
        </is>
      </c>
      <c r="E208" s="112" t="n">
        <v>0.5833333333333334</v>
      </c>
      <c r="F208" s="112" t="n">
        <v>0.625</v>
      </c>
      <c r="G208" s="112" t="n">
        <v>0.04166666666666666</v>
      </c>
    </row>
    <row r="209" ht="15" customHeight="1" thickBot="1">
      <c r="A209" s="66" t="n">
        <v>46049</v>
      </c>
      <c r="B209" s="73" t="inlineStr">
        <is>
          <t>G3S 10</t>
        </is>
      </c>
      <c r="C209" s="73" t="inlineStr">
        <is>
          <t>Suporte Áreas</t>
        </is>
      </c>
      <c r="D209" s="69" t="inlineStr">
        <is>
          <t>Geração de imagens para treinamento de uso do BCBI para consulta de custos do projeto de incendio para mariane, abortado por decisão cristina e luciano</t>
        </is>
      </c>
      <c r="E209" s="115" t="n">
        <v>0.625</v>
      </c>
      <c r="F209" s="115" t="n">
        <v>0.6666666666666666</v>
      </c>
      <c r="G209" s="115" t="n">
        <v>0.04166666666666666</v>
      </c>
    </row>
    <row r="210" ht="15" customHeight="1" thickTop="1">
      <c r="A210" s="61" t="n">
        <v>46050</v>
      </c>
      <c r="B210" s="33" t="inlineStr">
        <is>
          <t>G3S 10</t>
        </is>
      </c>
      <c r="C210" s="33" t="inlineStr">
        <is>
          <t>BCBI/Fechamento</t>
        </is>
      </c>
      <c r="D210" s="51" t="inlineStr">
        <is>
          <t>Reemissão dos relatórios de VENDAS para checagem de valores utilizando o tipo NORMAL de acordo com o método indicado pelo Leonardo SAG</t>
        </is>
      </c>
      <c r="E210" s="114" t="n">
        <v>0.3333333333333333</v>
      </c>
      <c r="F210" s="114" t="n">
        <v>0.375</v>
      </c>
      <c r="G210" s="114" t="n">
        <v>0.04166666666666666</v>
      </c>
    </row>
    <row r="211" ht="15" customHeight="1">
      <c r="A211" s="47" t="n">
        <v>46050</v>
      </c>
      <c r="B211" s="23" t="inlineStr">
        <is>
          <t>G3S 10</t>
        </is>
      </c>
      <c r="C211" s="23" t="inlineStr">
        <is>
          <t>Projeto Controle de despesas e KM</t>
        </is>
      </c>
      <c r="D211" s="48" t="inlineStr">
        <is>
          <t>Reunião com Leonardo SAGI, Luciano e equipe do PAYFY para alinhamento das integrações entre sistemas</t>
        </is>
      </c>
      <c r="E211" s="111" t="n">
        <v>0.375</v>
      </c>
      <c r="F211" s="111" t="n">
        <v>0.4166666666666667</v>
      </c>
      <c r="G211" s="111" t="n">
        <v>0.04166666666666666</v>
      </c>
    </row>
    <row r="212" ht="15" customHeight="1">
      <c r="A212" s="47" t="n">
        <v>46050</v>
      </c>
      <c r="B212" s="23" t="inlineStr">
        <is>
          <t>G3S 04</t>
        </is>
      </c>
      <c r="C212" s="23" t="inlineStr">
        <is>
          <t xml:space="preserve">BCBI Seletiva </t>
        </is>
      </c>
      <c r="D212" s="48" t="inlineStr">
        <is>
          <t>Checagem e validação das importações da folha e abertura de chamados para honorarios pj, renomeação do plano 7.3.1 e recarga do bolsa estágio</t>
        </is>
      </c>
      <c r="E212" s="111" t="n">
        <v>0.4166666666666667</v>
      </c>
      <c r="F212" s="111" t="n">
        <v>0.5208333333333334</v>
      </c>
      <c r="G212" s="111" t="n">
        <v>0.1041666666666667</v>
      </c>
    </row>
    <row r="213" ht="15" customHeight="1">
      <c r="A213" s="47" t="n">
        <v>46050</v>
      </c>
      <c r="B213" s="23" t="inlineStr">
        <is>
          <t>G3S 10</t>
        </is>
      </c>
      <c r="C213" s="23" t="inlineStr">
        <is>
          <t>Projeto Controle de despesas e KM</t>
        </is>
      </c>
      <c r="D213" s="48" t="inlineStr">
        <is>
          <t>Agenda de treinamento PAYFY</t>
        </is>
      </c>
      <c r="E213" s="111" t="n">
        <v>0.5625</v>
      </c>
      <c r="F213" s="111" t="n">
        <v>0.5833333333333334</v>
      </c>
      <c r="G213" s="111" t="n">
        <v>0.02083333333333333</v>
      </c>
    </row>
    <row r="214" ht="15" customHeight="1">
      <c r="A214" s="47" t="n">
        <v>46050</v>
      </c>
      <c r="B214" s="23" t="inlineStr">
        <is>
          <t>G3S 10</t>
        </is>
      </c>
      <c r="C214" s="23" t="inlineStr">
        <is>
          <t>Qualidade</t>
        </is>
      </c>
      <c r="D214" s="48" t="inlineStr">
        <is>
          <t>Alinhamento de demandas e atividades</t>
        </is>
      </c>
      <c r="E214" s="111" t="n">
        <v>0.5833333333333334</v>
      </c>
      <c r="F214" s="111" t="n">
        <v>0.625</v>
      </c>
      <c r="G214" s="111" t="n">
        <v>0.04166666666666666</v>
      </c>
    </row>
    <row r="215" ht="15" customHeight="1">
      <c r="A215" s="63" t="n">
        <v>46050</v>
      </c>
      <c r="B215" s="72" t="inlineStr">
        <is>
          <t>G3S 04</t>
        </is>
      </c>
      <c r="C215" s="72" t="inlineStr">
        <is>
          <t>Suporte Áreas</t>
        </is>
      </c>
      <c r="D215" s="60" t="inlineStr">
        <is>
          <t>Resolução de dúvidas de custos elevados de manutenção para MARCONDES</t>
        </is>
      </c>
      <c r="E215" s="112" t="n">
        <v>0.625</v>
      </c>
      <c r="F215" s="112" t="n">
        <v>0.6666666666666666</v>
      </c>
      <c r="G215" s="112" t="n">
        <v>0.04166666666666666</v>
      </c>
    </row>
    <row r="216" ht="15" customHeight="1" thickBot="1">
      <c r="A216" s="66" t="n">
        <v>46050</v>
      </c>
      <c r="B216" s="73" t="inlineStr">
        <is>
          <t>G3S 10</t>
        </is>
      </c>
      <c r="C216" s="73" t="inlineStr">
        <is>
          <t>Qualidade</t>
        </is>
      </c>
      <c r="D216" s="69" t="inlineStr">
        <is>
          <t>Alinhamento de demandas e atividades</t>
        </is>
      </c>
      <c r="E216" s="115" t="n">
        <v>0.6666666666666666</v>
      </c>
      <c r="F216" s="115" t="n">
        <v>0.7083333333333334</v>
      </c>
      <c r="G216" s="115" t="n">
        <v>0.04166666666666666</v>
      </c>
    </row>
    <row r="217" ht="15" customHeight="1" thickTop="1">
      <c r="A217" s="61" t="n">
        <v>46051</v>
      </c>
      <c r="B217" s="33" t="inlineStr">
        <is>
          <t>G3S 10</t>
        </is>
      </c>
      <c r="C217" s="33" t="inlineStr">
        <is>
          <t>Relatório de OS</t>
        </is>
      </c>
      <c r="D217" s="51" t="inlineStr">
        <is>
          <t>Ajustes e melhorias de controle de horas no relatório de OS para controle de banco de horas automático</t>
        </is>
      </c>
      <c r="E217" s="114" t="n">
        <v>0.3333333333333333</v>
      </c>
      <c r="F217" s="114" t="n">
        <v>0.3541666666666667</v>
      </c>
      <c r="G217" s="114" t="n">
        <v>0.02083333333333333</v>
      </c>
    </row>
    <row r="218" ht="15" customHeight="1">
      <c r="A218" s="47" t="n">
        <v>46051</v>
      </c>
      <c r="B218" s="23" t="inlineStr">
        <is>
          <t>Rh</t>
        </is>
      </c>
      <c r="C218" s="23" t="inlineStr">
        <is>
          <t>Ginástica Laboral</t>
        </is>
      </c>
      <c r="D218" s="48" t="inlineStr">
        <is>
          <t>Ginástica Laboral</t>
        </is>
      </c>
      <c r="E218" s="111" t="n">
        <v>0.3541666666666667</v>
      </c>
      <c r="F218" s="111" t="n">
        <v>0.375</v>
      </c>
      <c r="G218" s="111" t="n">
        <v>0.02083333333333333</v>
      </c>
    </row>
    <row r="219" ht="15" customHeight="1">
      <c r="A219" s="47" t="n">
        <v>46051</v>
      </c>
      <c r="B219" s="23" t="inlineStr">
        <is>
          <t>G3S 10</t>
        </is>
      </c>
      <c r="C219" s="23" t="inlineStr">
        <is>
          <t>Projeto Controle de despesas e KM</t>
        </is>
      </c>
      <c r="D219" s="48" t="inlineStr">
        <is>
          <t>Conversa com Eduarda(Financeiro) sobre aprovadores e cartões sem uso no sistema FLASH para adequação e implantação correta no PAYFY</t>
        </is>
      </c>
      <c r="E219" s="111" t="n">
        <v>0.375</v>
      </c>
      <c r="F219" s="111" t="n">
        <v>0.4166666666666667</v>
      </c>
      <c r="G219" s="111" t="n">
        <v>0.04166666666666666</v>
      </c>
    </row>
    <row r="220" ht="15" customHeight="1">
      <c r="A220" s="63" t="n">
        <v>46051</v>
      </c>
      <c r="B220" s="72" t="inlineStr">
        <is>
          <t>G3S 5</t>
        </is>
      </c>
      <c r="C220" s="72" t="inlineStr">
        <is>
          <t>Suporte Áreas</t>
        </is>
      </c>
      <c r="D220" s="60" t="inlineStr">
        <is>
          <t>Relatórios de vendedores da braçofer sobre margem/comissão X folha para MARCONDES</t>
        </is>
      </c>
      <c r="E220" s="112" t="n">
        <v>0.4166666666666667</v>
      </c>
      <c r="F220" s="112" t="n">
        <v>0.5069444444444444</v>
      </c>
      <c r="G220" s="112" t="n">
        <v>0.09027777777777778</v>
      </c>
    </row>
    <row r="221" ht="15" customHeight="1" thickBot="1">
      <c r="A221" s="66" t="n">
        <v>46051</v>
      </c>
      <c r="B221" s="73" t="inlineStr">
        <is>
          <t>G3S 5</t>
        </is>
      </c>
      <c r="C221" s="73" t="inlineStr">
        <is>
          <t>Suporte Áreas</t>
        </is>
      </c>
      <c r="D221" s="69" t="inlineStr">
        <is>
          <t>Relatórios de vendedores da braçofer sobre margem/comissão X folha para MARCONDES</t>
        </is>
      </c>
      <c r="E221" s="115" t="n">
        <v>0.5486111111111112</v>
      </c>
      <c r="F221" s="115" t="n">
        <v>0.625</v>
      </c>
      <c r="G221" s="115" t="n">
        <v>0.0763888888888889</v>
      </c>
    </row>
    <row r="222" ht="15" customHeight="1" thickTop="1">
      <c r="A222" s="61" t="n">
        <v>46052</v>
      </c>
      <c r="B222" s="33" t="inlineStr">
        <is>
          <t>G3S 10</t>
        </is>
      </c>
      <c r="C222" s="33" t="inlineStr">
        <is>
          <t>Qualidade</t>
        </is>
      </c>
      <c r="D222" s="51" t="inlineStr">
        <is>
          <t>Alinhamento de demandas e atividades</t>
        </is>
      </c>
      <c r="E222" s="114" t="n">
        <v>0.3333333333333333</v>
      </c>
      <c r="F222" s="114" t="n">
        <v>0.3541666666666667</v>
      </c>
      <c r="G222" s="114" t="n">
        <v>0.02083333333333333</v>
      </c>
    </row>
    <row r="223" ht="15" customHeight="1">
      <c r="A223" s="47" t="n">
        <v>46052</v>
      </c>
      <c r="B223" s="23" t="inlineStr">
        <is>
          <t>G3S 5</t>
        </is>
      </c>
      <c r="C223" s="23" t="inlineStr">
        <is>
          <t>Suporte Áreas</t>
        </is>
      </c>
      <c r="D223" s="48" t="inlineStr">
        <is>
          <t>Reunião para adequação da estrutura de relatório de comissãoXfolha com marcondes</t>
        </is>
      </c>
      <c r="E223" s="111" t="n">
        <v>0.3541666666666667</v>
      </c>
      <c r="F223" s="111" t="n">
        <v>0.375</v>
      </c>
      <c r="G223" s="111" t="n">
        <v>0.02083333333333333</v>
      </c>
    </row>
    <row r="224" ht="15" customHeight="1">
      <c r="A224" s="47" t="n">
        <v>46052</v>
      </c>
      <c r="B224" s="23" t="inlineStr">
        <is>
          <t>G3S 5</t>
        </is>
      </c>
      <c r="C224" s="23" t="inlineStr">
        <is>
          <t>Suporte Áreas</t>
        </is>
      </c>
      <c r="D224" s="48" t="inlineStr">
        <is>
          <t>Desenvolvimento/readequação de relatório de comissão X folha para MARCONDES de acordo com o modelo desejado por ele</t>
        </is>
      </c>
      <c r="E224" s="111" t="n">
        <v>0.375</v>
      </c>
      <c r="F224" s="111" t="n">
        <v>0.3958333333333333</v>
      </c>
      <c r="G224" s="111" t="n">
        <v>0.02083333333333333</v>
      </c>
    </row>
    <row r="225" ht="15" customHeight="1">
      <c r="A225" s="47" t="n">
        <v>46052</v>
      </c>
      <c r="B225" s="23" t="inlineStr">
        <is>
          <t>G3S 10</t>
        </is>
      </c>
      <c r="C225" s="23" t="inlineStr">
        <is>
          <t>Projeto Controle de despesas e KM</t>
        </is>
      </c>
      <c r="D225" s="48" t="inlineStr">
        <is>
          <t>Reunião de treinamento com equipe financeiro, Luciano e Gracielle(PAYFY)</t>
        </is>
      </c>
      <c r="E225" s="111" t="n">
        <v>0.3958333333333333</v>
      </c>
      <c r="F225" s="111" t="n">
        <v>0.4305555555555556</v>
      </c>
      <c r="G225" s="111" t="n">
        <v>0.03472222222222222</v>
      </c>
    </row>
    <row r="226" ht="15" customHeight="1">
      <c r="A226" s="63" t="n">
        <v>46052</v>
      </c>
      <c r="B226" s="72" t="inlineStr">
        <is>
          <t>G3S 5</t>
        </is>
      </c>
      <c r="C226" s="72" t="inlineStr">
        <is>
          <t>Suporte Áreas</t>
        </is>
      </c>
      <c r="D226" s="60" t="inlineStr">
        <is>
          <t>Readequação de relatório de comissão X folha para MARCONDES</t>
        </is>
      </c>
      <c r="E226" s="112" t="n">
        <v>0.4305555555555556</v>
      </c>
      <c r="F226" s="112" t="n">
        <v>0.5173611111111112</v>
      </c>
      <c r="G226" s="112" t="n">
        <v>0.08680555555555555</v>
      </c>
    </row>
    <row r="227" ht="15" customHeight="1" thickBot="1">
      <c r="A227" s="66" t="n">
        <v>46052</v>
      </c>
      <c r="B227" s="73" t="inlineStr">
        <is>
          <t>G3S 5</t>
        </is>
      </c>
      <c r="C227" s="73" t="inlineStr">
        <is>
          <t>Suporte Áreas</t>
        </is>
      </c>
      <c r="D227" s="69" t="inlineStr">
        <is>
          <t>Readequação de relatório de comissão X folha para MARCONDES</t>
        </is>
      </c>
      <c r="E227" s="115" t="n">
        <v>0.5590277777777778</v>
      </c>
      <c r="F227" s="115" t="n">
        <v>0.625</v>
      </c>
      <c r="G227" s="115" t="n">
        <v>0.06597222222222222</v>
      </c>
    </row>
    <row r="228" ht="15" customHeight="1" thickTop="1">
      <c r="A228" s="61" t="n">
        <v>46055</v>
      </c>
      <c r="B228" s="33" t="inlineStr">
        <is>
          <t>G3S 5</t>
        </is>
      </c>
      <c r="C228" s="33" t="inlineStr">
        <is>
          <t>Suporte Áreas</t>
        </is>
      </c>
      <c r="D228" s="51" t="inlineStr">
        <is>
          <t>Readequação de relatório de comissão X folha para MARCONDES, identificamos que as datas de relatórios(1 a 30/31) não estão condizentes com as datas de folha (25 a 26)</t>
        </is>
      </c>
      <c r="E228" s="114" t="n">
        <v>0.3333333333333333</v>
      </c>
      <c r="F228" s="114" t="n">
        <v>0.53125</v>
      </c>
      <c r="G228" s="114" t="n">
        <v>0.1979166666666667</v>
      </c>
    </row>
    <row r="229" ht="15" customHeight="1">
      <c r="A229" s="63" t="n">
        <v>46055</v>
      </c>
      <c r="B229" s="72" t="inlineStr">
        <is>
          <t>G3S 10</t>
        </is>
      </c>
      <c r="C229" s="72" t="inlineStr">
        <is>
          <t>BCBI Seletiva</t>
        </is>
      </c>
      <c r="D229" s="60" t="inlineStr">
        <is>
          <t>Correção de centros de custo e planos de contas de lançamentos financeiros, identificados através das análises do BI</t>
        </is>
      </c>
      <c r="E229" s="112" t="n">
        <v>0.5729166666666666</v>
      </c>
      <c r="F229" s="112" t="n">
        <v>0.6145833333333334</v>
      </c>
      <c r="G229" s="112" t="n">
        <v>0.04166666666666666</v>
      </c>
    </row>
    <row r="230" ht="15" customHeight="1" thickBot="1">
      <c r="A230" s="66" t="n">
        <v>46055</v>
      </c>
      <c r="B230" s="73" t="inlineStr">
        <is>
          <t>G3S 10</t>
        </is>
      </c>
      <c r="C230" s="73" t="inlineStr">
        <is>
          <t>BCBI Seletiva</t>
        </is>
      </c>
      <c r="D230" s="69" t="inlineStr">
        <is>
          <t>Checagem e validação de vendas de sucata, confronto SAGI x BCBI</t>
        </is>
      </c>
      <c r="E230" s="115" t="n">
        <v>0.6145833333333334</v>
      </c>
      <c r="F230" s="115" t="n">
        <v>0.6284722222222222</v>
      </c>
      <c r="G230" s="115" t="n">
        <v>0.01388888888888889</v>
      </c>
    </row>
    <row r="231" ht="15" customHeight="1" thickTop="1">
      <c r="A231" s="78" t="n">
        <v>46056</v>
      </c>
      <c r="B231" s="88" t="inlineStr">
        <is>
          <t>G3S 10</t>
        </is>
      </c>
      <c r="C231" s="88" t="inlineStr">
        <is>
          <t>BCBI Seletiva</t>
        </is>
      </c>
      <c r="D231" s="79" t="inlineStr">
        <is>
          <t>Checagem e validação de vendas de sucata, confronto SAGI x BCBI</t>
        </is>
      </c>
      <c r="E231" s="116" t="n">
        <v>0.3333333333333333</v>
      </c>
      <c r="F231" s="116" t="n">
        <v>0.5208333333333334</v>
      </c>
      <c r="G231" s="116" t="n">
        <v>0.1875</v>
      </c>
    </row>
    <row r="232" ht="15" customHeight="1" thickBot="1">
      <c r="A232" s="66" t="n">
        <v>46056</v>
      </c>
      <c r="B232" s="73" t="inlineStr">
        <is>
          <t>G3S 5</t>
        </is>
      </c>
      <c r="C232" s="73" t="inlineStr">
        <is>
          <t>Suporte Áreas</t>
        </is>
      </c>
      <c r="D232" s="69" t="inlineStr">
        <is>
          <t>Readequação de relatório de comissão X folha para MARCONDES</t>
        </is>
      </c>
      <c r="E232" s="115" t="n">
        <v>0.5625</v>
      </c>
      <c r="F232" s="115" t="n">
        <v>0.6319444444444444</v>
      </c>
      <c r="G232" s="115" t="n">
        <v>0.06944444444444445</v>
      </c>
    </row>
    <row r="233" ht="15" customHeight="1" thickTop="1">
      <c r="A233" s="61" t="n">
        <v>46057</v>
      </c>
      <c r="B233" s="33" t="inlineStr">
        <is>
          <t>G3S 5</t>
        </is>
      </c>
      <c r="C233" s="33" t="inlineStr">
        <is>
          <t>Suporte Áreas</t>
        </is>
      </c>
      <c r="D233" s="51" t="inlineStr">
        <is>
          <t>Readequação de relatório de comissão X folha para MARCONDES, checagem de valores na folha</t>
        </is>
      </c>
      <c r="E233" s="114" t="n">
        <v>0.3402777777777778</v>
      </c>
      <c r="F233" s="114" t="n">
        <v>0.4375</v>
      </c>
      <c r="G233" s="114" t="n">
        <v>0.09722222222222222</v>
      </c>
    </row>
    <row r="234" ht="15" customHeight="1">
      <c r="A234" s="47" t="n">
        <v>46057</v>
      </c>
      <c r="B234" s="23" t="inlineStr">
        <is>
          <t>G3S 10</t>
        </is>
      </c>
      <c r="C234" s="23" t="inlineStr">
        <is>
          <t>BCBI Seletiva</t>
        </is>
      </c>
      <c r="D234" s="48" t="inlineStr">
        <is>
          <t>Análise e adequação das cargas das folhas de NOVEMBRO e DEZEMBRO para fazer o upload no BCBI e abertura de chamado(#4953) para envio do arquivo.</t>
        </is>
      </c>
      <c r="E234" s="111" t="n">
        <v>0.4375</v>
      </c>
      <c r="F234" s="111" t="n">
        <v>0.4583333333333333</v>
      </c>
      <c r="G234" s="111" t="n">
        <v>0.02083333333333333</v>
      </c>
    </row>
    <row r="235" ht="15" customHeight="1">
      <c r="A235" s="47" t="n">
        <v>46057</v>
      </c>
      <c r="B235" s="23" t="inlineStr">
        <is>
          <t>G3S 10</t>
        </is>
      </c>
      <c r="C235" s="23" t="inlineStr">
        <is>
          <t>BCBI Seletiva</t>
        </is>
      </c>
      <c r="D235" s="48" t="inlineStr">
        <is>
          <t>Investigação de casos de geração de financeiro para "vendas de sucata" para g3s e rse</t>
        </is>
      </c>
      <c r="E235" s="111" t="n">
        <v>0.4583333333333333</v>
      </c>
      <c r="F235" s="111" t="n">
        <v>0.5173611111111112</v>
      </c>
      <c r="G235" s="111" t="n">
        <v>0.05902777777777778</v>
      </c>
    </row>
    <row r="236" ht="15" customHeight="1">
      <c r="A236" s="63" t="n">
        <v>46057</v>
      </c>
      <c r="B236" s="72" t="inlineStr">
        <is>
          <t>G3S 10</t>
        </is>
      </c>
      <c r="C236" s="72" t="inlineStr">
        <is>
          <t>Consulti</t>
        </is>
      </c>
      <c r="D236" s="60" t="inlineStr">
        <is>
          <t>Realocação de posição dentro do escritório</t>
        </is>
      </c>
      <c r="E236" s="112" t="n">
        <v>0.5590277777777778</v>
      </c>
      <c r="F236" s="112" t="n">
        <v>0.5833333333333334</v>
      </c>
      <c r="G236" s="112" t="n">
        <v>0.02430555555555556</v>
      </c>
    </row>
    <row r="237" ht="15" customHeight="1" thickBot="1">
      <c r="A237" s="66" t="n">
        <v>46057</v>
      </c>
      <c r="B237" s="73" t="inlineStr">
        <is>
          <t>G3S 10</t>
        </is>
      </c>
      <c r="C237" s="73" t="inlineStr">
        <is>
          <t>BCBI Seletiva</t>
        </is>
      </c>
      <c r="D237" s="69" t="inlineStr">
        <is>
          <t xml:space="preserve">Validação de entregas feitas pelo Matheus(Consulti) no BCBI </t>
        </is>
      </c>
      <c r="E237" s="115" t="n">
        <v>0.5833333333333334</v>
      </c>
      <c r="F237" s="115" t="n">
        <v>0.6319444444444444</v>
      </c>
      <c r="G237" s="115" t="n">
        <v>0.04861111111111111</v>
      </c>
    </row>
    <row r="238" ht="15" customHeight="1" thickTop="1">
      <c r="A238" s="61" t="n">
        <v>46058</v>
      </c>
      <c r="B238" s="33" t="inlineStr">
        <is>
          <t>G3S 10</t>
        </is>
      </c>
      <c r="C238" s="33" t="inlineStr">
        <is>
          <t>BCBI Seletiva</t>
        </is>
      </c>
      <c r="D238" s="51" t="inlineStr">
        <is>
          <t>Checagem e validação de vendas de sucata, confronto SAGI x BCBI</t>
        </is>
      </c>
      <c r="E238" s="114" t="n">
        <v>0.3333333333333333</v>
      </c>
      <c r="F238" s="114" t="n">
        <v>0.3583333333333333</v>
      </c>
      <c r="G238" s="114" t="n">
        <v>0.025</v>
      </c>
    </row>
    <row r="239" ht="15" customHeight="1">
      <c r="A239" s="47" t="n">
        <v>46058</v>
      </c>
      <c r="B239" s="23" t="inlineStr">
        <is>
          <t>G3S 5</t>
        </is>
      </c>
      <c r="C239" s="23" t="inlineStr">
        <is>
          <t>Suporte Áreas</t>
        </is>
      </c>
      <c r="D239" s="48" t="inlineStr">
        <is>
          <t>Checkpoint valores pagos de comissão com emails enviados para o DP</t>
        </is>
      </c>
      <c r="E239" s="111" t="n">
        <v>0.3583333333333333</v>
      </c>
      <c r="F239" s="111" t="n">
        <v>0.3958333333333333</v>
      </c>
      <c r="G239" s="111" t="n">
        <v>0.0375</v>
      </c>
    </row>
    <row r="240" ht="15" customHeight="1">
      <c r="A240" s="47" t="n">
        <v>46058</v>
      </c>
      <c r="B240" s="23" t="inlineStr">
        <is>
          <t>G3S 10</t>
        </is>
      </c>
      <c r="C240" s="23" t="inlineStr">
        <is>
          <t>Projeto Controle de despesas e KM</t>
        </is>
      </c>
      <c r="D240" s="48" t="inlineStr">
        <is>
          <t>Reunião PAYFY para treinamento de uso do sistema para usuário MASTER</t>
        </is>
      </c>
      <c r="E240" s="111" t="n">
        <v>0.3958333333333333</v>
      </c>
      <c r="F240" s="111" t="n">
        <v>0.4375</v>
      </c>
      <c r="G240" s="111" t="n">
        <v>0.04166666666666666</v>
      </c>
    </row>
    <row r="241" ht="15" customHeight="1">
      <c r="A241" s="47" t="n">
        <v>46058</v>
      </c>
      <c r="B241" s="23" t="inlineStr">
        <is>
          <t>G3S 10</t>
        </is>
      </c>
      <c r="C241" s="23" t="inlineStr">
        <is>
          <t>Qualidade</t>
        </is>
      </c>
      <c r="D241" s="48" t="inlineStr">
        <is>
          <t>Reunião do setor com Cristina, Luciano e João Paulo para alinhamento de atividades e demandas do conjunto</t>
        </is>
      </c>
      <c r="E241" s="111" t="n">
        <v>0.4375</v>
      </c>
      <c r="F241" s="111" t="n">
        <v>0.4583333333333333</v>
      </c>
      <c r="G241" s="111" t="n">
        <v>0.02083333333333333</v>
      </c>
    </row>
    <row r="242" ht="15" customHeight="1">
      <c r="A242" s="63" t="n">
        <v>46058</v>
      </c>
      <c r="B242" s="72" t="inlineStr">
        <is>
          <t>G3S 10</t>
        </is>
      </c>
      <c r="C242" s="72" t="inlineStr">
        <is>
          <t>BCBI Seletiva</t>
        </is>
      </c>
      <c r="D242" s="60" t="inlineStr">
        <is>
          <t>Checagem e validação de vendas de sucata, confronto SAGI x BCBI. adequação do relatório para em seguida fazer as análises e confrontos</t>
        </is>
      </c>
      <c r="E242" s="112" t="n">
        <v>0.4583333333333333</v>
      </c>
      <c r="F242" s="112" t="n">
        <v>0.5208333333333334</v>
      </c>
      <c r="G242" s="112" t="n">
        <v>0.0625</v>
      </c>
    </row>
    <row r="243" ht="15" customHeight="1" thickBot="1">
      <c r="A243" s="66" t="n">
        <v>46058</v>
      </c>
      <c r="B243" s="73" t="inlineStr">
        <is>
          <t>G3S 10</t>
        </is>
      </c>
      <c r="C243" s="73" t="inlineStr">
        <is>
          <t>BCBI Seletiva</t>
        </is>
      </c>
      <c r="D243" s="69" t="inlineStr">
        <is>
          <t>Checagem e validação de vendas de sucata, confronto SAGI x BCBI. adequação do relatório para em seguida fazer as análises e confrontos</t>
        </is>
      </c>
      <c r="E243" s="115" t="n">
        <v>0.5625</v>
      </c>
      <c r="F243" s="115" t="n">
        <v>0.625</v>
      </c>
      <c r="G243" s="115" t="n">
        <v>0.0625</v>
      </c>
    </row>
    <row r="244" ht="15" customHeight="1" thickTop="1">
      <c r="A244" s="78" t="n">
        <v>46059</v>
      </c>
      <c r="B244" s="88" t="inlineStr">
        <is>
          <t>G3S 10</t>
        </is>
      </c>
      <c r="C244" s="88" t="inlineStr">
        <is>
          <t>BCBI Seletiva</t>
        </is>
      </c>
      <c r="D244" s="79" t="inlineStr">
        <is>
          <t>Checagem e validação de vendas de sucata, confronto SAGI x BCBI. adequação do relatório para em seguida fazer as análises e confrontos</t>
        </is>
      </c>
      <c r="E244" s="116" t="n">
        <v>0.3333333333333333</v>
      </c>
      <c r="F244" s="116" t="n">
        <v>0.4166666666666667</v>
      </c>
      <c r="G244" s="116" t="n">
        <v>0.08333333333333333</v>
      </c>
    </row>
    <row r="245" ht="15" customHeight="1" thickBot="1">
      <c r="A245" s="66" t="n">
        <v>46059</v>
      </c>
      <c r="B245" s="73" t="inlineStr">
        <is>
          <t>G3S 5</t>
        </is>
      </c>
      <c r="C245" s="73" t="inlineStr">
        <is>
          <t>Suporte Áreas</t>
        </is>
      </c>
      <c r="D245" s="69" t="inlineStr">
        <is>
          <t>Extração de valores das folhas para inclusão no relatório do MARCONDE</t>
        </is>
      </c>
      <c r="E245" s="115" t="n">
        <v>0.4166666666666667</v>
      </c>
      <c r="F245" s="115" t="n">
        <v>0.5</v>
      </c>
      <c r="G245" s="115" t="n">
        <v>0.08333333333333333</v>
      </c>
    </row>
    <row r="246" ht="15" customHeight="1" thickTop="1">
      <c r="A246" s="61" t="n">
        <v>46064</v>
      </c>
      <c r="B246" s="33" t="inlineStr">
        <is>
          <t>G3S 10</t>
        </is>
      </c>
      <c r="C246" s="33" t="inlineStr">
        <is>
          <t>Qualidade</t>
        </is>
      </c>
      <c r="D246" s="51" t="inlineStr">
        <is>
          <t>Alinhamento de demandas e atividades decorrente do período que fiquei afastado</t>
        </is>
      </c>
      <c r="E246" s="114" t="n">
        <v>0.3333333333333333</v>
      </c>
      <c r="F246" s="114" t="n">
        <v>0.375</v>
      </c>
      <c r="G246" s="114" t="n">
        <v>0.04166666666666666</v>
      </c>
    </row>
    <row r="247" ht="15" customHeight="1">
      <c r="A247" s="47" t="n">
        <v>46064</v>
      </c>
      <c r="B247" s="23" t="inlineStr">
        <is>
          <t>G3S 10</t>
        </is>
      </c>
      <c r="C247" s="23" t="inlineStr">
        <is>
          <t>BCBI Seletiva</t>
        </is>
      </c>
      <c r="D247" s="48" t="inlineStr">
        <is>
          <t>Reunião com LEonardo SAGI, Luciano, Cristina e Matheus(Consulti) sobre as diferenças de valores de venda de sucata</t>
        </is>
      </c>
      <c r="E247" s="111" t="n">
        <v>0.375</v>
      </c>
      <c r="F247" s="111" t="n">
        <v>0.46875</v>
      </c>
      <c r="G247" s="111" t="n">
        <v>0.09375</v>
      </c>
    </row>
    <row r="248" ht="15" customHeight="1">
      <c r="A248" s="47" t="n">
        <v>46064</v>
      </c>
      <c r="B248" s="23" t="inlineStr">
        <is>
          <t>G3S 10</t>
        </is>
      </c>
      <c r="C248" s="23" t="inlineStr">
        <is>
          <t>BCBI Seletiva</t>
        </is>
      </c>
      <c r="D248" s="48" t="inlineStr">
        <is>
          <t>Reemissão dos relatórios de vendas e compras para atualização da base fixa(01 a 07) do BCBI</t>
        </is>
      </c>
      <c r="E248" s="111" t="n">
        <v>0.46875</v>
      </c>
      <c r="F248" s="111" t="n">
        <v>0.53125</v>
      </c>
      <c r="G248" s="111" t="n">
        <v>0.0625</v>
      </c>
    </row>
    <row r="249" ht="15" customHeight="1">
      <c r="A249" s="63" t="n">
        <v>46064</v>
      </c>
      <c r="B249" s="72" t="inlineStr">
        <is>
          <t>G3S 10</t>
        </is>
      </c>
      <c r="C249" s="72" t="inlineStr">
        <is>
          <t>BCBI Seletiva</t>
        </is>
      </c>
      <c r="D249" s="60" t="inlineStr">
        <is>
          <t>Validação notas auto-explicativas, compras e vendas BCBI</t>
        </is>
      </c>
      <c r="E249" s="112" t="n">
        <v>0.5729166666666666</v>
      </c>
      <c r="F249" s="112" t="n">
        <v>0.6041666666666666</v>
      </c>
      <c r="G249" s="112" t="n">
        <v>0.03125</v>
      </c>
    </row>
    <row r="250" ht="15" customHeight="1" thickBot="1">
      <c r="A250" s="66" t="n">
        <v>46064</v>
      </c>
      <c r="B250" s="73" t="inlineStr">
        <is>
          <t>G3S 10</t>
        </is>
      </c>
      <c r="C250" s="73" t="inlineStr">
        <is>
          <t>Fechamento</t>
        </is>
      </c>
      <c r="D250" s="69" t="inlineStr">
        <is>
          <t>Reemissão dos relatórios de vendas e compras para atualização da base fixa(08 a 12) do BCBI</t>
        </is>
      </c>
      <c r="E250" s="115" t="n">
        <v>0.6041666666666666</v>
      </c>
      <c r="F250" s="115" t="n">
        <v>0.625</v>
      </c>
      <c r="G250" s="115" t="n">
        <v>0.02083333333333333</v>
      </c>
    </row>
    <row r="251" ht="15" customHeight="1" thickTop="1">
      <c r="A251" s="61" t="n">
        <v>46065</v>
      </c>
      <c r="B251" s="33" t="inlineStr">
        <is>
          <t>G3S 10</t>
        </is>
      </c>
      <c r="C251" s="33" t="inlineStr">
        <is>
          <t>Qualidade</t>
        </is>
      </c>
      <c r="D251" s="51" t="inlineStr">
        <is>
          <t>Reunião da equipe de qualidade para alinhamento de resultados da apresentação do BCBI Seletiva e novas demandas da área</t>
        </is>
      </c>
      <c r="E251" s="114" t="n">
        <v>0.3333333333333333</v>
      </c>
      <c r="F251" s="114" t="n">
        <v>0.3541666666666667</v>
      </c>
      <c r="G251" s="114" t="n">
        <v>0.02083333333333333</v>
      </c>
    </row>
    <row r="252" ht="15" customHeight="1">
      <c r="A252" s="47" t="n">
        <v>46065</v>
      </c>
      <c r="B252" s="23" t="inlineStr">
        <is>
          <t>Rh</t>
        </is>
      </c>
      <c r="C252" s="23" t="inlineStr">
        <is>
          <t>Ginástica Laboral</t>
        </is>
      </c>
      <c r="D252" s="48" t="inlineStr">
        <is>
          <t>Ginástica Laboral</t>
        </is>
      </c>
      <c r="E252" s="111" t="n">
        <v>0.3541666666666667</v>
      </c>
      <c r="F252" s="111" t="n">
        <v>0.375</v>
      </c>
      <c r="G252" s="111" t="n">
        <v>0.02083333333333333</v>
      </c>
    </row>
    <row r="253" ht="15" customHeight="1">
      <c r="A253" s="47" t="n">
        <v>46065</v>
      </c>
      <c r="B253" s="23" t="inlineStr">
        <is>
          <t>G3S 10</t>
        </is>
      </c>
      <c r="C253" s="23" t="inlineStr">
        <is>
          <t>Suporte Áreas</t>
        </is>
      </c>
      <c r="D253" s="48" t="inlineStr">
        <is>
          <t>Suporte ao Giovane Porto(RH) no desenvolvimento e adequação da folha salarial de Janeiro</t>
        </is>
      </c>
      <c r="E253" s="111" t="n">
        <v>0.375</v>
      </c>
      <c r="F253" s="111" t="n">
        <v>0.3958333333333333</v>
      </c>
      <c r="G253" s="111" t="n">
        <v>0.02083333333333333</v>
      </c>
    </row>
    <row r="254" ht="15" customHeight="1">
      <c r="A254" s="47" t="n">
        <v>46065</v>
      </c>
      <c r="B254" s="23" t="inlineStr">
        <is>
          <t>G3S 10</t>
        </is>
      </c>
      <c r="C254" s="23" t="inlineStr">
        <is>
          <t>BCBI Seletiva</t>
        </is>
      </c>
      <c r="D254" s="48" t="inlineStr">
        <is>
          <t>Validação de dados de custo para integridade do sistema</t>
        </is>
      </c>
      <c r="E254" s="111" t="n">
        <v>0.3958333333333333</v>
      </c>
      <c r="F254" s="111" t="n">
        <v>0.4375</v>
      </c>
      <c r="G254" s="111" t="n">
        <v>0.04166666666666666</v>
      </c>
    </row>
    <row r="255" ht="15" customHeight="1">
      <c r="A255" s="47" t="n">
        <v>46065</v>
      </c>
      <c r="B255" s="23" t="inlineStr">
        <is>
          <t>G3S 10</t>
        </is>
      </c>
      <c r="C255" s="23" t="inlineStr">
        <is>
          <t>Integração SAGI x CTA</t>
        </is>
      </c>
      <c r="D255" s="48" t="inlineStr">
        <is>
          <t>Identificação de erros de integração entre os sistemas. Apenas alguns valores estão sendo integrados, não identifiquei um padrão de comportamento. Ticket #5785 na CONSULTI</t>
        </is>
      </c>
      <c r="E255" s="111" t="n">
        <v>0.4375</v>
      </c>
      <c r="F255" s="111" t="n">
        <v>0.4895833333333333</v>
      </c>
      <c r="G255" s="111" t="n">
        <v>0.05208333333333334</v>
      </c>
    </row>
    <row r="256" ht="15" customHeight="1">
      <c r="A256" s="63" t="n">
        <v>46065</v>
      </c>
      <c r="B256" s="72" t="inlineStr">
        <is>
          <t>G3S 10</t>
        </is>
      </c>
      <c r="C256" s="72" t="inlineStr">
        <is>
          <t>Integração SAGI x CTA</t>
        </is>
      </c>
      <c r="D256" s="60" t="inlineStr">
        <is>
          <t>Chat com Leonardo(SAGI), identificou que a integração estava parada, entrou em contato com o pessoal do CTA para resetar a integração desde julho até hoje</t>
        </is>
      </c>
      <c r="E256" s="112" t="n">
        <v>0.4895833333333333</v>
      </c>
      <c r="F256" s="112" t="n">
        <v>0.5208333333333334</v>
      </c>
      <c r="G256" s="112" t="n">
        <v>0.03125</v>
      </c>
    </row>
    <row r="257" ht="15" customHeight="1" thickBot="1">
      <c r="A257" s="66" t="n">
        <v>46065</v>
      </c>
      <c r="B257" s="73" t="inlineStr">
        <is>
          <t>G3S 10</t>
        </is>
      </c>
      <c r="C257" s="73" t="inlineStr">
        <is>
          <t>BCBI Seletiva</t>
        </is>
      </c>
      <c r="D257" s="69" t="inlineStr">
        <is>
          <t>Validação de dados de custo para integridade do sistema</t>
        </is>
      </c>
      <c r="E257" s="115" t="n">
        <v>0.5625</v>
      </c>
      <c r="F257" s="115" t="n">
        <v>0.625</v>
      </c>
      <c r="G257" s="115" t="n">
        <v>0.0625</v>
      </c>
    </row>
    <row r="258" ht="15" customHeight="1" thickTop="1">
      <c r="A258" s="61" t="n">
        <v>46066</v>
      </c>
      <c r="B258" s="33" t="inlineStr">
        <is>
          <t>G3S 10</t>
        </is>
      </c>
      <c r="C258" s="33" t="inlineStr">
        <is>
          <t>BCBI Seletiva</t>
        </is>
      </c>
      <c r="D258" s="51" t="inlineStr">
        <is>
          <t>Validação de dados de custo para integridade do sistema</t>
        </is>
      </c>
      <c r="E258" s="114" t="n">
        <v>0.3333333333333333</v>
      </c>
      <c r="F258" s="114" t="n">
        <v>0.4270833333333333</v>
      </c>
      <c r="G258" s="114" t="n">
        <v>0.09375</v>
      </c>
    </row>
    <row r="259" ht="15" customHeight="1">
      <c r="A259" s="47" t="n">
        <v>46066</v>
      </c>
      <c r="B259" s="23" t="inlineStr">
        <is>
          <t>G3S 10</t>
        </is>
      </c>
      <c r="C259" s="23" t="inlineStr">
        <is>
          <t>Suporte Áreas</t>
        </is>
      </c>
      <c r="D259" s="48" t="inlineStr">
        <is>
          <t>Marcondes solicitou minha presença na sala dele para falar e explicar sobre o relatório de comissão dos vendedores da braçofer.</t>
        </is>
      </c>
      <c r="E259" s="111" t="n">
        <v>0.4270833333333333</v>
      </c>
      <c r="F259" s="111" t="n">
        <v>0.4791666666666667</v>
      </c>
      <c r="G259" s="111" t="n">
        <v>0.05208333333333334</v>
      </c>
    </row>
    <row r="260" ht="15" customHeight="1">
      <c r="A260" s="47" t="n">
        <v>46066</v>
      </c>
      <c r="B260" s="23" t="inlineStr">
        <is>
          <t>G3S 10</t>
        </is>
      </c>
      <c r="C260" s="23" t="inlineStr">
        <is>
          <t>Qualidade</t>
        </is>
      </c>
      <c r="D260" s="48" t="inlineStr">
        <is>
          <t>Alinhamento de atividades e assuntos abordados na reunião de ontem</t>
        </is>
      </c>
      <c r="E260" s="111" t="n">
        <v>0.4791666666666667</v>
      </c>
      <c r="F260" s="111" t="n">
        <v>0.5243055555555556</v>
      </c>
      <c r="G260" s="111" t="n">
        <v>0.04513888888888889</v>
      </c>
    </row>
    <row r="261" ht="15" customHeight="1">
      <c r="A261" s="47" t="n">
        <v>46066</v>
      </c>
      <c r="B261" s="23" t="inlineStr">
        <is>
          <t>G3S 10</t>
        </is>
      </c>
      <c r="C261" s="23" t="inlineStr">
        <is>
          <t>Qualidade</t>
        </is>
      </c>
      <c r="D261" s="48" t="inlineStr">
        <is>
          <t>Alinhamento de atividades e assuntos abordados na reunião de ontem</t>
        </is>
      </c>
      <c r="E261" s="111" t="n">
        <v>0.5659722222222222</v>
      </c>
      <c r="F261" s="111" t="n">
        <v>0.59375</v>
      </c>
      <c r="G261" s="111" t="n">
        <v>0.02777777777777778</v>
      </c>
    </row>
    <row r="262" ht="15" customHeight="1">
      <c r="A262" s="63" t="n">
        <v>46066</v>
      </c>
      <c r="B262" s="72" t="inlineStr">
        <is>
          <t>G3S 10</t>
        </is>
      </c>
      <c r="C262" s="72" t="inlineStr">
        <is>
          <t>Suporte Áreas</t>
        </is>
      </c>
      <c r="D262" s="60" t="inlineStr">
        <is>
          <t>Finalização, impressão e entrega de relatórios fopa jan/26 p/Renato(entregue dentro de um envelope em mãos para dona GIU) e Marcondes(envelope lacrado e colocado em cima da mesa dele)</t>
        </is>
      </c>
      <c r="E262" s="112" t="n">
        <v>0.59375</v>
      </c>
      <c r="F262" s="112" t="n">
        <v>0.7083333333333334</v>
      </c>
      <c r="G262" s="112" t="n">
        <v>0.1145833333333333</v>
      </c>
    </row>
    <row r="263" ht="15" customHeight="1" thickBot="1">
      <c r="A263" s="66" t="n">
        <v>46066</v>
      </c>
      <c r="B263" s="73" t="inlineStr">
        <is>
          <t>G3S 10</t>
        </is>
      </c>
      <c r="C263" s="73" t="inlineStr">
        <is>
          <t>Suporte Áreas</t>
        </is>
      </c>
      <c r="D263" s="69" t="inlineStr">
        <is>
          <t>Reclassificação e readequação de lançamentos indentificados</t>
        </is>
      </c>
      <c r="E263" s="115" t="n">
        <v>0.7083333333333334</v>
      </c>
      <c r="F263" s="115" t="n">
        <v>0.75</v>
      </c>
      <c r="G263" s="115" t="n">
        <v>0.04166666666666666</v>
      </c>
    </row>
    <row r="264" ht="15" customHeight="1" thickTop="1">
      <c r="A264" s="61" t="n">
        <v>46071</v>
      </c>
      <c r="B264" s="33" t="inlineStr">
        <is>
          <t>G3S 10</t>
        </is>
      </c>
      <c r="C264" s="33" t="inlineStr">
        <is>
          <t>BCBI Seletiva</t>
        </is>
      </c>
      <c r="D264" s="51" t="inlineStr">
        <is>
          <t>Validação de dados de custo do sistema do BI</t>
        </is>
      </c>
      <c r="E264" s="114" t="n">
        <v>0.3333333333333333</v>
      </c>
      <c r="F264" s="114" t="n">
        <v>0.4583333333333333</v>
      </c>
      <c r="G264" s="114" t="n">
        <v>0.125</v>
      </c>
    </row>
    <row r="265" ht="15" customHeight="1">
      <c r="A265" s="47" t="n">
        <v>46071</v>
      </c>
      <c r="B265" s="23" t="inlineStr">
        <is>
          <t>GSL</t>
        </is>
      </c>
      <c r="C265" s="23" t="inlineStr">
        <is>
          <t>Suporte Áreas</t>
        </is>
      </c>
      <c r="D265" s="48" t="inlineStr">
        <is>
          <t>Geração de relatório de custos prensa fixa maringá p/ andressa transmove</t>
        </is>
      </c>
      <c r="E265" s="111" t="n">
        <v>0.4583333333333333</v>
      </c>
      <c r="F265" s="111" t="n">
        <v>0.46875</v>
      </c>
      <c r="G265" s="111" t="n">
        <v>0.01041666666666667</v>
      </c>
    </row>
    <row r="266" ht="15" customHeight="1">
      <c r="A266" s="47" t="n">
        <v>46071</v>
      </c>
      <c r="B266" s="23" t="inlineStr">
        <is>
          <t>G3S 10</t>
        </is>
      </c>
      <c r="C266" s="23" t="inlineStr">
        <is>
          <t>BCBI Seletiva</t>
        </is>
      </c>
      <c r="D266" s="48" t="inlineStr">
        <is>
          <t>Conferência dos valores de compra e venda dos novos cards do BI com os relatórios do SAGI</t>
        </is>
      </c>
      <c r="E266" s="111" t="n">
        <v>0.46875</v>
      </c>
      <c r="F266" s="111" t="n">
        <v>0.5138888888888888</v>
      </c>
      <c r="G266" s="111" t="n">
        <v>0.04513888888888889</v>
      </c>
    </row>
    <row r="267" ht="15" customHeight="1">
      <c r="A267" s="63" t="n">
        <v>46071</v>
      </c>
      <c r="B267" s="72" t="inlineStr">
        <is>
          <t>G3S 10</t>
        </is>
      </c>
      <c r="C267" s="72" t="inlineStr">
        <is>
          <t>BCBI Seletiva</t>
        </is>
      </c>
      <c r="D267" s="60" t="inlineStr">
        <is>
          <t>Conferência dos valores de compra e venda dos novos cards do BI com os relatórios do SAGI</t>
        </is>
      </c>
      <c r="E267" s="112" t="n">
        <v>0.5555555555555556</v>
      </c>
      <c r="F267" s="112" t="n">
        <v>0.6041666666666666</v>
      </c>
      <c r="G267" s="112" t="n">
        <v>0.04861111111111111</v>
      </c>
    </row>
    <row r="268" ht="15" customHeight="1" thickBot="1">
      <c r="A268" s="66" t="n">
        <v>46071</v>
      </c>
      <c r="B268" s="73" t="inlineStr">
        <is>
          <t>GSL</t>
        </is>
      </c>
      <c r="C268" s="73" t="inlineStr">
        <is>
          <t>Suporte Áreas</t>
        </is>
      </c>
      <c r="D268" s="69" t="inlineStr">
        <is>
          <t>Detalhamento via mala direta de relatório de custos prensa fixa maringá p/ andressa transmove</t>
        </is>
      </c>
      <c r="E268" s="115" t="n">
        <v>0.6041666666666666</v>
      </c>
      <c r="F268" s="115" t="n">
        <v>0.625</v>
      </c>
      <c r="G268" s="115" t="n">
        <v>0.02083333333333333</v>
      </c>
    </row>
    <row r="269" ht="15" customHeight="1" thickTop="1">
      <c r="A269" s="61" t="n">
        <v>46072</v>
      </c>
      <c r="B269" s="33" t="inlineStr">
        <is>
          <t>G3S 10</t>
        </is>
      </c>
      <c r="C269" s="33" t="inlineStr">
        <is>
          <t>BCBI Seletiva</t>
        </is>
      </c>
      <c r="D269" s="51" t="inlineStr">
        <is>
          <t>Check de valores CTA x SAGI x BCBI</t>
        </is>
      </c>
      <c r="E269" s="114" t="n">
        <v>0.3333333333333333</v>
      </c>
      <c r="F269" s="114" t="n">
        <v>0.3541666666666667</v>
      </c>
      <c r="G269" s="114" t="n">
        <v>0.02083333333333333</v>
      </c>
    </row>
    <row r="270" ht="15" customHeight="1">
      <c r="A270" s="47" t="n">
        <v>46072</v>
      </c>
      <c r="B270" s="23" t="inlineStr">
        <is>
          <t>Rh</t>
        </is>
      </c>
      <c r="C270" s="23" t="inlineStr">
        <is>
          <t>Ginástica Laboral</t>
        </is>
      </c>
      <c r="D270" s="48" t="inlineStr">
        <is>
          <t>Ginástica Laboral</t>
        </is>
      </c>
      <c r="E270" s="111" t="n">
        <v>0.3541666666666667</v>
      </c>
      <c r="F270" s="111" t="n">
        <v>0.375</v>
      </c>
      <c r="G270" s="111" t="n">
        <v>0.02083333333333333</v>
      </c>
    </row>
    <row r="271" ht="15" customHeight="1">
      <c r="A271" s="47" t="n">
        <v>46072</v>
      </c>
      <c r="B271" s="23" t="inlineStr">
        <is>
          <t>G3S 10</t>
        </is>
      </c>
      <c r="C271" s="23" t="inlineStr">
        <is>
          <t>BCBI Seletiva</t>
        </is>
      </c>
      <c r="D271" s="48" t="inlineStr">
        <is>
          <t>Reunião de alinhamento Juros e multas e etc. Com Hugo, Adriana, Cristina e Luciano</t>
        </is>
      </c>
      <c r="E271" s="111" t="n">
        <v>0.375</v>
      </c>
      <c r="F271" s="111" t="n">
        <v>0.3993055555555556</v>
      </c>
      <c r="G271" s="111" t="n">
        <v>0.02430555555555556</v>
      </c>
    </row>
    <row r="272" ht="15" customHeight="1">
      <c r="A272" s="47" t="n">
        <v>46072</v>
      </c>
      <c r="B272" s="23" t="inlineStr">
        <is>
          <t>G3S 10</t>
        </is>
      </c>
      <c r="C272" s="23" t="inlineStr">
        <is>
          <t>BCBI Seletiva</t>
        </is>
      </c>
      <c r="D272" s="48" t="inlineStr">
        <is>
          <t>Reunião com Luciano, Gisele e Matheus(Consulti) para checagem de compras e vendas</t>
        </is>
      </c>
      <c r="E272" s="111" t="n">
        <v>0.4027777777777778</v>
      </c>
      <c r="F272" s="111" t="n">
        <v>0.4305555555555556</v>
      </c>
      <c r="G272" s="111" t="n">
        <v>0.02777777777777778</v>
      </c>
    </row>
    <row r="273" ht="15" customHeight="1">
      <c r="A273" s="47" t="n">
        <v>46072</v>
      </c>
      <c r="B273" s="23" t="inlineStr">
        <is>
          <t>G3S 10</t>
        </is>
      </c>
      <c r="C273" s="23" t="inlineStr">
        <is>
          <t>Suporte Áreas</t>
        </is>
      </c>
      <c r="D273" s="48" t="inlineStr">
        <is>
          <t>Desenvolvimento relatório de HE Marcondes 2026</t>
        </is>
      </c>
      <c r="E273" s="111" t="n">
        <v>0.4305555555555556</v>
      </c>
      <c r="F273" s="111" t="n">
        <v>0.5243055555555556</v>
      </c>
      <c r="G273" s="111" t="n">
        <v>0.09375</v>
      </c>
    </row>
    <row r="274" ht="15" customHeight="1">
      <c r="A274" s="47" t="n">
        <v>46072</v>
      </c>
      <c r="B274" s="23" t="inlineStr">
        <is>
          <t>G3S 10</t>
        </is>
      </c>
      <c r="C274" s="23" t="inlineStr">
        <is>
          <t>BCBI Seletiva</t>
        </is>
      </c>
      <c r="D274" s="48" t="inlineStr">
        <is>
          <t>Desenvolvimento da carga da folha jan/26 para upload no BCBI Seletiva</t>
        </is>
      </c>
      <c r="E274" s="111" t="n">
        <v>0.5659722222222222</v>
      </c>
      <c r="F274" s="111" t="n">
        <v>0.5951388888888889</v>
      </c>
      <c r="G274" s="111" t="n">
        <v>0.02916666666666667</v>
      </c>
    </row>
    <row r="275" ht="15" customHeight="1">
      <c r="A275" s="47" t="n">
        <v>46072</v>
      </c>
      <c r="B275" s="23" t="inlineStr">
        <is>
          <t>G3S 10</t>
        </is>
      </c>
      <c r="C275" s="23" t="inlineStr">
        <is>
          <t>BCBI Seletiva</t>
        </is>
      </c>
      <c r="D275" s="48" t="inlineStr">
        <is>
          <t>Conferência custos BCBI</t>
        </is>
      </c>
      <c r="E275" s="111" t="n">
        <v>0.5951388888888889</v>
      </c>
      <c r="F275" s="111" t="n">
        <v>0.7027777777777777</v>
      </c>
      <c r="G275" s="111" t="n">
        <v>0.1076388888888889</v>
      </c>
    </row>
    <row r="276" ht="15" customHeight="1">
      <c r="A276" s="47" t="n">
        <v>46072</v>
      </c>
      <c r="B276" s="23" t="inlineStr">
        <is>
          <t>G3S 10</t>
        </is>
      </c>
      <c r="C276" s="23" t="inlineStr">
        <is>
          <t>Suporte Áreas</t>
        </is>
      </c>
      <c r="D276" s="48" t="inlineStr">
        <is>
          <t>Desenvolvimento relatório de HE Marcondes 2026, inclusao de informações 2024, 2025 e 2026</t>
        </is>
      </c>
      <c r="E276" s="111" t="n">
        <v>0.7027777777777777</v>
      </c>
      <c r="F276" s="111" t="n">
        <v>0.7395833333333334</v>
      </c>
      <c r="G276" s="111" t="n">
        <v>0.03680555555555556</v>
      </c>
    </row>
    <row r="277" ht="15" customHeight="1">
      <c r="A277" s="63" t="n">
        <v>46072</v>
      </c>
      <c r="B277" s="72" t="inlineStr">
        <is>
          <t>G3S 10</t>
        </is>
      </c>
      <c r="C277" s="72" t="inlineStr">
        <is>
          <t>BCBI Seletiva</t>
        </is>
      </c>
      <c r="D277" s="60" t="inlineStr">
        <is>
          <t>Conferência custos BCBI</t>
        </is>
      </c>
      <c r="E277" s="112" t="n">
        <v>0.7395833333333334</v>
      </c>
      <c r="F277" s="112" t="n">
        <v>0.75</v>
      </c>
      <c r="G277" s="112" t="n">
        <v>0.01041666666666667</v>
      </c>
    </row>
    <row r="278" ht="15" customHeight="1" thickBot="1">
      <c r="A278" s="66" t="n">
        <v>46072</v>
      </c>
      <c r="B278" s="73" t="inlineStr">
        <is>
          <t>G3S 10</t>
        </is>
      </c>
      <c r="C278" s="73" t="inlineStr">
        <is>
          <t>BCBI Seletiva</t>
        </is>
      </c>
      <c r="D278" s="69" t="inlineStr">
        <is>
          <t xml:space="preserve">Elaboração carga de dados </t>
        </is>
      </c>
      <c r="E278" s="115" t="n">
        <v>0.75</v>
      </c>
      <c r="F278" s="115" t="n">
        <v>0.7916666666666666</v>
      </c>
      <c r="G278" s="115" t="n">
        <v>0.04166666666666666</v>
      </c>
    </row>
    <row r="279" ht="15" customHeight="1" thickTop="1">
      <c r="A279" s="61" t="n">
        <v>46073</v>
      </c>
      <c r="B279" s="33" t="inlineStr">
        <is>
          <t>G3S 10</t>
        </is>
      </c>
      <c r="C279" s="33" t="inlineStr">
        <is>
          <t>BCBI Seletiva</t>
        </is>
      </c>
      <c r="D279" s="51" t="inlineStr">
        <is>
          <t>Elaboração carga de dados de depreciação de veículos e máquinas</t>
        </is>
      </c>
      <c r="E279" s="114" t="n">
        <v>0.3333333333333333</v>
      </c>
      <c r="F279" s="114" t="n">
        <v>0.4791666666666667</v>
      </c>
      <c r="G279" s="114" t="n">
        <v>0.1458333333333333</v>
      </c>
    </row>
    <row r="280" ht="15" customHeight="1">
      <c r="A280" s="63" t="n">
        <v>46073</v>
      </c>
      <c r="B280" s="72" t="inlineStr">
        <is>
          <t>G3S 10</t>
        </is>
      </c>
      <c r="C280" s="72" t="inlineStr">
        <is>
          <t>Suporte Áreas</t>
        </is>
      </c>
      <c r="D280" s="60" t="inlineStr">
        <is>
          <t>Desenvolvimento relatório de HE Marcondes 2026, inclusao de informações 2024, 2025 e 2026, detalhamento de quais são os funcionários que entraram na SELETIVA de jan/25 e jan/26</t>
        </is>
      </c>
      <c r="E280" s="112" t="n">
        <v>0.4791666666666667</v>
      </c>
      <c r="F280" s="112" t="n">
        <v>0.525</v>
      </c>
      <c r="G280" s="112" t="n">
        <v>0.04583333333333333</v>
      </c>
    </row>
    <row r="281" ht="15" customHeight="1" thickBot="1">
      <c r="A281" s="66" t="n">
        <v>46073</v>
      </c>
      <c r="B281" s="73" t="inlineStr">
        <is>
          <t>G3S 10</t>
        </is>
      </c>
      <c r="C281" s="73" t="inlineStr">
        <is>
          <t>Suporte Áreas</t>
        </is>
      </c>
      <c r="D281" s="69" t="inlineStr">
        <is>
          <t>Desenvolvimento relatório de HE Marcondes 2026, inclusao de informações 2024, 2025 e 2026, detalhamento de quais são os funcionários que entraram na SELETIVA de jan/25 e jan/26</t>
        </is>
      </c>
      <c r="E281" s="115" t="n">
        <v>0.5666666666666667</v>
      </c>
      <c r="F281" s="115" t="n">
        <v>0.625</v>
      </c>
      <c r="G281" s="115" t="n">
        <v>0.05833333333333333</v>
      </c>
    </row>
    <row r="282" ht="15" customHeight="1" thickTop="1">
      <c r="A282" s="61" t="n">
        <v>46076</v>
      </c>
      <c r="B282" s="33" t="inlineStr">
        <is>
          <t>G3S 10</t>
        </is>
      </c>
      <c r="C282" s="33" t="inlineStr">
        <is>
          <t>BCBI Seletiva</t>
        </is>
      </c>
      <c r="D282" s="51" t="inlineStr">
        <is>
          <t>Reunião com Matheus da Consulti para validarmos as compras e vendas de sucata. Definimos que os cards de compra e venda serão SOMENTE FERRO, encontramos um erro do sistema SAGI e acionamos o Leonardo(sagi) para nos ajudar. Assim que o leo resolver o problema, irá nos acionar para validarmos</t>
        </is>
      </c>
      <c r="E282" s="114" t="n">
        <v>0.3333333333333333</v>
      </c>
      <c r="F282" s="114" t="n">
        <v>0.4305555555555556</v>
      </c>
      <c r="G282" s="114" t="n">
        <v>0.09722222222222222</v>
      </c>
    </row>
    <row r="283" ht="15" customHeight="1">
      <c r="A283" s="47" t="n">
        <v>46076</v>
      </c>
      <c r="B283" s="23" t="inlineStr">
        <is>
          <t>G3S 10</t>
        </is>
      </c>
      <c r="C283" s="23" t="inlineStr">
        <is>
          <t>BCBI Seletiva</t>
        </is>
      </c>
      <c r="D283" s="48" t="inlineStr">
        <is>
          <t>Correção de centros de custo das prensas GDU e QXH conforme alinhado com luciano.</t>
        </is>
      </c>
      <c r="E283" s="111" t="n">
        <v>0.4305555555555556</v>
      </c>
      <c r="F283" s="111" t="n">
        <v>0.4583333333333333</v>
      </c>
      <c r="G283" s="111" t="n">
        <v>0.02777777777777778</v>
      </c>
    </row>
    <row r="284" ht="15" customHeight="1">
      <c r="A284" s="47" t="n">
        <v>46076</v>
      </c>
      <c r="B284" s="23" t="inlineStr">
        <is>
          <t>G3S 10</t>
        </is>
      </c>
      <c r="C284" s="23" t="inlineStr">
        <is>
          <t>BCBI Seletiva</t>
        </is>
      </c>
      <c r="D284" s="48" t="inlineStr">
        <is>
          <t>Trabalho conjunto com Matheus da Consulti referente à carga de depreciação de veículos, máquinas e equipamentos. Identificação de erros de consulta do BI, problemas de planilhamento da carga. Alinhamento e melhoria no formato de extração dos centros de custo</t>
        </is>
      </c>
      <c r="E284" s="111" t="n">
        <v>0.4583333333333333</v>
      </c>
      <c r="F284" s="111" t="n">
        <v>0.5208333333333334</v>
      </c>
      <c r="G284" s="111" t="n">
        <v>0.0625</v>
      </c>
    </row>
    <row r="285" ht="15" customHeight="1">
      <c r="A285" s="63" t="n">
        <v>46076</v>
      </c>
      <c r="B285" s="72" t="inlineStr">
        <is>
          <t>G3S 10</t>
        </is>
      </c>
      <c r="C285" s="72" t="inlineStr">
        <is>
          <t>BCBI Seletiva</t>
        </is>
      </c>
      <c r="D285" s="60" t="inlineStr">
        <is>
          <t>Checagem de valores compra e venda pós correção interna do sagi realizada pelo Leonardo</t>
        </is>
      </c>
      <c r="E285" s="112" t="n">
        <v>0.5625</v>
      </c>
      <c r="F285" s="112" t="n">
        <v>0.6041666666666666</v>
      </c>
      <c r="G285" s="112" t="n">
        <v>0.04166666666666666</v>
      </c>
    </row>
    <row r="286" ht="15" customHeight="1" thickBot="1">
      <c r="A286" s="66" t="n">
        <v>46076</v>
      </c>
      <c r="B286" s="73" t="inlineStr">
        <is>
          <t>G3S 10</t>
        </is>
      </c>
      <c r="C286" s="73" t="inlineStr">
        <is>
          <t>BCBI Seletiva</t>
        </is>
      </c>
      <c r="D286" s="69" t="inlineStr">
        <is>
          <t>Readequação carga da fopa de janeiro para implantação do filtro por filiais e checagem pós carga</t>
        </is>
      </c>
      <c r="E286" s="115" t="n">
        <v>0.6041666666666666</v>
      </c>
      <c r="F286" s="115" t="n">
        <v>0.625</v>
      </c>
      <c r="G286" s="115" t="n">
        <v>0.02083333333333333</v>
      </c>
    </row>
    <row r="287" ht="15" customHeight="1" thickTop="1">
      <c r="A287" s="78" t="n">
        <v>46077</v>
      </c>
      <c r="B287" s="88" t="inlineStr">
        <is>
          <t>G3S 10</t>
        </is>
      </c>
      <c r="C287" s="88" t="inlineStr">
        <is>
          <t>BCBI Seletiva</t>
        </is>
      </c>
      <c r="D287" s="79" t="inlineStr">
        <is>
          <t xml:space="preserve">Checagem de valores das integrações BCBIxSAGI após novas regras definidas </t>
        </is>
      </c>
      <c r="E287" s="116" t="n">
        <v>0.3333333333333333</v>
      </c>
      <c r="F287" s="116" t="n">
        <v>0.5069444444444444</v>
      </c>
      <c r="G287" s="116" t="n">
        <v>0.1736111111111111</v>
      </c>
    </row>
    <row r="288" ht="15" customHeight="1" thickBot="1">
      <c r="A288" s="66" t="n">
        <v>46077</v>
      </c>
      <c r="B288" s="73" t="inlineStr">
        <is>
          <t>G3S 10</t>
        </is>
      </c>
      <c r="C288" s="73" t="inlineStr">
        <is>
          <t>BCBI Seletiva</t>
        </is>
      </c>
      <c r="D288" s="69" t="inlineStr">
        <is>
          <t xml:space="preserve">Checagem de valores das integrações BCBIxSAGI após novas regras definidas </t>
        </is>
      </c>
      <c r="E288" s="115" t="n">
        <v>0.5486111111111112</v>
      </c>
      <c r="F288" s="115" t="n">
        <v>0.6319444444444444</v>
      </c>
      <c r="G288" s="115" t="n">
        <v>0.08333333333333333</v>
      </c>
    </row>
    <row r="289" ht="15" customHeight="1" thickTop="1">
      <c r="A289" s="61" t="n">
        <v>46078</v>
      </c>
      <c r="B289" s="33" t="inlineStr">
        <is>
          <t>G3S 10</t>
        </is>
      </c>
      <c r="C289" s="33" t="inlineStr">
        <is>
          <t>Qualidade</t>
        </is>
      </c>
      <c r="D289" s="51" t="inlineStr">
        <is>
          <t xml:space="preserve">Alinhamento, atividades, assuntos e feedback's </t>
        </is>
      </c>
      <c r="E289" s="114" t="n">
        <v>0.3333333333333333</v>
      </c>
      <c r="F289" s="114" t="n">
        <v>0.3472222222222222</v>
      </c>
      <c r="G289" s="114" t="n">
        <v>0.01388888888888889</v>
      </c>
    </row>
    <row r="290" ht="15" customHeight="1">
      <c r="A290" s="47" t="n">
        <v>46078</v>
      </c>
      <c r="B290" s="23" t="inlineStr">
        <is>
          <t>G3S 10</t>
        </is>
      </c>
      <c r="C290" s="23" t="inlineStr">
        <is>
          <t>BCBI Seletiva</t>
        </is>
      </c>
      <c r="D290" s="48" t="inlineStr">
        <is>
          <t xml:space="preserve">Checagem de valores, integrações e inconsistências </t>
        </is>
      </c>
      <c r="E290" s="111" t="n">
        <v>0.3472222222222222</v>
      </c>
      <c r="F290" s="111" t="n">
        <v>0.375</v>
      </c>
      <c r="G290" s="111" t="n">
        <v>0.02777777777777778</v>
      </c>
    </row>
    <row r="291" ht="15" customHeight="1">
      <c r="A291" s="47" t="n">
        <v>46078</v>
      </c>
      <c r="B291" s="23" t="inlineStr">
        <is>
          <t>G3S 10</t>
        </is>
      </c>
      <c r="C291" s="23" t="inlineStr">
        <is>
          <t>Parametrização</t>
        </is>
      </c>
      <c r="D291" s="48" t="inlineStr">
        <is>
          <t>Criação de planos de contas para o DP, provisão 13 e ferias, provisao encargos</t>
        </is>
      </c>
      <c r="E291" s="111" t="n">
        <v>0.375</v>
      </c>
      <c r="F291" s="111" t="n">
        <v>0.3819444444444444</v>
      </c>
      <c r="G291" s="111" t="n">
        <v>0.006944444444444444</v>
      </c>
    </row>
    <row r="292" ht="15" customHeight="1">
      <c r="A292" s="47" t="n">
        <v>46078</v>
      </c>
      <c r="B292" s="23" t="inlineStr">
        <is>
          <t>G3S 10</t>
        </is>
      </c>
      <c r="C292" s="23" t="inlineStr">
        <is>
          <t>Parametrização</t>
        </is>
      </c>
      <c r="D292" s="48" t="inlineStr">
        <is>
          <t>alinhamento e definição de rateio despesa kinghost com o setor financeiro(wilgner e joao emanuel)</t>
        </is>
      </c>
      <c r="E292" s="111" t="n">
        <v>0.3819444444444444</v>
      </c>
      <c r="F292" s="111" t="n">
        <v>0.3979166666666666</v>
      </c>
      <c r="G292" s="111" t="n">
        <v>0.01597222222222222</v>
      </c>
    </row>
    <row r="293" ht="15" customHeight="1">
      <c r="A293" s="47" t="n">
        <v>46078</v>
      </c>
      <c r="B293" s="23" t="inlineStr">
        <is>
          <t>G3S 10</t>
        </is>
      </c>
      <c r="C293" s="23" t="inlineStr">
        <is>
          <t>BCBI Seletiva</t>
        </is>
      </c>
      <c r="D293" s="48" t="inlineStr">
        <is>
          <t>Checagem de integração dos valores de Bônus de compra e venda, identificada inconsistência na integração de Bônus de COMPRA, relatada ao Matheus(Consulti) através de prints no whatsapp</t>
        </is>
      </c>
      <c r="E293" s="111" t="n">
        <v>0.3979166666666666</v>
      </c>
      <c r="F293" s="111" t="n">
        <v>0.4583333333333333</v>
      </c>
      <c r="G293" s="111" t="n">
        <v>0.06041666666666667</v>
      </c>
    </row>
    <row r="294" ht="15" customHeight="1">
      <c r="A294" s="63" t="n">
        <v>46078</v>
      </c>
      <c r="B294" s="72" t="inlineStr">
        <is>
          <t>G3S 10</t>
        </is>
      </c>
      <c r="C294" s="72" t="inlineStr">
        <is>
          <t>BCBI Seletiva</t>
        </is>
      </c>
      <c r="D294" s="60" t="inlineStr">
        <is>
          <t xml:space="preserve">Checagem de valores, integrações e inconsistências </t>
        </is>
      </c>
      <c r="E294" s="112" t="n">
        <v>0.4583333333333333</v>
      </c>
      <c r="F294" s="112" t="n">
        <v>0.5104166666666666</v>
      </c>
      <c r="G294" s="112" t="n">
        <v>0.05208333333333334</v>
      </c>
    </row>
    <row r="295" ht="15" customHeight="1" thickBot="1">
      <c r="A295" s="66" t="n">
        <v>46078</v>
      </c>
      <c r="B295" s="73" t="inlineStr">
        <is>
          <t>G3S 10</t>
        </is>
      </c>
      <c r="C295" s="73" t="inlineStr">
        <is>
          <t>Parametrização</t>
        </is>
      </c>
      <c r="D295" s="69" t="inlineStr">
        <is>
          <t xml:space="preserve">Ajuste de centros de custo de placas com Joao paulo, Julio, </t>
        </is>
      </c>
      <c r="E295" s="115" t="n">
        <v>0.5520833333333334</v>
      </c>
      <c r="F295" s="115" t="n">
        <v>0.6354166666666666</v>
      </c>
      <c r="G295" s="115" t="n">
        <v>0.08333333333333333</v>
      </c>
    </row>
    <row r="296" ht="15" customHeight="1" thickTop="1">
      <c r="A296" s="61" t="n">
        <v>46079</v>
      </c>
      <c r="B296" s="33" t="inlineStr">
        <is>
          <t>G3S 10</t>
        </is>
      </c>
      <c r="C296" s="33" t="inlineStr">
        <is>
          <t>Suporte Áreas</t>
        </is>
      </c>
      <c r="D296" s="51" t="inlineStr">
        <is>
          <t>Ajuda na alimentação da planilha de compras de material de USINA com CHICO</t>
        </is>
      </c>
      <c r="E296" s="114" t="n">
        <v>0.3333333333333333</v>
      </c>
      <c r="F296" s="114" t="n">
        <v>0.4375</v>
      </c>
      <c r="G296" s="114" t="n">
        <v>0.1041666666666667</v>
      </c>
    </row>
    <row r="297" ht="15" customHeight="1">
      <c r="A297" s="63" t="n">
        <v>46079</v>
      </c>
      <c r="B297" s="72" t="inlineStr">
        <is>
          <t>G3S 10</t>
        </is>
      </c>
      <c r="C297" s="72" t="inlineStr">
        <is>
          <t>Suporte Áreas</t>
        </is>
      </c>
      <c r="D297" s="60" t="inlineStr">
        <is>
          <t>Ajuda na alimentação da planilha de compras de material de INDÚSTRIA com CHICO</t>
        </is>
      </c>
      <c r="E297" s="112" t="n">
        <v>0.4375</v>
      </c>
      <c r="F297" s="112" t="n">
        <v>0.5208333333333334</v>
      </c>
      <c r="G297" s="112" t="n">
        <v>0.08333333333333333</v>
      </c>
    </row>
    <row r="298" ht="15" customHeight="1" thickBot="1">
      <c r="A298" s="66" t="n">
        <v>46079</v>
      </c>
      <c r="B298" s="73" t="inlineStr">
        <is>
          <t>G3S 10</t>
        </is>
      </c>
      <c r="C298" s="73" t="inlineStr">
        <is>
          <t>Suporte Áreas</t>
        </is>
      </c>
      <c r="D298" s="69" t="inlineStr">
        <is>
          <t>Aplicação de melhorias na base de compra de material para USINA e INDÚSTRIA, idealizados com CHICO e JONATAN</t>
        </is>
      </c>
      <c r="E298" s="115" t="n">
        <v>0.5625</v>
      </c>
      <c r="F298" s="115" t="n">
        <v>0.7222222222222222</v>
      </c>
      <c r="G298" s="115" t="n">
        <v>0.1597222222222222</v>
      </c>
    </row>
    <row r="299" ht="15" customHeight="1" thickTop="1">
      <c r="A299" s="61" t="n">
        <v>46080</v>
      </c>
      <c r="B299" s="33" t="inlineStr">
        <is>
          <t>G3S 10</t>
        </is>
      </c>
      <c r="C299" s="33" t="inlineStr">
        <is>
          <t>BCBI Seletiva</t>
        </is>
      </c>
      <c r="D299" s="51" t="inlineStr">
        <is>
          <t xml:space="preserve">Checagem de valores, integrações e inconsistências </t>
        </is>
      </c>
      <c r="E299" s="114" t="n">
        <v>0.3333333333333333</v>
      </c>
      <c r="F299" s="114" t="n">
        <v>0.3958333333333333</v>
      </c>
      <c r="G299" s="114" t="n">
        <v>0.0625</v>
      </c>
    </row>
    <row r="300" ht="15" customHeight="1">
      <c r="A300" s="47" t="n">
        <v>46080</v>
      </c>
      <c r="B300" s="23" t="inlineStr">
        <is>
          <t>G3S 10</t>
        </is>
      </c>
      <c r="C300" s="23" t="inlineStr">
        <is>
          <t>BCBI Seletiva</t>
        </is>
      </c>
      <c r="D300" s="48" t="inlineStr">
        <is>
          <t>Reunião com Luciano e Matheus para verificação de problemas no sistema BCBI</t>
        </is>
      </c>
      <c r="E300" s="111" t="n">
        <v>0.3958333333333333</v>
      </c>
      <c r="F300" s="111" t="n">
        <v>0.4236111111111111</v>
      </c>
      <c r="G300" s="111" t="n">
        <v>0.02777777777777778</v>
      </c>
    </row>
    <row r="301" ht="15" customHeight="1">
      <c r="A301" s="47" t="n">
        <v>46080</v>
      </c>
      <c r="B301" s="23" t="inlineStr">
        <is>
          <t>G3S 10</t>
        </is>
      </c>
      <c r="C301" s="23" t="inlineStr">
        <is>
          <t>Suporte Áreas</t>
        </is>
      </c>
      <c r="D301" s="48" t="inlineStr">
        <is>
          <t>Reenvio de estrutura de rateio para FERNANDA/FISCAL</t>
        </is>
      </c>
      <c r="E301" s="111" t="n">
        <v>0.4236111111111111</v>
      </c>
      <c r="F301" s="111" t="n">
        <v>0.4375</v>
      </c>
      <c r="G301" s="111" t="n">
        <v>0.01388888888888889</v>
      </c>
    </row>
    <row r="302" ht="15" customHeight="1">
      <c r="A302" s="47" t="n">
        <v>46080</v>
      </c>
      <c r="B302" s="23" t="inlineStr">
        <is>
          <t>G3S 10</t>
        </is>
      </c>
      <c r="C302" s="23" t="inlineStr">
        <is>
          <t>Qualidade</t>
        </is>
      </c>
      <c r="D302" s="48" t="inlineStr">
        <is>
          <t>Suporte ao João(qualidade) para reestruturação de centros de custo das placas</t>
        </is>
      </c>
      <c r="E302" s="111" t="n">
        <v>0.4375</v>
      </c>
      <c r="F302" s="111" t="n">
        <v>0.4583333333333333</v>
      </c>
      <c r="G302" s="111" t="n">
        <v>0.02083333333333333</v>
      </c>
    </row>
    <row r="303" ht="15" customHeight="1">
      <c r="A303" s="63" t="n">
        <v>46080</v>
      </c>
      <c r="B303" s="72" t="inlineStr">
        <is>
          <t>G3S 10</t>
        </is>
      </c>
      <c r="C303" s="72" t="inlineStr">
        <is>
          <t>BCBI Seletiva</t>
        </is>
      </c>
      <c r="D303" s="60" t="inlineStr">
        <is>
          <t xml:space="preserve">Checagem de valores, integrações e inconsistências </t>
        </is>
      </c>
      <c r="E303" s="112" t="n">
        <v>0.4583333333333333</v>
      </c>
      <c r="F303" s="112" t="n">
        <v>0.5</v>
      </c>
      <c r="G303" s="112" t="n">
        <v>0.04166666666666666</v>
      </c>
    </row>
    <row r="304" ht="15" customHeight="1" thickBot="1">
      <c r="A304" s="66" t="n">
        <v>46080</v>
      </c>
      <c r="B304" s="73" t="inlineStr">
        <is>
          <t>G3S 10</t>
        </is>
      </c>
      <c r="C304" s="73" t="inlineStr">
        <is>
          <t>CTA</t>
        </is>
      </c>
      <c r="D304" s="69" t="inlineStr">
        <is>
          <t>checagem em dupla com o João entre CTAxSAGI</t>
        </is>
      </c>
      <c r="E304" s="115" t="n">
        <v>0.5416666666666666</v>
      </c>
      <c r="F304" s="115" t="n">
        <v>0.625</v>
      </c>
      <c r="G304" s="115" t="n">
        <v>0.08333333333333333</v>
      </c>
    </row>
    <row r="305" ht="15" customHeight="1" thickTop="1">
      <c r="A305" s="61" t="n">
        <v>46083</v>
      </c>
      <c r="B305" s="33" t="inlineStr">
        <is>
          <t>G3S 10</t>
        </is>
      </c>
      <c r="C305" s="33" t="inlineStr">
        <is>
          <t>Suporte Áreas</t>
        </is>
      </c>
      <c r="D305" s="51" t="inlineStr">
        <is>
          <t>Reunião com Jonatan e Luciano para alinhamento de novas demandas na planilha de compra de sucata USINA/INDÚSTRIA</t>
        </is>
      </c>
      <c r="E305" s="114" t="n">
        <v>0.3333333333333333</v>
      </c>
      <c r="F305" s="114" t="n">
        <v>0.3541666666666667</v>
      </c>
      <c r="G305" s="114" t="n">
        <v>0.02083333333333333</v>
      </c>
    </row>
    <row r="306" ht="15" customHeight="1">
      <c r="A306" s="63" t="n">
        <v>46083</v>
      </c>
      <c r="B306" s="72" t="inlineStr">
        <is>
          <t>G3S 10</t>
        </is>
      </c>
      <c r="C306" s="72" t="inlineStr">
        <is>
          <t>Qualidade</t>
        </is>
      </c>
      <c r="D306" s="60" t="inlineStr">
        <is>
          <t>Alinhamento de demandas com luciano pré reunião no cosmopolitan</t>
        </is>
      </c>
      <c r="E306" s="112" t="n">
        <v>0.3541666666666667</v>
      </c>
      <c r="F306" s="112" t="n">
        <v>0.375</v>
      </c>
      <c r="G306" s="112" t="n">
        <v>0.02083333333333333</v>
      </c>
    </row>
    <row r="307" ht="15" customHeight="1" thickBot="1">
      <c r="A307" s="66" t="n">
        <v>46083</v>
      </c>
      <c r="B307" s="73" t="inlineStr">
        <is>
          <t>G3S 10</t>
        </is>
      </c>
      <c r="C307" s="73" t="inlineStr">
        <is>
          <t>BCBI Seletiva</t>
        </is>
      </c>
      <c r="D307" s="69" t="inlineStr">
        <is>
          <t>Preparação da carga de conta garantida para a seletiva</t>
        </is>
      </c>
      <c r="E307" s="115" t="n">
        <v>0.375</v>
      </c>
      <c r="F307" s="115" t="n">
        <v>0.4097222222222222</v>
      </c>
      <c r="G307" s="115" t="n">
        <v>0.03472222222222222</v>
      </c>
    </row>
    <row r="308" ht="15" customHeight="1" thickTop="1">
      <c r="A308" s="61" t="n">
        <v>46083</v>
      </c>
      <c r="B308" s="33" t="inlineStr">
        <is>
          <t>G3S 10</t>
        </is>
      </c>
      <c r="C308" s="33" t="inlineStr">
        <is>
          <t>BCBI Seletiva</t>
        </is>
      </c>
      <c r="D308" s="51" t="inlineStr">
        <is>
          <t>Comunicação de erros de cálculo no BCBI dentro do grupo do whatsapp</t>
        </is>
      </c>
      <c r="E308" s="114" t="n">
        <v>0.4097222222222222</v>
      </c>
      <c r="F308" s="114" t="n">
        <v>0.4270833333333333</v>
      </c>
      <c r="G308" s="114" t="n">
        <v>0.01736111111111111</v>
      </c>
    </row>
    <row r="309" ht="15" customHeight="1">
      <c r="A309" s="47" t="n">
        <v>46083</v>
      </c>
      <c r="B309" s="23" t="inlineStr">
        <is>
          <t>G3S 10</t>
        </is>
      </c>
      <c r="C309" s="23" t="inlineStr">
        <is>
          <t>CTA</t>
        </is>
      </c>
      <c r="D309" s="48" t="inlineStr">
        <is>
          <t>Reunião com João paulo e jose(sygecom) para verificação de integração CTAxSAGI</t>
        </is>
      </c>
      <c r="E309" s="111" t="n">
        <v>0.4270833333333333</v>
      </c>
      <c r="F309" s="111" t="n">
        <v>0.4375</v>
      </c>
      <c r="G309" s="111" t="n">
        <v>0.01041666666666667</v>
      </c>
    </row>
    <row r="310" ht="15" customHeight="1">
      <c r="A310" s="63" t="n">
        <v>46083</v>
      </c>
      <c r="B310" s="72" t="inlineStr">
        <is>
          <t>G3S 10</t>
        </is>
      </c>
      <c r="C310" s="72" t="inlineStr">
        <is>
          <t>BCBI Seletiva</t>
        </is>
      </c>
      <c r="D310" s="60" t="inlineStr">
        <is>
          <t>Validação de cards e valores do BI, pré reunião</t>
        </is>
      </c>
      <c r="E310" s="112" t="n">
        <v>0.4375</v>
      </c>
      <c r="F310" s="112" t="n">
        <v>0.5069444444444444</v>
      </c>
      <c r="G310" s="112" t="n">
        <v>0.06944444444444445</v>
      </c>
    </row>
    <row r="311" ht="15" customHeight="1" thickBot="1">
      <c r="A311" s="66" t="n">
        <v>46083</v>
      </c>
      <c r="B311" s="73" t="inlineStr">
        <is>
          <t>G3S 10</t>
        </is>
      </c>
      <c r="C311" s="73" t="inlineStr">
        <is>
          <t>BCBI Seletiva</t>
        </is>
      </c>
      <c r="D311" s="69" t="inlineStr">
        <is>
          <t>Validação de cards e valores do BI, pré reunião</t>
        </is>
      </c>
      <c r="E311" s="115" t="n">
        <v>0.5486111111111112</v>
      </c>
      <c r="F311" s="115" t="n">
        <v>0.6041666666666666</v>
      </c>
      <c r="G311" s="115" t="n">
        <v>0.05555555555555555</v>
      </c>
    </row>
    <row r="312" ht="15" customHeight="1" thickTop="1">
      <c r="A312" s="61" t="n">
        <v>46084</v>
      </c>
      <c r="B312" s="33" t="inlineStr">
        <is>
          <t>G3S 10</t>
        </is>
      </c>
      <c r="C312" s="33" t="inlineStr">
        <is>
          <t>Suporte Áreas</t>
        </is>
      </c>
      <c r="D312" s="51" t="inlineStr">
        <is>
          <t>Rateio de centros de custo dos PJ's para JOAO FINANCEIRO</t>
        </is>
      </c>
      <c r="E312" s="114" t="n">
        <v>0.3333333333333333</v>
      </c>
      <c r="F312" s="114" t="n">
        <v>0.4166666666666667</v>
      </c>
      <c r="G312" s="114" t="n">
        <v>0.08333333333333333</v>
      </c>
    </row>
    <row r="313" ht="15" customHeight="1">
      <c r="A313" s="63" t="n">
        <v>46084</v>
      </c>
      <c r="B313" s="72" t="inlineStr">
        <is>
          <t>G3S 10</t>
        </is>
      </c>
      <c r="C313" s="72" t="inlineStr">
        <is>
          <t>BCBI Seletiva</t>
        </is>
      </c>
      <c r="D313" s="60" t="inlineStr">
        <is>
          <t>Conferencia de dados BCBIxODBC</t>
        </is>
      </c>
      <c r="E313" s="112" t="n">
        <v>0.4166666666666667</v>
      </c>
      <c r="F313" s="112" t="n">
        <v>0.5104166666666666</v>
      </c>
      <c r="G313" s="112" t="n">
        <v>0.09375</v>
      </c>
    </row>
    <row r="314" ht="15" customHeight="1" thickBot="1">
      <c r="A314" s="66" t="n">
        <v>46084</v>
      </c>
      <c r="B314" s="73" t="inlineStr">
        <is>
          <t>G3S 10</t>
        </is>
      </c>
      <c r="C314" s="73" t="inlineStr">
        <is>
          <t>BCBI Seletiva</t>
        </is>
      </c>
      <c r="D314" s="69" t="inlineStr">
        <is>
          <t>Conferencia de dados BCBIxODBC</t>
        </is>
      </c>
      <c r="E314" s="115" t="n">
        <v>0.5520833333333334</v>
      </c>
      <c r="F314" s="115" t="n">
        <v>0.625</v>
      </c>
      <c r="G314" s="115" t="n">
        <v>0.07291666666666667</v>
      </c>
    </row>
    <row r="315" ht="15" customHeight="1" thickTop="1">
      <c r="A315" s="61" t="n">
        <v>46085</v>
      </c>
      <c r="B315" s="33" t="inlineStr">
        <is>
          <t>G3S 10</t>
        </is>
      </c>
      <c r="C315" s="33" t="inlineStr">
        <is>
          <t>BCBI Seletiva</t>
        </is>
      </c>
      <c r="D315" s="51" t="inlineStr">
        <is>
          <t>Análise dos custos e indentificação de erros de lançamento, correção via banco e comunicação ao usuário da forma correta a se fazer</t>
        </is>
      </c>
      <c r="E315" s="114" t="n">
        <v>0.3333333333333333</v>
      </c>
      <c r="F315" s="114" t="n">
        <v>0.3958333333333333</v>
      </c>
      <c r="G315" s="114" t="n">
        <v>0.0625</v>
      </c>
    </row>
    <row r="316" ht="15" customHeight="1">
      <c r="A316" s="47" t="n">
        <v>46085</v>
      </c>
      <c r="B316" s="23" t="inlineStr">
        <is>
          <t>G3S 10</t>
        </is>
      </c>
      <c r="C316" s="23" t="inlineStr">
        <is>
          <t>BCBI Seletiva</t>
        </is>
      </c>
      <c r="D316" s="48" t="inlineStr">
        <is>
          <t>Reunião com João Paulo, Luciano e Matheus consulti para falarmos sobre o BCBI. Foi detectado erros na base de dados ao aplicarmos filtros, vamos marcar horário com Leonardo para ver isso</t>
        </is>
      </c>
      <c r="E316" s="111" t="n">
        <v>0.3958333333333333</v>
      </c>
      <c r="F316" s="111" t="n">
        <v>0.4722222222222222</v>
      </c>
      <c r="G316" s="111" t="n">
        <v>0.0763888888888889</v>
      </c>
    </row>
    <row r="317" ht="15" customHeight="1">
      <c r="A317" s="63" t="n">
        <v>46085</v>
      </c>
      <c r="B317" s="72" t="inlineStr">
        <is>
          <t>G3S 10</t>
        </is>
      </c>
      <c r="C317" s="72" t="inlineStr">
        <is>
          <t>BCBI Seletiva</t>
        </is>
      </c>
      <c r="D317" s="60" t="inlineStr">
        <is>
          <t>Alinhamento de soluções para erros do BCBI</t>
        </is>
      </c>
      <c r="E317" s="112" t="n">
        <v>0.4722222222222222</v>
      </c>
      <c r="F317" s="112" t="n">
        <v>0.5208333333333334</v>
      </c>
      <c r="G317" s="112" t="n">
        <v>0.04861111111111111</v>
      </c>
    </row>
    <row r="318" ht="15" customHeight="1" thickBot="1">
      <c r="A318" s="66" t="n">
        <v>46085</v>
      </c>
      <c r="B318" s="73" t="inlineStr">
        <is>
          <t>G3S 10</t>
        </is>
      </c>
      <c r="C318" s="73" t="inlineStr">
        <is>
          <t>Fechamento</t>
        </is>
      </c>
      <c r="D318" s="69" t="inlineStr">
        <is>
          <t>Tratamento dos dados de fechamento março pré carga</t>
        </is>
      </c>
      <c r="E318" s="115" t="n">
        <v>0.5416666666666666</v>
      </c>
      <c r="F318" s="115" t="n">
        <v>0.625</v>
      </c>
      <c r="G318" s="115" t="n">
        <v>0.08333333333333333</v>
      </c>
    </row>
    <row r="319" ht="15" customHeight="1" thickTop="1">
      <c r="A319" s="61" t="n">
        <v>46086</v>
      </c>
      <c r="B319" s="33" t="inlineStr">
        <is>
          <t>G3S 10</t>
        </is>
      </c>
      <c r="C319" s="33" t="inlineStr">
        <is>
          <t>Juros e multas</t>
        </is>
      </c>
      <c r="D319" s="51" t="inlineStr">
        <is>
          <t>Readequação de centro de custo de lançamentos de juros referentes a financiamento BB</t>
        </is>
      </c>
      <c r="E319" s="114" t="n">
        <v>0.3333333333333333</v>
      </c>
      <c r="F319" s="114" t="n">
        <v>0.3541666666666667</v>
      </c>
      <c r="G319" s="114" t="n">
        <v>0.02083333333333333</v>
      </c>
    </row>
    <row r="320" ht="15" customHeight="1">
      <c r="A320" s="47" t="n">
        <v>46086</v>
      </c>
      <c r="B320" s="23" t="inlineStr">
        <is>
          <t>Rh</t>
        </is>
      </c>
      <c r="C320" s="23" t="inlineStr">
        <is>
          <t xml:space="preserve">Ginástica </t>
        </is>
      </c>
      <c r="D320" s="48" t="inlineStr">
        <is>
          <t>Ginástica Laboral</t>
        </is>
      </c>
      <c r="E320" s="111" t="n">
        <v>0.3541666666666667</v>
      </c>
      <c r="F320" s="111" t="n">
        <v>0.3680555555555556</v>
      </c>
      <c r="G320" s="111" t="n">
        <v>0.01388888888888889</v>
      </c>
    </row>
    <row r="321" ht="15" customHeight="1">
      <c r="A321" s="47" t="n">
        <v>46086</v>
      </c>
      <c r="B321" s="23" t="inlineStr">
        <is>
          <t>G3S 10</t>
        </is>
      </c>
      <c r="C321" s="23" t="inlineStr">
        <is>
          <t>BCBI Seletiva</t>
        </is>
      </c>
      <c r="D321" s="48" t="inlineStr">
        <is>
          <t>Validação de entregas Matheus</t>
        </is>
      </c>
      <c r="E321" s="111" t="n">
        <v>0.3680555555555556</v>
      </c>
      <c r="F321" s="111" t="n">
        <v>0.3888888888888889</v>
      </c>
      <c r="G321" s="111" t="n">
        <v>0.02083333333333333</v>
      </c>
    </row>
    <row r="322" ht="15" customHeight="1">
      <c r="A322" s="47" t="n">
        <v>46086</v>
      </c>
      <c r="B322" s="23" t="inlineStr">
        <is>
          <t>G3S 10</t>
        </is>
      </c>
      <c r="C322" s="23" t="inlineStr">
        <is>
          <t>SAGI</t>
        </is>
      </c>
      <c r="D322" s="48" t="inlineStr">
        <is>
          <t>Reparametrização de centros de custo por filial para as contas de pesagem avulsa e comunicação para Renato(sagi) e Leonardo(Sagi) para realizarem os ajustes dentro do sistema</t>
        </is>
      </c>
      <c r="E322" s="111" t="n">
        <v>0.3888888888888889</v>
      </c>
      <c r="F322" s="111" t="n">
        <v>0.3958333333333333</v>
      </c>
      <c r="G322" s="111" t="n">
        <v>0.006944444444444444</v>
      </c>
    </row>
    <row r="323" ht="15" customHeight="1">
      <c r="A323" s="63" t="n">
        <v>46086</v>
      </c>
      <c r="B323" s="72" t="inlineStr">
        <is>
          <t>G3S 10</t>
        </is>
      </c>
      <c r="C323" s="72" t="inlineStr">
        <is>
          <t>BCBI Seletiva</t>
        </is>
      </c>
      <c r="D323" s="60" t="inlineStr">
        <is>
          <t xml:space="preserve">Readequação carga de depreciação de acordo com novos valores </t>
        </is>
      </c>
      <c r="E323" s="112" t="n">
        <v>0.3958333333333333</v>
      </c>
      <c r="F323" s="112" t="n">
        <v>0.5173611111111112</v>
      </c>
      <c r="G323" s="112" t="n">
        <v>0.1215277777777778</v>
      </c>
    </row>
    <row r="324" ht="15" customHeight="1" thickBot="1">
      <c r="A324" s="66" t="n">
        <v>46086</v>
      </c>
      <c r="B324" s="73" t="inlineStr">
        <is>
          <t>G3S 10</t>
        </is>
      </c>
      <c r="C324" s="73" t="inlineStr">
        <is>
          <t>BCBI Seletiva</t>
        </is>
      </c>
      <c r="D324" s="69" t="inlineStr">
        <is>
          <t>Validação de cargas e conferência de dados</t>
        </is>
      </c>
      <c r="E324" s="115" t="n">
        <v>0.5416666666666666</v>
      </c>
      <c r="F324" s="115" t="n">
        <v>0.625</v>
      </c>
      <c r="G324" s="115" t="n">
        <v>0.08333333333333333</v>
      </c>
    </row>
    <row r="325" ht="15" customHeight="1" thickTop="1">
      <c r="A325" s="78" t="n">
        <v>46087</v>
      </c>
      <c r="B325" s="88" t="inlineStr">
        <is>
          <t>G3S 10</t>
        </is>
      </c>
      <c r="C325" s="88" t="inlineStr">
        <is>
          <t>BCBI Seletiva</t>
        </is>
      </c>
      <c r="D325" s="79" t="inlineStr">
        <is>
          <t>Geração de carga de rateio da PILARES e do APOIO para lançar no BCBI</t>
        </is>
      </c>
      <c r="E325" s="116" t="n">
        <v>0.3333333333333333</v>
      </c>
      <c r="F325" s="116" t="n">
        <v>0.5208333333333334</v>
      </c>
      <c r="G325" s="116" t="n">
        <v>0.1875</v>
      </c>
    </row>
    <row r="326" ht="15" customHeight="1" thickBot="1">
      <c r="A326" s="66" t="n">
        <v>46087</v>
      </c>
      <c r="B326" s="73" t="inlineStr">
        <is>
          <t>G3S 10</t>
        </is>
      </c>
      <c r="C326" s="73" t="inlineStr">
        <is>
          <t>BCBI Seletiva</t>
        </is>
      </c>
      <c r="D326" s="69" t="inlineStr">
        <is>
          <t>Checagem de erros no BCBI, análise vertical, ausencia de descricao, etc.</t>
        </is>
      </c>
      <c r="E326" s="115" t="n">
        <v>0.5208333333333334</v>
      </c>
      <c r="F326" s="115" t="n">
        <v>0.5833333333333334</v>
      </c>
      <c r="G326" s="115" t="n">
        <v>0.0625</v>
      </c>
    </row>
    <row r="327" ht="15" customHeight="1" thickTop="1">
      <c r="A327" s="61" t="n">
        <v>46090</v>
      </c>
      <c r="B327" s="33" t="inlineStr">
        <is>
          <t>G3S 10</t>
        </is>
      </c>
      <c r="C327" s="33" t="inlineStr">
        <is>
          <t>BCBI Seletiva</t>
        </is>
      </c>
      <c r="D327" s="51" t="inlineStr">
        <is>
          <t>Conferencia de dados BCBIxODBC</t>
        </is>
      </c>
      <c r="E327" s="114" t="n">
        <v>0.3333333333333333</v>
      </c>
      <c r="F327" s="114" t="n">
        <v>0.5104166666666666</v>
      </c>
      <c r="G327" s="114" t="n">
        <v>0.1770833333333333</v>
      </c>
    </row>
    <row r="328" ht="15" customHeight="1">
      <c r="A328" s="63" t="n">
        <v>46090</v>
      </c>
      <c r="B328" s="72" t="inlineStr">
        <is>
          <t>G3S 10</t>
        </is>
      </c>
      <c r="C328" s="72" t="inlineStr">
        <is>
          <t>Consulti</t>
        </is>
      </c>
      <c r="D328" s="60" t="inlineStr">
        <is>
          <t>Abertura de ticket na consulti para configuração da conexão ODBC para fins de consulta e checagem de valores.</t>
        </is>
      </c>
      <c r="E328" s="112" t="n">
        <v>0.5104166666666666</v>
      </c>
      <c r="F328" s="112" t="n">
        <v>0.5208333333333334</v>
      </c>
      <c r="G328" s="112" t="n">
        <v>0.01041666666666667</v>
      </c>
    </row>
    <row r="329" ht="15" customHeight="1" thickBot="1">
      <c r="A329" s="66" t="n">
        <v>46090</v>
      </c>
      <c r="B329" s="73" t="inlineStr">
        <is>
          <t>G3S 10</t>
        </is>
      </c>
      <c r="C329" s="73" t="inlineStr">
        <is>
          <t>BCBI Seletiva</t>
        </is>
      </c>
      <c r="D329" s="69" t="inlineStr">
        <is>
          <t>Solicitação de correções e apontamentos de erros para o Matheus da Consulti</t>
        </is>
      </c>
      <c r="E329" s="115" t="n">
        <v>0.5625</v>
      </c>
      <c r="F329" s="115" t="n">
        <v>0.625</v>
      </c>
      <c r="G329" s="115" t="n">
        <v>0.0625</v>
      </c>
    </row>
    <row r="330" ht="15" customHeight="1" thickTop="1">
      <c r="A330" s="61" t="n">
        <v>46091</v>
      </c>
      <c r="B330" s="33" t="inlineStr">
        <is>
          <t>G3S 10</t>
        </is>
      </c>
      <c r="C330" s="33" t="inlineStr">
        <is>
          <t>Consulti</t>
        </is>
      </c>
      <c r="D330" s="51" t="inlineStr">
        <is>
          <t>Atendimento com Thaina ao chamado aberto ontem(09/03) sobre a conectividade do ODBC, Thaina não conseguiu resolver então escalou para o Caique para dar sequeência</t>
        </is>
      </c>
      <c r="E330" s="114" t="n">
        <v>0.3333333333333333</v>
      </c>
      <c r="F330" s="114" t="n">
        <v>0.4027777777777778</v>
      </c>
      <c r="G330" s="114" t="n">
        <v>0.06944444444444445</v>
      </c>
    </row>
    <row r="331" ht="15" customHeight="1">
      <c r="A331" s="47" t="n">
        <v>46091</v>
      </c>
      <c r="B331" s="23" t="inlineStr">
        <is>
          <t>G3S 10</t>
        </is>
      </c>
      <c r="C331" s="23" t="inlineStr">
        <is>
          <t>BCBI Seletiva</t>
        </is>
      </c>
      <c r="D331" s="48" t="inlineStr">
        <is>
          <t>Confronto BCBI RECEITAS x ODBC</t>
        </is>
      </c>
      <c r="E331" s="111" t="n">
        <v>0.4027777777777778</v>
      </c>
      <c r="F331" s="111" t="n">
        <v>0.4791666666666667</v>
      </c>
      <c r="G331" s="111" t="n">
        <v>0.0763888888888889</v>
      </c>
    </row>
    <row r="332" ht="15" customHeight="1">
      <c r="A332" s="47" t="n">
        <v>46091</v>
      </c>
      <c r="B332" s="23" t="inlineStr">
        <is>
          <t>G3S 10</t>
        </is>
      </c>
      <c r="C332" s="23" t="inlineStr">
        <is>
          <t>Suporte Áreas</t>
        </is>
      </c>
      <c r="D332" s="48" t="inlineStr">
        <is>
          <t>Estruturação, junção e tratamento de planilha de produto G&amp;S para Joao Ozores</t>
        </is>
      </c>
      <c r="E332" s="111" t="n">
        <v>0.4791666666666667</v>
      </c>
      <c r="F332" s="111" t="n">
        <v>0.4930555555555556</v>
      </c>
      <c r="G332" s="111" t="n">
        <v>0.01388888888888889</v>
      </c>
    </row>
    <row r="333" ht="15" customHeight="1">
      <c r="A333" s="63" t="n">
        <v>46091</v>
      </c>
      <c r="B333" s="72" t="inlineStr">
        <is>
          <t>G3S 10</t>
        </is>
      </c>
      <c r="C333" s="72" t="inlineStr">
        <is>
          <t>Suporte Áreas</t>
        </is>
      </c>
      <c r="D333" s="60" t="inlineStr">
        <is>
          <t>Relatório de HE do marcondes para fevereiro</t>
        </is>
      </c>
      <c r="E333" s="112" t="n">
        <v>0.4930555555555556</v>
      </c>
      <c r="F333" s="112" t="n">
        <v>0.5208333333333334</v>
      </c>
      <c r="G333" s="112" t="n">
        <v>0.02777777777777778</v>
      </c>
    </row>
    <row r="334" ht="15" customHeight="1" thickBot="1">
      <c r="A334" s="66" t="n">
        <v>46091</v>
      </c>
      <c r="B334" s="73" t="inlineStr">
        <is>
          <t>G3S 10</t>
        </is>
      </c>
      <c r="C334" s="73" t="inlineStr">
        <is>
          <t>Suporte Áreas</t>
        </is>
      </c>
      <c r="D334" s="69" t="inlineStr">
        <is>
          <t>Suporte Gisele planilha de logistica reversa</t>
        </is>
      </c>
      <c r="E334" s="115" t="n">
        <v>0.5625</v>
      </c>
      <c r="F334" s="115" t="n">
        <v>0.625</v>
      </c>
      <c r="G334" s="115" t="n">
        <v>0.0625</v>
      </c>
    </row>
    <row r="335" ht="15" customHeight="1" thickTop="1">
      <c r="A335" s="61" t="n">
        <v>46092</v>
      </c>
      <c r="B335" s="33" t="inlineStr">
        <is>
          <t>G3S 10</t>
        </is>
      </c>
      <c r="C335" s="33" t="inlineStr">
        <is>
          <t>Fechamento</t>
        </is>
      </c>
      <c r="D335" s="51" t="inlineStr">
        <is>
          <t>Início fechamento 2026, bases janeiro e fevereiro</t>
        </is>
      </c>
      <c r="E335" s="114" t="n">
        <v>0.3333333333333333</v>
      </c>
      <c r="F335" s="114" t="n">
        <v>0.4479166666666667</v>
      </c>
      <c r="G335" s="114" t="n">
        <v>0.1145833333333333</v>
      </c>
    </row>
    <row r="336" ht="15" customHeight="1">
      <c r="A336" s="63" t="n">
        <v>46092</v>
      </c>
      <c r="B336" s="72" t="inlineStr">
        <is>
          <t>G3S 10</t>
        </is>
      </c>
      <c r="C336" s="72" t="inlineStr">
        <is>
          <t>Suporte Áreas</t>
        </is>
      </c>
      <c r="D336" s="60" t="inlineStr">
        <is>
          <t>Desenvolvimento FOPA fevereiro para Giovane(está viajando)</t>
        </is>
      </c>
      <c r="E336" s="112" t="n">
        <v>0.4479166666666667</v>
      </c>
      <c r="F336" s="112" t="n">
        <v>0.5208333333333334</v>
      </c>
      <c r="G336" s="112" t="n">
        <v>0.07291666666666667</v>
      </c>
    </row>
    <row r="337" ht="15" customHeight="1" thickBot="1">
      <c r="A337" s="66" t="n">
        <v>46092</v>
      </c>
      <c r="B337" s="73" t="inlineStr">
        <is>
          <t>G3S 10</t>
        </is>
      </c>
      <c r="C337" s="73" t="inlineStr">
        <is>
          <t>Suporte Áreas</t>
        </is>
      </c>
      <c r="D337" s="69" t="inlineStr">
        <is>
          <t>Desenvolvimento FOPA fevereiro para Giovane(está viajando)</t>
        </is>
      </c>
      <c r="E337" s="115" t="n">
        <v>0.5625</v>
      </c>
      <c r="F337" s="115" t="n">
        <v>0.6319444444444444</v>
      </c>
      <c r="G337" s="115" t="n">
        <v>0.06944444444444445</v>
      </c>
    </row>
    <row r="338" ht="15" customHeight="1" thickTop="1">
      <c r="A338" s="61" t="n">
        <v>46093</v>
      </c>
      <c r="B338" s="33" t="inlineStr">
        <is>
          <t>G3S 10</t>
        </is>
      </c>
      <c r="C338" s="33" t="inlineStr">
        <is>
          <t>Suporte Áreas</t>
        </is>
      </c>
      <c r="D338" s="51" t="inlineStr">
        <is>
          <t>Desenvolvimento FOPA fevereiro para Giovane(está viajando)</t>
        </is>
      </c>
      <c r="E338" s="114" t="n">
        <v>0.3333333333333333</v>
      </c>
      <c r="F338" s="114" t="n">
        <v>0.3541666666666667</v>
      </c>
      <c r="G338" s="114" t="n">
        <v>0.02083333333333333</v>
      </c>
    </row>
    <row r="339" ht="15" customHeight="1">
      <c r="A339" s="47" t="n">
        <v>46093</v>
      </c>
      <c r="B339" s="23" t="inlineStr">
        <is>
          <t>Rh</t>
        </is>
      </c>
      <c r="C339" s="23" t="inlineStr">
        <is>
          <t xml:space="preserve">Ginástica </t>
        </is>
      </c>
      <c r="D339" s="48" t="inlineStr">
        <is>
          <t>Ginástica Laboral</t>
        </is>
      </c>
      <c r="E339" s="111" t="n">
        <v>0.3541666666666667</v>
      </c>
      <c r="F339" s="111" t="n">
        <v>0.3645833333333333</v>
      </c>
      <c r="G339" s="111" t="n">
        <v>0.01041666666666667</v>
      </c>
    </row>
    <row r="340" ht="15" customHeight="1">
      <c r="A340" s="47" t="n">
        <v>46093</v>
      </c>
      <c r="B340" s="23" t="inlineStr">
        <is>
          <t>G3S 10</t>
        </is>
      </c>
      <c r="C340" s="23" t="inlineStr">
        <is>
          <t>Suporte Áreas</t>
        </is>
      </c>
      <c r="D340" s="48" t="inlineStr">
        <is>
          <t>Desenvolvimento FOPA fevereiro para Giovane(está viajando)</t>
        </is>
      </c>
      <c r="E340" s="111" t="n">
        <v>0.3645833333333333</v>
      </c>
      <c r="F340" s="111" t="n">
        <v>0.375</v>
      </c>
      <c r="G340" s="111" t="n">
        <v>0.01041666666666667</v>
      </c>
    </row>
    <row r="341" ht="15" customHeight="1">
      <c r="A341" s="47" t="n">
        <v>46093</v>
      </c>
      <c r="B341" s="23" t="inlineStr">
        <is>
          <t>Consulti</t>
        </is>
      </c>
      <c r="C341" s="23" t="inlineStr">
        <is>
          <t>Chamado</t>
        </is>
      </c>
      <c r="D341" s="48" t="inlineStr">
        <is>
          <t>consulti desempenho</t>
        </is>
      </c>
      <c r="E341" s="111" t="n">
        <v>0.375</v>
      </c>
      <c r="F341" s="111" t="n">
        <v>0.3854166666666667</v>
      </c>
      <c r="G341" s="111" t="n">
        <v>0.01041666666666667</v>
      </c>
    </row>
    <row r="342" ht="15" customHeight="1">
      <c r="A342" s="47" t="n">
        <v>46093</v>
      </c>
      <c r="B342" s="23" t="inlineStr">
        <is>
          <t>G3S 10</t>
        </is>
      </c>
      <c r="C342" s="23" t="inlineStr">
        <is>
          <t>Suporte Áreas</t>
        </is>
      </c>
      <c r="D342" s="48" t="inlineStr">
        <is>
          <t>Finalização do arquivo da folha e notificação para Giovane validar</t>
        </is>
      </c>
      <c r="E342" s="111" t="n">
        <v>0.3854166666666667</v>
      </c>
      <c r="F342" s="111" t="n">
        <v>0.4097222222222222</v>
      </c>
      <c r="G342" s="111" t="n">
        <v>0.02430555555555556</v>
      </c>
    </row>
    <row r="343" ht="15" customHeight="1">
      <c r="A343" s="47" t="n">
        <v>46093</v>
      </c>
      <c r="B343" s="23" t="inlineStr">
        <is>
          <t>G3S 10</t>
        </is>
      </c>
      <c r="C343" s="23" t="inlineStr">
        <is>
          <t>Suporte Áreas</t>
        </is>
      </c>
      <c r="D343" s="48" t="inlineStr">
        <is>
          <t>Identificação e correção de erros na folha identificados com GIOVANE</t>
        </is>
      </c>
      <c r="E343" s="111" t="n">
        <v>0.4097222222222222</v>
      </c>
      <c r="F343" s="111" t="n">
        <v>0.4791666666666667</v>
      </c>
      <c r="G343" s="111" t="n">
        <v>0.06944444444444445</v>
      </c>
    </row>
    <row r="344" ht="15" customHeight="1">
      <c r="A344" s="63" t="n">
        <v>46093</v>
      </c>
      <c r="B344" s="72" t="inlineStr">
        <is>
          <t>G3S 10</t>
        </is>
      </c>
      <c r="C344" s="72" t="inlineStr">
        <is>
          <t>BCBI Seletiva</t>
        </is>
      </c>
      <c r="D344" s="60" t="inlineStr">
        <is>
          <t>Reunião com Giseele, Luciano, Leo(sagi), Matheus(consulti) e Caique(Consulti) para falarmos sobre mudanças do BI. Foi apontado pelo Caique q o SQL do ODBC está desatualizado</t>
        </is>
      </c>
      <c r="E344" s="112" t="n">
        <v>0.4791666666666667</v>
      </c>
      <c r="F344" s="112" t="n">
        <v>0.5208333333333334</v>
      </c>
      <c r="G344" s="112" t="n">
        <v>0.04166666666666666</v>
      </c>
    </row>
    <row r="345" ht="15" customHeight="1" thickBot="1">
      <c r="A345" s="66" t="n">
        <v>46093</v>
      </c>
      <c r="B345" s="73" t="inlineStr">
        <is>
          <t>G3S 10</t>
        </is>
      </c>
      <c r="C345" s="73" t="inlineStr">
        <is>
          <t>Suporte Áreas</t>
        </is>
      </c>
      <c r="D345" s="69" t="inlineStr">
        <is>
          <t>Identificação e correção de erros na folha identificados com GIOVANE</t>
        </is>
      </c>
      <c r="E345" s="115" t="n">
        <v>0.5625</v>
      </c>
      <c r="F345" s="115" t="n">
        <v>0.625</v>
      </c>
      <c r="G345" s="115" t="n">
        <v>0.0625</v>
      </c>
    </row>
    <row r="346" ht="15" customHeight="1" thickTop="1">
      <c r="A346" s="61" t="n">
        <v>46094</v>
      </c>
      <c r="B346" s="33" t="inlineStr">
        <is>
          <t>G3S 10</t>
        </is>
      </c>
      <c r="C346" s="33" t="inlineStr">
        <is>
          <t>BCBI Seletiva</t>
        </is>
      </c>
      <c r="D346" s="51" t="inlineStr">
        <is>
          <t>Trabalho conjunto com Luciano, checagem de informações do fechamento 2026</t>
        </is>
      </c>
      <c r="E346" s="114" t="n">
        <v>0.3333333333333333</v>
      </c>
      <c r="F346" s="114" t="n">
        <v>0.5208333333333334</v>
      </c>
      <c r="G346" s="114" t="n">
        <v>0.1875</v>
      </c>
    </row>
    <row r="347" ht="15" customHeight="1">
      <c r="A347" s="63" t="n">
        <v>46094</v>
      </c>
      <c r="B347" s="72" t="inlineStr">
        <is>
          <t>G3S 10</t>
        </is>
      </c>
      <c r="C347" s="72" t="inlineStr">
        <is>
          <t>Suporte Áreas</t>
        </is>
      </c>
      <c r="D347" s="60" t="inlineStr">
        <is>
          <t>Conversa com Wilgner sobre lançamentos de notas de PJ</t>
        </is>
      </c>
      <c r="E347" s="112" t="n">
        <v>0.5625</v>
      </c>
      <c r="F347" s="112" t="n">
        <v>0.59375</v>
      </c>
      <c r="G347" s="112" t="n">
        <v>0.03125</v>
      </c>
    </row>
    <row r="348" ht="15" customHeight="1" thickBot="1">
      <c r="A348" s="66" t="n">
        <v>46094</v>
      </c>
      <c r="B348" s="73" t="inlineStr">
        <is>
          <t>G3S 10</t>
        </is>
      </c>
      <c r="C348" s="73" t="inlineStr">
        <is>
          <t>Fechamento</t>
        </is>
      </c>
      <c r="D348" s="69" t="inlineStr">
        <is>
          <t>Análise dos dados e verificação  em conjunto com Luciano</t>
        </is>
      </c>
      <c r="E348" s="115" t="n">
        <v>0.59375</v>
      </c>
      <c r="F348" s="115" t="n">
        <v>0.6666666666666666</v>
      </c>
      <c r="G348" s="115" t="n">
        <v>0.07291666666666667</v>
      </c>
    </row>
    <row r="349" ht="15" customHeight="1" thickTop="1">
      <c r="A349" s="61" t="n">
        <v>46097</v>
      </c>
      <c r="B349" s="33" t="inlineStr">
        <is>
          <t>G3S 10</t>
        </is>
      </c>
      <c r="C349" s="33" t="inlineStr">
        <is>
          <t>Fechamento</t>
        </is>
      </c>
      <c r="D349" s="51" t="inlineStr">
        <is>
          <t>Emissão de relatórios de compra e venda de sucata para o fechamento jan e fev</t>
        </is>
      </c>
      <c r="E349" s="114" t="n">
        <v>0.3333333333333333</v>
      </c>
      <c r="F349" s="114" t="n">
        <v>0.4375</v>
      </c>
      <c r="G349" s="114" t="n">
        <v>0.1041666666666667</v>
      </c>
    </row>
    <row r="350" ht="15" customHeight="1">
      <c r="A350" s="47" t="n">
        <v>46097</v>
      </c>
      <c r="B350" s="23" t="inlineStr">
        <is>
          <t>G3S 10</t>
        </is>
      </c>
      <c r="C350" s="23" t="inlineStr">
        <is>
          <t>Fechamento</t>
        </is>
      </c>
      <c r="D350" s="48" t="inlineStr">
        <is>
          <t>Fechamento dados SUPPLY</t>
        </is>
      </c>
      <c r="E350" s="111" t="n">
        <v>0.4375</v>
      </c>
      <c r="F350" s="111" t="n">
        <v>0.5208333333333334</v>
      </c>
      <c r="G350" s="111" t="n">
        <v>0.08333333333333333</v>
      </c>
    </row>
    <row r="351" ht="15" customHeight="1">
      <c r="A351" s="63" t="n">
        <v>46097</v>
      </c>
      <c r="B351" s="72" t="inlineStr">
        <is>
          <t>G3S 10</t>
        </is>
      </c>
      <c r="C351" s="72" t="inlineStr">
        <is>
          <t>Fechamento</t>
        </is>
      </c>
      <c r="D351" s="60" t="inlineStr">
        <is>
          <t>Fechamento dados SUPPLY</t>
        </is>
      </c>
      <c r="E351" s="112" t="n">
        <v>0.5625</v>
      </c>
      <c r="F351" s="112" t="n">
        <v>0.5833333333333334</v>
      </c>
      <c r="G351" s="112" t="n">
        <v>0.02083333333333333</v>
      </c>
    </row>
    <row r="352" ht="15" customHeight="1" thickBot="1">
      <c r="A352" s="66" t="n">
        <v>46097</v>
      </c>
      <c r="B352" s="73" t="inlineStr">
        <is>
          <t>G3S 10</t>
        </is>
      </c>
      <c r="C352" s="73" t="inlineStr">
        <is>
          <t>Briefing com Leonardo</t>
        </is>
      </c>
      <c r="D352" s="69" t="inlineStr">
        <is>
          <t>Reunião com cristina e Leonardo sobre o BCBI</t>
        </is>
      </c>
      <c r="E352" s="115" t="n">
        <v>0.5833333333333334</v>
      </c>
      <c r="F352" s="115" t="n">
        <v>0.625</v>
      </c>
      <c r="G352" s="115" t="n">
        <v>0.04166666666666666</v>
      </c>
    </row>
    <row r="353" ht="15" customHeight="1" thickTop="1">
      <c r="A353" s="61" t="n">
        <v>46098</v>
      </c>
      <c r="B353" s="33" t="inlineStr">
        <is>
          <t>G3S 10</t>
        </is>
      </c>
      <c r="C353" s="33" t="inlineStr">
        <is>
          <t>Fechamento</t>
        </is>
      </c>
      <c r="D353" s="51" t="inlineStr">
        <is>
          <t>Finalização do fechamento dos dados do SUPPLY, e fechamento dados ATUA e FOPA</t>
        </is>
      </c>
      <c r="E353" s="114" t="n">
        <v>0.3333333333333333</v>
      </c>
      <c r="F353" s="114" t="n">
        <v>0.5173611111111112</v>
      </c>
      <c r="G353" s="114" t="n">
        <v>0.1840277777777778</v>
      </c>
    </row>
    <row r="354" ht="15" customHeight="1">
      <c r="A354" s="63" t="n">
        <v>46098</v>
      </c>
      <c r="B354" s="72" t="inlineStr">
        <is>
          <t>G3S 10</t>
        </is>
      </c>
      <c r="C354" s="72" t="inlineStr">
        <is>
          <t>Suporte Áreas</t>
        </is>
      </c>
      <c r="D354" s="60" t="inlineStr">
        <is>
          <t>Auxílio para lançamentos de planos de contas e centros de custo para joao financeiro e gabriel suprimentos</t>
        </is>
      </c>
      <c r="E354" s="112" t="n">
        <v>0.5590277777777778</v>
      </c>
      <c r="F354" s="112" t="n">
        <v>0.59375</v>
      </c>
      <c r="G354" s="112" t="n">
        <v>0.03472222222222222</v>
      </c>
    </row>
    <row r="355" ht="15" customHeight="1" thickBot="1">
      <c r="A355" s="66" t="n">
        <v>46098</v>
      </c>
      <c r="B355" s="73" t="inlineStr">
        <is>
          <t>G3S 10</t>
        </is>
      </c>
      <c r="C355" s="73" t="inlineStr">
        <is>
          <t>BCBI Seletiva</t>
        </is>
      </c>
      <c r="D355" s="69" t="inlineStr">
        <is>
          <t>Checagens BCBI solicitadas por Luciano</t>
        </is>
      </c>
      <c r="E355" s="115" t="n">
        <v>0.59375</v>
      </c>
      <c r="F355" s="115" t="n">
        <v>0.625</v>
      </c>
      <c r="G355" s="115" t="n">
        <v>0.03125</v>
      </c>
    </row>
    <row r="356" ht="15" customHeight="1" thickTop="1">
      <c r="A356" s="61" t="n">
        <v>46099</v>
      </c>
      <c r="B356" s="33" t="inlineStr">
        <is>
          <t>G3S 10</t>
        </is>
      </c>
      <c r="C356" s="33" t="inlineStr">
        <is>
          <t>LEONARDO</t>
        </is>
      </c>
      <c r="D356" s="51" t="inlineStr">
        <is>
          <t>Translado leonardo Comfort X Seletiva'</t>
        </is>
      </c>
      <c r="E356" s="114" t="inlineStr">
        <is>
          <t>-</t>
        </is>
      </c>
      <c r="F356" s="114" t="inlineStr">
        <is>
          <t>-</t>
        </is>
      </c>
      <c r="G356" s="114" t="inlineStr">
        <is>
          <t>-</t>
        </is>
      </c>
    </row>
    <row r="357" ht="15" customHeight="1">
      <c r="A357" s="47" t="n">
        <v>46099</v>
      </c>
      <c r="B357" s="23" t="inlineStr">
        <is>
          <t>G3S 10</t>
        </is>
      </c>
      <c r="C357" s="23" t="inlineStr">
        <is>
          <t>Fechamento</t>
        </is>
      </c>
      <c r="D357" s="48" t="inlineStr">
        <is>
          <t>Correção de lançamentos SAGI</t>
        </is>
      </c>
      <c r="E357" s="111" t="n">
        <v>0.3333333333333333</v>
      </c>
      <c r="F357" s="111" t="n">
        <v>0.375</v>
      </c>
      <c r="G357" s="111" t="n">
        <v>0.04166666666666666</v>
      </c>
    </row>
    <row r="358" ht="15" customHeight="1">
      <c r="A358" s="47" t="n">
        <v>46099</v>
      </c>
      <c r="B358" s="23" t="inlineStr">
        <is>
          <t>G3S 10</t>
        </is>
      </c>
      <c r="C358" s="23" t="inlineStr">
        <is>
          <t>Rh</t>
        </is>
      </c>
      <c r="D358" s="48" t="inlineStr">
        <is>
          <t>treinamento estagiários</t>
        </is>
      </c>
      <c r="E358" s="111" t="n">
        <v>0.375</v>
      </c>
      <c r="F358" s="111" t="n">
        <v>0.4375</v>
      </c>
      <c r="G358" s="111" t="n">
        <v>0.0625</v>
      </c>
    </row>
    <row r="359" ht="15" customHeight="1">
      <c r="A359" s="47" t="n">
        <v>46099</v>
      </c>
      <c r="B359" s="23" t="inlineStr">
        <is>
          <t>G&amp;S</t>
        </is>
      </c>
      <c r="C359" s="23" t="inlineStr">
        <is>
          <t>Suporte Áreas</t>
        </is>
      </c>
      <c r="D359" s="48" t="inlineStr">
        <is>
          <t>Geração de relatório de custos ekipa intralogística e ECO EXPO</t>
        </is>
      </c>
      <c r="E359" s="111" t="n">
        <v>0.4375</v>
      </c>
      <c r="F359" s="111" t="n">
        <v>0.4583333333333333</v>
      </c>
      <c r="G359" s="111" t="n">
        <v>0.02083333333333333</v>
      </c>
    </row>
    <row r="360" ht="15" customHeight="1">
      <c r="A360" s="63" t="n">
        <v>46099</v>
      </c>
      <c r="B360" s="72" t="inlineStr">
        <is>
          <t>G3S 10</t>
        </is>
      </c>
      <c r="C360" s="72" t="inlineStr">
        <is>
          <t>Fechamento</t>
        </is>
      </c>
      <c r="D360" s="60" t="inlineStr">
        <is>
          <t>fechamento dados abastecimentos</t>
        </is>
      </c>
      <c r="E360" s="112" t="n">
        <v>0.4583333333333333</v>
      </c>
      <c r="F360" s="112" t="n">
        <v>0.5173611111111112</v>
      </c>
      <c r="G360" s="112" t="n">
        <v>0.05902777777777778</v>
      </c>
    </row>
    <row r="361" ht="15" customHeight="1" thickBot="1">
      <c r="A361" s="66" t="n">
        <v>46099</v>
      </c>
      <c r="B361" s="73" t="inlineStr">
        <is>
          <t>G3S 10</t>
        </is>
      </c>
      <c r="C361" s="73" t="inlineStr">
        <is>
          <t>Fechamento</t>
        </is>
      </c>
      <c r="D361" s="69" t="inlineStr">
        <is>
          <t>fechamento dados abastecimentos</t>
        </is>
      </c>
      <c r="E361" s="115" t="n">
        <v>0.5590277777777778</v>
      </c>
      <c r="F361" s="115" t="n">
        <v>0.625</v>
      </c>
      <c r="G361" s="115" t="n">
        <v>0.06597222222222222</v>
      </c>
    </row>
    <row r="362" ht="15" customHeight="1" thickTop="1">
      <c r="A362" s="78" t="n">
        <v>46100</v>
      </c>
      <c r="B362" s="88" t="inlineStr">
        <is>
          <t>G3S 10</t>
        </is>
      </c>
      <c r="C362" s="88" t="inlineStr">
        <is>
          <t>Qualidade</t>
        </is>
      </c>
      <c r="D362" s="79" t="inlineStr">
        <is>
          <t>Overview Pedro X Julio</t>
        </is>
      </c>
      <c r="E362" s="116" t="n">
        <v>0.3333333333333333</v>
      </c>
      <c r="F362" s="116" t="n">
        <v>0.5104166666666666</v>
      </c>
      <c r="G362" s="116" t="n">
        <v>0.1770833333333333</v>
      </c>
    </row>
    <row r="363" ht="15" customHeight="1" thickBot="1">
      <c r="A363" s="66" t="n">
        <v>46100</v>
      </c>
      <c r="B363" s="73" t="inlineStr">
        <is>
          <t>G3S 10</t>
        </is>
      </c>
      <c r="C363" s="73" t="inlineStr">
        <is>
          <t>Qualidade</t>
        </is>
      </c>
      <c r="D363" s="69" t="inlineStr">
        <is>
          <t>Overview Pedro X Julio</t>
        </is>
      </c>
      <c r="E363" s="115" t="n">
        <v>0.5520833333333334</v>
      </c>
      <c r="F363" s="115" t="n">
        <v>0.625</v>
      </c>
      <c r="G363" s="115" t="n">
        <v>0.07291666666666667</v>
      </c>
    </row>
    <row r="364" ht="15" customHeight="1" thickTop="1">
      <c r="A364" s="61" t="n">
        <v>46101</v>
      </c>
      <c r="B364" s="33" t="inlineStr">
        <is>
          <t>G3S 10</t>
        </is>
      </c>
      <c r="C364" s="33" t="inlineStr">
        <is>
          <t>Qualidade</t>
        </is>
      </c>
      <c r="D364" s="51" t="inlineStr">
        <is>
          <t>Overview Pedro X Julio</t>
        </is>
      </c>
      <c r="E364" s="114" t="n">
        <v>0.3333333333333333</v>
      </c>
      <c r="F364" s="114" t="n">
        <v>0.3541666666666667</v>
      </c>
      <c r="G364" s="114" t="n">
        <v>0.02083333333333333</v>
      </c>
    </row>
    <row r="365" ht="15" customHeight="1">
      <c r="A365" s="47" t="n">
        <v>46101</v>
      </c>
      <c r="B365" s="23" t="inlineStr">
        <is>
          <t>G3S 10</t>
        </is>
      </c>
      <c r="C365" s="23" t="inlineStr">
        <is>
          <t>BCBI Seletiva</t>
        </is>
      </c>
      <c r="D365" s="48" t="inlineStr">
        <is>
          <t>Reunião Leonardo, Luciano, Júlio, Caíque, Matheus para alinharmos integração FOPA x BCBI</t>
        </is>
      </c>
      <c r="E365" s="111" t="n">
        <v>0.3541666666666667</v>
      </c>
      <c r="F365" s="111" t="n">
        <v>0.375</v>
      </c>
      <c r="G365" s="111" t="n">
        <v>0.02083333333333333</v>
      </c>
    </row>
    <row r="366" ht="15" customHeight="1">
      <c r="A366" s="63" t="n">
        <v>46101</v>
      </c>
      <c r="B366" s="72" t="inlineStr">
        <is>
          <t>G3S 10</t>
        </is>
      </c>
      <c r="C366" s="72" t="inlineStr">
        <is>
          <t>Qualidade</t>
        </is>
      </c>
      <c r="D366" s="60" t="inlineStr">
        <is>
          <t>Overview Pedro X Julio</t>
        </is>
      </c>
      <c r="E366" s="112" t="n">
        <v>0.375</v>
      </c>
      <c r="F366" s="112" t="n">
        <v>0.5173611111111112</v>
      </c>
      <c r="G366" s="112" t="n">
        <v>0.1423611111111111</v>
      </c>
    </row>
    <row r="367" ht="15" customHeight="1" thickBot="1">
      <c r="A367" s="66" t="n">
        <v>46101</v>
      </c>
      <c r="B367" s="73" t="inlineStr">
        <is>
          <t>G3S 10</t>
        </is>
      </c>
      <c r="C367" s="73" t="inlineStr">
        <is>
          <t>Qualidade</t>
        </is>
      </c>
      <c r="D367" s="69" t="inlineStr">
        <is>
          <t>Overview Pedro X Julio</t>
        </is>
      </c>
      <c r="E367" s="115" t="n">
        <v>0.5590277777777778</v>
      </c>
      <c r="F367" s="115" t="n">
        <v>0.625</v>
      </c>
      <c r="G367" s="115" t="n">
        <v>0.06597222222222222</v>
      </c>
    </row>
    <row r="368" ht="15" customHeight="1" thickTop="1">
      <c r="A368" s="78" t="n">
        <v>46104</v>
      </c>
      <c r="B368" s="88" t="inlineStr">
        <is>
          <t>G3S 10</t>
        </is>
      </c>
      <c r="C368" s="88" t="inlineStr">
        <is>
          <t>Qualidade</t>
        </is>
      </c>
      <c r="D368" s="79" t="inlineStr">
        <is>
          <t>Cadastro nos sistemas</t>
        </is>
      </c>
      <c r="E368" s="116" t="n">
        <v>0.3333333333333333</v>
      </c>
      <c r="F368" s="116" t="n">
        <v>0.5</v>
      </c>
      <c r="G368" s="116" t="n">
        <v>0.1666666666666667</v>
      </c>
    </row>
    <row r="369" ht="15" customHeight="1" thickBot="1">
      <c r="A369" s="66" t="n">
        <v>46104</v>
      </c>
      <c r="B369" s="73" t="inlineStr">
        <is>
          <t>G3S 10</t>
        </is>
      </c>
      <c r="C369" s="73" t="inlineStr">
        <is>
          <t>Qualidade</t>
        </is>
      </c>
      <c r="D369" s="69" t="inlineStr">
        <is>
          <t>Explicação e prática p/ Análise de Dados e Edições de Centros de Custos e Planos de Contas no SAGI</t>
        </is>
      </c>
      <c r="E369" s="115" t="n">
        <v>0.5416666666666666</v>
      </c>
      <c r="F369" s="115" t="n">
        <v>0.625</v>
      </c>
      <c r="G369" s="115" t="n">
        <v>0.08333333333333333</v>
      </c>
    </row>
    <row r="370" ht="15" customHeight="1" thickTop="1">
      <c r="A370" s="78" t="n">
        <v>46105</v>
      </c>
      <c r="B370" s="88" t="inlineStr">
        <is>
          <t>G3S 10</t>
        </is>
      </c>
      <c r="C370" s="88" t="inlineStr">
        <is>
          <t>Qualidade</t>
        </is>
      </c>
      <c r="D370" s="79" t="inlineStr">
        <is>
          <t>Exemplos e Edições nos lançamentos de Centros de Custos e Planos de Contas no SAGI</t>
        </is>
      </c>
      <c r="E370" s="116" t="n">
        <v>0.3333333333333333</v>
      </c>
      <c r="F370" s="116" t="n">
        <v>0.5</v>
      </c>
      <c r="G370" s="116" t="n">
        <v>0.1666666666666667</v>
      </c>
    </row>
    <row r="371" ht="15" customHeight="1" thickBot="1">
      <c r="A371" s="66" t="n">
        <v>46105</v>
      </c>
      <c r="B371" s="73" t="inlineStr">
        <is>
          <t>G3S 10</t>
        </is>
      </c>
      <c r="C371" s="73" t="inlineStr">
        <is>
          <t>Qualidade</t>
        </is>
      </c>
      <c r="D371" s="69" t="inlineStr">
        <is>
          <t>Explicações do Luciano sobre usos do Sistema e Consulta de relatórios</t>
        </is>
      </c>
      <c r="E371" s="115" t="n">
        <v>0.5416666666666666</v>
      </c>
      <c r="F371" s="115" t="n">
        <v>0.625</v>
      </c>
      <c r="G371" s="115" t="n">
        <v>0.08333333333333333</v>
      </c>
    </row>
    <row r="372" ht="15" customHeight="1" thickTop="1">
      <c r="A372" s="61" t="n">
        <v>46111</v>
      </c>
      <c r="B372" s="33" t="inlineStr">
        <is>
          <t>G3S 10</t>
        </is>
      </c>
      <c r="C372" s="33" t="inlineStr">
        <is>
          <t>Qualidade</t>
        </is>
      </c>
      <c r="D372" s="51" t="inlineStr">
        <is>
          <t>Consulta de relatórios diários de Entrada e Saída e comparação entre os valores concretos e valores do BCBI (menos de 1% de diferença)</t>
        </is>
      </c>
      <c r="E372" s="114" t="n">
        <v>0.3333333333333333</v>
      </c>
      <c r="F372" s="114" t="n">
        <v>0.4166666666666667</v>
      </c>
      <c r="G372" s="114" t="n">
        <v>0.08333333333333333</v>
      </c>
    </row>
    <row r="373" ht="15" customHeight="1">
      <c r="A373" s="63" t="n">
        <v>46111</v>
      </c>
      <c r="B373" s="72" t="inlineStr">
        <is>
          <t>G3S 10</t>
        </is>
      </c>
      <c r="C373" s="72" t="inlineStr">
        <is>
          <t>Qualidade</t>
        </is>
      </c>
      <c r="D373" s="60" t="inlineStr">
        <is>
          <t>Explicações do Luciano sobre usos do Sistema e Consulta de relatórios</t>
        </is>
      </c>
      <c r="E373" s="112" t="n">
        <v>0.4166666666666667</v>
      </c>
      <c r="F373" s="112" t="n">
        <v>0.5</v>
      </c>
      <c r="G373" s="112" t="n">
        <v>0.08333333333333333</v>
      </c>
    </row>
    <row r="374" ht="15" customHeight="1" thickBot="1">
      <c r="A374" s="66" t="n">
        <v>46111</v>
      </c>
      <c r="B374" s="73" t="inlineStr">
        <is>
          <t>G3S 10</t>
        </is>
      </c>
      <c r="C374" s="73" t="inlineStr">
        <is>
          <t>Qualidade</t>
        </is>
      </c>
      <c r="D374" s="69" t="inlineStr">
        <is>
          <t>Separação e adequação de placas nos Centros de Custo corretos (separando por filial)</t>
        </is>
      </c>
      <c r="E374" s="115" t="n">
        <v>0.5416666666666666</v>
      </c>
      <c r="F374" s="115" t="n">
        <v>0.625</v>
      </c>
      <c r="G374" s="115" t="n">
        <v>0.08333333333333333</v>
      </c>
    </row>
    <row r="375" ht="15" customHeight="1" thickTop="1">
      <c r="A375" s="61" t="n">
        <v>46112</v>
      </c>
      <c r="B375" s="33" t="inlineStr">
        <is>
          <t>G3S 10</t>
        </is>
      </c>
      <c r="C375" s="33" t="inlineStr">
        <is>
          <t>Qualidade</t>
        </is>
      </c>
      <c r="D375" s="51" t="inlineStr">
        <is>
          <t>Cadastro de veículos e máquinas no novo centro de custos criado no SAGI</t>
        </is>
      </c>
      <c r="E375" s="114" t="n">
        <v>0.3333333333333333</v>
      </c>
      <c r="F375" s="114" t="n">
        <v>0.4166666666666667</v>
      </c>
      <c r="G375" s="114" t="n">
        <v>0.08333333333333333</v>
      </c>
    </row>
    <row r="376" ht="15" customHeight="1">
      <c r="A376" s="47" t="n">
        <v>46112</v>
      </c>
      <c r="B376" s="23" t="inlineStr">
        <is>
          <t>G3S 10</t>
        </is>
      </c>
      <c r="C376" s="23" t="inlineStr">
        <is>
          <t>Consulti</t>
        </is>
      </c>
      <c r="D376" s="48" t="inlineStr">
        <is>
          <t>Realização de chamado p/ instalação de software por meio de acesso da Consulti</t>
        </is>
      </c>
      <c r="E376" s="111" t="n">
        <v>0.4166666666666667</v>
      </c>
      <c r="F376" s="111" t="n">
        <v>0.5</v>
      </c>
      <c r="G376" s="111" t="n">
        <v>0.08333333333333333</v>
      </c>
    </row>
    <row r="377" ht="15" customHeight="1">
      <c r="A377" s="63" t="n">
        <v>46112</v>
      </c>
      <c r="B377" s="72" t="inlineStr">
        <is>
          <t>G3S 10</t>
        </is>
      </c>
      <c r="C377" s="72" t="inlineStr">
        <is>
          <t>Qualidade</t>
        </is>
      </c>
      <c r="D377" s="60" t="inlineStr">
        <is>
          <t>Transferência de placas de veículos espalhados por diferentes centros de custos em diferentes filiais, para os novos recém criados</t>
        </is>
      </c>
      <c r="E377" s="112" t="n">
        <v>0.5416666666666666</v>
      </c>
      <c r="F377" s="112" t="n">
        <v>0.625</v>
      </c>
      <c r="G377" s="112" t="n">
        <v>0.08333333333333333</v>
      </c>
    </row>
    <row r="378" ht="15" customHeight="1" thickBot="1">
      <c r="A378" s="66" t="n">
        <v>46112</v>
      </c>
      <c r="B378" s="73" t="inlineStr">
        <is>
          <t>G3S 10</t>
        </is>
      </c>
      <c r="C378" s="73" t="inlineStr">
        <is>
          <t>Qualidade</t>
        </is>
      </c>
      <c r="D378" s="69" t="inlineStr">
        <is>
          <t>Auxilio na correção de gastos relacionados à veículos no relatório de fechamento</t>
        </is>
      </c>
      <c r="E378" s="115" t="n">
        <v>0.625</v>
      </c>
      <c r="F378" s="115" t="n">
        <v>0.6875</v>
      </c>
      <c r="G378" s="115" t="n">
        <v>0.0625</v>
      </c>
    </row>
    <row r="379" ht="15" customHeight="1" thickTop="1">
      <c r="A379" s="78" t="n">
        <v>46113</v>
      </c>
      <c r="B379" s="88" t="inlineStr">
        <is>
          <t>G3S 10</t>
        </is>
      </c>
      <c r="C379" s="88" t="inlineStr">
        <is>
          <t>Consulti</t>
        </is>
      </c>
      <c r="D379" s="79" t="inlineStr">
        <is>
          <t>Chamado na Consulti para recuperação de acesso às planilhas de movimentação ligadas ao ODBC</t>
        </is>
      </c>
      <c r="E379" s="116" t="n">
        <v>0.3333333333333333</v>
      </c>
      <c r="F379" s="116" t="n">
        <v>0.5</v>
      </c>
      <c r="G379" s="116" t="n">
        <v>0.1666666666666667</v>
      </c>
    </row>
    <row r="380" ht="15" customHeight="1" thickBot="1">
      <c r="A380" s="66" t="n">
        <v>46113</v>
      </c>
      <c r="B380" s="73" t="inlineStr">
        <is>
          <t>G3S 10</t>
        </is>
      </c>
      <c r="C380" s="73" t="inlineStr">
        <is>
          <t>Consulti</t>
        </is>
      </c>
      <c r="D380" s="69" t="inlineStr">
        <is>
          <t>Atualização do wsl</t>
        </is>
      </c>
      <c r="E380" s="115" t="n">
        <v>0.5416666666666666</v>
      </c>
      <c r="F380" s="115" t="n">
        <v>0.625</v>
      </c>
      <c r="G380" s="115" t="n">
        <v>0.08333333333333333</v>
      </c>
    </row>
    <row r="381" ht="15" customHeight="1" thickTop="1">
      <c r="A381" s="78" t="n">
        <v>46114</v>
      </c>
      <c r="B381" s="88" t="n"/>
      <c r="C381" s="88" t="n"/>
      <c r="D381" s="79" t="inlineStr">
        <is>
          <t>Realização de Auditoria BCBI x Relatórios SAGI</t>
        </is>
      </c>
      <c r="E381" s="116" t="n">
        <v>0.3333333333333333</v>
      </c>
      <c r="F381" s="116" t="n">
        <v>0.5208333333333334</v>
      </c>
      <c r="G381" s="116" t="n">
        <v>0.1875</v>
      </c>
    </row>
    <row r="382" ht="15" customHeight="1" thickBot="1">
      <c r="A382" s="66" t="n">
        <v>46114</v>
      </c>
      <c r="B382" s="73" t="inlineStr">
        <is>
          <t>G3S 10</t>
        </is>
      </c>
      <c r="C382" s="73" t="inlineStr">
        <is>
          <t>Fechamento</t>
        </is>
      </c>
      <c r="D382" s="69" t="inlineStr">
        <is>
          <t>Adequação de relatórios de sistemas externos para formato de Fechamento</t>
        </is>
      </c>
      <c r="E382" s="115" t="n">
        <v>0.5416666666666666</v>
      </c>
      <c r="F382" s="115" t="n">
        <v>0.625</v>
      </c>
      <c r="G382" s="115" t="n">
        <v>0.08333333333333333</v>
      </c>
    </row>
    <row r="383" ht="15" customHeight="1" thickTop="1">
      <c r="A383" s="61" t="n">
        <v>46115</v>
      </c>
      <c r="B383" s="33" t="inlineStr">
        <is>
          <t>G3S 10</t>
        </is>
      </c>
      <c r="C383" s="33" t="inlineStr">
        <is>
          <t>BCBI Seletiva</t>
        </is>
      </c>
      <c r="D383" s="51" t="inlineStr">
        <is>
          <t>Auditoria entre relatórios do SAGI e dados do BCBI</t>
        </is>
      </c>
      <c r="E383" s="114" t="n">
        <v>0.3333333333333333</v>
      </c>
      <c r="F383" s="114" t="n">
        <v>0.4583333333333333</v>
      </c>
      <c r="G383" s="114" t="n">
        <v>0.125</v>
      </c>
    </row>
    <row r="384" ht="15" customHeight="1">
      <c r="A384" s="63" t="n">
        <v>46115</v>
      </c>
      <c r="B384" s="72" t="inlineStr">
        <is>
          <t>G3S 10</t>
        </is>
      </c>
      <c r="C384" s="72" t="inlineStr">
        <is>
          <t>Qualidade</t>
        </is>
      </c>
      <c r="D384" s="60" t="inlineStr">
        <is>
          <t>Alinhamento de demandas e atividades</t>
        </is>
      </c>
      <c r="E384" s="112" t="n">
        <v>0.4583333333333333</v>
      </c>
      <c r="F384" s="112" t="n">
        <v>0.5</v>
      </c>
      <c r="G384" s="112" t="n">
        <v>0.04166666666666666</v>
      </c>
    </row>
    <row r="385" ht="15" customHeight="1" thickBot="1">
      <c r="A385" s="66" t="n">
        <v>46115</v>
      </c>
      <c r="B385" s="73" t="inlineStr">
        <is>
          <t>G3S 10</t>
        </is>
      </c>
      <c r="C385" s="73" t="inlineStr">
        <is>
          <t>Fechamento</t>
        </is>
      </c>
      <c r="D385" s="69" t="inlineStr">
        <is>
          <t>Tratamento dos dados de fechamento março pré carga</t>
        </is>
      </c>
      <c r="E385" s="115" t="n">
        <v>0.5416666666666666</v>
      </c>
      <c r="F385" s="115" t="n">
        <v>0.625</v>
      </c>
      <c r="G385" s="115" t="n">
        <v>0.08333333333333333</v>
      </c>
    </row>
    <row r="386" ht="15" customHeight="1" thickTop="1">
      <c r="A386" s="61" t="n">
        <v>46116</v>
      </c>
      <c r="B386" s="33" t="inlineStr">
        <is>
          <t>G3S 10</t>
        </is>
      </c>
      <c r="C386" s="33" t="inlineStr">
        <is>
          <t>BCBI Seletiva</t>
        </is>
      </c>
      <c r="D386" s="51" t="inlineStr">
        <is>
          <t>Atualização do ODBC e verificação de integridade dos dados</t>
        </is>
      </c>
      <c r="E386" s="114" t="n">
        <v>0.3333333333333333</v>
      </c>
      <c r="F386" s="114" t="n">
        <v>0.4166666666666667</v>
      </c>
      <c r="G386" s="114" t="n">
        <v>0.08333333333333333</v>
      </c>
    </row>
    <row r="387" ht="15" customHeight="1">
      <c r="A387" s="47" t="n">
        <v>46116</v>
      </c>
      <c r="B387" s="23" t="inlineStr">
        <is>
          <t>G3S 10</t>
        </is>
      </c>
      <c r="C387" s="23" t="inlineStr">
        <is>
          <t>BCBI Seletiva</t>
        </is>
      </c>
      <c r="D387" s="48" t="inlineStr">
        <is>
          <t>Auditoria entre relatórios do SAGI e dados do BCBI</t>
        </is>
      </c>
      <c r="E387" s="111" t="n">
        <v>0.4166666666666667</v>
      </c>
      <c r="F387" s="111" t="n">
        <v>0.5</v>
      </c>
      <c r="G387" s="111" t="n">
        <v>0.08333333333333333</v>
      </c>
    </row>
    <row r="388" ht="15" customHeight="1">
      <c r="A388" s="63" t="n">
        <v>46116</v>
      </c>
      <c r="B388" s="72" t="inlineStr">
        <is>
          <t>G3S 10</t>
        </is>
      </c>
      <c r="C388" s="72" t="inlineStr">
        <is>
          <t>Fechamento</t>
        </is>
      </c>
      <c r="D388" s="60" t="inlineStr">
        <is>
          <t>Tratamento dos dados de fechamento março pré carga</t>
        </is>
      </c>
      <c r="E388" s="112" t="n">
        <v>0.5416666666666666</v>
      </c>
      <c r="F388" s="112" t="n">
        <v>0.625</v>
      </c>
      <c r="G388" s="112" t="n">
        <v>0.08333333333333333</v>
      </c>
    </row>
    <row r="389" ht="15" customHeight="1" thickBot="1">
      <c r="A389" s="66" t="n">
        <v>46116</v>
      </c>
      <c r="B389" s="73" t="inlineStr">
        <is>
          <t>G3S 10</t>
        </is>
      </c>
      <c r="C389" s="73" t="inlineStr">
        <is>
          <t>Fechamento</t>
        </is>
      </c>
      <c r="D389" s="69" t="inlineStr">
        <is>
          <t>Finalização e validação dos dados de fechamento</t>
        </is>
      </c>
      <c r="E389" s="115" t="n">
        <v>0.6666666666666666</v>
      </c>
      <c r="F389" s="115" t="n">
        <v>0.75</v>
      </c>
      <c r="G389" s="115" t="n">
        <v>0.08333333333333333</v>
      </c>
    </row>
    <row r="390" ht="15" customHeight="1" thickTop="1">
      <c r="A390" s="61" t="n">
        <v>46117</v>
      </c>
      <c r="B390" s="33" t="inlineStr">
        <is>
          <t>G3S 10</t>
        </is>
      </c>
      <c r="C390" s="33" t="inlineStr">
        <is>
          <t>BCBI Seletiva</t>
        </is>
      </c>
      <c r="D390" s="51" t="inlineStr">
        <is>
          <t>Operação assistida do sistema de BI da seletiva</t>
        </is>
      </c>
      <c r="E390" s="114" t="n">
        <v>0.3333333333333333</v>
      </c>
      <c r="F390" s="114" t="n">
        <v>0.3541666666666667</v>
      </c>
      <c r="G390" s="114" t="n">
        <v>0.02083333333333333</v>
      </c>
    </row>
    <row r="391" ht="15" customHeight="1">
      <c r="A391" s="47" t="n">
        <v>46117</v>
      </c>
      <c r="B391" s="23" t="inlineStr">
        <is>
          <t>RH</t>
        </is>
      </c>
      <c r="C391" s="23" t="inlineStr">
        <is>
          <t>Ginástica Laboral</t>
        </is>
      </c>
      <c r="D391" s="48" t="inlineStr">
        <is>
          <t>Ginástica Laboral</t>
        </is>
      </c>
      <c r="E391" s="111" t="n">
        <v>0.3541666666666667</v>
      </c>
      <c r="F391" s="111" t="n">
        <v>0.375</v>
      </c>
      <c r="G391" s="111" t="n">
        <v>0.02083333333333333</v>
      </c>
    </row>
    <row r="392" ht="15" customHeight="1">
      <c r="A392" s="63" t="n">
        <v>46117</v>
      </c>
      <c r="B392" s="72" t="inlineStr">
        <is>
          <t>G3S 10</t>
        </is>
      </c>
      <c r="C392" s="72" t="inlineStr">
        <is>
          <t>BCBI Seletiva</t>
        </is>
      </c>
      <c r="D392" s="60" t="inlineStr">
        <is>
          <t>Auditoria entre relatórios do SAGI e dados do BCBI</t>
        </is>
      </c>
      <c r="E392" s="112" t="n">
        <v>0.375</v>
      </c>
      <c r="F392" s="112" t="n">
        <v>0.5</v>
      </c>
      <c r="G392" s="112" t="n">
        <v>0.125</v>
      </c>
    </row>
    <row r="393" ht="15" customHeight="1" thickBot="1">
      <c r="A393" s="66" t="n">
        <v>46117</v>
      </c>
      <c r="B393" s="73" t="inlineStr">
        <is>
          <t>G3S 10</t>
        </is>
      </c>
      <c r="C393" s="73" t="inlineStr">
        <is>
          <t>BCBI Seletiva</t>
        </is>
      </c>
      <c r="D393" s="69" t="inlineStr">
        <is>
          <t>Auditoria entre relatórios do SAGI e dados do BCBI</t>
        </is>
      </c>
      <c r="E393" s="115" t="n">
        <v>0.5416666666666666</v>
      </c>
      <c r="F393" s="115" t="n">
        <v>0.6270833333333333</v>
      </c>
      <c r="G393" s="115" t="n">
        <v>0.08541666666666667</v>
      </c>
    </row>
    <row r="394" ht="15" customHeight="1" thickTop="1">
      <c r="A394" s="61" t="n">
        <v>46118</v>
      </c>
      <c r="B394" s="33" t="inlineStr">
        <is>
          <t>G3S 10</t>
        </is>
      </c>
      <c r="C394" s="33" t="inlineStr">
        <is>
          <t>BCBI Seletiva</t>
        </is>
      </c>
      <c r="D394" s="51" t="inlineStr">
        <is>
          <t>Auditoria entre relatórios do SAGI e dados do BCBI</t>
        </is>
      </c>
      <c r="E394" s="114" t="n">
        <v>0.3333333333333333</v>
      </c>
      <c r="F394" s="114" t="n">
        <v>0.4375</v>
      </c>
      <c r="G394" s="114" t="n">
        <v>0.1041666666666667</v>
      </c>
    </row>
    <row r="395" ht="15" customHeight="1">
      <c r="A395" s="63" t="n">
        <v>46118</v>
      </c>
      <c r="B395" s="72" t="inlineStr">
        <is>
          <t>G3S 10</t>
        </is>
      </c>
      <c r="C395" s="72" t="inlineStr">
        <is>
          <t>Suporte Áreas</t>
        </is>
      </c>
      <c r="D395" s="60" t="inlineStr">
        <is>
          <t>Desenvolvimento de relatórios para áreas internas</t>
        </is>
      </c>
      <c r="E395" s="112" t="n">
        <v>0.4375</v>
      </c>
      <c r="F395" s="112" t="n">
        <v>0.5</v>
      </c>
      <c r="G395" s="112" t="n">
        <v>0.0625</v>
      </c>
    </row>
    <row r="396" ht="15" customHeight="1" thickBot="1">
      <c r="A396" s="66" t="n">
        <v>46118</v>
      </c>
      <c r="B396" s="73" t="inlineStr">
        <is>
          <t>G3S 10</t>
        </is>
      </c>
      <c r="C396" s="73" t="inlineStr">
        <is>
          <t>BCBI Seletiva</t>
        </is>
      </c>
      <c r="D396" s="69" t="inlineStr">
        <is>
          <t>Checagem de valores e integrações BCBIxSAGI</t>
        </is>
      </c>
      <c r="E396" s="115" t="n">
        <v>0.5416666666666666</v>
      </c>
      <c r="F396" s="115" t="n">
        <v>0.625</v>
      </c>
      <c r="G396" s="115" t="n">
        <v>0.08333333333333333</v>
      </c>
    </row>
    <row r="397" ht="15" customHeight="1" thickTop="1">
      <c r="A397" s="61" t="n">
        <v>46119</v>
      </c>
      <c r="B397" s="33" t="inlineStr">
        <is>
          <t>G3S 10</t>
        </is>
      </c>
      <c r="C397" s="33" t="inlineStr">
        <is>
          <t>Fechamento</t>
        </is>
      </c>
      <c r="D397" s="51" t="inlineStr">
        <is>
          <t>Adequação de relatórios de sistemas externos para formato de Fechamento</t>
        </is>
      </c>
      <c r="E397" s="114" t="n">
        <v>0.3333333333333333</v>
      </c>
      <c r="F397" s="114" t="n">
        <v>0.4166666666666667</v>
      </c>
      <c r="G397" s="114" t="n">
        <v>0.08333333333333333</v>
      </c>
    </row>
    <row r="398" ht="15" customHeight="1">
      <c r="A398" s="47" t="n">
        <v>46119</v>
      </c>
      <c r="B398" s="23" t="inlineStr">
        <is>
          <t>G3S 10</t>
        </is>
      </c>
      <c r="C398" s="23" t="inlineStr">
        <is>
          <t>BCBI Seletiva</t>
        </is>
      </c>
      <c r="D398" s="48" t="inlineStr">
        <is>
          <t>Validação de cargas e conferência de dados</t>
        </is>
      </c>
      <c r="E398" s="111" t="n">
        <v>0.4166666666666667</v>
      </c>
      <c r="F398" s="111" t="n">
        <v>0.5</v>
      </c>
      <c r="G398" s="111" t="n">
        <v>0.08333333333333333</v>
      </c>
    </row>
    <row r="399" ht="15" customHeight="1">
      <c r="A399" s="63" t="n">
        <v>46119</v>
      </c>
      <c r="B399" s="72" t="inlineStr">
        <is>
          <t>G3S 10</t>
        </is>
      </c>
      <c r="C399" s="72" t="inlineStr">
        <is>
          <t>Fechamento</t>
        </is>
      </c>
      <c r="D399" s="60" t="inlineStr">
        <is>
          <t>Tratamento dos dados de fechamento março</t>
        </is>
      </c>
      <c r="E399" s="112" t="n">
        <v>0.5416666666666666</v>
      </c>
      <c r="F399" s="112" t="n">
        <v>0.625</v>
      </c>
      <c r="G399" s="112" t="n">
        <v>0.08333333333333333</v>
      </c>
    </row>
    <row r="400" ht="15" customHeight="1" thickBot="1">
      <c r="A400" s="66" t="n">
        <v>46119</v>
      </c>
      <c r="B400" s="73" t="inlineStr">
        <is>
          <t>G3S 10</t>
        </is>
      </c>
      <c r="C400" s="73" t="inlineStr">
        <is>
          <t>Fechamento</t>
        </is>
      </c>
      <c r="D400" s="69" t="inlineStr">
        <is>
          <t>Finalização e validação dos dados de fechamento</t>
        </is>
      </c>
      <c r="E400" s="115" t="n">
        <v>0.6666666666666666</v>
      </c>
      <c r="F400" s="115" t="n">
        <v>0.75</v>
      </c>
      <c r="G400" s="115" t="n">
        <v>0.08333333333333333</v>
      </c>
    </row>
    <row r="401" ht="15" customHeight="1" thickTop="1">
      <c r="A401" s="61" t="n">
        <v>46120</v>
      </c>
      <c r="B401" s="33" t="inlineStr">
        <is>
          <t>G3S 10</t>
        </is>
      </c>
      <c r="C401" s="33" t="inlineStr">
        <is>
          <t>BCBI Seletiva</t>
        </is>
      </c>
      <c r="D401" s="51" t="inlineStr">
        <is>
          <t>Atualização do ODBC e verificação de integridade dos dados</t>
        </is>
      </c>
      <c r="E401" s="114" t="n">
        <v>0.3333333333333333</v>
      </c>
      <c r="F401" s="114" t="n">
        <v>0.4166666666666667</v>
      </c>
      <c r="G401" s="114" t="n">
        <v>0.08333333333333333</v>
      </c>
    </row>
    <row r="402" ht="15" customHeight="1">
      <c r="A402" s="63" t="n">
        <v>46120</v>
      </c>
      <c r="B402" s="72" t="inlineStr">
        <is>
          <t>G3S 10</t>
        </is>
      </c>
      <c r="C402" s="72" t="inlineStr">
        <is>
          <t>Fechamento</t>
        </is>
      </c>
      <c r="D402" s="60" t="inlineStr">
        <is>
          <t>Adequação de relatórios de sistemas externos para formato de Fechamento</t>
        </is>
      </c>
      <c r="E402" s="112" t="n">
        <v>0.4166666666666667</v>
      </c>
      <c r="F402" s="112" t="n">
        <v>0.5</v>
      </c>
      <c r="G402" s="112" t="n">
        <v>0.08333333333333333</v>
      </c>
    </row>
    <row r="403" ht="15" customHeight="1" thickBot="1">
      <c r="A403" s="66" t="n">
        <v>46120</v>
      </c>
      <c r="B403" s="73" t="inlineStr">
        <is>
          <t>G3S 10</t>
        </is>
      </c>
      <c r="C403" s="73" t="inlineStr">
        <is>
          <t>BCBI Seletiva</t>
        </is>
      </c>
      <c r="D403" s="69" t="inlineStr">
        <is>
          <t>Checagem de valores e integrações BCBIxSAGI</t>
        </is>
      </c>
      <c r="E403" s="115" t="n">
        <v>0.5416666666666666</v>
      </c>
      <c r="F403" s="115" t="n">
        <v>0.625</v>
      </c>
      <c r="G403" s="115" t="n">
        <v>0.08333333333333333</v>
      </c>
    </row>
    <row r="404" ht="15" customHeight="1" thickTop="1">
      <c r="A404" s="61" t="n">
        <v>46121</v>
      </c>
      <c r="B404" s="33" t="inlineStr">
        <is>
          <t>G3S 10</t>
        </is>
      </c>
      <c r="C404" s="33" t="inlineStr">
        <is>
          <t>BCBI Seletiva</t>
        </is>
      </c>
      <c r="D404" s="51" t="inlineStr">
        <is>
          <t>Auditoria entre relatórios do SAGI e dados do BCBI</t>
        </is>
      </c>
      <c r="E404" s="114" t="n">
        <v>0.3333333333333333</v>
      </c>
      <c r="F404" s="114" t="n">
        <v>0.4375</v>
      </c>
      <c r="G404" s="114" t="n">
        <v>0.1041666666666667</v>
      </c>
    </row>
    <row r="405" ht="15" customHeight="1">
      <c r="A405" s="63" t="n">
        <v>46121</v>
      </c>
      <c r="B405" s="72" t="inlineStr">
        <is>
          <t>G3S 10</t>
        </is>
      </c>
      <c r="C405" s="72" t="inlineStr">
        <is>
          <t>Suporte Áreas</t>
        </is>
      </c>
      <c r="D405" s="60" t="inlineStr">
        <is>
          <t>Desenvolvimento de relatórios para áreas internas</t>
        </is>
      </c>
      <c r="E405" s="112" t="n">
        <v>0.4375</v>
      </c>
      <c r="F405" s="112" t="n">
        <v>0.5</v>
      </c>
      <c r="G405" s="112" t="n">
        <v>0.0625</v>
      </c>
    </row>
    <row r="406" ht="15" customHeight="1" thickBot="1">
      <c r="A406" s="66" t="n">
        <v>46121</v>
      </c>
      <c r="B406" s="73" t="inlineStr">
        <is>
          <t>G3S 10</t>
        </is>
      </c>
      <c r="C406" s="73" t="inlineStr">
        <is>
          <t>BCBI Seletiva</t>
        </is>
      </c>
      <c r="D406" s="69" t="inlineStr">
        <is>
          <t>Checagem de valores e integrações BCBIxSAGI</t>
        </is>
      </c>
      <c r="E406" s="115" t="n">
        <v>0.5416666666666666</v>
      </c>
      <c r="F406" s="115" t="n">
        <v>0.625</v>
      </c>
      <c r="G406" s="115" t="n">
        <v>0.08333333333333333</v>
      </c>
    </row>
    <row r="407" ht="15" customHeight="1" thickTop="1">
      <c r="A407" s="61" t="n">
        <v>46122</v>
      </c>
      <c r="B407" s="33" t="inlineStr">
        <is>
          <t>G3S 10</t>
        </is>
      </c>
      <c r="C407" s="33" t="inlineStr">
        <is>
          <t>Fechamento</t>
        </is>
      </c>
      <c r="D407" s="51" t="inlineStr">
        <is>
          <t>Adequação de relatórios de sistemas externos para formato de Fechamento</t>
        </is>
      </c>
      <c r="E407" s="114" t="n">
        <v>0.3333333333333333</v>
      </c>
      <c r="F407" s="114" t="n">
        <v>0.4166666666666667</v>
      </c>
      <c r="G407" s="114" t="n">
        <v>0.08333333333333333</v>
      </c>
    </row>
    <row r="408" ht="15" customHeight="1">
      <c r="A408" s="63" t="n">
        <v>46122</v>
      </c>
      <c r="B408" s="72" t="inlineStr">
        <is>
          <t>G3S 10</t>
        </is>
      </c>
      <c r="C408" s="72" t="inlineStr">
        <is>
          <t>BCBI Seletiva</t>
        </is>
      </c>
      <c r="D408" s="60" t="inlineStr">
        <is>
          <t>Validação de cargas e conferência de dados</t>
        </is>
      </c>
      <c r="E408" s="112" t="n">
        <v>0.4166666666666667</v>
      </c>
      <c r="F408" s="112" t="n">
        <v>0.5</v>
      </c>
      <c r="G408" s="112" t="n">
        <v>0.08333333333333333</v>
      </c>
    </row>
    <row r="409" ht="15" customHeight="1" thickBot="1">
      <c r="A409" s="66" t="n">
        <v>46122</v>
      </c>
      <c r="B409" s="73" t="inlineStr">
        <is>
          <t>G3S 10</t>
        </is>
      </c>
      <c r="C409" s="73" t="inlineStr">
        <is>
          <t>Fechamento</t>
        </is>
      </c>
      <c r="D409" s="69" t="inlineStr">
        <is>
          <t>Tratamento dos dados de fechamento março</t>
        </is>
      </c>
      <c r="E409" s="115" t="n">
        <v>0.5416666666666666</v>
      </c>
      <c r="F409" s="115" t="n">
        <v>0.625</v>
      </c>
      <c r="G409" s="115" t="n">
        <v>0.08333333333333333</v>
      </c>
    </row>
    <row r="410" ht="15" customHeight="1" thickTop="1">
      <c r="A410" s="61" t="n">
        <v>46123</v>
      </c>
      <c r="B410" s="33" t="inlineStr">
        <is>
          <t>G3S 10</t>
        </is>
      </c>
      <c r="C410" s="33" t="inlineStr">
        <is>
          <t>BCBI Seletiva</t>
        </is>
      </c>
      <c r="D410" s="51" t="inlineStr">
        <is>
          <t>Atualização do ODBC e verificação de integridade dos dados</t>
        </is>
      </c>
      <c r="E410" s="114" t="n">
        <v>0.3333333333333333</v>
      </c>
      <c r="F410" s="114" t="n">
        <v>0.4166666666666667</v>
      </c>
      <c r="G410" s="114" t="n">
        <v>0.08333333333333333</v>
      </c>
    </row>
    <row r="411" ht="15" customHeight="1">
      <c r="A411" s="63" t="n">
        <v>46123</v>
      </c>
      <c r="B411" s="72" t="inlineStr">
        <is>
          <t>G3S 10</t>
        </is>
      </c>
      <c r="C411" s="72" t="inlineStr">
        <is>
          <t>Fechamento</t>
        </is>
      </c>
      <c r="D411" s="60" t="inlineStr">
        <is>
          <t>Adequação de relatórios de sistemas externos para formato de Fechamento</t>
        </is>
      </c>
      <c r="E411" s="112" t="n">
        <v>0.4166666666666667</v>
      </c>
      <c r="F411" s="112" t="n">
        <v>0.5</v>
      </c>
      <c r="G411" s="112" t="n">
        <v>0.08333333333333333</v>
      </c>
    </row>
    <row r="412" ht="15" customHeight="1" thickBot="1">
      <c r="A412" s="66" t="n">
        <v>46123</v>
      </c>
      <c r="B412" s="73" t="inlineStr">
        <is>
          <t>G3S 10</t>
        </is>
      </c>
      <c r="C412" s="73" t="inlineStr">
        <is>
          <t>BCBI Seletiva</t>
        </is>
      </c>
      <c r="D412" s="69" t="inlineStr">
        <is>
          <t>Checagem de valores e integrações BCBIxSAGI</t>
        </is>
      </c>
      <c r="E412" s="115" t="n">
        <v>0.5416666666666666</v>
      </c>
      <c r="F412" s="115" t="n">
        <v>0.625</v>
      </c>
      <c r="G412" s="115" t="n">
        <v>0.08333333333333333</v>
      </c>
    </row>
    <row r="413" ht="15" customHeight="1" thickTop="1">
      <c r="A413" s="61" t="n">
        <v>46124</v>
      </c>
      <c r="B413" s="33" t="inlineStr">
        <is>
          <t>G3S 10</t>
        </is>
      </c>
      <c r="C413" s="33" t="inlineStr">
        <is>
          <t>BCBI Seletiva</t>
        </is>
      </c>
      <c r="D413" s="51" t="inlineStr">
        <is>
          <t>Operação assistida do sistema de BI da seletiva</t>
        </is>
      </c>
      <c r="E413" s="114" t="n">
        <v>0.3333333333333333</v>
      </c>
      <c r="F413" s="114" t="n">
        <v>0.4375</v>
      </c>
      <c r="G413" s="114" t="n">
        <v>0.1041666666666667</v>
      </c>
    </row>
    <row r="414" ht="15" customHeight="1">
      <c r="A414" s="63" t="n">
        <v>46124</v>
      </c>
      <c r="B414" s="72" t="inlineStr">
        <is>
          <t>G3S 10</t>
        </is>
      </c>
      <c r="C414" s="72" t="inlineStr">
        <is>
          <t>Suporte Áreas</t>
        </is>
      </c>
      <c r="D414" s="60" t="inlineStr">
        <is>
          <t>Atualização do ODBC e verificação de integridade</t>
        </is>
      </c>
      <c r="E414" s="112" t="n">
        <v>0.4375</v>
      </c>
      <c r="F414" s="112" t="n">
        <v>0.5</v>
      </c>
      <c r="G414" s="112" t="n">
        <v>0.0625</v>
      </c>
    </row>
    <row r="415" ht="15" customHeight="1" thickBot="1">
      <c r="A415" s="66" t="n">
        <v>46124</v>
      </c>
      <c r="B415" s="73" t="inlineStr">
        <is>
          <t>G3S 10</t>
        </is>
      </c>
      <c r="C415" s="73" t="inlineStr">
        <is>
          <t>Fechamento</t>
        </is>
      </c>
      <c r="D415" s="69" t="inlineStr">
        <is>
          <t>Adequação de relatórios de sistemas externos para formato de Fechamento</t>
        </is>
      </c>
      <c r="E415" s="115" t="n">
        <v>0.5416666666666666</v>
      </c>
      <c r="F415" s="115" t="n">
        <v>0.625</v>
      </c>
      <c r="G415" s="115" t="n">
        <v>0.08333333333333333</v>
      </c>
    </row>
    <row r="416" ht="15" customHeight="1" thickTop="1">
      <c r="A416" s="61" t="n">
        <v>46125</v>
      </c>
      <c r="B416" s="33" t="inlineStr">
        <is>
          <t>G3S 10</t>
        </is>
      </c>
      <c r="C416" s="33" t="inlineStr">
        <is>
          <t>BCBI Seletiva</t>
        </is>
      </c>
      <c r="D416" s="51" t="inlineStr">
        <is>
          <t>Operação assistida do sistema de BI da seletiva</t>
        </is>
      </c>
      <c r="E416" s="114" t="n">
        <v>0.3333333333333333</v>
      </c>
      <c r="F416" s="114" t="n">
        <v>0.4375</v>
      </c>
      <c r="G416" s="114" t="n">
        <v>0.1041666666666667</v>
      </c>
    </row>
    <row r="417" ht="15" customHeight="1">
      <c r="A417" s="63" t="n">
        <v>46125</v>
      </c>
      <c r="B417" s="72" t="inlineStr">
        <is>
          <t>G3S 10</t>
        </is>
      </c>
      <c r="C417" s="72" t="inlineStr">
        <is>
          <t>Suporte Áreas</t>
        </is>
      </c>
      <c r="D417" s="60" t="inlineStr">
        <is>
          <t>Atualização do ODBC e verificação de integridade</t>
        </is>
      </c>
      <c r="E417" s="112" t="n">
        <v>0.4375</v>
      </c>
      <c r="F417" s="112" t="n">
        <v>0.5</v>
      </c>
      <c r="G417" s="112" t="n">
        <v>0.0625</v>
      </c>
    </row>
    <row r="418" ht="15" customHeight="1" thickBot="1">
      <c r="A418" s="66" t="n">
        <v>46125</v>
      </c>
      <c r="B418" s="73" t="inlineStr">
        <is>
          <t>G3S 10</t>
        </is>
      </c>
      <c r="C418" s="73" t="inlineStr">
        <is>
          <t>Fechamento</t>
        </is>
      </c>
      <c r="D418" s="69" t="inlineStr">
        <is>
          <t>Adequação de relatórios de sistemas externos para formato de Fechamento</t>
        </is>
      </c>
      <c r="E418" s="115" t="n">
        <v>0.5416666666666666</v>
      </c>
      <c r="F418" s="115" t="n">
        <v>0.625</v>
      </c>
      <c r="G418" s="115" t="n">
        <v>0.08333333333333333</v>
      </c>
    </row>
    <row r="419" ht="15" customHeight="1" thickTop="1">
      <c r="A419" s="61" t="n">
        <v>46126</v>
      </c>
      <c r="B419" s="33" t="inlineStr">
        <is>
          <t>G3S 10</t>
        </is>
      </c>
      <c r="C419" s="33" t="inlineStr">
        <is>
          <t>BCBI Seletiva</t>
        </is>
      </c>
      <c r="D419" s="51" t="inlineStr">
        <is>
          <t>Operação assistida do sistema de BI da seletiva</t>
        </is>
      </c>
      <c r="E419" s="114" t="n">
        <v>0.3333333333333333</v>
      </c>
      <c r="F419" s="114" t="n">
        <v>0.4375</v>
      </c>
      <c r="G419" s="114" t="n">
        <v>0.1041666666666667</v>
      </c>
    </row>
    <row r="420" ht="15" customHeight="1">
      <c r="A420" s="63" t="n">
        <v>46126</v>
      </c>
      <c r="B420" s="72" t="inlineStr">
        <is>
          <t>G3S 10</t>
        </is>
      </c>
      <c r="C420" s="72" t="inlineStr">
        <is>
          <t>Suporte Áreas</t>
        </is>
      </c>
      <c r="D420" s="60" t="inlineStr">
        <is>
          <t>Atualização do ODBC e verificação de integridade</t>
        </is>
      </c>
      <c r="E420" s="112" t="n">
        <v>0.4375</v>
      </c>
      <c r="F420" s="112" t="n">
        <v>0.5</v>
      </c>
      <c r="G420" s="112" t="n">
        <v>0.0625</v>
      </c>
    </row>
    <row r="421" ht="15" customHeight="1" thickBot="1">
      <c r="A421" s="66" t="n">
        <v>46126</v>
      </c>
      <c r="B421" s="73" t="inlineStr">
        <is>
          <t>G3S 10</t>
        </is>
      </c>
      <c r="C421" s="73" t="inlineStr">
        <is>
          <t>Fechamento</t>
        </is>
      </c>
      <c r="D421" s="69" t="inlineStr">
        <is>
          <t>Adequação de relatórios de sistemas externos para formato de Fechamento</t>
        </is>
      </c>
      <c r="E421" s="115" t="n">
        <v>0.5416666666666666</v>
      </c>
      <c r="F421" s="115" t="n">
        <v>0.625</v>
      </c>
      <c r="G421" s="115" t="n">
        <v>0.08333333333333333</v>
      </c>
    </row>
    <row r="422" ht="15" customHeight="1" thickTop="1">
      <c r="A422" s="61" t="n">
        <v>46127</v>
      </c>
      <c r="B422" s="33" t="inlineStr">
        <is>
          <t>G3S 10</t>
        </is>
      </c>
      <c r="C422" s="33" t="inlineStr">
        <is>
          <t>BCBI Seletiva</t>
        </is>
      </c>
      <c r="D422" s="51" t="inlineStr">
        <is>
          <t>Operação assistida do sistema de BI da seletiva</t>
        </is>
      </c>
      <c r="E422" s="114" t="n">
        <v>0.3333333333333333</v>
      </c>
      <c r="F422" s="114" t="n">
        <v>0.3541666666666667</v>
      </c>
      <c r="G422" s="114" t="n">
        <v>0.02083333333333333</v>
      </c>
    </row>
    <row r="423" ht="15" customHeight="1">
      <c r="A423" s="47" t="n">
        <v>46127</v>
      </c>
      <c r="B423" s="23" t="inlineStr">
        <is>
          <t>RH</t>
        </is>
      </c>
      <c r="C423" s="23" t="inlineStr">
        <is>
          <t>Ginástica Laboral</t>
        </is>
      </c>
      <c r="D423" s="48" t="inlineStr">
        <is>
          <t>Ginástica Laboral</t>
        </is>
      </c>
      <c r="E423" s="111" t="n">
        <v>0.3541666666666667</v>
      </c>
      <c r="F423" s="111" t="n">
        <v>0.375</v>
      </c>
      <c r="G423" s="111" t="n">
        <v>0.02083333333333333</v>
      </c>
    </row>
    <row r="424" ht="15" customHeight="1">
      <c r="A424" s="63" t="n">
        <v>46127</v>
      </c>
      <c r="B424" s="72" t="inlineStr">
        <is>
          <t>G3S 10</t>
        </is>
      </c>
      <c r="C424" s="72" t="inlineStr">
        <is>
          <t>BCBI Seletiva</t>
        </is>
      </c>
      <c r="D424" s="60" t="inlineStr">
        <is>
          <t>Auditoria entre relatórios do SAGI e dados do BCBI</t>
        </is>
      </c>
      <c r="E424" s="112" t="n">
        <v>0.375</v>
      </c>
      <c r="F424" s="112" t="n">
        <v>0.5</v>
      </c>
      <c r="G424" s="112" t="n">
        <v>0.125</v>
      </c>
    </row>
    <row r="425" ht="15" customHeight="1" thickBot="1">
      <c r="A425" s="66" t="n">
        <v>46127</v>
      </c>
      <c r="B425" s="73" t="inlineStr">
        <is>
          <t>G3S 10</t>
        </is>
      </c>
      <c r="C425" s="73" t="inlineStr">
        <is>
          <t>Fechamento</t>
        </is>
      </c>
      <c r="D425" s="69" t="inlineStr">
        <is>
          <t>Tratamento dos dados de fechamento</t>
        </is>
      </c>
      <c r="E425" s="115" t="n">
        <v>0.5416666666666666</v>
      </c>
      <c r="F425" s="115" t="n">
        <v>0.625</v>
      </c>
      <c r="G425" s="115" t="n">
        <v>0.08333333333333333</v>
      </c>
    </row>
    <row r="426" ht="15" customHeight="1" thickTop="1">
      <c r="A426" s="61" t="n">
        <v>46130</v>
      </c>
      <c r="B426" s="33" t="inlineStr">
        <is>
          <t>G3S 10</t>
        </is>
      </c>
      <c r="C426" s="33" t="inlineStr">
        <is>
          <t>BCBI Seletiva</t>
        </is>
      </c>
      <c r="D426" s="51" t="inlineStr">
        <is>
          <t>Operação assistida do sistema de BI da seletiva</t>
        </is>
      </c>
      <c r="E426" s="114" t="n">
        <v>0.3333333333333333</v>
      </c>
      <c r="F426" s="114" t="n">
        <v>0.4375</v>
      </c>
      <c r="G426" s="114" t="n">
        <v>0.1041666666666667</v>
      </c>
    </row>
    <row r="427" ht="15" customHeight="1">
      <c r="A427" s="63" t="n">
        <v>46130</v>
      </c>
      <c r="B427" s="49" t="inlineStr">
        <is>
          <t>G3S 10</t>
        </is>
      </c>
      <c r="C427" s="50" t="inlineStr">
        <is>
          <t>Suporte Áreas</t>
        </is>
      </c>
      <c r="D427" s="60" t="inlineStr">
        <is>
          <t>Atualização do ODBC e verificação de integridade</t>
        </is>
      </c>
      <c r="E427" s="112" t="n">
        <v>0.4375</v>
      </c>
      <c r="F427" s="112" t="n">
        <v>0.5</v>
      </c>
      <c r="G427" s="102" t="n">
        <v>0.0625</v>
      </c>
    </row>
    <row r="428" ht="15" customHeight="1" thickBot="1">
      <c r="A428" s="66" t="n">
        <v>46130</v>
      </c>
      <c r="B428" s="73" t="inlineStr">
        <is>
          <t>G3S 10</t>
        </is>
      </c>
      <c r="C428" s="73" t="inlineStr">
        <is>
          <t>Fechamento</t>
        </is>
      </c>
      <c r="D428" s="69" t="inlineStr">
        <is>
          <t>Adequação de relatórios de sistemas externos para formato de Fechamento</t>
        </is>
      </c>
      <c r="E428" s="115" t="n">
        <v>0.5416666666666666</v>
      </c>
      <c r="F428" s="115" t="n">
        <v>0.625</v>
      </c>
      <c r="G428" s="115" t="n">
        <v>0.08333333333333333</v>
      </c>
    </row>
    <row r="429" ht="15" customHeight="1" thickTop="1">
      <c r="A429" s="61" t="n">
        <v>46132</v>
      </c>
      <c r="B429" s="30" t="inlineStr">
        <is>
          <t>G3S 10</t>
        </is>
      </c>
      <c r="C429" s="31" t="inlineStr">
        <is>
          <t>BCBI Seletiva</t>
        </is>
      </c>
      <c r="D429" s="51" t="inlineStr">
        <is>
          <t>Operação assistida do sistema de BI da seletiva</t>
        </is>
      </c>
      <c r="E429" s="114" t="n">
        <v>0.3333333333333333</v>
      </c>
      <c r="F429" s="114" t="n">
        <v>0.4375</v>
      </c>
      <c r="G429" s="117" t="n">
        <v>0.1041666666666667</v>
      </c>
    </row>
    <row r="430" ht="15" customHeight="1">
      <c r="A430" s="63" t="n">
        <v>46132</v>
      </c>
      <c r="B430" s="49" t="inlineStr">
        <is>
          <t>G3S 10</t>
        </is>
      </c>
      <c r="C430" s="50" t="inlineStr">
        <is>
          <t>Suporte Áreas</t>
        </is>
      </c>
      <c r="D430" s="60" t="inlineStr">
        <is>
          <t>Atualização do ODBC e verificação de integridade</t>
        </is>
      </c>
      <c r="E430" s="112" t="n">
        <v>0.4375</v>
      </c>
      <c r="F430" s="112" t="n">
        <v>0.5</v>
      </c>
      <c r="G430" s="102" t="n">
        <v>0.0625</v>
      </c>
    </row>
    <row r="431" ht="15" customHeight="1" thickBot="1">
      <c r="A431" s="66" t="n">
        <v>46132</v>
      </c>
      <c r="B431" s="67" t="inlineStr">
        <is>
          <t>G3S 10</t>
        </is>
      </c>
      <c r="C431" s="68" t="inlineStr">
        <is>
          <t>Fechamento</t>
        </is>
      </c>
      <c r="D431" s="69" t="inlineStr">
        <is>
          <t>Adequação de relatórios de sistemas externos para formato de Fechamento</t>
        </is>
      </c>
      <c r="E431" s="115" t="n">
        <v>0.5416666666666666</v>
      </c>
      <c r="F431" s="115" t="n">
        <v>0.625</v>
      </c>
      <c r="G431" s="118" t="n">
        <v>0.08333333333333333</v>
      </c>
    </row>
    <row r="432" ht="15" customHeight="1" thickTop="1">
      <c r="A432" s="61" t="n">
        <v>46133</v>
      </c>
      <c r="B432" s="30" t="inlineStr">
        <is>
          <t>G3S 10</t>
        </is>
      </c>
      <c r="C432" s="31" t="inlineStr">
        <is>
          <t>BCBI Seletiva</t>
        </is>
      </c>
      <c r="D432" s="51" t="inlineStr">
        <is>
          <t>Operação assistida do sistema de BI da seletiva</t>
        </is>
      </c>
      <c r="E432" s="114" t="n">
        <v>0.3333333333333333</v>
      </c>
      <c r="F432" s="114" t="n">
        <v>0.4375</v>
      </c>
      <c r="G432" s="117" t="n">
        <v>0.1041666666666667</v>
      </c>
    </row>
    <row r="433" ht="15" customHeight="1">
      <c r="A433" s="63" t="n">
        <v>46133</v>
      </c>
      <c r="B433" s="49" t="inlineStr">
        <is>
          <t>G3S 10</t>
        </is>
      </c>
      <c r="C433" s="50" t="inlineStr">
        <is>
          <t>Suporte Áreas</t>
        </is>
      </c>
      <c r="D433" s="60" t="inlineStr">
        <is>
          <t>Atualização do ODBC e verificação de integridade</t>
        </is>
      </c>
      <c r="E433" s="112" t="n">
        <v>0.4375</v>
      </c>
      <c r="F433" s="112" t="n">
        <v>0.5</v>
      </c>
      <c r="G433" s="102" t="n">
        <v>0.0625</v>
      </c>
    </row>
    <row r="434" ht="15" customHeight="1" thickBot="1">
      <c r="A434" s="66" t="n">
        <v>46133</v>
      </c>
      <c r="B434" s="67" t="inlineStr">
        <is>
          <t>G3S 10</t>
        </is>
      </c>
      <c r="C434" s="68" t="inlineStr">
        <is>
          <t>Fechamento</t>
        </is>
      </c>
      <c r="D434" s="69" t="inlineStr">
        <is>
          <t>Adequação de relatórios de sistemas externos para formato de Fechamento</t>
        </is>
      </c>
      <c r="E434" s="115" t="n">
        <v>0.5416666666666666</v>
      </c>
      <c r="F434" s="115" t="n">
        <v>0.625</v>
      </c>
      <c r="G434" s="118" t="n">
        <v>0.08333333333333333</v>
      </c>
    </row>
    <row r="435" ht="15" customHeight="1" thickTop="1">
      <c r="A435" s="61" t="n">
        <v>46134</v>
      </c>
      <c r="B435" s="30" t="inlineStr">
        <is>
          <t>G3S 10</t>
        </is>
      </c>
      <c r="C435" s="31" t="inlineStr">
        <is>
          <t>BCBI Seletiva</t>
        </is>
      </c>
      <c r="D435" s="51" t="inlineStr">
        <is>
          <t>Operação assistida do sistema de BI da seletiva</t>
        </is>
      </c>
      <c r="E435" s="114" t="n">
        <v>0.3333333333333333</v>
      </c>
      <c r="F435" s="114" t="n">
        <v>0.3541666666666667</v>
      </c>
      <c r="G435" s="117" t="n">
        <v>0.02083333333333333</v>
      </c>
    </row>
    <row r="436" ht="15" customHeight="1">
      <c r="A436" s="47" t="n">
        <v>46134</v>
      </c>
      <c r="B436" s="20" t="inlineStr">
        <is>
          <t>RH</t>
        </is>
      </c>
      <c r="C436" s="21" t="inlineStr">
        <is>
          <t>Ginástica Laboral</t>
        </is>
      </c>
      <c r="D436" s="48" t="inlineStr">
        <is>
          <t>Ginástica Laboral</t>
        </is>
      </c>
      <c r="E436" s="111" t="n">
        <v>0.3541666666666667</v>
      </c>
      <c r="F436" s="111" t="n">
        <v>0.375</v>
      </c>
      <c r="G436" s="119" t="n">
        <v>0.02083333333333333</v>
      </c>
    </row>
    <row r="437" ht="15" customHeight="1">
      <c r="A437" s="63" t="n">
        <v>46134</v>
      </c>
      <c r="B437" s="49" t="inlineStr">
        <is>
          <t>G3S 10</t>
        </is>
      </c>
      <c r="C437" s="50" t="inlineStr">
        <is>
          <t>BCBI Seletiva</t>
        </is>
      </c>
      <c r="D437" s="60" t="inlineStr">
        <is>
          <t>Auditoria entre relatórios do SAGI e dados do BCBI</t>
        </is>
      </c>
      <c r="E437" s="112" t="n">
        <v>0.375</v>
      </c>
      <c r="F437" s="112" t="n">
        <v>0.5</v>
      </c>
      <c r="G437" s="102" t="n">
        <v>0.125</v>
      </c>
    </row>
    <row r="438" ht="15" customHeight="1" thickBot="1">
      <c r="A438" s="66" t="n">
        <v>46134</v>
      </c>
      <c r="B438" s="67" t="inlineStr">
        <is>
          <t>G3S 10</t>
        </is>
      </c>
      <c r="C438" s="68" t="inlineStr">
        <is>
          <t>Fechamento</t>
        </is>
      </c>
      <c r="D438" s="69" t="inlineStr">
        <is>
          <t>Tratamento dos dados de fechamento</t>
        </is>
      </c>
      <c r="E438" s="115" t="n">
        <v>0.5416666666666666</v>
      </c>
      <c r="F438" s="115" t="n">
        <v>0.625</v>
      </c>
      <c r="G438" s="118" t="n">
        <v>0.08333333333333333</v>
      </c>
    </row>
    <row r="439" ht="15" customHeight="1" thickTop="1">
      <c r="A439" s="61" t="n">
        <v>46137</v>
      </c>
      <c r="B439" s="30" t="inlineStr">
        <is>
          <t>G3S 10</t>
        </is>
      </c>
      <c r="C439" s="31" t="inlineStr">
        <is>
          <t>BCBI Seletiva</t>
        </is>
      </c>
      <c r="D439" s="51" t="inlineStr">
        <is>
          <t>Operação assistida do sistema de BI da seletiva</t>
        </is>
      </c>
      <c r="E439" s="114" t="n">
        <v>0.3333333333333333</v>
      </c>
      <c r="F439" s="114" t="n">
        <v>0.4375</v>
      </c>
      <c r="G439" s="117" t="n">
        <v>0.1041666666666667</v>
      </c>
    </row>
    <row r="440" ht="15" customHeight="1">
      <c r="A440" s="63" t="n">
        <v>46137</v>
      </c>
      <c r="B440" s="49" t="inlineStr">
        <is>
          <t>G3S 10</t>
        </is>
      </c>
      <c r="C440" s="50" t="inlineStr">
        <is>
          <t>Suporte Áreas</t>
        </is>
      </c>
      <c r="D440" s="60" t="inlineStr">
        <is>
          <t>Atualização do ODBC e verificação de integridade</t>
        </is>
      </c>
      <c r="E440" s="112" t="n">
        <v>0.4375</v>
      </c>
      <c r="F440" s="112" t="n">
        <v>0.5</v>
      </c>
      <c r="G440" s="102" t="n">
        <v>0.0625</v>
      </c>
    </row>
    <row r="441" ht="15" customHeight="1" thickBot="1">
      <c r="A441" s="66" t="n">
        <v>46137</v>
      </c>
      <c r="B441" s="67" t="inlineStr">
        <is>
          <t>G3S 10</t>
        </is>
      </c>
      <c r="C441" s="68" t="inlineStr">
        <is>
          <t>Fechamento</t>
        </is>
      </c>
      <c r="D441" s="69" t="inlineStr">
        <is>
          <t>Adequação de relatórios de sistemas externos para formato de Fechamento</t>
        </is>
      </c>
      <c r="E441" s="115" t="n">
        <v>0.5416666666666666</v>
      </c>
      <c r="F441" s="115" t="n">
        <v>0.625</v>
      </c>
      <c r="G441" s="118" t="n">
        <v>0.08333333333333333</v>
      </c>
    </row>
    <row r="442" ht="15" customHeight="1" thickTop="1">
      <c r="A442" s="61" t="n">
        <v>46138</v>
      </c>
      <c r="B442" s="30" t="inlineStr">
        <is>
          <t>G3S 10</t>
        </is>
      </c>
      <c r="C442" s="31" t="inlineStr">
        <is>
          <t>BCBI Seletiva</t>
        </is>
      </c>
      <c r="D442" s="51" t="inlineStr">
        <is>
          <t>Operação assistida do sistema de BI da seletiva</t>
        </is>
      </c>
      <c r="E442" s="114" t="n">
        <v>0.3333333333333333</v>
      </c>
      <c r="F442" s="114" t="n">
        <v>0.4166666666666667</v>
      </c>
      <c r="G442" s="117" t="n">
        <v>0.08333333333333333</v>
      </c>
    </row>
    <row r="443" ht="15" customHeight="1">
      <c r="A443" s="47" t="n">
        <v>46138</v>
      </c>
      <c r="B443" s="20" t="inlineStr">
        <is>
          <t>G3S 10</t>
        </is>
      </c>
      <c r="C443" s="21" t="inlineStr">
        <is>
          <t>BCBI Seletiva</t>
        </is>
      </c>
      <c r="D443" s="48" t="inlineStr">
        <is>
          <t>Atualização do ODBC e validação de conexões</t>
        </is>
      </c>
      <c r="E443" s="111" t="n">
        <v>0.4166666666666667</v>
      </c>
      <c r="F443" s="111" t="n">
        <v>0.5</v>
      </c>
      <c r="G443" s="119" t="n">
        <v>0.08333333333333333</v>
      </c>
    </row>
    <row r="444" ht="15" customHeight="1">
      <c r="A444" s="63" t="n">
        <v>46138</v>
      </c>
      <c r="B444" s="49" t="inlineStr">
        <is>
          <t>G3S 10</t>
        </is>
      </c>
      <c r="C444" s="50" t="inlineStr">
        <is>
          <t>Fechamento</t>
        </is>
      </c>
      <c r="D444" s="60" t="inlineStr">
        <is>
          <t>Tratamento dos dados de fechamento</t>
        </is>
      </c>
      <c r="E444" s="112" t="n">
        <v>0.5416666666666666</v>
      </c>
      <c r="F444" s="112" t="n">
        <v>0.6666666666666666</v>
      </c>
      <c r="G444" s="102" t="n">
        <v>0.125</v>
      </c>
    </row>
    <row r="445" ht="15" customHeight="1" thickBot="1">
      <c r="A445" s="66" t="n">
        <v>46138</v>
      </c>
      <c r="B445" s="67" t="inlineStr">
        <is>
          <t>G3S 10</t>
        </is>
      </c>
      <c r="C445" s="68" t="inlineStr">
        <is>
          <t>Fechamento</t>
        </is>
      </c>
      <c r="D445" s="69" t="inlineStr">
        <is>
          <t>Finalização e validação dos dados de fechamento</t>
        </is>
      </c>
      <c r="E445" s="115" t="n">
        <v>0.6666666666666666</v>
      </c>
      <c r="F445" s="115" t="n">
        <v>0.75</v>
      </c>
      <c r="G445" s="118" t="n">
        <v>0.08333333333333333</v>
      </c>
    </row>
    <row r="446" ht="15" customHeight="1" thickTop="1">
      <c r="A446" s="61" t="n">
        <v>46139</v>
      </c>
      <c r="B446" s="30" t="inlineStr">
        <is>
          <t>G3S 10</t>
        </is>
      </c>
      <c r="C446" s="31" t="inlineStr">
        <is>
          <t>BCBI Seletiva</t>
        </is>
      </c>
      <c r="D446" s="51" t="inlineStr">
        <is>
          <t>Operação assistida do sistema de BI da seletiva</t>
        </is>
      </c>
      <c r="E446" s="114" t="n">
        <v>0.3333333333333333</v>
      </c>
      <c r="F446" s="114" t="n">
        <v>0.4375</v>
      </c>
      <c r="G446" s="117" t="n">
        <v>0.1041666666666667</v>
      </c>
    </row>
    <row r="447" ht="15" customHeight="1">
      <c r="A447" s="47" t="n">
        <v>46139</v>
      </c>
      <c r="B447" s="20" t="inlineStr">
        <is>
          <t>G3S 10</t>
        </is>
      </c>
      <c r="C447" s="21" t="inlineStr">
        <is>
          <t>Suporte Áreas</t>
        </is>
      </c>
      <c r="D447" s="48" t="inlineStr">
        <is>
          <t>Atualização do ODBC e verificação de integridade</t>
        </is>
      </c>
      <c r="E447" s="111" t="n">
        <v>0.4375</v>
      </c>
      <c r="F447" s="111" t="n">
        <v>0.5</v>
      </c>
      <c r="G447" s="119" t="n">
        <v>0.0625</v>
      </c>
    </row>
    <row r="448" ht="15" customHeight="1">
      <c r="A448" s="63" t="n">
        <v>46139</v>
      </c>
      <c r="B448" s="49" t="inlineStr">
        <is>
          <t>G3S 10</t>
        </is>
      </c>
      <c r="C448" s="50" t="inlineStr">
        <is>
          <t>Fechamento</t>
        </is>
      </c>
      <c r="D448" s="60" t="inlineStr">
        <is>
          <t>Adequação de relatórios de sistemas externos para formato de Fechamento</t>
        </is>
      </c>
      <c r="E448" s="112" t="n">
        <v>0.5416666666666666</v>
      </c>
      <c r="F448" s="112" t="n">
        <v>0.625</v>
      </c>
      <c r="G448" s="102" t="n">
        <v>0.08333333333333333</v>
      </c>
    </row>
    <row r="449" ht="15" customHeight="1" thickBot="1">
      <c r="A449" s="66" t="n">
        <v>46139</v>
      </c>
      <c r="B449" s="67" t="inlineStr">
        <is>
          <t>G3S 10</t>
        </is>
      </c>
      <c r="C449" s="68" t="inlineStr">
        <is>
          <t>Fechamento</t>
        </is>
      </c>
      <c r="D449" s="69" t="inlineStr">
        <is>
          <t>Finalização e validação dos dados de fechamento</t>
        </is>
      </c>
      <c r="E449" s="115" t="n">
        <v>0.6666666666666666</v>
      </c>
      <c r="F449" s="115" t="n">
        <v>0.75</v>
      </c>
      <c r="G449" s="118" t="n">
        <v>0.08333333333333333</v>
      </c>
    </row>
    <row r="450" ht="15" customHeight="1" thickTop="1">
      <c r="A450" s="78" t="n">
        <v>46140</v>
      </c>
      <c r="B450" s="35" t="inlineStr">
        <is>
          <t>G3S 10</t>
        </is>
      </c>
      <c r="C450" s="36" t="inlineStr">
        <is>
          <t>BCBI Seletiva</t>
        </is>
      </c>
      <c r="D450" s="79" t="inlineStr">
        <is>
          <t>Operação assistida do sistema de BI da seletiva</t>
        </is>
      </c>
      <c r="E450" s="116" t="n">
        <v>0.3333333333333333</v>
      </c>
      <c r="F450" s="116" t="n">
        <v>0.4166666666666667</v>
      </c>
      <c r="G450" s="120" t="n">
        <v>0.08333333333333333</v>
      </c>
    </row>
    <row r="451" ht="15" customHeight="1" thickBot="1">
      <c r="A451" s="66" t="n">
        <v>46140</v>
      </c>
      <c r="B451" s="67" t="inlineStr">
        <is>
          <t>G3S 10</t>
        </is>
      </c>
      <c r="C451" s="68" t="inlineStr">
        <is>
          <t>Fechamento</t>
        </is>
      </c>
      <c r="D451" s="69" t="inlineStr">
        <is>
          <t>Tratamento dos dados de fechamento</t>
        </is>
      </c>
      <c r="E451" s="115" t="n">
        <v>0.4166666666666667</v>
      </c>
      <c r="F451" s="115" t="n">
        <v>0.5</v>
      </c>
      <c r="G451" s="118" t="n">
        <v>0.08333333333333333</v>
      </c>
    </row>
    <row r="452" ht="15" customHeight="1" thickTop="1">
      <c r="A452" s="61" t="n">
        <v>46143</v>
      </c>
      <c r="B452" s="30" t="inlineStr">
        <is>
          <t>G3S 10</t>
        </is>
      </c>
      <c r="C452" s="31" t="inlineStr">
        <is>
          <t>BCBI Seletiva</t>
        </is>
      </c>
      <c r="D452" s="51" t="inlineStr">
        <is>
          <t>Checagem de valores e integrações BCBIxSAGI</t>
        </is>
      </c>
      <c r="E452" s="114" t="n">
        <v>0.3319583333333334</v>
      </c>
      <c r="F452" s="114" t="n">
        <v>0.4375</v>
      </c>
      <c r="G452" s="117" t="n">
        <v>0.1055555555555556</v>
      </c>
    </row>
    <row r="453" ht="15" customHeight="1">
      <c r="A453" s="63" t="n">
        <v>46143</v>
      </c>
      <c r="B453" s="49" t="inlineStr">
        <is>
          <t>G3S 10</t>
        </is>
      </c>
      <c r="C453" s="50" t="inlineStr">
        <is>
          <t>Qualidade</t>
        </is>
      </c>
      <c r="D453" s="60" t="inlineStr">
        <is>
          <t>Alinhamento de demandas e atividades</t>
        </is>
      </c>
      <c r="E453" s="112" t="n">
        <v>0.4375</v>
      </c>
      <c r="F453" s="112" t="n">
        <v>0.5</v>
      </c>
      <c r="G453" s="102" t="n">
        <v>0.0625</v>
      </c>
    </row>
    <row r="454" ht="15" customHeight="1" thickBot="1">
      <c r="A454" s="66" t="n">
        <v>46143</v>
      </c>
      <c r="B454" s="67" t="inlineStr">
        <is>
          <t>G3S 10</t>
        </is>
      </c>
      <c r="C454" s="68" t="inlineStr">
        <is>
          <t>Fechamento</t>
        </is>
      </c>
      <c r="D454" s="69" t="inlineStr">
        <is>
          <t>Tratamento dos dados de fechamento abril</t>
        </is>
      </c>
      <c r="E454" s="115" t="n">
        <v>0.5416666666666666</v>
      </c>
      <c r="F454" s="115" t="n">
        <v>0.625</v>
      </c>
      <c r="G454" s="118" t="n">
        <v>0.08333333333333333</v>
      </c>
    </row>
    <row r="455" ht="15" customHeight="1" thickTop="1">
      <c r="A455" s="61" t="n">
        <v>46144</v>
      </c>
      <c r="B455" s="30" t="inlineStr">
        <is>
          <t>G3S 10</t>
        </is>
      </c>
      <c r="C455" s="31" t="inlineStr">
        <is>
          <t>BCBI Seletiva</t>
        </is>
      </c>
      <c r="D455" s="51" t="inlineStr">
        <is>
          <t>Operação assistida do sistema de BI da seletiva, acompanhamento e checagem de erros no sistema</t>
        </is>
      </c>
      <c r="E455" s="114" t="n">
        <v>0.3305416666666667</v>
      </c>
      <c r="F455" s="114" t="n">
        <v>0.4375</v>
      </c>
      <c r="G455" s="117" t="n">
        <v>0.1069444444444444</v>
      </c>
    </row>
    <row r="456" ht="15" customHeight="1">
      <c r="A456" s="63" t="n">
        <v>46144</v>
      </c>
      <c r="B456" s="49" t="inlineStr">
        <is>
          <t>G3S 10</t>
        </is>
      </c>
      <c r="C456" s="50" t="inlineStr">
        <is>
          <t>Suporte Áreas</t>
        </is>
      </c>
      <c r="D456" s="60" t="inlineStr">
        <is>
          <t>Desenvolvimento de relatórios para áreas internas</t>
        </is>
      </c>
      <c r="E456" s="112" t="n">
        <v>0.4375</v>
      </c>
      <c r="F456" s="112" t="n">
        <v>0.5</v>
      </c>
      <c r="G456" s="102" t="n">
        <v>0.0625</v>
      </c>
    </row>
    <row r="457" ht="15" customHeight="1" thickBot="1">
      <c r="A457" s="66" t="n">
        <v>46144</v>
      </c>
      <c r="B457" s="67" t="inlineStr">
        <is>
          <t>G3S 10</t>
        </is>
      </c>
      <c r="C457" s="68" t="inlineStr">
        <is>
          <t>Fechamento</t>
        </is>
      </c>
      <c r="D457" s="69" t="inlineStr">
        <is>
          <t>Adequação de relatórios de sistemas externos para formato de Fechamento</t>
        </is>
      </c>
      <c r="E457" s="115" t="n">
        <v>0.5416666666666666</v>
      </c>
      <c r="F457" s="115" t="n">
        <v>0.625</v>
      </c>
      <c r="G457" s="118" t="n">
        <v>0.08333333333333333</v>
      </c>
    </row>
    <row r="458" ht="15" customHeight="1" thickTop="1">
      <c r="A458" s="61" t="n">
        <v>46145</v>
      </c>
      <c r="B458" s="30" t="inlineStr">
        <is>
          <t>G3S 10</t>
        </is>
      </c>
      <c r="C458" s="31" t="inlineStr">
        <is>
          <t>BCBI Seletiva</t>
        </is>
      </c>
      <c r="D458" s="51" t="inlineStr">
        <is>
          <t>Operação assistida do sistema de BI da seletiva</t>
        </is>
      </c>
      <c r="E458" s="114" t="n">
        <v>0.326375</v>
      </c>
      <c r="F458" s="114" t="n">
        <v>0.3541666666666667</v>
      </c>
      <c r="G458" s="117" t="n">
        <v>0.02777777777777778</v>
      </c>
    </row>
    <row r="459" ht="15" customHeight="1">
      <c r="A459" s="47" t="n">
        <v>46145</v>
      </c>
      <c r="B459" s="20" t="inlineStr">
        <is>
          <t>RH</t>
        </is>
      </c>
      <c r="C459" s="21" t="inlineStr">
        <is>
          <t>Ginástica Laboral</t>
        </is>
      </c>
      <c r="D459" s="48" t="inlineStr">
        <is>
          <t>Ginástica Laboral</t>
        </is>
      </c>
      <c r="E459" s="111" t="n">
        <v>0.3541666666666667</v>
      </c>
      <c r="F459" s="111" t="n">
        <v>0.375</v>
      </c>
      <c r="G459" s="119" t="n">
        <v>0.02083333333333333</v>
      </c>
    </row>
    <row r="460" ht="15" customHeight="1">
      <c r="A460" s="63" t="n">
        <v>46145</v>
      </c>
      <c r="B460" s="49" t="inlineStr">
        <is>
          <t>G3S 10</t>
        </is>
      </c>
      <c r="C460" s="50" t="inlineStr">
        <is>
          <t>BCBI Seletiva</t>
        </is>
      </c>
      <c r="D460" s="60" t="inlineStr">
        <is>
          <t>Auditoria entre relatórios do SAGI e dados do BCBI</t>
        </is>
      </c>
      <c r="E460" s="112" t="n">
        <v>0.375</v>
      </c>
      <c r="F460" s="112" t="n">
        <v>0.5</v>
      </c>
      <c r="G460" s="102" t="n">
        <v>0.125</v>
      </c>
    </row>
    <row r="461" ht="15" customHeight="1" thickBot="1">
      <c r="A461" s="66" t="n">
        <v>46145</v>
      </c>
      <c r="B461" s="67" t="inlineStr">
        <is>
          <t>G3S 10</t>
        </is>
      </c>
      <c r="C461" s="68" t="inlineStr">
        <is>
          <t>Fechamento</t>
        </is>
      </c>
      <c r="D461" s="69" t="inlineStr">
        <is>
          <t>Tratamento dos dados de fechamento abril</t>
        </is>
      </c>
      <c r="E461" s="115" t="n">
        <v>0.5416666666666666</v>
      </c>
      <c r="F461" s="115" t="n">
        <v>0.625</v>
      </c>
      <c r="G461" s="118" t="n">
        <v>0.08333333333333333</v>
      </c>
    </row>
    <row r="462" ht="15" customHeight="1" thickTop="1">
      <c r="A462" s="61" t="n">
        <v>46146</v>
      </c>
      <c r="B462" s="30" t="inlineStr">
        <is>
          <t>G3S 10</t>
        </is>
      </c>
      <c r="C462" s="31" t="inlineStr">
        <is>
          <t>BCBI Seletiva</t>
        </is>
      </c>
      <c r="D462" s="51" t="inlineStr">
        <is>
          <t>Operação assistida do sistema de BI da seletiva, acompanhamento e checagem de erros no sistema</t>
        </is>
      </c>
      <c r="E462" s="114" t="n">
        <v>0.329875</v>
      </c>
      <c r="F462" s="114" t="n">
        <v>0.4375</v>
      </c>
      <c r="G462" s="117" t="n">
        <v>0.1076388888888889</v>
      </c>
    </row>
    <row r="463" ht="15" customHeight="1">
      <c r="A463" s="63" t="n">
        <v>46146</v>
      </c>
      <c r="B463" s="49" t="inlineStr">
        <is>
          <t>G3S 10</t>
        </is>
      </c>
      <c r="C463" s="50" t="inlineStr">
        <is>
          <t>BCBI Seletiva</t>
        </is>
      </c>
      <c r="D463" s="60" t="inlineStr">
        <is>
          <t>Auditoria entre relatórios do SAGI e dados do BCBI</t>
        </is>
      </c>
      <c r="E463" s="112" t="n">
        <v>0.4375</v>
      </c>
      <c r="F463" s="112" t="n">
        <v>0.5</v>
      </c>
      <c r="G463" s="102" t="n">
        <v>0.0625</v>
      </c>
    </row>
    <row r="464" ht="15" customHeight="1" thickBot="1">
      <c r="A464" s="66" t="n">
        <v>46146</v>
      </c>
      <c r="B464" s="67" t="inlineStr">
        <is>
          <t>G3S 10</t>
        </is>
      </c>
      <c r="C464" s="68" t="inlineStr">
        <is>
          <t>BCBI Seletiva</t>
        </is>
      </c>
      <c r="D464" s="69" t="inlineStr">
        <is>
          <t>Validação de cargas e conferência de dados</t>
        </is>
      </c>
      <c r="E464" s="115" t="n">
        <v>0.5416666666666666</v>
      </c>
      <c r="F464" s="115" t="n">
        <v>0.625</v>
      </c>
      <c r="G464" s="118" t="n">
        <v>0.08333333333333333</v>
      </c>
    </row>
    <row r="465" ht="15" customHeight="1" thickTop="1">
      <c r="A465" s="61" t="n">
        <v>46147</v>
      </c>
      <c r="B465" s="30" t="inlineStr">
        <is>
          <t>G3S 10</t>
        </is>
      </c>
      <c r="C465" s="31" t="inlineStr">
        <is>
          <t>BCBI Seletiva</t>
        </is>
      </c>
      <c r="D465" s="51" t="inlineStr">
        <is>
          <t>Atualização do ODBC e validação de conexões</t>
        </is>
      </c>
      <c r="E465" s="114" t="n">
        <v>0.3277916666666666</v>
      </c>
      <c r="F465" s="114" t="n">
        <v>0.4166666666666667</v>
      </c>
      <c r="G465" s="117" t="n">
        <v>0.08888888888888889</v>
      </c>
    </row>
    <row r="466" ht="15" customHeight="1">
      <c r="A466" s="63" t="n">
        <v>46147</v>
      </c>
      <c r="B466" s="49" t="inlineStr">
        <is>
          <t>G3S 10</t>
        </is>
      </c>
      <c r="C466" s="50" t="inlineStr">
        <is>
          <t>Fechamento</t>
        </is>
      </c>
      <c r="D466" s="60" t="inlineStr">
        <is>
          <t>Adequação de relatórios de sistemas externos para formato de Fechamento</t>
        </is>
      </c>
      <c r="E466" s="112" t="n">
        <v>0.4166666666666667</v>
      </c>
      <c r="F466" s="112" t="n">
        <v>0.5</v>
      </c>
      <c r="G466" s="102" t="n">
        <v>0.08333333333333333</v>
      </c>
    </row>
    <row r="467" ht="15" customHeight="1" thickBot="1">
      <c r="A467" s="66" t="n">
        <v>46147</v>
      </c>
      <c r="B467" s="67" t="inlineStr">
        <is>
          <t>G3S 10</t>
        </is>
      </c>
      <c r="C467" s="68" t="inlineStr">
        <is>
          <t>Fechamento</t>
        </is>
      </c>
      <c r="D467" s="69" t="inlineStr">
        <is>
          <t>Tratamento dos dados de fechamento abril</t>
        </is>
      </c>
      <c r="E467" s="115" t="n">
        <v>0.5416666666666666</v>
      </c>
      <c r="F467" s="115" t="n">
        <v>0.625</v>
      </c>
      <c r="G467" s="118" t="n">
        <v>0.08333333333333333</v>
      </c>
    </row>
    <row r="468" ht="15" customHeight="1" thickTop="1">
      <c r="A468" s="61" t="n">
        <v>46148</v>
      </c>
      <c r="B468" s="30" t="inlineStr">
        <is>
          <t>G3S 10</t>
        </is>
      </c>
      <c r="C468" s="31" t="inlineStr">
        <is>
          <t>Fechamento</t>
        </is>
      </c>
      <c r="D468" s="51" t="inlineStr">
        <is>
          <t>Tratamento dos dados de fechamento abril pré carga</t>
        </is>
      </c>
      <c r="E468" s="114" t="n">
        <v>0.33125</v>
      </c>
      <c r="F468" s="114" t="n">
        <v>0.4375</v>
      </c>
      <c r="G468" s="117" t="n">
        <v>0.10625</v>
      </c>
    </row>
    <row r="469" ht="15" customHeight="1">
      <c r="A469" s="63" t="n">
        <v>46148</v>
      </c>
      <c r="B469" s="49" t="inlineStr">
        <is>
          <t>G3S 10</t>
        </is>
      </c>
      <c r="C469" s="50" t="inlineStr">
        <is>
          <t>BCBI Seletiva</t>
        </is>
      </c>
      <c r="D469" s="60" t="inlineStr">
        <is>
          <t>Atualização do ODBC e validação de conexões</t>
        </is>
      </c>
      <c r="E469" s="112" t="n">
        <v>0.4375</v>
      </c>
      <c r="F469" s="112" t="n">
        <v>0.5</v>
      </c>
      <c r="G469" s="102" t="n">
        <v>0.0625</v>
      </c>
    </row>
    <row r="470" ht="15" customHeight="1" thickBot="1">
      <c r="A470" s="66" t="n">
        <v>46148</v>
      </c>
      <c r="B470" s="67" t="inlineStr">
        <is>
          <t>G3S 10</t>
        </is>
      </c>
      <c r="C470" s="68" t="inlineStr">
        <is>
          <t>BCBI Seletiva</t>
        </is>
      </c>
      <c r="D470" s="69" t="inlineStr">
        <is>
          <t>Validação de cargas e conferência de dados</t>
        </is>
      </c>
      <c r="E470" s="115" t="n">
        <v>0.5416666666666666</v>
      </c>
      <c r="F470" s="115" t="n">
        <v>0.625</v>
      </c>
      <c r="G470" s="118" t="n">
        <v>0.08333333333333333</v>
      </c>
    </row>
    <row r="471" ht="15" customHeight="1" thickTop="1">
      <c r="A471" s="61" t="n">
        <v>46149</v>
      </c>
      <c r="B471" s="30" t="inlineStr">
        <is>
          <t>G3S 10</t>
        </is>
      </c>
      <c r="C471" s="31" t="inlineStr">
        <is>
          <t>BCBI Seletiva</t>
        </is>
      </c>
      <c r="D471" s="51" t="inlineStr">
        <is>
          <t>Operação assistida do sistema de BI da seletiva, acompanhamento e checagem de erros no sistema</t>
        </is>
      </c>
      <c r="E471" s="114" t="n">
        <v>0.326375</v>
      </c>
      <c r="F471" s="114" t="n">
        <v>0.4375</v>
      </c>
      <c r="G471" s="117" t="n">
        <v>0.111125</v>
      </c>
    </row>
    <row r="472" ht="15" customHeight="1">
      <c r="A472" s="63" t="n">
        <v>46149</v>
      </c>
      <c r="B472" s="49" t="inlineStr">
        <is>
          <t>G3S 10</t>
        </is>
      </c>
      <c r="C472" s="50" t="inlineStr">
        <is>
          <t>Fechamento</t>
        </is>
      </c>
      <c r="D472" s="60" t="inlineStr">
        <is>
          <t>Adequação de relatórios de sistemas externos para formato de Fechamento</t>
        </is>
      </c>
      <c r="E472" s="112" t="n">
        <v>0.4375</v>
      </c>
      <c r="F472" s="112" t="n">
        <v>0.5</v>
      </c>
      <c r="G472" s="102" t="n">
        <v>0.0625</v>
      </c>
    </row>
    <row r="473" ht="15" customHeight="1" thickBot="1">
      <c r="A473" s="66" t="n">
        <v>46149</v>
      </c>
      <c r="B473" s="67" t="inlineStr">
        <is>
          <t>G3S 10</t>
        </is>
      </c>
      <c r="C473" s="68" t="inlineStr">
        <is>
          <t>Fechamento</t>
        </is>
      </c>
      <c r="D473" s="69" t="inlineStr">
        <is>
          <t>Tratamento dos dados de fechamento abril</t>
        </is>
      </c>
      <c r="E473" s="115" t="n">
        <v>0.5416666666666666</v>
      </c>
      <c r="F473" s="115" t="n">
        <v>0.625</v>
      </c>
      <c r="G473" s="118" t="n">
        <v>0.08333333333333333</v>
      </c>
    </row>
    <row r="474" ht="15" customHeight="1" thickTop="1">
      <c r="A474" s="61" t="n">
        <v>46150</v>
      </c>
      <c r="B474" s="30" t="inlineStr">
        <is>
          <t>G3S 10</t>
        </is>
      </c>
      <c r="C474" s="31" t="inlineStr">
        <is>
          <t>BCBI Seletiva</t>
        </is>
      </c>
      <c r="D474" s="51" t="inlineStr">
        <is>
          <t>Atualização do ODBC e validação de conexões</t>
        </is>
      </c>
      <c r="E474" s="114" t="n">
        <v>0.3270833333333333</v>
      </c>
      <c r="F474" s="114" t="n">
        <v>0.4166666666666667</v>
      </c>
      <c r="G474" s="117" t="n">
        <v>0.08958333333333333</v>
      </c>
    </row>
    <row r="475" ht="15" customHeight="1">
      <c r="A475" s="63" t="n">
        <v>46150</v>
      </c>
      <c r="B475" s="49" t="inlineStr">
        <is>
          <t>G3S 10</t>
        </is>
      </c>
      <c r="C475" s="50" t="inlineStr">
        <is>
          <t>Fechamento</t>
        </is>
      </c>
      <c r="D475" s="60" t="inlineStr">
        <is>
          <t>Adequação de relatórios de sistemas externos para formato de Fechamento</t>
        </is>
      </c>
      <c r="E475" s="112" t="n">
        <v>0.4166666666666667</v>
      </c>
      <c r="F475" s="112" t="n">
        <v>0.5</v>
      </c>
      <c r="G475" s="102" t="n">
        <v>0.08333333333333333</v>
      </c>
    </row>
    <row r="476" ht="15" customHeight="1" thickBot="1">
      <c r="A476" s="66" t="n">
        <v>46150</v>
      </c>
      <c r="B476" s="67" t="inlineStr">
        <is>
          <t>G3S 10</t>
        </is>
      </c>
      <c r="C476" s="68" t="inlineStr">
        <is>
          <t>BCBI Seletiva</t>
        </is>
      </c>
      <c r="D476" s="69" t="inlineStr">
        <is>
          <t>Checagem de valores e integrações BCBIxSAGI</t>
        </is>
      </c>
      <c r="E476" s="115" t="n">
        <v>0.5416666666666666</v>
      </c>
      <c r="F476" s="115" t="n">
        <v>0.625</v>
      </c>
      <c r="G476" s="118" t="n">
        <v>0.08333333333333333</v>
      </c>
    </row>
    <row r="477" ht="15" customHeight="1" thickTop="1">
      <c r="A477" s="61" t="n">
        <v>46151</v>
      </c>
      <c r="B477" s="30" t="inlineStr">
        <is>
          <t>G3S 10</t>
        </is>
      </c>
      <c r="C477" s="31" t="inlineStr">
        <is>
          <t>Fechamento</t>
        </is>
      </c>
      <c r="D477" s="51" t="inlineStr">
        <is>
          <t>Tratamento dos dados de fechamento abril pré carga</t>
        </is>
      </c>
      <c r="E477" s="114" t="n">
        <v>0.33125</v>
      </c>
      <c r="F477" s="114" t="n">
        <v>0.4375</v>
      </c>
      <c r="G477" s="117" t="n">
        <v>0.10625</v>
      </c>
    </row>
    <row r="478" ht="15" customHeight="1">
      <c r="A478" s="63" t="n">
        <v>46151</v>
      </c>
      <c r="B478" s="49" t="inlineStr">
        <is>
          <t>G3S 10</t>
        </is>
      </c>
      <c r="C478" s="50" t="inlineStr">
        <is>
          <t>BCBI Seletiva</t>
        </is>
      </c>
      <c r="D478" s="60" t="inlineStr">
        <is>
          <t>Atualização do ODBC e validação de conexões</t>
        </is>
      </c>
      <c r="E478" s="112" t="n">
        <v>0.4375</v>
      </c>
      <c r="F478" s="112" t="n">
        <v>0.5</v>
      </c>
      <c r="G478" s="102" t="n">
        <v>0.0625</v>
      </c>
    </row>
    <row r="479" ht="15" customHeight="1" thickBot="1">
      <c r="A479" s="66" t="n">
        <v>46151</v>
      </c>
      <c r="B479" s="67" t="inlineStr">
        <is>
          <t>G3S 10</t>
        </is>
      </c>
      <c r="C479" s="68" t="inlineStr">
        <is>
          <t>BCBI Seletiva</t>
        </is>
      </c>
      <c r="D479" s="69" t="inlineStr">
        <is>
          <t>Validação de cargas e conferência de dados</t>
        </is>
      </c>
      <c r="E479" s="115" t="n">
        <v>0.5416666666666666</v>
      </c>
      <c r="F479" s="115" t="n">
        <v>0.625</v>
      </c>
      <c r="G479" s="118" t="n">
        <v>0.08333333333333333</v>
      </c>
    </row>
    <row r="480" ht="15" customHeight="1" thickTop="1">
      <c r="A480" s="61" t="n">
        <v>46152</v>
      </c>
      <c r="B480" s="30" t="inlineStr">
        <is>
          <t>G3S 10</t>
        </is>
      </c>
      <c r="C480" s="31" t="inlineStr">
        <is>
          <t>BCBI Seletiva</t>
        </is>
      </c>
      <c r="D480" s="51" t="inlineStr">
        <is>
          <t>Operação assistida do sistema de BI da seletiva, acompanhamento e checagem de erros no sistema</t>
        </is>
      </c>
      <c r="E480" s="114" t="n">
        <v>0.3319583333333334</v>
      </c>
      <c r="F480" s="114" t="n">
        <v>0.4375</v>
      </c>
      <c r="G480" s="117" t="n">
        <v>0.1055416666666667</v>
      </c>
    </row>
    <row r="481" ht="15" customHeight="1">
      <c r="A481" s="63" t="n">
        <v>46152</v>
      </c>
      <c r="B481" s="49" t="inlineStr">
        <is>
          <t>G3S 10</t>
        </is>
      </c>
      <c r="C481" s="50" t="inlineStr">
        <is>
          <t>Fechamento</t>
        </is>
      </c>
      <c r="D481" s="60" t="inlineStr">
        <is>
          <t>Adequação de relatórios de sistemas externos para formato de Fechamento</t>
        </is>
      </c>
      <c r="E481" s="112" t="n">
        <v>0.4375</v>
      </c>
      <c r="F481" s="112" t="n">
        <v>0.5</v>
      </c>
      <c r="G481" s="102" t="n">
        <v>0.0625</v>
      </c>
    </row>
    <row r="482" ht="15" customHeight="1" thickBot="1">
      <c r="A482" s="66" t="n">
        <v>46152</v>
      </c>
      <c r="B482" s="67" t="inlineStr">
        <is>
          <t>G3S 10</t>
        </is>
      </c>
      <c r="C482" s="68" t="inlineStr">
        <is>
          <t>Fechamento</t>
        </is>
      </c>
      <c r="D482" s="69" t="inlineStr">
        <is>
          <t>Tratamento dos dados de fechamento abril</t>
        </is>
      </c>
      <c r="E482" s="115" t="n">
        <v>0.5416666666666666</v>
      </c>
      <c r="F482" s="115" t="n">
        <v>0.625</v>
      </c>
      <c r="G482" s="118" t="n">
        <v>0.08333333333333333</v>
      </c>
    </row>
    <row r="483" ht="15" customHeight="1" thickTop="1">
      <c r="A483" s="61" t="n">
        <v>46153</v>
      </c>
      <c r="B483" s="30" t="inlineStr">
        <is>
          <t>G3S 10</t>
        </is>
      </c>
      <c r="C483" s="31" t="inlineStr">
        <is>
          <t>BCBI Seletiva</t>
        </is>
      </c>
      <c r="D483" s="51" t="inlineStr">
        <is>
          <t>Auditoria entre relatórios do SAGI e dados do BCBI</t>
        </is>
      </c>
      <c r="E483" s="114" t="n">
        <v>0.3305416666666667</v>
      </c>
      <c r="F483" s="114" t="n">
        <v>0.4375</v>
      </c>
      <c r="G483" s="117" t="n">
        <v>0.1069583333333333</v>
      </c>
    </row>
    <row r="484" ht="15" customHeight="1">
      <c r="A484" s="63" t="n">
        <v>46153</v>
      </c>
      <c r="B484" s="49" t="inlineStr">
        <is>
          <t>G3S 10</t>
        </is>
      </c>
      <c r="C484" s="50" t="inlineStr">
        <is>
          <t>Qualidade</t>
        </is>
      </c>
      <c r="D484" s="60" t="inlineStr">
        <is>
          <t>Alinhamento de demandas e atividades</t>
        </is>
      </c>
      <c r="E484" s="112" t="n">
        <v>0.4375</v>
      </c>
      <c r="F484" s="112" t="n">
        <v>0.5</v>
      </c>
      <c r="G484" s="102" t="n">
        <v>0.0625</v>
      </c>
    </row>
    <row r="485" ht="15" customHeight="1" thickBot="1">
      <c r="A485" s="66" t="n">
        <v>46153</v>
      </c>
      <c r="B485" s="67" t="inlineStr">
        <is>
          <t>G3S 10</t>
        </is>
      </c>
      <c r="C485" s="68" t="inlineStr">
        <is>
          <t>BCBI Seletiva</t>
        </is>
      </c>
      <c r="D485" s="69" t="inlineStr">
        <is>
          <t>Checagem de valores e integrações BCBIxSAGI</t>
        </is>
      </c>
      <c r="E485" s="115" t="n">
        <v>0.5416666666666666</v>
      </c>
      <c r="F485" s="115" t="n">
        <v>0.625</v>
      </c>
      <c r="G485" s="118" t="n">
        <v>0.08333333333333333</v>
      </c>
    </row>
    <row r="486" ht="15" customHeight="1" thickTop="1">
      <c r="A486" s="61" t="n">
        <v>46154</v>
      </c>
      <c r="B486" s="30" t="inlineStr">
        <is>
          <t>G3S 10</t>
        </is>
      </c>
      <c r="C486" s="31" t="inlineStr">
        <is>
          <t>BCBI Seletiva</t>
        </is>
      </c>
      <c r="D486" s="51" t="inlineStr">
        <is>
          <t>Operação assistida do sistema de BI da seletiva</t>
        </is>
      </c>
      <c r="E486" s="114" t="n">
        <v>0.3333333333333333</v>
      </c>
      <c r="F486" s="114" t="n">
        <v>0.4375</v>
      </c>
      <c r="G486" s="117" t="n">
        <v>0.1041666666666667</v>
      </c>
    </row>
    <row r="487" ht="15" customHeight="1">
      <c r="A487" s="63" t="n">
        <v>46154</v>
      </c>
      <c r="B487" s="49" t="inlineStr">
        <is>
          <t>G3S 10</t>
        </is>
      </c>
      <c r="C487" s="50" t="inlineStr">
        <is>
          <t>Suporte Áreas</t>
        </is>
      </c>
      <c r="D487" s="60" t="inlineStr">
        <is>
          <t>Atualização do ODBC e verificação de integridade</t>
        </is>
      </c>
      <c r="E487" s="112" t="n">
        <v>0.4375</v>
      </c>
      <c r="F487" s="112" t="n">
        <v>0.5</v>
      </c>
      <c r="G487" s="102" t="n">
        <v>0.0625</v>
      </c>
    </row>
    <row r="488" ht="15" customHeight="1" thickBot="1">
      <c r="A488" s="66" t="n">
        <v>46154</v>
      </c>
      <c r="B488" s="67" t="inlineStr">
        <is>
          <t>G3S 10</t>
        </is>
      </c>
      <c r="C488" s="68" t="inlineStr">
        <is>
          <t>Fechamento</t>
        </is>
      </c>
      <c r="D488" s="69" t="inlineStr">
        <is>
          <t>Adequação de relatórios de sistemas externos para formato de Fechamento</t>
        </is>
      </c>
      <c r="E488" s="115" t="n">
        <v>0.5416666666666666</v>
      </c>
      <c r="F488" s="115" t="n">
        <v>0.625</v>
      </c>
      <c r="G488" s="118" t="n">
        <v>0.08333333333333333</v>
      </c>
    </row>
    <row r="489" ht="15" customHeight="1" thickTop="1">
      <c r="A489" s="61" t="n">
        <v>46155</v>
      </c>
      <c r="B489" s="30" t="inlineStr">
        <is>
          <t>G3S 10</t>
        </is>
      </c>
      <c r="C489" s="31" t="inlineStr">
        <is>
          <t>BCBI Seletiva</t>
        </is>
      </c>
      <c r="D489" s="51" t="inlineStr">
        <is>
          <t>Operação assistida do sistema de BI da seletiva</t>
        </is>
      </c>
      <c r="E489" s="114" t="n">
        <v>0.3333333333333333</v>
      </c>
      <c r="F489" s="114" t="n">
        <v>0.3541666666666667</v>
      </c>
      <c r="G489" s="117" t="n">
        <v>0.02083333333333333</v>
      </c>
    </row>
    <row r="490" ht="15" customHeight="1">
      <c r="A490" s="47" t="n">
        <v>46155</v>
      </c>
      <c r="B490" s="20" t="inlineStr">
        <is>
          <t>RH</t>
        </is>
      </c>
      <c r="C490" s="21" t="inlineStr">
        <is>
          <t>Ginástica Laboral</t>
        </is>
      </c>
      <c r="D490" s="48" t="inlineStr">
        <is>
          <t>Ginástica Laboral</t>
        </is>
      </c>
      <c r="E490" s="111" t="n">
        <v>0.3541666666666667</v>
      </c>
      <c r="F490" s="111" t="n">
        <v>0.375</v>
      </c>
      <c r="G490" s="119" t="n">
        <v>0.02083333333333333</v>
      </c>
    </row>
    <row r="491" ht="15" customHeight="1">
      <c r="A491" s="63" t="n">
        <v>46155</v>
      </c>
      <c r="B491" s="49" t="inlineStr">
        <is>
          <t>G3S 10</t>
        </is>
      </c>
      <c r="C491" s="50" t="inlineStr">
        <is>
          <t>BCBI Seletiva</t>
        </is>
      </c>
      <c r="D491" s="60" t="inlineStr">
        <is>
          <t>Auditoria entre relatórios do SAGI e dados do BCBI</t>
        </is>
      </c>
      <c r="E491" s="112" t="n">
        <v>0.375</v>
      </c>
      <c r="F491" s="112" t="n">
        <v>0.5</v>
      </c>
      <c r="G491" s="102" t="n">
        <v>0.125</v>
      </c>
    </row>
    <row r="492" ht="15" customHeight="1" thickBot="1">
      <c r="A492" s="66" t="n">
        <v>46155</v>
      </c>
      <c r="B492" s="67" t="inlineStr">
        <is>
          <t>G3S 10</t>
        </is>
      </c>
      <c r="C492" s="68" t="inlineStr">
        <is>
          <t>Fechamento</t>
        </is>
      </c>
      <c r="D492" s="69" t="inlineStr">
        <is>
          <t>Tratamento dos dados de fechamento</t>
        </is>
      </c>
      <c r="E492" s="115" t="n">
        <v>0.5416666666666666</v>
      </c>
      <c r="F492" s="115" t="n">
        <v>0.625</v>
      </c>
      <c r="G492" s="118" t="n">
        <v>0.08333333333333333</v>
      </c>
    </row>
    <row r="493" ht="15" customHeight="1" thickTop="1">
      <c r="A493" s="61" t="n">
        <v>46156</v>
      </c>
      <c r="B493" s="30" t="inlineStr">
        <is>
          <t>G3S 10</t>
        </is>
      </c>
      <c r="C493" s="31" t="inlineStr">
        <is>
          <t>BCBI Seletiva</t>
        </is>
      </c>
      <c r="D493" s="51" t="inlineStr">
        <is>
          <t>Operação assistida do sistema de BI da seletiva</t>
        </is>
      </c>
      <c r="E493" s="114" t="n">
        <v>0.3333333333333333</v>
      </c>
      <c r="F493" s="114" t="n">
        <v>0.4375</v>
      </c>
      <c r="G493" s="117" t="n">
        <v>0.1041666666666667</v>
      </c>
    </row>
    <row r="494" ht="15" customHeight="1">
      <c r="A494" s="63" t="n">
        <v>46156</v>
      </c>
      <c r="B494" s="49" t="inlineStr">
        <is>
          <t>G3S 10</t>
        </is>
      </c>
      <c r="C494" s="50" t="inlineStr">
        <is>
          <t>Suporte Áreas</t>
        </is>
      </c>
      <c r="D494" s="60" t="inlineStr">
        <is>
          <t>Atualização do ODBC e verificação de integridade</t>
        </is>
      </c>
      <c r="E494" s="112" t="n">
        <v>0.4375</v>
      </c>
      <c r="F494" s="112" t="n">
        <v>0.5</v>
      </c>
      <c r="G494" s="102" t="n">
        <v>0.0625</v>
      </c>
    </row>
    <row r="495" ht="15" customHeight="1" thickBot="1">
      <c r="A495" s="66" t="n">
        <v>46156</v>
      </c>
      <c r="B495" s="67" t="inlineStr">
        <is>
          <t>G3S 10</t>
        </is>
      </c>
      <c r="C495" s="68" t="inlineStr">
        <is>
          <t>Fechamento</t>
        </is>
      </c>
      <c r="D495" s="69" t="inlineStr">
        <is>
          <t>Adequação de relatórios de sistemas externos para formato de Fechamento</t>
        </is>
      </c>
      <c r="E495" s="115" t="n">
        <v>0.5416666666666666</v>
      </c>
      <c r="F495" s="115" t="n">
        <v>0.625</v>
      </c>
      <c r="G495" s="118" t="n">
        <v>0.08333333333333333</v>
      </c>
    </row>
    <row r="496" ht="15" customHeight="1" thickTop="1">
      <c r="A496" s="61" t="n">
        <v>46157</v>
      </c>
      <c r="B496" s="30" t="inlineStr">
        <is>
          <t>G3S 10</t>
        </is>
      </c>
      <c r="C496" s="31" t="inlineStr">
        <is>
          <t>BCBI Seletiva</t>
        </is>
      </c>
      <c r="D496" s="51" t="inlineStr">
        <is>
          <t>Operação assistida do sistema de BI da seletiva</t>
        </is>
      </c>
      <c r="E496" s="114" t="n">
        <v>0.3333333333333333</v>
      </c>
      <c r="F496" s="114" t="n">
        <v>0.4375</v>
      </c>
      <c r="G496" s="117" t="n">
        <v>0.1041666666666667</v>
      </c>
    </row>
    <row r="497" ht="15" customHeight="1">
      <c r="A497" s="63" t="n">
        <v>46157</v>
      </c>
      <c r="B497" s="49" t="inlineStr">
        <is>
          <t>G3S 10</t>
        </is>
      </c>
      <c r="C497" s="50" t="inlineStr">
        <is>
          <t>Suporte Áreas</t>
        </is>
      </c>
      <c r="D497" s="60" t="inlineStr">
        <is>
          <t>Atualização do ODBC e verificação de integridade</t>
        </is>
      </c>
      <c r="E497" s="112" t="n">
        <v>0.4375</v>
      </c>
      <c r="F497" s="112" t="n">
        <v>0.5</v>
      </c>
      <c r="G497" s="102" t="n">
        <v>0.0625</v>
      </c>
    </row>
    <row r="498" ht="15" customHeight="1" thickBot="1">
      <c r="A498" s="66" t="n">
        <v>46157</v>
      </c>
      <c r="B498" s="67" t="inlineStr">
        <is>
          <t>G3S 10</t>
        </is>
      </c>
      <c r="C498" s="68" t="inlineStr">
        <is>
          <t>Fechamento</t>
        </is>
      </c>
      <c r="D498" s="69" t="inlineStr">
        <is>
          <t>Adequação de relatórios de sistemas externos para formato de Fechamento</t>
        </is>
      </c>
      <c r="E498" s="115" t="n">
        <v>0.5416666666666666</v>
      </c>
      <c r="F498" s="115" t="n">
        <v>0.625</v>
      </c>
      <c r="G498" s="118" t="n">
        <v>0.08333333333333333</v>
      </c>
    </row>
    <row r="499" ht="15" customHeight="1" thickTop="1">
      <c r="A499" s="61" t="n">
        <v>46158</v>
      </c>
      <c r="B499" s="30" t="inlineStr">
        <is>
          <t>G3S 10</t>
        </is>
      </c>
      <c r="C499" s="31" t="inlineStr">
        <is>
          <t>BCBI Seletiva</t>
        </is>
      </c>
      <c r="D499" s="51" t="inlineStr">
        <is>
          <t>Operação assistida do sistema de BI da seletiva</t>
        </is>
      </c>
      <c r="E499" s="114" t="n">
        <v>0.3333333333333333</v>
      </c>
      <c r="F499" s="114" t="n">
        <v>0.4375</v>
      </c>
      <c r="G499" s="117" t="n">
        <v>0.1041666666666667</v>
      </c>
    </row>
    <row r="500" ht="15" customHeight="1">
      <c r="A500" s="63" t="n">
        <v>46158</v>
      </c>
      <c r="B500" s="49" t="inlineStr">
        <is>
          <t>G3S 10</t>
        </is>
      </c>
      <c r="C500" s="50" t="inlineStr">
        <is>
          <t>Suporte Áreas</t>
        </is>
      </c>
      <c r="D500" s="60" t="inlineStr">
        <is>
          <t>Atualização do ODBC e verificação de integridade</t>
        </is>
      </c>
      <c r="E500" s="112" t="n">
        <v>0.4375</v>
      </c>
      <c r="F500" s="112" t="n">
        <v>0.5</v>
      </c>
      <c r="G500" s="102" t="n">
        <v>0.0625</v>
      </c>
    </row>
    <row r="501" ht="15" customHeight="1" thickBot="1">
      <c r="A501" s="66" t="n">
        <v>46158</v>
      </c>
      <c r="B501" s="67" t="inlineStr">
        <is>
          <t>G3S 10</t>
        </is>
      </c>
      <c r="C501" s="68" t="inlineStr">
        <is>
          <t>Fechamento</t>
        </is>
      </c>
      <c r="D501" s="69" t="inlineStr">
        <is>
          <t>Adequação de relatórios de sistemas externos para formato de Fechamento</t>
        </is>
      </c>
      <c r="E501" s="115" t="n">
        <v>0.5416666666666666</v>
      </c>
      <c r="F501" s="115" t="n">
        <v>0.625</v>
      </c>
      <c r="G501" s="118" t="n">
        <v>0.08333333333333333</v>
      </c>
    </row>
    <row r="502" ht="15" customHeight="1" thickTop="1">
      <c r="A502" s="61" t="n">
        <v>46159</v>
      </c>
      <c r="B502" s="30" t="inlineStr">
        <is>
          <t>G3S 10</t>
        </is>
      </c>
      <c r="C502" s="31" t="inlineStr">
        <is>
          <t>BCBI Seletiva</t>
        </is>
      </c>
      <c r="D502" s="51" t="inlineStr">
        <is>
          <t>Operação assistida do sistema de BI da seletiva</t>
        </is>
      </c>
      <c r="E502" s="114" t="n">
        <v>0.3333333333333333</v>
      </c>
      <c r="F502" s="114" t="n">
        <v>0.4375</v>
      </c>
      <c r="G502" s="117" t="n">
        <v>0.1041666666666667</v>
      </c>
    </row>
    <row r="503" ht="15" customHeight="1">
      <c r="A503" s="63" t="n">
        <v>46159</v>
      </c>
      <c r="B503" s="49" t="inlineStr">
        <is>
          <t>G3S 10</t>
        </is>
      </c>
      <c r="C503" s="50" t="inlineStr">
        <is>
          <t>Suporte Áreas</t>
        </is>
      </c>
      <c r="D503" s="60" t="inlineStr">
        <is>
          <t>Atualização do ODBC e verificação de integridade</t>
        </is>
      </c>
      <c r="E503" s="112" t="n">
        <v>0.4375</v>
      </c>
      <c r="F503" s="112" t="n">
        <v>0.5</v>
      </c>
      <c r="G503" s="102" t="n">
        <v>0.0625</v>
      </c>
    </row>
    <row r="504" ht="15" customHeight="1" thickBot="1">
      <c r="A504" s="66" t="n">
        <v>46159</v>
      </c>
      <c r="B504" s="67" t="inlineStr">
        <is>
          <t>G3S 10</t>
        </is>
      </c>
      <c r="C504" s="68" t="inlineStr">
        <is>
          <t>Fechamento</t>
        </is>
      </c>
      <c r="D504" s="69" t="inlineStr">
        <is>
          <t>Adequação de relatórios de sistemas externos para formato de Fechamento</t>
        </is>
      </c>
      <c r="E504" s="115" t="n">
        <v>0.5416666666666666</v>
      </c>
      <c r="F504" s="115" t="n">
        <v>0.625</v>
      </c>
      <c r="G504" s="118" t="n">
        <v>0.08333333333333333</v>
      </c>
    </row>
    <row r="505" ht="15" customHeight="1" thickTop="1">
      <c r="A505" s="61" t="n">
        <v>46160</v>
      </c>
      <c r="B505" s="30" t="inlineStr">
        <is>
          <t>G3S 10</t>
        </is>
      </c>
      <c r="C505" s="31" t="inlineStr">
        <is>
          <t>BCBI Seletiva</t>
        </is>
      </c>
      <c r="D505" s="51" t="inlineStr">
        <is>
          <t>Operação assistida do sistema de BI da seletiva</t>
        </is>
      </c>
      <c r="E505" s="114" t="n">
        <v>0.3333333333333333</v>
      </c>
      <c r="F505" s="114" t="n">
        <v>0.4375</v>
      </c>
      <c r="G505" s="117" t="n">
        <v>0.1041666666666667</v>
      </c>
    </row>
    <row r="506" ht="15" customHeight="1">
      <c r="A506" s="63" t="n">
        <v>46160</v>
      </c>
      <c r="B506" s="49" t="inlineStr">
        <is>
          <t>G3S 10</t>
        </is>
      </c>
      <c r="C506" s="50" t="inlineStr">
        <is>
          <t>Suporte Áreas</t>
        </is>
      </c>
      <c r="D506" s="60" t="inlineStr">
        <is>
          <t>Atualização do ODBC e verificação de integridade</t>
        </is>
      </c>
      <c r="E506" s="112" t="n">
        <v>0.4375</v>
      </c>
      <c r="F506" s="112" t="n">
        <v>0.5</v>
      </c>
      <c r="G506" s="102" t="n">
        <v>0.0625</v>
      </c>
    </row>
    <row r="507" ht="15" customHeight="1" thickBot="1">
      <c r="A507" s="66" t="n">
        <v>46160</v>
      </c>
      <c r="B507" s="67" t="inlineStr">
        <is>
          <t>G3S 10</t>
        </is>
      </c>
      <c r="C507" s="68" t="inlineStr">
        <is>
          <t>Fechamento</t>
        </is>
      </c>
      <c r="D507" s="69" t="inlineStr">
        <is>
          <t>Adequação de relatórios de sistemas externos para formato de Fechamento</t>
        </is>
      </c>
      <c r="E507" s="115" t="n">
        <v>0.5416666666666666</v>
      </c>
      <c r="F507" s="115" t="n">
        <v>0.625</v>
      </c>
      <c r="G507" s="118" t="n">
        <v>0.08333333333333333</v>
      </c>
    </row>
    <row r="508" ht="15" customHeight="1" thickTop="1">
      <c r="A508" s="61" t="n">
        <v>46161</v>
      </c>
      <c r="B508" s="30" t="inlineStr">
        <is>
          <t>G3S 10</t>
        </is>
      </c>
      <c r="C508" s="31" t="inlineStr">
        <is>
          <t>BCBI Seletiva</t>
        </is>
      </c>
      <c r="D508" s="51" t="inlineStr">
        <is>
          <t>Operação assistida do sistema de BI da seletiva</t>
        </is>
      </c>
      <c r="E508" s="114" t="n">
        <v>0.3333333333333333</v>
      </c>
      <c r="F508" s="114" t="n">
        <v>0.4375</v>
      </c>
      <c r="G508" s="117" t="n">
        <v>0.1041666666666667</v>
      </c>
    </row>
    <row r="509" ht="15" customHeight="1">
      <c r="A509" s="63" t="n">
        <v>46161</v>
      </c>
      <c r="B509" s="49" t="inlineStr">
        <is>
          <t>G3S 10</t>
        </is>
      </c>
      <c r="C509" s="50" t="inlineStr">
        <is>
          <t>Suporte Áreas</t>
        </is>
      </c>
      <c r="D509" s="60" t="inlineStr">
        <is>
          <t>Atualização do ODBC e verificação de integridade</t>
        </is>
      </c>
      <c r="E509" s="112" t="n">
        <v>0.4375</v>
      </c>
      <c r="F509" s="112" t="n">
        <v>0.5</v>
      </c>
      <c r="G509" s="102" t="n">
        <v>0.0625</v>
      </c>
    </row>
    <row r="510" ht="15" customHeight="1" thickBot="1">
      <c r="A510" s="66" t="n">
        <v>46161</v>
      </c>
      <c r="B510" s="67" t="inlineStr">
        <is>
          <t>G3S 10</t>
        </is>
      </c>
      <c r="C510" s="68" t="inlineStr">
        <is>
          <t>Fechamento</t>
        </is>
      </c>
      <c r="D510" s="69" t="inlineStr">
        <is>
          <t>Adequação de relatórios de sistemas externos para formato de Fechamento</t>
        </is>
      </c>
      <c r="E510" s="115" t="n">
        <v>0.5416666666666666</v>
      </c>
      <c r="F510" s="115" t="n">
        <v>0.625</v>
      </c>
      <c r="G510" s="118" t="n">
        <v>0.08333333333333333</v>
      </c>
    </row>
    <row r="511" ht="15" customHeight="1" thickTop="1">
      <c r="A511" s="61" t="n">
        <v>46162</v>
      </c>
      <c r="B511" s="30" t="inlineStr">
        <is>
          <t>G3S 10</t>
        </is>
      </c>
      <c r="C511" s="31" t="inlineStr">
        <is>
          <t>BCBI Seletiva</t>
        </is>
      </c>
      <c r="D511" s="51" t="inlineStr">
        <is>
          <t>Operação assistida do sistema de BI da seletiva</t>
        </is>
      </c>
      <c r="E511" s="114" t="n">
        <v>0.3333333333333333</v>
      </c>
      <c r="F511" s="114" t="n">
        <v>0.3541666666666667</v>
      </c>
      <c r="G511" s="117" t="n">
        <v>0.02083333333333333</v>
      </c>
    </row>
    <row r="512" ht="15" customHeight="1">
      <c r="A512" s="47" t="n">
        <v>46162</v>
      </c>
      <c r="B512" s="20" t="inlineStr">
        <is>
          <t>RH</t>
        </is>
      </c>
      <c r="C512" s="21" t="inlineStr">
        <is>
          <t>Ginástica Laboral</t>
        </is>
      </c>
      <c r="D512" s="48" t="inlineStr">
        <is>
          <t>Ginástica Laboral</t>
        </is>
      </c>
      <c r="E512" s="111" t="n">
        <v>0.3541666666666667</v>
      </c>
      <c r="F512" s="111" t="n">
        <v>0.375</v>
      </c>
      <c r="G512" s="119" t="n">
        <v>0.02083333333333333</v>
      </c>
    </row>
    <row r="513" ht="15" customHeight="1">
      <c r="A513" s="63" t="n">
        <v>46162</v>
      </c>
      <c r="B513" s="49" t="inlineStr">
        <is>
          <t>G3S 10</t>
        </is>
      </c>
      <c r="C513" s="50" t="inlineStr">
        <is>
          <t>BCBI Seletiva</t>
        </is>
      </c>
      <c r="D513" s="60" t="inlineStr">
        <is>
          <t>Auditoria entre relatórios do SAGI e dados do BCBI</t>
        </is>
      </c>
      <c r="E513" s="112" t="n">
        <v>0.375</v>
      </c>
      <c r="F513" s="112" t="n">
        <v>0.5</v>
      </c>
      <c r="G513" s="102" t="n">
        <v>0.125</v>
      </c>
    </row>
    <row r="514" ht="15" customHeight="1" thickBot="1">
      <c r="A514" s="66" t="n">
        <v>46162</v>
      </c>
      <c r="B514" s="67" t="inlineStr">
        <is>
          <t>G3S 10</t>
        </is>
      </c>
      <c r="C514" s="68" t="inlineStr">
        <is>
          <t>Fechamento</t>
        </is>
      </c>
      <c r="D514" s="69" t="inlineStr">
        <is>
          <t>Tratamento dos dados de fechamento</t>
        </is>
      </c>
      <c r="E514" s="115" t="n">
        <v>0.5416666666666666</v>
      </c>
      <c r="F514" s="115" t="n">
        <v>0.625</v>
      </c>
      <c r="G514" s="118" t="n">
        <v>0.08333333333333333</v>
      </c>
    </row>
    <row r="515" ht="15" customHeight="1" thickTop="1">
      <c r="A515" s="61" t="n">
        <v>46163</v>
      </c>
      <c r="B515" s="30" t="inlineStr">
        <is>
          <t>G3S 10</t>
        </is>
      </c>
      <c r="C515" s="31" t="inlineStr">
        <is>
          <t>BCBI Seletiva</t>
        </is>
      </c>
      <c r="D515" s="51" t="inlineStr">
        <is>
          <t>Operação assistida do sistema de BI da seletiva</t>
        </is>
      </c>
      <c r="E515" s="114" t="n">
        <v>0.3333333333333333</v>
      </c>
      <c r="F515" s="114" t="n">
        <v>0.4375</v>
      </c>
      <c r="G515" s="117" t="n">
        <v>0.1041666666666667</v>
      </c>
    </row>
    <row r="516" ht="15" customHeight="1">
      <c r="A516" s="63" t="n">
        <v>46163</v>
      </c>
      <c r="B516" s="49" t="inlineStr">
        <is>
          <t>G3S 10</t>
        </is>
      </c>
      <c r="C516" s="50" t="inlineStr">
        <is>
          <t>Suporte Áreas</t>
        </is>
      </c>
      <c r="D516" s="60" t="inlineStr">
        <is>
          <t>Atualização do ODBC e verificação de integridade</t>
        </is>
      </c>
      <c r="E516" s="112" t="n">
        <v>0.4375</v>
      </c>
      <c r="F516" s="112" t="n">
        <v>0.5</v>
      </c>
      <c r="G516" s="102" t="n">
        <v>0.0625</v>
      </c>
    </row>
    <row r="517" ht="15" customHeight="1" thickBot="1">
      <c r="A517" s="66" t="n">
        <v>46163</v>
      </c>
      <c r="B517" s="67" t="inlineStr">
        <is>
          <t>G3S 10</t>
        </is>
      </c>
      <c r="C517" s="68" t="inlineStr">
        <is>
          <t>Fechamento</t>
        </is>
      </c>
      <c r="D517" s="69" t="inlineStr">
        <is>
          <t>Adequação de relatórios de sistemas externos para formato de Fechamento</t>
        </is>
      </c>
      <c r="E517" s="115" t="n">
        <v>0.5416666666666666</v>
      </c>
      <c r="F517" s="115" t="n">
        <v>0.625</v>
      </c>
      <c r="G517" s="118" t="n">
        <v>0.08333333333333333</v>
      </c>
    </row>
    <row r="518" ht="15" customHeight="1" thickTop="1">
      <c r="A518" s="61" t="n">
        <v>46164</v>
      </c>
      <c r="B518" s="30" t="inlineStr">
        <is>
          <t>G3S 10</t>
        </is>
      </c>
      <c r="C518" s="31" t="inlineStr">
        <is>
          <t>BCBI Seletiva</t>
        </is>
      </c>
      <c r="D518" s="51" t="inlineStr">
        <is>
          <t>Auditoria entre relatórios do SAGI e dados do BCBI</t>
        </is>
      </c>
      <c r="E518" s="114" t="n">
        <v>0.329875</v>
      </c>
      <c r="F518" s="114" t="n">
        <v>0.4166666666666667</v>
      </c>
      <c r="G518" s="117" t="n">
        <v>0.08680555555555555</v>
      </c>
    </row>
    <row r="519" ht="15" customHeight="1">
      <c r="A519" s="47" t="n">
        <v>46164</v>
      </c>
      <c r="B519" s="20" t="inlineStr">
        <is>
          <t>G3S 10</t>
        </is>
      </c>
      <c r="C519" s="21" t="inlineStr">
        <is>
          <t>Qualidade</t>
        </is>
      </c>
      <c r="D519" s="48" t="inlineStr">
        <is>
          <t>Alinhamento de demandas e atividades</t>
        </is>
      </c>
      <c r="E519" s="111" t="n">
        <v>0.4166666666666667</v>
      </c>
      <c r="F519" s="111" t="n">
        <v>0.5</v>
      </c>
      <c r="G519" s="119" t="n">
        <v>0.08333333333333333</v>
      </c>
    </row>
    <row r="520" ht="15" customHeight="1">
      <c r="A520" s="63" t="n">
        <v>46164</v>
      </c>
      <c r="B520" s="49" t="inlineStr">
        <is>
          <t>G3S 10</t>
        </is>
      </c>
      <c r="C520" s="50" t="inlineStr">
        <is>
          <t>Fechamento</t>
        </is>
      </c>
      <c r="D520" s="60" t="inlineStr">
        <is>
          <t>Tratamento dos dados de fechamento</t>
        </is>
      </c>
      <c r="E520" s="112" t="n">
        <v>0.5416666666666666</v>
      </c>
      <c r="F520" s="112" t="n">
        <v>0.6666666666666666</v>
      </c>
      <c r="G520" s="102" t="n">
        <v>0.125</v>
      </c>
    </row>
    <row r="521" ht="15" customHeight="1" thickBot="1">
      <c r="A521" s="66" t="n">
        <v>46164</v>
      </c>
      <c r="B521" s="67" t="inlineStr">
        <is>
          <t>G3S 10</t>
        </is>
      </c>
      <c r="C521" s="68" t="inlineStr">
        <is>
          <t>Fechamento</t>
        </is>
      </c>
      <c r="D521" s="69" t="inlineStr">
        <is>
          <t>Finalização e validação dos dados de fechamento</t>
        </is>
      </c>
      <c r="E521" s="115" t="n">
        <v>0.6666666666666666</v>
      </c>
      <c r="F521" s="115" t="n">
        <v>0.75</v>
      </c>
      <c r="G521" s="118" t="n">
        <v>0.08333333333333333</v>
      </c>
    </row>
    <row r="522" ht="15" customHeight="1" thickTop="1">
      <c r="A522" s="61" t="n">
        <v>46165</v>
      </c>
      <c r="B522" s="30" t="inlineStr">
        <is>
          <t>G3S 10</t>
        </is>
      </c>
      <c r="C522" s="31" t="inlineStr">
        <is>
          <t>Fechamento</t>
        </is>
      </c>
      <c r="D522" s="51" t="inlineStr">
        <is>
          <t>Tratamento dos dados de fechamento abril pré carga</t>
        </is>
      </c>
      <c r="E522" s="114" t="n">
        <v>0.3277916666666666</v>
      </c>
      <c r="F522" s="114" t="n">
        <v>0.4375</v>
      </c>
      <c r="G522" s="117" t="n">
        <v>0.1097083333333333</v>
      </c>
    </row>
    <row r="523" ht="15" customHeight="1">
      <c r="A523" s="47" t="n">
        <v>46165</v>
      </c>
      <c r="B523" s="20" t="inlineStr">
        <is>
          <t>G3S 10</t>
        </is>
      </c>
      <c r="C523" s="21" t="inlineStr">
        <is>
          <t>BCBI Seletiva</t>
        </is>
      </c>
      <c r="D523" s="48" t="inlineStr">
        <is>
          <t>Atualização do ODBC e validação de conexões</t>
        </is>
      </c>
      <c r="E523" s="111" t="n">
        <v>0.4375</v>
      </c>
      <c r="F523" s="111" t="n">
        <v>0.5</v>
      </c>
      <c r="G523" s="119" t="n">
        <v>0.0625</v>
      </c>
    </row>
    <row r="524" ht="15" customHeight="1">
      <c r="A524" s="63" t="n">
        <v>46165</v>
      </c>
      <c r="B524" s="49" t="inlineStr">
        <is>
          <t>G3S 10</t>
        </is>
      </c>
      <c r="C524" s="50" t="inlineStr">
        <is>
          <t>Fechamento</t>
        </is>
      </c>
      <c r="D524" s="60" t="inlineStr">
        <is>
          <t>Tratamento dos dados de fechamento abril pré carga</t>
        </is>
      </c>
      <c r="E524" s="112" t="n">
        <v>0.5416666666666666</v>
      </c>
      <c r="F524" s="112" t="n">
        <v>0.6666666666666666</v>
      </c>
      <c r="G524" s="102" t="n">
        <v>0.125</v>
      </c>
    </row>
    <row r="525" ht="15" customHeight="1" thickBot="1">
      <c r="A525" s="66" t="n">
        <v>46165</v>
      </c>
      <c r="B525" s="67" t="inlineStr">
        <is>
          <t>G3S 10</t>
        </is>
      </c>
      <c r="C525" s="68" t="inlineStr">
        <is>
          <t>Fechamento</t>
        </is>
      </c>
      <c r="D525" s="69" t="inlineStr">
        <is>
          <t>Finalização e validação dos dados de fechamento</t>
        </is>
      </c>
      <c r="E525" s="115" t="n">
        <v>0.6666666666666666</v>
      </c>
      <c r="F525" s="115" t="n">
        <v>0.75</v>
      </c>
      <c r="G525" s="118" t="n">
        <v>0.08333333333333333</v>
      </c>
    </row>
    <row r="526" ht="15" customHeight="1" thickTop="1">
      <c r="A526" s="61" t="n">
        <v>46166</v>
      </c>
      <c r="B526" s="30" t="inlineStr">
        <is>
          <t>G3S 10</t>
        </is>
      </c>
      <c r="C526" s="31" t="inlineStr">
        <is>
          <t>BCBI Seletiva</t>
        </is>
      </c>
      <c r="D526" s="51" t="inlineStr">
        <is>
          <t>Operação assistida do sistema de BI da seletiva, acompanhamento e checagem de erros no sistema</t>
        </is>
      </c>
      <c r="E526" s="114" t="n">
        <v>0.3277916666666666</v>
      </c>
      <c r="F526" s="114" t="n">
        <v>0.4375</v>
      </c>
      <c r="G526" s="117" t="n">
        <v>0.1097083333333333</v>
      </c>
    </row>
    <row r="527" ht="15" customHeight="1">
      <c r="A527" s="63" t="n">
        <v>46166</v>
      </c>
      <c r="B527" s="49" t="inlineStr">
        <is>
          <t>G3S 10</t>
        </is>
      </c>
      <c r="C527" s="50" t="inlineStr">
        <is>
          <t>Suporte Áreas</t>
        </is>
      </c>
      <c r="D527" s="60" t="inlineStr">
        <is>
          <t>Atualização do ODBC e verificação de integridade</t>
        </is>
      </c>
      <c r="E527" s="112" t="n">
        <v>0.4375</v>
      </c>
      <c r="F527" s="112" t="n">
        <v>0.5</v>
      </c>
      <c r="G527" s="102" t="n">
        <v>0.0625</v>
      </c>
    </row>
    <row r="528" ht="15" customHeight="1" thickBot="1">
      <c r="A528" s="66" t="n">
        <v>46166</v>
      </c>
      <c r="B528" s="67" t="inlineStr">
        <is>
          <t>G3S 10</t>
        </is>
      </c>
      <c r="C528" s="68" t="inlineStr">
        <is>
          <t>Fechamento</t>
        </is>
      </c>
      <c r="D528" s="69" t="inlineStr">
        <is>
          <t>Adequação de relatórios de sistemas externos para formato de Fechamento</t>
        </is>
      </c>
      <c r="E528" s="115" t="n">
        <v>0.5416666666666666</v>
      </c>
      <c r="F528" s="115" t="n">
        <v>0.629875</v>
      </c>
      <c r="G528" s="118" t="n">
        <v>0.08820833333333333</v>
      </c>
    </row>
    <row r="529" ht="15" customHeight="1" thickTop="1">
      <c r="A529" s="61" t="n">
        <v>46167</v>
      </c>
      <c r="B529" s="30" t="inlineStr">
        <is>
          <t>G3S 10</t>
        </is>
      </c>
      <c r="C529" s="31" t="inlineStr">
        <is>
          <t>BCBI Seletiva</t>
        </is>
      </c>
      <c r="D529" s="51" t="inlineStr">
        <is>
          <t>Auditoria entre relatórios do SAGI e dados do BCBI</t>
        </is>
      </c>
      <c r="E529" s="114" t="n">
        <v>0.3333333333333333</v>
      </c>
      <c r="F529" s="114" t="n">
        <v>0.4375</v>
      </c>
      <c r="G529" s="117" t="n">
        <v>0.1041666666666667</v>
      </c>
    </row>
    <row r="530" ht="15" customHeight="1">
      <c r="A530" s="63" t="n">
        <v>46167</v>
      </c>
      <c r="B530" s="49" t="inlineStr">
        <is>
          <t>G3S 10</t>
        </is>
      </c>
      <c r="C530" s="50" t="inlineStr">
        <is>
          <t>Qualidade</t>
        </is>
      </c>
      <c r="D530" s="60" t="inlineStr">
        <is>
          <t>Alinhamento de demandas e atividades</t>
        </is>
      </c>
      <c r="E530" s="112" t="n">
        <v>0.4375</v>
      </c>
      <c r="F530" s="112" t="n">
        <v>0.5</v>
      </c>
      <c r="G530" s="102" t="n">
        <v>0.0625</v>
      </c>
    </row>
    <row r="531" ht="15" customHeight="1" thickBot="1">
      <c r="A531" s="66" t="n">
        <v>46167</v>
      </c>
      <c r="B531" s="67" t="inlineStr">
        <is>
          <t>G3S 10</t>
        </is>
      </c>
      <c r="C531" s="68" t="inlineStr">
        <is>
          <t>Fechamento</t>
        </is>
      </c>
      <c r="D531" s="69" t="inlineStr">
        <is>
          <t>Tratamento dos dados de fechamento</t>
        </is>
      </c>
      <c r="E531" s="115" t="n">
        <v>0.5416666666666666</v>
      </c>
      <c r="F531" s="115" t="n">
        <v>0.625</v>
      </c>
      <c r="G531" s="118" t="n">
        <v>0.08333333333333333</v>
      </c>
    </row>
    <row r="532" ht="15" customHeight="1" thickTop="1">
      <c r="A532" s="61" t="n">
        <v>46168</v>
      </c>
      <c r="B532" s="30" t="inlineStr">
        <is>
          <t>G3S 10</t>
        </is>
      </c>
      <c r="C532" s="31" t="inlineStr">
        <is>
          <t>BCBI Seletiva</t>
        </is>
      </c>
      <c r="D532" s="51" t="inlineStr">
        <is>
          <t>Operação assistida do sistema de BI da seletiva, acompanhamento e checagem de erros no sistema</t>
        </is>
      </c>
      <c r="E532" s="114" t="n">
        <v>0.329875</v>
      </c>
      <c r="F532" s="114" t="n">
        <v>0.4166666666666667</v>
      </c>
      <c r="G532" s="117" t="n">
        <v>0.08679166666666667</v>
      </c>
    </row>
    <row r="533" ht="15" customHeight="1">
      <c r="A533" s="47" t="n">
        <v>46168</v>
      </c>
      <c r="B533" s="20" t="inlineStr">
        <is>
          <t>G3S 10</t>
        </is>
      </c>
      <c r="C533" s="21" t="inlineStr">
        <is>
          <t>BCBI Seletiva</t>
        </is>
      </c>
      <c r="D533" s="48" t="inlineStr">
        <is>
          <t>Auditoria entre relatórios do SAGI e dados do BCBI</t>
        </is>
      </c>
      <c r="E533" s="111" t="n">
        <v>0.4166666666666667</v>
      </c>
      <c r="F533" s="111" t="n">
        <v>0.5</v>
      </c>
      <c r="G533" s="119" t="n">
        <v>0.08333333333333333</v>
      </c>
    </row>
    <row r="534" ht="15" customHeight="1">
      <c r="A534" s="63" t="n">
        <v>46168</v>
      </c>
      <c r="B534" s="49" t="inlineStr">
        <is>
          <t>G3S 10</t>
        </is>
      </c>
      <c r="C534" s="50" t="inlineStr">
        <is>
          <t>Fechamento</t>
        </is>
      </c>
      <c r="D534" s="60" t="inlineStr">
        <is>
          <t>Tratamento dos dados de fechamento abril pré carga</t>
        </is>
      </c>
      <c r="E534" s="112" t="n">
        <v>0.5416666666666666</v>
      </c>
      <c r="F534" s="112" t="n">
        <v>0.6666666666666666</v>
      </c>
      <c r="G534" s="102" t="n">
        <v>0.125</v>
      </c>
    </row>
    <row r="535" ht="15" customHeight="1" thickBot="1">
      <c r="A535" s="66" t="n">
        <v>46168</v>
      </c>
      <c r="B535" s="67" t="inlineStr">
        <is>
          <t>G3S 10</t>
        </is>
      </c>
      <c r="C535" s="68" t="inlineStr">
        <is>
          <t>Fechamento</t>
        </is>
      </c>
      <c r="D535" s="69" t="inlineStr">
        <is>
          <t>Finalização e validação dos dados de fechamento</t>
        </is>
      </c>
      <c r="E535" s="115" t="n">
        <v>0.6666666666666666</v>
      </c>
      <c r="F535" s="115" t="n">
        <v>0.75</v>
      </c>
      <c r="G535" s="118" t="n">
        <v>0.08333333333333333</v>
      </c>
    </row>
    <row r="536" ht="15" customHeight="1" thickTop="1">
      <c r="A536" s="61" t="n">
        <v>46169</v>
      </c>
      <c r="B536" s="30" t="inlineStr">
        <is>
          <t>G3S 10</t>
        </is>
      </c>
      <c r="C536" s="31" t="inlineStr">
        <is>
          <t>BCBI Seletiva</t>
        </is>
      </c>
      <c r="D536" s="51" t="inlineStr">
        <is>
          <t>Operação assistida do sistema de BI da seletiva, acompanhamento e checagem de erros no sistema</t>
        </is>
      </c>
      <c r="E536" s="114" t="n">
        <v>0.329875</v>
      </c>
      <c r="F536" s="114" t="n">
        <v>0.4166666666666667</v>
      </c>
      <c r="G536" s="117" t="n">
        <v>0.08679166666666667</v>
      </c>
    </row>
    <row r="537" ht="15" customHeight="1">
      <c r="A537" s="47" t="n">
        <v>46169</v>
      </c>
      <c r="B537" s="20" t="inlineStr">
        <is>
          <t>G3S 10</t>
        </is>
      </c>
      <c r="C537" s="21" t="inlineStr">
        <is>
          <t>BCBI Seletiva</t>
        </is>
      </c>
      <c r="D537" s="48" t="inlineStr">
        <is>
          <t>Auditoria entre relatórios do SAGI e dados do BCBI</t>
        </is>
      </c>
      <c r="E537" s="111" t="n">
        <v>0.4166666666666667</v>
      </c>
      <c r="F537" s="111" t="n">
        <v>0.5</v>
      </c>
      <c r="G537" s="119" t="n">
        <v>0.08333333333333333</v>
      </c>
    </row>
    <row r="538" ht="15" customHeight="1">
      <c r="A538" s="63" t="n">
        <v>46169</v>
      </c>
      <c r="B538" s="49" t="inlineStr">
        <is>
          <t>G3S 10</t>
        </is>
      </c>
      <c r="C538" s="50" t="inlineStr">
        <is>
          <t>Fechamento</t>
        </is>
      </c>
      <c r="D538" s="60" t="inlineStr">
        <is>
          <t>Tratamento dos dados de fechamento</t>
        </is>
      </c>
      <c r="E538" s="112" t="n">
        <v>0.5416666666666666</v>
      </c>
      <c r="F538" s="112" t="n">
        <v>0.6666666666666666</v>
      </c>
      <c r="G538" s="102" t="n">
        <v>0.125</v>
      </c>
    </row>
    <row r="539" ht="15" customHeight="1" thickBot="1">
      <c r="A539" s="66" t="n">
        <v>46169</v>
      </c>
      <c r="B539" s="67" t="inlineStr">
        <is>
          <t>G3S 10</t>
        </is>
      </c>
      <c r="C539" s="68" t="inlineStr">
        <is>
          <t>Fechamento</t>
        </is>
      </c>
      <c r="D539" s="69" t="inlineStr">
        <is>
          <t>Finalização e validação dos dados de fechamento</t>
        </is>
      </c>
      <c r="E539" s="115" t="n">
        <v>0.6666666666666666</v>
      </c>
      <c r="F539" s="115" t="n">
        <v>0.75</v>
      </c>
      <c r="G539" s="118" t="n">
        <v>0.08333333333333333</v>
      </c>
    </row>
    <row r="540" ht="15" customHeight="1" thickTop="1">
      <c r="A540" s="61" t="inlineStr">
        <is>
          <t>28/05/2026</t>
        </is>
      </c>
      <c r="B540" s="30" t="inlineStr">
        <is>
          <t>G3S 10</t>
        </is>
      </c>
      <c r="C540" s="31" t="inlineStr">
        <is>
          <t>BCBI Seletiva</t>
        </is>
      </c>
      <c r="D540" s="51" t="inlineStr">
        <is>
          <t>Operação assistida do sistema de BI da seletiva, acompanhamento e checagem de erros no sistema</t>
        </is>
      </c>
      <c r="E540" s="114" t="n">
        <v>0.3277777777777778</v>
      </c>
      <c r="F540" s="114" t="n">
        <v>0.3541666666666667</v>
      </c>
      <c r="G540" s="117">
        <f>F540-E540</f>
        <v/>
      </c>
    </row>
    <row r="541" ht="15" customHeight="1">
      <c r="A541" s="47" t="inlineStr">
        <is>
          <t>28/05/2026</t>
        </is>
      </c>
      <c r="B541" s="20" t="inlineStr">
        <is>
          <t>RH</t>
        </is>
      </c>
      <c r="C541" s="21" t="inlineStr">
        <is>
          <t>Ginástica Laboral</t>
        </is>
      </c>
      <c r="D541" s="48" t="inlineStr">
        <is>
          <t>Ginástica Laboral</t>
        </is>
      </c>
      <c r="E541" s="111" t="n">
        <v>0.3541666666666667</v>
      </c>
      <c r="F541" s="111" t="n">
        <v>0.375</v>
      </c>
      <c r="G541" s="119">
        <f>F541-E541</f>
        <v/>
      </c>
    </row>
    <row r="542" ht="15" customHeight="1">
      <c r="A542" s="47" t="inlineStr">
        <is>
          <t>28/05/2026</t>
        </is>
      </c>
      <c r="B542" s="20" t="inlineStr">
        <is>
          <t>G3S 10</t>
        </is>
      </c>
      <c r="C542" s="21" t="inlineStr">
        <is>
          <t>BCBI Seletiva</t>
        </is>
      </c>
      <c r="D542" s="48" t="inlineStr">
        <is>
          <t>Auditoria entre relatórios do SAGI e dados do BCBI</t>
        </is>
      </c>
      <c r="E542" s="111" t="n">
        <v>0.375</v>
      </c>
      <c r="F542" s="111" t="n">
        <v>0.4791666666666667</v>
      </c>
      <c r="G542" s="119">
        <f>F542-E542</f>
        <v/>
      </c>
    </row>
    <row r="543" ht="15" customHeight="1">
      <c r="A543" s="63" t="inlineStr">
        <is>
          <t>28/05/2026</t>
        </is>
      </c>
      <c r="B543" s="49" t="inlineStr">
        <is>
          <t>G3S 10</t>
        </is>
      </c>
      <c r="C543" s="50" t="inlineStr">
        <is>
          <t>Qualidade</t>
        </is>
      </c>
      <c r="D543" s="60" t="inlineStr">
        <is>
          <t>Alinhamento de demandas e atividades</t>
        </is>
      </c>
      <c r="E543" s="112" t="n">
        <v>0.4791666666666667</v>
      </c>
      <c r="F543" s="112" t="n">
        <v>0.5</v>
      </c>
      <c r="G543" s="102">
        <f>F543-E543</f>
        <v/>
      </c>
    </row>
    <row r="544" ht="15" customHeight="1" thickBot="1">
      <c r="A544" s="66" t="inlineStr">
        <is>
          <t>28/05/2026</t>
        </is>
      </c>
      <c r="B544" s="67" t="inlineStr">
        <is>
          <t>G3S 10</t>
        </is>
      </c>
      <c r="C544" s="68" t="inlineStr">
        <is>
          <t>Fechamento</t>
        </is>
      </c>
      <c r="D544" s="69" t="inlineStr">
        <is>
          <t>Tratamento dos dados de fechamento abril pré carga</t>
        </is>
      </c>
      <c r="E544" s="115" t="n">
        <v>0.5416666666666666</v>
      </c>
      <c r="F544" s="115" t="n">
        <v>0.6298611111111111</v>
      </c>
      <c r="G544" s="118">
        <f>F544-E544</f>
        <v/>
      </c>
    </row>
    <row r="545" ht="15" customHeight="1" thickTop="1">
      <c r="A545" s="61" t="n">
        <v>46028</v>
      </c>
      <c r="B545" s="30" t="inlineStr">
        <is>
          <t>G3S 10</t>
        </is>
      </c>
      <c r="C545" s="31" t="inlineStr">
        <is>
          <t>BCBI Seletiva</t>
        </is>
      </c>
      <c r="D545" s="51" t="inlineStr">
        <is>
          <t>Operação assistida do sistema de BI da seletiva, acompanhamento e checagem de erros no sistema</t>
        </is>
      </c>
      <c r="E545" s="114" t="n">
        <v>0.3319444444444444</v>
      </c>
      <c r="F545" s="114" t="n">
        <v>0.4375</v>
      </c>
      <c r="G545" s="117" t="n">
        <v>0.1055555555555556</v>
      </c>
    </row>
    <row r="546" ht="15" customHeight="1">
      <c r="A546" s="63" t="n">
        <v>46028</v>
      </c>
      <c r="B546" s="49" t="inlineStr">
        <is>
          <t>G3S 10</t>
        </is>
      </c>
      <c r="C546" s="50" t="inlineStr">
        <is>
          <t>Qualidade</t>
        </is>
      </c>
      <c r="D546" s="60" t="inlineStr">
        <is>
          <t>Alinhamento com o Matheus e abertura de chamado para Validação de Valores de Bônus de Compra - Registros sem Filial</t>
        </is>
      </c>
      <c r="E546" s="112" t="n">
        <v>0.4375</v>
      </c>
      <c r="F546" s="112" t="n">
        <v>0.4791666666666667</v>
      </c>
      <c r="G546" s="102" t="n">
        <v>0.04166666666666666</v>
      </c>
    </row>
    <row r="547" ht="15" customHeight="1" thickBot="1">
      <c r="A547" s="66" t="n">
        <v>46028</v>
      </c>
      <c r="B547" s="67" t="inlineStr">
        <is>
          <t>G3S 10</t>
        </is>
      </c>
      <c r="C547" s="68" t="inlineStr">
        <is>
          <t>Fechamento</t>
        </is>
      </c>
      <c r="D547" s="69" t="inlineStr">
        <is>
          <t>Tratamento dos dados de fechamento maio pré carga</t>
        </is>
      </c>
      <c r="E547" s="115" t="n">
        <v>0.5208333333333334</v>
      </c>
      <c r="F547" s="115" t="n">
        <v>0.625</v>
      </c>
      <c r="G547" s="118" t="n">
        <v>0.1041666666666667</v>
      </c>
    </row>
    <row r="548" ht="15" customHeight="1" thickTop="1">
      <c r="A548" s="61" t="n">
        <v>46059</v>
      </c>
      <c r="B548" s="30" t="inlineStr">
        <is>
          <t>G3S 10</t>
        </is>
      </c>
      <c r="C548" s="31" t="inlineStr">
        <is>
          <t>BCBI Seletiva</t>
        </is>
      </c>
      <c r="D548" s="51" t="inlineStr">
        <is>
          <t>Operação assistida do sistema de BI da seletiva, acompanhamento e checagem de erros no sistema</t>
        </is>
      </c>
      <c r="E548" s="114" t="n">
        <v>0.3229166666666667</v>
      </c>
      <c r="F548" s="114" t="n">
        <v>0.4166666666666667</v>
      </c>
      <c r="G548" s="117">
        <f>F548-E548</f>
        <v/>
      </c>
    </row>
    <row r="549" ht="15" customHeight="1">
      <c r="A549" s="63" t="n">
        <v>46059</v>
      </c>
      <c r="B549" s="49" t="inlineStr">
        <is>
          <t>G3S 10</t>
        </is>
      </c>
      <c r="C549" s="50" t="inlineStr">
        <is>
          <t>Fechamento</t>
        </is>
      </c>
      <c r="D549" s="60" t="inlineStr">
        <is>
          <t>Conferência e correção de dados da planilha '2026_02_27 - Custo de Coleta Própria' com a Base Financeira</t>
        </is>
      </c>
      <c r="E549" s="112" t="n">
        <v>0.4166666666666667</v>
      </c>
      <c r="F549" s="112" t="n">
        <v>0.4791666666666667</v>
      </c>
      <c r="G549" s="102">
        <f>F549-E549</f>
        <v/>
      </c>
    </row>
    <row r="550" ht="15" customHeight="1" thickBot="1">
      <c r="A550" s="66" t="n">
        <v>46059</v>
      </c>
      <c r="B550" s="67" t="inlineStr">
        <is>
          <t>G3S 10</t>
        </is>
      </c>
      <c r="C550" s="68" t="inlineStr">
        <is>
          <t>Fechamento</t>
        </is>
      </c>
      <c r="D550" s="69" t="inlineStr">
        <is>
          <t>Conferência e correção de dados da planilha '2026_02_27 - Custo de Coleta Própria' com a Base Financeira</t>
        </is>
      </c>
      <c r="E550" s="115" t="n">
        <v>0.5208333333333334</v>
      </c>
      <c r="F550" s="115" t="n">
        <v>0.6284722222222222</v>
      </c>
      <c r="G550" s="118">
        <f>F550-E550</f>
        <v/>
      </c>
    </row>
    <row r="551" ht="15" customHeight="1" thickTop="1">
      <c r="A551" s="47" t="n">
        <v>46087</v>
      </c>
      <c r="B551" s="20" t="inlineStr">
        <is>
          <t>G3S 10</t>
        </is>
      </c>
      <c r="C551" s="21" t="inlineStr">
        <is>
          <t>BCBI Seletiva</t>
        </is>
      </c>
      <c r="D551" s="48" t="inlineStr">
        <is>
          <t>Auditoria do BCBI</t>
        </is>
      </c>
      <c r="E551" s="111" t="n">
        <v>0.3326388888888889</v>
      </c>
      <c r="F551" s="111" t="n">
        <v>0.4166666666666667</v>
      </c>
      <c r="G551" s="119" t="n">
        <v>0.08402777777777778</v>
      </c>
    </row>
    <row r="552" ht="15" customHeight="1" thickBot="1">
      <c r="A552" s="66" t="n">
        <v>46087</v>
      </c>
      <c r="B552" s="67" t="inlineStr">
        <is>
          <t>G3S 10</t>
        </is>
      </c>
      <c r="C552" s="68" t="inlineStr">
        <is>
          <t>Fechamento</t>
        </is>
      </c>
      <c r="D552" s="69" t="inlineStr">
        <is>
          <t>Filtragem e categorização de placas especificadas pela Andressa a partir dos relatórios de fechamento</t>
        </is>
      </c>
      <c r="E552" s="115" t="n">
        <v>0.4166666666666667</v>
      </c>
      <c r="F552" s="115" t="n">
        <v>0.4381944444444444</v>
      </c>
      <c r="G552" s="118" t="n">
        <v>0.02152777777777778</v>
      </c>
    </row>
    <row r="553" ht="15" customHeight="1" thickTop="1">
      <c r="A553" s="94">
        <f>DATE(2026,6,8)</f>
        <v/>
      </c>
      <c r="B553" s="90" t="inlineStr">
        <is>
          <t>G3S 10</t>
        </is>
      </c>
      <c r="C553" s="91" t="inlineStr">
        <is>
          <t>BCBI Seletiva</t>
        </is>
      </c>
      <c r="D553" s="92" t="inlineStr">
        <is>
          <t>Operação assistida do sistema de BI da seletiva, acompanhamento e checagem de erros no sistema</t>
        </is>
      </c>
      <c r="E553" s="93" t="n">
        <v>0.3326388888888889</v>
      </c>
      <c r="F553" s="93" t="n">
        <v>0.3958333333333333</v>
      </c>
      <c r="G553" s="93">
        <f>F553-E553</f>
        <v/>
      </c>
    </row>
    <row r="554" ht="15" customHeight="1">
      <c r="A554" s="94">
        <f>DATE(2026,6,8)</f>
        <v/>
      </c>
      <c r="B554" s="90" t="inlineStr">
        <is>
          <t>G3S 10</t>
        </is>
      </c>
      <c r="C554" s="91" t="inlineStr">
        <is>
          <t>Suporte Áreas</t>
        </is>
      </c>
      <c r="D554" s="92" t="inlineStr">
        <is>
          <t>Análise comparativa de custos de máquinas Liebherr × Hyundai - Levantamento inicial e estruturação da base de dados de custos</t>
        </is>
      </c>
      <c r="E554" s="93" t="n">
        <v>0.3958333333333333</v>
      </c>
      <c r="F554" s="93" t="n">
        <v>0.4791666666666667</v>
      </c>
      <c r="G554" s="93">
        <f>F554-E554</f>
        <v/>
      </c>
    </row>
    <row r="555" ht="15" customHeight="1">
      <c r="A555" s="96">
        <f>DATE(2026,6,8)</f>
        <v/>
      </c>
      <c r="B555" s="97" t="inlineStr">
        <is>
          <t>G3S 10</t>
        </is>
      </c>
      <c r="C555" s="98" t="inlineStr">
        <is>
          <t>Suporte Áreas</t>
        </is>
      </c>
      <c r="D555" s="99" t="inlineStr">
        <is>
          <t>Análise comparativa Liebherr × Hyundai - Definição de metodologia para comparativo justo entre marcas (custo médio por máquina)</t>
        </is>
      </c>
      <c r="E555" s="101" t="n">
        <v>0.5208333333333334</v>
      </c>
      <c r="F555" s="101" t="n">
        <v>0.6277777777777778</v>
      </c>
      <c r="G555" s="101">
        <f>F555-E555</f>
        <v/>
      </c>
    </row>
    <row r="556" ht="15" customHeight="1">
      <c r="A556" s="94">
        <f>DATE(2026,6,9)</f>
        <v/>
      </c>
      <c r="B556" s="90" t="inlineStr">
        <is>
          <t>G3S 10</t>
        </is>
      </c>
      <c r="C556" s="91" t="inlineStr">
        <is>
          <t>BCBI Seletiva</t>
        </is>
      </c>
      <c r="D556" s="92" t="inlineStr">
        <is>
          <t>Operação assistida do sistema de BI da seletiva, acompanhamento e checagem de erros no sistema</t>
        </is>
      </c>
      <c r="E556" s="93" t="n">
        <v>0.325</v>
      </c>
      <c r="F556" s="93" t="n">
        <v>0.375</v>
      </c>
      <c r="G556" s="93">
        <f>F556-E556</f>
        <v/>
      </c>
    </row>
    <row r="557" ht="15" customHeight="1">
      <c r="A557" s="63">
        <f>DATE(2026,6,9)</f>
        <v/>
      </c>
      <c r="B557" s="49" t="inlineStr">
        <is>
          <t>G3S 10</t>
        </is>
      </c>
      <c r="C557" s="50" t="inlineStr">
        <is>
          <t>Suporte Áreas</t>
        </is>
      </c>
      <c r="D557" s="60" t="inlineStr">
        <is>
          <t>Análise comparativa de custos de máquinas Liebherr × Hyundai - Carga e higienização dos dados da base consolidada 2025+2026</t>
        </is>
      </c>
      <c r="E557" s="112" t="n">
        <v>0.375</v>
      </c>
      <c r="F557" s="112" t="n">
        <v>0.4791666666666667</v>
      </c>
      <c r="G557" s="102">
        <f>F557-E557</f>
        <v/>
      </c>
    </row>
    <row r="558" ht="15" customHeight="1">
      <c r="A558" s="103">
        <f>DATE(2026,6,9)</f>
        <v/>
      </c>
      <c r="B558" s="104" t="inlineStr">
        <is>
          <t>G3S 10</t>
        </is>
      </c>
      <c r="C558" s="105" t="inlineStr">
        <is>
          <t>Suporte Áreas</t>
        </is>
      </c>
      <c r="D558" s="106" t="inlineStr">
        <is>
          <t>Análise comparativa Liebherr × Hyundai - Construção do painel executivo com KPIs (volume, ticket médio, custo por máquina)</t>
        </is>
      </c>
      <c r="E558" s="108" t="n">
        <v>0.5208333333333334</v>
      </c>
      <c r="F558" s="108" t="n">
        <v>0.6291666666666667</v>
      </c>
      <c r="G558" s="108">
        <f>F558-E558</f>
        <v/>
      </c>
    </row>
    <row r="559" ht="15" customHeight="1">
      <c r="A559" s="44">
        <f>DATE(2026,6,10)</f>
        <v/>
      </c>
      <c r="B559" s="37" t="inlineStr">
        <is>
          <t>G3S 10</t>
        </is>
      </c>
      <c r="C559" s="38" t="inlineStr">
        <is>
          <t>Suporte Áreas</t>
        </is>
      </c>
      <c r="D559" s="39" t="inlineStr">
        <is>
          <t>Análise comparativa Liebherr × Hyundai - Composição por conta (plano de contas e DE-PARA de custeio) e ranking por máquina/divisão</t>
        </is>
      </c>
      <c r="E559" s="55" t="n">
        <v>0.3277777777777778</v>
      </c>
      <c r="F559" s="55" t="n">
        <v>0.4</v>
      </c>
      <c r="G559" s="55">
        <f>F559-E559</f>
        <v/>
      </c>
    </row>
    <row r="560" ht="15" customHeight="1">
      <c r="E560" s="55" t="n"/>
      <c r="F560" s="55" t="n"/>
      <c r="G560" s="55" t="n"/>
    </row>
    <row r="561" ht="15" customHeight="1">
      <c r="E561" s="55" t="n"/>
      <c r="F561" s="55" t="n"/>
      <c r="G561" s="55" t="n"/>
    </row>
    <row r="562" ht="15" customHeight="1">
      <c r="E562" s="55" t="n"/>
      <c r="F562" s="55" t="n"/>
      <c r="G562" s="55" t="n"/>
    </row>
    <row r="563" ht="15" customHeight="1">
      <c r="E563" s="55" t="n"/>
      <c r="F563" s="55" t="n"/>
      <c r="G563" s="55" t="n"/>
    </row>
    <row r="564" ht="15" customHeight="1">
      <c r="E564" s="55" t="n"/>
      <c r="F564" s="55" t="n"/>
      <c r="G564" s="55" t="n"/>
    </row>
    <row r="565" ht="15" customHeight="1">
      <c r="E565" s="55" t="n"/>
      <c r="F565" s="55" t="n"/>
      <c r="G565" s="55" t="n"/>
    </row>
    <row r="566" ht="15" customHeight="1">
      <c r="E566" s="55" t="n"/>
      <c r="F566" s="55" t="n"/>
      <c r="G566" s="55" t="n"/>
    </row>
    <row r="567" ht="15" customHeight="1">
      <c r="E567" s="55" t="n"/>
      <c r="F567" s="55" t="n"/>
      <c r="G567" s="55" t="n"/>
    </row>
    <row r="568" ht="15" customHeight="1">
      <c r="E568" s="55" t="n"/>
      <c r="F568" s="55" t="n"/>
      <c r="G568" s="55" t="n"/>
    </row>
    <row r="569" ht="15" customHeight="1">
      <c r="E569" s="55" t="n"/>
      <c r="F569" s="55" t="n"/>
      <c r="G569" s="55" t="n"/>
    </row>
    <row r="570" ht="15" customHeight="1">
      <c r="E570" s="55" t="n"/>
      <c r="F570" s="55" t="n"/>
      <c r="G570" s="55" t="n"/>
    </row>
    <row r="571" ht="15" customHeight="1">
      <c r="E571" s="55" t="n"/>
      <c r="F571" s="55" t="n"/>
      <c r="G571" s="55" t="n"/>
    </row>
    <row r="572" ht="15" customHeight="1">
      <c r="E572" s="55" t="n"/>
      <c r="F572" s="55" t="n"/>
      <c r="G572" s="55" t="n"/>
    </row>
    <row r="573" ht="15" customHeight="1">
      <c r="E573" s="55" t="n"/>
      <c r="F573" s="55" t="n"/>
      <c r="G573" s="55" t="n"/>
    </row>
    <row r="574" ht="15" customHeight="1">
      <c r="E574" s="55" t="n"/>
      <c r="F574" s="55" t="n"/>
      <c r="G574" s="55" t="n"/>
    </row>
    <row r="575" ht="15" customHeight="1">
      <c r="E575" s="55" t="n"/>
      <c r="F575" s="55" t="n"/>
      <c r="G575" s="55" t="n"/>
    </row>
    <row r="576" ht="15" customHeight="1">
      <c r="E576" s="55" t="n"/>
      <c r="F576" s="55" t="n"/>
      <c r="G576" s="55" t="n"/>
    </row>
    <row r="577" ht="15" customHeight="1">
      <c r="E577" s="55" t="n"/>
      <c r="F577" s="55" t="n"/>
      <c r="G577" s="55" t="n"/>
    </row>
    <row r="578" ht="15" customHeight="1">
      <c r="E578" s="55" t="n"/>
      <c r="F578" s="55" t="n"/>
      <c r="G578" s="55" t="n"/>
    </row>
    <row r="579" ht="15" customHeight="1">
      <c r="E579" s="55" t="n"/>
      <c r="F579" s="55" t="n"/>
      <c r="G579" s="55" t="n"/>
    </row>
    <row r="580" ht="15" customHeight="1">
      <c r="E580" s="55" t="n"/>
      <c r="F580" s="55" t="n"/>
      <c r="G580" s="55" t="n"/>
    </row>
    <row r="581" ht="15" customHeight="1">
      <c r="E581" s="55" t="n"/>
      <c r="F581" s="55" t="n"/>
      <c r="G581" s="55" t="n"/>
    </row>
    <row r="582" ht="15" customHeight="1">
      <c r="E582" s="55" t="n"/>
      <c r="F582" s="55" t="n"/>
      <c r="G582" s="55" t="n"/>
    </row>
    <row r="583" ht="15" customHeight="1">
      <c r="E583" s="55" t="n"/>
      <c r="F583" s="55" t="n"/>
      <c r="G583" s="55" t="n"/>
    </row>
    <row r="584" ht="15" customHeight="1">
      <c r="E584" s="55" t="n"/>
      <c r="F584" s="55" t="n"/>
      <c r="G584" s="55" t="n"/>
    </row>
    <row r="585" ht="15" customHeight="1">
      <c r="E585" s="55" t="n"/>
      <c r="F585" s="55" t="n"/>
      <c r="G585" s="55" t="n"/>
    </row>
    <row r="586" ht="15" customHeight="1">
      <c r="E586" s="55" t="n"/>
      <c r="F586" s="55" t="n"/>
      <c r="G586" s="55" t="n"/>
    </row>
    <row r="587" ht="15" customHeight="1">
      <c r="E587" s="55" t="n"/>
      <c r="F587" s="55" t="n"/>
      <c r="G587" s="55" t="n"/>
    </row>
    <row r="588" ht="15" customHeight="1">
      <c r="E588" s="55" t="n"/>
      <c r="F588" s="55" t="n"/>
      <c r="G588" s="55" t="n"/>
    </row>
    <row r="589" ht="15" customHeight="1">
      <c r="E589" s="55" t="n"/>
      <c r="F589" s="55" t="n"/>
      <c r="G589" s="55" t="n"/>
    </row>
    <row r="590" ht="15" customHeight="1">
      <c r="E590" s="55" t="n"/>
      <c r="F590" s="55" t="n"/>
      <c r="G590" s="55" t="n"/>
    </row>
    <row r="591" ht="15" customHeight="1">
      <c r="E591" s="55" t="n"/>
      <c r="F591" s="55" t="n"/>
      <c r="G591" s="55" t="n"/>
    </row>
    <row r="592" ht="15" customHeight="1">
      <c r="E592" s="55" t="n"/>
      <c r="F592" s="55" t="n"/>
      <c r="G592" s="55" t="n"/>
    </row>
    <row r="593" ht="15" customHeight="1">
      <c r="E593" s="55" t="n"/>
      <c r="F593" s="55" t="n"/>
      <c r="G593" s="55" t="n"/>
    </row>
    <row r="594" ht="15" customHeight="1">
      <c r="E594" s="55" t="n"/>
      <c r="F594" s="55" t="n"/>
      <c r="G594" s="55" t="n"/>
    </row>
    <row r="595" ht="15" customHeight="1">
      <c r="E595" s="55" t="n"/>
      <c r="F595" s="55" t="n"/>
      <c r="G595" s="55" t="n"/>
    </row>
    <row r="596" ht="15" customHeight="1">
      <c r="E596" s="55" t="n"/>
      <c r="F596" s="55" t="n"/>
      <c r="G596" s="55" t="n"/>
    </row>
    <row r="597" ht="15" customHeight="1">
      <c r="E597" s="55" t="n"/>
      <c r="F597" s="55" t="n"/>
      <c r="G597" s="55" t="n"/>
    </row>
    <row r="598" ht="15" customHeight="1">
      <c r="E598" s="55" t="n"/>
      <c r="F598" s="55" t="n"/>
      <c r="G598" s="55" t="n"/>
    </row>
    <row r="599" ht="15" customHeight="1">
      <c r="E599" s="55" t="n"/>
      <c r="F599" s="55" t="n"/>
      <c r="G599" s="55" t="n"/>
    </row>
    <row r="600" ht="15" customHeight="1">
      <c r="E600" s="55" t="n"/>
      <c r="F600" s="55" t="n"/>
      <c r="G600" s="55" t="n"/>
    </row>
    <row r="601" ht="15" customHeight="1">
      <c r="E601" s="55" t="n"/>
      <c r="F601" s="55" t="n"/>
      <c r="G601" s="55" t="n"/>
    </row>
    <row r="602" ht="15" customHeight="1">
      <c r="E602" s="55" t="n"/>
      <c r="F602" s="55" t="n"/>
      <c r="G602" s="55" t="n"/>
    </row>
    <row r="603" ht="15" customHeight="1">
      <c r="E603" s="55" t="n"/>
      <c r="F603" s="55" t="n"/>
      <c r="G603" s="55" t="n"/>
    </row>
    <row r="604" ht="15" customHeight="1">
      <c r="E604" s="55" t="n"/>
      <c r="F604" s="55" t="n"/>
      <c r="G604" s="55" t="n"/>
    </row>
    <row r="605" ht="15" customHeight="1">
      <c r="E605" s="55" t="n"/>
      <c r="F605" s="55" t="n"/>
      <c r="G605" s="55" t="n"/>
    </row>
    <row r="606" ht="15" customHeight="1">
      <c r="E606" s="55" t="n"/>
      <c r="F606" s="55" t="n"/>
      <c r="G606" s="55" t="n"/>
    </row>
    <row r="607" ht="15" customHeight="1">
      <c r="E607" s="55" t="n"/>
      <c r="F607" s="55" t="n"/>
      <c r="G607" s="55" t="n"/>
    </row>
    <row r="608" ht="15" customHeight="1">
      <c r="E608" s="55" t="n"/>
      <c r="F608" s="55" t="n"/>
      <c r="G608" s="55" t="n"/>
    </row>
    <row r="609" ht="15" customHeight="1">
      <c r="E609" s="55" t="n"/>
      <c r="F609" s="55" t="n"/>
      <c r="G609" s="55" t="n"/>
    </row>
    <row r="610" ht="15" customHeight="1">
      <c r="E610" s="55" t="n"/>
      <c r="F610" s="55" t="n"/>
      <c r="G610" s="55" t="n"/>
    </row>
    <row r="611" ht="15" customHeight="1">
      <c r="E611" s="55" t="n"/>
      <c r="F611" s="55" t="n"/>
      <c r="G611" s="55" t="n"/>
    </row>
    <row r="612" ht="15" customHeight="1">
      <c r="E612" s="55" t="n"/>
      <c r="F612" s="55" t="n"/>
      <c r="G612" s="55" t="n"/>
    </row>
    <row r="613" ht="15" customHeight="1">
      <c r="E613" s="55" t="n"/>
      <c r="F613" s="55" t="n"/>
      <c r="G613" s="55" t="n"/>
    </row>
    <row r="614" ht="15" customHeight="1">
      <c r="E614" s="55" t="n"/>
      <c r="F614" s="55" t="n"/>
      <c r="G614" s="55" t="n"/>
    </row>
    <row r="615" ht="15" customHeight="1">
      <c r="E615" s="55" t="n"/>
      <c r="F615" s="55" t="n"/>
      <c r="G615" s="55" t="n"/>
    </row>
    <row r="616" ht="15" customHeight="1">
      <c r="E616" s="55" t="n"/>
      <c r="F616" s="55" t="n"/>
      <c r="G616" s="55" t="n"/>
    </row>
    <row r="617" ht="15" customHeight="1">
      <c r="E617" s="55" t="n"/>
      <c r="F617" s="55" t="n"/>
      <c r="G617" s="55" t="n"/>
    </row>
    <row r="618" ht="15" customHeight="1">
      <c r="E618" s="55" t="n"/>
      <c r="F618" s="55" t="n"/>
      <c r="G618" s="55" t="n"/>
    </row>
    <row r="619" ht="15" customHeight="1">
      <c r="E619" s="55" t="n"/>
      <c r="F619" s="55" t="n"/>
      <c r="G619" s="55" t="n"/>
    </row>
    <row r="620" ht="15" customHeight="1">
      <c r="E620" s="55" t="n"/>
      <c r="F620" s="55" t="n"/>
      <c r="G620" s="55" t="n"/>
    </row>
    <row r="621" ht="15" customHeight="1">
      <c r="E621" s="55" t="n"/>
      <c r="F621" s="55" t="n"/>
      <c r="G621" s="55" t="n"/>
    </row>
    <row r="622" ht="15" customHeight="1">
      <c r="E622" s="55" t="n"/>
      <c r="F622" s="55" t="n"/>
      <c r="G622" s="55" t="n"/>
    </row>
    <row r="623" ht="15" customHeight="1">
      <c r="E623" s="55" t="n"/>
      <c r="F623" s="55" t="n"/>
      <c r="G623" s="55" t="n"/>
    </row>
    <row r="624" ht="15" customHeight="1">
      <c r="E624" s="55" t="n"/>
      <c r="F624" s="55" t="n"/>
      <c r="G624" s="55" t="n"/>
    </row>
    <row r="625" ht="15" customHeight="1">
      <c r="E625" s="55" t="n"/>
      <c r="F625" s="55" t="n"/>
      <c r="G625" s="55" t="n"/>
    </row>
    <row r="626" ht="15" customHeight="1">
      <c r="E626" s="55" t="n"/>
      <c r="F626" s="55" t="n"/>
      <c r="G626" s="55" t="n"/>
    </row>
    <row r="627" ht="15" customHeight="1">
      <c r="E627" s="55" t="n"/>
      <c r="F627" s="55" t="n"/>
      <c r="G627" s="55" t="n"/>
    </row>
    <row r="628" ht="15" customHeight="1">
      <c r="E628" s="55" t="n"/>
      <c r="F628" s="55" t="n"/>
      <c r="G628" s="55" t="n"/>
    </row>
    <row r="629" ht="15" customHeight="1">
      <c r="E629" s="55" t="n"/>
      <c r="F629" s="55" t="n"/>
      <c r="G629" s="55" t="n"/>
    </row>
    <row r="630" ht="15" customHeight="1">
      <c r="E630" s="55" t="n"/>
      <c r="F630" s="55" t="n"/>
      <c r="G630" s="55" t="n"/>
    </row>
    <row r="631" ht="15" customHeight="1">
      <c r="E631" s="55" t="n"/>
      <c r="F631" s="55" t="n"/>
      <c r="G631" s="55" t="n"/>
    </row>
    <row r="632" ht="15" customHeight="1">
      <c r="E632" s="55" t="n"/>
      <c r="F632" s="55" t="n"/>
      <c r="G632" s="55" t="n"/>
    </row>
    <row r="633" ht="15" customHeight="1">
      <c r="E633" s="55" t="n"/>
      <c r="F633" s="55" t="n"/>
      <c r="G633" s="55" t="n"/>
    </row>
    <row r="634" ht="15" customHeight="1">
      <c r="E634" s="55" t="n"/>
      <c r="F634" s="55" t="n"/>
      <c r="G634" s="55" t="n"/>
    </row>
    <row r="635">
      <c r="A635" s="44">
        <f>DATE(2026,6,10)</f>
        <v/>
      </c>
      <c r="B635" s="37" t="inlineStr">
        <is>
          <t>G3S 10</t>
        </is>
      </c>
      <c r="C635" s="38" t="inlineStr">
        <is>
          <t>Fechamento</t>
        </is>
      </c>
      <c r="D635" s="39" t="inlineStr">
        <is>
          <t>Conferencia e ajuste de base para fechamento de custos de combustivel e folha (preparacao dos arquivos de fechamento).</t>
        </is>
      </c>
      <c r="E635" s="55" t="n"/>
      <c r="F635" s="55" t="n"/>
      <c r="G635" s="55" t="n"/>
    </row>
    <row r="636">
      <c r="A636" s="44">
        <f>DATE(2026,6,11)</f>
        <v/>
      </c>
      <c r="B636" s="37" t="inlineStr">
        <is>
          <t>G3S 10</t>
        </is>
      </c>
      <c r="C636" s="38" t="inlineStr">
        <is>
          <t>Suporte areas</t>
        </is>
      </c>
      <c r="D636" s="39" t="inlineStr">
        <is>
          <t>Analise comparativa Liebherr x Hyundai com refinamento de metodologia e consolidacao de insumos para relatorio executivo.</t>
        </is>
      </c>
      <c r="E636" s="55" t="n"/>
      <c r="F636" s="55" t="n"/>
      <c r="G636" s="55" t="n"/>
    </row>
    <row r="637">
      <c r="A637" s="44">
        <f>DATE(2026,6,12)</f>
        <v/>
      </c>
      <c r="B637" s="37" t="inlineStr">
        <is>
          <t>G3S 10</t>
        </is>
      </c>
      <c r="C637" s="38" t="inlineStr">
        <is>
          <t>Suporte areas</t>
        </is>
      </c>
      <c r="D637" s="39" t="inlineStr">
        <is>
          <t>Tratamento de dados de consumo de diesel e geracao de analises de contratos para maquinas, com validacoes auxiliares de apoio ao fechamento.</t>
        </is>
      </c>
      <c r="E637" s="55" t="n"/>
      <c r="F637" s="55" t="n"/>
      <c r="G637" s="55" t="n"/>
    </row>
    <row r="638">
      <c r="A638" s="44">
        <f>DATE(2026,6,13)</f>
        <v/>
      </c>
      <c r="B638" s="37" t="inlineStr">
        <is>
          <t>G3S 10</t>
        </is>
      </c>
      <c r="C638" s="38" t="inlineStr">
        <is>
          <t>Organizacao tecnica</t>
        </is>
      </c>
      <c r="D638" s="39" t="inlineStr">
        <is>
          <t>Organizacao e revisao tecnica de artefatos de analise e documentacao de apoio do projeto.</t>
        </is>
      </c>
      <c r="E638" s="55" t="n"/>
      <c r="F638" s="55" t="n"/>
      <c r="G638" s="55" t="n"/>
    </row>
    <row r="639">
      <c r="A639" s="44">
        <f>DATE(2026,6,14)</f>
        <v/>
      </c>
      <c r="B639" s="37" t="inlineStr">
        <is>
          <t>G3S 10</t>
        </is>
      </c>
      <c r="C639" s="38" t="inlineStr">
        <is>
          <t>Organizacao tecnica</t>
        </is>
      </c>
      <c r="D639" s="39" t="inlineStr">
        <is>
          <t>Consolidacao de pendencias e preparacao de material para continuidade das entregas da semana seguinte.</t>
        </is>
      </c>
      <c r="E639" s="55" t="n"/>
      <c r="F639" s="55" t="n"/>
      <c r="G639" s="55" t="n"/>
    </row>
    <row r="640">
      <c r="A640" s="44">
        <f>DATE(2026,6,15)</f>
        <v/>
      </c>
      <c r="B640" s="37" t="inlineStr">
        <is>
          <t>G3S 10</t>
        </is>
      </c>
      <c r="C640" s="38" t="inlineStr">
        <is>
          <t>Suporte areas</t>
        </is>
      </c>
      <c r="D640" s="39" t="inlineStr">
        <is>
          <t>Atualizacao do dashboard comparativo Liebherr x Hyundai, sincronizacao de figuras e ajustes de scripts de exportacao e auditoria.</t>
        </is>
      </c>
      <c r="E640" s="55" t="n"/>
      <c r="F640" s="55" t="n"/>
      <c r="G640" s="55" t="n"/>
    </row>
    <row r="641">
      <c r="A641" s="44">
        <f>DATE(2026,6,16)</f>
        <v/>
      </c>
      <c r="B641" s="37" t="inlineStr">
        <is>
          <t>G3S 10</t>
        </is>
      </c>
      <c r="C641" s="38" t="inlineStr">
        <is>
          <t>Governanca de dados</t>
        </is>
      </c>
      <c r="D641" s="39" t="inlineStr">
        <is>
          <t>Atualizacao de referencias de Plano de Contas e revisao de apontamentos de auditoria analitica para suporte a classificacao contabil.</t>
        </is>
      </c>
      <c r="E641" s="55" t="n"/>
      <c r="F641" s="55" t="n"/>
      <c r="G641" s="55" t="n"/>
    </row>
  </sheetData>
  <autoFilter ref="A1:G349">
    <filterColumn colId="0" hiddenButton="0" showButton="1">
      <filters blank="1">
        <dateGroupItem year="2026" dateTimeGrouping="year"/>
      </filters>
    </filterColumn>
  </autoFilter>
  <printOptions horizontalCentered="1"/>
  <pageMargins left="0" right="0" top="0.1574803149606299" bottom="0.7480314960629921" header="0.3149606299212598" footer="0.3149606299212598"/>
  <pageSetup orientation="landscape" paperSize="9" scale="73"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3"/>
  <sheetViews>
    <sheetView workbookViewId="0">
      <pane ySplit="1" topLeftCell="A117" activePane="bottomLeft" state="frozen"/>
      <selection pane="bottomLeft" activeCell="G144" sqref="G144"/>
    </sheetView>
  </sheetViews>
  <sheetFormatPr baseColWidth="8" defaultRowHeight="15"/>
  <cols>
    <col width="12.7109375" bestFit="1" customWidth="1" style="2" min="1" max="1"/>
    <col width="16.85546875" bestFit="1" customWidth="1" style="2" min="2" max="2"/>
    <col width="15.42578125" bestFit="1" customWidth="1" style="2" min="3" max="3"/>
    <col width="28.28515625" bestFit="1" customWidth="1" style="2" min="4" max="4"/>
    <col width="25" bestFit="1" customWidth="1" style="2" min="5" max="5"/>
    <col width="18.42578125" bestFit="1" customWidth="1" style="2" min="6" max="6"/>
    <col width="19.85546875" customWidth="1" style="2" min="7" max="7"/>
    <col width="15.28515625" customWidth="1" style="121" min="8" max="8"/>
    <col width="25.85546875" bestFit="1" customWidth="1" style="2" min="9" max="9"/>
    <col width="3.140625" customWidth="1" min="10" max="10"/>
    <col width="155.5703125" customWidth="1" min="11" max="11"/>
  </cols>
  <sheetData>
    <row r="1" ht="16.5" customHeight="1" thickBot="1">
      <c r="A1" s="5" t="inlineStr">
        <is>
          <t>DATA</t>
        </is>
      </c>
      <c r="B1" s="5" t="inlineStr">
        <is>
          <t>HORA INICIAL</t>
        </is>
      </c>
      <c r="C1" s="5" t="inlineStr">
        <is>
          <t>HORA FINAL</t>
        </is>
      </c>
      <c r="D1" s="5" t="inlineStr">
        <is>
          <t>HORAS TRABALHADAS</t>
        </is>
      </c>
      <c r="E1" s="5" t="inlineStr">
        <is>
          <t>HORAS ESPERADAS</t>
        </is>
      </c>
      <c r="F1" s="5" t="inlineStr">
        <is>
          <t>BANCO DO DIA</t>
        </is>
      </c>
      <c r="G1" s="5" t="inlineStr">
        <is>
          <t>COMPENSAÇÃO</t>
        </is>
      </c>
      <c r="H1" s="122" t="inlineStr">
        <is>
          <t>BANCO FINAL</t>
        </is>
      </c>
      <c r="I1" s="7" t="inlineStr">
        <is>
          <t>BANCO ACUMULADO</t>
        </is>
      </c>
      <c r="O1" s="4" t="n"/>
    </row>
    <row r="2" ht="15.75" customHeight="1" thickBot="1">
      <c r="A2" s="8" t="n">
        <v>45992</v>
      </c>
      <c r="B2" s="123">
        <f>_xlfn.MINIFS(Atividades!$E:$E,Atividades!$A:$A, A2)</f>
        <v/>
      </c>
      <c r="C2" s="123">
        <f>_xlfn.MAXIFS(Atividades!$F:$F, Atividades!$A:$A, A2)</f>
        <v/>
      </c>
      <c r="D2" s="124">
        <f>IF(C2-B2&gt;TIME(6,0,0), (C2-B2)-TIME(1,0,0), C2-B2)</f>
        <v/>
      </c>
      <c r="E2" s="123">
        <f>IF(OR(D2&lt;=0, B2="", C2=""), 0, TIME(6,0,0))</f>
        <v/>
      </c>
      <c r="F2" s="123">
        <f>D2-E2</f>
        <v/>
      </c>
      <c r="G2" s="123" t="n">
        <v>0</v>
      </c>
      <c r="H2" s="123">
        <f>F2-G2</f>
        <v/>
      </c>
      <c r="I2" s="123">
        <f>H2</f>
        <v/>
      </c>
    </row>
    <row r="3" ht="15.75" customHeight="1" thickBot="1">
      <c r="A3" s="8" t="n">
        <v>45993</v>
      </c>
      <c r="B3" s="123">
        <f>_xlfn.MINIFS(Atividades!$E:$E,Atividades!$A:$A, A3)</f>
        <v/>
      </c>
      <c r="C3" s="123">
        <f>_xlfn.MAXIFS(Atividades!$F:$F, Atividades!$A:$A, A3)</f>
        <v/>
      </c>
      <c r="D3" s="124">
        <f>IF(C3-B3&gt;TIME(6,0,0), (C3-B3)-TIME(1,0,0), C3-B3)</f>
        <v/>
      </c>
      <c r="E3" s="123">
        <f>IF(OR(D3&lt;=0, B3="", C3=""), 0, TIME(6,0,0))</f>
        <v/>
      </c>
      <c r="F3" s="123">
        <f>D3-E3</f>
        <v/>
      </c>
      <c r="G3" s="123" t="n">
        <v>0</v>
      </c>
      <c r="H3" s="123">
        <f>F3-G3</f>
        <v/>
      </c>
      <c r="I3" s="123">
        <f>I2+H3</f>
        <v/>
      </c>
    </row>
    <row r="4" ht="15.75" customHeight="1" thickBot="1">
      <c r="A4" s="8" t="n">
        <v>45994</v>
      </c>
      <c r="B4" s="123">
        <f>_xlfn.MINIFS(Atividades!$E:$E,Atividades!$A:$A, A4)</f>
        <v/>
      </c>
      <c r="C4" s="123">
        <f>_xlfn.MAXIFS(Atividades!$F:$F, Atividades!$A:$A, A4)</f>
        <v/>
      </c>
      <c r="D4" s="124">
        <f>IF(C4-B4&gt;TIME(6,0,0), (C4-B4)-TIME(1,0,0), C4-B4)</f>
        <v/>
      </c>
      <c r="E4" s="123">
        <f>IF(OR(D4&lt;=0, B4="", C4=""), 0, TIME(6,0,0))</f>
        <v/>
      </c>
      <c r="F4" s="123">
        <f>D4-E4</f>
        <v/>
      </c>
      <c r="G4" s="123" t="n">
        <v>0</v>
      </c>
      <c r="H4" s="123">
        <f>F4-G4</f>
        <v/>
      </c>
      <c r="I4" s="123">
        <f>I3+H4</f>
        <v/>
      </c>
    </row>
    <row r="5" ht="15.75" customHeight="1" thickBot="1">
      <c r="A5" s="8" t="n">
        <v>45995</v>
      </c>
      <c r="B5" s="123">
        <f>_xlfn.MINIFS(Atividades!$E:$E,Atividades!$A:$A, A5)</f>
        <v/>
      </c>
      <c r="C5" s="123">
        <f>_xlfn.MAXIFS(Atividades!$F:$F, Atividades!$A:$A, A5)</f>
        <v/>
      </c>
      <c r="D5" s="124">
        <f>IF(C5-B5&gt;TIME(6,0,0), (C5-B5)-TIME(1,0,0), C5-B5)</f>
        <v/>
      </c>
      <c r="E5" s="123">
        <f>IF(OR(D5&lt;=0, B5="", C5=""), 0, TIME(6,0,0))</f>
        <v/>
      </c>
      <c r="F5" s="123">
        <f>D5-E5</f>
        <v/>
      </c>
      <c r="G5" s="123" t="n">
        <v>0</v>
      </c>
      <c r="H5" s="123">
        <f>F5-G5</f>
        <v/>
      </c>
      <c r="I5" s="123">
        <f>I4+H5</f>
        <v/>
      </c>
    </row>
    <row r="6" ht="15.75" customHeight="1" thickBot="1">
      <c r="A6" s="8" t="n">
        <v>45996</v>
      </c>
      <c r="B6" s="123">
        <f>_xlfn.MINIFS(Atividades!$E:$E,Atividades!$A:$A, A6)</f>
        <v/>
      </c>
      <c r="C6" s="123">
        <f>_xlfn.MAXIFS(Atividades!$F:$F, Atividades!$A:$A, A6)</f>
        <v/>
      </c>
      <c r="D6" s="124">
        <f>IF(C6-B6&gt;TIME(6,0,0), (C6-B6)-TIME(1,0,0), C6-B6)</f>
        <v/>
      </c>
      <c r="E6" s="123">
        <f>IF(OR(D6&lt;=0, B6="", C6=""), 0, TIME(6,0,0))</f>
        <v/>
      </c>
      <c r="F6" s="123">
        <f>D6-E6</f>
        <v/>
      </c>
      <c r="G6" s="123" t="n">
        <v>0</v>
      </c>
      <c r="H6" s="123">
        <f>F6-G6</f>
        <v/>
      </c>
      <c r="I6" s="123">
        <f>I5+H6</f>
        <v/>
      </c>
    </row>
    <row r="7" ht="15.75" customHeight="1" thickBot="1">
      <c r="A7" s="8" t="n">
        <v>45999</v>
      </c>
      <c r="B7" s="123">
        <f>_xlfn.MINIFS(Atividades!$E:$E,Atividades!$A:$A, A7)</f>
        <v/>
      </c>
      <c r="C7" s="123">
        <f>_xlfn.MAXIFS(Atividades!$F:$F, Atividades!$A:$A, A7)</f>
        <v/>
      </c>
      <c r="D7" s="124">
        <f>IF(C7-B7&gt;TIME(6,0,0), (C7-B7)-TIME(1,0,0), C7-B7)</f>
        <v/>
      </c>
      <c r="E7" s="123">
        <f>IF(OR(D7&lt;=0, B7="", C7=""), 0, TIME(6,0,0))</f>
        <v/>
      </c>
      <c r="F7" s="123">
        <f>D7-E7</f>
        <v/>
      </c>
      <c r="G7" s="123" t="n">
        <v>0</v>
      </c>
      <c r="H7" s="123">
        <f>F7-G7</f>
        <v/>
      </c>
      <c r="I7" s="123">
        <f>I6+H7</f>
        <v/>
      </c>
    </row>
    <row r="8" ht="15.75" customHeight="1" thickBot="1">
      <c r="A8" s="8" t="n">
        <v>46000</v>
      </c>
      <c r="B8" s="123">
        <f>_xlfn.MINIFS(Atividades!$E:$E,Atividades!$A:$A, A8)</f>
        <v/>
      </c>
      <c r="C8" s="123" t="n">
        <v>0.6284722222222222</v>
      </c>
      <c r="D8" s="124">
        <f>IF(C8-B8&gt;TIME(6,0,0), (C8-B8)-TIME(1,0,0), C8-B8)</f>
        <v/>
      </c>
      <c r="E8" s="123">
        <f>IF(OR(D8&lt;=0, B8="", C8=""), 0, TIME(6,0,0))</f>
        <v/>
      </c>
      <c r="F8" s="123">
        <f>D8-E8</f>
        <v/>
      </c>
      <c r="G8" s="123" t="n">
        <v>0</v>
      </c>
      <c r="H8" s="123">
        <f>F8-G8</f>
        <v/>
      </c>
      <c r="I8" s="123">
        <f>I7+H8</f>
        <v/>
      </c>
    </row>
    <row r="9" ht="15.75" customHeight="1" thickBot="1">
      <c r="A9" s="8" t="n">
        <v>46001</v>
      </c>
      <c r="B9" s="123">
        <f>_xlfn.MINIFS(Atividades!$E:$E,Atividades!$A:$A, A9)</f>
        <v/>
      </c>
      <c r="C9" s="123">
        <f>_xlfn.MAXIFS(Atividades!$F:$F, Atividades!$A:$A, A9)</f>
        <v/>
      </c>
      <c r="D9" s="124">
        <f>IF(C9-B9&gt;TIME(6,0,0), (C9-B9)-TIME(1,0,0), C9-B9)</f>
        <v/>
      </c>
      <c r="E9" s="123">
        <f>IF(OR(D9&lt;=0, B9="", C9=""), 0, TIME(6,0,0))</f>
        <v/>
      </c>
      <c r="F9" s="123">
        <f>D9-E9</f>
        <v/>
      </c>
      <c r="G9" s="123" t="n">
        <v>0</v>
      </c>
      <c r="H9" s="123">
        <f>F9-G9</f>
        <v/>
      </c>
      <c r="I9" s="123">
        <f>I8+H9</f>
        <v/>
      </c>
    </row>
    <row r="10" ht="15.75" customHeight="1" thickBot="1">
      <c r="A10" s="8" t="n">
        <v>46002</v>
      </c>
      <c r="B10" s="123">
        <f>_xlfn.MINIFS(Atividades!$E:$E,Atividades!$A:$A, A10)</f>
        <v/>
      </c>
      <c r="C10" s="123">
        <f>_xlfn.MAXIFS(Atividades!$F:$F, Atividades!$A:$A, A10)</f>
        <v/>
      </c>
      <c r="D10" s="124">
        <f>IF(C10-B10&gt;TIME(6,0,0), (C10-B10)-TIME(1,0,0), C10-B10)</f>
        <v/>
      </c>
      <c r="E10" s="123">
        <f>IF(OR(D10&lt;=0, B10="", C10=""), 0, TIME(6,0,0))</f>
        <v/>
      </c>
      <c r="F10" s="123">
        <f>D10-E10</f>
        <v/>
      </c>
      <c r="G10" s="123" t="n">
        <v>0</v>
      </c>
      <c r="H10" s="123">
        <f>F10-G10</f>
        <v/>
      </c>
      <c r="I10" s="123">
        <f>I9+H10</f>
        <v/>
      </c>
    </row>
    <row r="11" ht="15.75" customHeight="1" thickBot="1">
      <c r="A11" s="8" t="n">
        <v>46003</v>
      </c>
      <c r="B11" s="123">
        <f>_xlfn.MINIFS(Atividades!$E:$E,Atividades!$A:$A, A11)</f>
        <v/>
      </c>
      <c r="C11" s="123">
        <f>_xlfn.MAXIFS(Atividades!$F:$F, Atividades!$A:$A, A11)</f>
        <v/>
      </c>
      <c r="D11" s="124">
        <f>IF(C11-B11&gt;TIME(6,0,0), (C11-B11)-TIME(1,0,0), C11-B11)</f>
        <v/>
      </c>
      <c r="E11" s="123">
        <f>IF(OR(D11&lt;=0, B11="", C11=""), 0, TIME(6,0,0))</f>
        <v/>
      </c>
      <c r="F11" s="123">
        <f>D11-E11</f>
        <v/>
      </c>
      <c r="G11" s="123" t="n">
        <v>0</v>
      </c>
      <c r="H11" s="123">
        <f>F11-G11</f>
        <v/>
      </c>
      <c r="I11" s="123">
        <f>I10+H11</f>
        <v/>
      </c>
    </row>
    <row r="12" ht="15.75" customHeight="1" thickBot="1">
      <c r="A12" s="8" t="n">
        <v>46006</v>
      </c>
      <c r="B12" s="123">
        <f>_xlfn.MINIFS(Atividades!$E:$E,Atividades!$A:$A, A12)</f>
        <v/>
      </c>
      <c r="C12" s="123">
        <f>_xlfn.MAXIFS(Atividades!$F:$F, Atividades!$A:$A, A12)</f>
        <v/>
      </c>
      <c r="D12" s="124">
        <f>IF(C12-B12&gt;TIME(6,0,0), (C12-B12)-TIME(1,0,0), C12-B12)</f>
        <v/>
      </c>
      <c r="E12" s="123">
        <f>IF(OR(D12&lt;=0, B12="", C12=""), 0, TIME(6,0,0))</f>
        <v/>
      </c>
      <c r="F12" s="123">
        <f>D12-E12</f>
        <v/>
      </c>
      <c r="G12" s="123" t="n">
        <v>0</v>
      </c>
      <c r="H12" s="123">
        <f>F12-G12</f>
        <v/>
      </c>
      <c r="I12" s="123">
        <f>I11+H12</f>
        <v/>
      </c>
    </row>
    <row r="13" ht="15.75" customHeight="1" thickBot="1">
      <c r="A13" s="8" t="n">
        <v>46007</v>
      </c>
      <c r="B13" s="123">
        <f>_xlfn.MINIFS(Atividades!$E:$E,Atividades!$A:$A, A13)</f>
        <v/>
      </c>
      <c r="C13" s="123">
        <f>_xlfn.MAXIFS(Atividades!$F:$F, Atividades!$A:$A, A13)</f>
        <v/>
      </c>
      <c r="D13" s="124">
        <f>IF(C13-B13&gt;TIME(6,0,0), (C13-B13)-TIME(1,0,0), C13-B13)</f>
        <v/>
      </c>
      <c r="E13" s="123">
        <f>IF(OR(D13&lt;=0, B13="", C13=""), 0, TIME(6,0,0))</f>
        <v/>
      </c>
      <c r="F13" s="123">
        <f>D13-E13</f>
        <v/>
      </c>
      <c r="G13" s="123" t="n">
        <v>0</v>
      </c>
      <c r="H13" s="123">
        <f>F13-G13</f>
        <v/>
      </c>
      <c r="I13" s="123">
        <f>I12+H13</f>
        <v/>
      </c>
    </row>
    <row r="14" ht="15.75" customHeight="1" thickBot="1">
      <c r="A14" s="8" t="n">
        <v>46008</v>
      </c>
      <c r="B14" s="123">
        <f>_xlfn.MINIFS(Atividades!$E:$E,Atividades!$A:$A, A14)</f>
        <v/>
      </c>
      <c r="C14" s="123">
        <f>_xlfn.MAXIFS(Atividades!$F:$F, Atividades!$A:$A, A14)</f>
        <v/>
      </c>
      <c r="D14" s="124">
        <f>IF(C14-B14&gt;TIME(6,0,0), (C14-B14)-TIME(1,0,0), C14-B14)</f>
        <v/>
      </c>
      <c r="E14" s="123">
        <f>IF(OR(D14&lt;=0, B14="", C14=""), 0, TIME(6,0,0))</f>
        <v/>
      </c>
      <c r="F14" s="123">
        <f>D14-E14</f>
        <v/>
      </c>
      <c r="G14" s="123" t="n">
        <v>0</v>
      </c>
      <c r="H14" s="123">
        <f>F14-G14</f>
        <v/>
      </c>
      <c r="I14" s="123">
        <f>I13+H14</f>
        <v/>
      </c>
    </row>
    <row r="15" ht="15.75" customHeight="1" thickBot="1">
      <c r="A15" s="8" t="n">
        <v>46027</v>
      </c>
      <c r="B15" s="123">
        <f>_xlfn.MINIFS(Atividades!$E:$E,Atividades!$A:$A, A15)</f>
        <v/>
      </c>
      <c r="C15" s="123" t="n">
        <v>0.6298611111111111</v>
      </c>
      <c r="D15" s="124" t="n">
        <v>0.2638888888888889</v>
      </c>
      <c r="E15" s="123">
        <f>IF(OR(D15&lt;=0, B15="", C15=""), 0, TIME(6,0,0))</f>
        <v/>
      </c>
      <c r="F15" s="123">
        <f>D15-E15</f>
        <v/>
      </c>
      <c r="G15" s="123" t="n">
        <v>0</v>
      </c>
      <c r="H15" s="123">
        <f>F15-G15</f>
        <v/>
      </c>
      <c r="I15" s="123">
        <f>I14+H15</f>
        <v/>
      </c>
    </row>
    <row r="16" ht="15.75" customHeight="1" thickBot="1">
      <c r="A16" s="8" t="n">
        <v>46028</v>
      </c>
      <c r="B16" s="123">
        <f>_xlfn.MINIFS(Atividades!$E:$E,Atividades!$A:$A, A16)</f>
        <v/>
      </c>
      <c r="C16" s="123">
        <f>_xlfn.MAXIFS(Atividades!$F:$F, Atividades!$A:$A, A16)</f>
        <v/>
      </c>
      <c r="D16" s="124">
        <f>IF(C16-B16&gt;TIME(6,0,0), (C16-B16)-TIME(1,0,0), C16-B16)</f>
        <v/>
      </c>
      <c r="E16" s="123">
        <f>IF(OR(D16&lt;=0, B16="", C16=""), 0, TIME(6,0,0))</f>
        <v/>
      </c>
      <c r="F16" s="123">
        <f>D16-E16</f>
        <v/>
      </c>
      <c r="G16" s="123" t="n">
        <v>0</v>
      </c>
      <c r="H16" s="123">
        <f>F16-G16</f>
        <v/>
      </c>
      <c r="I16" s="123">
        <f>I15+H16</f>
        <v/>
      </c>
    </row>
    <row r="17" ht="15.75" customHeight="1" thickBot="1">
      <c r="A17" s="8" t="n">
        <v>46029</v>
      </c>
      <c r="B17" s="123">
        <f>_xlfn.MINIFS(Atividades!$E:$E,Atividades!$A:$A, A17)</f>
        <v/>
      </c>
      <c r="C17" s="123">
        <f>_xlfn.MAXIFS(Atividades!$F:$F, Atividades!$A:$A, A17)</f>
        <v/>
      </c>
      <c r="D17" s="124">
        <f>IF(C17-B17&gt;TIME(6,0,0), (C17-B17)-TIME(1,0,0), C17-B17)</f>
        <v/>
      </c>
      <c r="E17" s="123">
        <f>IF(OR(D17&lt;=0, B17="", C17=""), 0, TIME(6,0,0))</f>
        <v/>
      </c>
      <c r="F17" s="123">
        <f>D17-E17</f>
        <v/>
      </c>
      <c r="G17" s="123" t="n">
        <v>0</v>
      </c>
      <c r="H17" s="123">
        <f>F17-G17</f>
        <v/>
      </c>
      <c r="I17" s="123">
        <f>I16+H17</f>
        <v/>
      </c>
    </row>
    <row r="18" ht="15.75" customHeight="1" thickBot="1">
      <c r="A18" s="8" t="n">
        <v>46030</v>
      </c>
      <c r="B18" s="123">
        <f>_xlfn.MINIFS(Atividades!$E:$E,Atividades!$A:$A, A18)</f>
        <v/>
      </c>
      <c r="C18" s="123">
        <f>_xlfn.MAXIFS(Atividades!$F:$F, Atividades!$A:$A, A18)</f>
        <v/>
      </c>
      <c r="D18" s="124">
        <f>IF(C18-B18&gt;TIME(6,0,0), (C18-B18)-TIME(1,0,0), C18-B18)</f>
        <v/>
      </c>
      <c r="E18" s="123">
        <f>IF(OR(D18&lt;=0, B18="", C18=""), 0, TIME(6,0,0))</f>
        <v/>
      </c>
      <c r="F18" s="123">
        <f>D18-E18</f>
        <v/>
      </c>
      <c r="G18" s="123" t="n">
        <v>0</v>
      </c>
      <c r="H18" s="123">
        <f>F18-G18</f>
        <v/>
      </c>
      <c r="I18" s="123">
        <f>I17+H18</f>
        <v/>
      </c>
    </row>
    <row r="19" ht="15.75" customHeight="1" thickBot="1">
      <c r="A19" s="8" t="n">
        <v>46031</v>
      </c>
      <c r="B19" s="123">
        <f>_xlfn.MINIFS(Atividades!$E:$E,Atividades!$A:$A, A19)</f>
        <v/>
      </c>
      <c r="C19" s="123">
        <f>_xlfn.MAXIFS(Atividades!$F:$F, Atividades!$A:$A, A19)</f>
        <v/>
      </c>
      <c r="D19" s="124">
        <f>IF(C19-B19&gt;TIME(6,0,0), (C19-B19)-TIME(1,0,0), C19-B19)</f>
        <v/>
      </c>
      <c r="E19" s="123">
        <f>IF(OR(D19&lt;=0, B19="", C19=""), 0, TIME(6,0,0))</f>
        <v/>
      </c>
      <c r="F19" s="123">
        <f>D19-E19</f>
        <v/>
      </c>
      <c r="G19" s="123" t="n">
        <v>0</v>
      </c>
      <c r="H19" s="123">
        <f>F19-G19</f>
        <v/>
      </c>
      <c r="I19" s="123">
        <f>I18+H19</f>
        <v/>
      </c>
    </row>
    <row r="20" ht="15.75" customHeight="1" thickBot="1">
      <c r="A20" s="8" t="n">
        <v>46034</v>
      </c>
      <c r="B20" s="123">
        <f>_xlfn.MINIFS(Atividades!$E:$E,Atividades!$A:$A, A20)</f>
        <v/>
      </c>
      <c r="C20" s="123">
        <f>_xlfn.MAXIFS(Atividades!$F:$F, Atividades!$A:$A, A20)</f>
        <v/>
      </c>
      <c r="D20" s="124">
        <f>IF(C20-B20&gt;TIME(6,0,0), (C20-B20)-TIME(1,0,0), C20-B20)</f>
        <v/>
      </c>
      <c r="E20" s="123">
        <f>IF(OR(D20&lt;=0, B20="", C20=""), 0, TIME(6,0,0))</f>
        <v/>
      </c>
      <c r="F20" s="123">
        <f>D20-E20</f>
        <v/>
      </c>
      <c r="G20" s="123" t="n">
        <v>0</v>
      </c>
      <c r="H20" s="123">
        <f>F20-G20</f>
        <v/>
      </c>
      <c r="I20" s="123">
        <f>I19+H20</f>
        <v/>
      </c>
    </row>
    <row r="21" ht="15.75" customHeight="1" thickBot="1">
      <c r="A21" s="8" t="n">
        <v>46035</v>
      </c>
      <c r="B21" s="123">
        <f>_xlfn.MINIFS(Atividades!$E:$E,Atividades!$A:$A, A21)</f>
        <v/>
      </c>
      <c r="C21" s="123">
        <f>_xlfn.MAXIFS(Atividades!$F:$F, Atividades!$A:$A, A21)</f>
        <v/>
      </c>
      <c r="D21" s="124">
        <f>IF(C21-B21&gt;TIME(6,0,0), (C21-B21)-TIME(1,0,0), C21-B21)</f>
        <v/>
      </c>
      <c r="E21" s="123">
        <f>IF(OR(D21&lt;=0, B21="", C21=""), 0, TIME(6,0,0))</f>
        <v/>
      </c>
      <c r="F21" s="123">
        <f>D21-E21</f>
        <v/>
      </c>
      <c r="G21" s="123" t="n">
        <v>0</v>
      </c>
      <c r="H21" s="123">
        <f>F21-G21</f>
        <v/>
      </c>
      <c r="I21" s="123">
        <f>I20+H21</f>
        <v/>
      </c>
    </row>
    <row r="22" ht="15.75" customHeight="1" thickBot="1">
      <c r="A22" s="8" t="n">
        <v>46036</v>
      </c>
      <c r="B22" s="123">
        <f>_xlfn.MINIFS(Atividades!$E:$E,Atividades!$A:$A, A22)</f>
        <v/>
      </c>
      <c r="C22" s="123">
        <f>_xlfn.MAXIFS(Atividades!$F:$F, Atividades!$A:$A, A22)</f>
        <v/>
      </c>
      <c r="D22" s="124">
        <f>IF(C22-B22&gt;TIME(6,0,0), (C22-B22)-TIME(1,0,0), C22-B22)</f>
        <v/>
      </c>
      <c r="E22" s="123">
        <f>IF(OR(D22&lt;=0, B22="", C22=""), 0, TIME(6,0,0))</f>
        <v/>
      </c>
      <c r="F22" s="123">
        <f>D22-E22</f>
        <v/>
      </c>
      <c r="G22" s="123" t="n">
        <v>0</v>
      </c>
      <c r="H22" s="123">
        <f>F22-G22</f>
        <v/>
      </c>
      <c r="I22" s="123">
        <f>I21+H22</f>
        <v/>
      </c>
    </row>
    <row r="23" ht="15.75" customHeight="1" thickBot="1">
      <c r="A23" s="8" t="n">
        <v>46037</v>
      </c>
      <c r="B23" s="123">
        <f>_xlfn.MINIFS(Atividades!$E:$E,Atividades!$A:$A, A23)</f>
        <v/>
      </c>
      <c r="C23" s="123">
        <f>_xlfn.MAXIFS(Atividades!$F:$F, Atividades!$A:$A, A23)</f>
        <v/>
      </c>
      <c r="D23" s="124">
        <f>IF(C23-B23&gt;TIME(6,0,0), (C23-B23)-TIME(1,0,0), C23-B23)</f>
        <v/>
      </c>
      <c r="E23" s="123">
        <f>IF(OR(D23&lt;=0, B23="", C23=""), 0, TIME(6,0,0))</f>
        <v/>
      </c>
      <c r="F23" s="123">
        <f>D23-E23</f>
        <v/>
      </c>
      <c r="G23" s="123" t="n">
        <v>0</v>
      </c>
      <c r="H23" s="123">
        <f>F23-G23</f>
        <v/>
      </c>
      <c r="I23" s="123">
        <f>I22+H23</f>
        <v/>
      </c>
    </row>
    <row r="24" ht="15.75" customHeight="1" thickBot="1">
      <c r="A24" s="8" t="n">
        <v>46038</v>
      </c>
      <c r="B24" s="123">
        <f>_xlfn.MINIFS(Atividades!$E:$E,Atividades!$A:$A, A24)</f>
        <v/>
      </c>
      <c r="C24" s="123">
        <f>_xlfn.MAXIFS(Atividades!$F:$F, Atividades!$A:$A, A24)</f>
        <v/>
      </c>
      <c r="D24" s="124">
        <f>IF(C24-B24&gt;TIME(6,0,0), (C24-B24)-TIME(1,0,0), C24-B24)</f>
        <v/>
      </c>
      <c r="E24" s="123">
        <f>IF(OR(D24&lt;=0, B24="", C24=""), 0, TIME(6,0,0))</f>
        <v/>
      </c>
      <c r="F24" s="123">
        <f>D24-E24</f>
        <v/>
      </c>
      <c r="G24" s="123" t="n">
        <v>0</v>
      </c>
      <c r="H24" s="123">
        <f>F24-G24</f>
        <v/>
      </c>
      <c r="I24" s="123">
        <f>I23+H24</f>
        <v/>
      </c>
    </row>
    <row r="25" ht="15.75" customHeight="1" thickBot="1">
      <c r="A25" s="8" t="n">
        <v>46041</v>
      </c>
      <c r="B25" s="123">
        <f>_xlfn.MINIFS(Atividades!$E:$E,Atividades!$A:$A, A25)</f>
        <v/>
      </c>
      <c r="C25" s="123">
        <f>_xlfn.MAXIFS(Atividades!$F:$F, Atividades!$A:$A, A25)</f>
        <v/>
      </c>
      <c r="D25" s="124">
        <f>IF(C25-B25&gt;TIME(6,0,0), (C25-B25)-TIME(1,0,0), C25-B25)</f>
        <v/>
      </c>
      <c r="E25" s="123">
        <f>IF(OR(D25&lt;=0, B25="", C25=""), 0, TIME(6,0,0))</f>
        <v/>
      </c>
      <c r="F25" s="123">
        <f>D25-E25</f>
        <v/>
      </c>
      <c r="G25" s="123" t="n">
        <v>0</v>
      </c>
      <c r="H25" s="123">
        <f>F25-G25</f>
        <v/>
      </c>
      <c r="I25" s="123">
        <f>I24+H25</f>
        <v/>
      </c>
    </row>
    <row r="26" ht="15.75" customHeight="1" thickBot="1">
      <c r="A26" s="8" t="n">
        <v>46043</v>
      </c>
      <c r="B26" s="123">
        <f>_xlfn.MINIFS(Atividades!$E:$E,Atividades!$A:$A, A26)</f>
        <v/>
      </c>
      <c r="C26" s="123">
        <f>_xlfn.MAXIFS(Atividades!$F:$F, Atividades!$A:$A, A26)</f>
        <v/>
      </c>
      <c r="D26" s="124">
        <f>IF(C26-B26&gt;TIME(6,0,0), (C26-B26)-TIME(1,0,0), C26-B26)</f>
        <v/>
      </c>
      <c r="E26" s="123">
        <f>IF(OR(D26&lt;=0, B26="", C26=""), 0, TIME(6,0,0))</f>
        <v/>
      </c>
      <c r="F26" s="123">
        <f>D26-E26</f>
        <v/>
      </c>
      <c r="G26" s="123" t="n">
        <v>0</v>
      </c>
      <c r="H26" s="123">
        <f>F26-G26</f>
        <v/>
      </c>
      <c r="I26" s="123">
        <f>I25+H26</f>
        <v/>
      </c>
    </row>
    <row r="27" ht="15.75" customHeight="1" thickBot="1">
      <c r="A27" s="8" t="n">
        <v>46044</v>
      </c>
      <c r="B27" s="123">
        <f>_xlfn.MINIFS(Atividades!$E:$E,Atividades!$A:$A, A27)</f>
        <v/>
      </c>
      <c r="C27" s="123">
        <f>_xlfn.MAXIFS(Atividades!$F:$F, Atividades!$A:$A, A27)</f>
        <v/>
      </c>
      <c r="D27" s="124">
        <f>IF(C27-B27&gt;TIME(6,0,0), (C27-B27)-TIME(1,0,0), C27-B27)</f>
        <v/>
      </c>
      <c r="E27" s="123">
        <f>IF(OR(D27&lt;=0, B27="", C27=""), 0, TIME(6,0,0))</f>
        <v/>
      </c>
      <c r="F27" s="123">
        <f>D27-E27</f>
        <v/>
      </c>
      <c r="G27" s="123" t="n">
        <v>0</v>
      </c>
      <c r="H27" s="123">
        <f>F27-G27</f>
        <v/>
      </c>
      <c r="I27" s="123">
        <f>I26+H27</f>
        <v/>
      </c>
    </row>
    <row r="28" ht="15.75" customHeight="1" thickBot="1">
      <c r="A28" s="8" t="n">
        <v>46045</v>
      </c>
      <c r="B28" s="123">
        <f>_xlfn.MINIFS(Atividades!$E:$E,Atividades!$A:$A, A28)</f>
        <v/>
      </c>
      <c r="C28" s="123">
        <f>_xlfn.MAXIFS(Atividades!$F:$F, Atividades!$A:$A, A28)</f>
        <v/>
      </c>
      <c r="D28" s="124">
        <f>IF(C28-B28&gt;TIME(6,0,0), (C28-B28)-TIME(1,0,0), C28-B28)</f>
        <v/>
      </c>
      <c r="E28" s="123">
        <f>IF(OR(D28&lt;=0, B28="", C28=""), 0, TIME(6,0,0))</f>
        <v/>
      </c>
      <c r="F28" s="123" t="n">
        <v>0</v>
      </c>
      <c r="G28" s="123" t="n">
        <v>0.08333333333333333</v>
      </c>
      <c r="H28" s="123">
        <f>F28-G28</f>
        <v/>
      </c>
      <c r="I28" s="123">
        <f>I27+H28</f>
        <v/>
      </c>
    </row>
    <row r="29" ht="15.75" customHeight="1" thickBot="1">
      <c r="A29" s="8" t="n">
        <v>46048</v>
      </c>
      <c r="B29" s="123">
        <f>_xlfn.MINIFS(Atividades!$E:$E,Atividades!$A:$A, A29)</f>
        <v/>
      </c>
      <c r="C29" s="123">
        <f>_xlfn.MAXIFS(Atividades!$F:$F, Atividades!$A:$A, A29)</f>
        <v/>
      </c>
      <c r="D29" s="124">
        <f>IF(C29-B29&gt;TIME(6,0,0), (C29-B29)-TIME(1,0,0), C29-B29)</f>
        <v/>
      </c>
      <c r="E29" s="123">
        <f>IF(OR(D29&lt;=0, B29="", C29=""), 0, TIME(6,0,0))</f>
        <v/>
      </c>
      <c r="F29" s="123">
        <f>D29-E29</f>
        <v/>
      </c>
      <c r="G29" s="123" t="n">
        <v>0</v>
      </c>
      <c r="H29" s="123">
        <f>F29-G29</f>
        <v/>
      </c>
      <c r="I29" s="123">
        <f>I28+H29</f>
        <v/>
      </c>
    </row>
    <row r="30" ht="15.75" customHeight="1" thickBot="1">
      <c r="A30" s="8" t="n">
        <v>46049</v>
      </c>
      <c r="B30" s="123">
        <f>_xlfn.MINIFS(Atividades!$E:$E,Atividades!$A:$A, A30)</f>
        <v/>
      </c>
      <c r="C30" s="123">
        <f>_xlfn.MAXIFS(Atividades!$F:$F, Atividades!$A:$A, A30)</f>
        <v/>
      </c>
      <c r="D30" s="124">
        <f>IF(C30-B30&gt;TIME(6,0,0), (C30-B30)-TIME(1,0,0), C30-B30)</f>
        <v/>
      </c>
      <c r="E30" s="123">
        <f>IF(OR(D30&lt;=0, B30="", C30=""), 0, TIME(6,0,0))</f>
        <v/>
      </c>
      <c r="F30" s="123">
        <f>D30-E30</f>
        <v/>
      </c>
      <c r="G30" s="123" t="n">
        <v>0</v>
      </c>
      <c r="H30" s="123">
        <f>F30-G30</f>
        <v/>
      </c>
      <c r="I30" s="123">
        <f>I29+H30</f>
        <v/>
      </c>
    </row>
    <row r="31" ht="15.75" customHeight="1" thickBot="1">
      <c r="A31" s="8" t="n">
        <v>46050</v>
      </c>
      <c r="B31" s="123">
        <f>_xlfn.MINIFS(Atividades!$E:$E,Atividades!$A:$A, A31)</f>
        <v/>
      </c>
      <c r="C31" s="123">
        <f>_xlfn.MAXIFS(Atividades!$F:$F, Atividades!$A:$A, A31)</f>
        <v/>
      </c>
      <c r="D31" s="124">
        <f>IF(C31-B31&gt;TIME(6,0,0), (C31-B31)-TIME(1,0,0), C31-B31)</f>
        <v/>
      </c>
      <c r="E31" s="123">
        <f>IF(OR(D31&lt;=0, B31="", C31=""), 0, TIME(6,0,0))</f>
        <v/>
      </c>
      <c r="F31" s="123">
        <f>D31-E31</f>
        <v/>
      </c>
      <c r="G31" s="123" t="n">
        <v>0</v>
      </c>
      <c r="H31" s="123">
        <f>F31-G31</f>
        <v/>
      </c>
      <c r="I31" s="123">
        <f>I30+H31</f>
        <v/>
      </c>
    </row>
    <row r="32" ht="15.75" customHeight="1" thickBot="1">
      <c r="A32" s="8" t="n">
        <v>46051</v>
      </c>
      <c r="B32" s="123">
        <f>_xlfn.MINIFS(Atividades!$E:$E,Atividades!$A:$A, A32)</f>
        <v/>
      </c>
      <c r="C32" s="123">
        <f>_xlfn.MAXIFS(Atividades!$F:$F, Atividades!$A:$A, A32)</f>
        <v/>
      </c>
      <c r="D32" s="124">
        <f>IF(C32-B32&gt;TIME(6,0,0), (C32-B32)-TIME(1,0,0), C32-B32)</f>
        <v/>
      </c>
      <c r="E32" s="123">
        <f>IF(OR(D32&lt;=0, B32="", C32=""), 0, TIME(6,0,0))</f>
        <v/>
      </c>
      <c r="F32" s="123">
        <f>D32-E32</f>
        <v/>
      </c>
      <c r="G32" s="123" t="n">
        <v>0</v>
      </c>
      <c r="H32" s="123">
        <f>F32-G32</f>
        <v/>
      </c>
      <c r="I32" s="123">
        <f>I31+H32</f>
        <v/>
      </c>
    </row>
    <row r="33" ht="15.75" customHeight="1" thickBot="1">
      <c r="A33" s="8" t="n">
        <v>46052</v>
      </c>
      <c r="B33" s="123">
        <f>_xlfn.MINIFS(Atividades!$E:$E,Atividades!$A:$A, A33)</f>
        <v/>
      </c>
      <c r="C33" s="123">
        <f>_xlfn.MAXIFS(Atividades!$F:$F, Atividades!$A:$A, A33)</f>
        <v/>
      </c>
      <c r="D33" s="124">
        <f>IF(C33-B33&gt;TIME(6,0,0), (C33-B33)-TIME(1,0,0), C33-B33)</f>
        <v/>
      </c>
      <c r="E33" s="123">
        <f>IF(OR(D33&lt;=0, B33="", C33=""), 0, TIME(6,0,0))</f>
        <v/>
      </c>
      <c r="F33" s="123">
        <f>D33-E33</f>
        <v/>
      </c>
      <c r="G33" s="123" t="n">
        <v>0</v>
      </c>
      <c r="H33" s="123">
        <f>F33-G33</f>
        <v/>
      </c>
      <c r="I33" s="123">
        <f>I32+H33</f>
        <v/>
      </c>
    </row>
    <row r="34" ht="15.75" customHeight="1" thickBot="1">
      <c r="A34" s="8" t="n">
        <v>46055</v>
      </c>
      <c r="B34" s="123">
        <f>_xlfn.MINIFS(Atividades!$E:$E,Atividades!$A:$A, A34)</f>
        <v/>
      </c>
      <c r="C34" s="123">
        <f>_xlfn.MAXIFS(Atividades!$F:$F, Atividades!$A:$A, A34)</f>
        <v/>
      </c>
      <c r="D34" s="124">
        <f>IF(C34-B34&gt;TIME(6,0,0), (C34-B34)-TIME(1,0,0), C34-B34)</f>
        <v/>
      </c>
      <c r="E34" s="123">
        <f>IF(OR(D34&lt;=0, B34="", C34=""), 0, TIME(6,0,0))</f>
        <v/>
      </c>
      <c r="F34" s="123">
        <f>D34-E34</f>
        <v/>
      </c>
      <c r="G34" s="123" t="n">
        <v>0</v>
      </c>
      <c r="H34" s="123">
        <f>F34-G34</f>
        <v/>
      </c>
      <c r="I34" s="123">
        <f>I33+H34</f>
        <v/>
      </c>
    </row>
    <row r="35" ht="15.75" customHeight="1" thickBot="1">
      <c r="A35" s="8" t="n">
        <v>46056</v>
      </c>
      <c r="B35" s="123">
        <f>_xlfn.MINIFS(Atividades!$E:$E,Atividades!$A:$A, A35)</f>
        <v/>
      </c>
      <c r="C35" s="123">
        <f>_xlfn.MAXIFS(Atividades!$F:$F, Atividades!$A:$A, A35)</f>
        <v/>
      </c>
      <c r="D35" s="124">
        <f>IF(C35-B35&gt;TIME(6,0,0), (C35-B35)-TIME(1,0,0), C35-B35)</f>
        <v/>
      </c>
      <c r="E35" s="123">
        <f>IF(OR(D35&lt;=0, B35="", C35=""), 0, TIME(6,0,0))</f>
        <v/>
      </c>
      <c r="F35" s="123">
        <f>D35-E35</f>
        <v/>
      </c>
      <c r="G35" s="123" t="n">
        <v>0</v>
      </c>
      <c r="H35" s="123">
        <f>F35-G35</f>
        <v/>
      </c>
      <c r="I35" s="123">
        <f>I34+H35</f>
        <v/>
      </c>
    </row>
    <row r="36" ht="15.75" customHeight="1" thickBot="1">
      <c r="A36" s="8" t="n">
        <v>46057</v>
      </c>
      <c r="B36" s="123">
        <f>_xlfn.MINIFS(Atividades!$E:$E,Atividades!$A:$A, A36)</f>
        <v/>
      </c>
      <c r="C36" s="123">
        <f>_xlfn.MAXIFS(Atividades!$F:$F, Atividades!$A:$A, A36)</f>
        <v/>
      </c>
      <c r="D36" s="124">
        <f>IF(C36-B36&gt;TIME(6,0,0), (C36-B36)-TIME(1,0,0), C36-B36)</f>
        <v/>
      </c>
      <c r="E36" s="123">
        <f>IF(OR(D36&lt;=0, B36="", C36=""), 0, TIME(6,0,0))</f>
        <v/>
      </c>
      <c r="F36" s="123">
        <f>D36-E36</f>
        <v/>
      </c>
      <c r="G36" s="123" t="n">
        <v>0</v>
      </c>
      <c r="H36" s="123">
        <f>F36-G36</f>
        <v/>
      </c>
      <c r="I36" s="123">
        <f>I35+H36</f>
        <v/>
      </c>
    </row>
    <row r="37" ht="15.75" customHeight="1" thickBot="1">
      <c r="A37" s="8" t="n">
        <v>46058</v>
      </c>
      <c r="B37" s="123">
        <f>_xlfn.MINIFS(Atividades!$E:$E,Atividades!$A:$A, A37)</f>
        <v/>
      </c>
      <c r="C37" s="123">
        <f>_xlfn.MAXIFS(Atividades!$F:$F, Atividades!$A:$A, A37)</f>
        <v/>
      </c>
      <c r="D37" s="124">
        <f>IF(C37-B37&gt;TIME(6,0,0), (C37-B37)-TIME(1,0,0), C37-B37)</f>
        <v/>
      </c>
      <c r="E37" s="123">
        <f>IF(OR(D37&lt;=0, B37="", C37=""), 0, TIME(6,0,0))</f>
        <v/>
      </c>
      <c r="F37" s="123">
        <f>D37-E37</f>
        <v/>
      </c>
      <c r="G37" s="123" t="n">
        <v>0</v>
      </c>
      <c r="H37" s="123">
        <f>F37-G37</f>
        <v/>
      </c>
      <c r="I37" s="123">
        <f>I36+H37</f>
        <v/>
      </c>
    </row>
    <row r="38" ht="15.75" customHeight="1" thickBot="1">
      <c r="A38" s="8" t="n">
        <v>46059</v>
      </c>
      <c r="B38" s="123">
        <f>_xlfn.MINIFS(Atividades!$E:$E,Atividades!$A:$A, A38)</f>
        <v/>
      </c>
      <c r="C38" s="123">
        <f>_xlfn.MAXIFS(Atividades!$F:$F, Atividades!$A:$A, A38)</f>
        <v/>
      </c>
      <c r="D38" s="124">
        <f>IF(C38-B38&gt;TIME(6,0,0), (C38-B38)-TIME(1,0,0), C38-B38)</f>
        <v/>
      </c>
      <c r="E38" s="123">
        <f>IF(OR(D38&lt;=0, B38="", C38=""), 0, TIME(6,0,0))</f>
        <v/>
      </c>
      <c r="F38" s="123" t="n">
        <v>0</v>
      </c>
      <c r="G38" s="123" t="n">
        <v>0.08333333333333333</v>
      </c>
      <c r="H38" s="123">
        <f>F38-G38</f>
        <v/>
      </c>
      <c r="I38" s="123">
        <f>I37+H38</f>
        <v/>
      </c>
    </row>
    <row r="39" ht="15.75" customHeight="1" thickBot="1">
      <c r="A39" s="8" t="n">
        <v>46064</v>
      </c>
      <c r="B39" s="123">
        <f>_xlfn.MINIFS(Atividades!$E:$E,Atividades!$A:$A, A39)</f>
        <v/>
      </c>
      <c r="C39" s="123">
        <f>_xlfn.MAXIFS(Atividades!$F:$F, Atividades!$A:$A, A39)</f>
        <v/>
      </c>
      <c r="D39" s="124">
        <f>IF(C39-B39&gt;TIME(6,0,0), (C39-B39)-TIME(1,0,0), C39-B39)</f>
        <v/>
      </c>
      <c r="E39" s="123">
        <f>IF(OR(D39&lt;=0, B39="", C39=""), 0, TIME(6,0,0))</f>
        <v/>
      </c>
      <c r="F39" s="123">
        <f>D39-E39</f>
        <v/>
      </c>
      <c r="G39" s="123" t="n">
        <v>0</v>
      </c>
      <c r="H39" s="123">
        <f>F39-G39</f>
        <v/>
      </c>
      <c r="I39" s="123">
        <f>I38+H39</f>
        <v/>
      </c>
    </row>
    <row r="40" ht="15.75" customHeight="1" thickBot="1">
      <c r="A40" s="8" t="n">
        <v>46065</v>
      </c>
      <c r="B40" s="123">
        <f>_xlfn.MINIFS(Atividades!$E:$E,Atividades!$A:$A, A40)</f>
        <v/>
      </c>
      <c r="C40" s="123">
        <f>_xlfn.MAXIFS(Atividades!$F:$F, Atividades!$A:$A, A40)</f>
        <v/>
      </c>
      <c r="D40" s="124">
        <f>IF(C40-B40&gt;TIME(6,0,0), (C40-B40)-TIME(1,0,0), C40-B40)</f>
        <v/>
      </c>
      <c r="E40" s="123">
        <f>IF(OR(D40&lt;=0, B40="", C40=""), 0, TIME(6,0,0))</f>
        <v/>
      </c>
      <c r="F40" s="123">
        <f>D40-E40</f>
        <v/>
      </c>
      <c r="G40" s="123" t="n">
        <v>0</v>
      </c>
      <c r="H40" s="123">
        <f>F40-G40</f>
        <v/>
      </c>
      <c r="I40" s="123">
        <f>I39+H40</f>
        <v/>
      </c>
    </row>
    <row r="41" ht="15.75" customHeight="1" thickBot="1">
      <c r="A41" s="8" t="n">
        <v>46066</v>
      </c>
      <c r="B41" s="123">
        <f>_xlfn.MINIFS(Atividades!$E:$E,Atividades!$A:$A, A41)</f>
        <v/>
      </c>
      <c r="C41" s="123">
        <f>_xlfn.MAXIFS(Atividades!$F:$F, Atividades!$A:$A, A41)</f>
        <v/>
      </c>
      <c r="D41" s="124">
        <f>IF(C41-B41&gt;TIME(6,0,0), (C41-B41)-TIME(1,0,0), C41-B41)</f>
        <v/>
      </c>
      <c r="E41" s="123">
        <f>IF(OR(D41&lt;=0, B41="", C41=""), 0, TIME(6,0,0))</f>
        <v/>
      </c>
      <c r="F41" s="123">
        <f>D41-E41</f>
        <v/>
      </c>
      <c r="G41" s="123" t="n">
        <v>0</v>
      </c>
      <c r="H41" s="123">
        <f>F41-G41</f>
        <v/>
      </c>
      <c r="I41" s="123">
        <f>I40+H41</f>
        <v/>
      </c>
    </row>
    <row r="42" ht="15.75" customHeight="1" thickBot="1">
      <c r="A42" s="8" t="n">
        <v>46071</v>
      </c>
      <c r="B42" s="123">
        <f>_xlfn.MINIFS(Atividades!$E:$E,Atividades!$A:$A, A42)</f>
        <v/>
      </c>
      <c r="C42" s="123">
        <f>_xlfn.MAXIFS(Atividades!$F:$F, Atividades!$A:$A, A42)</f>
        <v/>
      </c>
      <c r="D42" s="124">
        <f>IF(C42-B42&gt;TIME(6,0,0), (C42-B42)-TIME(1,0,0), C42-B42)</f>
        <v/>
      </c>
      <c r="E42" s="123">
        <f>IF(OR(D42&lt;=0, B42="", C42=""), 0, TIME(6,0,0))</f>
        <v/>
      </c>
      <c r="F42" s="123">
        <f>D42-E42</f>
        <v/>
      </c>
      <c r="G42" s="123" t="n">
        <v>0</v>
      </c>
      <c r="H42" s="123">
        <f>F42-G42</f>
        <v/>
      </c>
      <c r="I42" s="123">
        <f>I41+H42</f>
        <v/>
      </c>
    </row>
    <row r="43" ht="15.75" customHeight="1" thickBot="1">
      <c r="A43" s="8" t="n">
        <v>46072</v>
      </c>
      <c r="B43" s="123">
        <f>_xlfn.MINIFS(Atividades!$E:$E,Atividades!$A:$A, A43)</f>
        <v/>
      </c>
      <c r="C43" s="123">
        <f>_xlfn.MAXIFS(Atividades!$F:$F, Atividades!$A:$A, A43)</f>
        <v/>
      </c>
      <c r="D43" s="124">
        <f>IF(C43-B43&gt;TIME(6,0,0), (C43-B43)-TIME(1,0,0), C43-B43)</f>
        <v/>
      </c>
      <c r="E43" s="123">
        <f>IF(OR(D43&lt;=0, B43="", C43=""), 0, TIME(6,0,0))</f>
        <v/>
      </c>
      <c r="F43" s="123">
        <f>D43-E43</f>
        <v/>
      </c>
      <c r="G43" s="123" t="n">
        <v>0</v>
      </c>
      <c r="H43" s="123">
        <f>F43-G43</f>
        <v/>
      </c>
      <c r="I43" s="123">
        <f>I42+H43</f>
        <v/>
      </c>
    </row>
    <row r="44" ht="15.75" customHeight="1" thickBot="1">
      <c r="A44" s="8" t="n">
        <v>46073</v>
      </c>
      <c r="B44" s="123">
        <f>_xlfn.MINIFS(Atividades!$E:$E,Atividades!$A:$A, A44)</f>
        <v/>
      </c>
      <c r="C44" s="123">
        <f>_xlfn.MAXIFS(Atividades!$F:$F, Atividades!$A:$A, A44)</f>
        <v/>
      </c>
      <c r="D44" s="124">
        <f>IF(C44-B44&gt;TIME(6,0,0), (C44-B44)-TIME(1,0,0), C44-B44)</f>
        <v/>
      </c>
      <c r="E44" s="123">
        <f>IF(OR(D44&lt;=0, B44="", C44=""), 0, TIME(6,0,0))</f>
        <v/>
      </c>
      <c r="F44" s="123">
        <f>D44-E44</f>
        <v/>
      </c>
      <c r="G44" s="123" t="n">
        <v>0</v>
      </c>
      <c r="H44" s="123">
        <f>F44-G44</f>
        <v/>
      </c>
      <c r="I44" s="123">
        <f>I43+H44</f>
        <v/>
      </c>
    </row>
    <row r="45" ht="15.75" customHeight="1" thickBot="1">
      <c r="A45" s="8" t="n">
        <v>46076</v>
      </c>
      <c r="B45" s="123">
        <f>_xlfn.MINIFS(Atividades!$E:$E,Atividades!$A:$A, A45)</f>
        <v/>
      </c>
      <c r="C45" s="123">
        <f>_xlfn.MAXIFS(Atividades!$F:$F, Atividades!$A:$A, A45)</f>
        <v/>
      </c>
      <c r="D45" s="124">
        <f>IF(C45-B45&gt;TIME(6,0,0), (C45-B45)-TIME(1,0,0), C45-B45)</f>
        <v/>
      </c>
      <c r="E45" s="123">
        <f>IF(OR(D45&lt;=0, B45="", C45=""), 0, TIME(6,0,0))</f>
        <v/>
      </c>
      <c r="F45" s="123">
        <f>D45-E45</f>
        <v/>
      </c>
      <c r="G45" s="123" t="n">
        <v>0</v>
      </c>
      <c r="H45" s="123">
        <f>F45-G45</f>
        <v/>
      </c>
      <c r="I45" s="123">
        <f>I44+H45</f>
        <v/>
      </c>
    </row>
    <row r="46" ht="15.75" customHeight="1" thickBot="1">
      <c r="A46" s="8" t="n">
        <v>46077</v>
      </c>
      <c r="B46" s="123">
        <f>_xlfn.MINIFS(Atividades!$E:$E,Atividades!$A:$A, A46)</f>
        <v/>
      </c>
      <c r="C46" s="123">
        <f>_xlfn.MAXIFS(Atividades!$F:$F, Atividades!$A:$A, A46)</f>
        <v/>
      </c>
      <c r="D46" s="124">
        <f>IF(C46-B46&gt;TIME(6,0,0), (C46-B46)-TIME(1,0,0), C46-B46)</f>
        <v/>
      </c>
      <c r="E46" s="123">
        <f>IF(OR(D46&lt;=0, B46="", C46=""), 0, TIME(6,0,0))</f>
        <v/>
      </c>
      <c r="F46" s="123">
        <f>D46-E46</f>
        <v/>
      </c>
      <c r="G46" s="123" t="n">
        <v>0</v>
      </c>
      <c r="H46" s="123">
        <f>F46-G46</f>
        <v/>
      </c>
      <c r="I46" s="123">
        <f>I45+H46</f>
        <v/>
      </c>
    </row>
    <row r="47" ht="15.75" customHeight="1" thickBot="1">
      <c r="A47" s="8" t="n">
        <v>46078</v>
      </c>
      <c r="B47" s="123">
        <f>_xlfn.MINIFS(Atividades!$E:$E,Atividades!$A:$A, A47)</f>
        <v/>
      </c>
      <c r="C47" s="123">
        <f>_xlfn.MAXIFS(Atividades!$F:$F, Atividades!$A:$A, A47)</f>
        <v/>
      </c>
      <c r="D47" s="124">
        <f>IF(C47-B47&gt;TIME(6,0,0), (C47-B47)-TIME(1,0,0), C47-B47)</f>
        <v/>
      </c>
      <c r="E47" s="123">
        <f>IF(OR(D47&lt;=0, B47="", C47=""), 0, TIME(6,0,0))</f>
        <v/>
      </c>
      <c r="F47" s="123">
        <f>D47-E47</f>
        <v/>
      </c>
      <c r="G47" s="123" t="n">
        <v>0</v>
      </c>
      <c r="H47" s="123">
        <f>F47-G47</f>
        <v/>
      </c>
      <c r="I47" s="123">
        <f>I46+H47</f>
        <v/>
      </c>
    </row>
    <row r="48" ht="15.75" customHeight="1" thickBot="1">
      <c r="A48" s="8" t="n">
        <v>46079</v>
      </c>
      <c r="B48" s="123">
        <f>_xlfn.MINIFS(Atividades!$E:$E,Atividades!$A:$A, A48)</f>
        <v/>
      </c>
      <c r="C48" s="123">
        <f>_xlfn.MAXIFS(Atividades!$F:$F, Atividades!$A:$A, A48)</f>
        <v/>
      </c>
      <c r="D48" s="124">
        <f>IF(C48-B48&gt;TIME(6,0,0), (C48-B48)-TIME(1,0,0), C48-B48)</f>
        <v/>
      </c>
      <c r="E48" s="123">
        <f>IF(OR(D48&lt;=0, B48="", C48=""), 0, TIME(6,0,0))</f>
        <v/>
      </c>
      <c r="F48" s="123">
        <f>D48-E48</f>
        <v/>
      </c>
      <c r="G48" s="123" t="n">
        <v>0</v>
      </c>
      <c r="H48" s="123">
        <f>F48-G48</f>
        <v/>
      </c>
      <c r="I48" s="123">
        <f>I47+H48</f>
        <v/>
      </c>
    </row>
    <row r="49" ht="15.75" customHeight="1" thickBot="1">
      <c r="A49" s="8" t="n">
        <v>46080</v>
      </c>
      <c r="B49" s="123">
        <f>_xlfn.MINIFS(Atividades!$E:$E,Atividades!$A:$A, A49)</f>
        <v/>
      </c>
      <c r="C49" s="123">
        <f>_xlfn.MAXIFS(Atividades!$F:$F, Atividades!$A:$A, A49)</f>
        <v/>
      </c>
      <c r="D49" s="124">
        <f>IF(C49-B49&gt;TIME(6,0,0), (C49-B49)-TIME(1,0,0), C49-B49)</f>
        <v/>
      </c>
      <c r="E49" s="123">
        <f>IF(OR(D49&lt;=0, B49="", C49=""), 0, TIME(6,0,0))</f>
        <v/>
      </c>
      <c r="F49" s="123">
        <f>D49-E49</f>
        <v/>
      </c>
      <c r="G49" s="123" t="n">
        <v>0</v>
      </c>
      <c r="H49" s="123">
        <f>F49-G49</f>
        <v/>
      </c>
      <c r="I49" s="123">
        <f>I48+H49</f>
        <v/>
      </c>
    </row>
    <row r="50" ht="15.75" customHeight="1" thickBot="1">
      <c r="A50" s="8" t="n">
        <v>46083</v>
      </c>
      <c r="B50" s="123">
        <f>_xlfn.MINIFS(Atividades!$E:$E,Atividades!$A:$A, A50)</f>
        <v/>
      </c>
      <c r="C50" s="123" t="n">
        <v>0.6291666666666667</v>
      </c>
      <c r="D50" s="124">
        <f>IF(C50-B50&gt;TIME(6,0,0), (C50-B50)-TIME(1,0,0), C50-B50)</f>
        <v/>
      </c>
      <c r="E50" s="123">
        <f>IF(OR(D50&lt;=0, B50="", C50=""), 0, TIME(6,0,0))</f>
        <v/>
      </c>
      <c r="F50" s="123">
        <f>D50-E50</f>
        <v/>
      </c>
      <c r="G50" s="123" t="n">
        <v>0</v>
      </c>
      <c r="H50" s="123">
        <f>F50-G50</f>
        <v/>
      </c>
      <c r="I50" s="123">
        <f>I49+H50</f>
        <v/>
      </c>
    </row>
    <row r="51" ht="15.75" customHeight="1" thickBot="1">
      <c r="A51" s="8" t="n">
        <v>46084</v>
      </c>
      <c r="B51" s="123">
        <f>_xlfn.MINIFS(Atividades!$E:$E,Atividades!$A:$A, A51)</f>
        <v/>
      </c>
      <c r="C51" s="123">
        <f>_xlfn.MAXIFS(Atividades!$F:$F, Atividades!$A:$A, A51)</f>
        <v/>
      </c>
      <c r="D51" s="124">
        <f>IF(C51-B51&gt;TIME(6,0,0), (C51-B51)-TIME(1,0,0), C51-B51)</f>
        <v/>
      </c>
      <c r="E51" s="123">
        <f>IF(OR(D51&lt;=0, B51="", C51=""), 0, TIME(6,0,0))</f>
        <v/>
      </c>
      <c r="F51" s="123">
        <f>D51-E51</f>
        <v/>
      </c>
      <c r="G51" s="123" t="n">
        <v>0</v>
      </c>
      <c r="H51" s="123">
        <f>F51-G51</f>
        <v/>
      </c>
      <c r="I51" s="123">
        <f>I50+H51</f>
        <v/>
      </c>
    </row>
    <row r="52" ht="15.75" customHeight="1" thickBot="1">
      <c r="A52" s="8" t="n">
        <v>46085</v>
      </c>
      <c r="B52" s="123">
        <f>_xlfn.MINIFS(Atividades!$E:$E,Atividades!$A:$A, A52)</f>
        <v/>
      </c>
      <c r="C52" s="123">
        <f>_xlfn.MAXIFS(Atividades!$F:$F, Atividades!$A:$A, A52)</f>
        <v/>
      </c>
      <c r="D52" s="124">
        <f>IF(C52-B52&gt;TIME(6,0,0), (C52-B52)-TIME(1,0,0), C52-B52)</f>
        <v/>
      </c>
      <c r="E52" s="123">
        <f>IF(OR(D52&lt;=0, B52="", C52=""), 0, TIME(6,0,0))</f>
        <v/>
      </c>
      <c r="F52" s="123">
        <f>D52-E52</f>
        <v/>
      </c>
      <c r="G52" s="123" t="n">
        <v>0</v>
      </c>
      <c r="H52" s="123">
        <f>F52-G52</f>
        <v/>
      </c>
      <c r="I52" s="123">
        <f>I51+H52</f>
        <v/>
      </c>
    </row>
    <row r="53" ht="15.75" customHeight="1" thickBot="1">
      <c r="A53" s="8" t="n">
        <v>46086</v>
      </c>
      <c r="B53" s="123">
        <f>_xlfn.MINIFS(Atividades!$E:$E,Atividades!$A:$A, A53)</f>
        <v/>
      </c>
      <c r="C53" s="123">
        <f>_xlfn.MAXIFS(Atividades!$F:$F, Atividades!$A:$A, A53)</f>
        <v/>
      </c>
      <c r="D53" s="124">
        <f>IF(C53-B53&gt;TIME(6,0,0), (C53-B53)-TIME(1,0,0), C53-B53)</f>
        <v/>
      </c>
      <c r="E53" s="123">
        <f>IF(OR(D53&lt;=0, B53="", C53=""), 0, TIME(6,0,0))</f>
        <v/>
      </c>
      <c r="F53" s="123">
        <f>D53-E53</f>
        <v/>
      </c>
      <c r="G53" s="123" t="n">
        <v>0</v>
      </c>
      <c r="H53" s="123">
        <f>F53-G53</f>
        <v/>
      </c>
      <c r="I53" s="123">
        <f>I52+H53</f>
        <v/>
      </c>
    </row>
    <row r="54" ht="15.75" customHeight="1" thickBot="1">
      <c r="A54" s="8" t="n">
        <v>46087</v>
      </c>
      <c r="B54" s="123">
        <f>_xlfn.MINIFS(Atividades!$E:$E,Atividades!$A:$A, A54)</f>
        <v/>
      </c>
      <c r="C54" s="123" t="n">
        <v>0.6305555555555555</v>
      </c>
      <c r="D54" s="124">
        <f>IF(C54-B54&gt;TIME(6,0,0), (C54-B54)-TIME(1,0,0), C54-B54)</f>
        <v/>
      </c>
      <c r="E54" s="123">
        <f>IF(OR(D54&lt;=0, B54="", C54=""), 0, TIME(6,0,0))</f>
        <v/>
      </c>
      <c r="F54" s="123">
        <f>D54-E54</f>
        <v/>
      </c>
      <c r="G54" s="123" t="n">
        <v>0</v>
      </c>
      <c r="H54" s="123">
        <f>F54-G54</f>
        <v/>
      </c>
      <c r="I54" s="123">
        <f>I53+H54</f>
        <v/>
      </c>
    </row>
    <row r="55" ht="15.75" customHeight="1" thickBot="1">
      <c r="A55" s="8" t="n">
        <v>46090</v>
      </c>
      <c r="B55" s="123">
        <f>_xlfn.MINIFS(Atividades!$E:$E,Atividades!$A:$A, A55)</f>
        <v/>
      </c>
      <c r="C55" s="123">
        <f>_xlfn.MAXIFS(Atividades!$F:$F, Atividades!$A:$A, A55)</f>
        <v/>
      </c>
      <c r="D55" s="124">
        <f>IF(C55-B55&gt;TIME(6,0,0), (C55-B55)-TIME(1,0,0), C55-B55)</f>
        <v/>
      </c>
      <c r="E55" s="123">
        <f>IF(OR(D55&lt;=0, B55="", C55=""), 0, TIME(6,0,0))</f>
        <v/>
      </c>
      <c r="F55" s="123">
        <f>D55-E55</f>
        <v/>
      </c>
      <c r="G55" s="123" t="n">
        <v>0</v>
      </c>
      <c r="H55" s="123">
        <f>F55-G55</f>
        <v/>
      </c>
      <c r="I55" s="123">
        <f>I54+H55</f>
        <v/>
      </c>
    </row>
    <row r="56" ht="15.75" customHeight="1" thickBot="1">
      <c r="A56" s="8" t="n">
        <v>46091</v>
      </c>
      <c r="B56" s="123">
        <f>_xlfn.MINIFS(Atividades!$E:$E,Atividades!$A:$A, A56)</f>
        <v/>
      </c>
      <c r="C56" s="123">
        <f>_xlfn.MAXIFS(Atividades!$F:$F, Atividades!$A:$A, A56)</f>
        <v/>
      </c>
      <c r="D56" s="124">
        <f>IF(C56-B56&gt;TIME(6,0,0), (C56-B56)-TIME(1,0,0), C56-B56)</f>
        <v/>
      </c>
      <c r="E56" s="123">
        <f>IF(OR(D56&lt;=0, B56="", C56=""), 0, TIME(6,0,0))</f>
        <v/>
      </c>
      <c r="F56" s="123">
        <f>D56-E56</f>
        <v/>
      </c>
      <c r="G56" s="123" t="n">
        <v>0</v>
      </c>
      <c r="H56" s="123">
        <f>F56-G56</f>
        <v/>
      </c>
      <c r="I56" s="123">
        <f>I55+H56</f>
        <v/>
      </c>
    </row>
    <row r="57" ht="15.75" customHeight="1" thickBot="1">
      <c r="A57" s="8" t="n">
        <v>46092</v>
      </c>
      <c r="B57" s="123">
        <f>_xlfn.MINIFS(Atividades!$E:$E,Atividades!$A:$A, A57)</f>
        <v/>
      </c>
      <c r="C57" s="123">
        <f>_xlfn.MAXIFS(Atividades!$F:$F, Atividades!$A:$A, A57)</f>
        <v/>
      </c>
      <c r="D57" s="124">
        <f>IF(C57-B57&gt;TIME(6,0,0), (C57-B57)-TIME(1,0,0), C57-B57)</f>
        <v/>
      </c>
      <c r="E57" s="123">
        <f>IF(OR(D57&lt;=0, B57="", C57=""), 0, TIME(6,0,0))</f>
        <v/>
      </c>
      <c r="F57" s="123">
        <f>D57-E57</f>
        <v/>
      </c>
      <c r="G57" s="123" t="n">
        <v>0</v>
      </c>
      <c r="H57" s="123">
        <f>F57-G57</f>
        <v/>
      </c>
      <c r="I57" s="123">
        <f>I56+H57</f>
        <v/>
      </c>
    </row>
    <row r="58" ht="15.75" customHeight="1" thickBot="1">
      <c r="A58" s="8" t="n">
        <v>46093</v>
      </c>
      <c r="B58" s="123">
        <f>_xlfn.MINIFS(Atividades!$E:$E,Atividades!$A:$A, A58)</f>
        <v/>
      </c>
      <c r="C58" s="123">
        <f>_xlfn.MAXIFS(Atividades!$F:$F, Atividades!$A:$A, A58)</f>
        <v/>
      </c>
      <c r="D58" s="124">
        <f>IF(C58-B58&gt;TIME(6,0,0), (C58-B58)-TIME(1,0,0), C58-B58)</f>
        <v/>
      </c>
      <c r="E58" s="123">
        <f>IF(OR(D58&lt;=0, B58="", C58=""), 0, TIME(6,0,0))</f>
        <v/>
      </c>
      <c r="F58" s="123">
        <f>D58-E58</f>
        <v/>
      </c>
      <c r="G58" s="123" t="n">
        <v>0</v>
      </c>
      <c r="H58" s="123">
        <f>F58-G58</f>
        <v/>
      </c>
      <c r="I58" s="123">
        <f>I57+H58</f>
        <v/>
      </c>
    </row>
    <row r="59" ht="15.75" customHeight="1" thickBot="1">
      <c r="A59" s="8" t="n">
        <v>46094</v>
      </c>
      <c r="B59" s="123">
        <f>_xlfn.MINIFS(Atividades!$E:$E,Atividades!$A:$A, A59)</f>
        <v/>
      </c>
      <c r="C59" s="123">
        <f>_xlfn.MAXIFS(Atividades!$F:$F, Atividades!$A:$A, A59)</f>
        <v/>
      </c>
      <c r="D59" s="124">
        <f>IF(C59-B59&gt;TIME(6,0,0), (C59-B59)-TIME(1,0,0), C59-B59)</f>
        <v/>
      </c>
      <c r="E59" s="123">
        <f>IF(OR(D59&lt;=0, B59="", C59=""), 0, TIME(6,0,0))</f>
        <v/>
      </c>
      <c r="F59" s="123">
        <f>D59-E59</f>
        <v/>
      </c>
      <c r="G59" s="123" t="n">
        <v>0</v>
      </c>
      <c r="H59" s="123">
        <f>F59-G59</f>
        <v/>
      </c>
      <c r="I59" s="123">
        <f>I58+H59</f>
        <v/>
      </c>
    </row>
    <row r="60" ht="15.75" customHeight="1" thickBot="1">
      <c r="A60" s="8" t="n">
        <v>46097</v>
      </c>
      <c r="B60" s="123">
        <f>_xlfn.MINIFS(Atividades!$E:$E,Atividades!$A:$A, A60)</f>
        <v/>
      </c>
      <c r="C60" s="123">
        <f>_xlfn.MAXIFS(Atividades!$F:$F, Atividades!$A:$A, A60)</f>
        <v/>
      </c>
      <c r="D60" s="124">
        <f>IF(C60-B60&gt;TIME(6,0,0), (C60-B60)-TIME(1,0,0), C60-B60)</f>
        <v/>
      </c>
      <c r="E60" s="123">
        <f>IF(OR(D60&lt;=0, B60="", C60=""), 0, TIME(6,0,0))</f>
        <v/>
      </c>
      <c r="F60" s="123">
        <f>D60-E60</f>
        <v/>
      </c>
      <c r="G60" s="123" t="n">
        <v>0</v>
      </c>
      <c r="H60" s="123">
        <f>F60-G60</f>
        <v/>
      </c>
      <c r="I60" s="123">
        <f>I59+H60</f>
        <v/>
      </c>
    </row>
    <row r="61" ht="15.75" customHeight="1" thickBot="1">
      <c r="A61" s="8" t="n">
        <v>46098</v>
      </c>
      <c r="B61" s="123">
        <f>_xlfn.MINIFS(Atividades!$E:$E,Atividades!$A:$A, A61)</f>
        <v/>
      </c>
      <c r="C61" s="123">
        <f>_xlfn.MAXIFS(Atividades!$F:$F, Atividades!$A:$A, A61)</f>
        <v/>
      </c>
      <c r="D61" s="124">
        <f>IF(C61-B61&gt;TIME(6,0,0), (C61-B61)-TIME(1,0,0), C61-B61)</f>
        <v/>
      </c>
      <c r="E61" s="123">
        <f>IF(OR(D61&lt;=0, B61="", C61=""), 0, TIME(6,0,0))</f>
        <v/>
      </c>
      <c r="F61" s="123">
        <f>D61-E61</f>
        <v/>
      </c>
      <c r="G61" s="123" t="n">
        <v>0</v>
      </c>
      <c r="H61" s="123">
        <f>F61-G61</f>
        <v/>
      </c>
      <c r="I61" s="123">
        <f>I60+H61</f>
        <v/>
      </c>
    </row>
    <row r="62" ht="15.75" customHeight="1" thickBot="1">
      <c r="A62" s="8" t="n">
        <v>46099</v>
      </c>
      <c r="B62" s="123">
        <f>_xlfn.MINIFS(Atividades!$E:$E,Atividades!$A:$A, A62)</f>
        <v/>
      </c>
      <c r="C62" s="123">
        <f>_xlfn.MAXIFS(Atividades!$F:$F, Atividades!$A:$A, A62)</f>
        <v/>
      </c>
      <c r="D62" s="124">
        <f>IF(C62-B62&gt;TIME(6,0,0), (C62-B62)-TIME(1,0,0), C62-B62)</f>
        <v/>
      </c>
      <c r="E62" s="123">
        <f>IF(OR(D62&lt;=0, B62="", C62=""), 0, TIME(6,0,0))</f>
        <v/>
      </c>
      <c r="F62" s="123">
        <f>D62-E62</f>
        <v/>
      </c>
      <c r="G62" s="123" t="n">
        <v>0</v>
      </c>
      <c r="H62" s="123">
        <f>F62-G62</f>
        <v/>
      </c>
      <c r="I62" s="123">
        <f>I61+H62</f>
        <v/>
      </c>
    </row>
    <row r="63" ht="15.75" customHeight="1" thickBot="1">
      <c r="A63" s="45" t="n">
        <v>46100</v>
      </c>
      <c r="B63" s="123">
        <f>_xlfn.MINIFS(Atividades!$E:$E,Atividades!$A:$A, A63)</f>
        <v/>
      </c>
      <c r="C63" s="123">
        <f>_xlfn.MAXIFS(Atividades!$F:$F, Atividades!$A:$A, A63)</f>
        <v/>
      </c>
      <c r="D63" s="124">
        <f>IF(C63-B63&gt;TIME(6,0,0), (C63-B63)-TIME(1,0,0), C63-B63)</f>
        <v/>
      </c>
      <c r="E63" s="123">
        <f>IF(OR(D63&lt;=0, B63="", C63=""), 0, TIME(6,0,0))</f>
        <v/>
      </c>
      <c r="F63" s="123">
        <f>D63-E63</f>
        <v/>
      </c>
      <c r="G63" s="123" t="n">
        <v>0</v>
      </c>
      <c r="H63" s="123">
        <f>F63-G63</f>
        <v/>
      </c>
      <c r="I63" s="123">
        <f>H63</f>
        <v/>
      </c>
      <c r="K63" t="inlineStr">
        <is>
          <t>&lt;- Comecei a Somar minhas horas a partir dessa linha</t>
        </is>
      </c>
    </row>
    <row r="64" ht="15.75" customHeight="1" thickBot="1">
      <c r="A64" s="45" t="n">
        <v>46101</v>
      </c>
      <c r="B64" s="123">
        <f>_xlfn.MINIFS(Atividades!$E:$E,Atividades!$A:$A, A64)</f>
        <v/>
      </c>
      <c r="C64" s="123">
        <f>_xlfn.MAXIFS(Atividades!$F:$F, Atividades!$A:$A, A64)</f>
        <v/>
      </c>
      <c r="D64" s="124">
        <f>IF(C64-B64&gt;TIME(6,0,0), (C64-B64)-TIME(1,0,0), C64-B64)</f>
        <v/>
      </c>
      <c r="E64" s="123">
        <f>IF(OR(D64&lt;=0, B64="", C64=""), 0, TIME(6,0,0))</f>
        <v/>
      </c>
      <c r="F64" s="123">
        <f>D64-E64</f>
        <v/>
      </c>
      <c r="G64" s="123" t="n">
        <v>0</v>
      </c>
      <c r="H64" s="123">
        <f>F64-G64</f>
        <v/>
      </c>
      <c r="I64" s="123">
        <f>I63+H64</f>
        <v/>
      </c>
    </row>
    <row r="65" ht="15.75" customHeight="1" thickBot="1">
      <c r="A65" s="45" t="n">
        <v>46102</v>
      </c>
      <c r="B65" s="123" t="n">
        <v>0.3333333333333333</v>
      </c>
      <c r="C65" s="123" t="n">
        <v>0.625</v>
      </c>
      <c r="D65" s="124">
        <f>IF(C65-B65&gt;TIME(6,0,0), (C65-B65)-TIME(1,0,0), C65-B65)</f>
        <v/>
      </c>
      <c r="E65" s="123">
        <f>IF(OR(D65&lt;=0, B65="", C65=""), 0, TIME(6,0,0))</f>
        <v/>
      </c>
      <c r="F65" s="123">
        <f>D65-E65</f>
        <v/>
      </c>
      <c r="G65" s="123" t="n">
        <v>0</v>
      </c>
      <c r="H65" s="123">
        <f>F65-G65</f>
        <v/>
      </c>
      <c r="I65" s="123">
        <f>I64+H65</f>
        <v/>
      </c>
    </row>
    <row r="66" ht="15.75" customHeight="1" thickBot="1">
      <c r="A66" s="45" t="n">
        <v>46103</v>
      </c>
      <c r="B66" s="123" t="n">
        <v>0.3333333333333333</v>
      </c>
      <c r="C66" s="123" t="n">
        <v>0.625</v>
      </c>
      <c r="D66" s="124">
        <f>IF(C66-B66&gt;TIME(6,0,0), (C66-B66)-TIME(1,0,0), C66-B66)</f>
        <v/>
      </c>
      <c r="E66" s="123">
        <f>IF(OR(D66&lt;=0, B66="", C66=""), 0, TIME(6,0,0))</f>
        <v/>
      </c>
      <c r="F66" s="123">
        <f>D66-E66</f>
        <v/>
      </c>
      <c r="G66" s="123" t="n">
        <v>0</v>
      </c>
      <c r="H66" s="123">
        <f>F66-G66</f>
        <v/>
      </c>
      <c r="I66" s="123">
        <f>I65+H66</f>
        <v/>
      </c>
    </row>
    <row r="67" ht="15.75" customHeight="1" thickBot="1">
      <c r="A67" s="45" t="n">
        <v>46104</v>
      </c>
      <c r="B67" s="123" t="n">
        <v>0.3333333333333333</v>
      </c>
      <c r="C67" s="123" t="n">
        <v>0.625</v>
      </c>
      <c r="D67" s="124">
        <f>IF(C67-B67&gt;TIME(6,0,0), (C67-B67)-TIME(1,0,0), C67-B67)</f>
        <v/>
      </c>
      <c r="E67" s="123">
        <f>IF(OR(D67&lt;=0, B67="", C67=""), 0, TIME(6,0,0))</f>
        <v/>
      </c>
      <c r="F67" s="123">
        <f>D67-E67</f>
        <v/>
      </c>
      <c r="G67" s="123" t="n">
        <v>0</v>
      </c>
      <c r="H67" s="123">
        <f>F67-G67</f>
        <v/>
      </c>
      <c r="I67" s="123">
        <f>I66+H67</f>
        <v/>
      </c>
    </row>
    <row r="68" ht="15.75" customHeight="1" thickBot="1">
      <c r="A68" s="45" t="n">
        <v>46105</v>
      </c>
      <c r="B68" s="123" t="n">
        <v>0.3333333333333333</v>
      </c>
      <c r="C68" s="123" t="n">
        <v>0.625</v>
      </c>
      <c r="D68" s="124">
        <f>IF(C68-B68&gt;TIME(6,0,0), (C68-B68)-TIME(1,0,0), C68-B68)</f>
        <v/>
      </c>
      <c r="E68" s="123">
        <f>IF(OR(D68&lt;=0, B68="", C68=""), 0, TIME(6,0,0))</f>
        <v/>
      </c>
      <c r="F68" s="123">
        <f>D68-E68</f>
        <v/>
      </c>
      <c r="G68" s="123" t="n">
        <v>0</v>
      </c>
      <c r="H68" s="123">
        <f>F68-G68</f>
        <v/>
      </c>
      <c r="I68" s="123">
        <f>I67+H68</f>
        <v/>
      </c>
    </row>
    <row r="69" ht="15.75" customHeight="1" thickBot="1">
      <c r="A69" s="45" t="n">
        <v>46106</v>
      </c>
      <c r="B69" s="123" t="n">
        <v>0.3333333333333333</v>
      </c>
      <c r="C69" s="123" t="n">
        <v>0.625</v>
      </c>
      <c r="D69" s="124">
        <f>IF(C69-B69&gt;TIME(6,0,0), (C69-B69)-TIME(1,0,0), C69-B69)</f>
        <v/>
      </c>
      <c r="E69" s="123">
        <f>IF(OR(D69&lt;=0, B69="", C69=""), 0, TIME(6,0,0))</f>
        <v/>
      </c>
      <c r="F69" s="123">
        <f>D69-E69</f>
        <v/>
      </c>
      <c r="G69" s="123" t="n">
        <v>0</v>
      </c>
      <c r="H69" s="123">
        <f>F69-G69</f>
        <v/>
      </c>
      <c r="I69" s="123">
        <f>I68+H69</f>
        <v/>
      </c>
    </row>
    <row r="70" ht="15.75" customHeight="1" thickBot="1">
      <c r="A70" s="45" t="n">
        <v>46107</v>
      </c>
      <c r="B70" s="123" t="n">
        <v>0.3333333333333333</v>
      </c>
      <c r="C70" s="123" t="n">
        <v>0.625</v>
      </c>
      <c r="D70" s="124">
        <f>IF(C70-B70&gt;TIME(6,0,0), (C70-B70)-TIME(1,0,0), C70-B70)</f>
        <v/>
      </c>
      <c r="E70" s="123">
        <f>IF(OR(D70&lt;=0, B70="", C70=""), 0, TIME(6,0,0))</f>
        <v/>
      </c>
      <c r="F70" s="123">
        <f>D70-E70</f>
        <v/>
      </c>
      <c r="G70" s="123" t="n">
        <v>0</v>
      </c>
      <c r="H70" s="123">
        <f>F70-G70</f>
        <v/>
      </c>
      <c r="I70" s="123">
        <f>I69+H70</f>
        <v/>
      </c>
    </row>
    <row r="71" ht="15.75" customHeight="1" thickBot="1">
      <c r="A71" s="45" t="n">
        <v>46108</v>
      </c>
      <c r="B71" s="123" t="n">
        <v>0.3333333333333333</v>
      </c>
      <c r="C71" s="123" t="n">
        <v>0.625</v>
      </c>
      <c r="D71" s="124">
        <f>IF(C71-B71&gt;TIME(6,0,0), (C71-B71)-TIME(1,0,0), C71-B71)</f>
        <v/>
      </c>
      <c r="E71" s="123">
        <f>IF(OR(D71&lt;=0, B71="", C71=""), 0, TIME(6,0,0))</f>
        <v/>
      </c>
      <c r="F71" s="123">
        <f>D71-E71</f>
        <v/>
      </c>
      <c r="G71" s="123" t="n">
        <v>0</v>
      </c>
      <c r="H71" s="123">
        <f>F71-G71</f>
        <v/>
      </c>
      <c r="I71" s="123">
        <f>I70+H71</f>
        <v/>
      </c>
    </row>
    <row r="72" ht="15.75" customHeight="1" thickBot="1">
      <c r="A72" s="45" t="n">
        <v>46109</v>
      </c>
      <c r="B72" s="123" t="n">
        <v>0.3333333333333333</v>
      </c>
      <c r="C72" s="123" t="n">
        <v>0.625</v>
      </c>
      <c r="D72" s="124">
        <f>IF(C72-B72&gt;TIME(6,0,0), (C72-B72)-TIME(1,0,0), C72-B72)</f>
        <v/>
      </c>
      <c r="E72" s="123">
        <f>IF(OR(D72&lt;=0, B72="", C72=""), 0, TIME(6,0,0))</f>
        <v/>
      </c>
      <c r="F72" s="123">
        <f>D72-E72</f>
        <v/>
      </c>
      <c r="G72" s="123" t="n">
        <v>0</v>
      </c>
      <c r="H72" s="123">
        <f>F72-G72</f>
        <v/>
      </c>
      <c r="I72" s="123">
        <f>I71+H72</f>
        <v/>
      </c>
    </row>
    <row r="73" ht="15.75" customHeight="1" thickBot="1">
      <c r="A73" s="45" t="n">
        <v>46110</v>
      </c>
      <c r="B73" s="123" t="n">
        <v>0.3333333333333333</v>
      </c>
      <c r="C73" s="123" t="n">
        <v>0.625</v>
      </c>
      <c r="D73" s="124">
        <f>IF(C73-B73&gt;TIME(6,0,0), (C73-B73)-TIME(1,0,0), C73-B73)</f>
        <v/>
      </c>
      <c r="E73" s="123">
        <f>IF(OR(D73&lt;=0, B73="", C73=""), 0, TIME(6,0,0))</f>
        <v/>
      </c>
      <c r="F73" s="123">
        <f>D73-E73</f>
        <v/>
      </c>
      <c r="G73" s="123" t="n">
        <v>0</v>
      </c>
      <c r="H73" s="123">
        <f>F73-G73</f>
        <v/>
      </c>
      <c r="I73" s="123">
        <f>I72+H73</f>
        <v/>
      </c>
    </row>
    <row r="74" ht="15.75" customHeight="1" thickBot="1">
      <c r="A74" s="45" t="n">
        <v>46111</v>
      </c>
      <c r="B74" s="123" t="n">
        <v>0.3333333333333333</v>
      </c>
      <c r="C74" s="123" t="n">
        <v>0.625</v>
      </c>
      <c r="D74" s="124">
        <f>IF(C74-B74&gt;TIME(6,0,0), (C74-B74)-TIME(1,0,0), C74-B74)</f>
        <v/>
      </c>
      <c r="E74" s="123">
        <f>IF(OR(D74&lt;=0, B74="", C74=""), 0, TIME(6,0,0))</f>
        <v/>
      </c>
      <c r="F74" s="123">
        <f>D74-E74</f>
        <v/>
      </c>
      <c r="G74" s="123" t="n">
        <v>0</v>
      </c>
      <c r="H74" s="123">
        <f>F74-G74</f>
        <v/>
      </c>
      <c r="I74" s="123">
        <f>I73+H74</f>
        <v/>
      </c>
    </row>
    <row r="75" ht="15.75" customHeight="1" thickBot="1">
      <c r="A75" s="45" t="n">
        <v>46112</v>
      </c>
      <c r="B75" s="123" t="n">
        <v>0.3333333333333333</v>
      </c>
      <c r="C75" s="123" t="n">
        <v>0.625</v>
      </c>
      <c r="D75" s="124">
        <f>IF(C75-B75&gt;TIME(6,0,0), (C75-B75)-TIME(1,0,0), C75-B75)</f>
        <v/>
      </c>
      <c r="E75" s="123">
        <f>IF(OR(D75&lt;=0, B75="", C75=""), 0, TIME(6,0,0))</f>
        <v/>
      </c>
      <c r="F75" s="123">
        <f>D75-E75</f>
        <v/>
      </c>
      <c r="G75" s="123" t="n">
        <v>0</v>
      </c>
      <c r="H75" s="123">
        <f>F75-G75</f>
        <v/>
      </c>
      <c r="I75" s="123">
        <f>I74+H75</f>
        <v/>
      </c>
    </row>
    <row r="76" ht="15.75" customHeight="1" thickBot="1">
      <c r="A76" s="45" t="n">
        <v>46113</v>
      </c>
      <c r="B76" s="123" t="n">
        <v>0.3333333333333333</v>
      </c>
      <c r="C76" s="123" t="n">
        <v>0.625</v>
      </c>
      <c r="D76" s="124">
        <f>IF(C76-B76&gt;TIME(6,0,0), (C76-B76)-TIME(1,0,0), C76-B76)</f>
        <v/>
      </c>
      <c r="E76" s="123">
        <f>IF(OR(D76&lt;=0, B76="", C76=""), 0, TIME(6,0,0))</f>
        <v/>
      </c>
      <c r="F76" s="123">
        <f>D76-E76</f>
        <v/>
      </c>
      <c r="G76" s="123" t="n">
        <v>0</v>
      </c>
      <c r="H76" s="123">
        <f>F76-G76</f>
        <v/>
      </c>
      <c r="I76" s="123">
        <f>I75+H76</f>
        <v/>
      </c>
    </row>
    <row r="77" ht="15.75" customHeight="1" thickBot="1">
      <c r="A77" s="45" t="n">
        <v>46114</v>
      </c>
      <c r="B77" s="123" t="n">
        <v>0.3333333333333333</v>
      </c>
      <c r="C77" s="123" t="n">
        <v>0.625</v>
      </c>
      <c r="D77" s="124">
        <f>IF(C77-B77&gt;TIME(6,0,0), (C77-B77)-TIME(1,0,0), C77-B77)</f>
        <v/>
      </c>
      <c r="E77" s="123">
        <f>IF(OR(D77&lt;=0, B77="", C77=""), 0, TIME(6,0,0))</f>
        <v/>
      </c>
      <c r="F77" s="123">
        <f>D77-E77</f>
        <v/>
      </c>
      <c r="G77" s="123" t="n">
        <v>0</v>
      </c>
      <c r="H77" s="123">
        <f>F77-G77</f>
        <v/>
      </c>
      <c r="I77" s="123">
        <f>I76+H77</f>
        <v/>
      </c>
    </row>
    <row r="78" ht="15.75" customHeight="1" thickBot="1">
      <c r="A78" s="45" t="n">
        <v>46115</v>
      </c>
      <c r="B78" s="123" t="n">
        <v>0.3333333333333333</v>
      </c>
      <c r="C78" s="123" t="n">
        <v>0.625</v>
      </c>
      <c r="D78" s="124">
        <f>IF(C78-B78&gt;TIME(6,0,0), (C78-B78)-TIME(1,0,0), C78-B78)</f>
        <v/>
      </c>
      <c r="E78" s="123">
        <f>IF(OR(D78&lt;=0, B78="", C78=""), 0, TIME(6,0,0))</f>
        <v/>
      </c>
      <c r="F78" s="123">
        <f>D78-E78</f>
        <v/>
      </c>
      <c r="G78" s="123" t="n">
        <v>0</v>
      </c>
      <c r="H78" s="123">
        <f>F78-G78</f>
        <v/>
      </c>
      <c r="I78" s="123">
        <f>I77+H78</f>
        <v/>
      </c>
    </row>
    <row r="79" ht="15.75" customHeight="1" thickBot="1">
      <c r="A79" s="45" t="n">
        <v>46116</v>
      </c>
      <c r="B79" s="123" t="n">
        <v>0.3333333333333333</v>
      </c>
      <c r="C79" s="123" t="n">
        <v>0.625</v>
      </c>
      <c r="D79" s="124">
        <f>IF(C79-B79&gt;TIME(6,0,0), (C79-B79)-TIME(1,0,0), C79-B79)</f>
        <v/>
      </c>
      <c r="E79" s="123">
        <f>IF(OR(D79&lt;=0, B79="", C79=""), 0, TIME(6,0,0))</f>
        <v/>
      </c>
      <c r="F79" s="123">
        <f>D79-E79</f>
        <v/>
      </c>
      <c r="G79" s="123" t="n">
        <v>0</v>
      </c>
      <c r="H79" s="123">
        <f>F79-G79</f>
        <v/>
      </c>
      <c r="I79" s="123">
        <f>I78+H79</f>
        <v/>
      </c>
    </row>
    <row r="80" ht="15.75" customHeight="1" thickBot="1">
      <c r="A80" s="45" t="n">
        <v>46117</v>
      </c>
      <c r="B80" s="123" t="n">
        <v>0.3333333333333333</v>
      </c>
      <c r="C80" s="123" t="n">
        <v>0.625</v>
      </c>
      <c r="D80" s="124">
        <f>IF(C80-B80&gt;TIME(6,0,0), (C80-B80)-TIME(1,0,0), C80-B80)</f>
        <v/>
      </c>
      <c r="E80" s="123">
        <f>IF(OR(D80&lt;=0, B80="", C80=""), 0, TIME(6,0,0))</f>
        <v/>
      </c>
      <c r="F80" s="123">
        <f>D80-E80</f>
        <v/>
      </c>
      <c r="G80" s="123" t="n">
        <v>0</v>
      </c>
      <c r="H80" s="123">
        <f>F80-G80</f>
        <v/>
      </c>
      <c r="I80" s="123">
        <f>I79+H80</f>
        <v/>
      </c>
    </row>
    <row r="81" ht="15.75" customHeight="1" thickBot="1">
      <c r="A81" s="45" t="n">
        <v>46118</v>
      </c>
      <c r="B81" s="123" t="n">
        <v>0.3333333333333333</v>
      </c>
      <c r="C81" s="123" t="n">
        <v>0.625</v>
      </c>
      <c r="D81" s="124">
        <f>IF(C81-B81&gt;TIME(6,0,0), (C81-B81)-TIME(1,0,0), C81-B81)</f>
        <v/>
      </c>
      <c r="E81" s="123">
        <f>IF(OR(D81&lt;=0, B81="", C81=""), 0, TIME(6,0,0))</f>
        <v/>
      </c>
      <c r="F81" s="123">
        <f>D81-E81</f>
        <v/>
      </c>
      <c r="G81" s="123" t="n">
        <v>0</v>
      </c>
      <c r="H81" s="123">
        <f>F81-G81</f>
        <v/>
      </c>
      <c r="I81" s="123">
        <f>I80+H81</f>
        <v/>
      </c>
    </row>
    <row r="82" ht="15.75" customHeight="1" thickBot="1">
      <c r="A82" s="45" t="n">
        <v>46119</v>
      </c>
      <c r="B82" s="123" t="n">
        <v>0.3333333333333333</v>
      </c>
      <c r="C82" s="123" t="n">
        <v>0.625</v>
      </c>
      <c r="D82" s="124">
        <f>IF(C82-B82&gt;TIME(6,0,0), (C82-B82)-TIME(1,0,0), C82-B82)</f>
        <v/>
      </c>
      <c r="E82" s="123">
        <f>IF(OR(D82&lt;=0, B82="", C82=""), 0, TIME(6,0,0))</f>
        <v/>
      </c>
      <c r="F82" s="123">
        <f>D82-E82</f>
        <v/>
      </c>
      <c r="G82" s="123" t="n">
        <v>0</v>
      </c>
      <c r="H82" s="123">
        <f>F82-G82</f>
        <v/>
      </c>
      <c r="I82" s="123">
        <f>I81+H82</f>
        <v/>
      </c>
    </row>
    <row r="83" ht="15.75" customHeight="1" thickBot="1">
      <c r="A83" s="45" t="n">
        <v>46120</v>
      </c>
      <c r="B83" s="123" t="n">
        <v>0.3333333333333333</v>
      </c>
      <c r="C83" s="123" t="n">
        <v>0.625</v>
      </c>
      <c r="D83" s="124">
        <f>IF(C83-B83&gt;TIME(6,0,0), (C83-B83)-TIME(1,0,0), C83-B83)</f>
        <v/>
      </c>
      <c r="E83" s="123">
        <f>IF(OR(D83&lt;=0, B83="", C83=""), 0, TIME(6,0,0))</f>
        <v/>
      </c>
      <c r="F83" s="123">
        <f>D83-E83</f>
        <v/>
      </c>
      <c r="G83" s="123" t="n">
        <v>0</v>
      </c>
      <c r="H83" s="123">
        <f>F83-G83</f>
        <v/>
      </c>
      <c r="I83" s="123">
        <f>I82+H83</f>
        <v/>
      </c>
    </row>
    <row r="84" ht="15.75" customHeight="1" thickBot="1">
      <c r="A84" s="45" t="n">
        <v>46121</v>
      </c>
      <c r="B84" s="123" t="n">
        <v>0.3333333333333333</v>
      </c>
      <c r="C84" s="123" t="n">
        <v>0.75</v>
      </c>
      <c r="D84" s="124">
        <f>IF(C84-B84&gt;TIME(6,0,0), (C84-B84)-TIME(1,0,0), C84-B84)</f>
        <v/>
      </c>
      <c r="E84" s="123">
        <f>IF(OR(D84&lt;=0, B84="", C84=""), 0, TIME(6,0,0))</f>
        <v/>
      </c>
      <c r="F84" s="123">
        <f>D84-E84</f>
        <v/>
      </c>
      <c r="G84" s="123" t="n">
        <v>0</v>
      </c>
      <c r="H84" s="123">
        <f>F84-G84</f>
        <v/>
      </c>
      <c r="I84" s="123">
        <f>I83+H84</f>
        <v/>
      </c>
    </row>
    <row r="85" ht="15.75" customHeight="1" thickBot="1">
      <c r="A85" s="45" t="n">
        <v>46122</v>
      </c>
      <c r="B85" s="123" t="n">
        <v>0.3333333333333333</v>
      </c>
      <c r="C85" s="123" t="n">
        <v>0.625</v>
      </c>
      <c r="D85" s="124">
        <f>IF(C85-B85&gt;TIME(6,0,0), (C85-B85)-TIME(1,0,0), C85-B85)</f>
        <v/>
      </c>
      <c r="E85" s="123">
        <f>IF(OR(D85&lt;=0, B85="", C85=""), 0, TIME(6,0,0))</f>
        <v/>
      </c>
      <c r="F85" s="123">
        <f>D85-E85</f>
        <v/>
      </c>
      <c r="G85" s="123" t="n">
        <v>0</v>
      </c>
      <c r="H85" s="123">
        <f>F85-G85</f>
        <v/>
      </c>
      <c r="I85" s="123">
        <f>I84+H85</f>
        <v/>
      </c>
    </row>
    <row r="86" ht="15.75" customHeight="1" thickBot="1">
      <c r="A86" s="45" t="n">
        <v>46123</v>
      </c>
      <c r="B86" s="123" t="n">
        <v>0.3333333333333333</v>
      </c>
      <c r="C86" s="123" t="n">
        <v>0.625</v>
      </c>
      <c r="D86" s="124">
        <f>IF(C86-B86&gt;TIME(6,0,0), (C86-B86)-TIME(1,0,0), C86-B86)</f>
        <v/>
      </c>
      <c r="E86" s="123">
        <f>IF(OR(D86&lt;=0, B86="", C86=""), 0, TIME(6,0,0))</f>
        <v/>
      </c>
      <c r="F86" s="123">
        <f>D86-E86</f>
        <v/>
      </c>
      <c r="G86" s="123" t="n">
        <v>0</v>
      </c>
      <c r="H86" s="123">
        <f>F86-G86</f>
        <v/>
      </c>
      <c r="I86" s="123">
        <f>I85+H86</f>
        <v/>
      </c>
    </row>
    <row r="87" ht="15.75" customHeight="1" thickBot="1">
      <c r="A87" s="45" t="n">
        <v>46124</v>
      </c>
      <c r="B87" s="123" t="n">
        <v>0.3333333333333333</v>
      </c>
      <c r="C87" s="123" t="n">
        <v>0.625</v>
      </c>
      <c r="D87" s="124">
        <f>IF(C87-B87&gt;TIME(6,0,0), (C87-B87)-TIME(1,0,0), C87-B87)</f>
        <v/>
      </c>
      <c r="E87" s="123">
        <f>IF(OR(D87&lt;=0, B87="", C87=""), 0, TIME(6,0,0))</f>
        <v/>
      </c>
      <c r="F87" s="123">
        <f>D87-E87</f>
        <v/>
      </c>
      <c r="G87" s="123" t="n">
        <v>0</v>
      </c>
      <c r="H87" s="123">
        <f>F87-G87</f>
        <v/>
      </c>
      <c r="I87" s="123">
        <f>I86+H87</f>
        <v/>
      </c>
    </row>
    <row r="88" ht="15.75" customHeight="1" thickBot="1">
      <c r="A88" s="45" t="n">
        <v>46125</v>
      </c>
      <c r="B88" s="123" t="n">
        <v>0.3333333333333333</v>
      </c>
      <c r="C88" s="123" t="n">
        <v>0.625</v>
      </c>
      <c r="D88" s="124">
        <f>IF(C88-B88&gt;TIME(6,0,0), (C88-B88)-TIME(1,0,0), C88-B88)</f>
        <v/>
      </c>
      <c r="E88" s="123">
        <f>IF(OR(D88&lt;=0, B88="", C88=""), 0, TIME(6,0,0))</f>
        <v/>
      </c>
      <c r="F88" s="123">
        <f>D88-E88</f>
        <v/>
      </c>
      <c r="G88" s="123" t="n">
        <v>0</v>
      </c>
      <c r="H88" s="123">
        <f>F88-G88</f>
        <v/>
      </c>
      <c r="I88" s="123">
        <f>I87+H88</f>
        <v/>
      </c>
    </row>
    <row r="89" ht="15.75" customHeight="1" thickBot="1">
      <c r="A89" s="45" t="n">
        <v>46126</v>
      </c>
      <c r="B89" s="123" t="n">
        <v>0.3333333333333333</v>
      </c>
      <c r="C89" s="123" t="n">
        <v>0.625</v>
      </c>
      <c r="D89" s="124">
        <f>IF(C89-B89&gt;TIME(6,0,0), (C89-B89)-TIME(1,0,0), C89-B89)</f>
        <v/>
      </c>
      <c r="E89" s="123">
        <f>IF(OR(D89&lt;=0, B89="", C89=""), 0, TIME(6,0,0))</f>
        <v/>
      </c>
      <c r="F89" s="123">
        <f>D89-E89</f>
        <v/>
      </c>
      <c r="G89" s="123" t="n">
        <v>0</v>
      </c>
      <c r="H89" s="123">
        <f>F89-G89</f>
        <v/>
      </c>
      <c r="I89" s="123">
        <f>I88+H89</f>
        <v/>
      </c>
    </row>
    <row r="90" ht="15.75" customHeight="1" thickBot="1">
      <c r="A90" s="45" t="n">
        <v>46127</v>
      </c>
      <c r="B90" s="123" t="n">
        <v>0.3333333333333333</v>
      </c>
      <c r="C90" s="123" t="n">
        <v>0.625</v>
      </c>
      <c r="D90" s="124">
        <f>IF(C90-B90&gt;TIME(6,0,0), (C90-B90)-TIME(1,0,0), C90-B90)</f>
        <v/>
      </c>
      <c r="E90" s="123">
        <f>IF(OR(D90&lt;=0, B90="", C90=""), 0, TIME(6,0,0))</f>
        <v/>
      </c>
      <c r="F90" s="123">
        <f>D90-E90</f>
        <v/>
      </c>
      <c r="G90" s="123" t="n">
        <v>0</v>
      </c>
      <c r="H90" s="123">
        <f>F90-G90</f>
        <v/>
      </c>
      <c r="I90" s="123">
        <f>I89+H90</f>
        <v/>
      </c>
    </row>
    <row r="91">
      <c r="A91" s="45" t="n">
        <v>46128</v>
      </c>
      <c r="B91" s="123" t="n">
        <v>0.3333333333333333</v>
      </c>
      <c r="C91" s="123" t="n">
        <v>0.625</v>
      </c>
      <c r="D91" s="124">
        <f>IF(C91-B91&gt;TIME(6,0,0), (C91-B91)-TIME(1,0,0), C91-B91)</f>
        <v/>
      </c>
      <c r="E91" s="123">
        <f>IF(OR(D91&lt;=0, B91="", C91=""), 0, TIME(6,0,0))</f>
        <v/>
      </c>
      <c r="F91" s="123">
        <f>D91-E91</f>
        <v/>
      </c>
      <c r="G91" s="123" t="n">
        <v>0</v>
      </c>
      <c r="H91" s="123">
        <f>F91-G91</f>
        <v/>
      </c>
      <c r="I91" s="123">
        <f>I90+H91</f>
        <v/>
      </c>
    </row>
    <row r="92">
      <c r="A92" s="45" t="n">
        <v>46129</v>
      </c>
      <c r="B92" s="123" t="n">
        <v>0.3333333333333333</v>
      </c>
      <c r="C92" s="123" t="n">
        <v>0.625</v>
      </c>
      <c r="D92" s="124">
        <f>IF(C92-B92&gt;TIME(6,0,0), (C92-B92)-TIME(1,0,0), C92-B92)</f>
        <v/>
      </c>
      <c r="E92" s="123">
        <f>IF(OR(D92&lt;=0, B92="", C92=""), 0, TIME(6,0,0))</f>
        <v/>
      </c>
      <c r="F92" s="123">
        <f>D92-E92</f>
        <v/>
      </c>
      <c r="G92" s="123" t="n">
        <v>0</v>
      </c>
      <c r="H92" s="123">
        <f>F92-G92</f>
        <v/>
      </c>
      <c r="I92" s="123">
        <f>I91+H92</f>
        <v/>
      </c>
      <c r="K92" t="inlineStr">
        <is>
          <t>← Levei o Notebook pra casa para dar continuidade no fechamento da Bracofer</t>
        </is>
      </c>
    </row>
    <row r="93">
      <c r="A93" s="45" t="n">
        <v>46132</v>
      </c>
      <c r="B93" s="123" t="n">
        <v>0.3333333333333333</v>
      </c>
      <c r="C93" s="123" t="n">
        <v>0.625</v>
      </c>
      <c r="D93" s="124">
        <f>IF(C93-B93&gt;TIME(6,0,0), (C93-B93)-TIME(1,0,0), C93-B93)</f>
        <v/>
      </c>
      <c r="E93" s="123">
        <f>IF(OR(D93&lt;=0, B93="", C93=""), 0, TIME(6,0,0))</f>
        <v/>
      </c>
      <c r="F93" s="123">
        <f>D93-E93</f>
        <v/>
      </c>
      <c r="G93" s="123" t="n">
        <v>0</v>
      </c>
      <c r="H93" s="123">
        <f>F93-G93</f>
        <v/>
      </c>
      <c r="I93" s="123">
        <f>I92+H93</f>
        <v/>
      </c>
    </row>
    <row r="94">
      <c r="A94" s="45" t="n">
        <v>46134</v>
      </c>
      <c r="B94" s="123" t="n">
        <v>0.3333333333333333</v>
      </c>
      <c r="C94" s="123" t="n">
        <v>0.625</v>
      </c>
      <c r="D94" s="124">
        <f>IF(C94-B94&gt;TIME(6,0,0), (C94-B94)-TIME(1,0,0), C94-B94)</f>
        <v/>
      </c>
      <c r="E94" s="123">
        <f>IF(OR(D94&lt;=0, B94="", C94=""), 0, TIME(6,0,0))</f>
        <v/>
      </c>
      <c r="F94" s="123">
        <f>D94-E94</f>
        <v/>
      </c>
      <c r="G94" s="123" t="n">
        <v>0</v>
      </c>
      <c r="H94" s="123">
        <f>F94-G94</f>
        <v/>
      </c>
      <c r="I94" s="123">
        <f>I93+H94</f>
        <v/>
      </c>
    </row>
    <row r="95">
      <c r="A95" s="45" t="n">
        <v>46135</v>
      </c>
      <c r="B95" s="123" t="n">
        <v>0.3333333333333333</v>
      </c>
      <c r="C95" s="123" t="n">
        <v>0.625</v>
      </c>
      <c r="D95" s="124">
        <f>IF(C95-B95&gt;TIME(6,0,0), (C95-B95)-TIME(1,0,0), C95-B95)</f>
        <v/>
      </c>
      <c r="E95" s="123">
        <f>IF(OR(D95&lt;=0, B95="", C95=""), 0, TIME(6,0,0))</f>
        <v/>
      </c>
      <c r="F95" s="123">
        <f>D95-E95</f>
        <v/>
      </c>
      <c r="G95" s="123" t="n">
        <v>0</v>
      </c>
      <c r="H95" s="123">
        <f>F95-G95</f>
        <v/>
      </c>
      <c r="I95" s="123">
        <f>I94+H95</f>
        <v/>
      </c>
    </row>
    <row r="96">
      <c r="A96" s="45" t="n">
        <v>46136</v>
      </c>
      <c r="B96" s="123" t="n">
        <v>0.3333333333333333</v>
      </c>
      <c r="C96" s="123" t="n">
        <v>0.625</v>
      </c>
      <c r="D96" s="124">
        <f>IF(C96-B96&gt;TIME(6,0,0), (C96-B96)-TIME(1,0,0), C96-B96)</f>
        <v/>
      </c>
      <c r="E96" s="123">
        <f>IF(OR(D96&lt;=0, B96="", C96=""), 0, TIME(6,0,0))</f>
        <v/>
      </c>
      <c r="F96" s="123">
        <f>D96-E96</f>
        <v/>
      </c>
      <c r="G96" s="123" t="n">
        <v>0</v>
      </c>
      <c r="H96" s="123">
        <f>F96-G96</f>
        <v/>
      </c>
      <c r="I96" s="123">
        <f>I95+H96</f>
        <v/>
      </c>
    </row>
    <row r="97">
      <c r="A97" s="45" t="n">
        <v>46139</v>
      </c>
      <c r="B97" s="123" t="n">
        <v>0.3333333333333333</v>
      </c>
      <c r="C97" s="123" t="n">
        <v>0.625</v>
      </c>
      <c r="D97" s="124">
        <f>IF(C97-B97&gt;TIME(6,0,0), (C97-B97)-TIME(1,0,0), C97-B97)</f>
        <v/>
      </c>
      <c r="E97" s="123">
        <f>IF(OR(D97&lt;=0, B97="", C97=""), 0, TIME(6,0,0))</f>
        <v/>
      </c>
      <c r="F97" s="123">
        <f>D97-E97</f>
        <v/>
      </c>
      <c r="G97" s="123" t="n">
        <v>0</v>
      </c>
      <c r="H97" s="123">
        <f>F97-G97</f>
        <v/>
      </c>
      <c r="I97" s="123">
        <f>I96+H97</f>
        <v/>
      </c>
    </row>
    <row r="98">
      <c r="A98" s="45" t="n">
        <v>46140</v>
      </c>
      <c r="B98" s="123" t="n">
        <v>0.3333333333333333</v>
      </c>
      <c r="C98" s="123" t="n">
        <v>0.75</v>
      </c>
      <c r="D98" s="124">
        <f>IF(C98-B98&gt;TIME(6,0,0), (C98-B98)-TIME(1,0,0), C98-B98)</f>
        <v/>
      </c>
      <c r="E98" s="123">
        <f>IF(OR(D98&lt;=0, B98="", C98=""), 0, TIME(6,0,0))</f>
        <v/>
      </c>
      <c r="F98" s="123">
        <f>D98-E98</f>
        <v/>
      </c>
      <c r="G98" s="123" t="n">
        <v>0</v>
      </c>
      <c r="H98" s="123">
        <f>F98-G98</f>
        <v/>
      </c>
      <c r="I98" s="123">
        <f>I97+H98</f>
        <v/>
      </c>
    </row>
    <row r="99">
      <c r="A99" s="45" t="n">
        <v>46141</v>
      </c>
      <c r="B99" s="123" t="n">
        <v>0.3333333333333333</v>
      </c>
      <c r="C99" s="123" t="n">
        <v>0.625</v>
      </c>
      <c r="D99" s="124">
        <f>IF(C99-B99&gt;TIME(6,0,0), (C99-B99)-TIME(1,0,0), C99-B99)</f>
        <v/>
      </c>
      <c r="E99" s="123">
        <f>IF(OR(D99&lt;=0, B99="", C99=""), 0, TIME(6,0,0))</f>
        <v/>
      </c>
      <c r="F99" s="123">
        <f>D99-E99</f>
        <v/>
      </c>
      <c r="G99" s="123" t="n">
        <v>0</v>
      </c>
      <c r="H99" s="123">
        <f>F99-G99</f>
        <v/>
      </c>
      <c r="I99" s="123">
        <f>I98+H99</f>
        <v/>
      </c>
    </row>
    <row r="100">
      <c r="A100" s="45" t="n">
        <v>46142</v>
      </c>
      <c r="B100" s="123" t="n">
        <v>0.3333333333333333</v>
      </c>
      <c r="C100" s="123" t="n">
        <v>0.5</v>
      </c>
      <c r="D100" s="124">
        <f>IF(C100-B100&gt;TIME(6,0,0), (C100-B100)-TIME(1,0,0), C100-B100)</f>
        <v/>
      </c>
      <c r="E100" s="123">
        <f>IF(OR(D100&lt;=0, B100="", C100=""), 0, TIME(6,0,0))</f>
        <v/>
      </c>
      <c r="F100" s="123">
        <f>D100-E100</f>
        <v/>
      </c>
      <c r="G100" s="123" t="n">
        <v>0</v>
      </c>
      <c r="H100" s="123">
        <f>F100-G100</f>
        <v/>
      </c>
      <c r="I100" s="123">
        <f>I99+H100</f>
        <v/>
      </c>
    </row>
    <row r="101">
      <c r="A101" s="45" t="n">
        <v>46146</v>
      </c>
      <c r="B101" s="123" t="n">
        <v>0.3333333333333333</v>
      </c>
      <c r="C101" s="123" t="n">
        <v>0.625</v>
      </c>
      <c r="D101" s="124">
        <f>IF(C101-B101&gt;TIME(6,0,0), (C101-B101)-TIME(1,0,0), C101-B101)</f>
        <v/>
      </c>
      <c r="E101" s="123">
        <f>IF(OR(D101&lt;=0, B101="", C101=""), 0, TIME(6,0,0))</f>
        <v/>
      </c>
      <c r="F101" s="123">
        <f>D101-E101</f>
        <v/>
      </c>
      <c r="G101" s="123" t="n">
        <v>0</v>
      </c>
      <c r="H101" s="123">
        <f>F101-G101</f>
        <v/>
      </c>
      <c r="I101" s="123">
        <f>I100+H101</f>
        <v/>
      </c>
    </row>
    <row r="102">
      <c r="A102" s="45" t="n">
        <v>46147</v>
      </c>
      <c r="B102" s="123" t="n">
        <v>0.3347222222222222</v>
      </c>
      <c r="C102" s="123" t="n">
        <v>0.6270833333333333</v>
      </c>
      <c r="D102" s="124">
        <f>IF(C102-B102&gt;TIME(6,0,0), (C102-B102)-TIME(1,0,0), C102-B102)</f>
        <v/>
      </c>
      <c r="E102" s="123">
        <f>IF(OR(D102&lt;=0, B102="", C102=""), 0, TIME(6,0,0))</f>
        <v/>
      </c>
      <c r="F102" s="123">
        <f>D102-E102</f>
        <v/>
      </c>
      <c r="G102" s="123" t="n">
        <v>0</v>
      </c>
      <c r="H102" s="123">
        <f>F102-G102</f>
        <v/>
      </c>
      <c r="I102" s="123">
        <f>I101+H102</f>
        <v/>
      </c>
    </row>
    <row r="103">
      <c r="A103" s="45" t="n">
        <v>46148</v>
      </c>
      <c r="B103" s="123" t="n">
        <v>0.3319444444444444</v>
      </c>
      <c r="C103" s="123" t="n">
        <v>0.625</v>
      </c>
      <c r="D103" s="124">
        <f>IF(C103-B103&gt;TIME(6,0,0), (C103-B103)-TIME(1,0,0), C103-B103)</f>
        <v/>
      </c>
      <c r="E103" s="123">
        <f>IF(OR(D103&lt;=0, B103="", C103=""), 0, TIME(6,0,0))</f>
        <v/>
      </c>
      <c r="F103" s="123">
        <f>D103-E103</f>
        <v/>
      </c>
      <c r="G103" s="123" t="n">
        <v>0</v>
      </c>
      <c r="H103" s="123">
        <f>F103-G103</f>
        <v/>
      </c>
      <c r="I103" s="123">
        <f>I102+H103</f>
        <v/>
      </c>
    </row>
    <row r="104">
      <c r="A104" s="45" t="n">
        <v>46149</v>
      </c>
      <c r="B104" s="123" t="n">
        <v>0.3305555555555555</v>
      </c>
      <c r="C104" s="123" t="n">
        <v>0.625</v>
      </c>
      <c r="D104" s="124">
        <f>IF(C104-B104&gt;TIME(6,0,0), (C104-B104)-TIME(1,0,0), C104-B104)</f>
        <v/>
      </c>
      <c r="E104" s="123">
        <f>IF(OR(D104&lt;=0, B104="", C104=""), 0, TIME(6,0,0))</f>
        <v/>
      </c>
      <c r="F104" s="123">
        <f>D104-E104</f>
        <v/>
      </c>
      <c r="G104" s="123" t="n">
        <v>0</v>
      </c>
      <c r="H104" s="123">
        <f>F104-G104</f>
        <v/>
      </c>
      <c r="I104" s="123">
        <f>I103+H104</f>
        <v/>
      </c>
    </row>
    <row r="105">
      <c r="A105" s="45" t="n">
        <v>46150</v>
      </c>
      <c r="B105" s="123" t="n">
        <v>0.3263888888888889</v>
      </c>
      <c r="C105" s="123">
        <f>_xlfn.MAXIFS(Atividades!$F:$F, Atividades!$A:$A, A105)</f>
        <v/>
      </c>
      <c r="D105" s="124">
        <f>IF(C105-B105&gt;TIME(6,0,0), (C105-B105)-TIME(1,0,0), C105-B105)</f>
        <v/>
      </c>
      <c r="E105" s="123">
        <f>IF(OR(D105&lt;=0, B105="", C105=""), 0, TIME(6,0,0))</f>
        <v/>
      </c>
      <c r="F105" s="123">
        <f>D105-E105</f>
        <v/>
      </c>
      <c r="G105" s="123" t="n">
        <v>0</v>
      </c>
      <c r="H105" s="123">
        <f>F105-G105</f>
        <v/>
      </c>
      <c r="I105" s="123">
        <f>I104+H105</f>
        <v/>
      </c>
    </row>
    <row r="106">
      <c r="A106" s="45" t="n">
        <v>46151</v>
      </c>
      <c r="B106" s="123" t="n">
        <v>0.3298611111111111</v>
      </c>
      <c r="C106" s="123" t="n">
        <v>0.6284722222222222</v>
      </c>
      <c r="D106" s="124">
        <f>IF(C106-B106&gt;TIME(6,0,0),C106-B106-TIME(1,0,0),C106-B106)</f>
        <v/>
      </c>
      <c r="E106" s="123">
        <f>IF(D106&gt;0,TIME(6,0,0),0)</f>
        <v/>
      </c>
      <c r="F106" s="123">
        <f>D106-E106</f>
        <v/>
      </c>
      <c r="G106" s="123" t="n">
        <v>0</v>
      </c>
      <c r="H106" s="123">
        <f>F106+G106</f>
        <v/>
      </c>
      <c r="I106" s="125">
        <f>I105+H106</f>
        <v/>
      </c>
    </row>
    <row r="107">
      <c r="A107" s="45" t="n">
        <v>46152</v>
      </c>
      <c r="B107" s="123" t="n">
        <v>0.3270833333333333</v>
      </c>
      <c r="C107" s="123" t="n">
        <v>0.6291666666666667</v>
      </c>
      <c r="D107" s="124">
        <f>IF(C107-B107&gt;TIME(6,0,0),C107-B107-TIME(1,0,0),C107-B107)</f>
        <v/>
      </c>
      <c r="E107" s="123">
        <f>IF(D107&gt;0,TIME(6,0,0),0)</f>
        <v/>
      </c>
      <c r="F107" s="123">
        <f>D107-E107</f>
        <v/>
      </c>
      <c r="G107" s="123" t="n">
        <v>0</v>
      </c>
      <c r="H107" s="123">
        <f>F107+G107</f>
        <v/>
      </c>
      <c r="I107" s="125">
        <f>I106+H107</f>
        <v/>
      </c>
    </row>
    <row r="108">
      <c r="A108" s="45" t="n">
        <v>46153</v>
      </c>
      <c r="B108" s="123">
        <f>_xlfn.MINIFS(Atividades!$E:$E,Atividades!$A:$A, A108)</f>
        <v/>
      </c>
      <c r="C108" s="123">
        <f>_xlfn.MAXIFS(Atividades!$F:$F, Atividades!$A:$A, A108)</f>
        <v/>
      </c>
      <c r="D108" s="124">
        <f>IF(C108-B108&gt;TIME(6,0,0), (C108-B108)-TIME(1,0,0), C108-B108)</f>
        <v/>
      </c>
      <c r="E108" s="123">
        <f>IF(OR(D108&lt;=0, B108="", C108=""), 0, TIME(6,0,0))</f>
        <v/>
      </c>
      <c r="F108" s="123">
        <f>D108-E108</f>
        <v/>
      </c>
      <c r="G108" s="123" t="n">
        <v>0</v>
      </c>
      <c r="H108" s="123">
        <f>F108-G108</f>
        <v/>
      </c>
      <c r="I108" s="123">
        <f>I107+H108</f>
        <v/>
      </c>
    </row>
    <row r="109">
      <c r="A109" s="45" t="n">
        <v>46154</v>
      </c>
      <c r="B109" s="123">
        <f>_xlfn.MINIFS(Atividades!$E:$E,Atividades!$A:$A, A109)</f>
        <v/>
      </c>
      <c r="C109" s="123">
        <f>_xlfn.MAXIFS(Atividades!$F:$F, Atividades!$A:$A, A109)</f>
        <v/>
      </c>
      <c r="D109" s="124">
        <f>IF(C109-B109&gt;TIME(6,0,0), (C109-B109)-TIME(1,0,0), C109-B109)</f>
        <v/>
      </c>
      <c r="E109" s="123">
        <f>IF(OR(D109&lt;=0, B109="", C109=""), 0, TIME(6,0,0))</f>
        <v/>
      </c>
      <c r="F109" s="123">
        <f>D109-E109</f>
        <v/>
      </c>
      <c r="G109" s="123" t="n">
        <v>0</v>
      </c>
      <c r="H109" s="123">
        <f>F109-G109</f>
        <v/>
      </c>
      <c r="I109" s="123">
        <f>I108+H109</f>
        <v/>
      </c>
    </row>
    <row r="110">
      <c r="A110" s="45" t="n">
        <v>46155</v>
      </c>
      <c r="B110" s="123">
        <f>_xlfn.MINIFS(Atividades!$E:$E,Atividades!$A:$A, A110)</f>
        <v/>
      </c>
      <c r="C110" s="123" t="n">
        <v>0.625</v>
      </c>
      <c r="D110" s="124">
        <f>IF(C110-B110&gt;TIME(6,0,0), (C110-B110)-TIME(1,0,0), C110-B110)</f>
        <v/>
      </c>
      <c r="E110" s="123">
        <f>IF(OR(D110&lt;=0, B110="", C110=""), 0, TIME(6,0,0))</f>
        <v/>
      </c>
      <c r="F110" s="123">
        <f>D110-E110</f>
        <v/>
      </c>
      <c r="G110" s="123" t="n">
        <v>0</v>
      </c>
      <c r="H110" s="123">
        <f>F110-G110</f>
        <v/>
      </c>
      <c r="I110" s="123">
        <f>I109+H110</f>
        <v/>
      </c>
    </row>
    <row r="111">
      <c r="A111" s="45" t="n">
        <v>46156</v>
      </c>
      <c r="B111" s="123">
        <f>_xlfn.MINIFS(Atividades!$E:$E,Atividades!$A:$A, A111)</f>
        <v/>
      </c>
      <c r="C111" s="123">
        <f>_xlfn.MAXIFS(Atividades!$F:$F, Atividades!$A:$A, A111)</f>
        <v/>
      </c>
      <c r="D111" s="124">
        <f>IF(C111-B111&gt;TIME(6,0,0), (C111-B111)-TIME(1,0,0), C111-B111)</f>
        <v/>
      </c>
      <c r="E111" s="123">
        <f>IF(OR(D111&lt;=0, B111="", C111=""), 0, TIME(6,0,0))</f>
        <v/>
      </c>
      <c r="F111" s="123">
        <f>D111-E111</f>
        <v/>
      </c>
      <c r="G111" s="123" t="n">
        <v>0</v>
      </c>
      <c r="H111" s="123">
        <f>F111-G111</f>
        <v/>
      </c>
      <c r="I111" s="123">
        <f>I110+H111</f>
        <v/>
      </c>
    </row>
    <row r="112">
      <c r="A112" s="45" t="n">
        <v>46157</v>
      </c>
      <c r="B112" s="123">
        <f>_xlfn.MINIFS(Atividades!$E:$E,Atividades!$A:$A, A112)</f>
        <v/>
      </c>
      <c r="C112" s="123">
        <f>_xlfn.MAXIFS(Atividades!$F:$F, Atividades!$A:$A, A112)</f>
        <v/>
      </c>
      <c r="D112" s="124">
        <f>IF(C112-B112&gt;TIME(6,0,0), (C112-B112)-TIME(1,0,0), C112-B112)</f>
        <v/>
      </c>
      <c r="E112" s="123">
        <f>IF(OR(D112&lt;=0, B112="", C112=""), 0, TIME(6,0,0))</f>
        <v/>
      </c>
      <c r="F112" s="123">
        <f>D112-E112</f>
        <v/>
      </c>
      <c r="G112" s="123" t="n">
        <v>0</v>
      </c>
      <c r="H112" s="123">
        <f>F112-G112</f>
        <v/>
      </c>
      <c r="I112" s="123">
        <f>I111+H112</f>
        <v/>
      </c>
    </row>
    <row r="113">
      <c r="A113" s="45" t="n">
        <v>46158</v>
      </c>
      <c r="B113" s="123" t="n">
        <v>0.3277777777777778</v>
      </c>
      <c r="C113" s="123" t="n">
        <v>0.6298611111111111</v>
      </c>
      <c r="D113" s="124">
        <f>IF(C113-B113&gt;TIME(6,0,0),C113-B113-TIME(1,0,0),C113-B113)</f>
        <v/>
      </c>
      <c r="E113" s="123">
        <f>IF(D113&gt;0,TIME(6,0,0),0)</f>
        <v/>
      </c>
      <c r="F113" s="123">
        <f>D113-E113</f>
        <v/>
      </c>
      <c r="G113" s="123" t="n">
        <v>0</v>
      </c>
      <c r="H113" s="123">
        <f>F113+G113</f>
        <v/>
      </c>
      <c r="I113" s="125">
        <f>I112+H113</f>
        <v/>
      </c>
    </row>
    <row r="114">
      <c r="A114" s="45" t="n">
        <v>46159</v>
      </c>
      <c r="B114" s="123" t="n">
        <v>0.3291666666666667</v>
      </c>
      <c r="C114" s="123" t="n">
        <v>0.6284722222222222</v>
      </c>
      <c r="D114" s="124">
        <f>IF(C114-B114&gt;TIME(6,0,0),C114-B114-TIME(1,0,0),C114-B114)</f>
        <v/>
      </c>
      <c r="E114" s="123">
        <f>IF(D114&gt;0,TIME(6,0,0),0)</f>
        <v/>
      </c>
      <c r="F114" s="123">
        <f>D114-E114</f>
        <v/>
      </c>
      <c r="G114" s="123" t="n">
        <v>0</v>
      </c>
      <c r="H114" s="123">
        <f>F114+G114</f>
        <v/>
      </c>
      <c r="I114" s="125">
        <f>I113+H114</f>
        <v/>
      </c>
    </row>
    <row r="115">
      <c r="A115" s="45" t="n">
        <v>46160</v>
      </c>
      <c r="B115" s="123">
        <f>_xlfn.MINIFS(Atividades!$E:$E,Atividades!$A:$A, A115)</f>
        <v/>
      </c>
      <c r="C115" s="123">
        <f>_xlfn.MAXIFS(Atividades!$F:$F, Atividades!$A:$A, A115)</f>
        <v/>
      </c>
      <c r="D115" s="124">
        <f>IF(C115-B115&gt;TIME(6,0,0), (C115-B115)-TIME(1,0,0), C115-B115)</f>
        <v/>
      </c>
      <c r="E115" s="123">
        <f>IF(OR(D115&lt;=0, B115="", C115=""), 0, TIME(6,0,0))</f>
        <v/>
      </c>
      <c r="F115" s="123">
        <f>D115-E115</f>
        <v/>
      </c>
      <c r="G115" s="123" t="n">
        <v>0</v>
      </c>
      <c r="H115" s="123">
        <f>F115-G115</f>
        <v/>
      </c>
      <c r="I115" s="123">
        <f>I114+H115</f>
        <v/>
      </c>
    </row>
    <row r="116">
      <c r="A116" s="45" t="n">
        <v>46161</v>
      </c>
      <c r="B116" s="123">
        <f>_xlfn.MINIFS(Atividades!$E:$E,Atividades!$A:$A, A116)</f>
        <v/>
      </c>
      <c r="C116" s="123">
        <f>_xlfn.MAXIFS(Atividades!$F:$F, Atividades!$A:$A, A116)</f>
        <v/>
      </c>
      <c r="D116" s="124">
        <f>IF(C116-B116&gt;TIME(6,0,0), (C116-B116)-TIME(1,0,0), C116-B116)</f>
        <v/>
      </c>
      <c r="E116" s="123">
        <f>IF(OR(D116&lt;=0, B116="", C116=""), 0, TIME(6,0,0))</f>
        <v/>
      </c>
      <c r="F116" s="123">
        <f>D116-E116</f>
        <v/>
      </c>
      <c r="G116" s="123" t="n">
        <v>0</v>
      </c>
      <c r="H116" s="123">
        <f>F116-G116</f>
        <v/>
      </c>
      <c r="I116" s="123">
        <f>I115+H116</f>
        <v/>
      </c>
    </row>
    <row r="117">
      <c r="A117" s="45" t="n">
        <v>46162</v>
      </c>
      <c r="B117" s="123">
        <f>_xlfn.MINIFS(Atividades!$E:$E,Atividades!$A:$A, A117)</f>
        <v/>
      </c>
      <c r="C117" s="123">
        <f>_xlfn.MAXIFS(Atividades!$F:$F, Atividades!$A:$A, A117)</f>
        <v/>
      </c>
      <c r="D117" s="124">
        <f>IF(C117-B117&gt;TIME(6,0,0), (C117-B117)-TIME(1,0,0), C117-B117)</f>
        <v/>
      </c>
      <c r="E117" s="123">
        <f>IF(OR(D117&lt;=0, B117="", C117=""), 0, TIME(6,0,0))</f>
        <v/>
      </c>
      <c r="F117" s="123">
        <f>D117-E117</f>
        <v/>
      </c>
      <c r="G117" s="123" t="n">
        <v>0</v>
      </c>
      <c r="H117" s="123">
        <f>F117-G117</f>
        <v/>
      </c>
      <c r="I117" s="123">
        <f>I116+H117</f>
        <v/>
      </c>
    </row>
    <row r="118">
      <c r="A118" s="45" t="n">
        <v>46163</v>
      </c>
      <c r="B118" s="123" t="n">
        <v>0.3243055555555556</v>
      </c>
      <c r="C118" s="123" t="n">
        <v>0.6305555555555555</v>
      </c>
      <c r="D118" s="124">
        <f>IF(C118-B118&gt;TIME(6,0,0), (C118-B118)-TIME(1,0,0), C118-B118)</f>
        <v/>
      </c>
      <c r="E118" s="123">
        <f>IF(OR(D118&lt;=0, B118="", C118=""), 0, TIME(6,0,0))</f>
        <v/>
      </c>
      <c r="F118" s="123">
        <f>D118-E118</f>
        <v/>
      </c>
      <c r="G118" s="123" t="n">
        <v>0</v>
      </c>
      <c r="H118" s="123">
        <f>F118+G118</f>
        <v/>
      </c>
      <c r="I118" s="125">
        <f>I117+H118</f>
        <v/>
      </c>
    </row>
    <row r="119">
      <c r="A119" s="45" t="n">
        <v>46164</v>
      </c>
      <c r="B119" s="123" t="n">
        <v>0.3270833333333333</v>
      </c>
      <c r="C119" s="123" t="n">
        <v>0.6291666666666667</v>
      </c>
      <c r="D119" s="124">
        <f>IF(C119-B119&gt;TIME(6,0,0), (C119-B119)-TIME(1,0,0), C119-B119)</f>
        <v/>
      </c>
      <c r="E119" s="123">
        <f>IF(OR(D119&lt;=0, B119="", C119=""), 0, TIME(6,0,0))</f>
        <v/>
      </c>
      <c r="F119" s="123">
        <f>D119-E119</f>
        <v/>
      </c>
      <c r="G119" s="123" t="n">
        <v>0</v>
      </c>
      <c r="H119" s="123">
        <f>F119+G119</f>
        <v/>
      </c>
      <c r="I119" s="125">
        <f>I118+H119</f>
        <v/>
      </c>
    </row>
    <row r="120">
      <c r="A120" s="45" t="n">
        <v>46165</v>
      </c>
      <c r="B120" s="123" t="n">
        <v>0.33125</v>
      </c>
      <c r="C120" s="123" t="n">
        <v>0.63125</v>
      </c>
      <c r="D120" s="124">
        <f>IF(C120-B120&gt;TIME(6,0,0), (C120-B120)-TIME(1,0,0), C120-B120)</f>
        <v/>
      </c>
      <c r="E120" s="123">
        <f>IF(OR(D120&lt;=0, B120="", C120=""), 0, TIME(6,0,0))</f>
        <v/>
      </c>
      <c r="F120" s="123">
        <f>D120-E120</f>
        <v/>
      </c>
      <c r="G120" s="123" t="n">
        <v>0</v>
      </c>
      <c r="H120" s="123">
        <f>F120+G120</f>
        <v/>
      </c>
      <c r="I120" s="125">
        <f>I119+H120</f>
        <v/>
      </c>
    </row>
    <row r="121">
      <c r="A121" s="45" t="n">
        <v>46166</v>
      </c>
      <c r="B121" s="123" t="n">
        <v>0.3229166666666667</v>
      </c>
      <c r="C121" s="123" t="n">
        <v>0.6284722222222222</v>
      </c>
      <c r="D121" s="124">
        <f>IF(C121-B121&gt;TIME(6,0,0), (C121-B121)-TIME(1,0,0), C121-B121)</f>
        <v/>
      </c>
      <c r="E121" s="123">
        <f>IF(OR(D121&lt;=0, B121="", C121=""), 0, TIME(6,0,0))</f>
        <v/>
      </c>
      <c r="F121" s="123">
        <f>D121-E121</f>
        <v/>
      </c>
      <c r="G121" s="123" t="n">
        <v>0</v>
      </c>
      <c r="H121" s="123">
        <f>F121+G121</f>
        <v/>
      </c>
      <c r="I121" s="125">
        <f>I120+H121</f>
        <v/>
      </c>
    </row>
    <row r="122">
      <c r="A122" s="45" t="n">
        <v>46167</v>
      </c>
      <c r="B122" s="123" t="n">
        <v>0.3277777777777778</v>
      </c>
      <c r="C122" s="123" t="n">
        <v>0.6298611111111111</v>
      </c>
      <c r="D122" s="124">
        <f>IF(C122-B122&gt;TIME(6,0,0), (C122-B122)-TIME(1,0,0), C122-B122)</f>
        <v/>
      </c>
      <c r="E122" s="123">
        <f>IF(OR(D122&lt;=0, B122="", C122=""), 0, TIME(6,0,0))</f>
        <v/>
      </c>
      <c r="F122" s="123">
        <f>D122-E122</f>
        <v/>
      </c>
      <c r="G122" s="123" t="n">
        <v>0</v>
      </c>
      <c r="H122" s="123">
        <f>F122+G122</f>
        <v/>
      </c>
      <c r="I122" s="125">
        <f>I121+H122</f>
        <v/>
      </c>
    </row>
    <row r="123">
      <c r="A123" s="45" t="n">
        <v>46168</v>
      </c>
      <c r="B123" s="123" t="n">
        <v>0.3333333333333333</v>
      </c>
      <c r="C123" s="123" t="n">
        <v>0.625</v>
      </c>
      <c r="D123" s="124">
        <f>IF(C123-B123&gt;TIME(6,0,0), (C123-B123)-TIME(1,0,0), C123-B123)</f>
        <v/>
      </c>
      <c r="E123" s="123">
        <f>IF(OR(D123&lt;=0, B123="", C123=""), 0, TIME(6,0,0))</f>
        <v/>
      </c>
      <c r="F123" s="123">
        <f>D123-E123</f>
        <v/>
      </c>
      <c r="G123" s="123" t="n">
        <v>0</v>
      </c>
      <c r="H123" s="123">
        <f>F123+G123</f>
        <v/>
      </c>
      <c r="I123" s="125">
        <f>I122+H123</f>
        <v/>
      </c>
    </row>
    <row r="124" ht="15.75" customHeight="1" thickBot="1">
      <c r="A124" s="45" t="n">
        <v>46169</v>
      </c>
      <c r="B124" s="123" t="n">
        <v>0.3298611111111111</v>
      </c>
      <c r="C124" s="123" t="n">
        <v>0.75</v>
      </c>
      <c r="D124" s="124">
        <f>IF(C124-B124&gt;TIME(6,0,0), (C124-B124)-TIME(1,0,0), C124-B124)</f>
        <v/>
      </c>
      <c r="E124" s="123">
        <f>IF(OR(D124&lt;=0, B124="", C124=""), 0, TIME(6,0,0))</f>
        <v/>
      </c>
      <c r="F124" s="123">
        <f>D124-E124</f>
        <v/>
      </c>
      <c r="G124" s="123" t="n">
        <v>0</v>
      </c>
      <c r="H124" s="123">
        <f>F124-G124</f>
        <v/>
      </c>
      <c r="I124" s="123">
        <f>I123+H124</f>
        <v/>
      </c>
    </row>
    <row r="125" ht="15.75" customHeight="1" thickBot="1">
      <c r="A125" s="45" t="inlineStr">
        <is>
          <t>28/05/2026</t>
        </is>
      </c>
      <c r="B125" s="123" t="n">
        <v>0.3277777777777778</v>
      </c>
      <c r="C125" s="123" t="n">
        <v>0.6298611111111111</v>
      </c>
      <c r="D125" s="124">
        <f>IF(C125-B125&gt;TIME(6,0,0), (C125-B125)-TIME(1,0,0), C125-B125)</f>
        <v/>
      </c>
      <c r="E125" s="123">
        <f>IF(OR(D125&lt;=0, B125="", C125=""), 0, TIME(6,0,0))</f>
        <v/>
      </c>
      <c r="F125" s="123">
        <f>D125-E125</f>
        <v/>
      </c>
      <c r="G125" s="123" t="n">
        <v>0</v>
      </c>
      <c r="H125" s="123">
        <f>F125-G125</f>
        <v/>
      </c>
      <c r="I125" s="123">
        <f>I124+H125</f>
        <v/>
      </c>
    </row>
    <row r="126" ht="15.75" customHeight="1" thickBot="1">
      <c r="A126" s="45" t="n">
        <v>46174</v>
      </c>
      <c r="B126" s="123" t="n">
        <v>0.3319444444444444</v>
      </c>
      <c r="C126" s="123" t="n">
        <v>0.625</v>
      </c>
      <c r="D126" s="124">
        <f>IF(C126-B126&gt;TIME(6,0,0), (C126-B126)-TIME(1,0,0), C126-B126)</f>
        <v/>
      </c>
      <c r="E126" s="123">
        <f>IF(OR(D126&lt;=0, B126="", C126=""), 0, TIME(6,0,0))</f>
        <v/>
      </c>
      <c r="F126" s="123" t="n">
        <v>0.001388888888888889</v>
      </c>
      <c r="G126" s="123" t="n">
        <v>0</v>
      </c>
      <c r="H126" s="123">
        <f>F126-G126</f>
        <v/>
      </c>
      <c r="I126" s="123">
        <f>I125+H126</f>
        <v/>
      </c>
    </row>
    <row r="127" ht="15.75" customHeight="1" thickBot="1">
      <c r="A127" s="45">
        <f>DATE(2026,6,2)</f>
        <v/>
      </c>
      <c r="B127" s="123" t="n">
        <v>0.3229166666666667</v>
      </c>
      <c r="C127" s="123" t="n">
        <v>0.6284722222222222</v>
      </c>
      <c r="D127" s="124">
        <f>IF(C127-B127&gt;TIME(6,0,0), (C127-B127)-TIME(1,0,0), C127-B127)</f>
        <v/>
      </c>
      <c r="E127" s="123">
        <f>IF(OR(D127&lt;=0, B127="", C127=""), 0, TIME(6,0,0))</f>
        <v/>
      </c>
      <c r="F127" s="123">
        <f>D127-E127</f>
        <v/>
      </c>
      <c r="G127" s="123" t="n">
        <v>0</v>
      </c>
      <c r="H127" s="123">
        <f>F127+G127</f>
        <v/>
      </c>
      <c r="I127" s="123">
        <f>I126+H127</f>
        <v/>
      </c>
    </row>
    <row r="128" ht="15.75" customHeight="1" thickBot="1">
      <c r="A128" s="45">
        <f>DATE(2026,6,3)</f>
        <v/>
      </c>
      <c r="B128" s="123" t="n">
        <v>0.3326388888888889</v>
      </c>
      <c r="C128" s="123" t="n">
        <v>0.6291666666666667</v>
      </c>
      <c r="D128" s="124">
        <f>IF(C128-B128&gt;TIME(6,0,0), (C128-B128)-TIME(1,0,0), C128-B128)</f>
        <v/>
      </c>
      <c r="E128" s="123">
        <f>IF(OR(D128&lt;=0, B128="", C128=""), 0, TIME(6,0,0))</f>
        <v/>
      </c>
      <c r="F128" s="123">
        <f>D128-E128</f>
        <v/>
      </c>
      <c r="G128" s="123" t="n">
        <v>0</v>
      </c>
      <c r="H128" s="123">
        <f>F128-G128</f>
        <v/>
      </c>
      <c r="I128" s="123">
        <f>I127+H128</f>
        <v/>
      </c>
    </row>
    <row r="129" ht="15.75" customHeight="1" thickBot="1">
      <c r="A129" s="45">
        <f>DATE(2026,6,5)</f>
        <v/>
      </c>
      <c r="B129" s="123" t="n"/>
      <c r="C129" s="123" t="n"/>
      <c r="D129" s="124">
        <f>IF(C129-B129&gt;TIME(6,0,0), (C129-B129)-TIME(1,0,0), C129-B129)</f>
        <v/>
      </c>
      <c r="E129" s="123">
        <f>IF(OR(D129&lt;=0, B129="", C129=""), 0, TIME(6,0,0))</f>
        <v/>
      </c>
      <c r="F129" s="123">
        <f>D129-E129</f>
        <v/>
      </c>
      <c r="G129" s="123" t="n">
        <v>0.25</v>
      </c>
      <c r="H129" s="123">
        <f>F129-G129</f>
        <v/>
      </c>
      <c r="I129" s="123">
        <f>I128+F129-G129</f>
        <v/>
      </c>
    </row>
    <row r="130" ht="15.75" customHeight="1" thickBot="1">
      <c r="A130" s="45" t="n">
        <v>46181</v>
      </c>
      <c r="B130" s="123" t="n">
        <v>0.3326388888888889</v>
      </c>
      <c r="C130" s="123" t="n">
        <v>0.6277777777777778</v>
      </c>
      <c r="D130" s="124">
        <f>IF(C130-B130&gt;TIME(6,0,0), (C130-B130)-TIME(1,0,0), C130-B130)</f>
        <v/>
      </c>
      <c r="E130" s="123">
        <f>IF(OR(D130&lt;=0, B130="", C130=""), 0, TIME(6,0,0))</f>
        <v/>
      </c>
      <c r="F130" s="123">
        <f>D130-E130</f>
        <v/>
      </c>
      <c r="G130" s="123" t="n">
        <v>0</v>
      </c>
      <c r="H130" s="123">
        <f>F130-G130</f>
        <v/>
      </c>
      <c r="I130" s="123">
        <f>I129+F130-G130</f>
        <v/>
      </c>
    </row>
    <row r="131" ht="15.75" customHeight="1" thickBot="1">
      <c r="A131" s="45">
        <f>DATE(2026,6,9)</f>
        <v/>
      </c>
      <c r="B131" s="123" t="n">
        <v>0.325</v>
      </c>
      <c r="C131" s="123" t="n">
        <v>0.6291666666666667</v>
      </c>
      <c r="D131" s="124">
        <f>C131-B131-TIME(1,0,0)</f>
        <v/>
      </c>
      <c r="E131" s="123">
        <f>IF(OR(B131="",C131=""),0,TIME(6,0,0))</f>
        <v/>
      </c>
      <c r="F131" s="123">
        <f>D131-E131</f>
        <v/>
      </c>
      <c r="G131" s="123" t="n">
        <v>0</v>
      </c>
      <c r="H131" s="123">
        <f>F131-G131</f>
        <v/>
      </c>
      <c r="I131" s="123">
        <f>I130+H131</f>
        <v/>
      </c>
    </row>
    <row r="132" ht="15.75" customHeight="1" thickBot="1">
      <c r="A132" s="45">
        <f>DATE(2026,6,10)</f>
        <v/>
      </c>
      <c r="B132" s="123" t="n">
        <v>0.3277777777777778</v>
      </c>
      <c r="C132" s="123" t="n">
        <v>0.6305555555555555</v>
      </c>
      <c r="D132" s="123">
        <f>C132-B132-TIME(1,0,0)</f>
        <v/>
      </c>
      <c r="E132" s="123">
        <f>IF(OR(B132="",C132=""),0,TIME(6,0,0))</f>
        <v/>
      </c>
      <c r="F132" s="123">
        <f>D132-E132</f>
        <v/>
      </c>
      <c r="G132" s="124" t="n">
        <v>0</v>
      </c>
      <c r="H132" s="123">
        <f>F132-G132</f>
        <v/>
      </c>
      <c r="I132" s="123">
        <f>I131+H132</f>
        <v/>
      </c>
      <c r="J132" s="123" t="n"/>
      <c r="K132" s="123" t="n"/>
      <c r="L132" s="123" t="n"/>
    </row>
    <row r="133" ht="15.75" customHeight="1" thickBot="1">
      <c r="A133" s="45" t="n"/>
      <c r="B133" s="123" t="n"/>
      <c r="C133" s="123" t="n"/>
      <c r="D133" s="124" t="n"/>
      <c r="E133" s="123" t="n"/>
      <c r="F133" s="123" t="n"/>
      <c r="G133" s="123" t="n"/>
      <c r="H133" s="123" t="n"/>
      <c r="I133" s="89" t="n"/>
      <c r="J133" s="123" t="n"/>
      <c r="K133" s="123" t="n"/>
      <c r="L133" s="124" t="n"/>
      <c r="M133" s="123" t="n"/>
      <c r="N133" s="123" t="n"/>
      <c r="O133" s="123" t="n"/>
      <c r="P133" s="123" t="n"/>
      <c r="Q133" s="123" t="n"/>
    </row>
    <row r="134" ht="15.75" customHeight="1" thickBot="1">
      <c r="A134" s="45" t="n"/>
      <c r="B134" s="123" t="n"/>
      <c r="C134" s="123" t="n"/>
      <c r="D134" s="124" t="n"/>
      <c r="E134" s="123" t="n"/>
      <c r="F134" s="123" t="n"/>
      <c r="G134" s="123" t="n"/>
      <c r="H134" s="123" t="n"/>
      <c r="I134" s="123" t="n"/>
    </row>
    <row r="135" ht="15.75" customHeight="1" thickBot="1">
      <c r="A135" s="45" t="n"/>
      <c r="B135" s="123" t="n"/>
      <c r="C135" s="123" t="n"/>
      <c r="D135" s="124" t="n"/>
      <c r="E135" s="123" t="n"/>
      <c r="F135" s="123" t="n"/>
      <c r="G135" s="123" t="n"/>
      <c r="H135" s="123" t="n"/>
      <c r="I135" s="123" t="n"/>
    </row>
    <row r="136" ht="15.75" customHeight="1" thickBot="1">
      <c r="A136" s="45" t="n"/>
      <c r="B136" s="123" t="n"/>
      <c r="C136" s="123" t="n"/>
      <c r="D136" s="124" t="n"/>
      <c r="E136" s="123" t="n"/>
      <c r="F136" s="123" t="n"/>
      <c r="G136" s="123" t="n"/>
      <c r="H136" s="123" t="n"/>
      <c r="I136" s="123" t="n"/>
    </row>
    <row r="137" ht="15.75" customHeight="1" thickBot="1">
      <c r="A137" s="45" t="n"/>
      <c r="B137" s="123" t="n"/>
      <c r="C137" s="123" t="n"/>
      <c r="D137" s="124" t="n"/>
      <c r="E137" s="123" t="n"/>
      <c r="F137" s="123" t="n"/>
      <c r="G137" s="123" t="n"/>
      <c r="H137" s="123" t="n"/>
      <c r="I137" s="123" t="n"/>
    </row>
    <row r="138" ht="15.75" customHeight="1" thickBot="1">
      <c r="A138" s="45" t="n"/>
      <c r="B138" s="123" t="n"/>
      <c r="C138" s="123" t="n"/>
      <c r="D138" s="124" t="n"/>
      <c r="E138" s="123" t="n"/>
      <c r="F138" s="123" t="n"/>
      <c r="G138" s="123" t="n"/>
      <c r="H138" s="123" t="n"/>
      <c r="I138" s="123" t="n"/>
    </row>
    <row r="139" ht="15.75" customHeight="1" thickBot="1">
      <c r="A139" s="45" t="n"/>
      <c r="B139" s="123" t="n"/>
      <c r="C139" s="123" t="n"/>
      <c r="D139" s="124" t="n"/>
      <c r="E139" s="123" t="n"/>
      <c r="F139" s="123" t="n"/>
      <c r="G139" s="123" t="n"/>
      <c r="H139" s="123" t="n"/>
      <c r="I139" s="123" t="n"/>
    </row>
    <row r="140" ht="15.75" customHeight="1" thickBot="1">
      <c r="A140" s="45" t="n"/>
      <c r="B140" s="123" t="n"/>
      <c r="C140" s="123" t="n"/>
      <c r="D140" s="124" t="n"/>
      <c r="E140" s="123" t="n"/>
      <c r="F140" s="123" t="n"/>
      <c r="G140" s="123" t="n"/>
      <c r="H140" s="123" t="n"/>
      <c r="I140" s="123" t="n"/>
    </row>
    <row r="141" ht="15.75" customHeight="1" thickBot="1">
      <c r="H141" s="123" t="n"/>
      <c r="I141" s="123" t="n"/>
    </row>
    <row r="142" ht="15.75" customHeight="1" thickBot="1">
      <c r="H142" s="123" t="n"/>
      <c r="I142" s="123" t="n"/>
    </row>
    <row r="143" ht="15.75" customHeight="1" thickBot="1">
      <c r="H143" s="123" t="n"/>
      <c r="I143" s="123" t="n"/>
    </row>
    <row r="144" ht="15.75" customHeight="1" thickBot="1">
      <c r="H144" s="123" t="n"/>
      <c r="I144" s="123" t="n"/>
    </row>
    <row r="145" ht="15.75" customHeight="1" thickBot="1">
      <c r="H145" s="123" t="n"/>
      <c r="I145" s="123" t="n"/>
    </row>
    <row r="146" ht="15.75" customHeight="1" thickBot="1">
      <c r="H146" s="123" t="n"/>
      <c r="I146" s="123" t="n"/>
    </row>
    <row r="147" ht="15.75" customHeight="1" thickBot="1">
      <c r="H147" s="123" t="n"/>
      <c r="I147" s="123" t="n"/>
    </row>
    <row r="148" ht="15.75" customHeight="1" thickBot="1">
      <c r="H148" s="123" t="n"/>
      <c r="I148" s="123" t="n"/>
    </row>
    <row r="149" ht="15.75" customHeight="1" thickBot="1">
      <c r="H149" s="123" t="n"/>
      <c r="I149" s="123" t="n"/>
    </row>
    <row r="150" ht="15.75" customHeight="1" thickBot="1">
      <c r="H150" s="123" t="n"/>
      <c r="I150" s="123" t="n"/>
    </row>
    <row r="151" ht="15.75" customHeight="1" thickBot="1">
      <c r="H151" s="123" t="n"/>
      <c r="I151" s="123" t="n"/>
    </row>
    <row r="152" ht="15.75" customHeight="1" thickBot="1">
      <c r="H152" s="123" t="n"/>
      <c r="I152" s="123" t="n"/>
    </row>
    <row r="153" ht="15.75" customHeight="1" thickBot="1">
      <c r="H153" s="123" t="n"/>
      <c r="I153" s="123" t="n"/>
    </row>
    <row r="154" ht="15.75" customHeight="1" thickBot="1">
      <c r="H154" s="123" t="n"/>
      <c r="I154" s="123" t="n"/>
    </row>
    <row r="155" ht="15.75" customHeight="1" thickBot="1">
      <c r="H155" s="123" t="n"/>
      <c r="I155" s="123" t="n"/>
    </row>
    <row r="156" ht="15.75" customHeight="1" thickBot="1">
      <c r="H156" s="123" t="n"/>
      <c r="I156" s="123" t="n"/>
    </row>
    <row r="157" ht="15.75" customHeight="1" thickBot="1">
      <c r="H157" s="123" t="n"/>
      <c r="I157" s="123" t="n"/>
    </row>
    <row r="158" ht="15.75" customHeight="1" thickBot="1">
      <c r="H158" s="123" t="n"/>
      <c r="I158" s="123" t="n"/>
    </row>
    <row r="159" ht="15.75" customHeight="1" thickBot="1">
      <c r="H159" s="123" t="n"/>
      <c r="I159" s="123" t="n"/>
    </row>
    <row r="160" ht="15.75" customHeight="1" thickBot="1">
      <c r="H160" s="123" t="n"/>
      <c r="I160" s="123" t="n"/>
    </row>
    <row r="161" ht="15.75" customHeight="1" thickBot="1">
      <c r="H161" s="123" t="n"/>
      <c r="I161" s="123" t="n"/>
    </row>
    <row r="162" ht="15.75" customHeight="1" thickBot="1">
      <c r="H162" s="123" t="n"/>
      <c r="I162" s="123" t="n"/>
    </row>
    <row r="163" ht="15.75" customHeight="1" thickBot="1">
      <c r="H163" s="123" t="n"/>
      <c r="I163" s="123" t="n"/>
    </row>
    <row r="164" ht="15.75" customHeight="1" thickBot="1">
      <c r="H164" s="123" t="n"/>
      <c r="I164" s="123" t="n"/>
    </row>
    <row r="165" ht="15.75" customHeight="1" thickBot="1">
      <c r="H165" s="123" t="n"/>
      <c r="I165" s="123" t="n"/>
    </row>
    <row r="166" ht="15.75" customHeight="1" thickBot="1">
      <c r="H166" s="123" t="n"/>
      <c r="I166" s="123" t="n"/>
    </row>
    <row r="167" ht="15.75" customHeight="1" thickBot="1">
      <c r="H167" s="123" t="n"/>
      <c r="I167" s="123" t="n"/>
    </row>
    <row r="168" ht="15.75" customHeight="1" thickBot="1">
      <c r="H168" s="123" t="n"/>
      <c r="I168" s="123" t="n"/>
    </row>
    <row r="169" ht="15.75" customHeight="1" thickBot="1">
      <c r="H169" s="123" t="n"/>
      <c r="I169" s="123" t="n"/>
    </row>
    <row r="170" ht="15.75" customHeight="1" thickBot="1">
      <c r="H170" s="123" t="n"/>
      <c r="I170" s="123" t="n"/>
    </row>
    <row r="171" ht="15.75" customHeight="1" thickBot="1">
      <c r="H171" s="123" t="n"/>
      <c r="I171" s="123" t="n"/>
    </row>
    <row r="172" ht="15.75" customHeight="1" thickBot="1">
      <c r="H172" s="123" t="n"/>
      <c r="I172" s="123" t="n"/>
    </row>
    <row r="173" ht="15.75" customHeight="1" thickBot="1">
      <c r="H173" s="123" t="n"/>
      <c r="I173" s="123" t="n"/>
    </row>
    <row r="174" ht="15.75" customHeight="1" thickBot="1">
      <c r="H174" s="123" t="n"/>
      <c r="I174" s="123" t="n"/>
    </row>
    <row r="175" ht="15.75" customHeight="1" thickBot="1">
      <c r="H175" s="123" t="n"/>
      <c r="I175" s="123" t="n"/>
    </row>
    <row r="176" ht="15.75" customHeight="1" thickBot="1">
      <c r="H176" s="123" t="n"/>
      <c r="I176" s="123" t="n"/>
    </row>
    <row r="177" ht="15.75" customHeight="1" thickBot="1">
      <c r="H177" s="123" t="n"/>
      <c r="I177" s="123" t="n"/>
    </row>
    <row r="178" ht="15.75" customHeight="1" thickBot="1">
      <c r="H178" s="123" t="n"/>
      <c r="I178" s="123" t="n"/>
    </row>
    <row r="179" ht="15.75" customHeight="1" thickBot="1">
      <c r="H179" s="123" t="n"/>
      <c r="I179" s="123" t="n"/>
    </row>
    <row r="180" ht="15.75" customHeight="1" thickBot="1">
      <c r="H180" s="123" t="n"/>
      <c r="I180" s="123" t="n"/>
    </row>
    <row r="181" ht="15.75" customHeight="1" thickBot="1">
      <c r="H181" s="123" t="n"/>
      <c r="I181" s="123" t="n"/>
    </row>
    <row r="182" ht="15.75" customHeight="1" thickBot="1">
      <c r="H182" s="123" t="n"/>
      <c r="I182" s="123" t="n"/>
    </row>
    <row r="183" ht="15.75" customHeight="1" thickBot="1">
      <c r="H183" s="123" t="n"/>
      <c r="I183" s="123" t="n"/>
    </row>
    <row r="184" ht="15.75" customHeight="1" thickBot="1">
      <c r="H184" s="123" t="n"/>
      <c r="I184" s="123" t="n"/>
    </row>
    <row r="185" ht="15.75" customHeight="1" thickBot="1">
      <c r="H185" s="123" t="n"/>
      <c r="I185" s="123" t="n"/>
    </row>
    <row r="186" ht="15.75" customHeight="1" thickBot="1">
      <c r="H186" s="123" t="n"/>
      <c r="I186" s="123" t="n"/>
    </row>
    <row r="187" ht="15.75" customHeight="1" thickBot="1">
      <c r="H187" s="123" t="n"/>
      <c r="I187" s="123" t="n"/>
    </row>
    <row r="188" ht="15.75" customHeight="1" thickBot="1">
      <c r="H188" s="123" t="n"/>
      <c r="I188" s="123" t="n"/>
    </row>
    <row r="189" ht="15.75" customHeight="1" thickBot="1">
      <c r="H189" s="123" t="n"/>
      <c r="I189" s="123" t="n"/>
    </row>
    <row r="190" ht="15.75" customHeight="1" thickBot="1">
      <c r="H190" s="123" t="n"/>
      <c r="I190" s="123" t="n"/>
    </row>
    <row r="191" ht="15.75" customHeight="1" thickBot="1">
      <c r="H191" s="123" t="n"/>
      <c r="I191" s="123" t="n"/>
    </row>
    <row r="192" ht="15.75" customHeight="1" thickBot="1">
      <c r="H192" s="123" t="n"/>
      <c r="I192" s="123" t="n"/>
    </row>
    <row r="193" ht="15.75" customHeight="1" thickBot="1">
      <c r="H193" s="123" t="n"/>
      <c r="I193" s="123" t="n"/>
    </row>
    <row r="194" ht="15.75" customHeight="1" thickBot="1">
      <c r="H194" s="123" t="n"/>
      <c r="I194" s="123" t="n"/>
    </row>
    <row r="195" ht="15.75" customHeight="1" thickBot="1">
      <c r="H195" s="123" t="n"/>
      <c r="I195" s="123" t="n"/>
    </row>
    <row r="196" ht="15.75" customHeight="1" thickBot="1">
      <c r="H196" s="123" t="n"/>
      <c r="I196" s="123" t="n"/>
    </row>
    <row r="197" ht="15.75" customHeight="1" thickBot="1">
      <c r="H197" s="123" t="n"/>
      <c r="I197" s="123" t="n"/>
    </row>
    <row r="198" ht="15.75" customHeight="1" thickBot="1">
      <c r="H198" s="123" t="n"/>
      <c r="I198" s="123" t="n"/>
    </row>
    <row r="199" ht="15.75" customHeight="1" thickBot="1">
      <c r="H199" s="123" t="n"/>
      <c r="I199" s="123" t="n"/>
    </row>
    <row r="200" ht="15.75" customHeight="1" thickBot="1">
      <c r="H200" s="123" t="n"/>
      <c r="I200" s="123" t="n"/>
    </row>
    <row r="201" ht="15.75" customHeight="1" thickBot="1">
      <c r="H201" s="123" t="n"/>
      <c r="I201" s="123" t="n"/>
    </row>
    <row r="202" ht="15.75" customHeight="1" thickBot="1">
      <c r="H202" s="123" t="n"/>
      <c r="I202" s="123" t="n"/>
    </row>
    <row r="203" ht="15.75" customHeight="1" thickBot="1">
      <c r="H203" s="123" t="n"/>
      <c r="I203" s="123" t="n"/>
    </row>
    <row r="204" ht="15.75" customHeight="1" thickBot="1">
      <c r="H204" s="123" t="n"/>
      <c r="I204" s="123" t="n"/>
    </row>
    <row r="205" ht="15.75" customHeight="1" thickBot="1">
      <c r="H205" s="123" t="n"/>
      <c r="I205" s="123" t="n"/>
    </row>
    <row r="206" ht="15.75" customHeight="1" thickBot="1">
      <c r="H206" s="123" t="n"/>
      <c r="I206" s="123" t="n"/>
    </row>
    <row r="207" ht="15.75" customHeight="1" thickBot="1">
      <c r="H207" s="123" t="n"/>
      <c r="I207" s="123" t="n"/>
    </row>
    <row r="208" ht="15.75" customHeight="1" thickBot="1">
      <c r="H208" s="123" t="n"/>
      <c r="I208" s="123" t="n"/>
    </row>
    <row r="209" ht="15.75" customHeight="1" thickBot="1">
      <c r="H209" s="123" t="n"/>
      <c r="I209" s="123" t="n"/>
    </row>
    <row r="210" ht="15.75" customHeight="1" thickBot="1">
      <c r="H210" s="123" t="n"/>
      <c r="I210" s="123" t="n"/>
    </row>
    <row r="211" ht="15.75" customHeight="1" thickBot="1">
      <c r="H211" s="123" t="n"/>
      <c r="I211" s="123" t="n"/>
    </row>
    <row r="212" ht="15.75" customHeight="1" thickBot="1">
      <c r="H212" s="123" t="n"/>
      <c r="I212" s="123" t="n"/>
    </row>
    <row r="213" ht="15.75" customHeight="1" thickBot="1">
      <c r="H213" s="123" t="n"/>
      <c r="I213" s="123" t="n"/>
    </row>
    <row r="214" ht="15.75" customHeight="1" thickBot="1">
      <c r="H214" s="123" t="n"/>
      <c r="I214" s="123" t="n"/>
    </row>
    <row r="215" ht="15.75" customHeight="1" thickBot="1">
      <c r="H215" s="123" t="n"/>
      <c r="I215" s="123" t="n"/>
    </row>
    <row r="216" ht="15.75" customHeight="1" thickBot="1">
      <c r="H216" s="123" t="n"/>
      <c r="I216" s="123" t="n"/>
    </row>
    <row r="217" ht="15.75" customHeight="1" thickBot="1">
      <c r="H217" s="123" t="n"/>
      <c r="I217" s="123" t="n"/>
    </row>
    <row r="218" ht="15.75" customHeight="1" thickBot="1">
      <c r="H218" s="123" t="n"/>
      <c r="I218" s="123" t="n"/>
    </row>
    <row r="219" ht="15.75" customHeight="1" thickBot="1">
      <c r="H219" s="123" t="n"/>
      <c r="I219" s="123" t="n"/>
    </row>
    <row r="220" ht="15.75" customHeight="1" thickBot="1">
      <c r="H220" s="123" t="n"/>
      <c r="I220" s="123" t="n"/>
    </row>
    <row r="221" ht="15.75" customHeight="1" thickBot="1">
      <c r="H221" s="123" t="n"/>
      <c r="I221" s="123" t="n"/>
    </row>
    <row r="222" ht="15.75" customHeight="1" thickBot="1">
      <c r="H222" s="123" t="n"/>
      <c r="I222" s="123" t="n"/>
    </row>
    <row r="223" ht="15.75" customHeight="1" thickBot="1">
      <c r="H223" s="123" t="n"/>
      <c r="I223" s="123" t="n"/>
    </row>
    <row r="224" ht="15.75" customHeight="1" thickBot="1">
      <c r="H224" s="123" t="n"/>
      <c r="I224" s="123" t="n"/>
    </row>
    <row r="225" ht="15.75" customHeight="1" thickBot="1">
      <c r="H225" s="123" t="n"/>
      <c r="I225" s="123" t="n"/>
    </row>
    <row r="226" ht="15.75" customHeight="1" thickBot="1">
      <c r="H226" s="123" t="n"/>
      <c r="I226" s="123" t="n"/>
    </row>
    <row r="227" ht="15.75" customHeight="1" thickBot="1">
      <c r="H227" s="123" t="n"/>
      <c r="I227" s="123" t="n"/>
    </row>
    <row r="228" ht="15.75" customHeight="1" thickBot="1">
      <c r="H228" s="123" t="n"/>
      <c r="I228" s="123" t="n"/>
    </row>
    <row r="229" ht="15.75" customHeight="1" thickBot="1">
      <c r="H229" s="123" t="n"/>
      <c r="I229" s="123" t="n"/>
    </row>
    <row r="230" ht="15.75" customHeight="1" thickBot="1">
      <c r="H230" s="123" t="n"/>
      <c r="I230" s="123" t="n"/>
    </row>
    <row r="231" ht="15.75" customHeight="1" thickBot="1">
      <c r="H231" s="123" t="n"/>
      <c r="I231" s="123" t="n"/>
    </row>
    <row r="232" ht="15.75" customHeight="1" thickBot="1">
      <c r="H232" s="123" t="n"/>
      <c r="I232" s="123" t="n"/>
    </row>
    <row r="233" ht="15.75" customHeight="1" thickBot="1">
      <c r="H233" s="123" t="n"/>
      <c r="I233" s="123" t="n"/>
    </row>
    <row r="234" ht="15.75" customHeight="1" thickBot="1">
      <c r="H234" s="123" t="n"/>
      <c r="I234" s="123" t="n"/>
    </row>
    <row r="235" ht="15.75" customHeight="1" thickBot="1">
      <c r="H235" s="123" t="n"/>
      <c r="I235" s="123" t="n"/>
    </row>
    <row r="236" ht="15.75" customHeight="1" thickBot="1">
      <c r="H236" s="123" t="n"/>
      <c r="I236" s="123" t="n"/>
    </row>
    <row r="237" ht="15.75" customHeight="1" thickBot="1">
      <c r="H237" s="123" t="n"/>
      <c r="I237" s="123" t="n"/>
    </row>
    <row r="238" ht="15.75" customHeight="1" thickBot="1">
      <c r="H238" s="123" t="n"/>
      <c r="I238" s="123" t="n"/>
    </row>
    <row r="239" ht="15.75" customHeight="1" thickBot="1">
      <c r="H239" s="123" t="n"/>
      <c r="I239" s="123" t="n"/>
    </row>
    <row r="240" ht="15.75" customHeight="1" thickBot="1">
      <c r="H240" s="123" t="n"/>
      <c r="I240" s="123" t="n"/>
    </row>
    <row r="241" ht="15.75" customHeight="1" thickBot="1">
      <c r="H241" s="123" t="n"/>
      <c r="I241" s="123" t="n"/>
    </row>
    <row r="242" ht="15.75" customHeight="1" thickBot="1">
      <c r="H242" s="123" t="n"/>
      <c r="I242" s="123" t="n"/>
    </row>
    <row r="243" ht="15.75" customHeight="1" thickBot="1">
      <c r="H243" s="123" t="n"/>
      <c r="I243" s="123" t="n"/>
    </row>
    <row r="244" ht="15.75" customHeight="1" thickBot="1">
      <c r="H244" s="123" t="n"/>
      <c r="I244" s="123" t="n"/>
    </row>
    <row r="245" ht="15.75" customHeight="1" thickBot="1">
      <c r="H245" s="123" t="n"/>
      <c r="I245" s="123" t="n"/>
    </row>
    <row r="246" ht="15.75" customHeight="1" thickBot="1">
      <c r="H246" s="123" t="n"/>
      <c r="I246" s="123" t="n"/>
    </row>
    <row r="247" ht="15.75" customHeight="1" thickBot="1">
      <c r="H247" s="123" t="n"/>
      <c r="I247" s="123" t="n"/>
    </row>
    <row r="248" ht="15.75" customHeight="1" thickBot="1">
      <c r="H248" s="123" t="n"/>
      <c r="I248" s="123" t="n"/>
    </row>
    <row r="249" ht="15.75" customHeight="1" thickBot="1">
      <c r="H249" s="123" t="n"/>
      <c r="I249" s="123" t="n"/>
    </row>
    <row r="250" ht="15.75" customHeight="1" thickBot="1">
      <c r="H250" s="123" t="n"/>
      <c r="I250" s="123" t="n"/>
    </row>
    <row r="251" ht="15.75" customHeight="1" thickBot="1">
      <c r="H251" s="123" t="n"/>
      <c r="I251" s="123" t="n"/>
    </row>
    <row r="252" ht="15.75" customHeight="1" thickBot="1">
      <c r="H252" s="123" t="n"/>
      <c r="I252" s="123" t="n"/>
    </row>
    <row r="253" ht="15.75" customHeight="1" thickBot="1">
      <c r="H253" s="123" t="n"/>
      <c r="I253" s="123" t="n"/>
    </row>
    <row r="254" ht="15.75" customHeight="1" thickBot="1">
      <c r="H254" s="123" t="n"/>
      <c r="I254" s="123" t="n"/>
    </row>
    <row r="255" ht="15.75" customHeight="1" thickBot="1">
      <c r="H255" s="123" t="n"/>
      <c r="I255" s="123" t="n"/>
    </row>
    <row r="256" ht="15.75" customHeight="1" thickBot="1">
      <c r="H256" s="123" t="n"/>
      <c r="I256" s="123" t="n"/>
    </row>
    <row r="257" ht="15.75" customHeight="1" thickBot="1">
      <c r="H257" s="123" t="n"/>
      <c r="I257" s="123" t="n"/>
    </row>
    <row r="258" ht="15.75" customHeight="1" thickBot="1">
      <c r="H258" s="123" t="n"/>
      <c r="I258" s="123" t="n"/>
    </row>
    <row r="259" ht="15.75" customHeight="1" thickBot="1">
      <c r="H259" s="123" t="n"/>
      <c r="I259" s="123" t="n"/>
    </row>
    <row r="260" ht="15.75" customHeight="1" thickBot="1">
      <c r="H260" s="123" t="n"/>
      <c r="I260" s="123" t="n"/>
    </row>
    <row r="261" ht="15.75" customHeight="1" thickBot="1">
      <c r="H261" s="123" t="n"/>
      <c r="I261" s="123" t="n"/>
    </row>
    <row r="262" ht="15.75" customHeight="1" thickBot="1">
      <c r="H262" s="123" t="n"/>
      <c r="I262" s="123" t="n"/>
    </row>
    <row r="263" ht="15.75" customHeight="1" thickBot="1">
      <c r="H263" s="123" t="n"/>
      <c r="I263" s="123" t="n"/>
    </row>
    <row r="264" ht="15.75" customHeight="1" thickBot="1">
      <c r="H264" s="123" t="n"/>
      <c r="I264" s="123" t="n"/>
    </row>
    <row r="265" ht="15.75" customHeight="1" thickBot="1">
      <c r="H265" s="123" t="n"/>
      <c r="I265" s="123" t="n"/>
    </row>
    <row r="266" ht="15.75" customHeight="1" thickBot="1">
      <c r="H266" s="123" t="n"/>
      <c r="I266" s="123" t="n"/>
    </row>
    <row r="267" ht="15.75" customHeight="1" thickBot="1">
      <c r="H267" s="123" t="n"/>
      <c r="I267" s="123" t="n"/>
    </row>
    <row r="268" ht="15.75" customHeight="1" thickBot="1">
      <c r="H268" s="123" t="n"/>
      <c r="I268" s="123" t="n"/>
    </row>
    <row r="269" ht="15.75" customHeight="1" thickBot="1">
      <c r="H269" s="123" t="n"/>
      <c r="I269" s="123" t="n"/>
    </row>
    <row r="270" ht="15.75" customHeight="1" thickBot="1">
      <c r="H270" s="123" t="n"/>
      <c r="I270" s="123" t="n"/>
    </row>
    <row r="271" ht="15.75" customHeight="1" thickBot="1">
      <c r="H271" s="123" t="n"/>
      <c r="I271" s="123" t="n"/>
    </row>
    <row r="272" ht="15.75" customHeight="1" thickBot="1">
      <c r="H272" s="123" t="n"/>
      <c r="I272" s="123" t="n"/>
    </row>
    <row r="273" ht="15.75" customHeight="1" thickBot="1">
      <c r="H273" s="123" t="n"/>
      <c r="I273" s="123" t="n"/>
    </row>
    <row r="274" ht="15.75" customHeight="1" thickBot="1">
      <c r="H274" s="123" t="n"/>
      <c r="I274" s="123" t="n"/>
    </row>
    <row r="275" ht="15.75" customHeight="1" thickBot="1">
      <c r="H275" s="123" t="n"/>
      <c r="I275" s="123" t="n"/>
    </row>
    <row r="276" ht="15.75" customHeight="1" thickBot="1">
      <c r="H276" s="123" t="n"/>
      <c r="I276" s="123" t="n"/>
    </row>
    <row r="277" ht="15.75" customHeight="1" thickBot="1">
      <c r="H277" s="123" t="n"/>
      <c r="I277" s="123" t="n"/>
    </row>
    <row r="278" ht="15.75" customHeight="1" thickBot="1">
      <c r="H278" s="123" t="n"/>
      <c r="I278" s="123" t="n"/>
    </row>
    <row r="279" ht="15.75" customHeight="1" thickBot="1">
      <c r="H279" s="123" t="n"/>
      <c r="I279" s="123" t="n"/>
    </row>
    <row r="280" ht="15.75" customHeight="1" thickBot="1">
      <c r="H280" s="123" t="n"/>
      <c r="I280" s="123" t="n"/>
    </row>
    <row r="281" ht="15.75" customHeight="1" thickBot="1">
      <c r="H281" s="123" t="n"/>
      <c r="I281" s="123" t="n"/>
    </row>
    <row r="282" ht="15.75" customHeight="1" thickBot="1">
      <c r="H282" s="123" t="n"/>
      <c r="I282" s="123" t="n"/>
    </row>
    <row r="283" ht="15.75" customHeight="1" thickBot="1">
      <c r="H283" s="123" t="n"/>
      <c r="I283" s="123" t="n"/>
    </row>
    <row r="284" ht="15.75" customHeight="1" thickBot="1">
      <c r="H284" s="123" t="n"/>
      <c r="I284" s="123" t="n"/>
    </row>
    <row r="285" ht="15.75" customHeight="1" thickBot="1">
      <c r="H285" s="123" t="n"/>
      <c r="I285" s="123" t="n"/>
    </row>
    <row r="286" ht="15.75" customHeight="1" thickBot="1">
      <c r="H286" s="123" t="n"/>
      <c r="I286" s="123" t="n"/>
    </row>
    <row r="287" ht="15.75" customHeight="1" thickBot="1">
      <c r="H287" s="123" t="n"/>
      <c r="I287" s="123" t="n"/>
    </row>
    <row r="288" ht="15.75" customHeight="1" thickBot="1">
      <c r="H288" s="123" t="n"/>
      <c r="I288" s="123" t="n"/>
    </row>
    <row r="289" ht="15.75" customHeight="1" thickBot="1">
      <c r="H289" s="123" t="n"/>
      <c r="I289" s="123" t="n"/>
    </row>
    <row r="290" ht="15.75" customHeight="1" thickBot="1">
      <c r="H290" s="123" t="n"/>
      <c r="I290" s="123" t="n"/>
    </row>
    <row r="291" ht="15.75" customHeight="1" thickBot="1">
      <c r="H291" s="123" t="n"/>
      <c r="I291" s="123" t="n"/>
    </row>
    <row r="292" ht="15.75" customHeight="1" thickBot="1">
      <c r="H292" s="123" t="n"/>
      <c r="I292" s="123" t="n"/>
    </row>
    <row r="293" ht="15.75" customHeight="1" thickBot="1">
      <c r="H293" s="123" t="n"/>
      <c r="I293" s="123" t="n"/>
    </row>
    <row r="294" ht="15.75" customHeight="1" thickBot="1">
      <c r="H294" s="123" t="n"/>
      <c r="I294" s="123" t="n"/>
    </row>
    <row r="295" ht="15.75" customHeight="1" thickBot="1">
      <c r="H295" s="123" t="n"/>
      <c r="I295" s="123" t="n"/>
    </row>
    <row r="296" ht="15.75" customHeight="1" thickBot="1">
      <c r="H296" s="123" t="n"/>
      <c r="I296" s="123" t="n"/>
    </row>
    <row r="297" ht="15.75" customHeight="1" thickBot="1">
      <c r="H297" s="123" t="n"/>
      <c r="I297" s="123" t="n"/>
    </row>
    <row r="298" ht="15.75" customHeight="1" thickBot="1">
      <c r="H298" s="123" t="n"/>
      <c r="I298" s="123" t="n"/>
    </row>
    <row r="299" ht="15.75" customHeight="1" thickBot="1">
      <c r="H299" s="123" t="n"/>
      <c r="I299" s="123" t="n"/>
    </row>
    <row r="300" ht="15.75" customHeight="1" thickBot="1">
      <c r="H300" s="123" t="n"/>
      <c r="I300" s="123" t="n"/>
    </row>
    <row r="301" ht="15.75" customHeight="1" thickBot="1">
      <c r="H301" s="123" t="n"/>
      <c r="I301" s="123" t="n"/>
    </row>
    <row r="302" ht="15.75" customHeight="1" thickBot="1">
      <c r="H302" s="123" t="n"/>
      <c r="I302" s="123" t="n"/>
    </row>
    <row r="303" ht="15.75" customHeight="1" thickBot="1">
      <c r="H303" s="123" t="n"/>
      <c r="I303" s="123" t="n"/>
    </row>
    <row r="304" ht="15.75" customHeight="1" thickBot="1">
      <c r="H304" s="123" t="n"/>
      <c r="I304" s="123" t="n"/>
    </row>
    <row r="305" ht="15.75" customHeight="1" thickBot="1">
      <c r="H305" s="123" t="n"/>
      <c r="I305" s="123" t="n"/>
    </row>
    <row r="306" ht="15.75" customHeight="1" thickBot="1">
      <c r="H306" s="123" t="n"/>
      <c r="I306" s="123" t="n"/>
    </row>
    <row r="307" ht="15.75" customHeight="1" thickBot="1">
      <c r="H307" s="123" t="n"/>
      <c r="I307" s="123" t="n"/>
    </row>
    <row r="308" ht="15.75" customHeight="1" thickBot="1">
      <c r="H308" s="123" t="n"/>
      <c r="I308" s="123" t="n"/>
    </row>
    <row r="309" ht="15.75" customHeight="1" thickBot="1">
      <c r="H309" s="123" t="n"/>
      <c r="I309" s="123" t="n"/>
    </row>
    <row r="310" ht="15.75" customHeight="1" thickBot="1">
      <c r="H310" s="123" t="n"/>
      <c r="I310" s="123" t="n"/>
    </row>
    <row r="311" ht="15.75" customHeight="1" thickBot="1">
      <c r="H311" s="123" t="n"/>
      <c r="I311" s="123" t="n"/>
    </row>
    <row r="312" ht="15.75" customHeight="1" thickBot="1">
      <c r="H312" s="123" t="n"/>
      <c r="I312" s="123" t="n"/>
    </row>
    <row r="313" ht="15.75" customHeight="1" thickBot="1">
      <c r="H313" s="123" t="n"/>
      <c r="I313" s="123" t="n"/>
    </row>
    <row r="314" ht="15.75" customHeight="1" thickBot="1">
      <c r="H314" s="123" t="n"/>
      <c r="I314" s="123" t="n"/>
    </row>
    <row r="315" ht="15.75" customHeight="1" thickBot="1">
      <c r="H315" s="123" t="n"/>
      <c r="I315" s="123" t="n"/>
    </row>
    <row r="316" ht="15.75" customHeight="1" thickBot="1">
      <c r="H316" s="123" t="n"/>
      <c r="I316" s="123" t="n"/>
    </row>
    <row r="317" ht="15.75" customHeight="1" thickBot="1">
      <c r="H317" s="123" t="n"/>
      <c r="I317" s="123" t="n"/>
    </row>
    <row r="318">
      <c r="A318" s="45">
        <f>DATE(2026,6,11)</f>
        <v/>
      </c>
      <c r="B318" s="123">
        <f>_xlfn.MINIFS(Atividades!$E:$E,Atividades!$A:$A, A318)</f>
        <v/>
      </c>
      <c r="C318" s="123">
        <f>_xlfn.MAXIFS(Atividades!$F:$F, Atividades!$A:$A, A318)</f>
        <v/>
      </c>
      <c r="D318" s="123">
        <f>IF(C318-B318&gt;TIME(6,0,0), (C318-B318)-TIME(1,0,0), C318-B318)</f>
        <v/>
      </c>
      <c r="E318" s="123">
        <f>IF(OR(D318&lt;=0, B318="", C318=""), 0, TIME(6,0,0))</f>
        <v/>
      </c>
      <c r="F318" s="123">
        <f>D318-E318</f>
        <v/>
      </c>
      <c r="G318" s="124">
        <f>TIME(0,0,0)</f>
        <v/>
      </c>
      <c r="H318" s="123">
        <f>F318-G318</f>
        <v/>
      </c>
    </row>
    <row r="319">
      <c r="A319" s="45">
        <f>DATE(2026,6,12)</f>
        <v/>
      </c>
      <c r="B319" s="123">
        <f>_xlfn.MINIFS(Atividades!$E:$E,Atividades!$A:$A, A319)</f>
        <v/>
      </c>
      <c r="C319" s="123">
        <f>_xlfn.MAXIFS(Atividades!$F:$F, Atividades!$A:$A, A319)</f>
        <v/>
      </c>
      <c r="D319" s="123">
        <f>IF(C319-B319&gt;TIME(6,0,0), (C319-B319)-TIME(1,0,0), C319-B319)</f>
        <v/>
      </c>
      <c r="E319" s="123">
        <f>IF(OR(D319&lt;=0, B319="", C319=""), 0, TIME(6,0,0))</f>
        <v/>
      </c>
      <c r="F319" s="123">
        <f>D319-E319</f>
        <v/>
      </c>
      <c r="G319" s="124">
        <f>TIME(0,0,0)</f>
        <v/>
      </c>
      <c r="H319" s="123">
        <f>F319-G319</f>
        <v/>
      </c>
    </row>
    <row r="320">
      <c r="A320" s="45">
        <f>DATE(2026,6,13)</f>
        <v/>
      </c>
      <c r="B320" s="123">
        <f>_xlfn.MINIFS(Atividades!$E:$E,Atividades!$A:$A, A320)</f>
        <v/>
      </c>
      <c r="C320" s="123">
        <f>_xlfn.MAXIFS(Atividades!$F:$F, Atividades!$A:$A, A320)</f>
        <v/>
      </c>
      <c r="D320" s="123">
        <f>IF(C320-B320&gt;TIME(6,0,0), (C320-B320)-TIME(1,0,0), C320-B320)</f>
        <v/>
      </c>
      <c r="E320" s="123">
        <f>IF(OR(D320&lt;=0, B320="", C320=""), 0, TIME(6,0,0))</f>
        <v/>
      </c>
      <c r="F320" s="123">
        <f>D320-E320</f>
        <v/>
      </c>
      <c r="G320" s="124">
        <f>TIME(0,0,0)</f>
        <v/>
      </c>
      <c r="H320" s="123">
        <f>F320-G320</f>
        <v/>
      </c>
    </row>
    <row r="321">
      <c r="A321" s="45">
        <f>DATE(2026,6,14)</f>
        <v/>
      </c>
      <c r="B321" s="123">
        <f>_xlfn.MINIFS(Atividades!$E:$E,Atividades!$A:$A, A321)</f>
        <v/>
      </c>
      <c r="C321" s="123">
        <f>_xlfn.MAXIFS(Atividades!$F:$F, Atividades!$A:$A, A321)</f>
        <v/>
      </c>
      <c r="D321" s="123">
        <f>IF(C321-B321&gt;TIME(6,0,0), (C321-B321)-TIME(1,0,0), C321-B321)</f>
        <v/>
      </c>
      <c r="E321" s="123">
        <f>IF(OR(D321&lt;=0, B321="", C321=""), 0, TIME(6,0,0))</f>
        <v/>
      </c>
      <c r="F321" s="123">
        <f>D321-E321</f>
        <v/>
      </c>
      <c r="G321" s="124">
        <f>TIME(0,0,0)</f>
        <v/>
      </c>
      <c r="H321" s="123">
        <f>F321-G321</f>
        <v/>
      </c>
    </row>
    <row r="322">
      <c r="A322" s="45">
        <f>DATE(2026,6,15)</f>
        <v/>
      </c>
      <c r="B322" s="123">
        <f>_xlfn.MINIFS(Atividades!$E:$E,Atividades!$A:$A, A322)</f>
        <v/>
      </c>
      <c r="C322" s="123">
        <f>_xlfn.MAXIFS(Atividades!$F:$F, Atividades!$A:$A, A322)</f>
        <v/>
      </c>
      <c r="D322" s="123">
        <f>IF(C322-B322&gt;TIME(6,0,0), (C322-B322)-TIME(1,0,0), C322-B322)</f>
        <v/>
      </c>
      <c r="E322" s="123">
        <f>IF(OR(D322&lt;=0, B322="", C322=""), 0, TIME(6,0,0))</f>
        <v/>
      </c>
      <c r="F322" s="123">
        <f>D322-E322</f>
        <v/>
      </c>
      <c r="G322" s="124">
        <f>TIME(0,0,0)</f>
        <v/>
      </c>
      <c r="H322" s="123">
        <f>F322-G322</f>
        <v/>
      </c>
    </row>
    <row r="323">
      <c r="A323" s="45">
        <f>DATE(2026,6,16)</f>
        <v/>
      </c>
      <c r="B323" s="123">
        <f>_xlfn.MINIFS(Atividades!$E:$E,Atividades!$A:$A, A323)</f>
        <v/>
      </c>
      <c r="C323" s="123">
        <f>_xlfn.MAXIFS(Atividades!$F:$F, Atividades!$A:$A, A323)</f>
        <v/>
      </c>
      <c r="D323" s="123">
        <f>IF(C323-B323&gt;TIME(6,0,0), (C323-B323)-TIME(1,0,0), C323-B323)</f>
        <v/>
      </c>
      <c r="E323" s="123">
        <f>IF(OR(D323&lt;=0, B323="", C323=""), 0, TIME(6,0,0))</f>
        <v/>
      </c>
      <c r="F323" s="123">
        <f>D323-E323</f>
        <v/>
      </c>
      <c r="G323" s="124">
        <f>TIME(0,0,0)</f>
        <v/>
      </c>
      <c r="H323" s="123">
        <f>F323-G323</f>
        <v/>
      </c>
    </row>
  </sheetData>
  <pageMargins left="0.511811024" right="0.511811024" top="0.787401575" bottom="0.787401575" header="0.31496062" footer="0.31496062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2025-11-04T19:41:08Z</dcterms:created>
  <dcterms:modified xsi:type="dcterms:W3CDTF">2026-06-16T12:55:53Z</dcterms:modified>
  <cp:lastModifiedBy>Julio Oliveira Santana | Pilares</cp:lastModifiedBy>
</cp:coreProperties>
</file>