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Meus_Dados\"/>
    </mc:Choice>
  </mc:AlternateContent>
  <xr:revisionPtr revIDLastSave="0" documentId="8_{86BE4B0B-25A2-42FE-8A96-078D100978B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CARGA" sheetId="8" r:id="rId1"/>
    <sheet name="Rateio" sheetId="3" r:id="rId2"/>
    <sheet name="BASE PILARES" sheetId="1" r:id="rId3"/>
    <sheet name="estrutura rateio pilares " sheetId="2" r:id="rId4"/>
  </sheets>
  <externalReferences>
    <externalReference r:id="rId5"/>
  </externalReferences>
  <definedNames>
    <definedName name="_xlnm._FilterDatabase" localSheetId="2" hidden="1">'BASE PILARES'!$A$1:$AE$246</definedName>
    <definedName name="_xlnm._FilterDatabase" localSheetId="0" hidden="1">CARGA!$A$1:$AE$10</definedName>
  </definedNames>
  <calcPr calcId="191028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D4" i="2" s="1"/>
  <c r="M9" i="3" l="1"/>
  <c r="M10" i="3"/>
  <c r="L9" i="3"/>
  <c r="L10" i="3"/>
  <c r="M7" i="3"/>
  <c r="L8" i="3"/>
  <c r="L7" i="3"/>
  <c r="M8" i="3"/>
  <c r="C6" i="2" l="1"/>
  <c r="D6" i="2" s="1"/>
  <c r="C5" i="2"/>
  <c r="D5" i="2" s="1"/>
  <c r="C3" i="2"/>
  <c r="D3" i="2" s="1"/>
  <c r="C2" i="2"/>
  <c r="D2" i="2" s="1"/>
</calcChain>
</file>

<file path=xl/sharedStrings.xml><?xml version="1.0" encoding="utf-8"?>
<sst xmlns="http://schemas.openxmlformats.org/spreadsheetml/2006/main" count="6136" uniqueCount="732">
  <si>
    <t>id</t>
  </si>
  <si>
    <t>sdssds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</si>
  <si>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</si>
  <si>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</si>
  <si>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</si>
  <si>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</si>
  <si>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</si>
  <si>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</si>
  <si>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</si>
  <si>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</si>
  <si>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</si>
  <si>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</si>
  <si>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</si>
  <si>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</si>
  <si>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</si>
  <si>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</si>
  <si>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</si>
  <si>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</si>
  <si>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</si>
  <si>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</si>
  <si>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</si>
  <si>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</si>
  <si>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</si>
  <si>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</si>
  <si>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</si>
  <si>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</si>
  <si>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</si>
  <si>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</si>
  <si>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</si>
  <si>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</si>
  <si>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</si>
  <si>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SELETIVA</t>
  </si>
  <si>
    <t>1.2</t>
  </si>
  <si>
    <t>1.2 SELETIVA</t>
  </si>
  <si>
    <t>1.2.2</t>
  </si>
  <si>
    <t>DOURADOS</t>
  </si>
  <si>
    <t>1.2.2 DOURADOS</t>
  </si>
  <si>
    <t>1.2.2.1</t>
  </si>
  <si>
    <t>ADMINISTRATIVO</t>
  </si>
  <si>
    <t>1.2.2.1 ADMINISTRATIVO</t>
  </si>
  <si>
    <t>7.5.36</t>
  </si>
  <si>
    <t>RATEIO PILARES</t>
  </si>
  <si>
    <t>7.5.36 RATEIO PILARES</t>
  </si>
  <si>
    <t>G3S DOURADOS</t>
  </si>
  <si>
    <t>RATEIO_PILARES_01</t>
  </si>
  <si>
    <t>Saída (Aplicações)</t>
  </si>
  <si>
    <t>MANUAL</t>
  </si>
  <si>
    <t>1.2.3</t>
  </si>
  <si>
    <t>LONDRINA</t>
  </si>
  <si>
    <t>1.2.3 LONDRINA</t>
  </si>
  <si>
    <t>1.2.3.1</t>
  </si>
  <si>
    <t>1.2.3.1 ADMINISTRATIVO</t>
  </si>
  <si>
    <t>G3S LONDRINA</t>
  </si>
  <si>
    <t>1.2.4</t>
  </si>
  <si>
    <t>MARINGA DISTRITO</t>
  </si>
  <si>
    <t>1.2.4 MARINGA DISTRITO</t>
  </si>
  <si>
    <t>1.2.4.1</t>
  </si>
  <si>
    <t>1.2.4.1 ADMINISTRATIVO</t>
  </si>
  <si>
    <t>G3S MARINGA</t>
  </si>
  <si>
    <t>1.2.5</t>
  </si>
  <si>
    <t>PRESIDENTE PRUDENTE</t>
  </si>
  <si>
    <t>1.2.5 PRESIDENTE PRUDENTE</t>
  </si>
  <si>
    <t>1.2.5.1</t>
  </si>
  <si>
    <t>1.2.5.1 ADMINISTRATIVO</t>
  </si>
  <si>
    <t>G3S PRUDENTE</t>
  </si>
  <si>
    <t>1.2.7</t>
  </si>
  <si>
    <t>CAMPO GRANDE</t>
  </si>
  <si>
    <t>1.2.7 CAMPO GRANDE</t>
  </si>
  <si>
    <t>1.2.7.1</t>
  </si>
  <si>
    <t>1.2.7.1 ADMINISTRATIVO</t>
  </si>
  <si>
    <t>G3S CAMPO GRANDE</t>
  </si>
  <si>
    <t>1.2.8</t>
  </si>
  <si>
    <t>MARINGA CIDADE ALTA</t>
  </si>
  <si>
    <t>1.2.8 MARINGA CIDADE ALTA</t>
  </si>
  <si>
    <t>1.2.8.1</t>
  </si>
  <si>
    <t>1.2.8.1 ADMINISTRATIVO</t>
  </si>
  <si>
    <t>G3S CIDADE ALTA</t>
  </si>
  <si>
    <t>BRACOFER</t>
  </si>
  <si>
    <t>1.3</t>
  </si>
  <si>
    <t>1.3 BRACOFER</t>
  </si>
  <si>
    <t>1.3.1</t>
  </si>
  <si>
    <t>1.3.1 PRESIDENTE PRUDENTE</t>
  </si>
  <si>
    <t>1.3.1.1</t>
  </si>
  <si>
    <t>1.3.1.1 ADMINISTRATIVO</t>
  </si>
  <si>
    <t>EKIPA CONTEINER</t>
  </si>
  <si>
    <t>1.5</t>
  </si>
  <si>
    <t>1.5 EKIPA CONTEINER</t>
  </si>
  <si>
    <t>1.5.1</t>
  </si>
  <si>
    <t>1.5.1 PRESIDENTE PRUDENTE</t>
  </si>
  <si>
    <t>1.5.1.1</t>
  </si>
  <si>
    <t>1.5.1.1 ADMINISTRATIVO</t>
  </si>
  <si>
    <t>TRANSMOVE GSL</t>
  </si>
  <si>
    <t>1.4</t>
  </si>
  <si>
    <t>1.4 TRANSMOVE GSL</t>
  </si>
  <si>
    <t>1.4.1</t>
  </si>
  <si>
    <t>1.4.1 PRESIDENTE PRUDENTE</t>
  </si>
  <si>
    <t>1.4.1.2</t>
  </si>
  <si>
    <t>1.4.1.2 ADMINISTRATIVO</t>
  </si>
  <si>
    <t>RATEIO_PILARES_02</t>
  </si>
  <si>
    <t>(Vários itens)</t>
  </si>
  <si>
    <t>Soma de Valor Oficial</t>
  </si>
  <si>
    <t>Rótulos de Coluna</t>
  </si>
  <si>
    <t>&lt;01/01/2026</t>
  </si>
  <si>
    <t>jan</t>
  </si>
  <si>
    <t>fev</t>
  </si>
  <si>
    <t>mar</t>
  </si>
  <si>
    <t>Total Geral</t>
  </si>
  <si>
    <t>Rótulos de Linha</t>
  </si>
  <si>
    <t>PILARES</t>
  </si>
  <si>
    <t>(vazio)</t>
  </si>
  <si>
    <t xml:space="preserve">EKIPA </t>
  </si>
  <si>
    <t>1.1</t>
  </si>
  <si>
    <t>1.1 PILARES</t>
  </si>
  <si>
    <t>1.1.1</t>
  </si>
  <si>
    <t>DIRETORIA</t>
  </si>
  <si>
    <t>1.1.1 DIRETORIA</t>
  </si>
  <si>
    <t>1.1.1.1</t>
  </si>
  <si>
    <t>ACIONISTAS</t>
  </si>
  <si>
    <t>1.1.1.1 ACIONISTAS</t>
  </si>
  <si>
    <t>7.3.12</t>
  </si>
  <si>
    <t>PRO LABORE</t>
  </si>
  <si>
    <t>7.3.12 PRO LABORE</t>
  </si>
  <si>
    <t>G&amp;S PRUDENTE</t>
  </si>
  <si>
    <t>A11693</t>
  </si>
  <si>
    <t>A11693 PAGTO REF A FOLHA PRO LABORE COMPETENCIA DEZEMBRO 2025.</t>
  </si>
  <si>
    <t>235</t>
  </si>
  <si>
    <t>GIULIANA  ANDREA VICCINO SALMAZZO</t>
  </si>
  <si>
    <t>SAGI</t>
  </si>
  <si>
    <t>GXS MARINGA</t>
  </si>
  <si>
    <t>A11692</t>
  </si>
  <si>
    <t>A11692 PAGTO REF A FOLHA PRO LABORE COMPETENCIA DEZEMBRO 2025</t>
  </si>
  <si>
    <t>180</t>
  </si>
  <si>
    <t>RENATO JOSE APARECIDO SALTEIRO</t>
  </si>
  <si>
    <t>1.1.15</t>
  </si>
  <si>
    <t>MANUTENCAO DE MÁQUINAS E VEICULOS</t>
  </si>
  <si>
    <t>1.1.15 MANUTENCAO DE MÁQUINAS E VEICULOS</t>
  </si>
  <si>
    <t>7.3.23</t>
  </si>
  <si>
    <t>HONORÁRIOS PJ</t>
  </si>
  <si>
    <t>7.3.23 HONORÁRIOS PJ</t>
  </si>
  <si>
    <t>0000X7116</t>
  </si>
  <si>
    <t>PAGTO PJ DEZ 25 PAGTO REF A REMUNERAÇÃO PJ COMPETENCIA DEZEMBRO 2025</t>
  </si>
  <si>
    <t>23190</t>
  </si>
  <si>
    <t>PAGAMENTO FUNCIONÁRIOS</t>
  </si>
  <si>
    <t>7.3.6</t>
  </si>
  <si>
    <t>PLANO DE SAÚDE</t>
  </si>
  <si>
    <t>7.3.6 PLANO DE SAÚDE</t>
  </si>
  <si>
    <t>27308</t>
  </si>
  <si>
    <t xml:space="preserve"> [GIULIANA] REF A PLANO DE SAUDE FAMILIAR - SUL AMERICA_x000D_
SOLICITADO POR ADRIANA NOGUEIRA_x000D_
VENCIMENTO EM 08/01/2026_x000D_
VALOR TOTAL R$ 5.989,17_x000D_
PAGAMENTO VIA BOLETO BANCARIO</t>
  </si>
  <si>
    <t>30349</t>
  </si>
  <si>
    <t>SUL AMERICA COMPANHIA DE SEGURO SAUDE</t>
  </si>
  <si>
    <t>1.1.12</t>
  </si>
  <si>
    <t>MARKETING</t>
  </si>
  <si>
    <t>1.1.12 MARKETING</t>
  </si>
  <si>
    <t>7.2.5</t>
  </si>
  <si>
    <t>PUBLICIDADE E PROPAGANDA</t>
  </si>
  <si>
    <t>7.2.5 PUBLICIDADE E PROPAGANDA</t>
  </si>
  <si>
    <t>NFSE-105</t>
  </si>
  <si>
    <t xml:space="preserve"> CRISTINA - REF A GRAVAÇÃO E EDICOES DE VIDEOS - PAGAMENTO: BOLETO BANCARIO_x000D_
VENCIMENTO: 15/01 -  NFS - 105 -</t>
  </si>
  <si>
    <t>23003</t>
  </si>
  <si>
    <t>MARAIZA FEITOSA MARTINS PARDINI</t>
  </si>
  <si>
    <t>1.1.2</t>
  </si>
  <si>
    <t>1.1.2 ADMINISTRATIVO</t>
  </si>
  <si>
    <t>7.1.16</t>
  </si>
  <si>
    <t>SERVIÇOS DE TERCEIROS</t>
  </si>
  <si>
    <t>7.1.16 SERVIÇOS DE TERCEIROS</t>
  </si>
  <si>
    <t>X27739</t>
  </si>
  <si>
    <t xml:space="preserve"> [GIULIANA] - REF. AO SERVICO DE MOTOBOY REALIZADO POR ADILSON NA UNIDADE DE PRUDENTE,_x000D_
COMPETENCIA MES 12/2025_x000D_
ACORDADO VALOR FIXO DE R$1.350,00, AUTORIZADO PELO SR. RENATO _x000D_
VENCIMENTO EM 15/01/2026_x000D_
PAGAMENTO EM ESPÉCIE</t>
  </si>
  <si>
    <t>13996</t>
  </si>
  <si>
    <t>ADILSON ALVES PEREIRA</t>
  </si>
  <si>
    <t>1.1.10</t>
  </si>
  <si>
    <t>PESSOAS</t>
  </si>
  <si>
    <t>1.1.10 PESSOAS</t>
  </si>
  <si>
    <t>7.4.6</t>
  </si>
  <si>
    <t>IRRF</t>
  </si>
  <si>
    <t>7.4.6 IRRF</t>
  </si>
  <si>
    <t>ARRECADAÇAOG3S01122025</t>
  </si>
  <si>
    <t>GUIA INSS/IRRF DEZ 2025 PAGTO REF A GUIA ARRECADAÇÃO ( INSS/IRRF) FOLHA FUNCIONARIOS(AS) COMPETENCIA DEZEMBRO 2025</t>
  </si>
  <si>
    <t>23182</t>
  </si>
  <si>
    <t>SECRETARIA DA RECEITA FEDERAL</t>
  </si>
  <si>
    <t>7.3.3</t>
  </si>
  <si>
    <t>INSS</t>
  </si>
  <si>
    <t>7.3.3 INSS</t>
  </si>
  <si>
    <t>7.3.2</t>
  </si>
  <si>
    <t>FGTS</t>
  </si>
  <si>
    <t>7.3.2 FGTS</t>
  </si>
  <si>
    <t>FGTSG3S01122025</t>
  </si>
  <si>
    <t>GUIA FGTS DEZ25 PAGTO REF A GFD GUIA DO FGTS FOLHA FUNCIONARIOS(AS) (FGTS 13º SA L R$ 6.466,52 E FGTS FOLHA R$ 17.450,32 E CONSIGNADO R$ 7.129,31) COMPETENCIA DEZEMBRO 2025.</t>
  </si>
  <si>
    <t>6030</t>
  </si>
  <si>
    <t>CAIXA ECONOMICA FEDERAL</t>
  </si>
  <si>
    <t>FGTSG&amp;S122025</t>
  </si>
  <si>
    <t>GUIA FGTS DEZ 25 PAGTO REF A GFD GUIA DO FGTS FOLHA FUNCIONARIOS(AS) (FGTS 13º SA L R$ 5.399,42 E FGTS FOLHA R$ 12.666,75 E CONSIGNADO R$ 1.883,58) COMPETENCIA DEZEMBRO 2025.</t>
  </si>
  <si>
    <t>7.3.1</t>
  </si>
  <si>
    <t>SALÁRIOS</t>
  </si>
  <si>
    <t>7.3.1 SALÁRIOS</t>
  </si>
  <si>
    <t>0000X7163</t>
  </si>
  <si>
    <t>DIARIA DEZEMBRO 2025 PAGTO REF DIARIA COMPETENCIA DEZEMBRO 2025, LIMPEZA REFEITORIO SELETIVA P PTE</t>
  </si>
  <si>
    <t>7.5.22</t>
  </si>
  <si>
    <t>DESPESAS BANCARIAS</t>
  </si>
  <si>
    <t>7.5.22 DESPESAS BANCARIAS</t>
  </si>
  <si>
    <t>NFSE-3983577</t>
  </si>
  <si>
    <t xml:space="preserve"> [GIULIANA] REF A SERVIÇOS PRESTADOS DE LICENCIAMENTO DE PROGRAMAS DE COMPUTADOR - FLASH EXPENSE_x000D_
PERIODO: DEZEMBRO/2025_x000D_
NFS 003.983.577 VENCIMENTO 15/01/2026_x000D_
PAGAMENTO VIA BOLETO BANCARIO</t>
  </si>
  <si>
    <t>701</t>
  </si>
  <si>
    <t>FLASH TECNOLOGIA E INSTITUICAO DE PAGAMENTO LTDA</t>
  </si>
  <si>
    <t>NFSE-108</t>
  </si>
  <si>
    <t xml:space="preserve">OC 27710 - REF A GRAVAÇÃO E EDIÇOES DE VIDEOS._x000D_
PAGAMENTO BOLETO BANCARIO_x000D_
VENCIMENTO - 15/01_x000D_
NFS - 108_x000D_
</t>
  </si>
  <si>
    <t>RSE</t>
  </si>
  <si>
    <t>FGTSRSE01122025</t>
  </si>
  <si>
    <t>GUIA FGTS DEZ 25 PAGTO REF A GFD GUIA DO FGTS FOLHA FUNCIONARIA (FGTS 13º SA L R$ 93,15 E FGTS FOLHA R$ 215,34 ) COMPETENCIA DEZEMBRO 2025.</t>
  </si>
  <si>
    <t>7.1.10</t>
  </si>
  <si>
    <t>IPVA</t>
  </si>
  <si>
    <t>7.1.10 IPVA</t>
  </si>
  <si>
    <t>IPVA 2026 TKQ2D62</t>
  </si>
  <si>
    <t xml:space="preserve"> HUGO - IPVA 2026 - TKQ2D62 - RENAVAM 01422588286</t>
  </si>
  <si>
    <t>25777</t>
  </si>
  <si>
    <t>SECRETARIA DA FAZENDA SAO PAULO</t>
  </si>
  <si>
    <t>7.3.10</t>
  </si>
  <si>
    <t>TRANSPORTE DE COLABORADORES</t>
  </si>
  <si>
    <t>7.3.10 TRANSPORTE DE COLABORADORES</t>
  </si>
  <si>
    <t>SEMPARARG3S08012026</t>
  </si>
  <si>
    <t>SEM PARAR JANEIRO 2026 PAGTO REF AO MULTI BENIFICIO CARTÃO SEM PARAR COMPETENCIA JANEIRO 2026</t>
  </si>
  <si>
    <t>31755</t>
  </si>
  <si>
    <t>VB SERVICOS COMERCIO E ADMINISTRACAO. LTDA.</t>
  </si>
  <si>
    <t>7.3.8</t>
  </si>
  <si>
    <t>CESTA BÁSICA</t>
  </si>
  <si>
    <t>7.3.8 CESTA BÁSICA</t>
  </si>
  <si>
    <t>SEMPARARG3S11012026</t>
  </si>
  <si>
    <t>SEM PARAR JANEIRO 2026 PAGTO REF AO MULTI BENEFICIO CARTÃO SEM PARAR COMPETENCIA  JANEIRO 2026</t>
  </si>
  <si>
    <t>SEMPARARG3S04012026</t>
  </si>
  <si>
    <t>SEM PARAR JANEIRO 2026 PAGTO REF AO MULTI BENEFICIO CARTÃO SEM PARAR COMPETENCIA JANEIRO 2026</t>
  </si>
  <si>
    <t>1.1.14</t>
  </si>
  <si>
    <t>SUPRIMENTOS</t>
  </si>
  <si>
    <t>1.1.14 SUPRIMENTOS</t>
  </si>
  <si>
    <t>0000X6924</t>
  </si>
  <si>
    <t>PJ DEZEMBRO 2025 PAGTO REF A  PESSOA JURIDICA FOLHA COMPETENCIA DEZEMBRO 2025</t>
  </si>
  <si>
    <t>A11690</t>
  </si>
  <si>
    <t>A11690 PAGTO REF A DOAÇÃO CESTA BASICA  COMP DEZEMBRO 25</t>
  </si>
  <si>
    <t>25188</t>
  </si>
  <si>
    <t>LUIZ DO CARMO PEREIRA</t>
  </si>
  <si>
    <t>G&amp;S CAMPO GRANDE</t>
  </si>
  <si>
    <t>SEMPARARG&amp;S06012026</t>
  </si>
  <si>
    <t>SEMPARARRSE012026</t>
  </si>
  <si>
    <t>8.1.1</t>
  </si>
  <si>
    <t>VEÍCULOS</t>
  </si>
  <si>
    <t>8.1.1 VEÍCULOS</t>
  </si>
  <si>
    <t>ADT - ITATIAIA</t>
  </si>
  <si>
    <t xml:space="preserve"> HUGO - REFERE-SE SALDO DE PAGAMENTODE COMPRA DE DOIS VEÍCULOS QUE FORAM ADIQUIRIDOS DA CARTA CONTEMPLADA CONSÓRCIO VOLVO GRUPO: 178 COTA: 098</t>
  </si>
  <si>
    <t>32019</t>
  </si>
  <si>
    <t>ITATIAIA DISTRIBUIDORA DE VEICULOS LTDA</t>
  </si>
  <si>
    <t>7.3.15</t>
  </si>
  <si>
    <t>SEGURO DE VIDA</t>
  </si>
  <si>
    <t>7.3.15 SEGURO DE VIDA</t>
  </si>
  <si>
    <t>SEGUROVIDAG&amp;S06012026</t>
  </si>
  <si>
    <t>SEGURO DE VIDA JANEIRO 2026 PAGTO REF A SEGURO DE VIDA FUNCIONARIOS(AS) COMPETENCIA JANEIRO 2026.</t>
  </si>
  <si>
    <t>549</t>
  </si>
  <si>
    <t>ICATU SEGUROS S.A</t>
  </si>
  <si>
    <t>G&amp;S LONDRINA</t>
  </si>
  <si>
    <t>SEGUROVIDAG&amp;S07012026</t>
  </si>
  <si>
    <t>SEGUROVIDAG&amp;S01012026</t>
  </si>
  <si>
    <t>SEGUR DE VIDA JANEIRO 2026 PAGTO REF A SEGURO DE VIDA FUNCIONARIOS(AS) COMPETENCIA JANEIRO 2026.</t>
  </si>
  <si>
    <t>SEGUROVIDARSE012026</t>
  </si>
  <si>
    <t>7.1.9</t>
  </si>
  <si>
    <t>MULTAS DE TRANSITO</t>
  </si>
  <si>
    <t>7.1.9 MULTAS DE TRANSITO</t>
  </si>
  <si>
    <t>OC 28092 - MULTA AI X850047453</t>
  </si>
  <si>
    <t xml:space="preserve"> CRISTINA - MULTA DE TRANSITO SR. RENATO _x000D_
DADOS DA MULTA_x000D_
AUTO DE INFRAÇÃO (AI): X850047453_x000D_
INFRATOR: RENATO SALTEIRO _x000D_
DATA DA INFRAÇÃO: 04/12/2025_x000D_
INFRAÇÃO: TRANSITAR EM VELOCIDADE SUPERIOR A MAXIMA PERMITIDA EM ATE 20%_x000D_
PLACA: TKQ2D62_x000D_
RENAVAM: 01422588286</t>
  </si>
  <si>
    <t>32020</t>
  </si>
  <si>
    <t>MUNICIPIO DE OSASCO</t>
  </si>
  <si>
    <t>SEGUROVIDAG3S03012026</t>
  </si>
  <si>
    <t>SEGUROVIDAG3S04012026</t>
  </si>
  <si>
    <t>G3S ADM</t>
  </si>
  <si>
    <t>SEGUROVIDAG3S10012026</t>
  </si>
  <si>
    <t>1.1.3</t>
  </si>
  <si>
    <t>FINANCEIRO</t>
  </si>
  <si>
    <t>1.1.3 FINANCEIRO</t>
  </si>
  <si>
    <t>NFSE-8</t>
  </si>
  <si>
    <t xml:space="preserve"> [GIULIANA] REF AOS SERVICOS PRESTADOS POR ADRIANA NOGUEIRA_x000D_
COMPETENCIA 01/2026_x000D_
SOLICITADO POR ADRIANA NOGUEIRA_x000D_
NF 000.000.008_x000D_
VALOR: R$8.800,00_x000D_
VENCIMENTO EM 05/02/2026_x000D_
PAGAMENTO VIA TRANSFERENCIA/PIX</t>
  </si>
  <si>
    <t>31094</t>
  </si>
  <si>
    <t>ARNS SERVICOS ADMINISTRATIVOS LTDA</t>
  </si>
  <si>
    <t>0000X7908</t>
  </si>
  <si>
    <t>FOLHA PJ JANEIRO 2026 PAGTO REF A FOLHA PAGAMENTO PJ COMPETÊNCIA JANEIRO 2026 - OPERAÇÃO/MANUTENÇÃO VEICULOS</t>
  </si>
  <si>
    <t>7.3.22</t>
  </si>
  <si>
    <t>BOLSA ESTAGIO</t>
  </si>
  <si>
    <t>7.3.22 BOLSA ESTAGIO</t>
  </si>
  <si>
    <t>0000X7962</t>
  </si>
  <si>
    <t>DIA LOJA JANEIRO 26 PAGTO REF A DIA TRABALHADO LOJA COMPETENCIA JANEIRO 2026.</t>
  </si>
  <si>
    <t>S11762</t>
  </si>
  <si>
    <t xml:space="preserve">S11762 </t>
  </si>
  <si>
    <t>31701</t>
  </si>
  <si>
    <t>ISADORA THAYNA VIOTTO DIAS</t>
  </si>
  <si>
    <t>S11763</t>
  </si>
  <si>
    <t>S11763 PAGTO REF A FOLHA BOLSA ESTAGIIO COMP JANEIRO 2026</t>
  </si>
  <si>
    <t>31600</t>
  </si>
  <si>
    <t>JOAO EMANUEL SANTOS SILVA</t>
  </si>
  <si>
    <t>28372</t>
  </si>
  <si>
    <t xml:space="preserve"> [GIULIANA] REF A PLANO DE SAUDE FAMILIAR - SUL AMERICA_x000D_
SOILICITADO POR ADRIANA NOGUEIRA_x000D_
VENCIMENTO EM 09/01/2026_x000D_
VALOR TOTAL R$ 5.989,17_x000D_
PAGAMENTO VIA BOLETO BANCARIO</t>
  </si>
  <si>
    <t>7.5.18</t>
  </si>
  <si>
    <t>SISTEMAS</t>
  </si>
  <si>
    <t>7.5.18 SISTEMAS</t>
  </si>
  <si>
    <t>NFSE-34188</t>
  </si>
  <si>
    <t xml:space="preserve"> [GIULIANA] REF A SERVIÇOS PRESTADOS DA PLATAFORMA DE DESPESAS CORPORATIVAS PAYFY_x000D_
PERIODO: FEVEREIRO/2026_x000D_
NFS 000.034.188 VENCIMENTO 10/02/2026_x000D_
PAGAMENTO VIA BOLETO BANCARIO</t>
  </si>
  <si>
    <t>32092</t>
  </si>
  <si>
    <t>PAYFY S/A</t>
  </si>
  <si>
    <t>7.5.13</t>
  </si>
  <si>
    <t>SEGUROS</t>
  </si>
  <si>
    <t>7.5.13 SEGUROS</t>
  </si>
  <si>
    <t>SEG-GLA200</t>
  </si>
  <si>
    <t xml:space="preserve"> RE. AO SEGURO DO VEÍCULO MERCEDES GLA 200, ONDE FOI UTILIZADA A APÓLICE DO VOLVO XC60 E SERÁ PAGO APENAS A DIFERENÇA, VIA BOLETO BANCÁRIO, NO VALOR DE R$ 639,79 - PARCELA UNICA. FOI ACORDADO QUE O SEGURO SERIA REALIZADO EM NOME DA G3S, EM RAZÃO DOS BÔNUS DISPONÍVEIS EM NOME DA SRA. GIULIANA.</t>
  </si>
  <si>
    <t>24102</t>
  </si>
  <si>
    <t>YELUM SEGUROS S/A</t>
  </si>
  <si>
    <t>X28483</t>
  </si>
  <si>
    <t xml:space="preserve"> [GIULIANA] - REF. AO SERVICO DE MOTOBOY REALIZADO POR ADILSON NA UNIDADE DE PRUDENTE,_x000D_
COMPETENCIA MES 01/2026_x000D_
ACORDADO VALOR FIXO DE R$1.350,00, AUTORIZADO PELO SR. RENATO _x000D_
VENCIMENTO EM 15/02/2026_x000D_
PAGAMENTO EM ESPÉCIE</t>
  </si>
  <si>
    <t>1.1.4</t>
  </si>
  <si>
    <t>CONTABILIDADE/FISCAL</t>
  </si>
  <si>
    <t>1.1.4 CONTABILIDADE/FISCAL</t>
  </si>
  <si>
    <t>7.5.25</t>
  </si>
  <si>
    <t>DESPESA DE CARTÓRIO</t>
  </si>
  <si>
    <t>7.5.25 DESPESA DE CARTÓRIO</t>
  </si>
  <si>
    <t>NFSE-69</t>
  </si>
  <si>
    <t xml:space="preserve"> - GIULIANA NFS 69 - VENC 15/02/2026 - BOLETO - REF A SERVIÇOS CARTORÁRIOS DURANTE O MÊS 01/2026_x000D_
29/01/2026 - RECONHECIMENTO SEM VALOR 157935 - 18,18</t>
  </si>
  <si>
    <t>7497</t>
  </si>
  <si>
    <t>BRUNA CARLA SALOMAO NOGUEIRA CUNHA MELO</t>
  </si>
  <si>
    <t>NFSE-4144482</t>
  </si>
  <si>
    <t xml:space="preserve"> [GIULIANA] REF A SERVIÇOS PRESTADOS DE LICENCIAMENTO DE PROGRAMAS DE COMPUTADOR - FLASH EXPENSE_x000D_
PERIODO: JANEIRO/2026_x000D_
NFS 004.144.482 VENCIMENTO 15/02/2026_x000D_
PAGAMENTO VIA BOLETO BANCARIO</t>
  </si>
  <si>
    <t>NFSE-13831</t>
  </si>
  <si>
    <t xml:space="preserve">MENSALIDADE AHGORA JANEIRO 26 PAGTO REF A MENSALIDADE SISTEMA PONTO FUNCIONARIOS(AS) COMPETENCIA JANEIRO 2026._x000D_
</t>
  </si>
  <si>
    <t>24792</t>
  </si>
  <si>
    <t>AHGORA HCM SA</t>
  </si>
  <si>
    <t>7.1.12</t>
  </si>
  <si>
    <t>PEDÁGIO</t>
  </si>
  <si>
    <t>7.1.12 PEDÁGIO</t>
  </si>
  <si>
    <t>OC 28648 SEM PARAR</t>
  </si>
  <si>
    <t xml:space="preserve"> CRISTINA - REF. A PEDAGIO SEM PARAR_x000D_
BKW9I57 20,94_x000D_
GDS7F95 20,94_x000D_
GFA0D41 80,94_x000D_
TKQ2D62 814,60_x000D_
Nº da Fatura: 2636504383_x000D_
Nº da Nota Fiscal: 678989417</t>
  </si>
  <si>
    <t>944</t>
  </si>
  <si>
    <t>CENTRO DE GESTAO DE MEIO DE PGTO S.A SEM PARAR</t>
  </si>
  <si>
    <t>ARRECADAÇÃOINSSG3S012026</t>
  </si>
  <si>
    <t>ARRECADAÇÃO INSS/IRRF JAN26 PAGTO REF A GUIA  ARRECADAÇÃO ENCARGOS INSS FUNCIONARIOS(AS) E EMPRESA G3S MATRIZ E FILIAIS COMPETENCIA FOLHA JANEIRO 2026.</t>
  </si>
  <si>
    <t>FGTSG3S01012026</t>
  </si>
  <si>
    <t>GUIA FGTS JANEIRO 2026 PAGTO REF A GUIA DO FGTS FOLHA FUNCIONARIOS(AS) COMPETENCIA JANEIRO 2026 (FGTS R$ 15.287,30) ( EMPRESTINO CONSIGNADO R$ 6.721,42)</t>
  </si>
  <si>
    <t>7.3.25</t>
  </si>
  <si>
    <t>BENEFÍCIOS DIVERSOS</t>
  </si>
  <si>
    <t>7.3.25 BENEFÍCIOS DIVERSOS</t>
  </si>
  <si>
    <t>SEMPARARG3S010226</t>
  </si>
  <si>
    <t>PAGTO REF SEM PARAR 02/26 PAGTO REF A CARTÃO BENEFICIO SEM PARAR COMP FEVEREIRO 2026</t>
  </si>
  <si>
    <t>SEMPARARG3S100226</t>
  </si>
  <si>
    <t>PAGTO REF SEM PARAR 02/26 PAGTO REF A CARTÃO BENEFICIO SEM PARAR COMP FEVEREIRO 2026.</t>
  </si>
  <si>
    <t>SEMPARARG3S110226</t>
  </si>
  <si>
    <t>SEMPARARG3S030226</t>
  </si>
  <si>
    <t>PAGTO REF SEM PARAR COMP 02/26 PAGTO REF A CARTÃO BENEFICIO SEM PARAR COMP FEVEREIRO 2026.</t>
  </si>
  <si>
    <t>SEMPARARG3S080226</t>
  </si>
  <si>
    <t>G&amp;S BARUERI</t>
  </si>
  <si>
    <t>SEMPARARG&amp;S05026</t>
  </si>
  <si>
    <t>SEMPARARG&amp;S060226</t>
  </si>
  <si>
    <t>G&amp;S DOURADOS</t>
  </si>
  <si>
    <t>SEMPARARG&amp;S030226</t>
  </si>
  <si>
    <t>G&amp;S MARINGA</t>
  </si>
  <si>
    <t>SEMPARARG&amp;S040226</t>
  </si>
  <si>
    <t>SEMPARARG&amp;S010226</t>
  </si>
  <si>
    <t>5.2.1</t>
  </si>
  <si>
    <t>VENDA DE VEÍCULOS</t>
  </si>
  <si>
    <t>5.2.1 VENDA DE VEÍCULOS</t>
  </si>
  <si>
    <t>DEV. GLE 450 - NFE 9.354</t>
  </si>
  <si>
    <t xml:space="preserve"> REFERENTE A DEVOLUCAO DE COMPRA DE ATIVO MOBILIZADO - VEICULO MERCEDES BENZ GLE 450 ANO: 2024/2025 PLACA: SWN8H03 COR: PRETA CHASSI W1NFD3DW5SB278536 RENAVAM: 01424128789 - NFE DEV N° 9.354 COM EMISSAO EM 11/02/2026.</t>
  </si>
  <si>
    <t>SEGUROVIDAG3S110226</t>
  </si>
  <si>
    <t>PAGTO REF SEGURO VIDA 02/26 PAGTO REF SEGURO DE VIDA ICATU MENSAL COMP FEVEREIRO 2026.</t>
  </si>
  <si>
    <t>SEGUROVIDAG3S030226</t>
  </si>
  <si>
    <t>1.1.9</t>
  </si>
  <si>
    <t>RECURSOS HUMANOS</t>
  </si>
  <si>
    <t>1.1.9 RECURSOS HUMANOS</t>
  </si>
  <si>
    <t>7.5.9</t>
  </si>
  <si>
    <t>CONSULTORIA</t>
  </si>
  <si>
    <t>7.5.9 CONSULTORIA</t>
  </si>
  <si>
    <t>NFSE-56486</t>
  </si>
  <si>
    <t>PESQUISA CADASTRAL SERVIÇOS DE PESQUISA CADASTRAL PARA RECRUTAMENTO</t>
  </si>
  <si>
    <t>23025</t>
  </si>
  <si>
    <t>FIDELITY PESQUISAS CADASTRAIS LTDA ME</t>
  </si>
  <si>
    <t>7.4.5</t>
  </si>
  <si>
    <t>ISS</t>
  </si>
  <si>
    <t>7.4.5 ISS</t>
  </si>
  <si>
    <t>ISSTOMADOR012026G3S04</t>
  </si>
  <si>
    <t xml:space="preserve"> ISS TOMADOR RETIDO REFERENTE AO MÊS JANEIRO/2026 - NFS 36, 182, 4414, 3, 6815, 34, 1345 E 2040.</t>
  </si>
  <si>
    <t>30844</t>
  </si>
  <si>
    <t>PREFEITURA MUNICIPAL DE PRESIDENTE PRUDENTE</t>
  </si>
  <si>
    <t>SEGUROVIDAG&amp;S070226</t>
  </si>
  <si>
    <t>SEGUROVIDAG&amp;S010226</t>
  </si>
  <si>
    <t>PAGTO REF SEGURO VIDA 02/26 PAGTO REF SEGURO DE VIDA ICATU MENSAL COMP FEVEREIRO 2026</t>
  </si>
  <si>
    <t>SEGUROVIDARSE0226</t>
  </si>
  <si>
    <t>NFSE-411</t>
  </si>
  <si>
    <t>SERVIÇOS DE RES MARINGA SERVIÇOS DE RECRUTAMENTO E SELEÇÃO PARA MARINGA</t>
  </si>
  <si>
    <t>31160</t>
  </si>
  <si>
    <t>ENJOY RH LTDA</t>
  </si>
  <si>
    <t>7.3.19</t>
  </si>
  <si>
    <t>FERIAS</t>
  </si>
  <si>
    <t>7.3.19 FERIAS</t>
  </si>
  <si>
    <t>A11809</t>
  </si>
  <si>
    <t>A11809 PAGTO REF A FERIAS 02/03/2026 A 06/03/2026</t>
  </si>
  <si>
    <t>6825</t>
  </si>
  <si>
    <t>MARIANE  APARECIDA DOS SANTOS MOREIRA</t>
  </si>
  <si>
    <t>TFGXN250226</t>
  </si>
  <si>
    <t xml:space="preserve"> REFERENTE A CESTA DE RELACIONAMENTO GXN</t>
  </si>
  <si>
    <t>121</t>
  </si>
  <si>
    <t>BANCO COOPERATIVO SICREDI SA</t>
  </si>
  <si>
    <t>7.11.7</t>
  </si>
  <si>
    <t>EMPRESTIMOS</t>
  </si>
  <si>
    <t>7.11.7 EMPRESTIMOS</t>
  </si>
  <si>
    <t>MUTUO260226</t>
  </si>
  <si>
    <t xml:space="preserve"> REFERENTE A CONTRATO DE MUTUO EM 26/02/2026 NO VALOR DE R$ 130.000,00, COM JUROS MENSAIS DE 2% E PRAZO MAXIMO DE LIQUIDAÇAO EM 26/05/2026</t>
  </si>
  <si>
    <t>00008542</t>
  </si>
  <si>
    <t xml:space="preserve"> PASSAGEM TAG  - SICRED_x000D_
PLACA TKQ2D62_x000D_
R$ 3,80 - 25/02/2026</t>
  </si>
  <si>
    <t>PEDAGIO</t>
  </si>
  <si>
    <t xml:space="preserve"> PEDAGIO _x000D_
PLACA TKQ-2D62_x000D_
25/02/2026</t>
  </si>
  <si>
    <t>7.3.16</t>
  </si>
  <si>
    <t>EMPRESTIMO CONSIGNADO</t>
  </si>
  <si>
    <t>7.3.16 EMPRESTIMO CONSIGNADO</t>
  </si>
  <si>
    <t>BVCONSIGNADOG3S122025</t>
  </si>
  <si>
    <t>EMPRESTIMO CONSIGNADO DEZ 25 PAGTO REF A EMPRESTIMO CONSIGNADO DESCONTO FOLHA FUNCIONARIO(A) COMPETÊNCIA DEZEMBRO 2025.</t>
  </si>
  <si>
    <t>24087</t>
  </si>
  <si>
    <t>BANCO VOTORANTIM S/A</t>
  </si>
  <si>
    <t>7.5.21</t>
  </si>
  <si>
    <t>MATERIAL DE INFORMÁTICA</t>
  </si>
  <si>
    <t>7.5.21 MATERIAL DE INFORMÁTICA</t>
  </si>
  <si>
    <t>NFE-773424</t>
  </si>
  <si>
    <t xml:space="preserve">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</t>
  </si>
  <si>
    <t>29269</t>
  </si>
  <si>
    <t>GIGANTEC COMERCIO ELETRONICO EIRELI</t>
  </si>
  <si>
    <t>7.1.8</t>
  </si>
  <si>
    <t>DESPESAS DE VIAGEM</t>
  </si>
  <si>
    <t>7.1.8 DESPESAS DE VIAGEM</t>
  </si>
  <si>
    <t>CC8840022026</t>
  </si>
  <si>
    <t xml:space="preserve"> CARTÃO DE CRÉDITO FINAL 8840 - USO RENATO - DESPESA INDEDUTIVEL, HOSPEDAGEM DE RENATO E GABRIEL SALTEIRO</t>
  </si>
  <si>
    <t>32044</t>
  </si>
  <si>
    <t>TBO HOLIDAYS BRASIL AGENCIA DE VIAGENS E RESERVAS LTDA.</t>
  </si>
  <si>
    <t>SEG-TKQ2D62</t>
  </si>
  <si>
    <t xml:space="preserve"> REF AO SEGURO DA NOVA AMAROK TKQ2D62 - SOLICITADO E AUTORIZADO PELO RENATO, PARCELADO EM 10X, ATRAVES DO CARTAO DE CREDITO FINAL 8840.</t>
  </si>
  <si>
    <t>185</t>
  </si>
  <si>
    <t>MAPFRE SEGUROS GERAIS S.A.</t>
  </si>
  <si>
    <t>1.1.7</t>
  </si>
  <si>
    <t>LOGISTICA</t>
  </si>
  <si>
    <t>1.1.7 LOGISTICA</t>
  </si>
  <si>
    <t>A11821</t>
  </si>
  <si>
    <t>A11821 PAGTO REF REFEIÇÃO COMP MARÇO 2026</t>
  </si>
  <si>
    <t>24221</t>
  </si>
  <si>
    <t>ANTONIO APARECIDO FAQUIANO SOBRINHO</t>
  </si>
  <si>
    <t>NFSE-9</t>
  </si>
  <si>
    <t xml:space="preserve"> [GIULIANA] REF AOS SERVICOS PRESTADOS POR ADRIANA NOGUEIRA_x000D_
COMPETENCIA 02/2026_x000D_
SOLICITADO POR ADRIANA NOGUEIRA_x000D_
NF 000.000.009_x000D_
VALOR: R$11.758,80_x000D_
VENCIMENTO EM 05/03/2026_x000D_
PAGAMENTO VIA TRANSFERENCIA/PIX_x000D_
_x000D_
DESCONTAR DO SALÁRIO DESPESAS INDEVIDAS NO FLASH REALIZADAS NOS DIAS:_x000D_
11/02 - R$ 12,90_x000D_
20/02 - R$ 46,97_x000D_
21/02 - R$ 34,81_x000D_
_x000D_
TOTAL - R$ 94,68</t>
  </si>
  <si>
    <t>A11818</t>
  </si>
  <si>
    <t>A11818 PAGTO REF AJUDA DE CUSTO ESTAGIO COMP MARÇO 2026.</t>
  </si>
  <si>
    <t>32229</t>
  </si>
  <si>
    <t>MURILO BONI CANDIDO</t>
  </si>
  <si>
    <t>A11817</t>
  </si>
  <si>
    <t>A11817 PAGTO REF AJUDA DE CUSTO ESTAGIO COMP MARÇO 2026</t>
  </si>
  <si>
    <t>32228</t>
  </si>
  <si>
    <t>FERNANDO THALLES SOUZA OLIVEIRA</t>
  </si>
  <si>
    <t>1.1.5</t>
  </si>
  <si>
    <t>QUALIDADE</t>
  </si>
  <si>
    <t>1.1.5 QUALIDADE</t>
  </si>
  <si>
    <t>S11835</t>
  </si>
  <si>
    <t>S11835 PAGTO REF FOLHA SALARIAL ESTÁGIO COMP FEVEREIRO 2026</t>
  </si>
  <si>
    <t>30307</t>
  </si>
  <si>
    <t>PEDRO MARQUES GUARNIERI</t>
  </si>
  <si>
    <t xml:space="preserve"> CARTÃO DE CRÉDITO FINAL 8840 - USO RENATO - DESPESA INDEDUTIVEL  REF  A  HOSPEDAGEM PARA DENIS ALEXANDRE E FERNANDA INACIO</t>
  </si>
  <si>
    <t>31034</t>
  </si>
  <si>
    <t>ATLANTICA HOTELS INTERNATIONAL BRASIL LTDA</t>
  </si>
  <si>
    <t>SEGURO-CLA250</t>
  </si>
  <si>
    <t xml:space="preserve"> REF. AO SEGURO DO VEÍCULO MERCEDES CLA 250 - GABRIEL, PAGAMENTO EM 10 PARCELAS DE R$ 592,18 - VIA BOLETO. FOI ACORDADO QUE O SEGURO SERIA REALIZADO EM NOME DA G3S, EM RAZÃO DOS BONUS DISPONIVEIS EM NOME DA SRA GIULIANA.</t>
  </si>
  <si>
    <t>27804</t>
  </si>
  <si>
    <t>BRADESCO AUTO / SEGURO</t>
  </si>
  <si>
    <t>SEGURO-VOLVO GIULIANA</t>
  </si>
  <si>
    <t xml:space="preserve"> REFERENTE AO SEGURO VEICULO VOLVO XC 60 T-8 HIBRIDO INSCRIPTION 2022 PLACA GFA0D41 DA SRA. GIULIANA - N° APOLICE: 0936.990.0244.117682 ITEM 0001 PROPOSTA 936244311 - EMISSAO EM 08/01/2026</t>
  </si>
  <si>
    <t>A11825</t>
  </si>
  <si>
    <t>A11825 PAGTO REF DIARIAS DE REFEIÇÕES COMP MARÇO 2026.</t>
  </si>
  <si>
    <t>41</t>
  </si>
  <si>
    <t>ANTONIO BATISTA DA SILVA</t>
  </si>
  <si>
    <t>CC8946022026</t>
  </si>
  <si>
    <t xml:space="preserve"> CARTÃO CRÉDITO FINAL 8946 - USO CORPORATIVO - DESP. INDEDUTIVEL REF. A MENSALIDADE DA  ASSINATURA DO CHAT GPT PARA  ADRIANA NOGUEIRA</t>
  </si>
  <si>
    <t>31185</t>
  </si>
  <si>
    <t>OPEN AI</t>
  </si>
  <si>
    <t>A11822</t>
  </si>
  <si>
    <t>A11822 PAGTO REF REFEIÇÃO COMP MARÇO 2026.</t>
  </si>
  <si>
    <t>732</t>
  </si>
  <si>
    <t>ERNESTO EUGENIO DA SILVA</t>
  </si>
  <si>
    <t>7.2.6</t>
  </si>
  <si>
    <t>EVENTOS ENDOMARKETING</t>
  </si>
  <si>
    <t>7.2.6 EVENTOS ENDOMARKETING</t>
  </si>
  <si>
    <t>00008489</t>
  </si>
  <si>
    <t>PREMIAÇÃO DE ANIVERSARIO REF. PREMIAÇÃO DE ANIVERSARIO - VALOR EM DINHEIRO POR SER PJ</t>
  </si>
  <si>
    <t>442</t>
  </si>
  <si>
    <t>HUGO BIANCHI BOSSOLANI</t>
  </si>
  <si>
    <t>S11827</t>
  </si>
  <si>
    <t>S11827 PAGTO REF FOLHA SALARIAL ESTÁGIO COMP FEVEREIRO 2026.</t>
  </si>
  <si>
    <t>30303</t>
  </si>
  <si>
    <t>BRUNA RIBEIRO SANCHEZ</t>
  </si>
  <si>
    <t>A11826</t>
  </si>
  <si>
    <t>A11826 PAGTO REF DIARIAS DE REFEIÇÕES COMP MARÇO 2026.</t>
  </si>
  <si>
    <t>23121</t>
  </si>
  <si>
    <t>RAMON FELIPE DE OLIVEIRA FREITAS</t>
  </si>
  <si>
    <t>7.3.21</t>
  </si>
  <si>
    <t>RESCISÕES</t>
  </si>
  <si>
    <t>7.3.21 RESCISÕES</t>
  </si>
  <si>
    <t>A11815</t>
  </si>
  <si>
    <t>A11815 PAGTO REF A  ACERTO RESCISÓRIO COMPETENCIA FEVEREIRO 2026</t>
  </si>
  <si>
    <t>1107</t>
  </si>
  <si>
    <t>JULIO VIEIRA DE SANTANA</t>
  </si>
  <si>
    <t>NFSE-7</t>
  </si>
  <si>
    <t xml:space="preserve"> [GIULIANA] REF AOS SERVIÇOS PRESTADOS POR LUCIANO FARIAS_x000D_
SOLICITADO POR ADRIANA N._x000D_
NOTA FISCAL 000.007_x000D_
VALOR: R$ 2.640,00_x000D_
VENCIMENTO EM 05/03/2026_x000D_
PAGAMENTO VIA TRANSFERENCIA/PIX</t>
  </si>
  <si>
    <t>23476</t>
  </si>
  <si>
    <t>SILVA &amp; FARIAS TREINAMENTOS LTDA</t>
  </si>
  <si>
    <t>5.4.9</t>
  </si>
  <si>
    <t>DOAÇÕES RECEBIDAS</t>
  </si>
  <si>
    <t>5.4.9 DOAÇÕES RECEBIDAS</t>
  </si>
  <si>
    <t>A11816</t>
  </si>
  <si>
    <t>A11816 PAGTO REF DOAÇÃO DE CESTA BÁSICA COMP FEV 2026.</t>
  </si>
  <si>
    <t>NFSE-2</t>
  </si>
  <si>
    <t xml:space="preserve"> [GIULIANA] REF AOS SERVICOS PRESTADOS POR VINICIUS AUGUSTO_x000D_
COMPETENCIA 02/2026_x000D_
SOLICITADO POR ADRIANA NOGUEIRA_x000D_
NF 000.000.002_x000D_
VALOR: R$ 6.500,00_x000D_
VENCIMENTO EM 05/03/2026_x000D_
PAGAMENTO VIA TRANSFERENCIA/PIX</t>
  </si>
  <si>
    <t>32047</t>
  </si>
  <si>
    <t>64.534.653 VINICIUS AUGUSTO ALVES VILELA</t>
  </si>
  <si>
    <t>A11687</t>
  </si>
  <si>
    <t>A11687 PAGTO REF A ACERTO ESTAGIO RESCISÃO COMPETENCIA DEZEMBRO 2025</t>
  </si>
  <si>
    <t>30108</t>
  </si>
  <si>
    <t>GABRIEL DE SOUZA BARROS</t>
  </si>
  <si>
    <t>A11704</t>
  </si>
  <si>
    <t>A11704 PAGTO REF A FOLHA PRO-LABROE COMPETENCIA DEZEMBRO 2025</t>
  </si>
  <si>
    <t>A11691</t>
  </si>
  <si>
    <t>A11691 PAGTO REF A FOLHA PRO LABORE COMPETENCIA DEZEMBRO 2025</t>
  </si>
  <si>
    <t>NFSE-68</t>
  </si>
  <si>
    <t xml:space="preserve"> GIULIANA NFS 68 - VENC 15/01/2026 - BOLETO - REF A SERVIÇOS CARTORÁRIOS DURANTE O MÊS 12/2025_x000D_
02/12/2025 - RECONHECIMENTO SEM VALOR 146452 2 - 17,52_x000D_
11/12/2025 - RECONHECIMENTO SEM VALOR 148519 1 - 8,76</t>
  </si>
  <si>
    <t>A11710</t>
  </si>
  <si>
    <t>TRANSPORTE ESTAGIO DEZ 25 PAGTO REF A  TRANSPORTE ESTAGIO COMPETENCIA DEZEMBRO 2025</t>
  </si>
  <si>
    <t>7.3.17</t>
  </si>
  <si>
    <t>CONVENIOS</t>
  </si>
  <si>
    <t>7.3.17 CONVENIOS</t>
  </si>
  <si>
    <t>NFSE-12738</t>
  </si>
  <si>
    <t>TAXA DE ESTAGIARIOS -</t>
  </si>
  <si>
    <t>24271</t>
  </si>
  <si>
    <t>MVF PRUDENTE AGENCIA DE ESTAGIOS LTDA</t>
  </si>
  <si>
    <t>ARRECADAÇÃORSR01122025</t>
  </si>
  <si>
    <t>GUIA INSS/IRRF DEZ25 PAGTO REF A GUIA ARRECADAÇÃO ( INSS/IRRF) FOLHA FUNCIONARIOS(AS) COMPETENCIA DEZEMBRO 2025</t>
  </si>
  <si>
    <t>ARRECADAÇÃOGXS122025</t>
  </si>
  <si>
    <t>GUIA INSS PRO-LABORE DEZ 25 PAGTO REF A GUIA ARRECADAÇÃO ( INSS PRO-LABORE) FOLHA  COMPETENCIA DEZEMBRO 2025</t>
  </si>
  <si>
    <t>7.3.13</t>
  </si>
  <si>
    <t>SINDICATOS</t>
  </si>
  <si>
    <t>7.3.13 SINDICATOS</t>
  </si>
  <si>
    <t>SINDICATOG3S04122025</t>
  </si>
  <si>
    <t>SINDICATO DEZ 25 PAGTO REF SINDICATO DESCONTO FUNCIONARIO(A) FOLHA PAGAMNETO COMP DEZEMBRO 2025.</t>
  </si>
  <si>
    <t>29915</t>
  </si>
  <si>
    <t>SINDICATO EMPREGADOS COMERCIO DE PRESIDENTE PRUDENTE LTDA</t>
  </si>
  <si>
    <t>7.1.11</t>
  </si>
  <si>
    <t>LICENCIAMENTO / DPVAT</t>
  </si>
  <si>
    <t>7.1.11 LICENCIAMENTO / DPVAT</t>
  </si>
  <si>
    <t>LICENC.2026 TKQ2D62</t>
  </si>
  <si>
    <t xml:space="preserve"> HUGO - LICENCIAMENTO 2026 - TKQ2D62 - RENAVAM 01422588286</t>
  </si>
  <si>
    <t>SEMPARARG3S03012026</t>
  </si>
  <si>
    <t>SEMPARARG3S01012026</t>
  </si>
  <si>
    <t>SEMPARARG3S10012026</t>
  </si>
  <si>
    <t>A11730</t>
  </si>
  <si>
    <t>A11730 PAGRO REF A ADIANTAMNETO COMPETENCIA JANEIRO 2026</t>
  </si>
  <si>
    <t>929</t>
  </si>
  <si>
    <t>ADRIANA CANDIDO FIGUEIREDO</t>
  </si>
  <si>
    <t>NFSE-2630</t>
  </si>
  <si>
    <t xml:space="preserve"> [GIULIANA] REF A SERVICO PRESTADO POR MURILO/PRADO SERVIÇOS EMPRESARIAIS,_x000D_
SOLICITADO POR ADRIANA NOGUEIRA	_x000D_
COMPETENCIA 01/2026_x000D_
NOTA FISCAL 000.002.630, VALOR R$ 6.000,00 _x000D_
VENCIMENTO EM 26/01/2026_x000D_
PAGAMENTO VIA BOLETO BANCARIO</t>
  </si>
  <si>
    <t>25189</t>
  </si>
  <si>
    <t>PRADO SERVICOS EMPRESARIAIS LTDA</t>
  </si>
  <si>
    <t>SEMPARARG3S06012026</t>
  </si>
  <si>
    <t>SEMPARARG&amp;S01012026</t>
  </si>
  <si>
    <t>SEMPARARG&amp;S05012026</t>
  </si>
  <si>
    <t>SEMPARARG&amp;S04012026</t>
  </si>
  <si>
    <t>SEMPARARG&amp;S03012026</t>
  </si>
  <si>
    <t>SEMPARARG&amp;S07012026</t>
  </si>
  <si>
    <t>SEGUROVIDAG&amp;S05012026</t>
  </si>
  <si>
    <t>SEGURO DE VIDA JANEIRO 2026 PAGTO REF A SEGURO DE VIDA FUNCIONARIOS(AS) COMPETENCIA  JANEIRO 2026.</t>
  </si>
  <si>
    <t>SEGUROVIDAG&amp;S03012026</t>
  </si>
  <si>
    <t>SEGURO DE VIDA  JANEIRO 2026 PAGTO REF A SEGURO DE VIDA FUNCIONARIOS(AS) COMPETENCIA  JANEIRO 2026.</t>
  </si>
  <si>
    <t>SEGUROVIDAG3S11012026</t>
  </si>
  <si>
    <t>SEGUROVIDAG3S08012026</t>
  </si>
  <si>
    <t>SEGUROVIDAG3S06012026</t>
  </si>
  <si>
    <t>SEGUROVIDAG3S01012026</t>
  </si>
  <si>
    <t>OC 28033 SEM PARAR</t>
  </si>
  <si>
    <t xml:space="preserve"> CRISTINA - REF. A PEDAGIO SEM PARAR_x000D_
BKW9I57 20,94_x000D_
GDS7F95 20,94_x000D_
GFA0D41 80,94_x000D_
TKQ2D62 814,60_x000D_
Nº da Fatura: 2613257232_x000D_
Nº da Nota Fiscal: 674369813</t>
  </si>
  <si>
    <t>A11740</t>
  </si>
  <si>
    <t>A11740 PAGTO REF A FERIAS 05/02/2026 A 19/02/2026</t>
  </si>
  <si>
    <t>565</t>
  </si>
  <si>
    <t>THAYNA RANI FERNANDES ALMEIDA</t>
  </si>
  <si>
    <t>A11749</t>
  </si>
  <si>
    <t>A11749 PAGTO REF A FÉRIAS 20/02/2026 A 20/02/2026 - COMPLEMENTO</t>
  </si>
  <si>
    <t>SEGUROVIDAG&amp;S04012026</t>
  </si>
  <si>
    <t>SEGURO DE VIDA JANEIRO 2026 PAGTO REF A SEGURO DE VIDA FUNCIONARIOS(AS) COMPETENCIA JANEIRO 2026</t>
  </si>
  <si>
    <t>NFE-108113</t>
  </si>
  <si>
    <t xml:space="preserve"> Compra de ativo imobilizado.</t>
  </si>
  <si>
    <t>NFE-108115</t>
  </si>
  <si>
    <t xml:space="preserve"> COMPRA DE ATIVO IMOBILIZADO.</t>
  </si>
  <si>
    <t>NFSE-182</t>
  </si>
  <si>
    <t xml:space="preserve"> [GIULIANA] REF AOS SERVIÇOS PRESTADOS POR HUGO - COMP. 01/2026_x000D_
SOLICITADO POR ADRIANA N._x000D_
NOTA FISCAL 182, VALOR BRUTO R$ 5.515,49_x000D_
VENCIMENTO EM 05/02/2026_x000D_
PAGAMENTO VIA TRANSFERÊNCIA/PIX</t>
  </si>
  <si>
    <t>23407</t>
  </si>
  <si>
    <t>H B BOSSOLANI SERVICOS ADMINISTRATIVOS</t>
  </si>
  <si>
    <t>NFSE-1345</t>
  </si>
  <si>
    <t xml:space="preserve"> [GIULIANA] REF AOS SERVIÇOS PRESTADOS POR GIOVANE PORTO, COMP. 01/2026_x000D_
SOLICITADO POR ADRIANA NOGUEIRA_x000D_
NF 000.001.345 VALOR BRUTO R$ 4.500,00_x000D_
VENCIMENTO EM 05/02/2026_x000D_
PAGAMENTO VIA TRANSFERENCIA/PIX</t>
  </si>
  <si>
    <t>22797</t>
  </si>
  <si>
    <t>PORTO PRESTADORA DE SERVICOS S/S UNIPESSOAL LTDA</t>
  </si>
  <si>
    <t>NFSE-3</t>
  </si>
  <si>
    <t xml:space="preserve"> [GIULIANA] REF AOS SERVIÇOS PRESTADOS POR LUCIANO FARIAS_x000D_
SOLICITADO POR ADRIANA N._x000D_
NOTA FISCAL 000.003_x000D_
VALOR: R$ 2.640,00_x000D_
VENCIMENTO EM 05/02/2026_x000D_
PAGAMENTO VIA TRANSFERENCIA/PIX</t>
  </si>
  <si>
    <t>0000X7906</t>
  </si>
  <si>
    <t>X7975</t>
  </si>
  <si>
    <t>ACERTO PJ COMP JANEIRO 2026 PAGTO REF A ACERTO RESCISORIO PJ SETOR CONTABIL COMP JANEIRO 2026 - MICHELLE CAMPHORA STAQUECINI</t>
  </si>
  <si>
    <t>22692</t>
  </si>
  <si>
    <t>55.499.469 MICHELLE CAMPHORA STAQUECINI</t>
  </si>
  <si>
    <t>NFSE-1</t>
  </si>
  <si>
    <t xml:space="preserve"> [GIULIANA] REF AOS SERVICOS PRESTADOS POR VINICIUS AUGUSTO_x000D_
COMPETENCIA 01/2026_x000D_
SOLICITADO POR ADRIANA NOGUEIRA_x000D_
NF 000.000.001_x000D_
VALOR: R$ 6.500,00_x000D_
VENCIMENTO EM 05/02/2026_x000D_
PAGAMENTO VIA TRANSFERENCIA/PIX</t>
  </si>
  <si>
    <t>A11760</t>
  </si>
  <si>
    <t>A11760 PAGTO REF A FOLHA PRO-LABORE COMPETENCIA JANEIRO 2026</t>
  </si>
  <si>
    <t>S11761</t>
  </si>
  <si>
    <t>S11761 PAGTO REF A FOLHA BOLSA ESTAGIIO COMP JANEIRO 2026</t>
  </si>
  <si>
    <t>30902</t>
  </si>
  <si>
    <t>GABRIEL SATOSHI DA SILVA SAKATA</t>
  </si>
  <si>
    <t>S11764</t>
  </si>
  <si>
    <t>S11764 PAGTO REF A FOLHA BOLSA ESTAGIIO COMP JANEIRO 2026</t>
  </si>
  <si>
    <t>31440</t>
  </si>
  <si>
    <t>JOAO PAULO MARTINS OZORES</t>
  </si>
  <si>
    <t>S11766</t>
  </si>
  <si>
    <t>S11766 PAGTO REF A FOLHA BOLSA ESTAGIIO COMP JANEIRO 2026</t>
  </si>
  <si>
    <t>7.11.5</t>
  </si>
  <si>
    <t>RECARGAS</t>
  </si>
  <si>
    <t>7.11.5 RECARGAS</t>
  </si>
  <si>
    <t>NFSE-280078</t>
  </si>
  <si>
    <t xml:space="preserve"> SALDO ALELO PAGAMENTOS PARA USO DE SERVIÇOS INFORMAIS_x000D_
PGTO VIA BOLETO BANCARIO 24/01/2026 - OC 27967</t>
  </si>
  <si>
    <t>31703</t>
  </si>
  <si>
    <t>NAIP INSTITUICAO DE PAGAMENTO SA</t>
  </si>
  <si>
    <t>7.5.3</t>
  </si>
  <si>
    <t>TELECOMUNICAÇÕES</t>
  </si>
  <si>
    <t>7.5.3 TELECOMUNICAÇÕES</t>
  </si>
  <si>
    <t>NFE-13874024</t>
  </si>
  <si>
    <t xml:space="preserve"> [GIULIANA] REF A TIM SR. RENATO_x000D_
COMPETENCIA MES 01/2026_x000D_
NFS: 013.874.032-141 - VALOR: R$ 55,40 _x000D_
NFS: 025.006.263-141 - VALOR: R$ 25,12_x000D_
_x000D_
NFS: 013.874.024-141_x000D_
VALOR TOTAL R$ 80,52_x000D_
VENCIMENTO EM 10/02/2026_x000D_
PAGAMENTO VIA BOLETO BANCARIO</t>
  </si>
  <si>
    <t>30811</t>
  </si>
  <si>
    <t>TIM S.A.</t>
  </si>
  <si>
    <t>1.1.11</t>
  </si>
  <si>
    <t>SEGURANCA DO TRABALHO</t>
  </si>
  <si>
    <t>1.1.11 SEGURANCA DO TRABALHO</t>
  </si>
  <si>
    <t>7.3.5</t>
  </si>
  <si>
    <t>ALIMENTAÇÃO DO TRABALHADOR</t>
  </si>
  <si>
    <t>7.3.5 ALIMENTAÇÃO DO TRABALHADOR</t>
  </si>
  <si>
    <t>CF0023012026</t>
  </si>
  <si>
    <t xml:space="preserve"> CARTAO FLASH FINAL 0023  - USO MARIANE - DESPESA DEDUTIVEL REF A 9 REFEIÇÕES, E ABASTECIMENTOS DE ETANOL/ DESPESA INDEDUTIVEL REF A 4 REFEIÇÕES E 3 ALUGUEL DE CARRO_x000D_
</t>
  </si>
  <si>
    <t>7.1.5</t>
  </si>
  <si>
    <t>COMBUSTÍVEL - GASOLINA E ETANOL</t>
  </si>
  <si>
    <t>7.1.5 COMBUSTÍVEL - GASOLINA E ETANOL</t>
  </si>
  <si>
    <t>7.1.2</t>
  </si>
  <si>
    <t>MANUTENÇÃO DE VEÍCULOS/MAQUINAS</t>
  </si>
  <si>
    <t>7.1.2 MANUTENÇÃO DE VEÍCULOS/MAQUINAS</t>
  </si>
  <si>
    <t>NFE-12978</t>
  </si>
  <si>
    <t xml:space="preserve"> </t>
  </si>
  <si>
    <t>24082</t>
  </si>
  <si>
    <t>GERALDIESEL AUTO PECAS LTDA</t>
  </si>
  <si>
    <t>NFSE-2680</t>
  </si>
  <si>
    <t xml:space="preserve"> [GIULIANA] REF A SERVICO PRESTADO POR MURILO/PRADO SERVIÇOS EMPRESARIAIS,_x000D_
SOLICITADO POR ADRIANA NOGUEIRA	_x000D_
COMPETENCIA 02/2026_x000D_
NOTA FISCAL 000.002.680, VALOR R$ 6.000,00 _x000D_
VENCIMENTO EM 16/02/2026_x000D_
PAGAMENTO VIA BOLETO BANCARIO</t>
  </si>
  <si>
    <t>NFSE-12984</t>
  </si>
  <si>
    <t>TAXA ESTAGIARIOS - SUPER ESTAG Taxa de estagiarios - Super Estagios</t>
  </si>
  <si>
    <t>A11788</t>
  </si>
  <si>
    <t>A11788 PAGTO REF AJUDA DE CUSTO COMP FEV E MARÇO 2026</t>
  </si>
  <si>
    <t>ARRECADAÇÃOG3SNOTA012026</t>
  </si>
  <si>
    <t>ARRECADAÇÃO RETENÇÃO NF JAN26 PAGTO REF A GUIA ARRECADAÇÃO RETENÇÃO NOTA FISCAL INSS COMPETENCIA JANEIRO 2026 - CNPJ PRESTADOR 19.597.174/0001-01</t>
  </si>
  <si>
    <t>OC 28649 SEM PARAR</t>
  </si>
  <si>
    <t xml:space="preserve"> [CRISTINA] - REF. A PEDAGIO SEM PARAR_x000D_
BTZ8D36  407,93 D_x000D_
BZG6A91  612,04 D_x000D_
BZL7H95 471,24 D_x000D_
CZB9H07 392,56 D_x000D_
EJZ7495 90,42 D_x000D_
EJZ7496 33,80 D_x000D_
EWU5857 33,80 D_x000D_
EWU5986 33,80 D_x000D_
EWU5J98 33,80 D_x000D_
EWU6A79 33,80 D_x000D_
EWU6A85 33,80 D_x000D_
FBU7329 33,80 D_x000D_
FJQ5A08 33,80 D_x000D_
FRT7548 33,80 D_x000D_
GBA9J63 33,80 D_x000D_
GDB3A42 168,12 D_x000D_
GDG8E75 243,94 D_x000D_
GDY0H74 601,56 D_x000D_
GGE5059 33,80 D_x000D_
GHI3A74 331,24 D_x000D_
HAR1F82 945,56 D_x000D_
NRQ7727 33,80 D_x000D_
NRV7727 51,09 D_x000D_
OON3B85 33,80 D_x000D_
QAO4A53 251,26 D_x000D_
SUC4A26 47,50 D_x000D_
SUY4F83 1.098,96 D_x000D_
SWN8H03 87,10 D_x000D_
TKI2E74 104,89 D_x000D_
Nº da Fatura: 2636525059_x000D_
Nº da Nota Fiscal: 679066151</t>
  </si>
  <si>
    <t>FGTSG&amp;S01012026</t>
  </si>
  <si>
    <t>GUIA FGTS JANEIRO 2026 PAGTO REF A GUIA DO FGTS FOLHA FUNCIONARIOS(AS) COMPETENCIA JANEIRO 2026 (FGTS R$ 12.106,69) ( EMPRESTINO CONSIGNADO R$ 3.015,92)</t>
  </si>
  <si>
    <t>ARRECADAÇÃOINSSRSE012026</t>
  </si>
  <si>
    <t>ARRECADAÇÃO INSS JANEIRO 2026 PAGTO REF A GUIA  ARRECADAÇÃO INSS FOLHA JANEIRO 2026</t>
  </si>
  <si>
    <t>ARRECADAÇÃOINSSNOTARSE0126</t>
  </si>
  <si>
    <t>ARRECADAÇÃO INSS NF JANEIRO 26 PAGTO REF A GUIA ARRECADAÇÃO RETENÇÃO NOTA FISCAL INSS COMPETENCIA JANEIRO 2026 - CNPJ PRESTADOR 19.597.174/0001-01</t>
  </si>
  <si>
    <t>00008223</t>
  </si>
  <si>
    <t>TAXA BENEFICIOS SEM PARAR taxa de cartao e beneficios Sem Parar nova estagiaria -Bruna (DP)</t>
  </si>
  <si>
    <t>SEMPARARG3S060226</t>
  </si>
  <si>
    <t>SEMPARARG3S040226</t>
  </si>
  <si>
    <t>SEMPARARG&amp;S070226</t>
  </si>
  <si>
    <t>SEGUROVIDAG3S010226</t>
  </si>
  <si>
    <t>SEGUROVIDAG3S080226</t>
  </si>
  <si>
    <t>SEGUROVIDAG3S060226</t>
  </si>
  <si>
    <t>SEGUROVIDAG3S040226</t>
  </si>
  <si>
    <t>SEGUROVIDAG&amp;S030226</t>
  </si>
  <si>
    <t>SEGUROVIDAG&amp;S040226</t>
  </si>
  <si>
    <t>PAGTO REF SEGURO DE VIDA 02/26 PAGTO REF SEGURO DE VIDA ICATU MENSAL COMP FEVEREIRO 2026.</t>
  </si>
  <si>
    <t>SEGUROVIDAG&amp;S050226</t>
  </si>
  <si>
    <t>SEGUROVIDAG&amp;S060226</t>
  </si>
  <si>
    <t>SEGUROVIDAG3SADM0226</t>
  </si>
  <si>
    <t>A11792</t>
  </si>
  <si>
    <t>A11792 PAGTO REF A  ACERTO RESCISORIO ( ACORDO MUTUO) COMPETENCIA FEVEREIRO 2026</t>
  </si>
  <si>
    <t xml:space="preserve"> PEDAGIO SICRED_x000D_
PLACA GDS7F95_x000D_
17/02 - R$ 15,00</t>
  </si>
  <si>
    <t>7.11.3</t>
  </si>
  <si>
    <t>AJUSTE COMPENSAÇÕES DE CHEQUES</t>
  </si>
  <si>
    <t>7.11.3 AJUSTE COMPENSAÇÕES DE CHEQUES</t>
  </si>
  <si>
    <t>CP2077022026</t>
  </si>
  <si>
    <t xml:space="preserve"> CARTÃO PAYFY FINAL 2077 - USO ADRIANA - REFERENTE A 1 DESPESA INDEDUTIVEL (TESTE)</t>
  </si>
  <si>
    <t>5729</t>
  </si>
  <si>
    <t>ADRIANA REGINA NOGUEIRA DOS SANTOS</t>
  </si>
  <si>
    <t>CP8866</t>
  </si>
  <si>
    <t xml:space="preserve"> CARTÃO PAYFY FINAL 8866 - USO ELAINE - REFERENTE A 1 DESPESA INDEDUTIVEL (TESTE)</t>
  </si>
  <si>
    <t>30872</t>
  </si>
  <si>
    <t>ELAINE CRISTINA PANIZZA SILVA</t>
  </si>
  <si>
    <t>S11833</t>
  </si>
  <si>
    <t>S11833 PAGTO REF FOLHA SALARIAL ESTÁGIO COMP FEVEREIRO 2026</t>
  </si>
  <si>
    <t>NFSE-23679</t>
  </si>
  <si>
    <t>MENSALIDADE PONTO AHGORA 02.26 PAGTO REF A MENSALIDADE SISTEMA PONTO FUNCIONARIOS(AS) AHGORA COMPETENCIA FEVEREIRO 2026</t>
  </si>
  <si>
    <t>S11832</t>
  </si>
  <si>
    <t>S11832 PAGTO REF FOLHA SALARIAL ESTÁGIO COMP FEVEREIRO 2026</t>
  </si>
  <si>
    <t>NFSE-88</t>
  </si>
  <si>
    <t xml:space="preserve"> [GIULIANA] REF AOS SERVICOS PRESTADOS POR CRISTINA SUGUI_x000D_
COMPETENCIA 02/2026_x000D_
SOLICITADO POR ADRIANA NOGUEIRA_x000D_
NF 000.000.088_x000D_
VALOR BRUTO: R$ 9.220,00_x000D_
VENCIMENTO EM 05/03/2026_x000D_
PAGAMENTO VIA TRANSFERENCIA/PIX</t>
  </si>
  <si>
    <t>22575</t>
  </si>
  <si>
    <t>CS ADMINISTRACAO E SERVICOS LTDA</t>
  </si>
  <si>
    <t>S11830</t>
  </si>
  <si>
    <t>S11830 PAGTO REF FOLHA SALARIAL ESTÁGIO COMP FEVEREIRO 2026</t>
  </si>
  <si>
    <t>8.1.4</t>
  </si>
  <si>
    <t>COMPUTADORES E PERIFERICOS</t>
  </si>
  <si>
    <t>8.1.4 COMPUTADORES E PERIFERICOS</t>
  </si>
  <si>
    <t>NFE-26915</t>
  </si>
  <si>
    <t xml:space="preserve"> CRISTINA - NFE. 26.915 VENC. 15/03/26 VIA CARTÃO DE CRÉDITO 8971 EM 1X - REF. A COMPRA DE MEMORIA RAM DDR5 32G/4800 P/ NOTEBOOK DA COLABORADORA CRISTINA SUGI QUE APRESENTAVA FORTE LENTIDÃO SENDO NESCESSÁRIO UM UPGRADE -  - N/PEDIDO: 5597 FATURA 1: NUMERO: 26915.A VENCIMENTO: 10/02/2026 VALOR: 1.815,00 VAL APROX DOS TRIB R$ 520,36 (28,67%) FONTE: IBPT/EMPRESOMETRO.COM.BR</t>
  </si>
  <si>
    <t>32143</t>
  </si>
  <si>
    <t>J.B.M COMERCIO DE ELETRONICOS LTDA</t>
  </si>
  <si>
    <t>NFSE-1359</t>
  </si>
  <si>
    <t xml:space="preserve"> [GIULIANA] REF AOS SERVIÇOS PRESTADOS POR GIOVANE PORTO, COMP. 02/2026_x000D_
SOLICITADO POR ADRIANA NOGUEIRA_x000D_
NF 000.001.359 VALOR BRUTO R$ 6.000,00_x000D_
VENCIMENTO EM 05/03/2026_x000D_
PAGAMENTO VIA TRANSFERENCIA/PIX</t>
  </si>
  <si>
    <t>S11831</t>
  </si>
  <si>
    <t>S11831 PAGTO REF FOLHA SALARIAL ESTÁGIO COMP FEVEREIRO 2026</t>
  </si>
  <si>
    <t>A11823</t>
  </si>
  <si>
    <t>A11823 PAGTO REF REFEIÇÕES COMP MARÇO 2026.</t>
  </si>
  <si>
    <t>22745</t>
  </si>
  <si>
    <t>EVERTON BENITES SOBRINHO</t>
  </si>
  <si>
    <t>29139</t>
  </si>
  <si>
    <t xml:space="preserve"> [GIULIANA] REF A PLANO DE SAUDE FAMILIAR - SUL AMERICA_x000D_
SOILICITADO POR ADRIANA NOGUEIRA_x000D_
VENCIMENTO EM 06/01/2026_x000D_
VALOR TOTAL R$ 6.545,91_x000D_
PAGAMENTO VIA BOLETO BANCARIO_x000D_
S/NF - BOLETO SE ENCONTRA NA PÁGINA 7 DO ARQUIVO_x000D_
_x000D_
MIGRAÇÃO DE CONTRATO PARA O PRODUTO 553 PME, DEVIDO O VALOR DO CONTRATO SER MELHOR,_x000D_
COMPARADO AO VALOR TOTAL DO REAJUSTE ANUAL DO PREVISTO NO CONTRATO ANTIGO._x000D_
CONTRATO (PME) = R$ 6.545,91  _x000D_
CONTATO ANTIGO = R$ 6.901,32</t>
  </si>
  <si>
    <t>salários folha</t>
  </si>
  <si>
    <t>folha</t>
  </si>
  <si>
    <t>EMPRESA</t>
  </si>
  <si>
    <t>%FAT</t>
  </si>
  <si>
    <t>%HEAD</t>
  </si>
  <si>
    <t>%TOTAL</t>
  </si>
  <si>
    <t>sem ekipag&amp;s</t>
  </si>
  <si>
    <t>EKIPA LOCACOES E SERV G&amp;S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</si>
</sst>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9" fontId="0" fillId="0" borderId="0" xfId="1" applyFont="1"/>
    <xf numFmtId="9" fontId="0" fillId="0" borderId="0" xfId="0" applyNumberFormat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9" fontId="0" fillId="2" borderId="0" xfId="1" applyFont="1" applyFill="1"/>
    <xf numFmtId="9" fontId="0" fillId="2" borderId="0" xfId="0" applyNumberFormat="1" applyFill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3">
    <cellStyle name="Normal" xfId="0" builtinId="0"/>
    <cellStyle name="Normal 2 2 2" xfId="2" xr:uid="{122BCA7F-19FB-4F2E-87E1-F30DD3E1ED2B}"/>
    <cellStyle name="Porcentagem" xfId="1" builtinId="5"/>
  </cellStyles>
  <dxfs count="2"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Rateio de Custos da Pilares</a:t>
            </a:r>
          </a:p>
          <a:p>
            <a:pPr>
              <a:defRPr/>
            </a:pPr>
            <a:r>
              <a:rPr lang="pt-BR"/>
              <a:t>Faturamento X 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C2-4CFD-A050-A8CDA23D53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4C2-4CFD-A050-A8CDA23D53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4C2-4CFD-A050-A8CDA23D53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78F-4E93-B76A-0DECE358C075}"/>
              </c:ext>
            </c:extLst>
          </c:dPt>
          <c:dLbls>
            <c:dLbl>
              <c:idx val="3"/>
              <c:tx>
                <c:rich>
                  <a:bodyPr/>
                  <a:lstStyle/>
                  <a:p>
                    <a:fld id="{D0BBF2C9-9273-40B0-941C-700A99650F16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[PORCENTAGEM]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78F-4E93-B76A-0DECE358C075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Rateio!$J$7:$J$10</c:f>
              <c:strCache>
                <c:ptCount val="4"/>
                <c:pt idx="0">
                  <c:v>BRACOFER</c:v>
                </c:pt>
                <c:pt idx="1">
                  <c:v>EKIPA </c:v>
                </c:pt>
                <c:pt idx="2">
                  <c:v>SELETIVA</c:v>
                </c:pt>
                <c:pt idx="3">
                  <c:v>TRANSMOVE GSL</c:v>
                </c:pt>
              </c:strCache>
            </c:strRef>
          </c:cat>
          <c:val>
            <c:numRef>
              <c:f>Rateio!$K$7:$K$10</c:f>
              <c:numCache>
                <c:formatCode>0%</c:formatCode>
                <c:ptCount val="4"/>
                <c:pt idx="0">
                  <c:v>0.16036784174315052</c:v>
                </c:pt>
                <c:pt idx="1">
                  <c:v>8.2202423413352335E-3</c:v>
                </c:pt>
                <c:pt idx="2">
                  <c:v>0.76141421011584087</c:v>
                </c:pt>
                <c:pt idx="3">
                  <c:v>6.9997705799673446E-2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F-4E93-B76A-0DECE358C07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247649</xdr:colOff>
      <xdr:row>11</xdr:row>
      <xdr:rowOff>52386</xdr:rowOff>
    </xdr:from>
    <xdr:to>
      <xdr:col>14</xdr:col>
      <xdr:colOff>76199</xdr:colOff>
      <xdr:row>32</xdr:row>
      <xdr:rowOff>57149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4EB3A3-1C46-97B3-0E91-D6C7BD038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dro.guarnieri\Desktop\analises%20rateios%20da%20pilares.xlsx" TargetMode="External"/><Relationship Id="rId1" Type="http://schemas.openxmlformats.org/officeDocument/2006/relationships/externalLinkPath" Target="https://seletivaindbr-my.sharepoint.com/personal/qualidade_pilares_adm_br/Documents/PEDRO/2026/analises%20rateios%20da%20pila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MPRIMIR"/>
      <sheetName val="SEM PARAR"/>
      <sheetName val="KINGHOST"/>
      <sheetName val="RH"/>
      <sheetName val="CONSULTI"/>
      <sheetName val="BMC-ACTIVE"/>
      <sheetName val="AMTI-RATEIO"/>
      <sheetName val="smart TAX"/>
      <sheetName val="KONFIDO"/>
      <sheetName val="Publicidade"/>
      <sheetName val="RATEIO PILARES"/>
      <sheetName val="análsie Faturamento"/>
      <sheetName val="análise H"/>
      <sheetName val="dados HEAD"/>
      <sheetName val="dados FECHAMEN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E3" t="str">
            <v>%*0.5</v>
          </cell>
        </row>
        <row r="4">
          <cell r="D4" t="str">
            <v>EKIPA CONTEINER</v>
          </cell>
          <cell r="E4">
            <v>4.9504950495049506E-3</v>
          </cell>
        </row>
        <row r="5">
          <cell r="D5" t="str">
            <v>EKIPA LOCACOES E SERV G&amp;S</v>
          </cell>
          <cell r="E5">
            <v>3.9603960396039604E-2</v>
          </cell>
        </row>
        <row r="6">
          <cell r="D6" t="str">
            <v>SELETIVA</v>
          </cell>
          <cell r="E6">
            <v>0.34653465346534651</v>
          </cell>
        </row>
        <row r="7">
          <cell r="D7" t="str">
            <v>TRANSMOVE GSL</v>
          </cell>
          <cell r="E7">
            <v>1.9801980198019802E-2</v>
          </cell>
        </row>
        <row r="8">
          <cell r="D8" t="str">
            <v>BRACOFER</v>
          </cell>
          <cell r="E8">
            <v>8.9108910891089105E-2</v>
          </cell>
        </row>
        <row r="9">
          <cell r="D9"/>
          <cell r="E9">
            <v>0.5</v>
          </cell>
        </row>
      </sheetData>
      <sheetData sheetId="13"/>
      <sheetData sheetId="1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Marques Guarnieri" refreshedDate="46087.493824189813" createdVersion="8" refreshedVersion="8" minRefreshableVersion="3" recordCount="248" xr:uid="{4E5D8AD8-9763-412C-8E6F-69D21FCE2251}">
  <cacheSource type="worksheet">
    <worksheetSource ref="A1:AE1048576" sheet="BASE PILARES"/>
  </cacheSource>
  <cacheFields count="33">
    <cacheField name="id" numFmtId="0">
      <sharedItems containsNonDate="0" containsString="0" containsBlank="1"/>
    </cacheField>
    <cacheField name="sdssds" numFmtId="0">
      <sharedItems containsBlank="1" count="2">
        <s v="PILARES"/>
        <m/>
      </sharedItems>
    </cacheField>
    <cacheField name="n1_cod_centro_custo" numFmtId="0">
      <sharedItems containsBlank="1"/>
    </cacheField>
    <cacheField name="n1_centro_custo" numFmtId="0">
      <sharedItems containsBlank="1"/>
    </cacheField>
    <cacheField name="n1_CC" numFmtId="0">
      <sharedItems containsBlank="1"/>
    </cacheField>
    <cacheField name="n2_cod_centro_custo" numFmtId="0">
      <sharedItems containsBlank="1"/>
    </cacheField>
    <cacheField name="n2_centro_custo" numFmtId="0">
      <sharedItems containsBlank="1"/>
    </cacheField>
    <cacheField name="n2_CC" numFmtId="0">
      <sharedItems containsBlank="1"/>
    </cacheField>
    <cacheField name="n3_cod_centro_custo" numFmtId="0">
      <sharedItems containsBlank="1"/>
    </cacheField>
    <cacheField name="n3_centro_custo" numFmtId="0">
      <sharedItems containsBlank="1"/>
    </cacheField>
    <cacheField name="n3_CC" numFmtId="0">
      <sharedItems containsBlank="1"/>
    </cacheField>
    <cacheField name="n4_cod_centro_custo" numFmtId="0">
      <sharedItems containsBlank="1"/>
    </cacheField>
    <cacheField name="n4_centro_custo" numFmtId="0">
      <sharedItems containsBlank="1"/>
    </cacheField>
    <cacheField name="n4_CC" numFmtId="0">
      <sharedItems containsBlank="1"/>
    </cacheField>
    <cacheField name="cod_conta" numFmtId="0">
      <sharedItems containsBlank="1"/>
    </cacheField>
    <cacheField name="conta" numFmtId="0">
      <sharedItems containsBlank="1"/>
    </cacheField>
    <cacheField name="cod_conta-descr" numFmtId="0">
      <sharedItems containsBlank="1"/>
    </cacheField>
    <cacheField name="filial" numFmtId="0">
      <sharedItems containsBlank="1" count="17">
        <s v="G&amp;S PRUDENTE"/>
        <s v="GXS MARINGA"/>
        <s v="G3S PRUDENTE"/>
        <s v="G3S CAMPO GRANDE"/>
        <s v="RSE"/>
        <s v="G3S LONDRINA"/>
        <s v="G3S CIDADE ALTA"/>
        <s v="G&amp;S CAMPO GRANDE"/>
        <s v="G&amp;S LONDRINA"/>
        <s v="G3S DOURADOS"/>
        <s v="G3S ADM"/>
        <s v="G&amp;S BARUERI"/>
        <s v="G&amp;S DOURADOS"/>
        <s v="G&amp;S MARINGA"/>
        <s v="G3S MARINGA"/>
        <s v="BRACOFER"/>
        <m/>
      </sharedItems>
    </cacheField>
    <cacheField name="titulo" numFmtId="0">
      <sharedItems containsBlank="1"/>
    </cacheField>
    <cacheField name="valor_nf" numFmtId="0">
      <sharedItems containsString="0" containsBlank="1" containsNumber="1" minValue="-760000" maxValue="760000"/>
    </cacheField>
    <cacheField name="valor_pago" numFmtId="0">
      <sharedItems containsString="0" containsBlank="1" containsNumber="1" minValue="-760000" maxValue="760000"/>
    </cacheField>
    <cacheField name="valor_conta" numFmtId="0">
      <sharedItems containsString="0" containsBlank="1" containsNumber="1" minValue="-760000" maxValue="760000"/>
    </cacheField>
    <cacheField name="observacao" numFmtId="0">
      <sharedItems containsBlank="1" longText="1"/>
    </cacheField>
    <cacheField name="data_nf" numFmtId="14">
      <sharedItems containsNonDate="0" containsDate="1" containsString="0" containsBlank="1" minDate="2026-01-01T00:00:00" maxDate="2026-03-18T00:00:00" count="47">
        <d v="2026-01-06T00:00:00"/>
        <d v="2026-01-07T00:00:00"/>
        <d v="2026-01-05T00:00:00"/>
        <d v="2026-01-08T00:00:00"/>
        <d v="2026-01-13T00:00:00"/>
        <d v="2026-01-16T00:00:00"/>
        <d v="2026-01-19T00:00:00"/>
        <d v="2026-01-02T00:00:00"/>
        <d v="2026-01-09T00:00:00"/>
        <d v="2026-01-21T00:00:00"/>
        <d v="2026-01-22T00:00:00"/>
        <d v="2026-01-01T00:00:00"/>
        <d v="2026-01-26T00:00:00"/>
        <d v="2026-01-27T00:00:00"/>
        <d v="2026-02-04T00:00:00"/>
        <d v="2026-02-05T00:00:00"/>
        <d v="2026-01-31T00:00:00"/>
        <d v="2026-01-15T00:00:00"/>
        <d v="2026-02-01T00:00:00"/>
        <d v="2026-02-03T00:00:00"/>
        <d v="2026-02-12T00:00:00"/>
        <d v="2026-02-02T00:00:00"/>
        <d v="2026-02-15T00:00:00"/>
        <d v="2026-02-19T00:00:00"/>
        <d v="2026-02-20T00:00:00"/>
        <d v="2026-02-11T00:00:00"/>
        <d v="2026-02-23T00:00:00"/>
        <d v="2026-02-18T00:00:00"/>
        <d v="2026-02-24T00:00:00"/>
        <d v="2026-02-26T00:00:00"/>
        <d v="2026-02-25T00:00:00"/>
        <d v="2026-01-28T00:00:00"/>
        <d v="2026-01-23T00:00:00"/>
        <d v="2026-03-05T00:00:00"/>
        <d v="2026-02-27T00:00:00"/>
        <d v="2026-01-17T00:00:00"/>
        <d v="2026-03-17T00:00:00"/>
        <d v="2026-03-04T00:00:00"/>
        <d v="2026-03-02T00:00:00"/>
        <d v="2026-01-14T00:00:00"/>
        <d v="2026-01-29T00:00:00"/>
        <d v="2026-02-06T00:00:00"/>
        <d v="2026-01-24T00:00:00"/>
        <d v="2026-02-13T00:00:00"/>
        <d v="2026-02-17T00:00:00"/>
        <d v="2026-02-10T00:00:00"/>
        <m/>
      </sharedItems>
      <fieldGroup par="32"/>
    </cacheField>
    <cacheField name="data_pagamento" numFmtId="0">
      <sharedItems containsNonDate="0" containsDate="1" containsString="0" containsBlank="1" minDate="2026-01-01T00:00:00" maxDate="2026-03-18T00:00:00"/>
    </cacheField>
    <cacheField name="cod_credor_forn_cli_func" numFmtId="0">
      <sharedItems containsBlank="1"/>
    </cacheField>
    <cacheField name="credor_forn_cli_func" numFmtId="0">
      <sharedItems containsBlank="1"/>
    </cacheField>
    <cacheField name="Origem" numFmtId="0">
      <sharedItems containsBlank="1"/>
    </cacheField>
    <cacheField name="Sistema" numFmtId="0">
      <sharedItems containsBlank="1"/>
    </cacheField>
    <cacheField name="Dados auxiliares" numFmtId="0">
      <sharedItems containsNonDate="0" containsString="0" containsBlank="1"/>
    </cacheField>
    <cacheField name="Valor Oficial" numFmtId="0">
      <sharedItems containsString="0" containsBlank="1" containsNumber="1" minValue="-760000" maxValue="760000"/>
    </cacheField>
    <cacheField name="Dias (data_nf)" numFmtId="0" databaseField="0">
      <fieldGroup base="23">
        <rangePr groupBy="days" startDate="2026-01-01T00:00:00" endDate="2026-03-18T00:00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8/03/2026"/>
        </groupItems>
      </fieldGroup>
    </cacheField>
    <cacheField name="Meses (data_nf)" numFmtId="0" databaseField="0">
      <fieldGroup base="23">
        <rangePr groupBy="months" startDate="2026-01-01T00:00:00" endDate="2026-03-18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8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"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3.12"/>
    <s v="PRO LABORE"/>
    <s v="7.3.12 PRO LABORE"/>
    <x v="0"/>
    <s v="A11693"/>
    <n v="-1351.02"/>
    <n v="-1351.02"/>
    <n v="-1351.02"/>
    <s v="A11693 PAGTO REF A FOLHA PRO LABORE COMPETENCIA DEZEMBRO 2025."/>
    <x v="0"/>
    <d v="2026-01-06T00:00:00"/>
    <s v="235"/>
    <s v="GIULIANA  ANDREA VICCINO SALMAZZO"/>
    <s v="Saída (Aplicações)"/>
    <s v="SAGI"/>
    <m/>
    <n v="-1351.02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3.12"/>
    <s v="PRO LABORE"/>
    <s v="7.3.12 PRO LABORE"/>
    <x v="1"/>
    <s v="A11692"/>
    <n v="-1351.02"/>
    <n v="-1351.02"/>
    <n v="-1351.02"/>
    <s v="A11692 PAGTO REF A FOLHA PRO LABORE COMPETENCIA DEZEMBRO 2025"/>
    <x v="0"/>
    <d v="2026-01-06T00:00:00"/>
    <s v="180"/>
    <s v="RENATO JOSE APARECIDO SALTEIRO"/>
    <s v="Saída (Aplicações)"/>
    <s v="SAGI"/>
    <m/>
    <n v="-1351.02"/>
  </r>
  <r>
    <m/>
    <x v="0"/>
    <s v="1.1"/>
    <s v="PILARES"/>
    <s v="1.1 PILARES"/>
    <s v="1.1.15"/>
    <s v="MANUTENCAO DE MÁQUINAS E VEICULOS"/>
    <s v="1.1.15 MANUTENCAO DE MÁQUINAS E VEICULOS"/>
    <s v="1.1.15"/>
    <s v="MANUTENCAO DE MÁQUINAS E VEICULOS"/>
    <s v="1.1.15 MANUTENCAO DE MÁQUINAS E VEICULOS"/>
    <s v="1.1.15"/>
    <s v="MANUTENCAO DE MÁQUINAS E VEICULOS"/>
    <s v="1.1.15 MANUTENCAO DE MÁQUINAS E VEICULOS"/>
    <s v="7.3.23"/>
    <s v="HONORÁRIOS PJ"/>
    <s v="7.3.23 HONORÁRIOS PJ"/>
    <x v="2"/>
    <s v="0000X7116"/>
    <n v="-8000"/>
    <n v="-8000"/>
    <n v="-8000"/>
    <s v="PAGTO PJ DEZ 25 PAGTO REF A REMUNERAÇÃO PJ COMPETENCIA DEZEMBRO 2025"/>
    <x v="1"/>
    <d v="2026-01-07T00:00:00"/>
    <s v="23190"/>
    <s v="PAGAMENTO FUNCIONÁRIOS"/>
    <s v="Saída (Aplicações)"/>
    <s v="SAGI"/>
    <m/>
    <n v="-8000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3.6"/>
    <s v="PLANO DE SAÚDE"/>
    <s v="7.3.6 PLANO DE SAÚDE"/>
    <x v="0"/>
    <s v="27308"/>
    <n v="-5989.17"/>
    <n v="-5989.17"/>
    <n v="-5989.17"/>
    <s v=" [GIULIANA] REF A PLANO DE SAUDE FAMILIAR - SUL AMERICA_x000d__x000a_SOLICITADO POR ADRIANA NOGUEIRA_x000d__x000a_VENCIMENTO EM 08/01/2026_x000d__x000a_VALOR TOTAL R$ 5.989,17_x000d__x000a_PAGAMENTO VIA BOLETO BANCARIO"/>
    <x v="2"/>
    <d v="2026-01-05T00:00:00"/>
    <s v="30349"/>
    <s v="SUL AMERICA COMPANHIA DE SEGURO SAUDE"/>
    <s v="Saída (Aplicações)"/>
    <s v="SAGI"/>
    <m/>
    <n v="-5989.17"/>
  </r>
  <r>
    <m/>
    <x v="0"/>
    <s v="1.1"/>
    <s v="PILARES"/>
    <s v="1.1 PILARES"/>
    <s v="1.1.12"/>
    <s v="MARKETING"/>
    <s v="1.1.12 MARKETING"/>
    <s v="1.1.12"/>
    <s v="MARKETING"/>
    <s v="1.1.12 MARKETING"/>
    <s v="1.1.12"/>
    <s v="MARKETING"/>
    <s v="1.1.12 MARKETING"/>
    <s v="7.2.5"/>
    <s v="PUBLICIDADE E PROPAGANDA"/>
    <s v="7.2.5 PUBLICIDADE E PROPAGANDA"/>
    <x v="2"/>
    <s v="NFSE-105"/>
    <n v="-600"/>
    <n v="-600"/>
    <n v="-600"/>
    <s v=" CRISTINA - REF A GRAVAÇÃO E EDICOES DE VIDEOS - PAGAMENTO: BOLETO BANCARIO_x000d__x000a_VENCIMENTO: 15/01 -  NFS - 105 -"/>
    <x v="3"/>
    <d v="2026-01-08T00:00:00"/>
    <s v="23003"/>
    <s v="MARAIZA FEITOSA MARTINS PARDINI"/>
    <s v="Saída (Aplicações)"/>
    <s v="SAGI"/>
    <m/>
    <n v="-600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1.16"/>
    <s v="SERVIÇOS DE TERCEIROS"/>
    <s v="7.1.16 SERVIÇOS DE TERCEIROS"/>
    <x v="2"/>
    <s v="X27739"/>
    <n v="-1350"/>
    <n v="-1350"/>
    <n v="-1350"/>
    <s v=" [GIULIANA] - REF. AO SERVICO DE MOTOBOY REALIZADO POR ADILSON NA UNIDADE DE PRUDENTE,_x000d__x000a_COMPETENCIA MES 12/2025_x000d__x000a_ACORDADO VALOR FIXO DE R$1.350,00, AUTORIZADO PELO SR. RENATO _x000d__x000a_VENCIMENTO EM 15/01/2026_x000d__x000a_PAGAMENTO EM ESPÉCIE"/>
    <x v="4"/>
    <d v="2026-01-13T00:00:00"/>
    <s v="13996"/>
    <s v="ADILSON ALVES PEREIRA"/>
    <s v="Saída (Aplicações)"/>
    <s v="SAGI"/>
    <m/>
    <n v="-1350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4.6"/>
    <s v="IRRF"/>
    <s v="7.4.6 IRRF"/>
    <x v="3"/>
    <s v="ARRECADAÇAOG3S01122025"/>
    <n v="-43696.52"/>
    <n v="-43696.52"/>
    <n v="-43696.52"/>
    <s v="GUIA INSS/IRRF DEZ 2025 PAGTO REF A GUIA ARRECADAÇÃO ( INSS/IRRF) FOLHA FUNCIONARIOS(AS) COMPETENCIA DEZEMBRO 2025"/>
    <x v="5"/>
    <d v="2026-01-16T00:00:00"/>
    <s v="23182"/>
    <s v="SECRETARIA DA RECEITA FEDERAL"/>
    <s v="Saída (Aplicações)"/>
    <s v="SAGI"/>
    <m/>
    <n v="-43696.52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3"/>
    <s v="INSS"/>
    <s v="7.3.3 INSS"/>
    <x v="3"/>
    <s v="ARRECADAÇAOG3S01122025"/>
    <n v="-43696.53"/>
    <n v="-43696.53"/>
    <n v="-43696.53"/>
    <s v="GUIA INSS/IRRF DEZ 2025 PAGTO REF A GUIA ARRECADAÇÃO ( INSS/IRRF) FOLHA FUNCIONARIOS(AS) COMPETENCIA DEZEMBRO 2025"/>
    <x v="5"/>
    <d v="2026-01-16T00:00:00"/>
    <s v="23182"/>
    <s v="SECRETARIA DA RECEITA FEDERAL"/>
    <s v="Saída (Aplicações)"/>
    <s v="SAGI"/>
    <m/>
    <n v="-43696.53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"/>
    <s v="FGTS"/>
    <s v="7.3.2 FGTS"/>
    <x v="3"/>
    <s v="FGTSG3S01122025"/>
    <n v="-31046.15"/>
    <n v="-31046.15"/>
    <n v="-31046.15"/>
    <s v="GUIA FGTS DEZ25 PAGTO REF A GFD GUIA DO FGTS FOLHA FUNCIONARIOS(AS) (FGTS 13º SA L R$ 6.466,52 E FGTS FOLHA R$ 17.450,32 E CONSIGNADO R$ 7.129,31) COMPETENCIA DEZEMBRO 2025."/>
    <x v="5"/>
    <d v="2026-01-16T00:00:00"/>
    <s v="6030"/>
    <s v="CAIXA ECONOMICA FEDERAL"/>
    <s v="Saída (Aplicações)"/>
    <s v="SAGI"/>
    <m/>
    <n v="-31046.15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"/>
    <s v="FGTS"/>
    <s v="7.3.2 FGTS"/>
    <x v="0"/>
    <s v="FGTSG&amp;S122025"/>
    <n v="-19949.75"/>
    <n v="-19949.75"/>
    <n v="-19949.75"/>
    <s v="GUIA FGTS DEZ 25 PAGTO REF A GFD GUIA DO FGTS FOLHA FUNCIONARIOS(AS) (FGTS 13º SA L R$ 5.399,42 E FGTS FOLHA R$ 12.666,75 E CONSIGNADO R$ 1.883,58) COMPETENCIA DEZEMBRO 2025."/>
    <x v="6"/>
    <d v="2026-01-19T00:00:00"/>
    <s v="6030"/>
    <s v="CAIXA ECONOMICA FEDERAL"/>
    <s v="Saída (Aplicações)"/>
    <s v="SAGI"/>
    <m/>
    <n v="-19949.75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3.1"/>
    <s v="SALÁRIOS"/>
    <s v="7.3.1 SALÁRIOS"/>
    <x v="2"/>
    <s v="0000X7163"/>
    <n v="-200"/>
    <n v="-200"/>
    <n v="-200"/>
    <s v="DIARIA DEZEMBRO 2025 PAGTO REF DIARIA COMPETENCIA DEZEMBRO 2025, LIMPEZA REFEITORIO SELETIVA P PTE"/>
    <x v="3"/>
    <d v="2026-01-08T00:00:00"/>
    <s v="23190"/>
    <s v="PAGAMENTO FUNCIONÁRIOS"/>
    <s v="Saída (Aplicações)"/>
    <s v="SAGI"/>
    <m/>
    <n v="-200"/>
  </r>
  <r>
    <m/>
    <x v="0"/>
    <s v="1.1"/>
    <s v="PILARES"/>
    <s v="1.1 PILARES"/>
    <s v="1.1.15"/>
    <s v="MANUTENCAO DE MÁQUINAS E VEICULOS"/>
    <s v="1.1.15 MANUTENCAO DE MÁQUINAS E VEICULOS"/>
    <s v="1.1.15"/>
    <s v="MANUTENCAO DE MÁQUINAS E VEICULOS"/>
    <s v="1.1.15 MANUTENCAO DE MÁQUINAS E VEICULOS"/>
    <s v="1.1.15"/>
    <s v="MANUTENCAO DE MÁQUINAS E VEICULOS"/>
    <s v="1.1.15 MANUTENCAO DE MÁQUINAS E VEICULOS"/>
    <s v="7.5.22"/>
    <s v="DESPESAS BANCARIAS"/>
    <s v="7.5.22 DESPESAS BANCARIAS"/>
    <x v="3"/>
    <s v="NFSE-3983577"/>
    <n v="-69.319999999999993"/>
    <n v="-69.319999999999993"/>
    <n v="-69.319999999999993"/>
    <s v=" [GIULIANA] REF A SERVIÇOS PRESTADOS DE LICENCIAMENTO DE PROGRAMAS DE COMPUTADOR - FLASH EXPENSE_x000d__x000a_PERIODO: DEZEMBRO/2025_x000d__x000a_NFS 003.983.577 VENCIMENTO 15/01/2026_x000d__x000a_PAGAMENTO VIA BOLETO BANCARIO"/>
    <x v="7"/>
    <d v="2026-01-02T00:00:00"/>
    <s v="701"/>
    <s v="FLASH TECNOLOGIA E INSTITUICAO DE PAGAMENTO LTDA"/>
    <s v="Saída (Aplicações)"/>
    <s v="SAGI"/>
    <m/>
    <n v="-69.319999999999993"/>
  </r>
  <r>
    <m/>
    <x v="0"/>
    <s v="1.1"/>
    <s v="PILARES"/>
    <s v="1.1 PILARES"/>
    <s v="1.1.12"/>
    <s v="MARKETING"/>
    <s v="1.1.12 MARKETING"/>
    <s v="1.1.12"/>
    <s v="MARKETING"/>
    <s v="1.1.12 MARKETING"/>
    <s v="1.1.12"/>
    <s v="MARKETING"/>
    <s v="1.1.12 MARKETING"/>
    <s v="7.2.5"/>
    <s v="PUBLICIDADE E PROPAGANDA"/>
    <s v="7.2.5 PUBLICIDADE E PROPAGANDA"/>
    <x v="0"/>
    <s v="NFSE-108"/>
    <n v="-600"/>
    <n v="-600"/>
    <n v="-600"/>
    <s v="OC 27710 - REF A GRAVAÇÃO E EDIÇOES DE VIDEOS._x000d__x000a_PAGAMENTO BOLETO BANCARIO_x000d__x000a_VENCIMENTO - 15/01_x000d__x000a_NFS - 108_x000d__x000a_"/>
    <x v="8"/>
    <d v="2026-01-09T00:00:00"/>
    <s v="23003"/>
    <s v="MARAIZA FEITOSA MARTINS PARDINI"/>
    <s v="Saída (Aplicações)"/>
    <s v="SAGI"/>
    <m/>
    <n v="-600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"/>
    <s v="FGTS"/>
    <s v="7.3.2 FGTS"/>
    <x v="4"/>
    <s v="FGTSRSE01122025"/>
    <n v="-308.49"/>
    <n v="-308.49"/>
    <n v="-308.49"/>
    <s v="GUIA FGTS DEZ 25 PAGTO REF A GFD GUIA DO FGTS FOLHA FUNCIONARIA (FGTS 13º SA L R$ 93,15 E FGTS FOLHA R$ 215,34 ) COMPETENCIA DEZEMBRO 2025."/>
    <x v="5"/>
    <d v="2026-01-16T00:00:00"/>
    <s v="6030"/>
    <s v="CAIXA ECONOMICA FEDERAL"/>
    <s v="Saída (Aplicações)"/>
    <s v="SAGI"/>
    <m/>
    <n v="-308.49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10"/>
    <s v="IPVA"/>
    <s v="7.1.10 IPVA"/>
    <x v="2"/>
    <s v="IPVA 2026 TKQ2D62"/>
    <n v="-8800.0300000000007"/>
    <n v="-8800.0300000000007"/>
    <n v="-8800.0300000000007"/>
    <s v=" HUGO - IPVA 2026 - TKQ2D62 - RENAVAM 01422588286"/>
    <x v="7"/>
    <d v="2026-01-02T00:00:00"/>
    <s v="25777"/>
    <s v="SECRETARIA DA FAZENDA SAO PAULO"/>
    <s v="Saída (Aplicações)"/>
    <s v="SAGI"/>
    <m/>
    <n v="-8800.0300000000007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0"/>
    <s v="TRANSPORTE DE COLABORADORES"/>
    <s v="7.3.10 TRANSPORTE DE COLABORADORES"/>
    <x v="5"/>
    <s v="SEMPARARG3S08012026"/>
    <n v="-820.12"/>
    <n v="-820.12"/>
    <n v="-820.12"/>
    <s v="SEM PARAR JANEIRO 2026 PAGTO REF AO MULTI BENIFICIO CARTÃO SEM PARAR COMPETENCIA JANEIRO 2026"/>
    <x v="9"/>
    <d v="2026-01-21T00:00:00"/>
    <s v="31755"/>
    <s v="VB SERVICOS COMERCIO E ADMINISTRACAO. LTDA."/>
    <s v="Saída (Aplicações)"/>
    <s v="SAGI"/>
    <m/>
    <n v="-820.12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8"/>
    <s v="CESTA BÁSICA"/>
    <s v="7.3.8 CESTA BÁSICA"/>
    <x v="5"/>
    <s v="SEMPARARG3S08012026"/>
    <n v="-820.13"/>
    <n v="-820.13"/>
    <n v="-820.13"/>
    <s v="SEM PARAR JANEIRO 2026 PAGTO REF AO MULTI BENIFICIO CARTÃO SEM PARAR COMPETENCIA JANEIRO 2026"/>
    <x v="9"/>
    <d v="2026-01-21T00:00:00"/>
    <s v="31755"/>
    <s v="VB SERVICOS COMERCIO E ADMINISTRACAO. LTDA."/>
    <s v="Saída (Aplicações)"/>
    <s v="SAGI"/>
    <m/>
    <n v="-820.13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0"/>
    <s v="TRANSPORTE DE COLABORADORES"/>
    <s v="7.3.10 TRANSPORTE DE COLABORADORES"/>
    <x v="6"/>
    <s v="SEMPARARG3S11012026"/>
    <n v="-286.18"/>
    <n v="-286.18"/>
    <n v="-286.18"/>
    <s v="SEM PARAR JANEIRO 2026 PAGTO REF AO MULTI BENEFICIO CARTÃO SEM PARAR COMPETENCIA  JANEIRO 2026"/>
    <x v="9"/>
    <d v="2026-01-21T00:00:00"/>
    <s v="31755"/>
    <s v="VB SERVICOS COMERCIO E ADMINISTRACAO. LTDA."/>
    <s v="Saída (Aplicações)"/>
    <s v="SAGI"/>
    <m/>
    <n v="-286.18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8"/>
    <s v="CESTA BÁSICA"/>
    <s v="7.3.8 CESTA BÁSICA"/>
    <x v="6"/>
    <s v="SEMPARARG3S11012026"/>
    <n v="-286.19"/>
    <n v="-286.19"/>
    <n v="-286.19"/>
    <s v="SEM PARAR JANEIRO 2026 PAGTO REF AO MULTI BENEFICIO CARTÃO SEM PARAR COMPETENCIA  JANEIRO 2026"/>
    <x v="9"/>
    <d v="2026-01-21T00:00:00"/>
    <s v="31755"/>
    <s v="VB SERVICOS COMERCIO E ADMINISTRACAO. LTDA."/>
    <s v="Saída (Aplicações)"/>
    <s v="SAGI"/>
    <m/>
    <n v="-286.19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0"/>
    <s v="TRANSPORTE DE COLABORADORES"/>
    <s v="7.3.10 TRANSPORTE DE COLABORADORES"/>
    <x v="2"/>
    <s v="SEMPARARG3S04012026"/>
    <n v="-2347.13"/>
    <n v="-2347.13"/>
    <n v="-2347.13"/>
    <s v="SEM PARAR JANEIRO 2026 PAGTO REF AO MULTI BENEFICIO CARTÃO SEM PARAR COMPETENCIA JANEIRO 2026"/>
    <x v="10"/>
    <d v="2026-01-22T00:00:00"/>
    <s v="31755"/>
    <s v="VB SERVICOS COMERCIO E ADMINISTRACAO. LTDA."/>
    <s v="Saída (Aplicações)"/>
    <s v="SAGI"/>
    <m/>
    <n v="-2347.13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8"/>
    <s v="CESTA BÁSICA"/>
    <s v="7.3.8 CESTA BÁSICA"/>
    <x v="2"/>
    <s v="SEMPARARG3S04012026"/>
    <n v="-2347.13"/>
    <n v="-2347.13"/>
    <n v="-2347.13"/>
    <s v="SEM PARAR JANEIRO 2026 PAGTO REF AO MULTI BENEFICIO CARTÃO SEM PARAR COMPETENCIA JANEIRO 2026"/>
    <x v="10"/>
    <d v="2026-01-22T00:00:00"/>
    <s v="31755"/>
    <s v="VB SERVICOS COMERCIO E ADMINISTRACAO. LTDA."/>
    <s v="Saída (Aplicações)"/>
    <s v="SAGI"/>
    <m/>
    <n v="-2347.13"/>
  </r>
  <r>
    <m/>
    <x v="0"/>
    <s v="1.1"/>
    <s v="PILARES"/>
    <s v="1.1 PILARES"/>
    <s v="1.1.14"/>
    <s v="SUPRIMENTOS"/>
    <s v="1.1.14 SUPRIMENTOS"/>
    <s v="1.1.14"/>
    <s v="SUPRIMENTOS"/>
    <s v="1.1.14 SUPRIMENTOS"/>
    <s v="1.1.14"/>
    <s v="SUPRIMENTOS"/>
    <s v="1.1.14 SUPRIMENTOS"/>
    <s v="7.3.23"/>
    <s v="HONORÁRIOS PJ"/>
    <s v="7.3.23 HONORÁRIOS PJ"/>
    <x v="2"/>
    <s v="0000X6924"/>
    <n v="-7833.33"/>
    <n v="-7833.33"/>
    <n v="-7833.33"/>
    <s v="PJ DEZEMBRO 2025 PAGTO REF A  PESSOA JURIDICA FOLHA COMPETENCIA DEZEMBRO 2025"/>
    <x v="11"/>
    <d v="2026-01-01T00:00:00"/>
    <s v="23190"/>
    <s v="PAGAMENTO FUNCIONÁRIOS"/>
    <s v="Saída (Aplicações)"/>
    <s v="SAGI"/>
    <m/>
    <n v="-7833.33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8"/>
    <s v="CESTA BÁSICA"/>
    <s v="7.3.8 CESTA BÁSICA"/>
    <x v="0"/>
    <s v="A11690"/>
    <n v="-250"/>
    <n v="-250"/>
    <n v="-250"/>
    <s v="A11690 PAGTO REF A DOAÇÃO CESTA BASICA  COMP DEZEMBRO 25"/>
    <x v="0"/>
    <d v="2026-01-06T00:00:00"/>
    <s v="25188"/>
    <s v="LUIZ DO CARMO PEREIRA"/>
    <s v="Saída (Aplicações)"/>
    <s v="SAGI"/>
    <m/>
    <n v="-250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0"/>
    <s v="TRANSPORTE DE COLABORADORES"/>
    <s v="7.3.10 TRANSPORTE DE COLABORADORES"/>
    <x v="7"/>
    <s v="SEMPARARG&amp;S06012026"/>
    <n v="-553.15"/>
    <n v="-553.15"/>
    <n v="-553.15"/>
    <s v="SEM PARAR JANEIRO 2026 PAGTO REF AO MULTI BENEFICIO CARTÃO SEM PARAR COMPETENCIA JANEIRO 2026"/>
    <x v="10"/>
    <d v="2026-01-22T00:00:00"/>
    <s v="31755"/>
    <s v="VB SERVICOS COMERCIO E ADMINISTRACAO. LTDA."/>
    <s v="Saída (Aplicações)"/>
    <s v="SAGI"/>
    <m/>
    <n v="-553.15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8"/>
    <s v="CESTA BÁSICA"/>
    <s v="7.3.8 CESTA BÁSICA"/>
    <x v="7"/>
    <s v="SEMPARARG&amp;S06012026"/>
    <n v="-553.16"/>
    <n v="-553.16"/>
    <n v="-553.16"/>
    <s v="SEM PARAR JANEIRO 2026 PAGTO REF AO MULTI BENEFICIO CARTÃO SEM PARAR COMPETENCIA JANEIRO 2026"/>
    <x v="10"/>
    <d v="2026-01-22T00:00:00"/>
    <s v="31755"/>
    <s v="VB SERVICOS COMERCIO E ADMINISTRACAO. LTDA."/>
    <s v="Saída (Aplicações)"/>
    <s v="SAGI"/>
    <m/>
    <n v="-553.16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0"/>
    <s v="TRANSPORTE DE COLABORADORES"/>
    <s v="7.3.10 TRANSPORTE DE COLABORADORES"/>
    <x v="4"/>
    <s v="SEMPARARRSE012026"/>
    <n v="-9.9499999999999993"/>
    <n v="-9.9499999999999993"/>
    <n v="-9.9499999999999993"/>
    <s v="SEM PARAR JANEIRO 2026 PAGTO REF AO MULTI BENEFICIO CARTÃO SEM PARAR COMPETENCIA JANEIRO 2026"/>
    <x v="9"/>
    <d v="2026-01-21T00:00:00"/>
    <s v="31755"/>
    <s v="VB SERVICOS COMERCIO E ADMINISTRACAO. LTDA."/>
    <s v="Saída (Aplicações)"/>
    <s v="SAGI"/>
    <m/>
    <n v="-9.9499999999999993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8"/>
    <s v="CESTA BÁSICA"/>
    <s v="7.3.8 CESTA BÁSICA"/>
    <x v="4"/>
    <s v="SEMPARARRSE012026"/>
    <n v="-9.9499999999999993"/>
    <n v="-9.9499999999999993"/>
    <n v="-9.9499999999999993"/>
    <s v="SEM PARAR JANEIRO 2026 PAGTO REF AO MULTI BENEFICIO CARTÃO SEM PARAR COMPETENCIA JANEIRO 2026"/>
    <x v="9"/>
    <d v="2026-01-21T00:00:00"/>
    <s v="31755"/>
    <s v="VB SERVICOS COMERCIO E ADMINISTRACAO. LTDA."/>
    <s v="Saída (Aplicações)"/>
    <s v="SAGI"/>
    <m/>
    <n v="-9.9499999999999993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8.1.1"/>
    <s v="VEÍCULOS"/>
    <s v="8.1.1 VEÍCULOS"/>
    <x v="4"/>
    <s v="ADT - ITATIAIA"/>
    <n v="-211572.38"/>
    <n v="-211572.38"/>
    <n v="-211572.38"/>
    <s v=" HUGO - REFERE-SE SALDO DE PAGAMENTODE COMPRA DE DOIS VEÍCULOS QUE FORAM ADIQUIRIDOS DA CARTA CONTEMPLADA CONSÓRCIO VOLVO GRUPO: 178 COTA: 098"/>
    <x v="12"/>
    <d v="2026-01-26T00:00:00"/>
    <s v="32019"/>
    <s v="ITATIAIA DISTRIBUIDORA DE VEICULOS LTDA"/>
    <s v="Saída (Aplicações)"/>
    <s v="SAGI"/>
    <m/>
    <n v="-211572.38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7"/>
    <s v="SEGUROVIDAG&amp;S06012026"/>
    <n v="-86.69"/>
    <n v="-86.69"/>
    <n v="-86.69"/>
    <s v="SEGURO DE VIDA JANEIRO 2026 PAGTO REF A SEGURO DE VIDA FUNCIONARIOS(AS) COMPETENCIA JANEIRO 2026."/>
    <x v="13"/>
    <d v="2026-01-27T00:00:00"/>
    <s v="549"/>
    <s v="ICATU SEGUROS S.A"/>
    <s v="Saída (Aplicações)"/>
    <s v="SAGI"/>
    <m/>
    <n v="-86.69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8"/>
    <s v="SEGUROVIDAG&amp;S07012026"/>
    <n v="-77.05"/>
    <n v="-77.05"/>
    <n v="-77.05"/>
    <s v="SEGURO DE VIDA JANEIRO 2026 PAGTO REF A SEGURO DE VIDA FUNCIONARIOS(AS) COMPETENCIA JANEIRO 2026."/>
    <x v="13"/>
    <d v="2026-01-27T00:00:00"/>
    <s v="549"/>
    <s v="ICATU SEGUROS S.A"/>
    <s v="Saída (Aplicações)"/>
    <s v="SAGI"/>
    <m/>
    <n v="-77.05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0"/>
    <s v="SEGUROVIDAG&amp;S01012026"/>
    <n v="-218.32"/>
    <n v="-218.32"/>
    <n v="-218.32"/>
    <s v="SEGUR DE VIDA JANEIRO 2026 PAGTO REF A SEGURO DE VIDA FUNCIONARIOS(AS) COMPETENCIA JANEIRO 2026."/>
    <x v="13"/>
    <d v="2026-01-27T00:00:00"/>
    <s v="549"/>
    <s v="ICATU SEGUROS S.A"/>
    <s v="Saída (Aplicações)"/>
    <s v="SAGI"/>
    <m/>
    <n v="-218.32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4"/>
    <s v="SEGUROVIDARSE012026"/>
    <n v="-22.47"/>
    <n v="-22.47"/>
    <n v="-22.47"/>
    <s v="SEGURO DE VIDA JANEIRO 2026 PAGTO REF A SEGURO DE VIDA FUNCIONARIOS(AS) COMPETENCIA JANEIRO 2026."/>
    <x v="13"/>
    <d v="2026-01-27T00:00:00"/>
    <s v="549"/>
    <s v="ICATU SEGUROS S.A"/>
    <s v="Saída (Aplicações)"/>
    <s v="SAGI"/>
    <m/>
    <n v="-22.47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9"/>
    <s v="MULTAS DE TRANSITO"/>
    <s v="7.1.9 MULTAS DE TRANSITO"/>
    <x v="2"/>
    <s v="OC 28092 - MULTA AI X850047453"/>
    <n v="-130.16"/>
    <n v="-130.16"/>
    <n v="-130.16"/>
    <s v=" CRISTINA - MULTA DE TRANSITO SR. RENATO _x000d__x000a_DADOS DA MULTA_x000d__x000a_AUTO DE INFRAÇÃO (AI): X850047453_x000d__x000a_INFRATOR: RENATO SALTEIRO _x000d__x000a_DATA DA INFRAÇÃO: 04/12/2025_x000d__x000a_INFRAÇÃO: TRANSITAR EM VELOCIDADE SUPERIOR A MAXIMA PERMITIDA EM ATE 20%_x000d__x000a_PLACA: TKQ2D62_x000d__x000a_RENAVAM: 01422588286"/>
    <x v="13"/>
    <d v="2026-01-27T00:00:00"/>
    <s v="32020"/>
    <s v="MUNICIPIO DE OSASCO"/>
    <s v="Saída (Aplicações)"/>
    <s v="SAGI"/>
    <m/>
    <n v="-130.16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9"/>
    <s v="SEGUROVIDAG3S03012026"/>
    <n v="-115.56"/>
    <n v="-115.56"/>
    <n v="-115.56"/>
    <s v="SEGURO DE VIDA JANEIRO 2026 PAGTO REF A SEGURO DE VIDA FUNCIONARIOS(AS) COMPETENCIA JANEIRO 2026."/>
    <x v="13"/>
    <d v="2026-01-27T00:00:00"/>
    <s v="549"/>
    <s v="ICATU SEGUROS S.A"/>
    <s v="Saída (Aplicações)"/>
    <s v="SAGI"/>
    <m/>
    <n v="-115.56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2"/>
    <s v="SEGUROVIDAG3S04012026"/>
    <n v="-247.17"/>
    <n v="-247.17"/>
    <n v="-247.17"/>
    <s v="SEGURO DE VIDA JANEIRO 2026 PAGTO REF A SEGURO DE VIDA FUNCIONARIOS(AS) COMPETENCIA JANEIRO 2026."/>
    <x v="13"/>
    <d v="2026-01-27T00:00:00"/>
    <s v="549"/>
    <s v="ICATU SEGUROS S.A"/>
    <s v="Saída (Aplicações)"/>
    <s v="SAGI"/>
    <m/>
    <n v="-247.17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10"/>
    <s v="SEGUROVIDAG3S10012026"/>
    <n v="-292.11"/>
    <n v="-292.11"/>
    <n v="-292.11"/>
    <s v="SEGURO DE VIDA JANEIRO 2026 PAGTO REF A SEGURO DE VIDA FUNCIONARIOS(AS) COMPETENCIA JANEIRO 2026."/>
    <x v="13"/>
    <d v="2026-01-27T00:00:00"/>
    <s v="549"/>
    <s v="ICATU SEGUROS S.A"/>
    <s v="Saída (Aplicações)"/>
    <s v="SAGI"/>
    <m/>
    <n v="-292.11"/>
  </r>
  <r>
    <m/>
    <x v="0"/>
    <s v="1.1"/>
    <s v="PILARES"/>
    <s v="1.1 PILARES"/>
    <s v="1.1.3"/>
    <s v="FINANCEIRO"/>
    <s v="1.1.3 FINANCEIRO"/>
    <s v="1.1.3"/>
    <s v="FINANCEIRO"/>
    <s v="1.1.3 FINANCEIRO"/>
    <s v="1.1.3"/>
    <s v="FINANCEIRO"/>
    <s v="1.1.3 FINANCEIRO"/>
    <s v="7.3.23"/>
    <s v="HONORÁRIOS PJ"/>
    <s v="7.3.23 HONORÁRIOS PJ"/>
    <x v="10"/>
    <s v="NFSE-8"/>
    <n v="-8623.1200000000008"/>
    <n v="-8623.1200000000008"/>
    <n v="-8623.1200000000008"/>
    <s v=" [GIULIANA] REF AOS SERVICOS PRESTADOS POR ADRIANA NOGUEIRA_x000d__x000a_COMPETENCIA 01/2026_x000d__x000a_SOLICITADO POR ADRIANA NOGUEIRA_x000d__x000a_NF 000.000.008_x000d__x000a_VALOR: R$8.800,00_x000d__x000a_VENCIMENTO EM 05/02/2026_x000d__x000a_PAGAMENTO VIA TRANSFERENCIA/PIX"/>
    <x v="13"/>
    <d v="2026-01-27T00:00:00"/>
    <s v="31094"/>
    <s v="ARNS SERVICOS ADMINISTRATIVOS LTDA"/>
    <s v="Saída (Aplicações)"/>
    <s v="SAGI"/>
    <m/>
    <n v="-8623.1200000000008"/>
  </r>
  <r>
    <m/>
    <x v="0"/>
    <s v="1.1"/>
    <s v="PILARES"/>
    <s v="1.1 PILARES"/>
    <s v="1.1.15"/>
    <s v="MANUTENCAO DE MÁQUINAS E VEICULOS"/>
    <s v="1.1.15 MANUTENCAO DE MÁQUINAS E VEICULOS"/>
    <s v="1.1.15"/>
    <s v="MANUTENCAO DE MÁQUINAS E VEICULOS"/>
    <s v="1.1.15 MANUTENCAO DE MÁQUINAS E VEICULOS"/>
    <s v="1.1.15"/>
    <s v="MANUTENCAO DE MÁQUINAS E VEICULOS"/>
    <s v="1.1.15 MANUTENCAO DE MÁQUINAS E VEICULOS"/>
    <s v="7.3.23"/>
    <s v="HONORÁRIOS PJ"/>
    <s v="7.3.23 HONORÁRIOS PJ"/>
    <x v="2"/>
    <s v="0000X7908"/>
    <n v="-8500"/>
    <n v="-8500"/>
    <n v="-8500"/>
    <s v="FOLHA PJ JANEIRO 2026 PAGTO REF A FOLHA PAGAMENTO PJ COMPETÊNCIA JANEIRO 2026 - OPERAÇÃO/MANUTENÇÃO VEICULOS"/>
    <x v="14"/>
    <d v="2026-02-04T00:00:00"/>
    <s v="23190"/>
    <s v="PAGAMENTO FUNCIONÁRIOS"/>
    <s v="Saída (Aplicações)"/>
    <s v="SAGI"/>
    <m/>
    <n v="-8500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3.22"/>
    <s v="BOLSA ESTAGIO"/>
    <s v="7.3.22 BOLSA ESTAGIO"/>
    <x v="2"/>
    <s v="0000X7962"/>
    <n v="-50"/>
    <n v="-50"/>
    <n v="-50"/>
    <s v="DIA LOJA JANEIRO 26 PAGTO REF A DIA TRABALHADO LOJA COMPETENCIA JANEIRO 2026."/>
    <x v="15"/>
    <d v="2026-02-05T00:00:00"/>
    <s v="23190"/>
    <s v="PAGAMENTO FUNCIONÁRIOS"/>
    <s v="Saída (Aplicações)"/>
    <s v="SAGI"/>
    <m/>
    <n v="-50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3.22"/>
    <s v="BOLSA ESTAGIO"/>
    <s v="7.3.22 BOLSA ESTAGIO"/>
    <x v="10"/>
    <s v="S11762"/>
    <n v="-1000"/>
    <n v="-1000"/>
    <n v="-1000"/>
    <s v="S11762 "/>
    <x v="16"/>
    <d v="2026-01-31T00:00:00"/>
    <s v="31701"/>
    <s v="ISADORA THAYNA VIOTTO DIAS"/>
    <s v="Saída (Aplicações)"/>
    <s v="SAGI"/>
    <m/>
    <n v="-1000"/>
  </r>
  <r>
    <m/>
    <x v="0"/>
    <s v="1.1"/>
    <s v="PILARES"/>
    <s v="1.1 PILARES"/>
    <s v="1.1.3"/>
    <s v="FINANCEIRO"/>
    <s v="1.1.3 FINANCEIRO"/>
    <s v="1.1.3"/>
    <s v="FINANCEIRO"/>
    <s v="1.1.3 FINANCEIRO"/>
    <s v="1.1.3"/>
    <s v="FINANCEIRO"/>
    <s v="1.1.3 FINANCEIRO"/>
    <s v="7.3.22"/>
    <s v="BOLSA ESTAGIO"/>
    <s v="7.3.22 BOLSA ESTAGIO"/>
    <x v="10"/>
    <s v="S11763"/>
    <n v="-1000"/>
    <n v="-1000"/>
    <n v="-1000"/>
    <s v="S11763 PAGTO REF A FOLHA BOLSA ESTAGIIO COMP JANEIRO 2026"/>
    <x v="16"/>
    <d v="2026-01-31T00:00:00"/>
    <s v="31600"/>
    <s v="JOAO EMANUEL SANTOS SILVA"/>
    <s v="Saída (Aplicações)"/>
    <s v="SAGI"/>
    <m/>
    <n v="-1000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3.6"/>
    <s v="PLANO DE SAÚDE"/>
    <s v="7.3.6 PLANO DE SAÚDE"/>
    <x v="0"/>
    <s v="28372"/>
    <n v="-5989.17"/>
    <n v="-5989.17"/>
    <n v="-5989.17"/>
    <s v=" [GIULIANA] REF A PLANO DE SAUDE FAMILIAR - SUL AMERICA_x000d__x000a_SOILICITADO POR ADRIANA NOGUEIRA_x000d__x000a_VENCIMENTO EM 09/01/2026_x000d__x000a_VALOR TOTAL R$ 5.989,17_x000d__x000a_PAGAMENTO VIA BOLETO BANCARIO"/>
    <x v="17"/>
    <d v="2026-01-15T00:00:00"/>
    <s v="30349"/>
    <s v="SUL AMERICA COMPANHIA DE SEGURO SAUDE"/>
    <s v="Saída (Aplicações)"/>
    <s v="SAGI"/>
    <m/>
    <n v="-5989.17"/>
  </r>
  <r>
    <m/>
    <x v="0"/>
    <s v="1.1"/>
    <s v="PILARES"/>
    <s v="1.1 PILARES"/>
    <s v="1.1.15"/>
    <s v="MANUTENCAO DE MÁQUINAS E VEICULOS"/>
    <s v="1.1.15 MANUTENCAO DE MÁQUINAS E VEICULOS"/>
    <s v="1.1.15"/>
    <s v="MANUTENCAO DE MÁQUINAS E VEICULOS"/>
    <s v="1.1.15 MANUTENCAO DE MÁQUINAS E VEICULOS"/>
    <s v="1.1.15"/>
    <s v="MANUTENCAO DE MÁQUINAS E VEICULOS"/>
    <s v="1.1.15 MANUTENCAO DE MÁQUINAS E VEICULOS"/>
    <s v="7.5.18"/>
    <s v="SISTEMAS"/>
    <s v="7.5.18 SISTEMAS"/>
    <x v="3"/>
    <s v="NFSE-34188"/>
    <n v="-55.2"/>
    <n v="-55.2"/>
    <n v="-55.2"/>
    <s v=" [GIULIANA] REF A SERVIÇOS PRESTADOS DA PLATAFORMA DE DESPESAS CORPORATIVAS PAYFY_x000d__x000a_PERIODO: FEVEREIRO/2026_x000d__x000a_NFS 000.034.188 VENCIMENTO 10/02/2026_x000d__x000a_PAGAMENTO VIA BOLETO BANCARIO"/>
    <x v="18"/>
    <d v="2026-02-01T00:00:00"/>
    <s v="32092"/>
    <s v="PAYFY S/A"/>
    <s v="Saída (Aplicações)"/>
    <s v="SAGI"/>
    <m/>
    <n v="-55.2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2"/>
    <s v="SEG-GLA200"/>
    <n v="-639.79"/>
    <n v="-639.79"/>
    <n v="-639.79"/>
    <s v=" RE. AO SEGURO DO VEÍCULO MERCEDES GLA 200, ONDE FOI UTILIZADA A APÓLICE DO VOLVO XC60 E SERÁ PAGO APENAS A DIFERENÇA, VIA BOLETO BANCÁRIO, NO VALOR DE R$ 639,79 - PARCELA UNICA. FOI ACORDADO QUE O SEGURO SERIA REALIZADO EM NOME DA G3S, EM RAZÃO DOS BÔNUS DISPONÍVEIS EM NOME DA SRA. GIULIANA."/>
    <x v="19"/>
    <d v="2026-02-03T00:00:00"/>
    <s v="24102"/>
    <s v="YELUM SEGUROS S/A"/>
    <s v="Saída (Aplicações)"/>
    <s v="SAGI"/>
    <m/>
    <n v="-639.79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1.16"/>
    <s v="SERVIÇOS DE TERCEIROS"/>
    <s v="7.1.16 SERVIÇOS DE TERCEIROS"/>
    <x v="2"/>
    <s v="X28483"/>
    <n v="-1350"/>
    <n v="-1350"/>
    <n v="-1350"/>
    <s v=" [GIULIANA] - REF. AO SERVICO DE MOTOBOY REALIZADO POR ADILSON NA UNIDADE DE PRUDENTE,_x000d__x000a_COMPETENCIA MES 01/2026_x000d__x000a_ACORDADO VALOR FIXO DE R$1.350,00, AUTORIZADO PELO SR. RENATO _x000d__x000a_VENCIMENTO EM 15/02/2026_x000d__x000a_PAGAMENTO EM ESPÉCIE"/>
    <x v="20"/>
    <d v="2026-02-12T00:00:00"/>
    <s v="13996"/>
    <s v="ADILSON ALVES PEREIRA"/>
    <s v="Saída (Aplicações)"/>
    <s v="SAGI"/>
    <m/>
    <n v="-1350"/>
  </r>
  <r>
    <m/>
    <x v="0"/>
    <s v="1.1"/>
    <s v="PILARES"/>
    <s v="1.1 PILARES"/>
    <s v="1.1.4"/>
    <s v="CONTABILIDADE/FISCAL"/>
    <s v="1.1.4 CONTABILIDADE/FISCAL"/>
    <s v="1.1.4"/>
    <s v="CONTABILIDADE/FISCAL"/>
    <s v="1.1.4 CONTABILIDADE/FISCAL"/>
    <s v="1.1.4"/>
    <s v="CONTABILIDADE/FISCAL"/>
    <s v="1.1.4 CONTABILIDADE/FISCAL"/>
    <s v="7.5.25"/>
    <s v="DESPESA DE CARTÓRIO"/>
    <s v="7.5.25 DESPESA DE CARTÓRIO"/>
    <x v="2"/>
    <s v="NFSE-69"/>
    <n v="-18.18"/>
    <n v="-18.18"/>
    <n v="-18.18"/>
    <s v=" - GIULIANA NFS 69 - VENC 15/02/2026 - BOLETO - REF A SERVIÇOS CARTORÁRIOS DURANTE O MÊS 01/2026_x000d__x000a_29/01/2026 - RECONHECIMENTO SEM VALOR 157935 - 18,18"/>
    <x v="19"/>
    <d v="2026-02-03T00:00:00"/>
    <s v="7497"/>
    <s v="BRUNA CARLA SALOMAO NOGUEIRA CUNHA MELO"/>
    <s v="Saída (Aplicações)"/>
    <s v="SAGI"/>
    <m/>
    <n v="-18.18"/>
  </r>
  <r>
    <m/>
    <x v="0"/>
    <s v="1.1"/>
    <s v="PILARES"/>
    <s v="1.1 PILARES"/>
    <s v="1.1.15"/>
    <s v="MANUTENCAO DE MÁQUINAS E VEICULOS"/>
    <s v="1.1.15 MANUTENCAO DE MÁQUINAS E VEICULOS"/>
    <s v="1.1.15"/>
    <s v="MANUTENCAO DE MÁQUINAS E VEICULOS"/>
    <s v="1.1.15 MANUTENCAO DE MÁQUINAS E VEICULOS"/>
    <s v="1.1.15"/>
    <s v="MANUTENCAO DE MÁQUINAS E VEICULOS"/>
    <s v="1.1.15 MANUTENCAO DE MÁQUINAS E VEICULOS"/>
    <s v="7.5.22"/>
    <s v="DESPESAS BANCARIAS"/>
    <s v="7.5.22 DESPESAS BANCARIAS"/>
    <x v="3"/>
    <s v="NFSE-4144482"/>
    <n v="-65.97"/>
    <n v="-65.97"/>
    <n v="-65.97"/>
    <s v=" [GIULIANA] REF A SERVIÇOS PRESTADOS DE LICENCIAMENTO DE PROGRAMAS DE COMPUTADOR - FLASH EXPENSE_x000d__x000a_PERIODO: JANEIRO/2026_x000d__x000a_NFS 004.144.482 VENCIMENTO 15/02/2026_x000d__x000a_PAGAMENTO VIA BOLETO BANCARIO"/>
    <x v="21"/>
    <d v="2026-02-02T00:00:00"/>
    <s v="701"/>
    <s v="FLASH TECNOLOGIA E INSTITUICAO DE PAGAMENTO LTDA"/>
    <s v="Saída (Aplicações)"/>
    <s v="SAGI"/>
    <m/>
    <n v="-65.97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5.18"/>
    <s v="SISTEMAS"/>
    <s v="7.5.18 SISTEMAS"/>
    <x v="2"/>
    <s v="NFSE-13831"/>
    <n v="-660"/>
    <n v="-660"/>
    <n v="-660"/>
    <s v="MENSALIDADE AHGORA JANEIRO 26 PAGTO REF A MENSALIDADE SISTEMA PONTO FUNCIONARIOS(AS) COMPETENCIA JANEIRO 2026._x000d__x000a_"/>
    <x v="2"/>
    <d v="2026-01-05T00:00:00"/>
    <s v="24792"/>
    <s v="AHGORA HCM SA"/>
    <s v="Saída (Aplicações)"/>
    <s v="SAGI"/>
    <m/>
    <n v="-660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12"/>
    <s v="PEDÁGIO"/>
    <s v="7.1.12 PEDÁGIO"/>
    <x v="4"/>
    <s v="OC 28648 SEM PARAR"/>
    <n v="-285.05"/>
    <n v="-285.05"/>
    <n v="-285.05"/>
    <s v=" CRISTINA - REF. A PEDAGIO SEM PARAR_x000d__x000a_BKW9I57 20,94_x000d__x000a_GDS7F95 20,94_x000d__x000a_GFA0D41 80,94_x000d__x000a_TKQ2D62 814,60_x000d__x000a_Nº da Fatura: 2636504383_x000d__x000a_Nº da Nota Fiscal: 678989417"/>
    <x v="22"/>
    <d v="2026-02-15T00:00:00"/>
    <s v="944"/>
    <s v="CENTRO DE GESTAO DE MEIO DE PGTO S.A SEM PARAR"/>
    <s v="Saída (Aplicações)"/>
    <s v="SAGI"/>
    <m/>
    <n v="-285.05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3"/>
    <s v="INSS"/>
    <s v="7.3.3 INSS"/>
    <x v="3"/>
    <s v="ARRECADAÇÃOINSSG3S012026"/>
    <n v="-75566.149999999994"/>
    <n v="-75566.149999999994"/>
    <n v="-75566.149999999994"/>
    <s v="ARRECADAÇÃO INSS/IRRF JAN26 PAGTO REF A GUIA  ARRECADAÇÃO ENCARGOS INSS FUNCIONARIOS(AS) E EMPRESA G3S MATRIZ E FILIAIS COMPETENCIA FOLHA JANEIRO 2026."/>
    <x v="23"/>
    <d v="2026-02-19T00:00:00"/>
    <s v="23182"/>
    <s v="SECRETARIA DA RECEITA FEDERAL"/>
    <s v="Saída (Aplicações)"/>
    <s v="SAGI"/>
    <m/>
    <n v="-75566.149999999994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"/>
    <s v="FGTS"/>
    <s v="7.3.2 FGTS"/>
    <x v="3"/>
    <s v="FGTSG3S01012026"/>
    <n v="-22008.720000000001"/>
    <n v="-22008.720000000001"/>
    <n v="-22008.720000000001"/>
    <s v="GUIA FGTS JANEIRO 2026 PAGTO REF A GUIA DO FGTS FOLHA FUNCIONARIOS(AS) COMPETENCIA JANEIRO 2026 (FGTS R$ 15.287,30) ( EMPRESTINO CONSIGNADO R$ 6.721,42)"/>
    <x v="23"/>
    <d v="2026-02-19T00:00:00"/>
    <s v="6030"/>
    <s v="CAIXA ECONOMICA FEDERAL"/>
    <s v="Saída (Aplicações)"/>
    <s v="SAGI"/>
    <m/>
    <n v="-22008.720000000001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5"/>
    <s v="BENEFÍCIOS DIVERSOS"/>
    <s v="7.3.25 BENEFÍCIOS DIVERSOS"/>
    <x v="3"/>
    <s v="SEMPARARG3S010226"/>
    <n v="-2584.25"/>
    <n v="-2584.25"/>
    <n v="-2584.25"/>
    <s v="PAGTO REF SEM PARAR 02/26 PAGTO REF A CARTÃO BENEFICIO SEM PARAR COMP FEVEREIRO 2026"/>
    <x v="23"/>
    <d v="2026-02-19T00:00:00"/>
    <s v="31755"/>
    <s v="VB SERVICOS COMERCIO E ADMINISTRACAO. LTDA."/>
    <s v="Saída (Aplicações)"/>
    <s v="SAGI"/>
    <m/>
    <n v="-2584.25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5"/>
    <s v="BENEFÍCIOS DIVERSOS"/>
    <s v="7.3.25 BENEFÍCIOS DIVERSOS"/>
    <x v="10"/>
    <s v="SEMPARARG3S100226"/>
    <n v="-11921.25"/>
    <n v="-11921.25"/>
    <n v="-11921.25"/>
    <s v="PAGTO REF SEM PARAR 02/26 PAGTO REF A CARTÃO BENEFICIO SEM PARAR COMP FEVEREIRO 2026."/>
    <x v="23"/>
    <d v="2026-02-19T00:00:00"/>
    <s v="31755"/>
    <s v="VB SERVICOS COMERCIO E ADMINISTRACAO. LTDA."/>
    <s v="Saída (Aplicações)"/>
    <s v="SAGI"/>
    <m/>
    <n v="-11921.25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5"/>
    <s v="BENEFÍCIOS DIVERSOS"/>
    <s v="7.3.25 BENEFÍCIOS DIVERSOS"/>
    <x v="6"/>
    <s v="SEMPARARG3S110226"/>
    <n v="-1542.12"/>
    <n v="-1542.12"/>
    <n v="-1542.12"/>
    <s v="PAGTO REF SEM PARAR 02/26 PAGTO REF A CARTÃO BENEFICIO SEM PARAR COMP FEVEREIRO 2026."/>
    <x v="24"/>
    <d v="2026-02-20T00:00:00"/>
    <s v="31755"/>
    <s v="VB SERVICOS COMERCIO E ADMINISTRACAO. LTDA."/>
    <s v="Saída (Aplicações)"/>
    <s v="SAGI"/>
    <m/>
    <n v="-1542.12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5"/>
    <s v="BENEFÍCIOS DIVERSOS"/>
    <s v="7.3.25 BENEFÍCIOS DIVERSOS"/>
    <x v="9"/>
    <s v="SEMPARARG3S030226"/>
    <n v="-2584.25"/>
    <n v="-2584.25"/>
    <n v="-2584.25"/>
    <s v="PAGTO REF SEM PARAR COMP 02/26 PAGTO REF A CARTÃO BENEFICIO SEM PARAR COMP FEVEREIRO 2026."/>
    <x v="24"/>
    <d v="2026-02-20T00:00:00"/>
    <s v="31755"/>
    <s v="VB SERVICOS COMERCIO E ADMINISTRACAO. LTDA."/>
    <s v="Saída (Aplicações)"/>
    <s v="SAGI"/>
    <m/>
    <n v="-2584.25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5"/>
    <s v="BENEFÍCIOS DIVERSOS"/>
    <s v="7.3.25 BENEFÍCIOS DIVERSOS"/>
    <x v="5"/>
    <s v="SEMPARARG3S080226"/>
    <n v="-1028.08"/>
    <n v="-1028.08"/>
    <n v="-1028.08"/>
    <s v="PAGTO REF SEM PARAR 02/26 PAGTO REF A CARTÃO BENEFICIO SEM PARAR COMP FEVEREIRO 2026."/>
    <x v="24"/>
    <d v="2026-02-20T00:00:00"/>
    <s v="31755"/>
    <s v="VB SERVICOS COMERCIO E ADMINISTRACAO. LTDA."/>
    <s v="Saída (Aplicações)"/>
    <s v="SAGI"/>
    <m/>
    <n v="-1028.08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5"/>
    <s v="BENEFÍCIOS DIVERSOS"/>
    <s v="7.3.25 BENEFÍCIOS DIVERSOS"/>
    <x v="11"/>
    <s v="SEMPARARG&amp;S05026"/>
    <n v="-6420.24"/>
    <n v="-6420.24"/>
    <n v="-6420.24"/>
    <s v="PAGTO REF SEM PARAR 02/26 PAGTO REF A CARTÃO BENEFICIO SEM PARAR COMP FEVEREIRO 2026."/>
    <x v="23"/>
    <d v="2026-02-19T00:00:00"/>
    <s v="31755"/>
    <s v="VB SERVICOS COMERCIO E ADMINISTRACAO. LTDA."/>
    <s v="Saída (Aplicações)"/>
    <s v="SAGI"/>
    <m/>
    <n v="-6420.24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5"/>
    <s v="BENEFÍCIOS DIVERSOS"/>
    <s v="7.3.25 BENEFÍCIOS DIVERSOS"/>
    <x v="7"/>
    <s v="SEMPARARG&amp;S060226"/>
    <n v="-1028.08"/>
    <n v="-1028.08"/>
    <n v="-1028.08"/>
    <s v="PAGTO REF SEM PARAR 02/26 PAGTO REF A CARTÃO BENEFICIO SEM PARAR COMP FEVEREIRO 2026."/>
    <x v="23"/>
    <d v="2026-02-19T00:00:00"/>
    <s v="31755"/>
    <s v="VB SERVICOS COMERCIO E ADMINISTRACAO. LTDA."/>
    <s v="Saída (Aplicações)"/>
    <s v="SAGI"/>
    <m/>
    <n v="-1028.08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5"/>
    <s v="BENEFÍCIOS DIVERSOS"/>
    <s v="7.3.25 BENEFÍCIOS DIVERSOS"/>
    <x v="12"/>
    <s v="SEMPARARG&amp;S030226"/>
    <n v="-2056.17"/>
    <n v="-2056.17"/>
    <n v="-2056.17"/>
    <s v="PAGTO REF SEM PARAR 02/26 PAGTO REF A CARTÃO BENEFICIO SEM PARAR COMP FEVEREIRO 2026."/>
    <x v="23"/>
    <d v="2026-02-19T00:00:00"/>
    <s v="31755"/>
    <s v="VB SERVICOS COMERCIO E ADMINISTRACAO. LTDA."/>
    <s v="Saída (Aplicações)"/>
    <s v="SAGI"/>
    <m/>
    <n v="-2056.17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5"/>
    <s v="BENEFÍCIOS DIVERSOS"/>
    <s v="7.3.25 BENEFÍCIOS DIVERSOS"/>
    <x v="13"/>
    <s v="SEMPARARG&amp;S040226"/>
    <n v="-2570.21"/>
    <n v="-2570.21"/>
    <n v="-2570.21"/>
    <s v="PAGTO REF SEM PARAR 02/26 PAGTO REF A CARTÃO BENEFICIO SEM PARAR COMP FEVEREIRO 2026."/>
    <x v="23"/>
    <d v="2026-02-19T00:00:00"/>
    <s v="31755"/>
    <s v="VB SERVICOS COMERCIO E ADMINISTRACAO. LTDA."/>
    <s v="Saída (Aplicações)"/>
    <s v="SAGI"/>
    <m/>
    <n v="-2570.21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5"/>
    <s v="BENEFÍCIOS DIVERSOS"/>
    <s v="7.3.25 BENEFÍCIOS DIVERSOS"/>
    <x v="0"/>
    <s v="SEMPARARG&amp;S010226"/>
    <n v="-4140.42"/>
    <n v="-4140.42"/>
    <n v="-4140.42"/>
    <s v="PAGTO REF SEM PARAR 02/26 PAGTO REF A CARTÃO BENEFICIO SEM PARAR COMP FEVEREIRO 2026."/>
    <x v="23"/>
    <d v="2026-02-19T00:00:00"/>
    <s v="31755"/>
    <s v="VB SERVICOS COMERCIO E ADMINISTRACAO. LTDA."/>
    <s v="Saída (Aplicações)"/>
    <s v="SAGI"/>
    <m/>
    <n v="-4140.42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5.2.1"/>
    <s v="VENDA DE VEÍCULOS"/>
    <s v="5.2.1 VENDA DE VEÍCULOS"/>
    <x v="4"/>
    <s v="DEV. GLE 450 - NFE 9.354"/>
    <n v="760000"/>
    <n v="760000"/>
    <n v="760000"/>
    <s v=" REFERENTE A DEVOLUCAO DE COMPRA DE ATIVO MOBILIZADO - VEICULO MERCEDES BENZ GLE 450 ANO: 2024/2025 PLACA: SWN8H03 COR: PRETA CHASSI W1NFD3DW5SB278536 RENAVAM: 01424128789 - NFE DEV N° 9.354 COM EMISSAO EM 11/02/2026."/>
    <x v="25"/>
    <d v="2026-02-11T00:00:00"/>
    <s v="32019"/>
    <s v="ITATIAIA DISTRIBUIDORA DE VEICULOS LTDA"/>
    <s v="Saída (Aplicações)"/>
    <s v="SAGI"/>
    <m/>
    <n v="760000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6"/>
    <s v="SEGUROVIDAG3S110226"/>
    <n v="-44.94"/>
    <n v="-44.94"/>
    <n v="-44.94"/>
    <s v="PAGTO REF SEGURO VIDA 02/26 PAGTO REF SEGURO DE VIDA ICATU MENSAL COMP FEVEREIRO 2026."/>
    <x v="26"/>
    <d v="2026-02-23T00:00:00"/>
    <s v="549"/>
    <s v="ICATU SEGUROS S.A"/>
    <s v="Saída (Aplicações)"/>
    <s v="SAGI"/>
    <m/>
    <n v="-44.94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9"/>
    <s v="SEGUROVIDAG3S030226"/>
    <n v="-134.82"/>
    <n v="-134.82"/>
    <n v="-134.82"/>
    <s v="PAGTO REF SEGURO VIDA 02/26 PAGTO REF SEGURO DE VIDA ICATU MENSAL COMP FEVEREIRO 2026."/>
    <x v="26"/>
    <d v="2026-02-23T00:00:00"/>
    <s v="549"/>
    <s v="ICATU SEGUROS S.A"/>
    <s v="Saída (Aplicações)"/>
    <s v="SAGI"/>
    <m/>
    <n v="-134.82"/>
  </r>
  <r>
    <m/>
    <x v="0"/>
    <s v="1.1"/>
    <s v="PILARES"/>
    <s v="1.1 PILARES"/>
    <s v="1.1.9"/>
    <s v="RECURSOS HUMANOS"/>
    <s v="1.1.9 RECURSOS HUMANOS"/>
    <s v="1.1.9"/>
    <s v="RECURSOS HUMANOS"/>
    <s v="1.1.9 RECURSOS HUMANOS"/>
    <s v="1.1.9"/>
    <s v="RECURSOS HUMANOS"/>
    <s v="1.1.9 RECURSOS HUMANOS"/>
    <s v="7.5.9"/>
    <s v="CONSULTORIA"/>
    <s v="7.5.9 CONSULTORIA"/>
    <x v="2"/>
    <s v="NFSE-56486"/>
    <n v="-304.17"/>
    <n v="-304.17"/>
    <n v="-304.17"/>
    <s v="PESQUISA CADASTRAL SERVIÇOS DE PESQUISA CADASTRAL PARA RECRUTAMENTO"/>
    <x v="27"/>
    <d v="2026-02-18T00:00:00"/>
    <s v="23025"/>
    <s v="FIDELITY PESQUISAS CADASTRAIS LTDA ME"/>
    <s v="Saída (Aplicações)"/>
    <s v="SAGI"/>
    <m/>
    <n v="-304.17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4.5"/>
    <s v="ISS"/>
    <s v="7.4.5 ISS"/>
    <x v="2"/>
    <s v="ISSTOMADOR012026G3S04"/>
    <n v="-103.19"/>
    <n v="-103.19"/>
    <n v="-103.19"/>
    <s v=" ISS TOMADOR RETIDO REFERENTE AO MÊS JANEIRO/2026 - NFS 36, 182, 4414, 3, 6815, 34, 1345 E 2040."/>
    <x v="16"/>
    <d v="2026-01-31T00:00:00"/>
    <s v="30844"/>
    <s v="PREFEITURA MUNICIPAL DE PRESIDENTE PRUDENTE"/>
    <s v="Saída (Aplicações)"/>
    <s v="SAGI"/>
    <m/>
    <n v="-103.19"/>
  </r>
  <r>
    <m/>
    <x v="0"/>
    <s v="1.1"/>
    <s v="PILARES"/>
    <s v="1.1 PILARES"/>
    <s v="1.1.3"/>
    <s v="FINANCEIRO"/>
    <s v="1.1.3 FINANCEIRO"/>
    <s v="1.1.3"/>
    <s v="FINANCEIRO"/>
    <s v="1.1.3 FINANCEIRO"/>
    <s v="1.1.3"/>
    <s v="FINANCEIRO"/>
    <s v="1.1.3 FINANCEIRO"/>
    <s v="7.4.5"/>
    <s v="ISS"/>
    <s v="7.4.5 ISS"/>
    <x v="2"/>
    <s v="ISSTOMADOR012026G3S04"/>
    <n v="-155.9"/>
    <n v="-155.9"/>
    <n v="-155.9"/>
    <s v=" ISS TOMADOR RETIDO REFERENTE AO MÊS JANEIRO/2026 - NFS 36, 182, 4414, 3, 6815, 34, 1345 E 2040."/>
    <x v="16"/>
    <d v="2026-01-31T00:00:00"/>
    <s v="30844"/>
    <s v="PREFEITURA MUNICIPAL DE PRESIDENTE PRUDENTE"/>
    <s v="Saída (Aplicações)"/>
    <s v="SAGI"/>
    <m/>
    <n v="-155.9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8"/>
    <s v="SEGUROVIDAG&amp;S070226"/>
    <n v="-141.27000000000001"/>
    <n v="-141.27000000000001"/>
    <n v="-141.27000000000001"/>
    <s v="PAGTO REF SEGURO VIDA 02/26 PAGTO REF SEGURO DE VIDA ICATU MENSAL COMP FEVEREIRO 2026."/>
    <x v="26"/>
    <d v="2026-02-23T00:00:00"/>
    <s v="549"/>
    <s v="ICATU SEGUROS S.A"/>
    <s v="Saída (Aplicações)"/>
    <s v="SAGI"/>
    <m/>
    <n v="-141.27000000000001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0"/>
    <s v="SEGUROVIDAG&amp;S010226"/>
    <n v="-263.26"/>
    <n v="-263.26"/>
    <n v="-263.26"/>
    <s v="PAGTO REF SEGURO VIDA 02/26 PAGTO REF SEGURO DE VIDA ICATU MENSAL COMP FEVEREIRO 2026"/>
    <x v="26"/>
    <d v="2026-02-23T00:00:00"/>
    <s v="549"/>
    <s v="ICATU SEGUROS S.A"/>
    <s v="Saída (Aplicações)"/>
    <s v="SAGI"/>
    <m/>
    <n v="-263.26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4"/>
    <s v="SEGUROVIDARSE0226"/>
    <n v="-22.47"/>
    <n v="-22.47"/>
    <n v="-22.47"/>
    <s v="PAGTO REF SEGURO VIDA 02/26 PAGTO REF SEGURO DE VIDA ICATU MENSAL COMP FEVEREIRO 2026"/>
    <x v="26"/>
    <d v="2026-02-23T00:00:00"/>
    <s v="549"/>
    <s v="ICATU SEGUROS S.A"/>
    <s v="Saída (Aplicações)"/>
    <s v="SAGI"/>
    <m/>
    <n v="-22.47"/>
  </r>
  <r>
    <m/>
    <x v="0"/>
    <s v="1.1"/>
    <s v="PILARES"/>
    <s v="1.1 PILARES"/>
    <s v="1.1.9"/>
    <s v="RECURSOS HUMANOS"/>
    <s v="1.1.9 RECURSOS HUMANOS"/>
    <s v="1.1.9"/>
    <s v="RECURSOS HUMANOS"/>
    <s v="1.1.9 RECURSOS HUMANOS"/>
    <s v="1.1.9"/>
    <s v="RECURSOS HUMANOS"/>
    <s v="1.1.9 RECURSOS HUMANOS"/>
    <s v="7.5.9"/>
    <s v="CONSULTORIA"/>
    <s v="7.5.9 CONSULTORIA"/>
    <x v="2"/>
    <s v="NFSE-411"/>
    <n v="-500"/>
    <n v="-500"/>
    <n v="-500"/>
    <s v="SERVIÇOS DE RES MARINGA SERVIÇOS DE RECRUTAMENTO E SELEÇÃO PARA MARINGA"/>
    <x v="28"/>
    <d v="2026-02-24T00:00:00"/>
    <s v="31160"/>
    <s v="ENJOY RH LTDA"/>
    <s v="Saída (Aplicações)"/>
    <s v="SAGI"/>
    <m/>
    <n v="-500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9"/>
    <s v="FERIAS"/>
    <s v="7.3.19 FERIAS"/>
    <x v="10"/>
    <s v="A11809"/>
    <n v="-984.97"/>
    <n v="-984.97"/>
    <n v="-984.97"/>
    <s v="A11809 PAGTO REF A FERIAS 02/03/2026 A 06/03/2026"/>
    <x v="29"/>
    <d v="2026-02-26T00:00:00"/>
    <s v="6825"/>
    <s v="MARIANE  APARECIDA DOS SANTOS MOREIRA"/>
    <s v="Saída (Aplicações)"/>
    <s v="SAGI"/>
    <m/>
    <n v="-984.97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22"/>
    <s v="DESPESAS BANCARIAS"/>
    <s v="7.5.22 DESPESAS BANCARIAS"/>
    <x v="3"/>
    <s v="TFGXN250226"/>
    <n v="-29"/>
    <n v="-29"/>
    <n v="-29"/>
    <s v=" REFERENTE A CESTA DE RELACIONAMENTO GXN"/>
    <x v="30"/>
    <d v="2026-02-25T00:00:00"/>
    <s v="121"/>
    <s v="BANCO COOPERATIVO SICREDI SA"/>
    <s v="Saída (Aplicações)"/>
    <s v="SAGI"/>
    <m/>
    <n v="-29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1.7"/>
    <s v="EMPRESTIMOS"/>
    <s v="7.11.7 EMPRESTIMOS"/>
    <x v="4"/>
    <s v="MUTUO260226"/>
    <n v="-130000"/>
    <n v="-130000"/>
    <n v="-130000"/>
    <s v=" REFERENTE A CONTRATO DE MUTUO EM 26/02/2026 NO VALOR DE R$ 130.000,00, COM JUROS MENSAIS DE 2% E PRAZO MAXIMO DE LIQUIDAÇAO EM 26/05/2026"/>
    <x v="29"/>
    <d v="2026-02-26T00:00:00"/>
    <s v="180"/>
    <s v="RENATO JOSE APARECIDO SALTEIRO"/>
    <s v="Saída (Aplicações)"/>
    <s v="SAGI"/>
    <m/>
    <n v="-130000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12"/>
    <s v="PEDÁGIO"/>
    <s v="7.1.12 PEDÁGIO"/>
    <x v="4"/>
    <s v="00008542"/>
    <n v="-3.8"/>
    <n v="-3.8"/>
    <n v="-3.8"/>
    <s v=" PASSAGEM TAG  - SICRED_x000d__x000a_PLACA TKQ2D62_x000d__x000a_R$ 3,80 - 25/02/2026"/>
    <x v="30"/>
    <d v="2026-02-25T00:00:00"/>
    <s v="121"/>
    <s v="BANCO COOPERATIVO SICREDI SA"/>
    <s v="Saída (Aplicações)"/>
    <s v="SAGI"/>
    <m/>
    <n v="-3.8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12"/>
    <s v="PEDÁGIO"/>
    <s v="7.1.12 PEDÁGIO"/>
    <x v="4"/>
    <s v="PEDAGIO"/>
    <n v="-3.8"/>
    <n v="-3.8"/>
    <n v="-3.8"/>
    <s v=" PEDAGIO _x000d__x000a_PLACA TKQ-2D62_x000d__x000a_25/02/2026"/>
    <x v="30"/>
    <d v="2026-02-25T00:00:00"/>
    <s v="121"/>
    <s v="BANCO COOPERATIVO SICREDI SA"/>
    <s v="Saída (Aplicações)"/>
    <s v="SAGI"/>
    <m/>
    <n v="-3.8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6"/>
    <s v="EMPRESTIMO CONSIGNADO"/>
    <s v="7.3.16 EMPRESTIMO CONSIGNADO"/>
    <x v="3"/>
    <s v="BVCONSIGNADOG3S122025"/>
    <n v="-850"/>
    <n v="-850"/>
    <n v="-850"/>
    <s v="EMPRESTIMO CONSIGNADO DEZ 25 PAGTO REF A EMPRESTIMO CONSIGNADO DESCONTO FOLHA FUNCIONARIO(A) COMPETÊNCIA DEZEMBRO 2025."/>
    <x v="4"/>
    <d v="2026-01-13T00:00:00"/>
    <s v="24087"/>
    <s v="BANCO VOTORANTIM S/A"/>
    <s v="Saída (Aplicações)"/>
    <s v="SAGI"/>
    <m/>
    <n v="-850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5.21"/>
    <s v="MATERIAL DE INFORMÁTICA"/>
    <s v="7.5.21 MATERIAL DE INFORMÁTICA"/>
    <x v="2"/>
    <s v="NFE-773424"/>
    <n v="-158.93"/>
    <n v="-158.93"/>
    <n v="-158.93"/>
    <s v="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"/>
    <x v="31"/>
    <d v="2026-01-28T00:00:00"/>
    <s v="29269"/>
    <s v="GIGANTEC COMERCIO ELETRONICO EIRELI"/>
    <s v="Saída (Aplicações)"/>
    <s v="SAGI"/>
    <m/>
    <n v="-158.93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8"/>
    <s v="DESPESAS DE VIAGEM"/>
    <s v="7.1.8 DESPESAS DE VIAGEM"/>
    <x v="3"/>
    <s v="CC8840022026"/>
    <n v="-95.48"/>
    <n v="-95.48"/>
    <n v="-95.48"/>
    <s v=" CARTÃO DE CRÉDITO FINAL 8840 - USO RENATO - DESPESA INDEDUTIVEL, HOSPEDAGEM DE RENATO E GABRIEL SALTEIRO"/>
    <x v="6"/>
    <d v="2026-01-19T00:00:00"/>
    <s v="32044"/>
    <s v="TBO HOLIDAYS BRASIL AGENCIA DE VIAGENS E RESERVAS LTDA."/>
    <s v="Saída (Aplicações)"/>
    <s v="SAGI"/>
    <m/>
    <n v="-95.48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2"/>
    <s v="SEG-TKQ2D62"/>
    <n v="-489.52"/>
    <n v="-489.52"/>
    <n v="-489.52"/>
    <s v=" REF AO SEGURO DA NOVA AMAROK TKQ2D62 - SOLICITADO E AUTORIZADO PELO RENATO, PARCELADO EM 10X, ATRAVES DO CARTAO DE CREDITO FINAL 8840."/>
    <x v="32"/>
    <d v="2026-01-23T00:00:00"/>
    <s v="185"/>
    <s v="MAPFRE SEGUROS GERAIS S.A."/>
    <s v="Saída (Aplicações)"/>
    <s v="SAGI"/>
    <m/>
    <n v="-489.52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8"/>
    <s v="DESPESAS DE VIAGEM"/>
    <s v="7.1.8 DESPESAS DE VIAGEM"/>
    <x v="3"/>
    <s v="CC8840022026"/>
    <n v="-95.48"/>
    <n v="-95.48"/>
    <n v="-95.48"/>
    <s v=" CARTÃO DE CRÉDITO FINAL 8840 - USO RENATO - DESPESA INDEDUTIVEL, HOSPEDAGEM DE RENATO E GABRIEL SALTEIRO"/>
    <x v="6"/>
    <d v="2026-01-19T00:00:00"/>
    <s v="32044"/>
    <s v="TBO HOLIDAYS BRASIL AGENCIA DE VIAGENS E RESERVAS LTDA."/>
    <s v="Saída (Aplicações)"/>
    <s v="SAGI"/>
    <m/>
    <n v="-95.48"/>
  </r>
  <r>
    <m/>
    <x v="0"/>
    <s v="1.1"/>
    <s v="PILARES"/>
    <s v="1.1 PILARES"/>
    <s v="1.1.7"/>
    <s v="LOGISTICA"/>
    <s v="1.1.7 LOGISTICA"/>
    <s v="1.1.7"/>
    <s v="LOGISTICA"/>
    <s v="1.1.7 LOGISTICA"/>
    <s v="1.1.7"/>
    <s v="LOGISTICA"/>
    <s v="1.1.7 LOGISTICA"/>
    <s v="7.1.8"/>
    <s v="DESPESAS DE VIAGEM"/>
    <s v="7.1.8 DESPESAS DE VIAGEM"/>
    <x v="12"/>
    <s v="A11821"/>
    <n v="-120"/>
    <n v="-120"/>
    <n v="-120"/>
    <s v="A11821 PAGTO REF REFEIÇÃO COMP MARÇO 2026"/>
    <x v="33"/>
    <d v="2026-03-05T00:00:00"/>
    <s v="24221"/>
    <s v="ANTONIO APARECIDO FAQUIANO SOBRINHO"/>
    <s v="Saída (Aplicações)"/>
    <s v="SAGI"/>
    <m/>
    <n v="-120"/>
  </r>
  <r>
    <m/>
    <x v="0"/>
    <s v="1.1"/>
    <s v="PILARES"/>
    <s v="1.1 PILARES"/>
    <s v="1.1.3"/>
    <s v="FINANCEIRO"/>
    <s v="1.1.3 FINANCEIRO"/>
    <s v="1.1.3"/>
    <s v="FINANCEIRO"/>
    <s v="1.1.3 FINANCEIRO"/>
    <s v="1.1.3"/>
    <s v="FINANCEIRO"/>
    <s v="1.1.3 FINANCEIRO"/>
    <s v="7.3.23"/>
    <s v="HONORÁRIOS PJ"/>
    <s v="7.3.23 HONORÁRIOS PJ"/>
    <x v="10"/>
    <s v="NFSE-9"/>
    <n v="-11758.8"/>
    <n v="-11758.8"/>
    <n v="-11758.8"/>
    <s v=" [GIULIANA] REF AOS SERVICOS PRESTADOS POR ADRIANA NOGUEIRA_x000d__x000a_COMPETENCIA 02/2026_x000d__x000a_SOLICITADO POR ADRIANA NOGUEIRA_x000d__x000a_NF 000.000.009_x000d__x000a_VALOR: R$11.758,80_x000d__x000a_VENCIMENTO EM 05/03/2026_x000d__x000a_PAGAMENTO VIA TRANSFERENCIA/PIX_x000d__x000a__x000d__x000a_DESCONTAR DO SALÁRIO DESPESAS INDEVIDAS NO FLASH REALIZADAS NOS DIAS:_x000d__x000a_11/02 - R$ 12,90_x000d__x000a_20/02 - R$ 46,97_x000d__x000a_21/02 - R$ 34,81_x000d__x000a__x000d__x000a_TOTAL - R$ 94,68"/>
    <x v="34"/>
    <d v="2026-02-27T00:00:00"/>
    <s v="31094"/>
    <s v="ARNS SERVICOS ADMINISTRATIVOS LTDA"/>
    <s v="Saída (Aplicações)"/>
    <s v="SAGI"/>
    <m/>
    <n v="-11758.8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3.22"/>
    <s v="BOLSA ESTAGIO"/>
    <s v="7.3.22 BOLSA ESTAGIO"/>
    <x v="0"/>
    <s v="A11818"/>
    <n v="-250"/>
    <n v="-250"/>
    <n v="-250"/>
    <s v="A11818 PAGTO REF AJUDA DE CUSTO ESTAGIO COMP MARÇO 2026."/>
    <x v="33"/>
    <d v="2026-03-05T00:00:00"/>
    <s v="32229"/>
    <s v="MURILO BONI CANDIDO"/>
    <s v="Saída (Aplicações)"/>
    <s v="SAGI"/>
    <m/>
    <n v="-250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3.22"/>
    <s v="BOLSA ESTAGIO"/>
    <s v="7.3.22 BOLSA ESTAGIO"/>
    <x v="0"/>
    <s v="A11817"/>
    <n v="-250"/>
    <n v="-250"/>
    <n v="-250"/>
    <s v="A11817 PAGTO REF AJUDA DE CUSTO ESTAGIO COMP MARÇO 2026"/>
    <x v="33"/>
    <d v="2026-03-05T00:00:00"/>
    <s v="32228"/>
    <s v="FERNANDO THALLES SOUZA OLIVEIRA"/>
    <s v="Saída (Aplicações)"/>
    <s v="SAGI"/>
    <m/>
    <n v="-250"/>
  </r>
  <r>
    <m/>
    <x v="0"/>
    <s v="1.1"/>
    <s v="PILARES"/>
    <s v="1.1 PILARES"/>
    <s v="1.1.5"/>
    <s v="QUALIDADE"/>
    <s v="1.1.5 QUALIDADE"/>
    <s v="1.1.5"/>
    <s v="QUALIDADE"/>
    <s v="1.1.5 QUALIDADE"/>
    <s v="1.1.5"/>
    <s v="QUALIDADE"/>
    <s v="1.1.5 QUALIDADE"/>
    <s v="7.3.22"/>
    <s v="BOLSA ESTAGIO"/>
    <s v="7.3.22 BOLSA ESTAGIO"/>
    <x v="10"/>
    <s v="S11835"/>
    <n v="-1000"/>
    <n v="-1000"/>
    <n v="-1000"/>
    <s v="S11835 PAGTO REF FOLHA SALARIAL ESTÁGIO COMP FEVEREIRO 2026"/>
    <x v="18"/>
    <d v="2026-02-01T00:00:00"/>
    <s v="30307"/>
    <s v="PEDRO MARQUES GUARNIERI"/>
    <s v="Saída (Aplicações)"/>
    <s v="SAGI"/>
    <m/>
    <n v="-1000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8"/>
    <s v="DESPESAS DE VIAGEM"/>
    <s v="7.1.8 DESPESAS DE VIAGEM"/>
    <x v="3"/>
    <s v="CC8840022026"/>
    <n v="-95.48"/>
    <n v="-95.48"/>
    <n v="-95.48"/>
    <s v=" CARTÃO DE CRÉDITO FINAL 8840 - USO RENATO - DESPESA INDEDUTIVEL, HOSPEDAGEM DE RENATO E GABRIEL SALTEIRO"/>
    <x v="6"/>
    <d v="2026-01-19T00:00:00"/>
    <s v="32044"/>
    <s v="TBO HOLIDAYS BRASIL AGENCIA DE VIAGENS E RESERVAS LTDA."/>
    <s v="Saída (Aplicações)"/>
    <s v="SAGI"/>
    <m/>
    <n v="-95.48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8"/>
    <s v="DESPESAS DE VIAGEM"/>
    <s v="7.1.8 DESPESAS DE VIAGEM"/>
    <x v="3"/>
    <s v="CC8840022026"/>
    <n v="-236.25"/>
    <n v="-236.25"/>
    <n v="-236.25"/>
    <s v=" CARTÃO DE CRÉDITO FINAL 8840 - USO RENATO - DESPESA INDEDUTIVEL  REF  A  HOSPEDAGEM PARA DENIS ALEXANDRE E FERNANDA INACIO"/>
    <x v="35"/>
    <d v="2026-01-17T00:00:00"/>
    <s v="31034"/>
    <s v="ATLANTICA HOTELS INTERNATIONAL BRASIL LTDA"/>
    <s v="Saída (Aplicações)"/>
    <s v="SAGI"/>
    <m/>
    <n v="-236.25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2"/>
    <s v="SEG-TKQ2D62"/>
    <n v="-489.52"/>
    <n v="-489.52"/>
    <n v="-489.52"/>
    <s v=" REF AO SEGURO DA NOVA AMAROK TKQ2D62 - SOLICITADO E AUTORIZADO PELO RENATO, PARCELADO EM 10X, ATRAVES DO CARTAO DE CREDITO FINAL 8840."/>
    <x v="32"/>
    <d v="2026-01-23T00:00:00"/>
    <s v="185"/>
    <s v="MAPFRE SEGUROS GERAIS S.A."/>
    <s v="Saída (Aplicações)"/>
    <s v="SAGI"/>
    <m/>
    <n v="-489.52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3"/>
    <s v="SEGURO-CLA250"/>
    <n v="-592.1"/>
    <n v="-592.1"/>
    <n v="-592.1"/>
    <s v=" REF. AO SEGURO DO VEÍCULO MERCEDES CLA 250 - GABRIEL, PAGAMENTO EM 10 PARCELAS DE R$ 592,18 - VIA BOLETO. FOI ACORDADO QUE O SEGURO SERIA REALIZADO EM NOME DA G3S, EM RAZÃO DOS BONUS DISPONIVEIS EM NOME DA SRA GIULIANA."/>
    <x v="20"/>
    <d v="2026-02-12T00:00:00"/>
    <s v="27804"/>
    <s v="BRADESCO AUTO / SEGURO"/>
    <s v="Saída (Aplicações)"/>
    <s v="SAGI"/>
    <m/>
    <n v="-592.1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2"/>
    <s v="SEG-TKQ2D62"/>
    <n v="-489.52"/>
    <n v="-489.52"/>
    <n v="-489.52"/>
    <s v=" REF AO SEGURO DA NOVA AMAROK TKQ2D62 - SOLICITADO E AUTORIZADO PELO RENATO, PARCELADO EM 10X, ATRAVES DO CARTAO DE CREDITO FINAL 8840."/>
    <x v="32"/>
    <d v="2026-01-23T00:00:00"/>
    <s v="185"/>
    <s v="MAPFRE SEGUROS GERAIS S.A."/>
    <s v="Saída (Aplicações)"/>
    <s v="SAGI"/>
    <m/>
    <n v="-489.52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4"/>
    <s v="SEGURO-VOLVO GIULIANA"/>
    <n v="-477.15"/>
    <n v="-477.15"/>
    <n v="-477.15"/>
    <s v=" REFERENTE AO SEGURO VEICULO VOLVO XC 60 T-8 HIBRIDO INSCRIPTION 2022 PLACA GFA0D41 DA SRA. GIULIANA - N° APOLICE: 0936.990.0244.117682 ITEM 0001 PROPOSTA 936244311 - EMISSAO EM 08/01/2026"/>
    <x v="3"/>
    <d v="2026-01-08T00:00:00"/>
    <s v="27804"/>
    <s v="BRADESCO AUTO / SEGURO"/>
    <s v="Saída (Aplicações)"/>
    <s v="SAGI"/>
    <m/>
    <n v="-477.15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4"/>
    <s v="SEGURO-VOLVO GIULIANA"/>
    <n v="-477.15"/>
    <n v="-477.15"/>
    <n v="-477.15"/>
    <s v=" REFERENTE AO SEGURO VEICULO VOLVO XC 60 T-8 HIBRIDO INSCRIPTION 2022 PLACA GFA0D41 DA SRA. GIULIANA - N° APOLICE: 0936.990.0244.117682 ITEM 0001 PROPOSTA 936244311 - EMISSAO EM 08/01/2026"/>
    <x v="3"/>
    <d v="2026-01-08T00:00:00"/>
    <s v="27804"/>
    <s v="BRADESCO AUTO / SEGURO"/>
    <s v="Saída (Aplicações)"/>
    <s v="SAGI"/>
    <m/>
    <n v="-477.15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8"/>
    <s v="DESPESAS DE VIAGEM"/>
    <s v="7.1.8 DESPESAS DE VIAGEM"/>
    <x v="3"/>
    <s v="CC8840022026"/>
    <n v="-236.25"/>
    <n v="-236.25"/>
    <n v="-236.25"/>
    <s v=" CARTÃO DE CRÉDITO FINAL 8840 - USO RENATO - DESPESA INDEDUTIVEL  REF  A  HOSPEDAGEM PARA DENIS ALEXANDRE E FERNANDA INACIO"/>
    <x v="35"/>
    <d v="2026-01-17T00:00:00"/>
    <s v="31034"/>
    <s v="ATLANTICA HOTELS INTERNATIONAL BRASIL LTDA"/>
    <s v="Saída (Aplicações)"/>
    <s v="SAGI"/>
    <m/>
    <n v="-236.25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2"/>
    <s v="SEG-TKQ2D62"/>
    <n v="-489.52"/>
    <n v="-489.52"/>
    <n v="-489.52"/>
    <s v=" REF AO SEGURO DA NOVA AMAROK TKQ2D62 - SOLICITADO E AUTORIZADO PELO RENATO, PARCELADO EM 10X, ATRAVES DO CARTAO DE CREDITO FINAL 8840."/>
    <x v="32"/>
    <d v="2026-01-23T00:00:00"/>
    <s v="185"/>
    <s v="MAPFRE SEGUROS GERAIS S.A."/>
    <s v="Saída (Aplicações)"/>
    <s v="SAGI"/>
    <m/>
    <n v="-489.52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2"/>
    <s v="SEG-TKQ2D62"/>
    <n v="-489.52"/>
    <n v="-489.52"/>
    <n v="-489.52"/>
    <s v=" REF AO SEGURO DA NOVA AMAROK TKQ2D62 - SOLICITADO E AUTORIZADO PELO RENATO, PARCELADO EM 10X, ATRAVES DO CARTAO DE CREDITO FINAL 8840."/>
    <x v="32"/>
    <d v="2026-01-23T00:00:00"/>
    <s v="185"/>
    <s v="MAPFRE SEGUROS GERAIS S.A."/>
    <s v="Saída (Aplicações)"/>
    <s v="SAGI"/>
    <m/>
    <n v="-489.52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8"/>
    <s v="DESPESAS DE VIAGEM"/>
    <s v="7.1.8 DESPESAS DE VIAGEM"/>
    <x v="3"/>
    <s v="CC8840022026"/>
    <n v="-95.48"/>
    <n v="-95.48"/>
    <n v="-95.48"/>
    <s v=" CARTÃO DE CRÉDITO FINAL 8840 - USO RENATO - DESPESA INDEDUTIVEL, HOSPEDAGEM DE RENATO E GABRIEL SALTEIRO"/>
    <x v="6"/>
    <d v="2026-01-19T00:00:00"/>
    <s v="32044"/>
    <s v="TBO HOLIDAYS BRASIL AGENCIA DE VIAGENS E RESERVAS LTDA."/>
    <s v="Saída (Aplicações)"/>
    <s v="SAGI"/>
    <m/>
    <n v="-95.48"/>
  </r>
  <r>
    <m/>
    <x v="0"/>
    <s v="1.1"/>
    <s v="PILARES"/>
    <s v="1.1 PILARES"/>
    <s v="1.1.7"/>
    <s v="LOGISTICA"/>
    <s v="1.1.7 LOGISTICA"/>
    <s v="1.1.7"/>
    <s v="LOGISTICA"/>
    <s v="1.1.7 LOGISTICA"/>
    <s v="1.1.7"/>
    <s v="LOGISTICA"/>
    <s v="1.1.7 LOGISTICA"/>
    <s v="7.1.8"/>
    <s v="DESPESAS DE VIAGEM"/>
    <s v="7.1.8 DESPESAS DE VIAGEM"/>
    <x v="7"/>
    <s v="A11825"/>
    <n v="-120"/>
    <n v="-120"/>
    <n v="-120"/>
    <s v="A11825 PAGTO REF DIARIAS DE REFEIÇÕES COMP MARÇO 2026."/>
    <x v="33"/>
    <d v="2026-03-05T00:00:00"/>
    <s v="41"/>
    <s v="ANTONIO BATISTA DA SILVA"/>
    <s v="Saída (Aplicações)"/>
    <s v="SAGI"/>
    <m/>
    <n v="-120"/>
  </r>
  <r>
    <m/>
    <x v="0"/>
    <s v="1.1"/>
    <s v="PILARES"/>
    <s v="1.1 PILARES"/>
    <s v="1.1.3"/>
    <s v="FINANCEIRO"/>
    <s v="1.1.3 FINANCEIRO"/>
    <s v="1.1.3"/>
    <s v="FINANCEIRO"/>
    <s v="1.1.3 FINANCEIRO"/>
    <s v="1.1.3"/>
    <s v="FINANCEIRO"/>
    <s v="1.1.3 FINANCEIRO"/>
    <s v="7.5.18"/>
    <s v="SISTEMAS"/>
    <s v="7.5.18 SISTEMAS"/>
    <x v="3"/>
    <s v="CC8946022026"/>
    <n v="-113.2"/>
    <n v="-113.2"/>
    <n v="-113.2"/>
    <s v=" CARTÃO CRÉDITO FINAL 8946 - USO CORPORATIVO - DESP. INDEDUTIVEL REF. A MENSALIDADE DA  ASSINATURA DO CHAT GPT PARA  ADRIANA NOGUEIRA"/>
    <x v="18"/>
    <d v="2026-02-01T00:00:00"/>
    <s v="31185"/>
    <s v="OPEN AI"/>
    <s v="Saída (Aplicações)"/>
    <s v="SAGI"/>
    <m/>
    <n v="-113.2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5.21"/>
    <s v="MATERIAL DE INFORMÁTICA"/>
    <s v="7.5.21 MATERIAL DE INFORMÁTICA"/>
    <x v="2"/>
    <s v="NFE-773424"/>
    <n v="-158.91999999999999"/>
    <n v="-158.91999999999999"/>
    <n v="-158.91999999999999"/>
    <s v="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"/>
    <x v="31"/>
    <d v="2026-01-28T00:00:00"/>
    <s v="29269"/>
    <s v="GIGANTEC COMERCIO ELETRONICO EIRELI"/>
    <s v="Saída (Aplicações)"/>
    <s v="SAGI"/>
    <m/>
    <n v="-158.91999999999999"/>
  </r>
  <r>
    <m/>
    <x v="0"/>
    <s v="1.1"/>
    <s v="PILARES"/>
    <s v="1.1 PILARES"/>
    <s v="1.1.7"/>
    <s v="LOGISTICA"/>
    <s v="1.1.7 LOGISTICA"/>
    <s v="1.1.7"/>
    <s v="LOGISTICA"/>
    <s v="1.1.7 LOGISTICA"/>
    <s v="1.1.7"/>
    <s v="LOGISTICA"/>
    <s v="1.1.7 LOGISTICA"/>
    <s v="7.1.8"/>
    <s v="DESPESAS DE VIAGEM"/>
    <s v="7.1.8 DESPESAS DE VIAGEM"/>
    <x v="12"/>
    <s v="A11822"/>
    <n v="-120"/>
    <n v="-120"/>
    <n v="-120"/>
    <s v="A11822 PAGTO REF REFEIÇÃO COMP MARÇO 2026."/>
    <x v="33"/>
    <d v="2026-03-05T00:00:00"/>
    <s v="732"/>
    <s v="ERNESTO EUGENIO DA SILVA"/>
    <s v="Saída (Aplicações)"/>
    <s v="SAGI"/>
    <m/>
    <n v="-120"/>
  </r>
  <r>
    <m/>
    <x v="0"/>
    <s v="1.1"/>
    <s v="PILARES"/>
    <s v="1.1 PILARES"/>
    <s v="1.1.3"/>
    <s v="FINANCEIRO"/>
    <s v="1.1.3 FINANCEIRO"/>
    <s v="1.1.3"/>
    <s v="FINANCEIRO"/>
    <s v="1.1.3 FINANCEIRO"/>
    <s v="1.1.3"/>
    <s v="FINANCEIRO"/>
    <s v="1.1.3 FINANCEIRO"/>
    <s v="7.2.6"/>
    <s v="EVENTOS ENDOMARKETING"/>
    <s v="7.2.6 EVENTOS ENDOMARKETING"/>
    <x v="10"/>
    <s v="00008489"/>
    <n v="-150"/>
    <n v="-150"/>
    <n v="-150"/>
    <s v="PREMIAÇÃO DE ANIVERSARIO REF. PREMIAÇÃO DE ANIVERSARIO - VALOR EM DINHEIRO POR SER PJ"/>
    <x v="36"/>
    <d v="2026-03-17T00:00:00"/>
    <s v="442"/>
    <s v="HUGO BIANCHI BOSSOLANI"/>
    <s v="Saída (Aplicações)"/>
    <s v="SAGI"/>
    <m/>
    <n v="-150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2"/>
    <s v="BOLSA ESTAGIO"/>
    <s v="7.3.22 BOLSA ESTAGIO"/>
    <x v="10"/>
    <s v="S11827"/>
    <n v="-433.33"/>
    <n v="-433.33"/>
    <n v="-433.33"/>
    <s v="S11827 PAGTO REF FOLHA SALARIAL ESTÁGIO COMP FEVEREIRO 2026."/>
    <x v="18"/>
    <d v="2026-02-01T00:00:00"/>
    <s v="30303"/>
    <s v="BRUNA RIBEIRO SANCHEZ"/>
    <s v="Saída (Aplicações)"/>
    <s v="SAGI"/>
    <m/>
    <n v="-433.33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2"/>
    <s v="SEG-TKQ2D62"/>
    <n v="-489.52"/>
    <n v="-489.52"/>
    <n v="-489.52"/>
    <s v=" REF AO SEGURO DA NOVA AMAROK TKQ2D62 - SOLICITADO E AUTORIZADO PELO RENATO, PARCELADO EM 10X, ATRAVES DO CARTAO DE CREDITO FINAL 8840."/>
    <x v="32"/>
    <d v="2026-01-23T00:00:00"/>
    <s v="185"/>
    <s v="MAPFRE SEGUROS GERAIS S.A."/>
    <s v="Saída (Aplicações)"/>
    <s v="SAGI"/>
    <m/>
    <n v="-489.52"/>
  </r>
  <r>
    <m/>
    <x v="0"/>
    <s v="1.1"/>
    <s v="PILARES"/>
    <s v="1.1 PILARES"/>
    <s v="1.1.7"/>
    <s v="LOGISTICA"/>
    <s v="1.1.7 LOGISTICA"/>
    <s v="1.1.7"/>
    <s v="LOGISTICA"/>
    <s v="1.1.7 LOGISTICA"/>
    <s v="1.1.7"/>
    <s v="LOGISTICA"/>
    <s v="1.1.7 LOGISTICA"/>
    <s v="7.1.8"/>
    <s v="DESPESAS DE VIAGEM"/>
    <s v="7.1.8 DESPESAS DE VIAGEM"/>
    <x v="7"/>
    <s v="A11826"/>
    <n v="-120"/>
    <n v="-120"/>
    <n v="-120"/>
    <s v="A11826 PAGTO REF DIARIAS DE REFEIÇÕES COMP MARÇO 2026."/>
    <x v="33"/>
    <d v="2026-03-05T00:00:00"/>
    <s v="23121"/>
    <s v="RAMON FELIPE DE OLIVEIRA FREITAS"/>
    <s v="Saída (Aplicações)"/>
    <s v="SAGI"/>
    <m/>
    <n v="-120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8"/>
    <s v="DESPESAS DE VIAGEM"/>
    <s v="7.1.8 DESPESAS DE VIAGEM"/>
    <x v="3"/>
    <s v="CC8840022026"/>
    <n v="-236.25"/>
    <n v="-236.25"/>
    <n v="-236.25"/>
    <s v=" CARTÃO DE CRÉDITO FINAL 8840 - USO RENATO - DESPESA INDEDUTIVEL  REF  A  HOSPEDAGEM PARA DENIS ALEXANDRE E FERNANDA INACIO"/>
    <x v="35"/>
    <d v="2026-01-17T00:00:00"/>
    <s v="31034"/>
    <s v="ATLANTICA HOTELS INTERNATIONAL BRASIL LTDA"/>
    <s v="Saída (Aplicações)"/>
    <s v="SAGI"/>
    <m/>
    <n v="-236.25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3"/>
    <s v="SEGURO-CLA250"/>
    <n v="-592.19000000000005"/>
    <n v="-592.19000000000005"/>
    <n v="-592.19000000000005"/>
    <s v=" REF. AO SEGURO DO VEÍCULO MERCEDES CLA 250 - GABRIEL, PAGAMENTO EM 10 PARCELAS DE R$ 592,18 - VIA BOLETO. FOI ACORDADO QUE O SEGURO SERIA REALIZADO EM NOME DA G3S, EM RAZÃO DOS BONUS DISPONIVEIS EM NOME DA SRA GIULIANA."/>
    <x v="20"/>
    <d v="2026-02-12T00:00:00"/>
    <s v="27804"/>
    <s v="BRADESCO AUTO / SEGURO"/>
    <s v="Saída (Aplicações)"/>
    <s v="SAGI"/>
    <m/>
    <n v="-592.19000000000005"/>
  </r>
  <r>
    <m/>
    <x v="0"/>
    <s v="1.1"/>
    <s v="PILARES"/>
    <s v="1.1 PILARES"/>
    <s v="1.1.15"/>
    <s v="MANUTENCAO DE MÁQUINAS E VEICULOS"/>
    <s v="1.1.15 MANUTENCAO DE MÁQUINAS E VEICULOS"/>
    <s v="1.1.15"/>
    <s v="MANUTENCAO DE MÁQUINAS E VEICULOS"/>
    <s v="1.1.15 MANUTENCAO DE MÁQUINAS E VEICULOS"/>
    <s v="1.1.15"/>
    <s v="MANUTENCAO DE MÁQUINAS E VEICULOS"/>
    <s v="1.1.15 MANUTENCAO DE MÁQUINAS E VEICULOS"/>
    <s v="7.3.21"/>
    <s v="RESCISÕES"/>
    <s v="7.3.21 RESCISÕES"/>
    <x v="11"/>
    <s v="A11815"/>
    <n v="-22356.97"/>
    <n v="-22356.97"/>
    <n v="-22356.97"/>
    <s v="A11815 PAGTO REF A  ACERTO RESCISÓRIO COMPETENCIA FEVEREIRO 2026"/>
    <x v="37"/>
    <d v="2026-03-04T00:00:00"/>
    <s v="1107"/>
    <s v="JULIO VIEIRA DE SANTANA"/>
    <s v="Saída (Aplicações)"/>
    <s v="SAGI"/>
    <m/>
    <n v="-22356.97"/>
  </r>
  <r>
    <m/>
    <x v="0"/>
    <s v="1.1"/>
    <s v="PILARES"/>
    <s v="1.1 PILARES"/>
    <s v="1.1.5"/>
    <s v="QUALIDADE"/>
    <s v="1.1.5 QUALIDADE"/>
    <s v="1.1.5"/>
    <s v="QUALIDADE"/>
    <s v="1.1.5 QUALIDADE"/>
    <s v="1.1.5"/>
    <s v="QUALIDADE"/>
    <s v="1.1.5 QUALIDADE"/>
    <s v="7.3.23"/>
    <s v="HONORÁRIOS PJ"/>
    <s v="7.3.23 HONORÁRIOS PJ"/>
    <x v="2"/>
    <s v="NFSE-7"/>
    <n v="-2640"/>
    <n v="-2640"/>
    <n v="-2640"/>
    <s v=" [GIULIANA] REF AOS SERVIÇOS PRESTADOS POR LUCIANO FARIAS_x000d__x000a_SOLICITADO POR ADRIANA N._x000d__x000a_NOTA FISCAL 000.007_x000d__x000a_VALOR: R$ 2.640,00_x000d__x000a_VENCIMENTO EM 05/03/2026_x000d__x000a_PAGAMENTO VIA TRANSFERENCIA/PIX"/>
    <x v="38"/>
    <d v="2026-03-02T00:00:00"/>
    <s v="23476"/>
    <s v="SILVA &amp; FARIAS TREINAMENTOS LTDA"/>
    <s v="Saída (Aplicações)"/>
    <s v="SAGI"/>
    <m/>
    <n v="-2640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4"/>
    <s v="SEGURO-VOLVO GIULIANA"/>
    <n v="-477.15"/>
    <n v="-477.15"/>
    <n v="-477.15"/>
    <s v=" REFERENTE AO SEGURO VEICULO VOLVO XC 60 T-8 HIBRIDO INSCRIPTION 2022 PLACA GFA0D41 DA SRA. GIULIANA - N° APOLICE: 0936.990.0244.117682 ITEM 0001 PROPOSTA 936244311 - EMISSAO EM 08/01/2026"/>
    <x v="3"/>
    <d v="2026-01-08T00:00:00"/>
    <s v="27804"/>
    <s v="BRADESCO AUTO / SEGURO"/>
    <s v="Saída (Aplicações)"/>
    <s v="SAGI"/>
    <m/>
    <n v="-477.15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8"/>
    <s v="DESPESAS DE VIAGEM"/>
    <s v="7.1.8 DESPESAS DE VIAGEM"/>
    <x v="3"/>
    <s v="CC8840022026"/>
    <n v="-95.48"/>
    <n v="-95.48"/>
    <n v="-95.48"/>
    <s v=" CARTÃO DE CRÉDITO FINAL 8840 - USO RENATO - DESPESA INDEDUTIVEL, HOSPEDAGEM DE RENATO E GABRIEL SALTEIRO"/>
    <x v="6"/>
    <d v="2026-01-19T00:00:00"/>
    <s v="32044"/>
    <s v="TBO HOLIDAYS BRASIL AGENCIA DE VIAGENS E RESERVAS LTDA."/>
    <s v="Saída (Aplicações)"/>
    <s v="SAGI"/>
    <m/>
    <n v="-95.48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3"/>
    <s v="SEGURO-CLA250"/>
    <n v="-592.19000000000005"/>
    <n v="-592.19000000000005"/>
    <n v="-592.19000000000005"/>
    <s v=" REF. AO SEGURO DO VEÍCULO MERCEDES CLA 250 - GABRIEL, PAGAMENTO EM 10 PARCELAS DE R$ 592,18 - VIA BOLETO. FOI ACORDADO QUE O SEGURO SERIA REALIZADO EM NOME DA G3S, EM RAZÃO DOS BONUS DISPONIVEIS EM NOME DA SRA GIULIANA."/>
    <x v="20"/>
    <d v="2026-02-12T00:00:00"/>
    <s v="27804"/>
    <s v="BRADESCO AUTO / SEGURO"/>
    <s v="Saída (Aplicações)"/>
    <s v="SAGI"/>
    <m/>
    <n v="-592.19000000000005"/>
  </r>
  <r>
    <m/>
    <x v="0"/>
    <s v="1.1"/>
    <s v="PILARES"/>
    <s v="1.1 PILARES"/>
    <s v="1.1.7"/>
    <s v="LOGISTICA"/>
    <s v="1.1.7 LOGISTICA"/>
    <s v="1.1.7"/>
    <s v="LOGISTICA"/>
    <s v="1.1.7 LOGISTICA"/>
    <s v="1.1.7"/>
    <s v="LOGISTICA"/>
    <s v="1.1.7 LOGISTICA"/>
    <s v="5.4.9"/>
    <s v="DOAÇÕES RECEBIDAS"/>
    <s v="5.4.9 DOAÇÕES RECEBIDAS"/>
    <x v="0"/>
    <s v="A11816"/>
    <n v="-250"/>
    <n v="-250"/>
    <n v="-250"/>
    <s v="A11816 PAGTO REF DOAÇÃO DE CESTA BÁSICA COMP FEV 2026."/>
    <x v="37"/>
    <d v="2026-03-04T00:00:00"/>
    <s v="25188"/>
    <s v="LUIZ DO CARMO PEREIRA"/>
    <s v="Saída (Aplicações)"/>
    <s v="SAGI"/>
    <m/>
    <n v="-250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4"/>
    <s v="SEGURO-VOLVO GIULIANA"/>
    <n v="-477.15"/>
    <n v="-477.15"/>
    <n v="-477.15"/>
    <s v=" REFERENTE AO SEGURO VEICULO VOLVO XC 60 T-8 HIBRIDO INSCRIPTION 2022 PLACA GFA0D41 DA SRA. GIULIANA - N° APOLICE: 0936.990.0244.117682 ITEM 0001 PROPOSTA 936244311 - EMISSAO EM 08/01/2026"/>
    <x v="3"/>
    <d v="2026-01-08T00:00:00"/>
    <s v="27804"/>
    <s v="BRADESCO AUTO / SEGURO"/>
    <s v="Saída (Aplicações)"/>
    <s v="SAGI"/>
    <m/>
    <n v="-477.15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5.21"/>
    <s v="MATERIAL DE INFORMÁTICA"/>
    <s v="7.5.21 MATERIAL DE INFORMÁTICA"/>
    <x v="2"/>
    <s v="NFE-773424"/>
    <n v="-158.91999999999999"/>
    <n v="-158.91999999999999"/>
    <n v="-158.91999999999999"/>
    <s v="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"/>
    <x v="31"/>
    <d v="2026-01-28T00:00:00"/>
    <s v="29269"/>
    <s v="GIGANTEC COMERCIO ELETRONICO EIRELI"/>
    <s v="Saída (Aplicações)"/>
    <s v="SAGI"/>
    <m/>
    <n v="-158.91999999999999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2"/>
    <s v="SEG-TKQ2D62"/>
    <n v="-489.52"/>
    <n v="-489.52"/>
    <n v="-489.52"/>
    <s v=" REF AO SEGURO DA NOVA AMAROK TKQ2D62 - SOLICITADO E AUTORIZADO PELO RENATO, PARCELADO EM 10X, ATRAVES DO CARTAO DE CREDITO FINAL 8840."/>
    <x v="32"/>
    <d v="2026-01-23T00:00:00"/>
    <s v="185"/>
    <s v="MAPFRE SEGUROS GERAIS S.A."/>
    <s v="Saída (Aplicações)"/>
    <s v="SAGI"/>
    <m/>
    <n v="-489.52"/>
  </r>
  <r>
    <m/>
    <x v="0"/>
    <s v="1.1"/>
    <s v="PILARES"/>
    <s v="1.1 PILARES"/>
    <s v="1.1.14"/>
    <s v="SUPRIMENTOS"/>
    <s v="1.1.14 SUPRIMENTOS"/>
    <s v="1.1.14"/>
    <s v="SUPRIMENTOS"/>
    <s v="1.1.14 SUPRIMENTOS"/>
    <s v="1.1.14"/>
    <s v="SUPRIMENTOS"/>
    <s v="1.1.14 SUPRIMENTOS"/>
    <s v="7.3.23"/>
    <s v="HONORÁRIOS PJ"/>
    <s v="7.3.23 HONORÁRIOS PJ"/>
    <x v="10"/>
    <s v="NFSE-2"/>
    <n v="-6500"/>
    <n v="-6500"/>
    <n v="-6500"/>
    <s v=" [GIULIANA] REF AOS SERVICOS PRESTADOS POR VINICIUS AUGUSTO_x000d__x000a_COMPETENCIA 02/2026_x000d__x000a_SOLICITADO POR ADRIANA NOGUEIRA_x000d__x000a_NF 000.000.002_x000d__x000a_VALOR: R$ 6.500,00_x000d__x000a_VENCIMENTO EM 05/03/2026_x000d__x000a_PAGAMENTO VIA TRANSFERENCIA/PIX"/>
    <x v="30"/>
    <d v="2026-02-25T00:00:00"/>
    <s v="32047"/>
    <s v="64.534.653 VINICIUS AUGUSTO ALVES VILELA"/>
    <s v="Saída (Aplicações)"/>
    <s v="SAGI"/>
    <m/>
    <n v="-6500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2"/>
    <s v="SEG-TKQ2D62"/>
    <n v="-489.52"/>
    <n v="-489.52"/>
    <n v="-489.52"/>
    <s v=" REF AO SEGURO DA NOVA AMAROK TKQ2D62 - SOLICITADO E AUTORIZADO PELO RENATO, PARCELADO EM 10X, ATRAVES DO CARTAO DE CREDITO FINAL 8840."/>
    <x v="32"/>
    <d v="2026-01-23T00:00:00"/>
    <s v="185"/>
    <s v="MAPFRE SEGUROS GERAIS S.A."/>
    <s v="Saída (Aplicações)"/>
    <s v="SAGI"/>
    <m/>
    <n v="-489.52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2"/>
    <s v="SEG-TKQ2D62"/>
    <n v="-489.52"/>
    <n v="-489.52"/>
    <n v="-489.52"/>
    <s v=" REF AO SEGURO DA NOVA AMAROK TKQ2D62 - SOLICITADO E AUTORIZADO PELO RENATO, PARCELADO EM 10X, ATRAVES DO CARTAO DE CREDITO FINAL 8840."/>
    <x v="32"/>
    <d v="2026-01-23T00:00:00"/>
    <s v="185"/>
    <s v="MAPFRE SEGUROS GERAIS S.A."/>
    <s v="Saída (Aplicações)"/>
    <s v="SAGI"/>
    <m/>
    <n v="-489.52"/>
  </r>
  <r>
    <m/>
    <x v="0"/>
    <s v="1.1"/>
    <s v="PILARES"/>
    <s v="1.1 PILARES"/>
    <s v="1.1.3"/>
    <s v="FINANCEIRO"/>
    <s v="1.1.3 FINANCEIRO"/>
    <s v="1.1.3"/>
    <s v="FINANCEIRO"/>
    <s v="1.1.3 FINANCEIRO"/>
    <s v="1.1.3"/>
    <s v="FINANCEIRO"/>
    <s v="1.1.3 FINANCEIRO"/>
    <s v="7.3.22"/>
    <s v="BOLSA ESTAGIO"/>
    <s v="7.3.22 BOLSA ESTAGIO"/>
    <x v="10"/>
    <s v="A11687"/>
    <n v="-1250"/>
    <n v="-1250"/>
    <n v="-1250"/>
    <s v="A11687 PAGTO REF A ACERTO ESTAGIO RESCISÃO COMPETENCIA DEZEMBRO 2025"/>
    <x v="2"/>
    <d v="2026-01-05T00:00:00"/>
    <s v="30108"/>
    <s v="GABRIEL DE SOUZA BARROS"/>
    <s v="Saída (Aplicações)"/>
    <s v="SAGI"/>
    <m/>
    <n v="-1250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3.12"/>
    <s v="PRO LABORE"/>
    <s v="7.3.12 PRO LABORE"/>
    <x v="3"/>
    <s v="A11704"/>
    <n v="-1351.02"/>
    <n v="-1351.02"/>
    <n v="-1351.02"/>
    <s v="A11704 PAGTO REF A FOLHA PRO-LABROE COMPETENCIA DEZEMBRO 2025"/>
    <x v="0"/>
    <d v="2026-01-06T00:00:00"/>
    <s v="235"/>
    <s v="GIULIANA  ANDREA VICCINO SALMAZZO"/>
    <s v="Saída (Aplicações)"/>
    <s v="SAGI"/>
    <m/>
    <n v="-1351.02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3.12"/>
    <s v="PRO LABORE"/>
    <s v="7.3.12 PRO LABORE"/>
    <x v="4"/>
    <s v="A11691"/>
    <n v="-1351.02"/>
    <n v="-1351.02"/>
    <n v="-1351.02"/>
    <s v="A11691 PAGTO REF A FOLHA PRO LABORE COMPETENCIA DEZEMBRO 2025"/>
    <x v="0"/>
    <d v="2026-01-06T00:00:00"/>
    <s v="180"/>
    <s v="RENATO JOSE APARECIDO SALTEIRO"/>
    <s v="Saída (Aplicações)"/>
    <s v="SAGI"/>
    <m/>
    <n v="-1351.02"/>
  </r>
  <r>
    <m/>
    <x v="0"/>
    <s v="1.1"/>
    <s v="PILARES"/>
    <s v="1.1 PILARES"/>
    <s v="1.1.4"/>
    <s v="CONTABILIDADE/FISCAL"/>
    <s v="1.1.4 CONTABILIDADE/FISCAL"/>
    <s v="1.1.4"/>
    <s v="CONTABILIDADE/FISCAL"/>
    <s v="1.1.4 CONTABILIDADE/FISCAL"/>
    <s v="1.1.4"/>
    <s v="CONTABILIDADE/FISCAL"/>
    <s v="1.1.4 CONTABILIDADE/FISCAL"/>
    <s v="7.5.25"/>
    <s v="DESPESA DE CARTÓRIO"/>
    <s v="7.5.25 DESPESA DE CARTÓRIO"/>
    <x v="2"/>
    <s v="NFSE-68"/>
    <n v="-26.28"/>
    <n v="-26.28"/>
    <n v="-26.28"/>
    <s v=" GIULIANA NFS 68 - VENC 15/01/2026 - BOLETO - REF A SERVIÇOS CARTORÁRIOS DURANTE O MÊS 12/2025_x000d__x000a_02/12/2025 - RECONHECIMENTO SEM VALOR 146452 2 - 17,52_x000d__x000a_11/12/2025 - RECONHECIMENTO SEM VALOR 148519 1 - 8,76"/>
    <x v="8"/>
    <d v="2026-01-09T00:00:00"/>
    <s v="7497"/>
    <s v="BRUNA CARLA SALOMAO NOGUEIRA CUNHA MELO"/>
    <s v="Saída (Aplicações)"/>
    <s v="SAGI"/>
    <m/>
    <n v="-26.28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3.10"/>
    <s v="TRANSPORTE DE COLABORADORES"/>
    <s v="7.3.10 TRANSPORTE DE COLABORADORES"/>
    <x v="10"/>
    <s v="A11710"/>
    <n v="-238.62"/>
    <n v="-238.62"/>
    <n v="-238.62"/>
    <s v="TRANSPORTE ESTAGIO DEZ 25 PAGTO REF A  TRANSPORTE ESTAGIO COMPETENCIA DEZEMBRO 2025"/>
    <x v="3"/>
    <d v="2026-01-08T00:00:00"/>
    <s v="31701"/>
    <s v="ISADORA THAYNA VIOTTO DIAS"/>
    <s v="Saída (Aplicações)"/>
    <s v="SAGI"/>
    <m/>
    <n v="-238.62"/>
  </r>
  <r>
    <m/>
    <x v="0"/>
    <s v="1.1"/>
    <s v="PILARES"/>
    <s v="1.1 PILARES"/>
    <s v="1.1.5"/>
    <s v="QUALIDADE"/>
    <s v="1.1.5 QUALIDADE"/>
    <s v="1.1.5"/>
    <s v="QUALIDADE"/>
    <s v="1.1.5 QUALIDADE"/>
    <s v="1.1.5"/>
    <s v="QUALIDADE"/>
    <s v="1.1.5 QUALIDADE"/>
    <s v="7.3.17"/>
    <s v="CONVENIOS"/>
    <s v="7.3.17 CONVENIOS"/>
    <x v="2"/>
    <s v="NFSE-12738"/>
    <n v="-122.2"/>
    <n v="-122.2"/>
    <n v="-122.2"/>
    <s v="TAXA DE ESTAGIARIOS -"/>
    <x v="39"/>
    <d v="2026-01-14T00:00:00"/>
    <s v="24271"/>
    <s v="MVF PRUDENTE AGENCIA DE ESTAGIOS LTDA"/>
    <s v="Saída (Aplicações)"/>
    <s v="SAGI"/>
    <m/>
    <n v="-122.2"/>
  </r>
  <r>
    <m/>
    <x v="0"/>
    <s v="1.1"/>
    <s v="PILARES"/>
    <s v="1.1 PILARES"/>
    <s v="1.1.3"/>
    <s v="FINANCEIRO"/>
    <s v="1.1.3 FINANCEIRO"/>
    <s v="1.1.3"/>
    <s v="FINANCEIRO"/>
    <s v="1.1.3 FINANCEIRO"/>
    <s v="1.1.3"/>
    <s v="FINANCEIRO"/>
    <s v="1.1.3 FINANCEIRO"/>
    <s v="7.3.17"/>
    <s v="CONVENIOS"/>
    <s v="7.3.17 CONVENIOS"/>
    <x v="2"/>
    <s v="NFSE-12738"/>
    <n v="-122.2"/>
    <n v="-122.2"/>
    <n v="-122.2"/>
    <s v="TAXA DE ESTAGIARIOS -"/>
    <x v="39"/>
    <d v="2026-01-14T00:00:00"/>
    <s v="24271"/>
    <s v="MVF PRUDENTE AGENCIA DE ESTAGIOS LTDA"/>
    <s v="Saída (Aplicações)"/>
    <s v="SAGI"/>
    <m/>
    <n v="-122.2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7"/>
    <s v="CONVENIOS"/>
    <s v="7.3.17 CONVENIOS"/>
    <x v="2"/>
    <s v="NFSE-12738"/>
    <n v="-122.2"/>
    <n v="-122.2"/>
    <n v="-122.2"/>
    <s v="TAXA DE ESTAGIARIOS -"/>
    <x v="39"/>
    <d v="2026-01-14T00:00:00"/>
    <s v="24271"/>
    <s v="MVF PRUDENTE AGENCIA DE ESTAGIOS LTDA"/>
    <s v="Saída (Aplicações)"/>
    <s v="SAGI"/>
    <m/>
    <n v="-122.2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4.6"/>
    <s v="IRRF"/>
    <s v="7.4.6 IRRF"/>
    <x v="4"/>
    <s v="ARRECADAÇÃORSR01122025"/>
    <n v="-765.4"/>
    <n v="-765.4"/>
    <n v="-765.4"/>
    <s v="GUIA INSS/IRRF DEZ25 PAGTO REF A GUIA ARRECADAÇÃO ( INSS/IRRF) FOLHA FUNCIONARIOS(AS) COMPETENCIA DEZEMBRO 2025"/>
    <x v="5"/>
    <d v="2026-01-16T00:00:00"/>
    <s v="23182"/>
    <s v="SECRETARIA DA RECEITA FEDERAL"/>
    <s v="Saída (Aplicações)"/>
    <s v="SAGI"/>
    <m/>
    <n v="-765.4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3"/>
    <s v="INSS"/>
    <s v="7.3.3 INSS"/>
    <x v="4"/>
    <s v="ARRECADAÇÃORSR01122025"/>
    <n v="-765.41"/>
    <n v="-765.41"/>
    <n v="-765.41"/>
    <s v="GUIA INSS/IRRF DEZ25 PAGTO REF A GUIA ARRECADAÇÃO ( INSS/IRRF) FOLHA FUNCIONARIOS(AS) COMPETENCIA DEZEMBRO 2025"/>
    <x v="5"/>
    <d v="2026-01-16T00:00:00"/>
    <s v="23182"/>
    <s v="SECRETARIA DA RECEITA FEDERAL"/>
    <s v="Saída (Aplicações)"/>
    <s v="SAGI"/>
    <m/>
    <n v="-765.41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3.3"/>
    <s v="INSS"/>
    <s v="7.3.3 INSS"/>
    <x v="1"/>
    <s v="ARRECADAÇÃOGXS122025"/>
    <n v="-470.58"/>
    <n v="-470.58"/>
    <n v="-470.58"/>
    <s v="GUIA INSS PRO-LABORE DEZ 25 PAGTO REF A GUIA ARRECADAÇÃO ( INSS PRO-LABORE) FOLHA  COMPETENCIA DEZEMBRO 2025"/>
    <x v="5"/>
    <d v="2026-01-16T00:00:00"/>
    <s v="23182"/>
    <s v="SECRETARIA DA RECEITA FEDERAL"/>
    <s v="Saída (Aplicações)"/>
    <s v="SAGI"/>
    <m/>
    <n v="-470.58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3.13"/>
    <s v="SINDICATOS"/>
    <s v="7.3.13 SINDICATOS"/>
    <x v="2"/>
    <s v="SINDICATOG3S04122025"/>
    <n v="-110.91"/>
    <n v="-110.91"/>
    <n v="-110.91"/>
    <s v="SINDICATO DEZ 25 PAGTO REF SINDICATO DESCONTO FUNCIONARIO(A) FOLHA PAGAMNETO COMP DEZEMBRO 2025."/>
    <x v="8"/>
    <d v="2026-01-09T00:00:00"/>
    <s v="29915"/>
    <s v="SINDICATO EMPREGADOS COMERCIO DE PRESIDENTE PRUDENTE LTDA"/>
    <s v="Saída (Aplicações)"/>
    <s v="SAGI"/>
    <m/>
    <n v="-110.91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11"/>
    <s v="LICENCIAMENTO / DPVAT"/>
    <s v="7.1.11 LICENCIAMENTO / DPVAT"/>
    <x v="2"/>
    <s v="LICENC.2026 TKQ2D62"/>
    <n v="-174.08"/>
    <n v="-174.08"/>
    <n v="-174.08"/>
    <s v=" HUGO - LICENCIAMENTO 2026 - TKQ2D62 - RENAVAM 01422588286"/>
    <x v="7"/>
    <d v="2026-01-02T00:00:00"/>
    <s v="25777"/>
    <s v="SECRETARIA DA FAZENDA SAO PAULO"/>
    <s v="Saída (Aplicações)"/>
    <s v="SAGI"/>
    <m/>
    <n v="-174.08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0"/>
    <s v="TRANSPORTE DE COLABORADORES"/>
    <s v="7.3.10 TRANSPORTE DE COLABORADORES"/>
    <x v="9"/>
    <s v="SEMPARARG3S03012026"/>
    <n v="-1055"/>
    <n v="-1055"/>
    <n v="-1055"/>
    <s v="SEM PARAR JANEIRO 2026 PAGTO REF AO MULTI BENEFICIO CARTÃO SEM PARAR COMPETENCIA JANEIRO 2026"/>
    <x v="10"/>
    <d v="2026-01-22T00:00:00"/>
    <s v="31755"/>
    <s v="VB SERVICOS COMERCIO E ADMINISTRACAO. LTDA."/>
    <s v="Saída (Aplicações)"/>
    <s v="SAGI"/>
    <m/>
    <n v="-1055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8"/>
    <s v="CESTA BÁSICA"/>
    <s v="7.3.8 CESTA BÁSICA"/>
    <x v="9"/>
    <s v="SEMPARARG3S03012026"/>
    <n v="-1055.01"/>
    <n v="-1055.01"/>
    <n v="-1055.01"/>
    <s v="SEM PARAR JANEIRO 2026 PAGTO REF AO MULTI BENEFICIO CARTÃO SEM PARAR COMPETENCIA JANEIRO 2026"/>
    <x v="10"/>
    <d v="2026-01-22T00:00:00"/>
    <s v="31755"/>
    <s v="VB SERVICOS COMERCIO E ADMINISTRACAO. LTDA."/>
    <s v="Saída (Aplicações)"/>
    <s v="SAGI"/>
    <m/>
    <n v="-1055.01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0"/>
    <s v="TRANSPORTE DE COLABORADORES"/>
    <s v="7.3.10 TRANSPORTE DE COLABORADORES"/>
    <x v="3"/>
    <s v="SEMPARARG3S01012026"/>
    <n v="-1660.97"/>
    <n v="-1660.97"/>
    <n v="-1660.97"/>
    <s v="SEM PARAR JANEIRO 2026 PAGTO REF AO MULTI BENEFICIO CARTÃO SEM PARAR COMPETENCIA JANEIRO 2026"/>
    <x v="10"/>
    <d v="2026-01-22T00:00:00"/>
    <s v="31755"/>
    <s v="VB SERVICOS COMERCIO E ADMINISTRACAO. LTDA."/>
    <s v="Saída (Aplicações)"/>
    <s v="SAGI"/>
    <m/>
    <n v="-1660.97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8"/>
    <s v="CESTA BÁSICA"/>
    <s v="7.3.8 CESTA BÁSICA"/>
    <x v="3"/>
    <s v="SEMPARARG3S01012026"/>
    <n v="-1660.98"/>
    <n v="-1660.98"/>
    <n v="-1660.98"/>
    <s v="SEM PARAR JANEIRO 2026 PAGTO REF AO MULTI BENEFICIO CARTÃO SEM PARAR COMPETENCIA JANEIRO 2026"/>
    <x v="10"/>
    <d v="2026-01-22T00:00:00"/>
    <s v="31755"/>
    <s v="VB SERVICOS COMERCIO E ADMINISTRACAO. LTDA."/>
    <s v="Saída (Aplicações)"/>
    <s v="SAGI"/>
    <m/>
    <n v="-1660.98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0"/>
    <s v="TRANSPORTE DE COLABORADORES"/>
    <s v="7.3.10 TRANSPORTE DE COLABORADORES"/>
    <x v="10"/>
    <s v="SEMPARARG3S10012026"/>
    <n v="-6094.32"/>
    <n v="-6094.32"/>
    <n v="-6094.32"/>
    <s v="SEM PARAR JANEIRO 2026 PAGTO REF AO MULTI BENEFICIO CARTÃO SEM PARAR COMPETENCIA JANEIRO 2026"/>
    <x v="10"/>
    <d v="2026-01-22T00:00:00"/>
    <s v="31755"/>
    <s v="VB SERVICOS COMERCIO E ADMINISTRACAO. LTDA."/>
    <s v="Saída (Aplicações)"/>
    <s v="SAGI"/>
    <m/>
    <n v="-6094.32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8"/>
    <s v="CESTA BÁSICA"/>
    <s v="7.3.8 CESTA BÁSICA"/>
    <x v="10"/>
    <s v="SEMPARARG3S10012026"/>
    <n v="-6094.33"/>
    <n v="-6094.33"/>
    <n v="-6094.33"/>
    <s v="SEM PARAR JANEIRO 2026 PAGTO REF AO MULTI BENEFICIO CARTÃO SEM PARAR COMPETENCIA JANEIRO 2026"/>
    <x v="10"/>
    <d v="2026-01-22T00:00:00"/>
    <s v="31755"/>
    <s v="VB SERVICOS COMERCIO E ADMINISTRACAO. LTDA."/>
    <s v="Saída (Aplicações)"/>
    <s v="SAGI"/>
    <m/>
    <n v="-6094.33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"/>
    <s v="SALÁRIOS"/>
    <s v="7.3.1 SALÁRIOS"/>
    <x v="10"/>
    <s v="A11730"/>
    <n v="-300"/>
    <n v="-300"/>
    <n v="-300"/>
    <s v="A11730 PAGRO REF A ADIANTAMNETO COMPETENCIA JANEIRO 2026"/>
    <x v="12"/>
    <d v="2026-01-26T00:00:00"/>
    <s v="929"/>
    <s v="ADRIANA CANDIDO FIGUEIREDO"/>
    <s v="Saída (Aplicações)"/>
    <s v="SAGI"/>
    <m/>
    <n v="-300"/>
  </r>
  <r>
    <m/>
    <x v="0"/>
    <s v="1.1"/>
    <s v="PILARES"/>
    <s v="1.1 PILARES"/>
    <s v="1.1.4"/>
    <s v="CONTABILIDADE/FISCAL"/>
    <s v="1.1.4 CONTABILIDADE/FISCAL"/>
    <s v="1.1.4"/>
    <s v="CONTABILIDADE/FISCAL"/>
    <s v="1.1.4 CONTABILIDADE/FISCAL"/>
    <s v="1.1.4"/>
    <s v="CONTABILIDADE/FISCAL"/>
    <s v="1.1.4 CONTABILIDADE/FISCAL"/>
    <s v="7.3.23"/>
    <s v="HONORÁRIOS PJ"/>
    <s v="7.3.23 HONORÁRIOS PJ"/>
    <x v="2"/>
    <s v="NFSE-2630"/>
    <n v="-6000"/>
    <n v="-6000"/>
    <n v="-6000"/>
    <s v=" [GIULIANA] REF A SERVICO PRESTADO POR MURILO/PRADO SERVIÇOS EMPRESARIAIS,_x000d__x000a_SOLICITADO POR ADRIANA NOGUEIRA_x0009__x000d__x000a_COMPETENCIA 01/2026_x000d__x000a_NOTA FISCAL 000.002.630, VALOR R$ 6.000,00 _x000d__x000a_VENCIMENTO EM 26/01/2026_x000d__x000a_PAGAMENTO VIA BOLETO BANCARIO"/>
    <x v="17"/>
    <d v="2026-01-15T00:00:00"/>
    <s v="25189"/>
    <s v="PRADO SERVICOS EMPRESARIAIS LTDA"/>
    <s v="Saída (Aplicações)"/>
    <s v="SAGI"/>
    <m/>
    <n v="-6000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0"/>
    <s v="TRANSPORTE DE COLABORADORES"/>
    <s v="7.3.10 TRANSPORTE DE COLABORADORES"/>
    <x v="14"/>
    <s v="SEMPARARG3S06012026"/>
    <n v="-1292.1199999999999"/>
    <n v="-1292.1199999999999"/>
    <n v="-1292.1199999999999"/>
    <s v="SEM PARAR JANEIRO 2026 PAGTO REF AO MULTI BENEFICIO CARTÃO SEM PARAR COMPETENCIA JANEIRO 2026"/>
    <x v="9"/>
    <d v="2026-01-21T00:00:00"/>
    <s v="31755"/>
    <s v="VB SERVICOS COMERCIO E ADMINISTRACAO. LTDA."/>
    <s v="Saída (Aplicações)"/>
    <s v="SAGI"/>
    <m/>
    <n v="-1292.1199999999999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8"/>
    <s v="CESTA BÁSICA"/>
    <s v="7.3.8 CESTA BÁSICA"/>
    <x v="14"/>
    <s v="SEMPARARG3S06012026"/>
    <n v="-1292.1300000000001"/>
    <n v="-1292.1300000000001"/>
    <n v="-1292.1300000000001"/>
    <s v="SEM PARAR JANEIRO 2026 PAGTO REF AO MULTI BENEFICIO CARTÃO SEM PARAR COMPETENCIA JANEIRO 2026"/>
    <x v="9"/>
    <d v="2026-01-21T00:00:00"/>
    <s v="31755"/>
    <s v="VB SERVICOS COMERCIO E ADMINISTRACAO. LTDA."/>
    <s v="Saída (Aplicações)"/>
    <s v="SAGI"/>
    <m/>
    <n v="-1292.1300000000001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0"/>
    <s v="TRANSPORTE DE COLABORADORES"/>
    <s v="7.3.10 TRANSPORTE DE COLABORADORES"/>
    <x v="0"/>
    <s v="SEMPARARG&amp;S01012026"/>
    <n v="-1852.98"/>
    <n v="-1852.98"/>
    <n v="-1852.98"/>
    <s v="SEM PARAR JANEIRO 2026 PAGTO REF AO MULTI BENEFICIO CARTÃO SEM PARAR COMPETENCIA JANEIRO 2026"/>
    <x v="10"/>
    <d v="2026-01-22T00:00:00"/>
    <s v="31755"/>
    <s v="VB SERVICOS COMERCIO E ADMINISTRACAO. LTDA."/>
    <s v="Saída (Aplicações)"/>
    <s v="SAGI"/>
    <m/>
    <n v="-1852.98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8"/>
    <s v="CESTA BÁSICA"/>
    <s v="7.3.8 CESTA BÁSICA"/>
    <x v="0"/>
    <s v="SEMPARARG&amp;S01012026"/>
    <n v="-1852.99"/>
    <n v="-1852.99"/>
    <n v="-1852.99"/>
    <s v="SEM PARAR JANEIRO 2026 PAGTO REF AO MULTI BENEFICIO CARTÃO SEM PARAR COMPETENCIA JANEIRO 2026"/>
    <x v="10"/>
    <d v="2026-01-22T00:00:00"/>
    <s v="31755"/>
    <s v="VB SERVICOS COMERCIO E ADMINISTRACAO. LTDA."/>
    <s v="Saída (Aplicações)"/>
    <s v="SAGI"/>
    <m/>
    <n v="-1852.99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0"/>
    <s v="TRANSPORTE DE COLABORADORES"/>
    <s v="7.3.10 TRANSPORTE DE COLABORADORES"/>
    <x v="11"/>
    <s v="SEMPARARG&amp;S05012026"/>
    <n v="-3127.45"/>
    <n v="-3127.45"/>
    <n v="-3127.45"/>
    <s v="SEM PARAR JANEIRO 2026 PAGTO REF AO MULTI BENEFICIO CARTÃO SEM PARAR COMPETENCIA JANEIRO 2026"/>
    <x v="10"/>
    <d v="2026-01-22T00:00:00"/>
    <s v="31755"/>
    <s v="VB SERVICOS COMERCIO E ADMINISTRACAO. LTDA."/>
    <s v="Saída (Aplicações)"/>
    <s v="SAGI"/>
    <m/>
    <n v="-3127.45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8"/>
    <s v="CESTA BÁSICA"/>
    <s v="7.3.8 CESTA BÁSICA"/>
    <x v="11"/>
    <s v="SEMPARARG&amp;S05012026"/>
    <n v="-3127.46"/>
    <n v="-3127.46"/>
    <n v="-3127.46"/>
    <s v="SEM PARAR JANEIRO 2026 PAGTO REF AO MULTI BENEFICIO CARTÃO SEM PARAR COMPETENCIA JANEIRO 2026"/>
    <x v="10"/>
    <d v="2026-01-22T00:00:00"/>
    <s v="31755"/>
    <s v="VB SERVICOS COMERCIO E ADMINISTRACAO. LTDA."/>
    <s v="Saída (Aplicações)"/>
    <s v="SAGI"/>
    <m/>
    <n v="-3127.46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0"/>
    <s v="TRANSPORTE DE COLABORADORES"/>
    <s v="7.3.10 TRANSPORTE DE COLABORADORES"/>
    <x v="13"/>
    <s v="SEMPARARG&amp;S04012026"/>
    <n v="-1285.0999999999999"/>
    <n v="-1285.0999999999999"/>
    <n v="-1285.0999999999999"/>
    <s v="SEM PARAR JANEIRO 2026 PAGTO REF AO MULTI BENEFICIO CARTÃO SEM PARAR COMPETENCIA JANEIRO 2026"/>
    <x v="10"/>
    <d v="2026-01-22T00:00:00"/>
    <s v="31755"/>
    <s v="VB SERVICOS COMERCIO E ADMINISTRACAO. LTDA."/>
    <s v="Saída (Aplicações)"/>
    <s v="SAGI"/>
    <m/>
    <n v="-1285.0999999999999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8"/>
    <s v="CESTA BÁSICA"/>
    <s v="7.3.8 CESTA BÁSICA"/>
    <x v="13"/>
    <s v="SEMPARARG&amp;S04012026"/>
    <n v="-1285.1099999999999"/>
    <n v="-1285.1099999999999"/>
    <n v="-1285.1099999999999"/>
    <s v="SEM PARAR JANEIRO 2026 PAGTO REF AO MULTI BENEFICIO CARTÃO SEM PARAR COMPETENCIA JANEIRO 2026"/>
    <x v="10"/>
    <d v="2026-01-22T00:00:00"/>
    <s v="31755"/>
    <s v="VB SERVICOS COMERCIO E ADMINISTRACAO. LTDA."/>
    <s v="Saída (Aplicações)"/>
    <s v="SAGI"/>
    <m/>
    <n v="-1285.1099999999999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0"/>
    <s v="TRANSPORTE DE COLABORADORES"/>
    <s v="7.3.10 TRANSPORTE DE COLABORADORES"/>
    <x v="12"/>
    <s v="SEMPARARG&amp;S03012026"/>
    <n v="-1028.08"/>
    <n v="-1028.08"/>
    <n v="-1028.08"/>
    <s v="SEM PARAR JANEIRO 2026 PAGTO REF AO MULTI BENEFICIO CARTÃO SEM PARAR COMPETENCIA  JANEIRO 2026"/>
    <x v="10"/>
    <d v="2026-01-22T00:00:00"/>
    <s v="31755"/>
    <s v="VB SERVICOS COMERCIO E ADMINISTRACAO. LTDA."/>
    <s v="Saída (Aplicações)"/>
    <s v="SAGI"/>
    <m/>
    <n v="-1028.08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8"/>
    <s v="CESTA BÁSICA"/>
    <s v="7.3.8 CESTA BÁSICA"/>
    <x v="12"/>
    <s v="SEMPARARG&amp;S03012026"/>
    <n v="-1028.0899999999999"/>
    <n v="-1028.0899999999999"/>
    <n v="-1028.0899999999999"/>
    <s v="SEM PARAR JANEIRO 2026 PAGTO REF AO MULTI BENEFICIO CARTÃO SEM PARAR COMPETENCIA  JANEIRO 2026"/>
    <x v="10"/>
    <d v="2026-01-22T00:00:00"/>
    <s v="31755"/>
    <s v="VB SERVICOS COMERCIO E ADMINISTRACAO. LTDA."/>
    <s v="Saída (Aplicações)"/>
    <s v="SAGI"/>
    <m/>
    <n v="-1028.0899999999999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0"/>
    <s v="TRANSPORTE DE COLABORADORES"/>
    <s v="7.3.10 TRANSPORTE DE COLABORADORES"/>
    <x v="8"/>
    <s v="SEMPARARG&amp;S07012026"/>
    <n v="-800.22"/>
    <n v="-800.22"/>
    <n v="-800.22"/>
    <s v="SEM PARAR JANEIRO 2026 PAGTO REF AO MULTI BENEFICIO CARTÃO SEM PARAR COMPETENCIA  JANEIRO 2026"/>
    <x v="10"/>
    <d v="2026-01-22T00:00:00"/>
    <s v="31755"/>
    <s v="VB SERVICOS COMERCIO E ADMINISTRACAO. LTDA."/>
    <s v="Saída (Aplicações)"/>
    <s v="SAGI"/>
    <m/>
    <n v="-800.22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8"/>
    <s v="CESTA BÁSICA"/>
    <s v="7.3.8 CESTA BÁSICA"/>
    <x v="8"/>
    <s v="SEMPARARG&amp;S07012026"/>
    <n v="-800.23"/>
    <n v="-800.23"/>
    <n v="-800.23"/>
    <s v="SEM PARAR JANEIRO 2026 PAGTO REF AO MULTI BENEFICIO CARTÃO SEM PARAR COMPETENCIA  JANEIRO 2026"/>
    <x v="10"/>
    <d v="2026-01-22T00:00:00"/>
    <s v="31755"/>
    <s v="VB SERVICOS COMERCIO E ADMINISTRACAO. LTDA."/>
    <s v="Saída (Aplicações)"/>
    <s v="SAGI"/>
    <m/>
    <n v="-800.23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11"/>
    <s v="SEGUROVIDAG&amp;S05012026"/>
    <n v="-308.2"/>
    <n v="-308.2"/>
    <n v="-308.2"/>
    <s v="SEGURO DE VIDA JANEIRO 2026 PAGTO REF A SEGURO DE VIDA FUNCIONARIOS(AS) COMPETENCIA  JANEIRO 2026."/>
    <x v="13"/>
    <d v="2026-01-27T00:00:00"/>
    <s v="549"/>
    <s v="ICATU SEGUROS S.A"/>
    <s v="Saída (Aplicações)"/>
    <s v="SAGI"/>
    <m/>
    <n v="-308.2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12"/>
    <s v="SEGUROVIDAG&amp;S03012026"/>
    <n v="-128.44"/>
    <n v="-128.44"/>
    <n v="-128.44"/>
    <s v="SEGURO DE VIDA  JANEIRO 2026 PAGTO REF A SEGURO DE VIDA FUNCIONARIOS(AS) COMPETENCIA  JANEIRO 2026."/>
    <x v="13"/>
    <d v="2026-01-27T00:00:00"/>
    <s v="549"/>
    <s v="ICATU SEGUROS S.A"/>
    <s v="Saída (Aplicações)"/>
    <s v="SAGI"/>
    <m/>
    <n v="-128.44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6"/>
    <s v="SEGUROVIDAG3S11012026"/>
    <n v="-22.47"/>
    <n v="-22.47"/>
    <n v="-22.47"/>
    <s v="SEGURO DE VIDA JANEIRO 2026 PAGTO REF A SEGURO DE VIDA FUNCIONARIOS(AS) COMPETENCIA JANEIRO 2026."/>
    <x v="13"/>
    <d v="2026-01-27T00:00:00"/>
    <s v="549"/>
    <s v="ICATU SEGUROS S.A"/>
    <s v="Saída (Aplicações)"/>
    <s v="SAGI"/>
    <m/>
    <n v="-22.47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5"/>
    <s v="SEGUROVIDAG3S08012026"/>
    <n v="-89.88"/>
    <n v="-89.88"/>
    <n v="-89.88"/>
    <s v="SEGURO DE VIDA JANEIRO 2026 PAGTO REF A SEGURO DE VIDA FUNCIONARIOS(AS) COMPETENCIA JANEIRO 2026."/>
    <x v="13"/>
    <d v="2026-01-27T00:00:00"/>
    <s v="549"/>
    <s v="ICATU SEGUROS S.A"/>
    <s v="Saída (Aplicações)"/>
    <s v="SAGI"/>
    <m/>
    <n v="-89.88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14"/>
    <s v="SEGUROVIDAG3S06012026"/>
    <n v="-89.88"/>
    <n v="-89.88"/>
    <n v="-89.88"/>
    <s v="SEGURO DE VIDA JANEIRO 2026 PAGTO REF A SEGURO DE VIDA FUNCIONARIOS(AS) COMPETENCIA JANEIRO 2026."/>
    <x v="13"/>
    <d v="2026-01-27T00:00:00"/>
    <s v="549"/>
    <s v="ICATU SEGUROS S.A"/>
    <s v="Saída (Aplicações)"/>
    <s v="SAGI"/>
    <m/>
    <n v="-89.88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3"/>
    <s v="SEGUROVIDAG3S01012026"/>
    <n v="-112.35"/>
    <n v="-112.35"/>
    <n v="-112.35"/>
    <s v="SEGURO DE VIDA JANEIRO 2026 PAGTO REF A SEGURO DE VIDA FUNCIONARIOS(AS) COMPETENCIA JANEIRO 2026."/>
    <x v="13"/>
    <d v="2026-01-27T00:00:00"/>
    <s v="549"/>
    <s v="ICATU SEGUROS S.A"/>
    <s v="Saída (Aplicações)"/>
    <s v="SAGI"/>
    <m/>
    <n v="-112.35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12"/>
    <s v="PEDÁGIO"/>
    <s v="7.1.12 PEDÁGIO"/>
    <x v="4"/>
    <s v="OC 28033 SEM PARAR"/>
    <n v="-242.72"/>
    <n v="-242.72"/>
    <n v="-242.72"/>
    <s v=" CRISTINA - REF. A PEDAGIO SEM PARAR_x000d__x000a_BKW9I57 20,94_x000d__x000a_GDS7F95 20,94_x000d__x000a_GFA0D41 80,94_x000d__x000a_TKQ2D62 814,60_x000d__x000a_Nº da Fatura: 2613257232_x000d__x000a_Nº da Nota Fiscal: 674369813"/>
    <x v="17"/>
    <d v="2026-01-15T00:00:00"/>
    <s v="944"/>
    <s v="CENTRO DE GESTAO DE MEIO DE PGTO S.A SEM PARAR"/>
    <s v="Saída (Aplicações)"/>
    <s v="SAGI"/>
    <m/>
    <n v="-242.72"/>
  </r>
  <r>
    <m/>
    <x v="0"/>
    <s v="1.1"/>
    <s v="PILARES"/>
    <s v="1.1 PILARES"/>
    <s v="1.1.4"/>
    <s v="CONTABILIDADE/FISCAL"/>
    <s v="1.1.4 CONTABILIDADE/FISCAL"/>
    <s v="1.1.4"/>
    <s v="CONTABILIDADE/FISCAL"/>
    <s v="1.1.4 CONTABILIDADE/FISCAL"/>
    <s v="1.1.4"/>
    <s v="CONTABILIDADE/FISCAL"/>
    <s v="1.1.4 CONTABILIDADE/FISCAL"/>
    <s v="7.3.19"/>
    <s v="FERIAS"/>
    <s v="7.3.19 FERIAS"/>
    <x v="15"/>
    <s v="A11740"/>
    <n v="-1968.7"/>
    <n v="-1968.7"/>
    <n v="-1968.7"/>
    <s v="A11740 PAGTO REF A FERIAS 05/02/2026 A 19/02/2026"/>
    <x v="40"/>
    <d v="2026-01-29T00:00:00"/>
    <s v="565"/>
    <s v="THAYNA RANI FERNANDES ALMEIDA"/>
    <s v="Saída (Aplicações)"/>
    <s v="SAGI"/>
    <m/>
    <n v="-1968.7"/>
  </r>
  <r>
    <m/>
    <x v="0"/>
    <s v="1.1"/>
    <s v="PILARES"/>
    <s v="1.1 PILARES"/>
    <s v="1.1.4"/>
    <s v="CONTABILIDADE/FISCAL"/>
    <s v="1.1.4 CONTABILIDADE/FISCAL"/>
    <s v="1.1.4"/>
    <s v="CONTABILIDADE/FISCAL"/>
    <s v="1.1.4 CONTABILIDADE/FISCAL"/>
    <s v="1.1.4"/>
    <s v="CONTABILIDADE/FISCAL"/>
    <s v="1.1.4 CONTABILIDADE/FISCAL"/>
    <s v="7.3.19"/>
    <s v="FERIAS"/>
    <s v="7.3.19 FERIAS"/>
    <x v="15"/>
    <s v="A11749"/>
    <n v="-129.62"/>
    <n v="-129.62"/>
    <n v="-129.62"/>
    <s v="A11749 PAGTO REF A FÉRIAS 20/02/2026 A 20/02/2026 - COMPLEMENTO"/>
    <x v="21"/>
    <d v="2026-02-02T00:00:00"/>
    <s v="565"/>
    <s v="THAYNA RANI FERNANDES ALMEIDA"/>
    <s v="Saída (Aplicações)"/>
    <s v="SAGI"/>
    <m/>
    <n v="-129.62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13"/>
    <s v="SEGUROVIDAG&amp;S04012026"/>
    <n v="-173.38"/>
    <n v="-173.38"/>
    <n v="-173.38"/>
    <s v="SEGURO DE VIDA JANEIRO 2026 PAGTO REF A SEGURO DE VIDA FUNCIONARIOS(AS) COMPETENCIA JANEIRO 2026"/>
    <x v="40"/>
    <d v="2026-01-29T00:00:00"/>
    <s v="549"/>
    <s v="ICATU SEGUROS S.A"/>
    <s v="Saída (Aplicações)"/>
    <s v="SAGI"/>
    <m/>
    <n v="-173.38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8.1.1"/>
    <s v="VEÍCULOS"/>
    <s v="8.1.1 VEÍCULOS"/>
    <x v="4"/>
    <s v="NFE-108113"/>
    <n v="-350000"/>
    <n v="-350000"/>
    <n v="-350000"/>
    <s v=" Compra de ativo imobilizado."/>
    <x v="12"/>
    <d v="2026-01-26T00:00:00"/>
    <s v="32019"/>
    <s v="ITATIAIA DISTRIBUIDORA DE VEICULOS LTDA"/>
    <s v="Saída (Aplicações)"/>
    <s v="SAGI"/>
    <m/>
    <n v="-350000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8.1.1"/>
    <s v="VEÍCULOS"/>
    <s v="8.1.1 VEÍCULOS"/>
    <x v="4"/>
    <s v="NFE-108113"/>
    <n v="-350000"/>
    <n v="-350000"/>
    <n v="-350000"/>
    <s v=" Compra de ativo imobilizado."/>
    <x v="12"/>
    <d v="2026-01-26T00:00:00"/>
    <s v="32019"/>
    <s v="ITATIAIA DISTRIBUIDORA DE VEICULOS LTDA"/>
    <s v="Saída (Aplicações)"/>
    <s v="SAGI"/>
    <m/>
    <n v="-350000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8.1.1"/>
    <s v="VEÍCULOS"/>
    <s v="8.1.1 VEÍCULOS"/>
    <x v="4"/>
    <s v="NFE-108115"/>
    <n v="-760000"/>
    <n v="-760000"/>
    <n v="-760000"/>
    <s v=" COMPRA DE ATIVO IMOBILIZADO."/>
    <x v="12"/>
    <d v="2026-01-26T00:00:00"/>
    <s v="32019"/>
    <s v="ITATIAIA DISTRIBUIDORA DE VEICULOS LTDA"/>
    <s v="Saída (Aplicações)"/>
    <s v="SAGI"/>
    <m/>
    <n v="-760000"/>
  </r>
  <r>
    <m/>
    <x v="0"/>
    <s v="1.1"/>
    <s v="PILARES"/>
    <s v="1.1 PILARES"/>
    <s v="1.1.3"/>
    <s v="FINANCEIRO"/>
    <s v="1.1.3 FINANCEIRO"/>
    <s v="1.1.3"/>
    <s v="FINANCEIRO"/>
    <s v="1.1.3 FINANCEIRO"/>
    <s v="1.1.3"/>
    <s v="FINANCEIRO"/>
    <s v="1.1.3 FINANCEIRO"/>
    <s v="7.3.23"/>
    <s v="HONORÁRIOS PJ"/>
    <s v="7.3.23 HONORÁRIOS PJ"/>
    <x v="2"/>
    <s v="NFSE-182"/>
    <n v="-5359.59"/>
    <n v="-5359.59"/>
    <n v="-5359.59"/>
    <s v=" [GIULIANA] REF AOS SERVIÇOS PRESTADOS POR HUGO - COMP. 01/2026_x000d__x000a_SOLICITADO POR ADRIANA N._x000d__x000a_NOTA FISCAL 182, VALOR BRUTO R$ 5.515,49_x000d__x000a_VENCIMENTO EM 05/02/2026_x000d__x000a_PAGAMENTO VIA TRANSFERÊNCIA/PIX"/>
    <x v="5"/>
    <d v="2026-01-16T00:00:00"/>
    <s v="23407"/>
    <s v="H B BOSSOLANI SERVICOS ADMINISTRATIVOS"/>
    <s v="Saída (Aplicações)"/>
    <s v="SAGI"/>
    <m/>
    <n v="-5359.59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3"/>
    <s v="HONORÁRIOS PJ"/>
    <s v="7.3.23 HONORÁRIOS PJ"/>
    <x v="2"/>
    <s v="NFSE-1345"/>
    <n v="-4596.8100000000004"/>
    <n v="-4596.8100000000004"/>
    <n v="-4596.8100000000004"/>
    <s v=" [GIULIANA] REF AOS SERVIÇOS PRESTADOS POR GIOVANE PORTO, COMP. 01/2026_x000d__x000a_SOLICITADO POR ADRIANA NOGUEIRA_x000d__x000a_NF 000.001.345 VALOR BRUTO R$ 4.500,00_x000d__x000a_VENCIMENTO EM 05/02/2026_x000d__x000a_PAGAMENTO VIA TRANSFERENCIA/PIX"/>
    <x v="12"/>
    <d v="2026-01-26T00:00:00"/>
    <s v="22797"/>
    <s v="PORTO PRESTADORA DE SERVICOS S/S UNIPESSOAL LTDA"/>
    <s v="Saída (Aplicações)"/>
    <s v="SAGI"/>
    <m/>
    <n v="-4596.8100000000004"/>
  </r>
  <r>
    <m/>
    <x v="0"/>
    <s v="1.1"/>
    <s v="PILARES"/>
    <s v="1.1 PILARES"/>
    <s v="1.1.5"/>
    <s v="QUALIDADE"/>
    <s v="1.1.5 QUALIDADE"/>
    <s v="1.1.5"/>
    <s v="QUALIDADE"/>
    <s v="1.1.5 QUALIDADE"/>
    <s v="1.1.5"/>
    <s v="QUALIDADE"/>
    <s v="1.1.5 QUALIDADE"/>
    <s v="7.3.23"/>
    <s v="HONORÁRIOS PJ"/>
    <s v="7.3.23 HONORÁRIOS PJ"/>
    <x v="2"/>
    <s v="NFSE-3"/>
    <n v="-2640"/>
    <n v="-2640"/>
    <n v="-2640"/>
    <s v=" [GIULIANA] REF AOS SERVIÇOS PRESTADOS POR LUCIANO FARIAS_x000d__x000a_SOLICITADO POR ADRIANA N._x000d__x000a_NOTA FISCAL 000.003_x000d__x000a_VALOR: R$ 2.640,00_x000d__x000a_VENCIMENTO EM 05/02/2026_x000d__x000a_PAGAMENTO VIA TRANSFERENCIA/PIX"/>
    <x v="40"/>
    <d v="2026-01-29T00:00:00"/>
    <s v="23476"/>
    <s v="SILVA &amp; FARIAS TREINAMENTOS LTDA"/>
    <s v="Saída (Aplicações)"/>
    <s v="SAGI"/>
    <m/>
    <n v="-2640"/>
  </r>
  <r>
    <m/>
    <x v="0"/>
    <s v="1.1"/>
    <s v="PILARES"/>
    <s v="1.1 PILARES"/>
    <s v="1.1.15"/>
    <s v="MANUTENCAO DE MÁQUINAS E VEICULOS"/>
    <s v="1.1.15 MANUTENCAO DE MÁQUINAS E VEICULOS"/>
    <s v="1.1.15"/>
    <s v="MANUTENCAO DE MÁQUINAS E VEICULOS"/>
    <s v="1.1.15 MANUTENCAO DE MÁQUINAS E VEICULOS"/>
    <s v="1.1.15"/>
    <s v="MANUTENCAO DE MÁQUINAS E VEICULOS"/>
    <s v="1.1.15 MANUTENCAO DE MÁQUINAS E VEICULOS"/>
    <s v="7.3.23"/>
    <s v="HONORÁRIOS PJ"/>
    <s v="7.3.23 HONORÁRIOS PJ"/>
    <x v="2"/>
    <s v="0000X7906"/>
    <n v="-10000"/>
    <n v="-10000"/>
    <n v="-10000"/>
    <s v="FOLHA PJ JANEIRO 2026 PAGTO REF A FOLHA PAGAMENTO PJ COMPETÊNCIA JANEIRO 2026 - OPERAÇÃO/MANUTENÇÃO VEICULOS"/>
    <x v="14"/>
    <d v="2026-02-04T00:00:00"/>
    <s v="23190"/>
    <s v="PAGAMENTO FUNCIONÁRIOS"/>
    <s v="Saída (Aplicações)"/>
    <s v="SAGI"/>
    <m/>
    <n v="-10000"/>
  </r>
  <r>
    <m/>
    <x v="0"/>
    <s v="1.1"/>
    <s v="PILARES"/>
    <s v="1.1 PILARES"/>
    <s v="1.1.4"/>
    <s v="CONTABILIDADE/FISCAL"/>
    <s v="1.1.4 CONTABILIDADE/FISCAL"/>
    <s v="1.1.4"/>
    <s v="CONTABILIDADE/FISCAL"/>
    <s v="1.1.4 CONTABILIDADE/FISCAL"/>
    <s v="1.1.4"/>
    <s v="CONTABILIDADE/FISCAL"/>
    <s v="1.1.4 CONTABILIDADE/FISCAL"/>
    <s v="7.3.23"/>
    <s v="HONORÁRIOS PJ"/>
    <s v="7.3.23 HONORÁRIOS PJ"/>
    <x v="2"/>
    <s v="X7975"/>
    <n v="-12197.33"/>
    <n v="-12197.33"/>
    <n v="-12197.33"/>
    <s v="ACERTO PJ COMP JANEIRO 2026 PAGTO REF A ACERTO RESCISORIO PJ SETOR CONTABIL COMP JANEIRO 2026 - MICHELLE CAMPHORA STAQUECINI"/>
    <x v="15"/>
    <d v="2026-02-05T00:00:00"/>
    <s v="22692"/>
    <s v="55.499.469 MICHELLE CAMPHORA STAQUECINI"/>
    <s v="Saída (Aplicações)"/>
    <s v="SAGI"/>
    <m/>
    <n v="-12197.33"/>
  </r>
  <r>
    <m/>
    <x v="0"/>
    <s v="1.1"/>
    <s v="PILARES"/>
    <s v="1.1 PILARES"/>
    <s v="1.1.14"/>
    <s v="SUPRIMENTOS"/>
    <s v="1.1.14 SUPRIMENTOS"/>
    <s v="1.1.14"/>
    <s v="SUPRIMENTOS"/>
    <s v="1.1.14 SUPRIMENTOS"/>
    <s v="1.1.14"/>
    <s v="SUPRIMENTOS"/>
    <s v="1.1.14 SUPRIMENTOS"/>
    <s v="7.3.23"/>
    <s v="HONORÁRIOS PJ"/>
    <s v="7.3.23 HONORÁRIOS PJ"/>
    <x v="10"/>
    <s v="NFSE-1"/>
    <n v="-6500"/>
    <n v="-6500"/>
    <n v="-6500"/>
    <s v=" [GIULIANA] REF AOS SERVICOS PRESTADOS POR VINICIUS AUGUSTO_x000d__x000a_COMPETENCIA 01/2026_x000d__x000a_SOLICITADO POR ADRIANA NOGUEIRA_x000d__x000a_NF 000.000.001_x000d__x000a_VALOR: R$ 6.500,00_x000d__x000a_VENCIMENTO EM 05/02/2026_x000d__x000a_PAGAMENTO VIA TRANSFERENCIA/PIX"/>
    <x v="40"/>
    <d v="2026-01-29T00:00:00"/>
    <s v="32047"/>
    <s v="64.534.653 VINICIUS AUGUSTO ALVES VILELA"/>
    <s v="Saída (Aplicações)"/>
    <s v="SAGI"/>
    <m/>
    <n v="-6500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3.1"/>
    <s v="SALÁRIOS"/>
    <s v="7.3.1 SALÁRIOS"/>
    <x v="3"/>
    <s v="A11760"/>
    <n v="-1442.69"/>
    <n v="-1442.69"/>
    <n v="-1442.69"/>
    <s v="A11760 PAGTO REF A FOLHA PRO-LABORE COMPETENCIA JANEIRO 2026"/>
    <x v="41"/>
    <d v="2026-02-06T00:00:00"/>
    <s v="235"/>
    <s v="GIULIANA  ANDREA VICCINO SALMAZZO"/>
    <s v="Saída (Aplicações)"/>
    <s v="SAGI"/>
    <m/>
    <n v="-1442.69"/>
  </r>
  <r>
    <m/>
    <x v="0"/>
    <s v="1.1"/>
    <s v="PILARES"/>
    <s v="1.1 PILARES"/>
    <s v="1.1.14"/>
    <s v="SUPRIMENTOS"/>
    <s v="1.1.14 SUPRIMENTOS"/>
    <s v="1.1.14"/>
    <s v="SUPRIMENTOS"/>
    <s v="1.1.14 SUPRIMENTOS"/>
    <s v="1.1.14"/>
    <s v="SUPRIMENTOS"/>
    <s v="1.1.14 SUPRIMENTOS"/>
    <s v="7.3.22"/>
    <s v="BOLSA ESTAGIO"/>
    <s v="7.3.22 BOLSA ESTAGIO"/>
    <x v="10"/>
    <s v="S11761"/>
    <n v="-866.67"/>
    <n v="-866.67"/>
    <n v="-866.67"/>
    <s v="S11761 PAGTO REF A FOLHA BOLSA ESTAGIIO COMP JANEIRO 2026"/>
    <x v="16"/>
    <d v="2026-01-31T00:00:00"/>
    <s v="30902"/>
    <s v="GABRIEL SATOSHI DA SILVA SAKATA"/>
    <s v="Saída (Aplicações)"/>
    <s v="SAGI"/>
    <m/>
    <n v="-866.67"/>
  </r>
  <r>
    <m/>
    <x v="0"/>
    <s v="1.1"/>
    <s v="PILARES"/>
    <s v="1.1 PILARES"/>
    <s v="1.1.14"/>
    <s v="SUPRIMENTOS"/>
    <s v="1.1.14 SUPRIMENTOS"/>
    <s v="1.1.14"/>
    <s v="SUPRIMENTOS"/>
    <s v="1.1.14 SUPRIMENTOS"/>
    <s v="1.1.14"/>
    <s v="SUPRIMENTOS"/>
    <s v="1.1.14 SUPRIMENTOS"/>
    <s v="7.3.22"/>
    <s v="BOLSA ESTAGIO"/>
    <s v="7.3.22 BOLSA ESTAGIO"/>
    <x v="10"/>
    <s v="S11764"/>
    <n v="-1000"/>
    <n v="-1000"/>
    <n v="-1000"/>
    <s v="S11764 PAGTO REF A FOLHA BOLSA ESTAGIIO COMP JANEIRO 2026"/>
    <x v="16"/>
    <d v="2026-01-31T00:00:00"/>
    <s v="31440"/>
    <s v="JOAO PAULO MARTINS OZORES"/>
    <s v="Saída (Aplicações)"/>
    <s v="SAGI"/>
    <m/>
    <n v="-1000"/>
  </r>
  <r>
    <m/>
    <x v="0"/>
    <s v="1.1"/>
    <s v="PILARES"/>
    <s v="1.1 PILARES"/>
    <s v="1.1.5"/>
    <s v="QUALIDADE"/>
    <s v="1.1.5 QUALIDADE"/>
    <s v="1.1.5"/>
    <s v="QUALIDADE"/>
    <s v="1.1.5 QUALIDADE"/>
    <s v="1.1.5"/>
    <s v="QUALIDADE"/>
    <s v="1.1.5 QUALIDADE"/>
    <s v="7.3.22"/>
    <s v="BOLSA ESTAGIO"/>
    <s v="7.3.22 BOLSA ESTAGIO"/>
    <x v="10"/>
    <s v="S11766"/>
    <n v="-866.67"/>
    <n v="-866.67"/>
    <n v="-866.67"/>
    <s v="S11766 PAGTO REF A FOLHA BOLSA ESTAGIIO COMP JANEIRO 2026"/>
    <x v="16"/>
    <d v="2026-01-31T00:00:00"/>
    <s v="30307"/>
    <s v="PEDRO MARQUES GUARNIERI"/>
    <s v="Saída (Aplicações)"/>
    <s v="SAGI"/>
    <m/>
    <n v="-866.67"/>
  </r>
  <r>
    <m/>
    <x v="0"/>
    <s v="1.1"/>
    <s v="PILARES"/>
    <s v="1.1 PILARES"/>
    <s v="1.1.3"/>
    <s v="FINANCEIRO"/>
    <s v="1.1.3 FINANCEIRO"/>
    <s v="1.1.3"/>
    <s v="FINANCEIRO"/>
    <s v="1.1.3 FINANCEIRO"/>
    <s v="1.1.3"/>
    <s v="FINANCEIRO"/>
    <s v="1.1.3 FINANCEIRO"/>
    <s v="7.11.5"/>
    <s v="RECARGAS"/>
    <s v="7.11.5 RECARGAS"/>
    <x v="3"/>
    <s v="NFSE-280078"/>
    <n v="-20000"/>
    <n v="-20000"/>
    <n v="-20000"/>
    <s v=" SALDO ALELO PAGAMENTOS PARA USO DE SERVIÇOS INFORMAIS_x000d__x000a_PGTO VIA BOLETO BANCARIO 24/01/2026 - OC 27967"/>
    <x v="42"/>
    <d v="2026-01-24T00:00:00"/>
    <s v="31703"/>
    <s v="NAIP INSTITUICAO DE PAGAMENTO SA"/>
    <s v="Saída (Aplicações)"/>
    <s v="SAGI"/>
    <m/>
    <n v="-20000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3"/>
    <s v="TELECOMUNICAÇÕES"/>
    <s v="7.5.3 TELECOMUNICAÇÕES"/>
    <x v="0"/>
    <s v="NFE-13874024"/>
    <n v="-80.52"/>
    <n v="-80.52"/>
    <n v="-80.52"/>
    <s v=" [GIULIANA] REF A TIM SR. RENATO_x000d__x000a_COMPETENCIA MES 01/2026_x000d__x000a_NFS: 013.874.032-141 - VALOR: R$ 55,40 _x000d__x000a_NFS: 025.006.263-141 - VALOR: R$ 25,12_x000d__x000a__x000d__x000a_NFS: 013.874.024-141_x000d__x000a_VALOR TOTAL R$ 80,52_x000d__x000a_VENCIMENTO EM 10/02/2026_x000d__x000a_PAGAMENTO VIA BOLETO BANCARIO"/>
    <x v="21"/>
    <d v="2026-02-02T00:00:00"/>
    <s v="30811"/>
    <s v="TIM S.A."/>
    <s v="Saída (Aplicações)"/>
    <s v="SAGI"/>
    <m/>
    <n v="-80.52"/>
  </r>
  <r>
    <m/>
    <x v="0"/>
    <s v="1.1"/>
    <s v="PILARES"/>
    <s v="1.1 PILARES"/>
    <s v="1.1.11"/>
    <s v="SEGURANCA DO TRABALHO"/>
    <s v="1.1.11 SEGURANCA DO TRABALHO"/>
    <s v="1.1.11"/>
    <s v="SEGURANCA DO TRABALHO"/>
    <s v="1.1.11 SEGURANCA DO TRABALHO"/>
    <s v="1.1.11"/>
    <s v="SEGURANCA DO TRABALHO"/>
    <s v="1.1.11 SEGURANCA DO TRABALHO"/>
    <s v="7.3.5"/>
    <s v="ALIMENTAÇÃO DO TRABALHADOR"/>
    <s v="7.3.5 ALIMENTAÇÃO DO TRABALHADOR"/>
    <x v="3"/>
    <s v="CF0023012026"/>
    <n v="-309.82"/>
    <n v="-309.82"/>
    <n v="-309.82"/>
    <s v=" CARTAO FLASH FINAL 0023  - USO MARIANE - DESPESA DEDUTIVEL REF A 9 REFEIÇÕES, E ABASTECIMENTOS DE ETANOL/ DESPESA INDEDUTIVEL REF A 4 REFEIÇÕES E 3 ALUGUEL DE CARRO_x000d__x000a_"/>
    <x v="31"/>
    <d v="2026-01-28T00:00:00"/>
    <s v="6825"/>
    <s v="MARIANE  APARECIDA DOS SANTOS MOREIRA"/>
    <s v="Saída (Aplicações)"/>
    <s v="SAGI"/>
    <m/>
    <n v="-309.82"/>
  </r>
  <r>
    <m/>
    <x v="0"/>
    <s v="1.1"/>
    <s v="PILARES"/>
    <s v="1.1 PILARES"/>
    <s v="1.1.11"/>
    <s v="SEGURANCA DO TRABALHO"/>
    <s v="1.1.11 SEGURANCA DO TRABALHO"/>
    <s v="1.1.11"/>
    <s v="SEGURANCA DO TRABALHO"/>
    <s v="1.1.11 SEGURANCA DO TRABALHO"/>
    <s v="1.1.11"/>
    <s v="SEGURANCA DO TRABALHO"/>
    <s v="1.1.11 SEGURANCA DO TRABALHO"/>
    <s v="7.1.8"/>
    <s v="DESPESAS DE VIAGEM"/>
    <s v="7.1.8 DESPESAS DE VIAGEM"/>
    <x v="3"/>
    <s v="CF0023012026"/>
    <n v="-670.24"/>
    <n v="-670.24"/>
    <n v="-670.24"/>
    <s v=" CARTAO FLASH FINAL 0023  - USO MARIANE - DESPESA DEDUTIVEL REF A 9 REFEIÇÕES, E ABASTECIMENTOS DE ETANOL/ DESPESA INDEDUTIVEL REF A 4 REFEIÇÕES E 3 ALUGUEL DE CARRO_x000d__x000a_"/>
    <x v="31"/>
    <d v="2026-01-28T00:00:00"/>
    <s v="6825"/>
    <s v="MARIANE  APARECIDA DOS SANTOS MOREIRA"/>
    <s v="Saída (Aplicações)"/>
    <s v="SAGI"/>
    <m/>
    <n v="-670.24"/>
  </r>
  <r>
    <m/>
    <x v="0"/>
    <s v="1.1"/>
    <s v="PILARES"/>
    <s v="1.1 PILARES"/>
    <s v="1.1.11"/>
    <s v="SEGURANCA DO TRABALHO"/>
    <s v="1.1.11 SEGURANCA DO TRABALHO"/>
    <s v="1.1.11"/>
    <s v="SEGURANCA DO TRABALHO"/>
    <s v="1.1.11 SEGURANCA DO TRABALHO"/>
    <s v="1.1.11"/>
    <s v="SEGURANCA DO TRABALHO"/>
    <s v="1.1.11 SEGURANCA DO TRABALHO"/>
    <s v="7.1.5"/>
    <s v="COMBUSTÍVEL - GASOLINA E ETANOL"/>
    <s v="7.1.5 COMBUSTÍVEL - GASOLINA E ETANOL"/>
    <x v="3"/>
    <s v="CF0023012026"/>
    <n v="-345.75"/>
    <n v="-345.75"/>
    <n v="-345.75"/>
    <s v=" CARTAO FLASH FINAL 0023  - USO MARIANE - DESPESA DEDUTIVEL REF A 9 REFEIÇÕES, E ABASTECIMENTOS DE ETANOL/ DESPESA INDEDUTIVEL REF A 4 REFEIÇÕES E 3 ALUGUEL DE CARRO_x000d__x000a_"/>
    <x v="31"/>
    <d v="2026-01-28T00:00:00"/>
    <s v="6825"/>
    <s v="MARIANE  APARECIDA DOS SANTOS MOREIRA"/>
    <s v="Saída (Aplicações)"/>
    <s v="SAGI"/>
    <m/>
    <n v="-345.75"/>
  </r>
  <r>
    <m/>
    <x v="0"/>
    <s v="1.1"/>
    <s v="PILARES"/>
    <s v="1.1 PILARES"/>
    <s v="1.1.15"/>
    <s v="MANUTENCAO DE MÁQUINAS E VEICULOS"/>
    <s v="1.1.15 MANUTENCAO DE MÁQUINAS E VEICULOS"/>
    <s v="1.1.15"/>
    <s v="MANUTENCAO DE MÁQUINAS E VEICULOS"/>
    <s v="1.1.15 MANUTENCAO DE MÁQUINAS E VEICULOS"/>
    <s v="1.1.15"/>
    <s v="MANUTENCAO DE MÁQUINAS E VEICULOS"/>
    <s v="1.1.15 MANUTENCAO DE MÁQUINAS E VEICULOS"/>
    <s v="7.1.2"/>
    <s v="MANUTENÇÃO DE VEÍCULOS/MAQUINAS"/>
    <s v="7.1.2 MANUTENÇÃO DE VEÍCULOS/MAQUINAS"/>
    <x v="2"/>
    <s v="NFE-12978"/>
    <n v="-428"/>
    <n v="-428"/>
    <n v="-428"/>
    <s v=" "/>
    <x v="31"/>
    <d v="2026-01-28T00:00:00"/>
    <s v="24082"/>
    <s v="GERALDIESEL AUTO PECAS LTDA"/>
    <s v="Saída (Aplicações)"/>
    <s v="SAGI"/>
    <m/>
    <n v="-428"/>
  </r>
  <r>
    <m/>
    <x v="0"/>
    <s v="1.1"/>
    <s v="PILARES"/>
    <s v="1.1 PILARES"/>
    <s v="1.1.4"/>
    <s v="CONTABILIDADE/FISCAL"/>
    <s v="1.1.4 CONTABILIDADE/FISCAL"/>
    <s v="1.1.4"/>
    <s v="CONTABILIDADE/FISCAL"/>
    <s v="1.1.4 CONTABILIDADE/FISCAL"/>
    <s v="1.1.4"/>
    <s v="CONTABILIDADE/FISCAL"/>
    <s v="1.1.4 CONTABILIDADE/FISCAL"/>
    <s v="7.3.23"/>
    <s v="HONORÁRIOS PJ"/>
    <s v="7.3.23 HONORÁRIOS PJ"/>
    <x v="2"/>
    <s v="NFSE-2680"/>
    <n v="-6000"/>
    <n v="-6000"/>
    <n v="-6000"/>
    <s v=" [GIULIANA] REF A SERVICO PRESTADO POR MURILO/PRADO SERVIÇOS EMPRESARIAIS,_x000d__x000a_SOLICITADO POR ADRIANA NOGUEIRA_x0009__x000d__x000a_COMPETENCIA 02/2026_x000d__x000a_NOTA FISCAL 000.002.680, VALOR R$ 6.000,00 _x000d__x000a_VENCIMENTO EM 16/02/2026_x000d__x000a_PAGAMENTO VIA BOLETO BANCARIO"/>
    <x v="19"/>
    <d v="2026-02-03T00:00:00"/>
    <s v="25189"/>
    <s v="PRADO SERVICOS EMPRESARIAIS LTDA"/>
    <s v="Saída (Aplicações)"/>
    <s v="SAGI"/>
    <m/>
    <n v="-6000"/>
  </r>
  <r>
    <m/>
    <x v="0"/>
    <s v="1.1"/>
    <s v="PILARES"/>
    <s v="1.1 PILARES"/>
    <s v="1.1.14"/>
    <s v="SUPRIMENTOS"/>
    <s v="1.1.14 SUPRIMENTOS"/>
    <s v="1.1.14"/>
    <s v="SUPRIMENTOS"/>
    <s v="1.1.14 SUPRIMENTOS"/>
    <s v="1.1.14"/>
    <s v="SUPRIMENTOS"/>
    <s v="1.1.14 SUPRIMENTOS"/>
    <s v="7.3.22"/>
    <s v="BOLSA ESTAGIO"/>
    <s v="7.3.22 BOLSA ESTAGIO"/>
    <x v="2"/>
    <s v="NFSE-12984"/>
    <n v="-172.33"/>
    <n v="-172.33"/>
    <n v="-172.33"/>
    <s v="TAXA ESTAGIARIOS - SUPER ESTAG Taxa de estagiarios - Super Estagios"/>
    <x v="43"/>
    <d v="2026-02-13T00:00:00"/>
    <s v="24271"/>
    <s v="MVF PRUDENTE AGENCIA DE ESTAGIOS LTDA"/>
    <s v="Saída (Aplicações)"/>
    <s v="SAGI"/>
    <m/>
    <n v="-172.33"/>
  </r>
  <r>
    <m/>
    <x v="0"/>
    <s v="1.1"/>
    <s v="PILARES"/>
    <s v="1.1 PILARES"/>
    <s v="1.1.5"/>
    <s v="QUALIDADE"/>
    <s v="1.1.5 QUALIDADE"/>
    <s v="1.1.5"/>
    <s v="QUALIDADE"/>
    <s v="1.1.5 QUALIDADE"/>
    <s v="1.1.5"/>
    <s v="QUALIDADE"/>
    <s v="1.1.5 QUALIDADE"/>
    <s v="7.3.22"/>
    <s v="BOLSA ESTAGIO"/>
    <s v="7.3.22 BOLSA ESTAGIO"/>
    <x v="2"/>
    <s v="NFSE-12984"/>
    <n v="-172.33"/>
    <n v="-172.33"/>
    <n v="-172.33"/>
    <s v="TAXA ESTAGIARIOS - SUPER ESTAG Taxa de estagiarios - Super Estagios"/>
    <x v="43"/>
    <d v="2026-02-13T00:00:00"/>
    <s v="24271"/>
    <s v="MVF PRUDENTE AGENCIA DE ESTAGIOS LTDA"/>
    <s v="Saída (Aplicações)"/>
    <s v="SAGI"/>
    <m/>
    <n v="-172.33"/>
  </r>
  <r>
    <m/>
    <x v="0"/>
    <s v="1.1"/>
    <s v="PILARES"/>
    <s v="1.1 PILARES"/>
    <s v="1.1.3"/>
    <s v="FINANCEIRO"/>
    <s v="1.1.3 FINANCEIRO"/>
    <s v="1.1.3"/>
    <s v="FINANCEIRO"/>
    <s v="1.1.3 FINANCEIRO"/>
    <s v="1.1.3"/>
    <s v="FINANCEIRO"/>
    <s v="1.1.3 FINANCEIRO"/>
    <s v="7.3.22"/>
    <s v="BOLSA ESTAGIO"/>
    <s v="7.3.22 BOLSA ESTAGIO"/>
    <x v="2"/>
    <s v="NFSE-12984"/>
    <n v="-172.33"/>
    <n v="-172.33"/>
    <n v="-172.33"/>
    <s v="TAXA ESTAGIARIOS - SUPER ESTAG Taxa de estagiarios - Super Estagios"/>
    <x v="43"/>
    <d v="2026-02-13T00:00:00"/>
    <s v="24271"/>
    <s v="MVF PRUDENTE AGENCIA DE ESTAGIOS LTDA"/>
    <s v="Saída (Aplicações)"/>
    <s v="SAGI"/>
    <m/>
    <n v="-172.33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3"/>
    <s v="SEGURO-CLA250"/>
    <n v="-592.26"/>
    <n v="-592.26"/>
    <n v="-592.26"/>
    <s v=" REF. AO SEGURO DO VEÍCULO MERCEDES CLA 250 - GABRIEL, PAGAMENTO EM 10 PARCELAS DE R$ 592,18 - VIA BOLETO. FOI ACORDADO QUE O SEGURO SERIA REALIZADO EM NOME DA G3S, EM RAZÃO DOS BONUS DISPONIVEIS EM NOME DA SRA GIULIANA."/>
    <x v="20"/>
    <d v="2026-02-12T00:00:00"/>
    <s v="27804"/>
    <s v="BRADESCO AUTO / SEGURO"/>
    <s v="Saída (Aplicações)"/>
    <s v="SAGI"/>
    <m/>
    <n v="-592.26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5"/>
    <s v="BENEFÍCIOS DIVERSOS"/>
    <s v="7.3.25 BENEFÍCIOS DIVERSOS"/>
    <x v="10"/>
    <s v="A11788"/>
    <n v="-466.67"/>
    <n v="-466.67"/>
    <n v="-466.67"/>
    <s v="A11788 PAGTO REF AJUDA DE CUSTO COMP FEV E MARÇO 2026"/>
    <x v="27"/>
    <d v="2026-02-18T00:00:00"/>
    <s v="30303"/>
    <s v="BRUNA RIBEIRO SANCHEZ"/>
    <s v="Saída (Aplicações)"/>
    <s v="SAGI"/>
    <m/>
    <n v="-466.67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3"/>
    <s v="INSS"/>
    <s v="7.3.3 INSS"/>
    <x v="3"/>
    <s v="ARRECADAÇÃOG3SNOTA012026"/>
    <n v="-178.75"/>
    <n v="-178.75"/>
    <n v="-178.75"/>
    <s v="ARRECADAÇÃO RETENÇÃO NF JAN26 PAGTO REF A GUIA ARRECADAÇÃO RETENÇÃO NOTA FISCAL INSS COMPETENCIA JANEIRO 2026 - CNPJ PRESTADOR 19.597.174/0001-01"/>
    <x v="23"/>
    <d v="2026-02-19T00:00:00"/>
    <s v="23182"/>
    <s v="SECRETARIA DA RECEITA FEDERAL"/>
    <s v="Saída (Aplicações)"/>
    <s v="SAGI"/>
    <m/>
    <n v="-178.75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12"/>
    <s v="PEDÁGIO"/>
    <s v="7.1.12 PEDÁGIO"/>
    <x v="0"/>
    <s v="OC 28649 SEM PARAR"/>
    <n v="-227.2"/>
    <n v="-227.2"/>
    <n v="-227.2"/>
    <s v=" [CRISTINA] - REF. A PEDAGIO SEM PARAR_x000d__x000a_BTZ8D36  407,93 D_x000d__x000a_BZG6A91  612,04 D_x000d__x000a_BZL7H95 471,24 D_x000d__x000a_CZB9H07 392,56 D_x000d__x000a_EJZ7495 90,42 D_x000d__x000a_EJZ7496 33,80 D_x000d__x000a_EWU5857 33,80 D_x000d__x000a_EWU5986 33,80 D_x000d__x000a_EWU5J98 33,80 D_x000d__x000a_EWU6A79 33,80 D_x000d__x000a_EWU6A85 33,80 D_x000d__x000a_FBU7329 33,80 D_x000d__x000a_FJQ5A08 33,80 D_x000d__x000a_FRT7548 33,80 D_x000d__x000a_GBA9J63 33,80 D_x000d__x000a_GDB3A42 168,12 D_x000d__x000a_GDG8E75 243,94 D_x000d__x000a_GDY0H74 601,56 D_x000d__x000a_GGE5059 33,80 D_x000d__x000a_GHI3A74 331,24 D_x000d__x000a_HAR1F82 945,56 D_x000d__x000a_NRQ7727 33,80 D_x000d__x000a_NRV7727 51,09 D_x000d__x000a_OON3B85 33,80 D_x000d__x000a_QAO4A53 251,26 D_x000d__x000a_SUC4A26 47,50 D_x000d__x000a_SUY4F83 1.098,96 D_x000d__x000a_SWN8H03 87,10 D_x000d__x000a_TKI2E74 104,89 D_x000d__x000a_Nº da Fatura: 2636525059_x000d__x000a_Nº da Nota Fiscal: 679066151"/>
    <x v="22"/>
    <d v="2026-02-15T00:00:00"/>
    <s v="944"/>
    <s v="CENTRO DE GESTAO DE MEIO DE PGTO S.A SEM PARAR"/>
    <s v="Saída (Aplicações)"/>
    <s v="SAGI"/>
    <m/>
    <n v="-227.2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"/>
    <s v="FGTS"/>
    <s v="7.3.2 FGTS"/>
    <x v="0"/>
    <s v="FGTSG&amp;S01012026"/>
    <n v="-15122.61"/>
    <n v="-15122.61"/>
    <n v="-15122.61"/>
    <s v="GUIA FGTS JANEIRO 2026 PAGTO REF A GUIA DO FGTS FOLHA FUNCIONARIOS(AS) COMPETENCIA JANEIRO 2026 (FGTS R$ 12.106,69) ( EMPRESTINO CONSIGNADO R$ 3.015,92)"/>
    <x v="23"/>
    <d v="2026-02-19T00:00:00"/>
    <s v="6030"/>
    <s v="CAIXA ECONOMICA FEDERAL"/>
    <s v="Saída (Aplicações)"/>
    <s v="SAGI"/>
    <m/>
    <n v="-15122.61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3"/>
    <s v="INSS"/>
    <s v="7.3.3 INSS"/>
    <x v="4"/>
    <s v="ARRECADAÇÃOINSSRSE012026"/>
    <n v="-1392.13"/>
    <n v="-1392.13"/>
    <n v="-1392.13"/>
    <s v="ARRECADAÇÃO INSS JANEIRO 2026 PAGTO REF A GUIA  ARRECADAÇÃO INSS FOLHA JANEIRO 2026"/>
    <x v="23"/>
    <d v="2026-02-19T00:00:00"/>
    <s v="23182"/>
    <s v="SECRETARIA DA RECEITA FEDERAL"/>
    <s v="Saída (Aplicações)"/>
    <s v="SAGI"/>
    <m/>
    <n v="-1392.13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3"/>
    <s v="INSS"/>
    <s v="7.3.3 INSS"/>
    <x v="4"/>
    <s v="ARRECADAÇÃOINSSNOTARSE0126"/>
    <n v="-181.5"/>
    <n v="-181.5"/>
    <n v="-181.5"/>
    <s v="ARRECADAÇÃO INSS NF JANEIRO 26 PAGTO REF A GUIA ARRECADAÇÃO RETENÇÃO NOTA FISCAL INSS COMPETENCIA JANEIRO 2026 - CNPJ PRESTADOR 19.597.174/0001-01"/>
    <x v="23"/>
    <d v="2026-02-19T00:00:00"/>
    <s v="23182"/>
    <s v="SECRETARIA DA RECEITA FEDERAL"/>
    <s v="Saída (Aplicações)"/>
    <s v="SAGI"/>
    <m/>
    <n v="-181.5"/>
  </r>
  <r>
    <m/>
    <x v="0"/>
    <s v="1.1"/>
    <s v="PILARES"/>
    <s v="1.1 PILARES"/>
    <s v="1.1.9"/>
    <s v="RECURSOS HUMANOS"/>
    <s v="1.1.9 RECURSOS HUMANOS"/>
    <s v="1.1.9"/>
    <s v="RECURSOS HUMANOS"/>
    <s v="1.1.9 RECURSOS HUMANOS"/>
    <s v="1.1.9"/>
    <s v="RECURSOS HUMANOS"/>
    <s v="1.1.9 RECURSOS HUMANOS"/>
    <s v="7.3.10"/>
    <s v="TRANSPORTE DE COLABORADORES"/>
    <s v="7.3.10 TRANSPORTE DE COLABORADORES"/>
    <x v="10"/>
    <s v="00008223"/>
    <n v="-7.02"/>
    <n v="-7.02"/>
    <n v="-7.02"/>
    <s v="TAXA BENEFICIOS SEM PARAR taxa de cartao e beneficios Sem Parar nova estagiaria -Bruna (DP)"/>
    <x v="43"/>
    <d v="2026-02-13T00:00:00"/>
    <s v="31755"/>
    <s v="VB SERVICOS COMERCIO E ADMINISTRACAO. LTDA."/>
    <s v="Saída (Aplicações)"/>
    <s v="SAGI"/>
    <m/>
    <n v="-7.02"/>
  </r>
  <r>
    <m/>
    <x v="0"/>
    <s v="1.1"/>
    <s v="PILARES"/>
    <s v="1.1 PILARES"/>
    <s v="1.1.9"/>
    <s v="RECURSOS HUMANOS"/>
    <s v="1.1.9 RECURSOS HUMANOS"/>
    <s v="1.1.9"/>
    <s v="RECURSOS HUMANOS"/>
    <s v="1.1.9 RECURSOS HUMANOS"/>
    <s v="1.1.9"/>
    <s v="RECURSOS HUMANOS"/>
    <s v="1.1.9 RECURSOS HUMANOS"/>
    <s v="7.3.8"/>
    <s v="CESTA BÁSICA"/>
    <s v="7.3.8 CESTA BÁSICA"/>
    <x v="10"/>
    <s v="00008223"/>
    <n v="-7.03"/>
    <n v="-7.03"/>
    <n v="-7.03"/>
    <s v="TAXA BENEFICIOS SEM PARAR taxa de cartao e beneficios Sem Parar nova estagiaria -Bruna (DP)"/>
    <x v="43"/>
    <d v="2026-02-13T00:00:00"/>
    <s v="31755"/>
    <s v="VB SERVICOS COMERCIO E ADMINISTRACAO. LTDA."/>
    <s v="Saída (Aplicações)"/>
    <s v="SAGI"/>
    <m/>
    <n v="-7.03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5"/>
    <s v="BENEFÍCIOS DIVERSOS"/>
    <s v="7.3.25 BENEFÍCIOS DIVERSOS"/>
    <x v="14"/>
    <s v="SEMPARARG3S060226"/>
    <n v="-1556.17"/>
    <n v="-1556.17"/>
    <n v="-1556.17"/>
    <s v="PAGTO REF SEM PARAR 02/26 PAGTO REF A CARTÃO BENEFICIO SEM PARAR COMP FEVEREIRO 2026."/>
    <x v="24"/>
    <d v="2026-02-20T00:00:00"/>
    <s v="31755"/>
    <s v="VB SERVICOS COMERCIO E ADMINISTRACAO. LTDA."/>
    <s v="Saída (Aplicações)"/>
    <s v="SAGI"/>
    <m/>
    <n v="-1556.17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5"/>
    <s v="BENEFÍCIOS DIVERSOS"/>
    <s v="7.3.25 BENEFÍCIOS DIVERSOS"/>
    <x v="2"/>
    <s v="SEMPARARG3S040226"/>
    <n v="-5379.53"/>
    <n v="-5379.53"/>
    <n v="-5379.53"/>
    <s v="PAGTO REF SEM PARAR 02/26 PAGTO REF A CARTÃO BENEFICIO SEM PARAR COMP FEVEREIRO 2026."/>
    <x v="24"/>
    <d v="2026-02-20T00:00:00"/>
    <s v="31755"/>
    <s v="VB SERVICOS COMERCIO E ADMINISTRACAO. LTDA."/>
    <s v="Saída (Aplicações)"/>
    <s v="SAGI"/>
    <m/>
    <n v="-5379.53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5"/>
    <s v="BENEFÍCIOS DIVERSOS"/>
    <s v="7.3.25 BENEFÍCIOS DIVERSOS"/>
    <x v="8"/>
    <s v="SEMPARARG&amp;S070226"/>
    <n v="-1542.12"/>
    <n v="-1542.12"/>
    <n v="-1542.12"/>
    <s v="PAGTO REF SEM PARAR 02/26 PAGTO REF A CARTÃO BENEFICIO SEM PARAR COMP FEVEREIRO 2026."/>
    <x v="23"/>
    <d v="2026-02-19T00:00:00"/>
    <s v="31755"/>
    <s v="VB SERVICOS COMERCIO E ADMINISTRACAO. LTDA."/>
    <s v="Saída (Aplicações)"/>
    <s v="SAGI"/>
    <m/>
    <n v="-1542.12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3"/>
    <s v="SEGUROVIDAG3S010226"/>
    <n v="-112.35"/>
    <n v="-112.35"/>
    <n v="-112.35"/>
    <s v="PAGTO REF SEGURO VIDA 02/26 PAGTO REF SEGURO DE VIDA ICATU MENSAL COMP FEVEREIRO 2026."/>
    <x v="26"/>
    <d v="2026-02-23T00:00:00"/>
    <s v="549"/>
    <s v="ICATU SEGUROS S.A"/>
    <s v="Saída (Aplicações)"/>
    <s v="SAGI"/>
    <m/>
    <n v="-112.35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5"/>
    <s v="SEGUROVIDAG3S080226"/>
    <n v="-89.88"/>
    <n v="-89.88"/>
    <n v="-89.88"/>
    <s v="PAGTO REF SEGURO VIDA 02/26 PAGTO REF SEGURO DE VIDA ICATU MENSAL COMP FEVEREIRO 2026."/>
    <x v="26"/>
    <d v="2026-02-23T00:00:00"/>
    <s v="549"/>
    <s v="ICATU SEGUROS S.A"/>
    <s v="Saída (Aplicações)"/>
    <s v="SAGI"/>
    <m/>
    <n v="-89.88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14"/>
    <s v="SEGUROVIDAG3S060226"/>
    <n v="-134.82"/>
    <n v="-134.82"/>
    <n v="-134.82"/>
    <s v="PAGTO REF SEGURO VIDA 02/26 PAGTO REF SEGURO DE VIDA ICATU MENSAL COMP FEVEREIRO 2026."/>
    <x v="26"/>
    <d v="2026-02-23T00:00:00"/>
    <s v="549"/>
    <s v="ICATU SEGUROS S.A"/>
    <s v="Saída (Aplicações)"/>
    <s v="SAGI"/>
    <m/>
    <n v="-134.82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2"/>
    <s v="SEGUROVIDAG3S040226"/>
    <n v="-247.17"/>
    <n v="-247.17"/>
    <n v="-247.17"/>
    <s v="PAGTO REF SEGURO VIDA 02/26 PAGTO REF SEGURO DE VIDA ICATU MENSAL COMP FEVEREIRO 2026."/>
    <x v="26"/>
    <d v="2026-02-23T00:00:00"/>
    <s v="549"/>
    <s v="ICATU SEGUROS S.A"/>
    <s v="Saída (Aplicações)"/>
    <s v="SAGI"/>
    <m/>
    <n v="-247.17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12"/>
    <s v="SEGUROVIDAG&amp;S030226"/>
    <n v="-128.44"/>
    <n v="-128.44"/>
    <n v="-128.44"/>
    <s v="PAGTO REF SEGURO VIDA 02/26 PAGTO REF SEGURO DE VIDA ICATU MENSAL COMP FEVEREIRO 2026."/>
    <x v="26"/>
    <d v="2026-02-23T00:00:00"/>
    <s v="549"/>
    <s v="ICATU SEGUROS S.A"/>
    <s v="Saída (Aplicações)"/>
    <s v="SAGI"/>
    <m/>
    <n v="-128.44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13"/>
    <s v="SEGUROVIDAG&amp;S040226"/>
    <n v="-150.91"/>
    <n v="-150.91"/>
    <n v="-150.91"/>
    <s v="PAGTO REF SEGURO DE VIDA 02/26 PAGTO REF SEGURO DE VIDA ICATU MENSAL COMP FEVEREIRO 2026."/>
    <x v="26"/>
    <d v="2026-02-23T00:00:00"/>
    <s v="549"/>
    <s v="ICATU SEGUROS S.A"/>
    <s v="Saída (Aplicações)"/>
    <s v="SAGI"/>
    <m/>
    <n v="-150.91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11"/>
    <s v="SEGUROVIDAG&amp;S050226"/>
    <n v="-308.2"/>
    <n v="-308.2"/>
    <n v="-308.2"/>
    <s v="PAGTO REF SEGURO DE VIDA 02/26 PAGTO REF SEGURO DE VIDA ICATU MENSAL COMP FEVEREIRO 2026."/>
    <x v="26"/>
    <d v="2026-02-23T00:00:00"/>
    <s v="549"/>
    <s v="ICATU SEGUROS S.A"/>
    <s v="Saída (Aplicações)"/>
    <s v="SAGI"/>
    <m/>
    <n v="-308.2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7"/>
    <s v="SEGUROVIDAG&amp;S060226"/>
    <n v="-86.69"/>
    <n v="-86.69"/>
    <n v="-86.69"/>
    <s v="PAGTO REF SEGURO VIDA 02/26 PAGTO REF SEGURO DE VIDA ICATU MENSAL COMP FEVEREIRO 2026."/>
    <x v="26"/>
    <d v="2026-02-23T00:00:00"/>
    <s v="549"/>
    <s v="ICATU SEGUROS S.A"/>
    <s v="Saída (Aplicações)"/>
    <s v="SAGI"/>
    <m/>
    <n v="-86.69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15"/>
    <s v="SEGURO DE VIDA"/>
    <s v="7.3.15 SEGURO DE VIDA"/>
    <x v="10"/>
    <s v="SEGUROVIDAG3SADM0226"/>
    <n v="-314.58"/>
    <n v="-314.58"/>
    <n v="-314.58"/>
    <s v="PAGTO REF SEGURO VIDA 02/26 PAGTO REF SEGURO DE VIDA ICATU MENSAL COMP FEVEREIRO 2026."/>
    <x v="26"/>
    <d v="2026-02-23T00:00:00"/>
    <s v="549"/>
    <s v="ICATU SEGUROS S.A"/>
    <s v="Saída (Aplicações)"/>
    <s v="SAGI"/>
    <m/>
    <n v="-314.58"/>
  </r>
  <r>
    <m/>
    <x v="0"/>
    <s v="1.1"/>
    <s v="PILARES"/>
    <s v="1.1 PILARES"/>
    <s v="1.1.4"/>
    <s v="CONTABILIDADE/FISCAL"/>
    <s v="1.1.4 CONTABILIDADE/FISCAL"/>
    <s v="1.1.4"/>
    <s v="CONTABILIDADE/FISCAL"/>
    <s v="1.1.4 CONTABILIDADE/FISCAL"/>
    <s v="1.1.4"/>
    <s v="CONTABILIDADE/FISCAL"/>
    <s v="1.1.4 CONTABILIDADE/FISCAL"/>
    <s v="7.3.21"/>
    <s v="RESCISÕES"/>
    <s v="7.3.21 RESCISÕES"/>
    <x v="15"/>
    <s v="A11792"/>
    <n v="-7789.44"/>
    <n v="-7789.44"/>
    <n v="-7789.44"/>
    <s v="A11792 PAGTO REF A  ACERTO RESCISORIO ( ACORDO MUTUO) COMPETENCIA FEVEREIRO 2026"/>
    <x v="26"/>
    <d v="2026-02-23T00:00:00"/>
    <s v="565"/>
    <s v="THAYNA RANI FERNANDES ALMEIDA"/>
    <s v="Saída (Aplicações)"/>
    <s v="SAGI"/>
    <m/>
    <n v="-7789.44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12"/>
    <s v="PEDÁGIO"/>
    <s v="7.1.12 PEDÁGIO"/>
    <x v="4"/>
    <s v="PEDAGIO"/>
    <n v="-15"/>
    <n v="-15"/>
    <n v="-15"/>
    <s v=" PEDAGIO SICRED_x000d__x000a_PLACA GDS7F95_x000d__x000a_17/02 - R$ 15,00"/>
    <x v="44"/>
    <d v="2026-02-17T00:00:00"/>
    <s v="121"/>
    <s v="BANCO COOPERATIVO SICREDI SA"/>
    <s v="Saída (Aplicações)"/>
    <s v="SAGI"/>
    <m/>
    <n v="-15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4"/>
    <s v="SEGURO-VOLVO GIULIANA"/>
    <n v="-477.15"/>
    <n v="-477.15"/>
    <n v="-477.15"/>
    <s v=" REFERENTE AO SEGURO VEICULO VOLVO XC 60 T-8 HIBRIDO INSCRIPTION 2022 PLACA GFA0D41 DA SRA. GIULIANA - N° APOLICE: 0936.990.0244.117682 ITEM 0001 PROPOSTA 936244311 - EMISSAO EM 08/01/2026"/>
    <x v="3"/>
    <d v="2026-01-08T00:00:00"/>
    <s v="27804"/>
    <s v="BRADESCO AUTO / SEGURO"/>
    <s v="Saída (Aplicações)"/>
    <s v="SAGI"/>
    <m/>
    <n v="-477.15"/>
  </r>
  <r>
    <m/>
    <x v="0"/>
    <s v="1.1"/>
    <s v="PILARES"/>
    <s v="1.1 PILARES"/>
    <s v="1.1.3"/>
    <s v="FINANCEIRO"/>
    <s v="1.1.3 FINANCEIRO"/>
    <s v="1.1.3"/>
    <s v="FINANCEIRO"/>
    <s v="1.1.3 FINANCEIRO"/>
    <s v="1.1.3"/>
    <s v="FINANCEIRO"/>
    <s v="1.1.3 FINANCEIRO"/>
    <s v="7.11.3"/>
    <s v="AJUSTE COMPENSAÇÕES DE CHEQUES"/>
    <s v="7.11.3 AJUSTE COMPENSAÇÕES DE CHEQUES"/>
    <x v="3"/>
    <s v="CP2077022026"/>
    <n v="-1"/>
    <n v="-1"/>
    <n v="-1"/>
    <s v=" CARTÃO PAYFY FINAL 2077 - USO ADRIANA - REFERENTE A 1 DESPESA INDEDUTIVEL (TESTE)"/>
    <x v="34"/>
    <d v="2026-02-27T00:00:00"/>
    <s v="5729"/>
    <s v="ADRIANA REGINA NOGUEIRA DOS SANTOS"/>
    <s v="Saída (Aplicações)"/>
    <s v="SAGI"/>
    <m/>
    <n v="-1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11.3"/>
    <s v="AJUSTE COMPENSAÇÕES DE CHEQUES"/>
    <s v="7.11.3 AJUSTE COMPENSAÇÕES DE CHEQUES"/>
    <x v="3"/>
    <s v="CP8866"/>
    <n v="-1"/>
    <n v="-1"/>
    <n v="-1"/>
    <s v=" CARTÃO PAYFY FINAL 8866 - USO ELAINE - REFERENTE A 1 DESPESA INDEDUTIVEL (TESTE)"/>
    <x v="24"/>
    <d v="2026-02-20T00:00:00"/>
    <s v="30872"/>
    <s v="ELAINE CRISTINA PANIZZA SILVA"/>
    <s v="Saída (Aplicações)"/>
    <s v="SAGI"/>
    <m/>
    <n v="-1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4"/>
    <s v="SEGURO-VOLVO GIULIANA"/>
    <n v="-477.12"/>
    <n v="-477.12"/>
    <n v="-477.12"/>
    <s v=" REFERENTE AO SEGURO VEICULO VOLVO XC 60 T-8 HIBRIDO INSCRIPTION 2022 PLACA GFA0D41 DA SRA. GIULIANA - N° APOLICE: 0936.990.0244.117682 ITEM 0001 PROPOSTA 936244311 - EMISSAO EM 08/01/2026"/>
    <x v="3"/>
    <d v="2026-01-08T00:00:00"/>
    <s v="27804"/>
    <s v="BRADESCO AUTO / SEGURO"/>
    <s v="Saída (Aplicações)"/>
    <s v="SAGI"/>
    <m/>
    <n v="-477.12"/>
  </r>
  <r>
    <m/>
    <x v="0"/>
    <s v="1.1"/>
    <s v="PILARES"/>
    <s v="1.1 PILARES"/>
    <s v="1.1.3"/>
    <s v="FINANCEIRO"/>
    <s v="1.1.3 FINANCEIRO"/>
    <s v="1.1.3"/>
    <s v="FINANCEIRO"/>
    <s v="1.1.3 FINANCEIRO"/>
    <s v="1.1.3"/>
    <s v="FINANCEIRO"/>
    <s v="1.1.3 FINANCEIRO"/>
    <s v="7.3.22"/>
    <s v="BOLSA ESTAGIO"/>
    <s v="7.3.22 BOLSA ESTAGIO"/>
    <x v="10"/>
    <s v="S11833"/>
    <n v="-1000"/>
    <n v="-1000"/>
    <n v="-1000"/>
    <s v="S11833 PAGTO REF FOLHA SALARIAL ESTÁGIO COMP FEVEREIRO 2026"/>
    <x v="18"/>
    <d v="2026-02-01T00:00:00"/>
    <s v="31600"/>
    <s v="JOAO EMANUEL SANTOS SILVA"/>
    <s v="Saída (Aplicações)"/>
    <s v="SAGI"/>
    <m/>
    <n v="-1000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5.18"/>
    <s v="SISTEMAS"/>
    <s v="7.5.18 SISTEMAS"/>
    <x v="2"/>
    <s v="NFSE-23679"/>
    <n v="-660"/>
    <n v="-660"/>
    <n v="-660"/>
    <s v="MENSALIDADE PONTO AHGORA 02.26 PAGTO REF A MENSALIDADE SISTEMA PONTO FUNCIONARIOS(AS) AHGORA COMPETENCIA FEVEREIRO 2026"/>
    <x v="43"/>
    <d v="2026-02-13T00:00:00"/>
    <s v="24792"/>
    <s v="AHGORA HCM SA"/>
    <s v="Saída (Aplicações)"/>
    <s v="SAGI"/>
    <m/>
    <n v="-660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5.21"/>
    <s v="MATERIAL DE INFORMÁTICA"/>
    <s v="7.5.21 MATERIAL DE INFORMÁTICA"/>
    <x v="2"/>
    <s v="NFE-773424"/>
    <n v="-158.91999999999999"/>
    <n v="-158.91999999999999"/>
    <n v="-158.91999999999999"/>
    <s v="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"/>
    <x v="31"/>
    <d v="2026-01-28T00:00:00"/>
    <s v="29269"/>
    <s v="GIGANTEC COMERCIO ELETRONICO EIRELI"/>
    <s v="Saída (Aplicações)"/>
    <s v="SAGI"/>
    <m/>
    <n v="-158.91999999999999"/>
  </r>
  <r>
    <m/>
    <x v="0"/>
    <s v="1.1"/>
    <s v="PILARES"/>
    <s v="1.1 PILARES"/>
    <s v="1.1.14"/>
    <s v="SUPRIMENTOS"/>
    <s v="1.1.14 SUPRIMENTOS"/>
    <s v="1.1.14"/>
    <s v="SUPRIMENTOS"/>
    <s v="1.1.14 SUPRIMENTOS"/>
    <s v="1.1.14"/>
    <s v="SUPRIMENTOS"/>
    <s v="1.1.14 SUPRIMENTOS"/>
    <s v="7.3.22"/>
    <s v="BOLSA ESTAGIO"/>
    <s v="7.3.22 BOLSA ESTAGIO"/>
    <x v="10"/>
    <s v="S11832"/>
    <n v="-1000"/>
    <n v="-1000"/>
    <n v="-1000"/>
    <s v="S11832 PAGTO REF FOLHA SALARIAL ESTÁGIO COMP FEVEREIRO 2026"/>
    <x v="18"/>
    <d v="2026-02-01T00:00:00"/>
    <s v="31440"/>
    <s v="JOAO PAULO MARTINS OZORES"/>
    <s v="Saída (Aplicações)"/>
    <s v="SAGI"/>
    <m/>
    <n v="-1000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5.21"/>
    <s v="MATERIAL DE INFORMÁTICA"/>
    <s v="7.5.21 MATERIAL DE INFORMÁTICA"/>
    <x v="2"/>
    <s v="NFE-773424"/>
    <n v="-158.91999999999999"/>
    <n v="-158.91999999999999"/>
    <n v="-158.91999999999999"/>
    <s v="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"/>
    <x v="31"/>
    <d v="2026-01-28T00:00:00"/>
    <s v="29269"/>
    <s v="GIGANTEC COMERCIO ELETRONICO EIRELI"/>
    <s v="Saída (Aplicações)"/>
    <s v="SAGI"/>
    <m/>
    <n v="-158.91999999999999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3"/>
    <s v="SEGURO-CLA250"/>
    <n v="-592.19000000000005"/>
    <n v="-592.19000000000005"/>
    <n v="-592.19000000000005"/>
    <s v=" REF. AO SEGURO DO VEÍCULO MERCEDES CLA 250 - GABRIEL, PAGAMENTO EM 10 PARCELAS DE R$ 592,18 - VIA BOLETO. FOI ACORDADO QUE O SEGURO SERIA REALIZADO EM NOME DA G3S, EM RAZÃO DOS BONUS DISPONIVEIS EM NOME DA SRA GIULIANA."/>
    <x v="20"/>
    <d v="2026-02-12T00:00:00"/>
    <s v="27804"/>
    <s v="BRADESCO AUTO / SEGURO"/>
    <s v="Saída (Aplicações)"/>
    <s v="SAGI"/>
    <m/>
    <n v="-592.19000000000005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8"/>
    <s v="DESPESAS DE VIAGEM"/>
    <s v="7.1.8 DESPESAS DE VIAGEM"/>
    <x v="3"/>
    <s v="CC8840022026"/>
    <n v="-95.48"/>
    <n v="-95.48"/>
    <n v="-95.48"/>
    <s v=" CARTÃO DE CRÉDITO FINAL 8840 - USO RENATO - DESPESA INDEDUTIVEL, HOSPEDAGEM DE RENATO E GABRIEL SALTEIRO"/>
    <x v="6"/>
    <d v="2026-01-19T00:00:00"/>
    <s v="32044"/>
    <s v="TBO HOLIDAYS BRASIL AGENCIA DE VIAGENS E RESERVAS LTDA."/>
    <s v="Saída (Aplicações)"/>
    <s v="SAGI"/>
    <m/>
    <n v="-95.48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5.21"/>
    <s v="MATERIAL DE INFORMÁTICA"/>
    <s v="7.5.21 MATERIAL DE INFORMÁTICA"/>
    <x v="2"/>
    <s v="NFE-773424"/>
    <n v="-158.91999999999999"/>
    <n v="-158.91999999999999"/>
    <n v="-158.91999999999999"/>
    <s v="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"/>
    <x v="31"/>
    <d v="2026-01-28T00:00:00"/>
    <s v="29269"/>
    <s v="GIGANTEC COMERCIO ELETRONICO EIRELI"/>
    <s v="Saída (Aplicações)"/>
    <s v="SAGI"/>
    <m/>
    <n v="-158.91999999999999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4"/>
    <s v="SEGURO-VOLVO GIULIANA"/>
    <n v="-477.15"/>
    <n v="-477.15"/>
    <n v="-477.15"/>
    <s v=" REFERENTE AO SEGURO VEICULO VOLVO XC 60 T-8 HIBRIDO INSCRIPTION 2022 PLACA GFA0D41 DA SRA. GIULIANA - N° APOLICE: 0936.990.0244.117682 ITEM 0001 PROPOSTA 936244311 - EMISSAO EM 08/01/2026"/>
    <x v="3"/>
    <d v="2026-01-08T00:00:00"/>
    <s v="27804"/>
    <s v="BRADESCO AUTO / SEGURO"/>
    <s v="Saída (Aplicações)"/>
    <s v="SAGI"/>
    <m/>
    <n v="-477.15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5.21"/>
    <s v="MATERIAL DE INFORMÁTICA"/>
    <s v="7.5.21 MATERIAL DE INFORMÁTICA"/>
    <x v="2"/>
    <s v="NFE-773424"/>
    <n v="-158.91999999999999"/>
    <n v="-158.91999999999999"/>
    <n v="-158.91999999999999"/>
    <s v="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"/>
    <x v="31"/>
    <d v="2026-01-28T00:00:00"/>
    <s v="29269"/>
    <s v="GIGANTEC COMERCIO ELETRONICO EIRELI"/>
    <s v="Saída (Aplicações)"/>
    <s v="SAGI"/>
    <m/>
    <n v="-158.91999999999999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8"/>
    <s v="DESPESAS DE VIAGEM"/>
    <s v="7.1.8 DESPESAS DE VIAGEM"/>
    <x v="3"/>
    <s v="CC8840022026"/>
    <n v="-95.48"/>
    <n v="-95.48"/>
    <n v="-95.48"/>
    <s v=" CARTÃO DE CRÉDITO FINAL 8840 - USO RENATO - DESPESA INDEDUTIVEL, HOSPEDAGEM DE RENATO E GABRIEL SALTEIRO"/>
    <x v="6"/>
    <d v="2026-01-19T00:00:00"/>
    <s v="32044"/>
    <s v="TBO HOLIDAYS BRASIL AGENCIA DE VIAGENS E RESERVAS LTDA."/>
    <s v="Saída (Aplicações)"/>
    <s v="SAGI"/>
    <m/>
    <n v="-95.48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3.23"/>
    <s v="HONORÁRIOS PJ"/>
    <s v="7.3.23 HONORÁRIOS PJ"/>
    <x v="10"/>
    <s v="NFSE-88"/>
    <n v="-9034.68"/>
    <n v="-9034.68"/>
    <n v="-9034.68"/>
    <s v=" [GIULIANA] REF AOS SERVICOS PRESTADOS POR CRISTINA SUGUI_x000d__x000a_COMPETENCIA 02/2026_x000d__x000a_SOLICITADO POR ADRIANA NOGUEIRA_x000d__x000a_NF 000.000.088_x000d__x000a_VALOR BRUTO: R$ 9.220,00_x000d__x000a_VENCIMENTO EM 05/03/2026_x000d__x000a_PAGAMENTO VIA TRANSFERENCIA/PIX"/>
    <x v="34"/>
    <d v="2026-02-27T00:00:00"/>
    <s v="22575"/>
    <s v="CS ADMINISTRACAO E SERVICOS LTDA"/>
    <s v="Saída (Aplicações)"/>
    <s v="SAGI"/>
    <m/>
    <n v="-9034.68"/>
  </r>
  <r>
    <m/>
    <x v="0"/>
    <s v="1.1"/>
    <s v="PILARES"/>
    <s v="1.1 PILARES"/>
    <s v="1.1.14"/>
    <s v="SUPRIMENTOS"/>
    <s v="1.1.14 SUPRIMENTOS"/>
    <s v="1.1.14"/>
    <s v="SUPRIMENTOS"/>
    <s v="1.1.14 SUPRIMENTOS"/>
    <s v="1.1.14"/>
    <s v="SUPRIMENTOS"/>
    <s v="1.1.14 SUPRIMENTOS"/>
    <s v="7.3.22"/>
    <s v="BOLSA ESTAGIO"/>
    <s v="7.3.22 BOLSA ESTAGIO"/>
    <x v="10"/>
    <s v="S11830"/>
    <n v="-1000"/>
    <n v="-1000"/>
    <n v="-1000"/>
    <s v="S11830 PAGTO REF FOLHA SALARIAL ESTÁGIO COMP FEVEREIRO 2026"/>
    <x v="18"/>
    <d v="2026-02-01T00:00:00"/>
    <s v="30902"/>
    <s v="GABRIEL SATOSHI DA SILVA SAKATA"/>
    <s v="Saída (Aplicações)"/>
    <s v="SAGI"/>
    <m/>
    <n v="-1000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3"/>
    <s v="SEGURO-CLA250"/>
    <n v="-592.19000000000005"/>
    <n v="-592.19000000000005"/>
    <n v="-592.19000000000005"/>
    <s v=" REF. AO SEGURO DO VEÍCULO MERCEDES CLA 250 - GABRIEL, PAGAMENTO EM 10 PARCELAS DE R$ 592,18 - VIA BOLETO. FOI ACORDADO QUE O SEGURO SERIA REALIZADO EM NOME DA G3S, EM RAZÃO DOS BONUS DISPONIVEIS EM NOME DA SRA GIULIANA."/>
    <x v="20"/>
    <d v="2026-02-12T00:00:00"/>
    <s v="27804"/>
    <s v="BRADESCO AUTO / SEGURO"/>
    <s v="Saída (Aplicações)"/>
    <s v="SAGI"/>
    <m/>
    <n v="-592.19000000000005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8.1.4"/>
    <s v="COMPUTADORES E PERIFERICOS"/>
    <s v="8.1.4 COMPUTADORES E PERIFERICOS"/>
    <x v="2"/>
    <s v="NFE-26915"/>
    <n v="-1815"/>
    <n v="-1815"/>
    <n v="-1815"/>
    <s v=" CRISTINA - NFE. 26.915 VENC. 15/03/26 VIA CARTÃO DE CRÉDITO 8971 EM 1X - REF. A COMPRA DE MEMORIA RAM DDR5 32G/4800 P/ NOTEBOOK DA COLABORADORA CRISTINA SUGI QUE APRESENTAVA FORTE LENTIDÃO SENDO NESCESSÁRIO UM UPGRADE -  - N/PEDIDO: 5597 FATURA 1: NUMERO: 26915.A VENCIMENTO: 10/02/2026 VALOR: 1.815,00 VAL APROX DOS TRIB R$ 520,36 (28,67%) FONTE: IBPT/EMPRESOMETRO.COM.BR"/>
    <x v="45"/>
    <d v="2026-02-10T00:00:00"/>
    <s v="32143"/>
    <s v="J.B.M COMERCIO DE ELETRONICOS LTDA"/>
    <s v="Saída (Aplicações)"/>
    <s v="SAGI"/>
    <m/>
    <n v="-1815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8"/>
    <s v="DESPESAS DE VIAGEM"/>
    <s v="7.1.8 DESPESAS DE VIAGEM"/>
    <x v="3"/>
    <s v="CC8840022026"/>
    <n v="-95.48"/>
    <n v="-95.48"/>
    <n v="-95.48"/>
    <s v=" CARTÃO DE CRÉDITO FINAL 8840 - USO RENATO - DESPESA INDEDUTIVEL, HOSPEDAGEM DE RENATO E GABRIEL SALTEIRO"/>
    <x v="6"/>
    <d v="2026-01-19T00:00:00"/>
    <s v="32044"/>
    <s v="TBO HOLIDAYS BRASIL AGENCIA DE VIAGENS E RESERVAS LTDA."/>
    <s v="Saída (Aplicações)"/>
    <s v="SAGI"/>
    <m/>
    <n v="-95.48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8"/>
    <s v="DESPESAS DE VIAGEM"/>
    <s v="7.1.8 DESPESAS DE VIAGEM"/>
    <x v="3"/>
    <s v="CC8840022026"/>
    <n v="-95.48"/>
    <n v="-95.48"/>
    <n v="-95.48"/>
    <s v=" CARTÃO DE CRÉDITO FINAL 8840 - USO RENATO - DESPESA INDEDUTIVEL, HOSPEDAGEM DE RENATO E GABRIEL SALTEIRO"/>
    <x v="6"/>
    <d v="2026-01-19T00:00:00"/>
    <s v="32044"/>
    <s v="TBO HOLIDAYS BRASIL AGENCIA DE VIAGENS E RESERVAS LTDA."/>
    <s v="Saída (Aplicações)"/>
    <s v="SAGI"/>
    <m/>
    <n v="-95.48"/>
  </r>
  <r>
    <m/>
    <x v="0"/>
    <s v="1.1"/>
    <s v="PILARES"/>
    <s v="1.1 PILARES"/>
    <s v="1.1.10"/>
    <s v="PESSOAS"/>
    <s v="1.1.10 PESSOAS"/>
    <s v="1.1.10"/>
    <s v="PESSOAS"/>
    <s v="1.1.10 PESSOAS"/>
    <s v="1.1.10"/>
    <s v="PESSOAS"/>
    <s v="1.1.10 PESSOAS"/>
    <s v="7.3.23"/>
    <s v="HONORÁRIOS PJ"/>
    <s v="7.3.23 HONORÁRIOS PJ"/>
    <x v="2"/>
    <s v="NFSE-1359"/>
    <n v="-5866.37"/>
    <n v="-5866.37"/>
    <n v="-5866.37"/>
    <s v=" [GIULIANA] REF AOS SERVIÇOS PRESTADOS POR GIOVANE PORTO, COMP. 02/2026_x000d__x000a_SOLICITADO POR ADRIANA NOGUEIRA_x000d__x000a_NF 000.001.359 VALOR BRUTO R$ 6.000,00_x000d__x000a_VENCIMENTO EM 05/03/2026_x000d__x000a_PAGAMENTO VIA TRANSFERENCIA/PIX"/>
    <x v="26"/>
    <d v="2026-02-23T00:00:00"/>
    <s v="22797"/>
    <s v="PORTO PRESTADORA DE SERVICOS S/S UNIPESSOAL LTDA"/>
    <s v="Saída (Aplicações)"/>
    <s v="SAGI"/>
    <m/>
    <n v="-5866.37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3"/>
    <s v="SEGURO-CLA250"/>
    <n v="-592.19000000000005"/>
    <n v="-592.19000000000005"/>
    <n v="-592.19000000000005"/>
    <s v=" REF. AO SEGURO DO VEÍCULO MERCEDES CLA 250 - GABRIEL, PAGAMENTO EM 10 PARCELAS DE R$ 592,18 - VIA BOLETO. FOI ACORDADO QUE O SEGURO SERIA REALIZADO EM NOME DA G3S, EM RAZÃO DOS BONUS DISPONIVEIS EM NOME DA SRA GIULIANA."/>
    <x v="20"/>
    <d v="2026-02-12T00:00:00"/>
    <s v="27804"/>
    <s v="BRADESCO AUTO / SEGURO"/>
    <s v="Saída (Aplicações)"/>
    <s v="SAGI"/>
    <m/>
    <n v="-592.19000000000005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5.21"/>
    <s v="MATERIAL DE INFORMÁTICA"/>
    <s v="7.5.21 MATERIAL DE INFORMÁTICA"/>
    <x v="2"/>
    <s v="NFE-773424"/>
    <n v="-158.91999999999999"/>
    <n v="-158.91999999999999"/>
    <n v="-158.91999999999999"/>
    <s v="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"/>
    <x v="31"/>
    <d v="2026-01-28T00:00:00"/>
    <s v="29269"/>
    <s v="GIGANTEC COMERCIO ELETRONICO EIRELI"/>
    <s v="Saída (Aplicações)"/>
    <s v="SAGI"/>
    <m/>
    <n v="-158.91999999999999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1.8"/>
    <s v="DESPESAS DE VIAGEM"/>
    <s v="7.1.8 DESPESAS DE VIAGEM"/>
    <x v="3"/>
    <s v="CC8840022026"/>
    <n v="-95.56"/>
    <n v="-95.56"/>
    <n v="-95.56"/>
    <s v=" CARTÃO DE CRÉDITO FINAL 8840 - USO RENATO - DESPESA INDEDUTIVEL, HOSPEDAGEM DE RENATO E GABRIEL SALTEIRO"/>
    <x v="6"/>
    <d v="2026-01-19T00:00:00"/>
    <s v="32044"/>
    <s v="TBO HOLIDAYS BRASIL AGENCIA DE VIAGENS E RESERVAS LTDA."/>
    <s v="Saída (Aplicações)"/>
    <s v="SAGI"/>
    <m/>
    <n v="-95.56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4"/>
    <s v="SEGURO-VOLVO GIULIANA"/>
    <n v="-477.15"/>
    <n v="-477.15"/>
    <n v="-477.15"/>
    <s v=" REFERENTE AO SEGURO VEICULO VOLVO XC 60 T-8 HIBRIDO INSCRIPTION 2022 PLACA GFA0D41 DA SRA. GIULIANA - N° APOLICE: 0936.990.0244.117682 ITEM 0001 PROPOSTA 936244311 - EMISSAO EM 08/01/2026"/>
    <x v="3"/>
    <d v="2026-01-08T00:00:00"/>
    <s v="27804"/>
    <s v="BRADESCO AUTO / SEGURO"/>
    <s v="Saída (Aplicações)"/>
    <s v="SAGI"/>
    <m/>
    <n v="-477.15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5.21"/>
    <s v="MATERIAL DE INFORMÁTICA"/>
    <s v="7.5.21 MATERIAL DE INFORMÁTICA"/>
    <x v="2"/>
    <s v="NFE-773424"/>
    <n v="-158.91999999999999"/>
    <n v="-158.91999999999999"/>
    <n v="-158.91999999999999"/>
    <s v="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"/>
    <x v="31"/>
    <d v="2026-01-28T00:00:00"/>
    <s v="29269"/>
    <s v="GIGANTEC COMERCIO ELETRONICO EIRELI"/>
    <s v="Saída (Aplicações)"/>
    <s v="SAGI"/>
    <m/>
    <n v="-158.91999999999999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2"/>
    <s v="SEG-TKQ2D62"/>
    <n v="-489.58"/>
    <n v="-489.58"/>
    <n v="-489.58"/>
    <s v=" REF AO SEGURO DA NOVA AMAROK TKQ2D62 - SOLICITADO E AUTORIZADO PELO RENATO, PARCELADO EM 10X, ATRAVES DO CARTAO DE CREDITO FINAL 8840."/>
    <x v="32"/>
    <d v="2026-01-23T00:00:00"/>
    <s v="185"/>
    <s v="MAPFRE SEGUROS GERAIS S.A."/>
    <s v="Saída (Aplicações)"/>
    <s v="SAGI"/>
    <m/>
    <n v="-489.58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4"/>
    <s v="SEGURO-VOLVO GIULIANA"/>
    <n v="-477.15"/>
    <n v="-477.15"/>
    <n v="-477.15"/>
    <s v=" REFERENTE AO SEGURO VEICULO VOLVO XC 60 T-8 HIBRIDO INSCRIPTION 2022 PLACA GFA0D41 DA SRA. GIULIANA - N° APOLICE: 0936.990.0244.117682 ITEM 0001 PROPOSTA 936244311 - EMISSAO EM 08/01/2026"/>
    <x v="3"/>
    <d v="2026-01-08T00:00:00"/>
    <s v="27804"/>
    <s v="BRADESCO AUTO / SEGURO"/>
    <s v="Saída (Aplicações)"/>
    <s v="SAGI"/>
    <m/>
    <n v="-477.15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3.22"/>
    <s v="BOLSA ESTAGIO"/>
    <s v="7.3.22 BOLSA ESTAGIO"/>
    <x v="10"/>
    <s v="S11831"/>
    <n v="-1000"/>
    <n v="-1000"/>
    <n v="-1000"/>
    <s v="S11831 PAGTO REF FOLHA SALARIAL ESTÁGIO COMP FEVEREIRO 2026"/>
    <x v="18"/>
    <d v="2026-02-01T00:00:00"/>
    <s v="31701"/>
    <s v="ISADORA THAYNA VIOTTO DIAS"/>
    <s v="Saída (Aplicações)"/>
    <s v="SAGI"/>
    <m/>
    <n v="-1000"/>
  </r>
  <r>
    <m/>
    <x v="0"/>
    <s v="1.1"/>
    <s v="PILARES"/>
    <s v="1.1 PILARES"/>
    <s v="1.1.7"/>
    <s v="LOGISTICA"/>
    <s v="1.1.7 LOGISTICA"/>
    <s v="1.1.7"/>
    <s v="LOGISTICA"/>
    <s v="1.1.7 LOGISTICA"/>
    <s v="1.1.7"/>
    <s v="LOGISTICA"/>
    <s v="1.1.7 LOGISTICA"/>
    <s v="7.1.8"/>
    <s v="DESPESAS DE VIAGEM"/>
    <s v="7.1.8 DESPESAS DE VIAGEM"/>
    <x v="12"/>
    <s v="A11823"/>
    <n v="-120"/>
    <n v="-120"/>
    <n v="-120"/>
    <s v="A11823 PAGTO REF REFEIÇÕES COMP MARÇO 2026."/>
    <x v="33"/>
    <d v="2026-03-05T00:00:00"/>
    <s v="22745"/>
    <s v="EVERTON BENITES SOBRINHO"/>
    <s v="Saída (Aplicações)"/>
    <s v="SAGI"/>
    <m/>
    <n v="-120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4"/>
    <s v="SEGURO-VOLVO GIULIANA"/>
    <n v="-477.15"/>
    <n v="-477.15"/>
    <n v="-477.15"/>
    <s v=" REFERENTE AO SEGURO VEICULO VOLVO XC 60 T-8 HIBRIDO INSCRIPTION 2022 PLACA GFA0D41 DA SRA. GIULIANA - N° APOLICE: 0936.990.0244.117682 ITEM 0001 PROPOSTA 936244311 - EMISSAO EM 08/01/2026"/>
    <x v="3"/>
    <d v="2026-01-08T00:00:00"/>
    <s v="27804"/>
    <s v="BRADESCO AUTO / SEGURO"/>
    <s v="Saída (Aplicações)"/>
    <s v="SAGI"/>
    <m/>
    <n v="-477.15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3"/>
    <s v="SEGURO-CLA250"/>
    <n v="-592.19000000000005"/>
    <n v="-592.19000000000005"/>
    <n v="-592.19000000000005"/>
    <s v=" REF. AO SEGURO DO VEÍCULO MERCEDES CLA 250 - GABRIEL, PAGAMENTO EM 10 PARCELAS DE R$ 592,18 - VIA BOLETO. FOI ACORDADO QUE O SEGURO SERIA REALIZADO EM NOME DA G3S, EM RAZÃO DOS BONUS DISPONIVEIS EM NOME DA SRA GIULIANA."/>
    <x v="20"/>
    <d v="2026-02-12T00:00:00"/>
    <s v="27804"/>
    <s v="BRADESCO AUTO / SEGURO"/>
    <s v="Saída (Aplicações)"/>
    <s v="SAGI"/>
    <m/>
    <n v="-592.19000000000005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3.6"/>
    <s v="PLANO DE SAÚDE"/>
    <s v="7.3.6 PLANO DE SAÚDE"/>
    <x v="0"/>
    <s v="29139"/>
    <n v="-6545.91"/>
    <n v="-6545.91"/>
    <n v="-6545.91"/>
    <s v=" [GIULIANA] REF A PLANO DE SAUDE FAMILIAR - SUL AMERICA_x000d__x000a_SOILICITADO POR ADRIANA NOGUEIRA_x000d__x000a_VENCIMENTO EM 06/01/2026_x000d__x000a_VALOR TOTAL R$ 6.545,91_x000d__x000a_PAGAMENTO VIA BOLETO BANCARIO_x000d__x000a_S/NF - BOLETO SE ENCONTRA NA PÁGINA 7 DO ARQUIVO_x000d__x000a__x000d__x000a_MIGRAÇÃO DE CONTRATO PARA O PRODUTO 553 PME, DEVIDO O VALOR DO CONTRATO SER MELHOR,_x000d__x000a_COMPARADO AO VALOR TOTAL DO REAJUSTE ANUAL DO PREVISTO NO CONTRATO ANTIGO._x000d__x000a_CONTRATO (PME) = R$ 6.545,91  _x000d__x000a_CONTATO ANTIGO = R$ 6.901,32"/>
    <x v="33"/>
    <d v="2026-03-05T00:00:00"/>
    <s v="30349"/>
    <s v="SUL AMERICA COMPANHIA DE SEGURO SAUDE"/>
    <s v="Saída (Aplicações)"/>
    <s v="SAGI"/>
    <m/>
    <n v="-6545.91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3"/>
    <s v="SEGURO-CLA250"/>
    <n v="-592.19000000000005"/>
    <n v="-592.19000000000005"/>
    <n v="-592.19000000000005"/>
    <s v=" REF. AO SEGURO DO VEÍCULO MERCEDES CLA 250 - GABRIEL, PAGAMENTO EM 10 PARCELAS DE R$ 592,18 - VIA BOLETO. FOI ACORDADO QUE O SEGURO SERIA REALIZADO EM NOME DA G3S, EM RAZÃO DOS BONUS DISPONIVEIS EM NOME DA SRA GIULIANA."/>
    <x v="20"/>
    <d v="2026-02-12T00:00:00"/>
    <s v="27804"/>
    <s v="BRADESCO AUTO / SEGURO"/>
    <s v="Saída (Aplicações)"/>
    <s v="SAGI"/>
    <m/>
    <n v="-592.19000000000005"/>
  </r>
  <r>
    <m/>
    <x v="0"/>
    <s v="1.1"/>
    <s v="PILARES"/>
    <s v="1.1 PILARES"/>
    <s v="1.1.1"/>
    <s v="DIRETORIA"/>
    <s v="1.1.1 DIRETORIA"/>
    <s v="1.1.1.1"/>
    <s v="ACIONISTAS"/>
    <s v="1.1.1.1 ACIONISTAS"/>
    <s v="1.1.1.1"/>
    <s v="ACIONISTAS"/>
    <s v="1.1.1.1 ACIONISTAS"/>
    <s v="7.5.13"/>
    <s v="SEGUROS"/>
    <s v="7.5.13 SEGUROS"/>
    <x v="3"/>
    <s v="SEGURO-CLA250"/>
    <n v="-592.19000000000005"/>
    <n v="-592.19000000000005"/>
    <n v="-592.19000000000005"/>
    <s v=" REF. AO SEGURO DO VEÍCULO MERCEDES CLA 250 - GABRIEL, PAGAMENTO EM 10 PARCELAS DE R$ 592,18 - VIA BOLETO. FOI ACORDADO QUE O SEGURO SERIA REALIZADO EM NOME DA G3S, EM RAZÃO DOS BONUS DISPONIVEIS EM NOME DA SRA GIULIANA."/>
    <x v="20"/>
    <d v="2026-02-12T00:00:00"/>
    <s v="27804"/>
    <s v="BRADESCO AUTO / SEGURO"/>
    <s v="Saída (Aplicações)"/>
    <s v="SAGI"/>
    <m/>
    <n v="-592.19000000000005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5.21"/>
    <s v="MATERIAL DE INFORMÁTICA"/>
    <s v="7.5.21 MATERIAL DE INFORMÁTICA"/>
    <x v="2"/>
    <s v="NFE-773424"/>
    <n v="-158.91999999999999"/>
    <n v="-158.91999999999999"/>
    <n v="-158.91999999999999"/>
    <s v="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"/>
    <x v="31"/>
    <d v="2026-01-28T00:00:00"/>
    <s v="29269"/>
    <s v="GIGANTEC COMERCIO ELETRONICO EIRELI"/>
    <s v="Saída (Aplicações)"/>
    <s v="SAGI"/>
    <m/>
    <n v="-158.91999999999999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3.1"/>
    <s v="SALÁRIOS"/>
    <s v="7.3.1 SALÁRIOS"/>
    <x v="16"/>
    <m/>
    <n v="-48632.589722222219"/>
    <n v="-48632.589722222219"/>
    <n v="-48632.589722222219"/>
    <m/>
    <x v="31"/>
    <d v="2026-01-28T00:00:00"/>
    <m/>
    <s v="salários folha"/>
    <s v="Saída (Aplicações)"/>
    <s v="folha"/>
    <m/>
    <n v="-48632.589722222219"/>
  </r>
  <r>
    <m/>
    <x v="0"/>
    <s v="1.1"/>
    <s v="PILARES"/>
    <s v="1.1 PILARES"/>
    <s v="1.1.2"/>
    <s v="ADMINISTRATIVO"/>
    <s v="1.1.2 ADMINISTRATIVO"/>
    <s v="1.1.2"/>
    <s v="ADMINISTRATIVO"/>
    <s v="1.1.2 ADMINISTRATIVO"/>
    <s v="1.1.2"/>
    <s v="ADMINISTRATIVO"/>
    <s v="1.1.2 ADMINISTRATIVO"/>
    <s v="7.3.1"/>
    <s v="SALÁRIOS"/>
    <s v="7.3.1 SALÁRIOS"/>
    <x v="16"/>
    <m/>
    <n v="-48632.589722222219"/>
    <n v="-48632.589722222219"/>
    <n v="-48632.589722222219"/>
    <m/>
    <x v="18"/>
    <d v="2026-01-28T00:00:00"/>
    <m/>
    <s v="salários folha"/>
    <s v="Saída (Aplicações)"/>
    <s v="folha"/>
    <m/>
    <n v="-48632.589722222219"/>
  </r>
  <r>
    <m/>
    <x v="1"/>
    <m/>
    <m/>
    <m/>
    <m/>
    <m/>
    <m/>
    <m/>
    <m/>
    <m/>
    <m/>
    <m/>
    <m/>
    <m/>
    <m/>
    <m/>
    <x v="16"/>
    <m/>
    <m/>
    <m/>
    <m/>
    <m/>
    <x v="46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DC318-4039-4B77-A789-252D5CD82E77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9" firstHeaderRow="1" firstDataRow="4" firstDataCol="1" rowPageCount="1" colPageCount="1"/>
  <pivotFields count="33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8">
        <item x="15"/>
        <item x="11"/>
        <item x="7"/>
        <item x="12"/>
        <item x="8"/>
        <item x="13"/>
        <item x="0"/>
        <item x="10"/>
        <item x="3"/>
        <item x="6"/>
        <item x="9"/>
        <item x="5"/>
        <item x="14"/>
        <item x="2"/>
        <item x="1"/>
        <item h="1" x="4"/>
        <item x="16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8">
        <item x="11"/>
        <item x="7"/>
        <item x="2"/>
        <item x="0"/>
        <item x="1"/>
        <item x="3"/>
        <item x="8"/>
        <item x="4"/>
        <item x="39"/>
        <item x="17"/>
        <item x="5"/>
        <item x="35"/>
        <item x="6"/>
        <item x="9"/>
        <item x="10"/>
        <item x="32"/>
        <item x="42"/>
        <item x="12"/>
        <item x="13"/>
        <item x="31"/>
        <item x="40"/>
        <item x="16"/>
        <item x="18"/>
        <item x="21"/>
        <item x="19"/>
        <item x="14"/>
        <item x="15"/>
        <item x="41"/>
        <item x="45"/>
        <item x="25"/>
        <item x="20"/>
        <item x="43"/>
        <item x="22"/>
        <item x="44"/>
        <item x="27"/>
        <item x="23"/>
        <item x="24"/>
        <item x="26"/>
        <item x="28"/>
        <item x="30"/>
        <item x="29"/>
        <item x="34"/>
        <item x="38"/>
        <item x="37"/>
        <item x="33"/>
        <item x="36"/>
        <item x="4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3">
    <field x="32"/>
    <field x="31"/>
    <field x="23"/>
  </colFields>
  <colItems count="5">
    <i>
      <x/>
    </i>
    <i>
      <x v="1"/>
    </i>
    <i>
      <x v="2"/>
    </i>
    <i>
      <x v="3"/>
    </i>
    <i t="grand">
      <x/>
    </i>
  </colItems>
  <pageFields count="1">
    <pageField fld="17" hier="-1"/>
  </pageFields>
  <dataFields count="1">
    <dataField name="Soma de Valor Oficial" fld="30" baseField="0" baseItem="0"/>
  </dataFields>
  <formats count="2">
    <format dxfId="1">
      <pivotArea outline="0" collapsedLevelsAreSubtotals="1" fieldPosition="0">
        <references count="1">
          <reference field="32" count="3" selected="0">
            <x v="1"/>
            <x v="2"/>
            <x v="3"/>
          </reference>
        </references>
      </pivotArea>
    </format>
    <format dxfId="0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Personalizada 3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F0000"/>
      </a:accent1>
      <a:accent2>
        <a:srgbClr val="00B050"/>
      </a:accent2>
      <a:accent3>
        <a:srgbClr val="0000FF"/>
      </a:accent3>
      <a:accent4>
        <a:srgbClr val="FFFF00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DB27-A93D-4530-B8CF-F653187D1106}">
  <dimension ref="A1:AE19"/>
  <sheetViews>
    <sheetView workbookViewId="0">
      <selection activeCell="O14" sqref="O14"/>
    </sheetView>
  </sheetViews>
  <sheetFormatPr defaultRowHeight="15" x14ac:dyDescent="0.25"/>
  <cols>
    <col min="24" max="24" width="10.7109375" bestFit="1" customWidth="1"/>
    <col min="25" max="25" width="16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>
        <v>-268233.03070404538</v>
      </c>
      <c r="U2">
        <v>-44705.505117340894</v>
      </c>
      <c r="V2">
        <v>-44705.505117340894</v>
      </c>
      <c r="X2" s="3">
        <v>46053</v>
      </c>
      <c r="Y2" s="3">
        <v>46053</v>
      </c>
      <c r="AA2" t="s">
        <v>41</v>
      </c>
      <c r="AB2" t="s">
        <v>45</v>
      </c>
      <c r="AC2" t="s">
        <v>46</v>
      </c>
      <c r="AE2">
        <v>-44705.505117340894</v>
      </c>
    </row>
    <row r="3" spans="1:31" x14ac:dyDescent="0.25">
      <c r="B3" t="s">
        <v>31</v>
      </c>
      <c r="C3" t="s">
        <v>32</v>
      </c>
      <c r="D3" t="s">
        <v>31</v>
      </c>
      <c r="E3" t="s">
        <v>33</v>
      </c>
      <c r="F3" t="s">
        <v>47</v>
      </c>
      <c r="G3" t="s">
        <v>48</v>
      </c>
      <c r="H3" t="s">
        <v>49</v>
      </c>
      <c r="I3" t="s">
        <v>50</v>
      </c>
      <c r="J3" t="s">
        <v>38</v>
      </c>
      <c r="K3" t="s">
        <v>51</v>
      </c>
      <c r="L3" t="s">
        <v>50</v>
      </c>
      <c r="M3" t="s">
        <v>38</v>
      </c>
      <c r="N3" t="s">
        <v>51</v>
      </c>
      <c r="O3" t="s">
        <v>40</v>
      </c>
      <c r="P3" t="s">
        <v>41</v>
      </c>
      <c r="Q3" t="s">
        <v>42</v>
      </c>
      <c r="R3" t="s">
        <v>52</v>
      </c>
      <c r="S3" t="s">
        <v>44</v>
      </c>
      <c r="T3">
        <v>-268233.03070404538</v>
      </c>
      <c r="U3">
        <v>-44705.505117340894</v>
      </c>
      <c r="V3">
        <v>-44705.505117340894</v>
      </c>
      <c r="X3" s="3">
        <v>46053</v>
      </c>
      <c r="Y3" s="3">
        <v>46053</v>
      </c>
      <c r="AA3" t="s">
        <v>41</v>
      </c>
      <c r="AB3" t="s">
        <v>45</v>
      </c>
      <c r="AC3" t="s">
        <v>46</v>
      </c>
      <c r="AE3">
        <v>-44705.505117340894</v>
      </c>
    </row>
    <row r="4" spans="1:31" x14ac:dyDescent="0.25">
      <c r="B4" t="s">
        <v>31</v>
      </c>
      <c r="C4" t="s">
        <v>32</v>
      </c>
      <c r="D4" t="s">
        <v>31</v>
      </c>
      <c r="E4" t="s">
        <v>33</v>
      </c>
      <c r="F4" t="s">
        <v>53</v>
      </c>
      <c r="G4" t="s">
        <v>54</v>
      </c>
      <c r="H4" t="s">
        <v>55</v>
      </c>
      <c r="I4" t="s">
        <v>56</v>
      </c>
      <c r="J4" t="s">
        <v>38</v>
      </c>
      <c r="K4" t="s">
        <v>57</v>
      </c>
      <c r="L4" t="s">
        <v>56</v>
      </c>
      <c r="M4" t="s">
        <v>38</v>
      </c>
      <c r="N4" t="s">
        <v>57</v>
      </c>
      <c r="O4" t="s">
        <v>40</v>
      </c>
      <c r="P4" t="s">
        <v>41</v>
      </c>
      <c r="Q4" t="s">
        <v>42</v>
      </c>
      <c r="R4" t="s">
        <v>58</v>
      </c>
      <c r="S4" t="s">
        <v>44</v>
      </c>
      <c r="T4">
        <v>-268233.03070404538</v>
      </c>
      <c r="U4">
        <v>-44705.505117340894</v>
      </c>
      <c r="V4">
        <v>-44705.505117340894</v>
      </c>
      <c r="X4" s="3">
        <v>46053</v>
      </c>
      <c r="Y4" s="3">
        <v>46053</v>
      </c>
      <c r="AA4" t="s">
        <v>41</v>
      </c>
      <c r="AB4" t="s">
        <v>45</v>
      </c>
      <c r="AC4" t="s">
        <v>46</v>
      </c>
      <c r="AE4">
        <v>-44705.505117340894</v>
      </c>
    </row>
    <row r="5" spans="1:31" x14ac:dyDescent="0.25">
      <c r="B5" t="s">
        <v>31</v>
      </c>
      <c r="C5" t="s">
        <v>32</v>
      </c>
      <c r="D5" t="s">
        <v>31</v>
      </c>
      <c r="E5" t="s">
        <v>33</v>
      </c>
      <c r="F5" t="s">
        <v>59</v>
      </c>
      <c r="G5" t="s">
        <v>60</v>
      </c>
      <c r="H5" t="s">
        <v>61</v>
      </c>
      <c r="I5" t="s">
        <v>62</v>
      </c>
      <c r="J5" t="s">
        <v>38</v>
      </c>
      <c r="K5" t="s">
        <v>63</v>
      </c>
      <c r="L5" t="s">
        <v>62</v>
      </c>
      <c r="M5" t="s">
        <v>38</v>
      </c>
      <c r="N5" t="s">
        <v>63</v>
      </c>
      <c r="O5" t="s">
        <v>40</v>
      </c>
      <c r="P5" t="s">
        <v>41</v>
      </c>
      <c r="Q5" t="s">
        <v>42</v>
      </c>
      <c r="R5" t="s">
        <v>64</v>
      </c>
      <c r="S5" t="s">
        <v>44</v>
      </c>
      <c r="T5">
        <v>-268233.03070404538</v>
      </c>
      <c r="U5">
        <v>-44705.505117340894</v>
      </c>
      <c r="V5">
        <v>-44705.505117340894</v>
      </c>
      <c r="X5" s="3">
        <v>46053</v>
      </c>
      <c r="Y5" s="3">
        <v>46053</v>
      </c>
      <c r="AA5" t="s">
        <v>41</v>
      </c>
      <c r="AB5" t="s">
        <v>45</v>
      </c>
      <c r="AC5" t="s">
        <v>46</v>
      </c>
      <c r="AE5">
        <v>-44705.505117340894</v>
      </c>
    </row>
    <row r="6" spans="1:31" x14ac:dyDescent="0.25">
      <c r="B6" t="s">
        <v>31</v>
      </c>
      <c r="C6" t="s">
        <v>32</v>
      </c>
      <c r="D6" t="s">
        <v>31</v>
      </c>
      <c r="E6" t="s">
        <v>33</v>
      </c>
      <c r="F6" t="s">
        <v>65</v>
      </c>
      <c r="G6" t="s">
        <v>66</v>
      </c>
      <c r="H6" t="s">
        <v>67</v>
      </c>
      <c r="I6" t="s">
        <v>68</v>
      </c>
      <c r="J6" t="s">
        <v>38</v>
      </c>
      <c r="K6" t="s">
        <v>69</v>
      </c>
      <c r="L6" t="s">
        <v>68</v>
      </c>
      <c r="M6" t="s">
        <v>38</v>
      </c>
      <c r="N6" t="s">
        <v>69</v>
      </c>
      <c r="O6" t="s">
        <v>40</v>
      </c>
      <c r="P6" t="s">
        <v>41</v>
      </c>
      <c r="Q6" t="s">
        <v>42</v>
      </c>
      <c r="R6" t="s">
        <v>70</v>
      </c>
      <c r="S6" t="s">
        <v>44</v>
      </c>
      <c r="T6">
        <v>-268233.03070404538</v>
      </c>
      <c r="U6">
        <v>-44705.505117340894</v>
      </c>
      <c r="V6">
        <v>-44705.505117340894</v>
      </c>
      <c r="X6" s="3">
        <v>46053</v>
      </c>
      <c r="Y6" s="3">
        <v>46053</v>
      </c>
      <c r="AA6" t="s">
        <v>41</v>
      </c>
      <c r="AB6" t="s">
        <v>45</v>
      </c>
      <c r="AC6" t="s">
        <v>46</v>
      </c>
      <c r="AE6">
        <v>-44705.505117340894</v>
      </c>
    </row>
    <row r="7" spans="1:31" x14ac:dyDescent="0.25">
      <c r="B7" t="s">
        <v>31</v>
      </c>
      <c r="C7" t="s">
        <v>32</v>
      </c>
      <c r="D7" t="s">
        <v>31</v>
      </c>
      <c r="E7" t="s">
        <v>33</v>
      </c>
      <c r="F7" t="s">
        <v>71</v>
      </c>
      <c r="G7" t="s">
        <v>72</v>
      </c>
      <c r="H7" t="s">
        <v>73</v>
      </c>
      <c r="I7" t="s">
        <v>74</v>
      </c>
      <c r="J7" t="s">
        <v>38</v>
      </c>
      <c r="K7" t="s">
        <v>75</v>
      </c>
      <c r="L7" t="s">
        <v>74</v>
      </c>
      <c r="M7" t="s">
        <v>38</v>
      </c>
      <c r="N7" t="s">
        <v>75</v>
      </c>
      <c r="O7" t="s">
        <v>40</v>
      </c>
      <c r="P7" t="s">
        <v>41</v>
      </c>
      <c r="Q7" t="s">
        <v>42</v>
      </c>
      <c r="R7" t="s">
        <v>76</v>
      </c>
      <c r="S7" t="s">
        <v>44</v>
      </c>
      <c r="T7">
        <v>-268233.03070404538</v>
      </c>
      <c r="U7">
        <v>-44705.505117340894</v>
      </c>
      <c r="V7">
        <v>-44705.505117340894</v>
      </c>
      <c r="X7" s="3">
        <v>46053</v>
      </c>
      <c r="Y7" s="3">
        <v>46053</v>
      </c>
      <c r="AA7" t="s">
        <v>41</v>
      </c>
      <c r="AB7" t="s">
        <v>45</v>
      </c>
      <c r="AC7" t="s">
        <v>46</v>
      </c>
      <c r="AE7">
        <v>-44705.505117340894</v>
      </c>
    </row>
    <row r="8" spans="1:31" x14ac:dyDescent="0.25">
      <c r="B8" t="s">
        <v>77</v>
      </c>
      <c r="C8" t="s">
        <v>78</v>
      </c>
      <c r="D8" t="s">
        <v>77</v>
      </c>
      <c r="E8" t="s">
        <v>79</v>
      </c>
      <c r="F8" t="s">
        <v>80</v>
      </c>
      <c r="G8" t="s">
        <v>60</v>
      </c>
      <c r="H8" t="s">
        <v>81</v>
      </c>
      <c r="I8" t="s">
        <v>82</v>
      </c>
      <c r="J8" t="s">
        <v>38</v>
      </c>
      <c r="K8" t="s">
        <v>83</v>
      </c>
      <c r="L8" t="s">
        <v>82</v>
      </c>
      <c r="M8" t="s">
        <v>38</v>
      </c>
      <c r="N8" t="s">
        <v>83</v>
      </c>
      <c r="O8" t="s">
        <v>40</v>
      </c>
      <c r="P8" t="s">
        <v>41</v>
      </c>
      <c r="Q8" t="s">
        <v>42</v>
      </c>
      <c r="R8" t="s">
        <v>77</v>
      </c>
      <c r="S8" t="s">
        <v>44</v>
      </c>
      <c r="T8">
        <v>-56494.811426867876</v>
      </c>
      <c r="U8">
        <v>-56494.811426867876</v>
      </c>
      <c r="V8">
        <v>-56494.811426867876</v>
      </c>
      <c r="X8" s="3">
        <v>46053</v>
      </c>
      <c r="Y8" s="3">
        <v>46053</v>
      </c>
      <c r="AA8" t="s">
        <v>41</v>
      </c>
      <c r="AB8" t="s">
        <v>45</v>
      </c>
      <c r="AC8" t="s">
        <v>46</v>
      </c>
      <c r="AE8">
        <v>-56494.811426867876</v>
      </c>
    </row>
    <row r="9" spans="1:31" x14ac:dyDescent="0.25">
      <c r="B9" t="s">
        <v>84</v>
      </c>
      <c r="C9" t="s">
        <v>85</v>
      </c>
      <c r="D9" t="s">
        <v>84</v>
      </c>
      <c r="E9" t="s">
        <v>86</v>
      </c>
      <c r="F9" t="s">
        <v>87</v>
      </c>
      <c r="G9" t="s">
        <v>60</v>
      </c>
      <c r="H9" t="s">
        <v>88</v>
      </c>
      <c r="I9" t="s">
        <v>89</v>
      </c>
      <c r="J9" t="s">
        <v>38</v>
      </c>
      <c r="K9" t="s">
        <v>90</v>
      </c>
      <c r="L9" t="s">
        <v>89</v>
      </c>
      <c r="M9" t="s">
        <v>38</v>
      </c>
      <c r="N9" t="s">
        <v>90</v>
      </c>
      <c r="O9" t="s">
        <v>40</v>
      </c>
      <c r="P9" t="s">
        <v>41</v>
      </c>
      <c r="Q9" t="s">
        <v>42</v>
      </c>
      <c r="S9" t="s">
        <v>44</v>
      </c>
      <c r="T9">
        <v>-2895.8489177692254</v>
      </c>
      <c r="U9">
        <v>-2895.8489177692254</v>
      </c>
      <c r="V9">
        <v>-2895.8489177692254</v>
      </c>
      <c r="X9" s="3">
        <v>46053</v>
      </c>
      <c r="Y9" s="3">
        <v>46053</v>
      </c>
      <c r="AA9" t="s">
        <v>41</v>
      </c>
      <c r="AB9" t="s">
        <v>45</v>
      </c>
      <c r="AC9" t="s">
        <v>46</v>
      </c>
      <c r="AE9">
        <v>-2895.8489177692254</v>
      </c>
    </row>
    <row r="10" spans="1:31" x14ac:dyDescent="0.25">
      <c r="B10" t="s">
        <v>91</v>
      </c>
      <c r="C10" t="s">
        <v>92</v>
      </c>
      <c r="D10" t="s">
        <v>91</v>
      </c>
      <c r="E10" t="s">
        <v>93</v>
      </c>
      <c r="F10" t="s">
        <v>94</v>
      </c>
      <c r="G10" t="s">
        <v>60</v>
      </c>
      <c r="H10" t="s">
        <v>95</v>
      </c>
      <c r="I10" t="s">
        <v>96</v>
      </c>
      <c r="J10" t="s">
        <v>38</v>
      </c>
      <c r="K10" t="s">
        <v>97</v>
      </c>
      <c r="L10" t="s">
        <v>96</v>
      </c>
      <c r="M10" t="s">
        <v>38</v>
      </c>
      <c r="N10" t="s">
        <v>97</v>
      </c>
      <c r="O10" t="s">
        <v>40</v>
      </c>
      <c r="P10" t="s">
        <v>41</v>
      </c>
      <c r="Q10" t="s">
        <v>42</v>
      </c>
      <c r="S10" t="s">
        <v>44</v>
      </c>
      <c r="T10">
        <v>-24658.97867353963</v>
      </c>
      <c r="U10">
        <v>-24658.97867353963</v>
      </c>
      <c r="V10">
        <v>-24658.97867353963</v>
      </c>
      <c r="X10" s="3">
        <v>46053</v>
      </c>
      <c r="Y10" s="3">
        <v>46053</v>
      </c>
      <c r="AA10" t="s">
        <v>41</v>
      </c>
      <c r="AB10" t="s">
        <v>45</v>
      </c>
      <c r="AC10" t="s">
        <v>46</v>
      </c>
      <c r="AE10">
        <v>-24658.97867353963</v>
      </c>
    </row>
    <row r="11" spans="1:31" x14ac:dyDescent="0.25">
      <c r="B11" t="s">
        <v>31</v>
      </c>
      <c r="C11" t="s">
        <v>32</v>
      </c>
      <c r="D11" t="s">
        <v>31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 t="s">
        <v>37</v>
      </c>
      <c r="M11" t="s">
        <v>38</v>
      </c>
      <c r="N11" t="s">
        <v>39</v>
      </c>
      <c r="O11" t="s">
        <v>40</v>
      </c>
      <c r="P11" t="s">
        <v>41</v>
      </c>
      <c r="Q11" t="s">
        <v>42</v>
      </c>
      <c r="R11" t="s">
        <v>43</v>
      </c>
      <c r="S11" t="s">
        <v>98</v>
      </c>
      <c r="T11">
        <v>-233362.86391733863</v>
      </c>
      <c r="U11">
        <v>-38893.81065288977</v>
      </c>
      <c r="V11">
        <v>-38893.81065288977</v>
      </c>
      <c r="X11" s="3">
        <v>46081</v>
      </c>
      <c r="Y11" s="3">
        <v>46081</v>
      </c>
      <c r="AA11" t="s">
        <v>41</v>
      </c>
      <c r="AB11" t="s">
        <v>45</v>
      </c>
      <c r="AC11" t="s">
        <v>46</v>
      </c>
      <c r="AE11">
        <v>-38893.81065288977</v>
      </c>
    </row>
    <row r="12" spans="1:31" x14ac:dyDescent="0.25">
      <c r="B12" t="s">
        <v>31</v>
      </c>
      <c r="C12" t="s">
        <v>32</v>
      </c>
      <c r="D12" t="s">
        <v>31</v>
      </c>
      <c r="E12" t="s">
        <v>33</v>
      </c>
      <c r="F12" t="s">
        <v>47</v>
      </c>
      <c r="G12" t="s">
        <v>48</v>
      </c>
      <c r="H12" t="s">
        <v>49</v>
      </c>
      <c r="I12" t="s">
        <v>50</v>
      </c>
      <c r="J12" t="s">
        <v>38</v>
      </c>
      <c r="K12" t="s">
        <v>51</v>
      </c>
      <c r="L12" t="s">
        <v>50</v>
      </c>
      <c r="M12" t="s">
        <v>38</v>
      </c>
      <c r="N12" t="s">
        <v>51</v>
      </c>
      <c r="O12" t="s">
        <v>40</v>
      </c>
      <c r="P12" t="s">
        <v>41</v>
      </c>
      <c r="Q12" t="s">
        <v>42</v>
      </c>
      <c r="R12" t="s">
        <v>52</v>
      </c>
      <c r="S12" t="s">
        <v>98</v>
      </c>
      <c r="T12">
        <v>-233362.86391733863</v>
      </c>
      <c r="U12">
        <v>-38893.81065288977</v>
      </c>
      <c r="V12">
        <v>-38893.81065288977</v>
      </c>
      <c r="X12" s="3">
        <v>46081</v>
      </c>
      <c r="Y12" s="3">
        <v>46081</v>
      </c>
      <c r="AA12" t="s">
        <v>41</v>
      </c>
      <c r="AB12" t="s">
        <v>45</v>
      </c>
      <c r="AC12" t="s">
        <v>46</v>
      </c>
      <c r="AE12">
        <v>-38893.81065288977</v>
      </c>
    </row>
    <row r="13" spans="1:31" x14ac:dyDescent="0.25">
      <c r="B13" t="s">
        <v>31</v>
      </c>
      <c r="C13" t="s">
        <v>32</v>
      </c>
      <c r="D13" t="s">
        <v>31</v>
      </c>
      <c r="E13" t="s">
        <v>33</v>
      </c>
      <c r="F13" t="s">
        <v>53</v>
      </c>
      <c r="G13" t="s">
        <v>54</v>
      </c>
      <c r="H13" t="s">
        <v>55</v>
      </c>
      <c r="I13" t="s">
        <v>56</v>
      </c>
      <c r="J13" t="s">
        <v>38</v>
      </c>
      <c r="K13" t="s">
        <v>57</v>
      </c>
      <c r="L13" t="s">
        <v>56</v>
      </c>
      <c r="M13" t="s">
        <v>38</v>
      </c>
      <c r="N13" t="s">
        <v>57</v>
      </c>
      <c r="O13" t="s">
        <v>40</v>
      </c>
      <c r="P13" t="s">
        <v>41</v>
      </c>
      <c r="Q13" t="s">
        <v>42</v>
      </c>
      <c r="R13" t="s">
        <v>58</v>
      </c>
      <c r="S13" t="s">
        <v>98</v>
      </c>
      <c r="T13">
        <v>-233362.86391733863</v>
      </c>
      <c r="U13">
        <v>-38893.81065288977</v>
      </c>
      <c r="V13">
        <v>-38893.81065288977</v>
      </c>
      <c r="X13" s="3">
        <v>46081</v>
      </c>
      <c r="Y13" s="3">
        <v>46081</v>
      </c>
      <c r="AA13" t="s">
        <v>41</v>
      </c>
      <c r="AB13" t="s">
        <v>45</v>
      </c>
      <c r="AC13" t="s">
        <v>46</v>
      </c>
      <c r="AE13">
        <v>-38893.81065288977</v>
      </c>
    </row>
    <row r="14" spans="1:31" x14ac:dyDescent="0.25">
      <c r="B14" t="s">
        <v>31</v>
      </c>
      <c r="C14" t="s">
        <v>32</v>
      </c>
      <c r="D14" t="s">
        <v>31</v>
      </c>
      <c r="E14" t="s">
        <v>33</v>
      </c>
      <c r="F14" t="s">
        <v>59</v>
      </c>
      <c r="G14" t="s">
        <v>60</v>
      </c>
      <c r="H14" t="s">
        <v>61</v>
      </c>
      <c r="I14" t="s">
        <v>62</v>
      </c>
      <c r="J14" t="s">
        <v>38</v>
      </c>
      <c r="K14" t="s">
        <v>63</v>
      </c>
      <c r="L14" t="s">
        <v>62</v>
      </c>
      <c r="M14" t="s">
        <v>38</v>
      </c>
      <c r="N14" t="s">
        <v>63</v>
      </c>
      <c r="O14" t="s">
        <v>40</v>
      </c>
      <c r="P14" t="s">
        <v>41</v>
      </c>
      <c r="Q14" t="s">
        <v>42</v>
      </c>
      <c r="R14" t="s">
        <v>64</v>
      </c>
      <c r="S14" t="s">
        <v>98</v>
      </c>
      <c r="T14">
        <v>-233362.86391733863</v>
      </c>
      <c r="U14">
        <v>-38893.81065288977</v>
      </c>
      <c r="V14">
        <v>-38893.81065288977</v>
      </c>
      <c r="X14" s="3">
        <v>46081</v>
      </c>
      <c r="Y14" s="3">
        <v>46081</v>
      </c>
      <c r="AA14" t="s">
        <v>41</v>
      </c>
      <c r="AB14" t="s">
        <v>45</v>
      </c>
      <c r="AC14" t="s">
        <v>46</v>
      </c>
      <c r="AE14">
        <v>-38893.81065288977</v>
      </c>
    </row>
    <row r="15" spans="1:31" x14ac:dyDescent="0.25">
      <c r="B15" t="s">
        <v>31</v>
      </c>
      <c r="C15" t="s">
        <v>32</v>
      </c>
      <c r="D15" t="s">
        <v>31</v>
      </c>
      <c r="E15" t="s">
        <v>33</v>
      </c>
      <c r="F15" t="s">
        <v>65</v>
      </c>
      <c r="G15" t="s">
        <v>66</v>
      </c>
      <c r="H15" t="s">
        <v>67</v>
      </c>
      <c r="I15" t="s">
        <v>68</v>
      </c>
      <c r="J15" t="s">
        <v>38</v>
      </c>
      <c r="K15" t="s">
        <v>69</v>
      </c>
      <c r="L15" t="s">
        <v>68</v>
      </c>
      <c r="M15" t="s">
        <v>38</v>
      </c>
      <c r="N15" t="s">
        <v>69</v>
      </c>
      <c r="O15" t="s">
        <v>40</v>
      </c>
      <c r="P15" t="s">
        <v>41</v>
      </c>
      <c r="Q15" t="s">
        <v>42</v>
      </c>
      <c r="R15" t="s">
        <v>70</v>
      </c>
      <c r="S15" t="s">
        <v>98</v>
      </c>
      <c r="T15">
        <v>-233362.86391733863</v>
      </c>
      <c r="U15">
        <v>-38893.81065288977</v>
      </c>
      <c r="V15">
        <v>-38893.81065288977</v>
      </c>
      <c r="X15" s="3">
        <v>46081</v>
      </c>
      <c r="Y15" s="3">
        <v>46081</v>
      </c>
      <c r="AA15" t="s">
        <v>41</v>
      </c>
      <c r="AB15" t="s">
        <v>45</v>
      </c>
      <c r="AC15" t="s">
        <v>46</v>
      </c>
      <c r="AE15">
        <v>-38893.81065288977</v>
      </c>
    </row>
    <row r="16" spans="1:31" x14ac:dyDescent="0.25">
      <c r="B16" t="s">
        <v>31</v>
      </c>
      <c r="C16" t="s">
        <v>32</v>
      </c>
      <c r="D16" t="s">
        <v>31</v>
      </c>
      <c r="E16" t="s">
        <v>33</v>
      </c>
      <c r="F16" t="s">
        <v>71</v>
      </c>
      <c r="G16" t="s">
        <v>72</v>
      </c>
      <c r="H16" t="s">
        <v>73</v>
      </c>
      <c r="I16" t="s">
        <v>74</v>
      </c>
      <c r="J16" t="s">
        <v>38</v>
      </c>
      <c r="K16" t="s">
        <v>75</v>
      </c>
      <c r="L16" t="s">
        <v>74</v>
      </c>
      <c r="M16" t="s">
        <v>38</v>
      </c>
      <c r="N16" t="s">
        <v>75</v>
      </c>
      <c r="O16" t="s">
        <v>40</v>
      </c>
      <c r="P16" t="s">
        <v>41</v>
      </c>
      <c r="Q16" t="s">
        <v>42</v>
      </c>
      <c r="R16" t="s">
        <v>76</v>
      </c>
      <c r="S16" t="s">
        <v>98</v>
      </c>
      <c r="T16">
        <v>-233362.86391733863</v>
      </c>
      <c r="U16">
        <v>-38893.81065288977</v>
      </c>
      <c r="V16">
        <v>-38893.81065288977</v>
      </c>
      <c r="X16" s="3">
        <v>46081</v>
      </c>
      <c r="Y16" s="3">
        <v>46081</v>
      </c>
      <c r="AA16" t="s">
        <v>41</v>
      </c>
      <c r="AB16" t="s">
        <v>45</v>
      </c>
      <c r="AC16" t="s">
        <v>46</v>
      </c>
      <c r="AE16">
        <v>-38893.81065288977</v>
      </c>
    </row>
    <row r="17" spans="2:31" x14ac:dyDescent="0.25">
      <c r="B17" t="s">
        <v>77</v>
      </c>
      <c r="C17" t="s">
        <v>78</v>
      </c>
      <c r="D17" t="s">
        <v>77</v>
      </c>
      <c r="E17" t="s">
        <v>79</v>
      </c>
      <c r="F17" t="s">
        <v>80</v>
      </c>
      <c r="G17" t="s">
        <v>60</v>
      </c>
      <c r="H17" t="s">
        <v>81</v>
      </c>
      <c r="I17" t="s">
        <v>82</v>
      </c>
      <c r="J17" t="s">
        <v>38</v>
      </c>
      <c r="K17" t="s">
        <v>83</v>
      </c>
      <c r="L17" t="s">
        <v>82</v>
      </c>
      <c r="M17" t="s">
        <v>38</v>
      </c>
      <c r="N17" t="s">
        <v>83</v>
      </c>
      <c r="O17" t="s">
        <v>40</v>
      </c>
      <c r="P17" t="s">
        <v>41</v>
      </c>
      <c r="Q17" t="s">
        <v>42</v>
      </c>
      <c r="R17" t="s">
        <v>77</v>
      </c>
      <c r="S17" t="s">
        <v>98</v>
      </c>
      <c r="T17">
        <v>-49150.512733050375</v>
      </c>
      <c r="U17">
        <v>-49150.512733050375</v>
      </c>
      <c r="V17">
        <v>-49150.512733050375</v>
      </c>
      <c r="X17" s="3">
        <v>46081</v>
      </c>
      <c r="Y17" s="3">
        <v>46081</v>
      </c>
      <c r="AA17" t="s">
        <v>41</v>
      </c>
      <c r="AB17" t="s">
        <v>45</v>
      </c>
      <c r="AC17" t="s">
        <v>46</v>
      </c>
      <c r="AE17">
        <v>-49150.512733050375</v>
      </c>
    </row>
    <row r="18" spans="2:31" x14ac:dyDescent="0.25">
      <c r="B18" t="s">
        <v>84</v>
      </c>
      <c r="C18" t="s">
        <v>85</v>
      </c>
      <c r="D18" t="s">
        <v>84</v>
      </c>
      <c r="E18" t="s">
        <v>86</v>
      </c>
      <c r="F18" t="s">
        <v>87</v>
      </c>
      <c r="G18" t="s">
        <v>60</v>
      </c>
      <c r="H18" t="s">
        <v>88</v>
      </c>
      <c r="I18" t="s">
        <v>89</v>
      </c>
      <c r="J18" t="s">
        <v>38</v>
      </c>
      <c r="K18" t="s">
        <v>90</v>
      </c>
      <c r="L18" t="s">
        <v>89</v>
      </c>
      <c r="M18" t="s">
        <v>38</v>
      </c>
      <c r="N18" t="s">
        <v>90</v>
      </c>
      <c r="O18" t="s">
        <v>40</v>
      </c>
      <c r="P18" t="s">
        <v>41</v>
      </c>
      <c r="Q18" t="s">
        <v>42</v>
      </c>
      <c r="S18" t="s">
        <v>98</v>
      </c>
      <c r="T18">
        <v>-2519.3899317648811</v>
      </c>
      <c r="U18">
        <v>-2519.3899317648811</v>
      </c>
      <c r="V18">
        <v>-2519.3899317648811</v>
      </c>
      <c r="X18" s="3">
        <v>46081</v>
      </c>
      <c r="Y18" s="3">
        <v>46081</v>
      </c>
      <c r="AA18" t="s">
        <v>41</v>
      </c>
      <c r="AB18" t="s">
        <v>45</v>
      </c>
      <c r="AC18" t="s">
        <v>46</v>
      </c>
      <c r="AE18">
        <v>-2519.3899317648811</v>
      </c>
    </row>
    <row r="19" spans="2:31" x14ac:dyDescent="0.25">
      <c r="B19" t="s">
        <v>91</v>
      </c>
      <c r="C19" t="s">
        <v>92</v>
      </c>
      <c r="D19" t="s">
        <v>91</v>
      </c>
      <c r="E19" t="s">
        <v>93</v>
      </c>
      <c r="F19" t="s">
        <v>94</v>
      </c>
      <c r="G19" t="s">
        <v>60</v>
      </c>
      <c r="H19" t="s">
        <v>95</v>
      </c>
      <c r="I19" t="s">
        <v>96</v>
      </c>
      <c r="J19" t="s">
        <v>38</v>
      </c>
      <c r="K19" t="s">
        <v>97</v>
      </c>
      <c r="L19" t="s">
        <v>96</v>
      </c>
      <c r="M19" t="s">
        <v>38</v>
      </c>
      <c r="N19" t="s">
        <v>97</v>
      </c>
      <c r="O19" t="s">
        <v>40</v>
      </c>
      <c r="P19" t="s">
        <v>41</v>
      </c>
      <c r="Q19" t="s">
        <v>42</v>
      </c>
      <c r="S19" t="s">
        <v>98</v>
      </c>
      <c r="T19">
        <v>-21453.323140068434</v>
      </c>
      <c r="U19">
        <v>-21453.323140068434</v>
      </c>
      <c r="V19">
        <v>-21453.323140068434</v>
      </c>
      <c r="X19" s="3">
        <v>46081</v>
      </c>
      <c r="Y19" s="3">
        <v>46081</v>
      </c>
      <c r="AA19" t="s">
        <v>41</v>
      </c>
      <c r="AB19" t="s">
        <v>45</v>
      </c>
      <c r="AC19" t="s">
        <v>46</v>
      </c>
      <c r="AE19">
        <v>-21453.323140068434</v>
      </c>
    </row>
  </sheetData>
  <autoFilter ref="A1:AE10" xr:uid="{02CEDB27-A93D-4530-B8CF-F653187D1106}">
    <sortState xmlns:xlrd2="http://schemas.microsoft.com/office/spreadsheetml/2017/richdata2" ref="A2:AE10">
      <sortCondition ref="X1:X10"/>
    </sortState>
  </autoFilter>
  <phoneticPr fontId="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45B5-CC89-4857-A99F-558E0B72077C}">
  <dimension ref="A1:M10"/>
  <sheetViews>
    <sheetView tabSelected="1" workbookViewId="0">
      <selection activeCell="D20" sqref="D20"/>
    </sheetView>
  </sheetViews>
  <sheetFormatPr defaultRowHeight="15" x14ac:dyDescent="0.25"/>
  <cols>
    <col min="1" max="1" width="20.140625" bestFit="1" customWidth="1"/>
    <col min="2" max="2" width="19.5703125" bestFit="1" customWidth="1"/>
    <col min="3" max="4" width="11.5703125" bestFit="1" customWidth="1"/>
    <col min="5" max="5" width="10.5703125" bestFit="1" customWidth="1"/>
    <col min="6" max="6" width="11.5703125" bestFit="1" customWidth="1"/>
    <col min="7" max="9" width="10.7109375" bestFit="1" customWidth="1"/>
    <col min="10" max="10" width="27.140625" bestFit="1" customWidth="1"/>
    <col min="11" max="12" width="10.7109375" bestFit="1" customWidth="1"/>
    <col min="13" max="13" width="12" bestFit="1" customWidth="1"/>
    <col min="14" max="47" width="10.7109375" bestFit="1" customWidth="1"/>
    <col min="48" max="48" width="7" bestFit="1" customWidth="1"/>
    <col min="49" max="49" width="10.7109375" bestFit="1" customWidth="1"/>
  </cols>
  <sheetData>
    <row r="1" spans="1:13" x14ac:dyDescent="0.25">
      <c r="A1" s="12" t="s">
        <v>17</v>
      </c>
      <c r="B1" t="s">
        <v>99</v>
      </c>
    </row>
    <row r="3" spans="1:13" x14ac:dyDescent="0.25">
      <c r="A3" s="12" t="s">
        <v>100</v>
      </c>
      <c r="B3" s="12" t="s">
        <v>101</v>
      </c>
    </row>
    <row r="4" spans="1:13" x14ac:dyDescent="0.25">
      <c r="B4" t="s">
        <v>102</v>
      </c>
      <c r="C4" t="s">
        <v>103</v>
      </c>
      <c r="D4" t="s">
        <v>104</v>
      </c>
      <c r="E4" t="s">
        <v>105</v>
      </c>
      <c r="F4" t="s">
        <v>106</v>
      </c>
    </row>
    <row r="6" spans="1:13" x14ac:dyDescent="0.25">
      <c r="A6" s="12" t="s">
        <v>107</v>
      </c>
      <c r="L6">
        <v>1</v>
      </c>
      <c r="M6">
        <v>2</v>
      </c>
    </row>
    <row r="7" spans="1:13" x14ac:dyDescent="0.25">
      <c r="A7" s="13" t="s">
        <v>108</v>
      </c>
      <c r="C7" s="14">
        <v>-352282.66972222208</v>
      </c>
      <c r="D7" s="14">
        <v>-306486.0897222223</v>
      </c>
      <c r="E7" s="14">
        <v>-33042.880000000005</v>
      </c>
      <c r="F7" s="14">
        <v>-691811.63944444444</v>
      </c>
      <c r="J7" s="11" t="s">
        <v>77</v>
      </c>
      <c r="K7" s="5">
        <v>0.16036784174315052</v>
      </c>
      <c r="L7">
        <f>K7*GETPIVOTDATA("Valor Oficial",$A$3,"sdssds","PILARES","Meses (data_nf)",1)</f>
        <v>-56494.811426867876</v>
      </c>
      <c r="M7">
        <f>K7*GETPIVOTDATA("Valor Oficial",$A$3,"sdssds","PILARES","Meses (data_nf)",2)</f>
        <v>-49150.512733050375</v>
      </c>
    </row>
    <row r="8" spans="1:13" x14ac:dyDescent="0.25">
      <c r="A8" s="13" t="s">
        <v>109</v>
      </c>
      <c r="C8" s="14"/>
      <c r="D8" s="14"/>
      <c r="E8" s="14"/>
      <c r="F8" s="14"/>
      <c r="J8" s="6" t="s">
        <v>110</v>
      </c>
      <c r="K8" s="5">
        <v>8.2202423413352335E-3</v>
      </c>
      <c r="L8">
        <f>K8*GETPIVOTDATA("Valor Oficial",$A$3,"sdssds","PILARES","Meses (data_nf)",1)</f>
        <v>-2895.8489177692254</v>
      </c>
      <c r="M8">
        <f>K8*GETPIVOTDATA("Valor Oficial",$A$3,"sdssds","PILARES","Meses (data_nf)",2)</f>
        <v>-2519.3899317648811</v>
      </c>
    </row>
    <row r="9" spans="1:13" x14ac:dyDescent="0.25">
      <c r="A9" s="13" t="s">
        <v>106</v>
      </c>
      <c r="C9" s="14">
        <v>-352282.66972222208</v>
      </c>
      <c r="D9" s="14">
        <v>-306486.0897222223</v>
      </c>
      <c r="E9" s="14">
        <v>-33042.880000000005</v>
      </c>
      <c r="F9" s="14">
        <v>-691811.63944444444</v>
      </c>
      <c r="J9" s="8" t="s">
        <v>31</v>
      </c>
      <c r="K9" s="5">
        <v>0.76141421011584087</v>
      </c>
      <c r="L9">
        <f t="shared" ref="L9:L10" si="0">K9*GETPIVOTDATA("Valor Oficial",$A$3,"sdssds","PILARES","Meses (data_nf)",1)</f>
        <v>-268233.03070404538</v>
      </c>
      <c r="M9">
        <f t="shared" ref="M9:M10" si="1">K9*GETPIVOTDATA("Valor Oficial",$A$3,"sdssds","PILARES","Meses (data_nf)",2)</f>
        <v>-233362.86391733863</v>
      </c>
    </row>
    <row r="10" spans="1:13" x14ac:dyDescent="0.25">
      <c r="J10" s="7" t="s">
        <v>91</v>
      </c>
      <c r="K10" s="5">
        <v>6.9997705799673446E-2</v>
      </c>
      <c r="L10">
        <f t="shared" si="0"/>
        <v>-24658.97867353963</v>
      </c>
      <c r="M10">
        <f t="shared" si="1"/>
        <v>-21453.323140068434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248"/>
  <sheetViews>
    <sheetView zoomScale="85" zoomScaleNormal="85" workbookViewId="0">
      <selection activeCell="D128" sqref="D128:D131"/>
    </sheetView>
  </sheetViews>
  <sheetFormatPr defaultRowHeight="15" x14ac:dyDescent="0.25"/>
  <cols>
    <col min="24" max="24" width="10.7109375" style="3" bestFit="1" customWidth="1"/>
    <col min="25" max="25" width="20.5703125" bestFit="1" customWidth="1"/>
  </cols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B2" t="s">
        <v>108</v>
      </c>
      <c r="C2" t="s">
        <v>111</v>
      </c>
      <c r="D2" t="s">
        <v>108</v>
      </c>
      <c r="E2" t="s">
        <v>112</v>
      </c>
      <c r="F2" t="s">
        <v>113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121</v>
      </c>
      <c r="R2" t="s">
        <v>122</v>
      </c>
      <c r="S2" t="s">
        <v>123</v>
      </c>
      <c r="T2">
        <v>-1351.02</v>
      </c>
      <c r="U2">
        <v>-1351.02</v>
      </c>
      <c r="V2">
        <v>-1351.02</v>
      </c>
      <c r="W2" t="s">
        <v>124</v>
      </c>
      <c r="X2" s="3">
        <v>46028</v>
      </c>
      <c r="Y2" s="3">
        <v>46028</v>
      </c>
      <c r="Z2" t="s">
        <v>125</v>
      </c>
      <c r="AA2" t="s">
        <v>126</v>
      </c>
      <c r="AB2" t="s">
        <v>45</v>
      </c>
      <c r="AC2" t="s">
        <v>127</v>
      </c>
      <c r="AE2">
        <v>-1351.02</v>
      </c>
    </row>
    <row r="3" spans="1:31" x14ac:dyDescent="0.25">
      <c r="B3" t="s">
        <v>108</v>
      </c>
      <c r="C3" t="s">
        <v>111</v>
      </c>
      <c r="D3" t="s">
        <v>108</v>
      </c>
      <c r="E3" t="s">
        <v>112</v>
      </c>
      <c r="F3" t="s">
        <v>113</v>
      </c>
      <c r="G3" t="s">
        <v>114</v>
      </c>
      <c r="H3" t="s">
        <v>115</v>
      </c>
      <c r="I3" t="s">
        <v>116</v>
      </c>
      <c r="J3" t="s">
        <v>117</v>
      </c>
      <c r="K3" t="s">
        <v>118</v>
      </c>
      <c r="L3" t="s">
        <v>116</v>
      </c>
      <c r="M3" t="s">
        <v>117</v>
      </c>
      <c r="N3" t="s">
        <v>118</v>
      </c>
      <c r="O3" t="s">
        <v>119</v>
      </c>
      <c r="P3" t="s">
        <v>120</v>
      </c>
      <c r="Q3" t="s">
        <v>121</v>
      </c>
      <c r="R3" t="s">
        <v>128</v>
      </c>
      <c r="S3" t="s">
        <v>129</v>
      </c>
      <c r="T3">
        <v>-1351.02</v>
      </c>
      <c r="U3">
        <v>-1351.02</v>
      </c>
      <c r="V3">
        <v>-1351.02</v>
      </c>
      <c r="W3" t="s">
        <v>130</v>
      </c>
      <c r="X3" s="3">
        <v>46028</v>
      </c>
      <c r="Y3" s="3">
        <v>46028</v>
      </c>
      <c r="Z3" t="s">
        <v>131</v>
      </c>
      <c r="AA3" t="s">
        <v>132</v>
      </c>
      <c r="AB3" t="s">
        <v>45</v>
      </c>
      <c r="AC3" t="s">
        <v>127</v>
      </c>
      <c r="AE3">
        <v>-1351.02</v>
      </c>
    </row>
    <row r="4" spans="1:31" x14ac:dyDescent="0.25">
      <c r="B4" t="s">
        <v>108</v>
      </c>
      <c r="C4" t="s">
        <v>111</v>
      </c>
      <c r="D4" t="s">
        <v>108</v>
      </c>
      <c r="E4" t="s">
        <v>112</v>
      </c>
      <c r="F4" t="s">
        <v>133</v>
      </c>
      <c r="G4" t="s">
        <v>134</v>
      </c>
      <c r="H4" t="s">
        <v>135</v>
      </c>
      <c r="I4" t="s">
        <v>133</v>
      </c>
      <c r="J4" t="s">
        <v>134</v>
      </c>
      <c r="K4" t="s">
        <v>135</v>
      </c>
      <c r="L4" t="s">
        <v>133</v>
      </c>
      <c r="M4" t="s">
        <v>134</v>
      </c>
      <c r="N4" t="s">
        <v>135</v>
      </c>
      <c r="O4" t="s">
        <v>136</v>
      </c>
      <c r="P4" t="s">
        <v>137</v>
      </c>
      <c r="Q4" t="s">
        <v>138</v>
      </c>
      <c r="R4" t="s">
        <v>64</v>
      </c>
      <c r="S4" t="s">
        <v>139</v>
      </c>
      <c r="T4">
        <v>-8000</v>
      </c>
      <c r="U4">
        <v>-8000</v>
      </c>
      <c r="V4">
        <v>-8000</v>
      </c>
      <c r="W4" t="s">
        <v>140</v>
      </c>
      <c r="X4" s="3">
        <v>46029</v>
      </c>
      <c r="Y4" s="3">
        <v>46029</v>
      </c>
      <c r="Z4" t="s">
        <v>141</v>
      </c>
      <c r="AA4" t="s">
        <v>142</v>
      </c>
      <c r="AB4" t="s">
        <v>45</v>
      </c>
      <c r="AC4" t="s">
        <v>127</v>
      </c>
      <c r="AE4">
        <v>-8000</v>
      </c>
    </row>
    <row r="5" spans="1:31" x14ac:dyDescent="0.25">
      <c r="B5" t="s">
        <v>108</v>
      </c>
      <c r="C5" t="s">
        <v>111</v>
      </c>
      <c r="D5" t="s">
        <v>108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  <c r="J5" t="s">
        <v>117</v>
      </c>
      <c r="K5" t="s">
        <v>118</v>
      </c>
      <c r="L5" t="s">
        <v>116</v>
      </c>
      <c r="M5" t="s">
        <v>117</v>
      </c>
      <c r="N5" t="s">
        <v>118</v>
      </c>
      <c r="O5" t="s">
        <v>143</v>
      </c>
      <c r="P5" t="s">
        <v>144</v>
      </c>
      <c r="Q5" t="s">
        <v>145</v>
      </c>
      <c r="R5" t="s">
        <v>122</v>
      </c>
      <c r="S5" t="s">
        <v>146</v>
      </c>
      <c r="T5">
        <v>-5989.17</v>
      </c>
      <c r="U5">
        <v>-5989.17</v>
      </c>
      <c r="V5">
        <v>-5989.17</v>
      </c>
      <c r="W5" t="s">
        <v>147</v>
      </c>
      <c r="X5" s="3">
        <v>46027</v>
      </c>
      <c r="Y5" s="3">
        <v>46027</v>
      </c>
      <c r="Z5" t="s">
        <v>148</v>
      </c>
      <c r="AA5" t="s">
        <v>149</v>
      </c>
      <c r="AB5" t="s">
        <v>45</v>
      </c>
      <c r="AC5" t="s">
        <v>127</v>
      </c>
      <c r="AE5">
        <v>-5989.17</v>
      </c>
    </row>
    <row r="6" spans="1:31" x14ac:dyDescent="0.25">
      <c r="B6" t="s">
        <v>108</v>
      </c>
      <c r="C6" t="s">
        <v>111</v>
      </c>
      <c r="D6" t="s">
        <v>108</v>
      </c>
      <c r="E6" t="s">
        <v>112</v>
      </c>
      <c r="F6" t="s">
        <v>150</v>
      </c>
      <c r="G6" t="s">
        <v>151</v>
      </c>
      <c r="H6" t="s">
        <v>152</v>
      </c>
      <c r="I6" t="s">
        <v>150</v>
      </c>
      <c r="J6" t="s">
        <v>151</v>
      </c>
      <c r="K6" t="s">
        <v>152</v>
      </c>
      <c r="L6" t="s">
        <v>150</v>
      </c>
      <c r="M6" t="s">
        <v>151</v>
      </c>
      <c r="N6" t="s">
        <v>152</v>
      </c>
      <c r="O6" t="s">
        <v>153</v>
      </c>
      <c r="P6" t="s">
        <v>154</v>
      </c>
      <c r="Q6" t="s">
        <v>155</v>
      </c>
      <c r="R6" t="s">
        <v>64</v>
      </c>
      <c r="S6" t="s">
        <v>156</v>
      </c>
      <c r="T6">
        <v>-600</v>
      </c>
      <c r="U6">
        <v>-600</v>
      </c>
      <c r="V6">
        <v>-600</v>
      </c>
      <c r="W6" t="s">
        <v>157</v>
      </c>
      <c r="X6" s="3">
        <v>46030</v>
      </c>
      <c r="Y6" s="3">
        <v>46030</v>
      </c>
      <c r="Z6" t="s">
        <v>158</v>
      </c>
      <c r="AA6" t="s">
        <v>159</v>
      </c>
      <c r="AB6" t="s">
        <v>45</v>
      </c>
      <c r="AC6" t="s">
        <v>127</v>
      </c>
      <c r="AE6">
        <v>-600</v>
      </c>
    </row>
    <row r="7" spans="1:31" x14ac:dyDescent="0.25">
      <c r="B7" t="s">
        <v>108</v>
      </c>
      <c r="C7" t="s">
        <v>111</v>
      </c>
      <c r="D7" t="s">
        <v>108</v>
      </c>
      <c r="E7" t="s">
        <v>112</v>
      </c>
      <c r="F7" t="s">
        <v>160</v>
      </c>
      <c r="G7" t="s">
        <v>38</v>
      </c>
      <c r="H7" t="s">
        <v>161</v>
      </c>
      <c r="I7" t="s">
        <v>160</v>
      </c>
      <c r="J7" t="s">
        <v>38</v>
      </c>
      <c r="K7" t="s">
        <v>161</v>
      </c>
      <c r="L7" t="s">
        <v>160</v>
      </c>
      <c r="M7" t="s">
        <v>38</v>
      </c>
      <c r="N7" t="s">
        <v>161</v>
      </c>
      <c r="O7" t="s">
        <v>162</v>
      </c>
      <c r="P7" t="s">
        <v>163</v>
      </c>
      <c r="Q7" t="s">
        <v>164</v>
      </c>
      <c r="R7" t="s">
        <v>64</v>
      </c>
      <c r="S7" t="s">
        <v>165</v>
      </c>
      <c r="T7">
        <v>-1350</v>
      </c>
      <c r="U7">
        <v>-1350</v>
      </c>
      <c r="V7">
        <v>-1350</v>
      </c>
      <c r="W7" t="s">
        <v>166</v>
      </c>
      <c r="X7" s="3">
        <v>46035</v>
      </c>
      <c r="Y7" s="3">
        <v>46035</v>
      </c>
      <c r="Z7" t="s">
        <v>167</v>
      </c>
      <c r="AA7" t="s">
        <v>168</v>
      </c>
      <c r="AB7" t="s">
        <v>45</v>
      </c>
      <c r="AC7" t="s">
        <v>127</v>
      </c>
      <c r="AE7">
        <v>-1350</v>
      </c>
    </row>
    <row r="8" spans="1:31" x14ac:dyDescent="0.25">
      <c r="B8" t="s">
        <v>108</v>
      </c>
      <c r="C8" t="s">
        <v>111</v>
      </c>
      <c r="D8" t="s">
        <v>108</v>
      </c>
      <c r="E8" t="s">
        <v>112</v>
      </c>
      <c r="F8" t="s">
        <v>169</v>
      </c>
      <c r="G8" t="s">
        <v>170</v>
      </c>
      <c r="H8" t="s">
        <v>171</v>
      </c>
      <c r="I8" t="s">
        <v>169</v>
      </c>
      <c r="J8" t="s">
        <v>170</v>
      </c>
      <c r="K8" t="s">
        <v>171</v>
      </c>
      <c r="L8" t="s">
        <v>169</v>
      </c>
      <c r="M8" t="s">
        <v>170</v>
      </c>
      <c r="N8" t="s">
        <v>171</v>
      </c>
      <c r="O8" t="s">
        <v>172</v>
      </c>
      <c r="P8" t="s">
        <v>173</v>
      </c>
      <c r="Q8" t="s">
        <v>174</v>
      </c>
      <c r="R8" t="s">
        <v>70</v>
      </c>
      <c r="S8" t="s">
        <v>175</v>
      </c>
      <c r="T8">
        <v>-43696.52</v>
      </c>
      <c r="U8">
        <v>-43696.52</v>
      </c>
      <c r="V8">
        <v>-43696.52</v>
      </c>
      <c r="W8" t="s">
        <v>176</v>
      </c>
      <c r="X8" s="3">
        <v>46038</v>
      </c>
      <c r="Y8" s="3">
        <v>46038</v>
      </c>
      <c r="Z8" t="s">
        <v>177</v>
      </c>
      <c r="AA8" t="s">
        <v>178</v>
      </c>
      <c r="AB8" t="s">
        <v>45</v>
      </c>
      <c r="AC8" t="s">
        <v>127</v>
      </c>
      <c r="AE8">
        <v>-43696.52</v>
      </c>
    </row>
    <row r="9" spans="1:31" x14ac:dyDescent="0.25">
      <c r="B9" t="s">
        <v>108</v>
      </c>
      <c r="C9" t="s">
        <v>111</v>
      </c>
      <c r="D9" t="s">
        <v>108</v>
      </c>
      <c r="E9" t="s">
        <v>112</v>
      </c>
      <c r="F9" t="s">
        <v>169</v>
      </c>
      <c r="G9" t="s">
        <v>170</v>
      </c>
      <c r="H9" t="s">
        <v>171</v>
      </c>
      <c r="I9" t="s">
        <v>169</v>
      </c>
      <c r="J9" t="s">
        <v>170</v>
      </c>
      <c r="K9" t="s">
        <v>171</v>
      </c>
      <c r="L9" t="s">
        <v>169</v>
      </c>
      <c r="M9" t="s">
        <v>170</v>
      </c>
      <c r="N9" t="s">
        <v>171</v>
      </c>
      <c r="O9" t="s">
        <v>179</v>
      </c>
      <c r="P9" t="s">
        <v>180</v>
      </c>
      <c r="Q9" t="s">
        <v>181</v>
      </c>
      <c r="R9" t="s">
        <v>70</v>
      </c>
      <c r="S9" t="s">
        <v>175</v>
      </c>
      <c r="T9">
        <v>-43696.53</v>
      </c>
      <c r="U9">
        <v>-43696.53</v>
      </c>
      <c r="V9">
        <v>-43696.53</v>
      </c>
      <c r="W9" t="s">
        <v>176</v>
      </c>
      <c r="X9" s="3">
        <v>46038</v>
      </c>
      <c r="Y9" s="3">
        <v>46038</v>
      </c>
      <c r="Z9" t="s">
        <v>177</v>
      </c>
      <c r="AA9" t="s">
        <v>178</v>
      </c>
      <c r="AB9" t="s">
        <v>45</v>
      </c>
      <c r="AC9" t="s">
        <v>127</v>
      </c>
      <c r="AE9">
        <v>-43696.53</v>
      </c>
    </row>
    <row r="10" spans="1:31" x14ac:dyDescent="0.25">
      <c r="B10" t="s">
        <v>108</v>
      </c>
      <c r="C10" t="s">
        <v>111</v>
      </c>
      <c r="D10" t="s">
        <v>108</v>
      </c>
      <c r="E10" t="s">
        <v>112</v>
      </c>
      <c r="F10" t="s">
        <v>169</v>
      </c>
      <c r="G10" t="s">
        <v>170</v>
      </c>
      <c r="H10" t="s">
        <v>171</v>
      </c>
      <c r="I10" t="s">
        <v>169</v>
      </c>
      <c r="J10" t="s">
        <v>170</v>
      </c>
      <c r="K10" t="s">
        <v>171</v>
      </c>
      <c r="L10" t="s">
        <v>169</v>
      </c>
      <c r="M10" t="s">
        <v>170</v>
      </c>
      <c r="N10" t="s">
        <v>171</v>
      </c>
      <c r="O10" t="s">
        <v>182</v>
      </c>
      <c r="P10" t="s">
        <v>183</v>
      </c>
      <c r="Q10" t="s">
        <v>184</v>
      </c>
      <c r="R10" t="s">
        <v>70</v>
      </c>
      <c r="S10" t="s">
        <v>185</v>
      </c>
      <c r="T10">
        <v>-31046.15</v>
      </c>
      <c r="U10">
        <v>-31046.15</v>
      </c>
      <c r="V10">
        <v>-31046.15</v>
      </c>
      <c r="W10" t="s">
        <v>186</v>
      </c>
      <c r="X10" s="3">
        <v>46038</v>
      </c>
      <c r="Y10" s="3">
        <v>46038</v>
      </c>
      <c r="Z10" t="s">
        <v>187</v>
      </c>
      <c r="AA10" t="s">
        <v>188</v>
      </c>
      <c r="AB10" t="s">
        <v>45</v>
      </c>
      <c r="AC10" t="s">
        <v>127</v>
      </c>
      <c r="AE10">
        <v>-31046.15</v>
      </c>
    </row>
    <row r="11" spans="1:31" x14ac:dyDescent="0.25">
      <c r="B11" t="s">
        <v>108</v>
      </c>
      <c r="C11" t="s">
        <v>111</v>
      </c>
      <c r="D11" t="s">
        <v>108</v>
      </c>
      <c r="E11" t="s">
        <v>112</v>
      </c>
      <c r="F11" t="s">
        <v>169</v>
      </c>
      <c r="G11" t="s">
        <v>170</v>
      </c>
      <c r="H11" t="s">
        <v>171</v>
      </c>
      <c r="I11" t="s">
        <v>169</v>
      </c>
      <c r="J11" t="s">
        <v>170</v>
      </c>
      <c r="K11" t="s">
        <v>171</v>
      </c>
      <c r="L11" t="s">
        <v>169</v>
      </c>
      <c r="M11" t="s">
        <v>170</v>
      </c>
      <c r="N11" t="s">
        <v>171</v>
      </c>
      <c r="O11" t="s">
        <v>182</v>
      </c>
      <c r="P11" t="s">
        <v>183</v>
      </c>
      <c r="Q11" t="s">
        <v>184</v>
      </c>
      <c r="R11" t="s">
        <v>122</v>
      </c>
      <c r="S11" t="s">
        <v>189</v>
      </c>
      <c r="T11">
        <v>-19949.75</v>
      </c>
      <c r="U11">
        <v>-19949.75</v>
      </c>
      <c r="V11">
        <v>-19949.75</v>
      </c>
      <c r="W11" t="s">
        <v>190</v>
      </c>
      <c r="X11" s="3">
        <v>46041</v>
      </c>
      <c r="Y11" s="3">
        <v>46041</v>
      </c>
      <c r="Z11" t="s">
        <v>187</v>
      </c>
      <c r="AA11" t="s">
        <v>188</v>
      </c>
      <c r="AB11" t="s">
        <v>45</v>
      </c>
      <c r="AC11" t="s">
        <v>127</v>
      </c>
      <c r="AE11">
        <v>-19949.75</v>
      </c>
    </row>
    <row r="12" spans="1:31" x14ac:dyDescent="0.25">
      <c r="B12" t="s">
        <v>108</v>
      </c>
      <c r="C12" t="s">
        <v>111</v>
      </c>
      <c r="D12" t="s">
        <v>108</v>
      </c>
      <c r="E12" t="s">
        <v>112</v>
      </c>
      <c r="F12" t="s">
        <v>160</v>
      </c>
      <c r="G12" t="s">
        <v>38</v>
      </c>
      <c r="H12" t="s">
        <v>161</v>
      </c>
      <c r="I12" t="s">
        <v>160</v>
      </c>
      <c r="J12" t="s">
        <v>38</v>
      </c>
      <c r="K12" t="s">
        <v>161</v>
      </c>
      <c r="L12" t="s">
        <v>160</v>
      </c>
      <c r="M12" t="s">
        <v>38</v>
      </c>
      <c r="N12" t="s">
        <v>161</v>
      </c>
      <c r="O12" t="s">
        <v>191</v>
      </c>
      <c r="P12" t="s">
        <v>192</v>
      </c>
      <c r="Q12" t="s">
        <v>193</v>
      </c>
      <c r="R12" t="s">
        <v>64</v>
      </c>
      <c r="S12" t="s">
        <v>194</v>
      </c>
      <c r="T12">
        <v>-200</v>
      </c>
      <c r="U12">
        <v>-200</v>
      </c>
      <c r="V12">
        <v>-200</v>
      </c>
      <c r="W12" t="s">
        <v>195</v>
      </c>
      <c r="X12" s="3">
        <v>46030</v>
      </c>
      <c r="Y12" s="3">
        <v>46030</v>
      </c>
      <c r="Z12" t="s">
        <v>141</v>
      </c>
      <c r="AA12" t="s">
        <v>142</v>
      </c>
      <c r="AB12" t="s">
        <v>45</v>
      </c>
      <c r="AC12" t="s">
        <v>127</v>
      </c>
      <c r="AE12">
        <v>-200</v>
      </c>
    </row>
    <row r="13" spans="1:31" x14ac:dyDescent="0.25">
      <c r="B13" t="s">
        <v>108</v>
      </c>
      <c r="C13" t="s">
        <v>111</v>
      </c>
      <c r="D13" t="s">
        <v>108</v>
      </c>
      <c r="E13" t="s">
        <v>112</v>
      </c>
      <c r="F13" t="s">
        <v>133</v>
      </c>
      <c r="G13" t="s">
        <v>134</v>
      </c>
      <c r="H13" t="s">
        <v>135</v>
      </c>
      <c r="I13" t="s">
        <v>133</v>
      </c>
      <c r="J13" t="s">
        <v>134</v>
      </c>
      <c r="K13" t="s">
        <v>135</v>
      </c>
      <c r="L13" t="s">
        <v>133</v>
      </c>
      <c r="M13" t="s">
        <v>134</v>
      </c>
      <c r="N13" t="s">
        <v>135</v>
      </c>
      <c r="O13" t="s">
        <v>196</v>
      </c>
      <c r="P13" t="s">
        <v>197</v>
      </c>
      <c r="Q13" t="s">
        <v>198</v>
      </c>
      <c r="R13" t="s">
        <v>70</v>
      </c>
      <c r="S13" t="s">
        <v>199</v>
      </c>
      <c r="T13">
        <v>-69.319999999999993</v>
      </c>
      <c r="U13">
        <v>-69.319999999999993</v>
      </c>
      <c r="V13">
        <v>-69.319999999999993</v>
      </c>
      <c r="W13" t="s">
        <v>200</v>
      </c>
      <c r="X13" s="3">
        <v>46024</v>
      </c>
      <c r="Y13" s="3">
        <v>46024</v>
      </c>
      <c r="Z13" t="s">
        <v>201</v>
      </c>
      <c r="AA13" t="s">
        <v>202</v>
      </c>
      <c r="AB13" t="s">
        <v>45</v>
      </c>
      <c r="AC13" t="s">
        <v>127</v>
      </c>
      <c r="AE13">
        <v>-69.319999999999993</v>
      </c>
    </row>
    <row r="14" spans="1:31" x14ac:dyDescent="0.25">
      <c r="B14" t="s">
        <v>108</v>
      </c>
      <c r="C14" t="s">
        <v>111</v>
      </c>
      <c r="D14" t="s">
        <v>108</v>
      </c>
      <c r="E14" t="s">
        <v>112</v>
      </c>
      <c r="F14" t="s">
        <v>150</v>
      </c>
      <c r="G14" t="s">
        <v>151</v>
      </c>
      <c r="H14" t="s">
        <v>152</v>
      </c>
      <c r="I14" t="s">
        <v>150</v>
      </c>
      <c r="J14" t="s">
        <v>151</v>
      </c>
      <c r="K14" t="s">
        <v>152</v>
      </c>
      <c r="L14" t="s">
        <v>150</v>
      </c>
      <c r="M14" t="s">
        <v>151</v>
      </c>
      <c r="N14" t="s">
        <v>152</v>
      </c>
      <c r="O14" t="s">
        <v>153</v>
      </c>
      <c r="P14" t="s">
        <v>154</v>
      </c>
      <c r="Q14" t="s">
        <v>155</v>
      </c>
      <c r="R14" t="s">
        <v>122</v>
      </c>
      <c r="S14" t="s">
        <v>203</v>
      </c>
      <c r="T14">
        <v>-600</v>
      </c>
      <c r="U14">
        <v>-600</v>
      </c>
      <c r="V14">
        <v>-600</v>
      </c>
      <c r="W14" t="s">
        <v>204</v>
      </c>
      <c r="X14" s="3">
        <v>46031</v>
      </c>
      <c r="Y14" s="3">
        <v>46031</v>
      </c>
      <c r="Z14" t="s">
        <v>158</v>
      </c>
      <c r="AA14" t="s">
        <v>159</v>
      </c>
      <c r="AB14" t="s">
        <v>45</v>
      </c>
      <c r="AC14" t="s">
        <v>127</v>
      </c>
      <c r="AE14">
        <v>-600</v>
      </c>
    </row>
    <row r="15" spans="1:31" hidden="1" x14ac:dyDescent="0.25">
      <c r="B15" t="s">
        <v>108</v>
      </c>
      <c r="C15" t="s">
        <v>111</v>
      </c>
      <c r="D15" t="s">
        <v>108</v>
      </c>
      <c r="E15" t="s">
        <v>112</v>
      </c>
      <c r="F15" t="s">
        <v>169</v>
      </c>
      <c r="G15" t="s">
        <v>170</v>
      </c>
      <c r="H15" t="s">
        <v>171</v>
      </c>
      <c r="I15" t="s">
        <v>169</v>
      </c>
      <c r="J15" t="s">
        <v>170</v>
      </c>
      <c r="K15" t="s">
        <v>171</v>
      </c>
      <c r="L15" t="s">
        <v>169</v>
      </c>
      <c r="M15" t="s">
        <v>170</v>
      </c>
      <c r="N15" t="s">
        <v>171</v>
      </c>
      <c r="O15" t="s">
        <v>182</v>
      </c>
      <c r="P15" t="s">
        <v>183</v>
      </c>
      <c r="Q15" t="s">
        <v>184</v>
      </c>
      <c r="R15" t="s">
        <v>205</v>
      </c>
      <c r="S15" t="s">
        <v>206</v>
      </c>
      <c r="T15">
        <v>-308.49</v>
      </c>
      <c r="U15">
        <v>-308.49</v>
      </c>
      <c r="V15">
        <v>-308.49</v>
      </c>
      <c r="W15" t="s">
        <v>207</v>
      </c>
      <c r="X15" s="3">
        <v>46038</v>
      </c>
      <c r="Y15" s="3">
        <v>46038</v>
      </c>
      <c r="Z15" t="s">
        <v>187</v>
      </c>
      <c r="AA15" t="s">
        <v>188</v>
      </c>
      <c r="AB15" t="s">
        <v>45</v>
      </c>
      <c r="AC15" t="s">
        <v>127</v>
      </c>
      <c r="AE15">
        <v>-308.49</v>
      </c>
    </row>
    <row r="16" spans="1:31" x14ac:dyDescent="0.25">
      <c r="B16" t="s">
        <v>108</v>
      </c>
      <c r="C16" t="s">
        <v>111</v>
      </c>
      <c r="D16" t="s">
        <v>108</v>
      </c>
      <c r="E16" t="s">
        <v>112</v>
      </c>
      <c r="F16" t="s">
        <v>113</v>
      </c>
      <c r="G16" t="s">
        <v>114</v>
      </c>
      <c r="H16" t="s">
        <v>115</v>
      </c>
      <c r="I16" t="s">
        <v>116</v>
      </c>
      <c r="J16" t="s">
        <v>117</v>
      </c>
      <c r="K16" t="s">
        <v>118</v>
      </c>
      <c r="L16" t="s">
        <v>116</v>
      </c>
      <c r="M16" t="s">
        <v>117</v>
      </c>
      <c r="N16" t="s">
        <v>118</v>
      </c>
      <c r="O16" t="s">
        <v>208</v>
      </c>
      <c r="P16" t="s">
        <v>209</v>
      </c>
      <c r="Q16" t="s">
        <v>210</v>
      </c>
      <c r="R16" t="s">
        <v>64</v>
      </c>
      <c r="S16" t="s">
        <v>211</v>
      </c>
      <c r="T16">
        <v>-8800.0300000000007</v>
      </c>
      <c r="U16">
        <v>-8800.0300000000007</v>
      </c>
      <c r="V16">
        <v>-8800.0300000000007</v>
      </c>
      <c r="W16" t="s">
        <v>212</v>
      </c>
      <c r="X16" s="3">
        <v>46024</v>
      </c>
      <c r="Y16" s="3">
        <v>46024</v>
      </c>
      <c r="Z16" t="s">
        <v>213</v>
      </c>
      <c r="AA16" t="s">
        <v>214</v>
      </c>
      <c r="AB16" t="s">
        <v>45</v>
      </c>
      <c r="AC16" t="s">
        <v>127</v>
      </c>
      <c r="AE16">
        <v>-8800.0300000000007</v>
      </c>
    </row>
    <row r="17" spans="2:31" x14ac:dyDescent="0.25">
      <c r="B17" t="s">
        <v>108</v>
      </c>
      <c r="C17" t="s">
        <v>111</v>
      </c>
      <c r="D17" t="s">
        <v>108</v>
      </c>
      <c r="E17" t="s">
        <v>112</v>
      </c>
      <c r="F17" t="s">
        <v>169</v>
      </c>
      <c r="G17" t="s">
        <v>170</v>
      </c>
      <c r="H17" t="s">
        <v>171</v>
      </c>
      <c r="I17" t="s">
        <v>169</v>
      </c>
      <c r="J17" t="s">
        <v>170</v>
      </c>
      <c r="K17" t="s">
        <v>171</v>
      </c>
      <c r="L17" t="s">
        <v>169</v>
      </c>
      <c r="M17" t="s">
        <v>170</v>
      </c>
      <c r="N17" t="s">
        <v>171</v>
      </c>
      <c r="O17" t="s">
        <v>215</v>
      </c>
      <c r="P17" t="s">
        <v>216</v>
      </c>
      <c r="Q17" t="s">
        <v>217</v>
      </c>
      <c r="R17" t="s">
        <v>52</v>
      </c>
      <c r="S17" t="s">
        <v>218</v>
      </c>
      <c r="T17">
        <v>-820.12</v>
      </c>
      <c r="U17">
        <v>-820.12</v>
      </c>
      <c r="V17">
        <v>-820.12</v>
      </c>
      <c r="W17" t="s">
        <v>219</v>
      </c>
      <c r="X17" s="3">
        <v>46043</v>
      </c>
      <c r="Y17" s="3">
        <v>46043</v>
      </c>
      <c r="Z17" t="s">
        <v>220</v>
      </c>
      <c r="AA17" t="s">
        <v>221</v>
      </c>
      <c r="AB17" t="s">
        <v>45</v>
      </c>
      <c r="AC17" t="s">
        <v>127</v>
      </c>
      <c r="AE17">
        <v>-820.12</v>
      </c>
    </row>
    <row r="18" spans="2:31" x14ac:dyDescent="0.25">
      <c r="B18" t="s">
        <v>108</v>
      </c>
      <c r="C18" t="s">
        <v>111</v>
      </c>
      <c r="D18" t="s">
        <v>108</v>
      </c>
      <c r="E18" t="s">
        <v>112</v>
      </c>
      <c r="F18" t="s">
        <v>169</v>
      </c>
      <c r="G18" t="s">
        <v>170</v>
      </c>
      <c r="H18" t="s">
        <v>171</v>
      </c>
      <c r="I18" t="s">
        <v>169</v>
      </c>
      <c r="J18" t="s">
        <v>170</v>
      </c>
      <c r="K18" t="s">
        <v>171</v>
      </c>
      <c r="L18" t="s">
        <v>169</v>
      </c>
      <c r="M18" t="s">
        <v>170</v>
      </c>
      <c r="N18" t="s">
        <v>171</v>
      </c>
      <c r="O18" t="s">
        <v>222</v>
      </c>
      <c r="P18" t="s">
        <v>223</v>
      </c>
      <c r="Q18" t="s">
        <v>224</v>
      </c>
      <c r="R18" t="s">
        <v>52</v>
      </c>
      <c r="S18" t="s">
        <v>218</v>
      </c>
      <c r="T18">
        <v>-820.13</v>
      </c>
      <c r="U18">
        <v>-820.13</v>
      </c>
      <c r="V18">
        <v>-820.13</v>
      </c>
      <c r="W18" t="s">
        <v>219</v>
      </c>
      <c r="X18" s="3">
        <v>46043</v>
      </c>
      <c r="Y18" s="3">
        <v>46043</v>
      </c>
      <c r="Z18" t="s">
        <v>220</v>
      </c>
      <c r="AA18" t="s">
        <v>221</v>
      </c>
      <c r="AB18" t="s">
        <v>45</v>
      </c>
      <c r="AC18" t="s">
        <v>127</v>
      </c>
      <c r="AE18">
        <v>-820.13</v>
      </c>
    </row>
    <row r="19" spans="2:31" x14ac:dyDescent="0.25">
      <c r="B19" t="s">
        <v>108</v>
      </c>
      <c r="C19" t="s">
        <v>111</v>
      </c>
      <c r="D19" t="s">
        <v>108</v>
      </c>
      <c r="E19" t="s">
        <v>112</v>
      </c>
      <c r="F19" t="s">
        <v>169</v>
      </c>
      <c r="G19" t="s">
        <v>170</v>
      </c>
      <c r="H19" t="s">
        <v>171</v>
      </c>
      <c r="I19" t="s">
        <v>169</v>
      </c>
      <c r="J19" t="s">
        <v>170</v>
      </c>
      <c r="K19" t="s">
        <v>171</v>
      </c>
      <c r="L19" t="s">
        <v>169</v>
      </c>
      <c r="M19" t="s">
        <v>170</v>
      </c>
      <c r="N19" t="s">
        <v>171</v>
      </c>
      <c r="O19" t="s">
        <v>215</v>
      </c>
      <c r="P19" t="s">
        <v>216</v>
      </c>
      <c r="Q19" t="s">
        <v>217</v>
      </c>
      <c r="R19" t="s">
        <v>76</v>
      </c>
      <c r="S19" t="s">
        <v>225</v>
      </c>
      <c r="T19">
        <v>-286.18</v>
      </c>
      <c r="U19">
        <v>-286.18</v>
      </c>
      <c r="V19">
        <v>-286.18</v>
      </c>
      <c r="W19" t="s">
        <v>226</v>
      </c>
      <c r="X19" s="3">
        <v>46043</v>
      </c>
      <c r="Y19" s="3">
        <v>46043</v>
      </c>
      <c r="Z19" t="s">
        <v>220</v>
      </c>
      <c r="AA19" t="s">
        <v>221</v>
      </c>
      <c r="AB19" t="s">
        <v>45</v>
      </c>
      <c r="AC19" t="s">
        <v>127</v>
      </c>
      <c r="AE19">
        <v>-286.18</v>
      </c>
    </row>
    <row r="20" spans="2:31" x14ac:dyDescent="0.25">
      <c r="B20" t="s">
        <v>108</v>
      </c>
      <c r="C20" t="s">
        <v>111</v>
      </c>
      <c r="D20" t="s">
        <v>108</v>
      </c>
      <c r="E20" t="s">
        <v>112</v>
      </c>
      <c r="F20" t="s">
        <v>169</v>
      </c>
      <c r="G20" t="s">
        <v>170</v>
      </c>
      <c r="H20" t="s">
        <v>171</v>
      </c>
      <c r="I20" t="s">
        <v>169</v>
      </c>
      <c r="J20" t="s">
        <v>170</v>
      </c>
      <c r="K20" t="s">
        <v>171</v>
      </c>
      <c r="L20" t="s">
        <v>169</v>
      </c>
      <c r="M20" t="s">
        <v>170</v>
      </c>
      <c r="N20" t="s">
        <v>171</v>
      </c>
      <c r="O20" t="s">
        <v>222</v>
      </c>
      <c r="P20" t="s">
        <v>223</v>
      </c>
      <c r="Q20" t="s">
        <v>224</v>
      </c>
      <c r="R20" t="s">
        <v>76</v>
      </c>
      <c r="S20" t="s">
        <v>225</v>
      </c>
      <c r="T20">
        <v>-286.19</v>
      </c>
      <c r="U20">
        <v>-286.19</v>
      </c>
      <c r="V20">
        <v>-286.19</v>
      </c>
      <c r="W20" t="s">
        <v>226</v>
      </c>
      <c r="X20" s="3">
        <v>46043</v>
      </c>
      <c r="Y20" s="3">
        <v>46043</v>
      </c>
      <c r="Z20" t="s">
        <v>220</v>
      </c>
      <c r="AA20" t="s">
        <v>221</v>
      </c>
      <c r="AB20" t="s">
        <v>45</v>
      </c>
      <c r="AC20" t="s">
        <v>127</v>
      </c>
      <c r="AE20">
        <v>-286.19</v>
      </c>
    </row>
    <row r="21" spans="2:31" x14ac:dyDescent="0.25">
      <c r="B21" t="s">
        <v>108</v>
      </c>
      <c r="C21" t="s">
        <v>111</v>
      </c>
      <c r="D21" t="s">
        <v>108</v>
      </c>
      <c r="E21" t="s">
        <v>112</v>
      </c>
      <c r="F21" t="s">
        <v>169</v>
      </c>
      <c r="G21" t="s">
        <v>170</v>
      </c>
      <c r="H21" t="s">
        <v>171</v>
      </c>
      <c r="I21" t="s">
        <v>169</v>
      </c>
      <c r="J21" t="s">
        <v>170</v>
      </c>
      <c r="K21" t="s">
        <v>171</v>
      </c>
      <c r="L21" t="s">
        <v>169</v>
      </c>
      <c r="M21" t="s">
        <v>170</v>
      </c>
      <c r="N21" t="s">
        <v>171</v>
      </c>
      <c r="O21" t="s">
        <v>215</v>
      </c>
      <c r="P21" t="s">
        <v>216</v>
      </c>
      <c r="Q21" t="s">
        <v>217</v>
      </c>
      <c r="R21" t="s">
        <v>64</v>
      </c>
      <c r="S21" t="s">
        <v>227</v>
      </c>
      <c r="T21">
        <v>-2347.13</v>
      </c>
      <c r="U21">
        <v>-2347.13</v>
      </c>
      <c r="V21">
        <v>-2347.13</v>
      </c>
      <c r="W21" t="s">
        <v>228</v>
      </c>
      <c r="X21" s="3">
        <v>46044</v>
      </c>
      <c r="Y21" s="3">
        <v>46044</v>
      </c>
      <c r="Z21" t="s">
        <v>220</v>
      </c>
      <c r="AA21" t="s">
        <v>221</v>
      </c>
      <c r="AB21" t="s">
        <v>45</v>
      </c>
      <c r="AC21" t="s">
        <v>127</v>
      </c>
      <c r="AE21">
        <v>-2347.13</v>
      </c>
    </row>
    <row r="22" spans="2:31" x14ac:dyDescent="0.25">
      <c r="B22" t="s">
        <v>108</v>
      </c>
      <c r="C22" t="s">
        <v>111</v>
      </c>
      <c r="D22" t="s">
        <v>108</v>
      </c>
      <c r="E22" t="s">
        <v>112</v>
      </c>
      <c r="F22" t="s">
        <v>169</v>
      </c>
      <c r="G22" t="s">
        <v>170</v>
      </c>
      <c r="H22" t="s">
        <v>171</v>
      </c>
      <c r="I22" t="s">
        <v>169</v>
      </c>
      <c r="J22" t="s">
        <v>170</v>
      </c>
      <c r="K22" t="s">
        <v>171</v>
      </c>
      <c r="L22" t="s">
        <v>169</v>
      </c>
      <c r="M22" t="s">
        <v>170</v>
      </c>
      <c r="N22" t="s">
        <v>171</v>
      </c>
      <c r="O22" t="s">
        <v>222</v>
      </c>
      <c r="P22" t="s">
        <v>223</v>
      </c>
      <c r="Q22" t="s">
        <v>224</v>
      </c>
      <c r="R22" t="s">
        <v>64</v>
      </c>
      <c r="S22" t="s">
        <v>227</v>
      </c>
      <c r="T22">
        <v>-2347.13</v>
      </c>
      <c r="U22">
        <v>-2347.13</v>
      </c>
      <c r="V22">
        <v>-2347.13</v>
      </c>
      <c r="W22" t="s">
        <v>228</v>
      </c>
      <c r="X22" s="3">
        <v>46044</v>
      </c>
      <c r="Y22" s="3">
        <v>46044</v>
      </c>
      <c r="Z22" t="s">
        <v>220</v>
      </c>
      <c r="AA22" t="s">
        <v>221</v>
      </c>
      <c r="AB22" t="s">
        <v>45</v>
      </c>
      <c r="AC22" t="s">
        <v>127</v>
      </c>
      <c r="AE22">
        <v>-2347.13</v>
      </c>
    </row>
    <row r="23" spans="2:31" x14ac:dyDescent="0.25">
      <c r="B23" t="s">
        <v>108</v>
      </c>
      <c r="C23" t="s">
        <v>111</v>
      </c>
      <c r="D23" t="s">
        <v>108</v>
      </c>
      <c r="E23" t="s">
        <v>112</v>
      </c>
      <c r="F23" t="s">
        <v>229</v>
      </c>
      <c r="G23" t="s">
        <v>230</v>
      </c>
      <c r="H23" t="s">
        <v>231</v>
      </c>
      <c r="I23" t="s">
        <v>229</v>
      </c>
      <c r="J23" t="s">
        <v>230</v>
      </c>
      <c r="K23" t="s">
        <v>231</v>
      </c>
      <c r="L23" t="s">
        <v>229</v>
      </c>
      <c r="M23" t="s">
        <v>230</v>
      </c>
      <c r="N23" t="s">
        <v>231</v>
      </c>
      <c r="O23" t="s">
        <v>136</v>
      </c>
      <c r="P23" t="s">
        <v>137</v>
      </c>
      <c r="Q23" t="s">
        <v>138</v>
      </c>
      <c r="R23" t="s">
        <v>64</v>
      </c>
      <c r="S23" t="s">
        <v>232</v>
      </c>
      <c r="T23">
        <v>-7833.33</v>
      </c>
      <c r="U23">
        <v>-7833.33</v>
      </c>
      <c r="V23">
        <v>-7833.33</v>
      </c>
      <c r="W23" t="s">
        <v>233</v>
      </c>
      <c r="X23" s="3">
        <v>46023</v>
      </c>
      <c r="Y23" s="3">
        <v>46023</v>
      </c>
      <c r="Z23" t="s">
        <v>141</v>
      </c>
      <c r="AA23" t="s">
        <v>142</v>
      </c>
      <c r="AB23" t="s">
        <v>45</v>
      </c>
      <c r="AC23" t="s">
        <v>127</v>
      </c>
      <c r="AE23">
        <v>-7833.33</v>
      </c>
    </row>
    <row r="24" spans="2:31" x14ac:dyDescent="0.25">
      <c r="B24" t="s">
        <v>108</v>
      </c>
      <c r="C24" t="s">
        <v>111</v>
      </c>
      <c r="D24" t="s">
        <v>108</v>
      </c>
      <c r="E24" t="s">
        <v>112</v>
      </c>
      <c r="F24" t="s">
        <v>169</v>
      </c>
      <c r="G24" t="s">
        <v>170</v>
      </c>
      <c r="H24" t="s">
        <v>171</v>
      </c>
      <c r="I24" t="s">
        <v>169</v>
      </c>
      <c r="J24" t="s">
        <v>170</v>
      </c>
      <c r="K24" t="s">
        <v>171</v>
      </c>
      <c r="L24" t="s">
        <v>169</v>
      </c>
      <c r="M24" t="s">
        <v>170</v>
      </c>
      <c r="N24" t="s">
        <v>171</v>
      </c>
      <c r="O24" t="s">
        <v>222</v>
      </c>
      <c r="P24" t="s">
        <v>223</v>
      </c>
      <c r="Q24" t="s">
        <v>224</v>
      </c>
      <c r="R24" t="s">
        <v>122</v>
      </c>
      <c r="S24" t="s">
        <v>234</v>
      </c>
      <c r="T24">
        <v>-250</v>
      </c>
      <c r="U24">
        <v>-250</v>
      </c>
      <c r="V24">
        <v>-250</v>
      </c>
      <c r="W24" t="s">
        <v>235</v>
      </c>
      <c r="X24" s="3">
        <v>46028</v>
      </c>
      <c r="Y24" s="3">
        <v>46028</v>
      </c>
      <c r="Z24" t="s">
        <v>236</v>
      </c>
      <c r="AA24" t="s">
        <v>237</v>
      </c>
      <c r="AB24" t="s">
        <v>45</v>
      </c>
      <c r="AC24" t="s">
        <v>127</v>
      </c>
      <c r="AE24">
        <v>-250</v>
      </c>
    </row>
    <row r="25" spans="2:31" x14ac:dyDescent="0.25">
      <c r="B25" t="s">
        <v>108</v>
      </c>
      <c r="C25" t="s">
        <v>111</v>
      </c>
      <c r="D25" t="s">
        <v>108</v>
      </c>
      <c r="E25" t="s">
        <v>112</v>
      </c>
      <c r="F25" t="s">
        <v>169</v>
      </c>
      <c r="G25" t="s">
        <v>170</v>
      </c>
      <c r="H25" t="s">
        <v>171</v>
      </c>
      <c r="I25" t="s">
        <v>169</v>
      </c>
      <c r="J25" t="s">
        <v>170</v>
      </c>
      <c r="K25" t="s">
        <v>171</v>
      </c>
      <c r="L25" t="s">
        <v>169</v>
      </c>
      <c r="M25" t="s">
        <v>170</v>
      </c>
      <c r="N25" t="s">
        <v>171</v>
      </c>
      <c r="O25" t="s">
        <v>215</v>
      </c>
      <c r="P25" t="s">
        <v>216</v>
      </c>
      <c r="Q25" t="s">
        <v>217</v>
      </c>
      <c r="R25" t="s">
        <v>238</v>
      </c>
      <c r="S25" t="s">
        <v>239</v>
      </c>
      <c r="T25">
        <v>-553.15</v>
      </c>
      <c r="U25">
        <v>-553.15</v>
      </c>
      <c r="V25">
        <v>-553.15</v>
      </c>
      <c r="W25" t="s">
        <v>228</v>
      </c>
      <c r="X25" s="3">
        <v>46044</v>
      </c>
      <c r="Y25" s="3">
        <v>46044</v>
      </c>
      <c r="Z25" t="s">
        <v>220</v>
      </c>
      <c r="AA25" t="s">
        <v>221</v>
      </c>
      <c r="AB25" t="s">
        <v>45</v>
      </c>
      <c r="AC25" t="s">
        <v>127</v>
      </c>
      <c r="AE25">
        <v>-553.15</v>
      </c>
    </row>
    <row r="26" spans="2:31" x14ac:dyDescent="0.25">
      <c r="B26" t="s">
        <v>108</v>
      </c>
      <c r="C26" t="s">
        <v>111</v>
      </c>
      <c r="D26" t="s">
        <v>108</v>
      </c>
      <c r="E26" t="s">
        <v>112</v>
      </c>
      <c r="F26" t="s">
        <v>169</v>
      </c>
      <c r="G26" t="s">
        <v>170</v>
      </c>
      <c r="H26" t="s">
        <v>171</v>
      </c>
      <c r="I26" t="s">
        <v>169</v>
      </c>
      <c r="J26" t="s">
        <v>170</v>
      </c>
      <c r="K26" t="s">
        <v>171</v>
      </c>
      <c r="L26" t="s">
        <v>169</v>
      </c>
      <c r="M26" t="s">
        <v>170</v>
      </c>
      <c r="N26" t="s">
        <v>171</v>
      </c>
      <c r="O26" t="s">
        <v>222</v>
      </c>
      <c r="P26" t="s">
        <v>223</v>
      </c>
      <c r="Q26" t="s">
        <v>224</v>
      </c>
      <c r="R26" t="s">
        <v>238</v>
      </c>
      <c r="S26" t="s">
        <v>239</v>
      </c>
      <c r="T26">
        <v>-553.16</v>
      </c>
      <c r="U26">
        <v>-553.16</v>
      </c>
      <c r="V26">
        <v>-553.16</v>
      </c>
      <c r="W26" t="s">
        <v>228</v>
      </c>
      <c r="X26" s="3">
        <v>46044</v>
      </c>
      <c r="Y26" s="3">
        <v>46044</v>
      </c>
      <c r="Z26" t="s">
        <v>220</v>
      </c>
      <c r="AA26" t="s">
        <v>221</v>
      </c>
      <c r="AB26" t="s">
        <v>45</v>
      </c>
      <c r="AC26" t="s">
        <v>127</v>
      </c>
      <c r="AE26">
        <v>-553.16</v>
      </c>
    </row>
    <row r="27" spans="2:31" hidden="1" x14ac:dyDescent="0.25">
      <c r="B27" t="s">
        <v>108</v>
      </c>
      <c r="C27" t="s">
        <v>111</v>
      </c>
      <c r="D27" t="s">
        <v>108</v>
      </c>
      <c r="E27" t="s">
        <v>112</v>
      </c>
      <c r="F27" t="s">
        <v>169</v>
      </c>
      <c r="G27" t="s">
        <v>170</v>
      </c>
      <c r="H27" t="s">
        <v>171</v>
      </c>
      <c r="I27" t="s">
        <v>169</v>
      </c>
      <c r="J27" t="s">
        <v>170</v>
      </c>
      <c r="K27" t="s">
        <v>171</v>
      </c>
      <c r="L27" t="s">
        <v>169</v>
      </c>
      <c r="M27" t="s">
        <v>170</v>
      </c>
      <c r="N27" t="s">
        <v>171</v>
      </c>
      <c r="O27" t="s">
        <v>215</v>
      </c>
      <c r="P27" t="s">
        <v>216</v>
      </c>
      <c r="Q27" t="s">
        <v>217</v>
      </c>
      <c r="R27" t="s">
        <v>205</v>
      </c>
      <c r="S27" t="s">
        <v>240</v>
      </c>
      <c r="T27">
        <v>-9.9499999999999993</v>
      </c>
      <c r="U27">
        <v>-9.9499999999999993</v>
      </c>
      <c r="V27">
        <v>-9.9499999999999993</v>
      </c>
      <c r="W27" t="s">
        <v>228</v>
      </c>
      <c r="X27" s="3">
        <v>46043</v>
      </c>
      <c r="Y27" s="3">
        <v>46043</v>
      </c>
      <c r="Z27" t="s">
        <v>220</v>
      </c>
      <c r="AA27" t="s">
        <v>221</v>
      </c>
      <c r="AB27" t="s">
        <v>45</v>
      </c>
      <c r="AC27" t="s">
        <v>127</v>
      </c>
      <c r="AE27">
        <v>-9.9499999999999993</v>
      </c>
    </row>
    <row r="28" spans="2:31" hidden="1" x14ac:dyDescent="0.25">
      <c r="B28" t="s">
        <v>108</v>
      </c>
      <c r="C28" t="s">
        <v>111</v>
      </c>
      <c r="D28" t="s">
        <v>108</v>
      </c>
      <c r="E28" t="s">
        <v>112</v>
      </c>
      <c r="F28" t="s">
        <v>169</v>
      </c>
      <c r="G28" t="s">
        <v>170</v>
      </c>
      <c r="H28" t="s">
        <v>171</v>
      </c>
      <c r="I28" t="s">
        <v>169</v>
      </c>
      <c r="J28" t="s">
        <v>170</v>
      </c>
      <c r="K28" t="s">
        <v>171</v>
      </c>
      <c r="L28" t="s">
        <v>169</v>
      </c>
      <c r="M28" t="s">
        <v>170</v>
      </c>
      <c r="N28" t="s">
        <v>171</v>
      </c>
      <c r="O28" t="s">
        <v>222</v>
      </c>
      <c r="P28" t="s">
        <v>223</v>
      </c>
      <c r="Q28" t="s">
        <v>224</v>
      </c>
      <c r="R28" t="s">
        <v>205</v>
      </c>
      <c r="S28" t="s">
        <v>240</v>
      </c>
      <c r="T28">
        <v>-9.9499999999999993</v>
      </c>
      <c r="U28">
        <v>-9.9499999999999993</v>
      </c>
      <c r="V28">
        <v>-9.9499999999999993</v>
      </c>
      <c r="W28" t="s">
        <v>228</v>
      </c>
      <c r="X28" s="3">
        <v>46043</v>
      </c>
      <c r="Y28" s="3">
        <v>46043</v>
      </c>
      <c r="Z28" t="s">
        <v>220</v>
      </c>
      <c r="AA28" t="s">
        <v>221</v>
      </c>
      <c r="AB28" t="s">
        <v>45</v>
      </c>
      <c r="AC28" t="s">
        <v>127</v>
      </c>
      <c r="AE28">
        <v>-9.9499999999999993</v>
      </c>
    </row>
    <row r="29" spans="2:31" hidden="1" x14ac:dyDescent="0.25">
      <c r="B29" t="s">
        <v>108</v>
      </c>
      <c r="C29" t="s">
        <v>111</v>
      </c>
      <c r="D29" t="s">
        <v>108</v>
      </c>
      <c r="E29" t="s">
        <v>112</v>
      </c>
      <c r="F29" t="s">
        <v>113</v>
      </c>
      <c r="G29" t="s">
        <v>114</v>
      </c>
      <c r="H29" t="s">
        <v>115</v>
      </c>
      <c r="I29" t="s">
        <v>116</v>
      </c>
      <c r="J29" t="s">
        <v>117</v>
      </c>
      <c r="K29" t="s">
        <v>118</v>
      </c>
      <c r="L29" t="s">
        <v>116</v>
      </c>
      <c r="M29" t="s">
        <v>117</v>
      </c>
      <c r="N29" t="s">
        <v>118</v>
      </c>
      <c r="O29" t="s">
        <v>241</v>
      </c>
      <c r="P29" t="s">
        <v>242</v>
      </c>
      <c r="Q29" t="s">
        <v>243</v>
      </c>
      <c r="R29" t="s">
        <v>205</v>
      </c>
      <c r="S29" t="s">
        <v>244</v>
      </c>
      <c r="T29">
        <v>-211572.38</v>
      </c>
      <c r="U29">
        <v>-211572.38</v>
      </c>
      <c r="V29">
        <v>-211572.38</v>
      </c>
      <c r="W29" t="s">
        <v>245</v>
      </c>
      <c r="X29" s="3">
        <v>46048</v>
      </c>
      <c r="Y29" s="3">
        <v>46048</v>
      </c>
      <c r="Z29" t="s">
        <v>246</v>
      </c>
      <c r="AA29" t="s">
        <v>247</v>
      </c>
      <c r="AB29" t="s">
        <v>45</v>
      </c>
      <c r="AC29" t="s">
        <v>127</v>
      </c>
      <c r="AE29">
        <v>-211572.38</v>
      </c>
    </row>
    <row r="30" spans="2:31" x14ac:dyDescent="0.25">
      <c r="B30" t="s">
        <v>108</v>
      </c>
      <c r="C30" t="s">
        <v>111</v>
      </c>
      <c r="D30" t="s">
        <v>108</v>
      </c>
      <c r="E30" t="s">
        <v>112</v>
      </c>
      <c r="F30" t="s">
        <v>169</v>
      </c>
      <c r="G30" t="s">
        <v>170</v>
      </c>
      <c r="H30" t="s">
        <v>171</v>
      </c>
      <c r="I30" t="s">
        <v>169</v>
      </c>
      <c r="J30" t="s">
        <v>170</v>
      </c>
      <c r="K30" t="s">
        <v>171</v>
      </c>
      <c r="L30" t="s">
        <v>169</v>
      </c>
      <c r="M30" t="s">
        <v>170</v>
      </c>
      <c r="N30" t="s">
        <v>171</v>
      </c>
      <c r="O30" t="s">
        <v>248</v>
      </c>
      <c r="P30" t="s">
        <v>249</v>
      </c>
      <c r="Q30" t="s">
        <v>250</v>
      </c>
      <c r="R30" t="s">
        <v>238</v>
      </c>
      <c r="S30" t="s">
        <v>251</v>
      </c>
      <c r="T30">
        <v>-86.69</v>
      </c>
      <c r="U30">
        <v>-86.69</v>
      </c>
      <c r="V30">
        <v>-86.69</v>
      </c>
      <c r="W30" t="s">
        <v>252</v>
      </c>
      <c r="X30" s="3">
        <v>46049</v>
      </c>
      <c r="Y30" s="3">
        <v>46049</v>
      </c>
      <c r="Z30" t="s">
        <v>253</v>
      </c>
      <c r="AA30" t="s">
        <v>254</v>
      </c>
      <c r="AB30" t="s">
        <v>45</v>
      </c>
      <c r="AC30" t="s">
        <v>127</v>
      </c>
      <c r="AE30">
        <v>-86.69</v>
      </c>
    </row>
    <row r="31" spans="2:31" x14ac:dyDescent="0.25">
      <c r="B31" t="s">
        <v>108</v>
      </c>
      <c r="C31" t="s">
        <v>111</v>
      </c>
      <c r="D31" t="s">
        <v>108</v>
      </c>
      <c r="E31" t="s">
        <v>112</v>
      </c>
      <c r="F31" t="s">
        <v>169</v>
      </c>
      <c r="G31" t="s">
        <v>170</v>
      </c>
      <c r="H31" t="s">
        <v>171</v>
      </c>
      <c r="I31" t="s">
        <v>169</v>
      </c>
      <c r="J31" t="s">
        <v>170</v>
      </c>
      <c r="K31" t="s">
        <v>171</v>
      </c>
      <c r="L31" t="s">
        <v>169</v>
      </c>
      <c r="M31" t="s">
        <v>170</v>
      </c>
      <c r="N31" t="s">
        <v>171</v>
      </c>
      <c r="O31" t="s">
        <v>248</v>
      </c>
      <c r="P31" t="s">
        <v>249</v>
      </c>
      <c r="Q31" t="s">
        <v>250</v>
      </c>
      <c r="R31" t="s">
        <v>255</v>
      </c>
      <c r="S31" t="s">
        <v>256</v>
      </c>
      <c r="T31">
        <v>-77.05</v>
      </c>
      <c r="U31">
        <v>-77.05</v>
      </c>
      <c r="V31">
        <v>-77.05</v>
      </c>
      <c r="W31" t="s">
        <v>252</v>
      </c>
      <c r="X31" s="3">
        <v>46049</v>
      </c>
      <c r="Y31" s="3">
        <v>46049</v>
      </c>
      <c r="Z31" t="s">
        <v>253</v>
      </c>
      <c r="AA31" t="s">
        <v>254</v>
      </c>
      <c r="AB31" t="s">
        <v>45</v>
      </c>
      <c r="AC31" t="s">
        <v>127</v>
      </c>
      <c r="AE31">
        <v>-77.05</v>
      </c>
    </row>
    <row r="32" spans="2:31" x14ac:dyDescent="0.25">
      <c r="B32" t="s">
        <v>108</v>
      </c>
      <c r="C32" t="s">
        <v>111</v>
      </c>
      <c r="D32" t="s">
        <v>108</v>
      </c>
      <c r="E32" t="s">
        <v>112</v>
      </c>
      <c r="F32" t="s">
        <v>169</v>
      </c>
      <c r="G32" t="s">
        <v>170</v>
      </c>
      <c r="H32" t="s">
        <v>171</v>
      </c>
      <c r="I32" t="s">
        <v>169</v>
      </c>
      <c r="J32" t="s">
        <v>170</v>
      </c>
      <c r="K32" t="s">
        <v>171</v>
      </c>
      <c r="L32" t="s">
        <v>169</v>
      </c>
      <c r="M32" t="s">
        <v>170</v>
      </c>
      <c r="N32" t="s">
        <v>171</v>
      </c>
      <c r="O32" t="s">
        <v>248</v>
      </c>
      <c r="P32" t="s">
        <v>249</v>
      </c>
      <c r="Q32" t="s">
        <v>250</v>
      </c>
      <c r="R32" t="s">
        <v>122</v>
      </c>
      <c r="S32" t="s">
        <v>257</v>
      </c>
      <c r="T32">
        <v>-218.32</v>
      </c>
      <c r="U32">
        <v>-218.32</v>
      </c>
      <c r="V32">
        <v>-218.32</v>
      </c>
      <c r="W32" t="s">
        <v>258</v>
      </c>
      <c r="X32" s="3">
        <v>46049</v>
      </c>
      <c r="Y32" s="3">
        <v>46049</v>
      </c>
      <c r="Z32" t="s">
        <v>253</v>
      </c>
      <c r="AA32" t="s">
        <v>254</v>
      </c>
      <c r="AB32" t="s">
        <v>45</v>
      </c>
      <c r="AC32" t="s">
        <v>127</v>
      </c>
      <c r="AE32">
        <v>-218.32</v>
      </c>
    </row>
    <row r="33" spans="2:31" hidden="1" x14ac:dyDescent="0.25">
      <c r="B33" t="s">
        <v>108</v>
      </c>
      <c r="C33" t="s">
        <v>111</v>
      </c>
      <c r="D33" t="s">
        <v>108</v>
      </c>
      <c r="E33" t="s">
        <v>112</v>
      </c>
      <c r="F33" t="s">
        <v>169</v>
      </c>
      <c r="G33" t="s">
        <v>170</v>
      </c>
      <c r="H33" t="s">
        <v>171</v>
      </c>
      <c r="I33" t="s">
        <v>169</v>
      </c>
      <c r="J33" t="s">
        <v>170</v>
      </c>
      <c r="K33" t="s">
        <v>171</v>
      </c>
      <c r="L33" t="s">
        <v>169</v>
      </c>
      <c r="M33" t="s">
        <v>170</v>
      </c>
      <c r="N33" t="s">
        <v>171</v>
      </c>
      <c r="O33" t="s">
        <v>248</v>
      </c>
      <c r="P33" t="s">
        <v>249</v>
      </c>
      <c r="Q33" t="s">
        <v>250</v>
      </c>
      <c r="R33" t="s">
        <v>205</v>
      </c>
      <c r="S33" t="s">
        <v>259</v>
      </c>
      <c r="T33">
        <v>-22.47</v>
      </c>
      <c r="U33">
        <v>-22.47</v>
      </c>
      <c r="V33">
        <v>-22.47</v>
      </c>
      <c r="W33" t="s">
        <v>252</v>
      </c>
      <c r="X33" s="3">
        <v>46049</v>
      </c>
      <c r="Y33" s="3">
        <v>46049</v>
      </c>
      <c r="Z33" t="s">
        <v>253</v>
      </c>
      <c r="AA33" t="s">
        <v>254</v>
      </c>
      <c r="AB33" t="s">
        <v>45</v>
      </c>
      <c r="AC33" t="s">
        <v>127</v>
      </c>
      <c r="AE33">
        <v>-22.47</v>
      </c>
    </row>
    <row r="34" spans="2:31" x14ac:dyDescent="0.25">
      <c r="B34" t="s">
        <v>108</v>
      </c>
      <c r="C34" t="s">
        <v>111</v>
      </c>
      <c r="D34" t="s">
        <v>108</v>
      </c>
      <c r="E34" t="s">
        <v>112</v>
      </c>
      <c r="F34" t="s">
        <v>113</v>
      </c>
      <c r="G34" t="s">
        <v>114</v>
      </c>
      <c r="H34" t="s">
        <v>115</v>
      </c>
      <c r="I34" t="s">
        <v>116</v>
      </c>
      <c r="J34" t="s">
        <v>117</v>
      </c>
      <c r="K34" t="s">
        <v>118</v>
      </c>
      <c r="L34" t="s">
        <v>116</v>
      </c>
      <c r="M34" t="s">
        <v>117</v>
      </c>
      <c r="N34" t="s">
        <v>118</v>
      </c>
      <c r="O34" t="s">
        <v>260</v>
      </c>
      <c r="P34" t="s">
        <v>261</v>
      </c>
      <c r="Q34" t="s">
        <v>262</v>
      </c>
      <c r="R34" t="s">
        <v>64</v>
      </c>
      <c r="S34" t="s">
        <v>263</v>
      </c>
      <c r="T34">
        <v>-130.16</v>
      </c>
      <c r="U34">
        <v>-130.16</v>
      </c>
      <c r="V34">
        <v>-130.16</v>
      </c>
      <c r="W34" t="s">
        <v>264</v>
      </c>
      <c r="X34" s="3">
        <v>46049</v>
      </c>
      <c r="Y34" s="3">
        <v>46049</v>
      </c>
      <c r="Z34" t="s">
        <v>265</v>
      </c>
      <c r="AA34" t="s">
        <v>266</v>
      </c>
      <c r="AB34" t="s">
        <v>45</v>
      </c>
      <c r="AC34" t="s">
        <v>127</v>
      </c>
      <c r="AE34">
        <v>-130.16</v>
      </c>
    </row>
    <row r="35" spans="2:31" x14ac:dyDescent="0.25">
      <c r="B35" t="s">
        <v>108</v>
      </c>
      <c r="C35" t="s">
        <v>111</v>
      </c>
      <c r="D35" t="s">
        <v>108</v>
      </c>
      <c r="E35" t="s">
        <v>112</v>
      </c>
      <c r="F35" t="s">
        <v>169</v>
      </c>
      <c r="G35" t="s">
        <v>170</v>
      </c>
      <c r="H35" t="s">
        <v>171</v>
      </c>
      <c r="I35" t="s">
        <v>169</v>
      </c>
      <c r="J35" t="s">
        <v>170</v>
      </c>
      <c r="K35" t="s">
        <v>171</v>
      </c>
      <c r="L35" t="s">
        <v>169</v>
      </c>
      <c r="M35" t="s">
        <v>170</v>
      </c>
      <c r="N35" t="s">
        <v>171</v>
      </c>
      <c r="O35" t="s">
        <v>248</v>
      </c>
      <c r="P35" t="s">
        <v>249</v>
      </c>
      <c r="Q35" t="s">
        <v>250</v>
      </c>
      <c r="R35" t="s">
        <v>43</v>
      </c>
      <c r="S35" t="s">
        <v>267</v>
      </c>
      <c r="T35">
        <v>-115.56</v>
      </c>
      <c r="U35">
        <v>-115.56</v>
      </c>
      <c r="V35">
        <v>-115.56</v>
      </c>
      <c r="W35" t="s">
        <v>252</v>
      </c>
      <c r="X35" s="3">
        <v>46049</v>
      </c>
      <c r="Y35" s="3">
        <v>46049</v>
      </c>
      <c r="Z35" t="s">
        <v>253</v>
      </c>
      <c r="AA35" t="s">
        <v>254</v>
      </c>
      <c r="AB35" t="s">
        <v>45</v>
      </c>
      <c r="AC35" t="s">
        <v>127</v>
      </c>
      <c r="AE35">
        <v>-115.56</v>
      </c>
    </row>
    <row r="36" spans="2:31" x14ac:dyDescent="0.25">
      <c r="B36" t="s">
        <v>108</v>
      </c>
      <c r="C36" t="s">
        <v>111</v>
      </c>
      <c r="D36" t="s">
        <v>108</v>
      </c>
      <c r="E36" t="s">
        <v>112</v>
      </c>
      <c r="F36" t="s">
        <v>169</v>
      </c>
      <c r="G36" t="s">
        <v>170</v>
      </c>
      <c r="H36" t="s">
        <v>171</v>
      </c>
      <c r="I36" t="s">
        <v>169</v>
      </c>
      <c r="J36" t="s">
        <v>170</v>
      </c>
      <c r="K36" t="s">
        <v>171</v>
      </c>
      <c r="L36" t="s">
        <v>169</v>
      </c>
      <c r="M36" t="s">
        <v>170</v>
      </c>
      <c r="N36" t="s">
        <v>171</v>
      </c>
      <c r="O36" t="s">
        <v>248</v>
      </c>
      <c r="P36" t="s">
        <v>249</v>
      </c>
      <c r="Q36" t="s">
        <v>250</v>
      </c>
      <c r="R36" t="s">
        <v>64</v>
      </c>
      <c r="S36" t="s">
        <v>268</v>
      </c>
      <c r="T36">
        <v>-247.17</v>
      </c>
      <c r="U36">
        <v>-247.17</v>
      </c>
      <c r="V36">
        <v>-247.17</v>
      </c>
      <c r="W36" t="s">
        <v>252</v>
      </c>
      <c r="X36" s="3">
        <v>46049</v>
      </c>
      <c r="Y36" s="3">
        <v>46049</v>
      </c>
      <c r="Z36" t="s">
        <v>253</v>
      </c>
      <c r="AA36" t="s">
        <v>254</v>
      </c>
      <c r="AB36" t="s">
        <v>45</v>
      </c>
      <c r="AC36" t="s">
        <v>127</v>
      </c>
      <c r="AE36">
        <v>-247.17</v>
      </c>
    </row>
    <row r="37" spans="2:31" x14ac:dyDescent="0.25">
      <c r="B37" t="s">
        <v>108</v>
      </c>
      <c r="C37" t="s">
        <v>111</v>
      </c>
      <c r="D37" t="s">
        <v>108</v>
      </c>
      <c r="E37" t="s">
        <v>112</v>
      </c>
      <c r="F37" t="s">
        <v>169</v>
      </c>
      <c r="G37" t="s">
        <v>170</v>
      </c>
      <c r="H37" t="s">
        <v>171</v>
      </c>
      <c r="I37" t="s">
        <v>169</v>
      </c>
      <c r="J37" t="s">
        <v>170</v>
      </c>
      <c r="K37" t="s">
        <v>171</v>
      </c>
      <c r="L37" t="s">
        <v>169</v>
      </c>
      <c r="M37" t="s">
        <v>170</v>
      </c>
      <c r="N37" t="s">
        <v>171</v>
      </c>
      <c r="O37" t="s">
        <v>248</v>
      </c>
      <c r="P37" t="s">
        <v>249</v>
      </c>
      <c r="Q37" t="s">
        <v>250</v>
      </c>
      <c r="R37" t="s">
        <v>269</v>
      </c>
      <c r="S37" t="s">
        <v>270</v>
      </c>
      <c r="T37">
        <v>-292.11</v>
      </c>
      <c r="U37">
        <v>-292.11</v>
      </c>
      <c r="V37">
        <v>-292.11</v>
      </c>
      <c r="W37" t="s">
        <v>252</v>
      </c>
      <c r="X37" s="3">
        <v>46049</v>
      </c>
      <c r="Y37" s="3">
        <v>46049</v>
      </c>
      <c r="Z37" t="s">
        <v>253</v>
      </c>
      <c r="AA37" t="s">
        <v>254</v>
      </c>
      <c r="AB37" t="s">
        <v>45</v>
      </c>
      <c r="AC37" t="s">
        <v>127</v>
      </c>
      <c r="AE37">
        <v>-292.11</v>
      </c>
    </row>
    <row r="38" spans="2:31" x14ac:dyDescent="0.25">
      <c r="B38" t="s">
        <v>108</v>
      </c>
      <c r="C38" t="s">
        <v>111</v>
      </c>
      <c r="D38" t="s">
        <v>108</v>
      </c>
      <c r="E38" t="s">
        <v>112</v>
      </c>
      <c r="F38" t="s">
        <v>271</v>
      </c>
      <c r="G38" t="s">
        <v>272</v>
      </c>
      <c r="H38" t="s">
        <v>273</v>
      </c>
      <c r="I38" t="s">
        <v>271</v>
      </c>
      <c r="J38" t="s">
        <v>272</v>
      </c>
      <c r="K38" t="s">
        <v>273</v>
      </c>
      <c r="L38" t="s">
        <v>271</v>
      </c>
      <c r="M38" t="s">
        <v>272</v>
      </c>
      <c r="N38" t="s">
        <v>273</v>
      </c>
      <c r="O38" t="s">
        <v>136</v>
      </c>
      <c r="P38" t="s">
        <v>137</v>
      </c>
      <c r="Q38" t="s">
        <v>138</v>
      </c>
      <c r="R38" t="s">
        <v>269</v>
      </c>
      <c r="S38" t="s">
        <v>274</v>
      </c>
      <c r="T38">
        <v>-8623.1200000000008</v>
      </c>
      <c r="U38">
        <v>-8623.1200000000008</v>
      </c>
      <c r="V38">
        <v>-8623.1200000000008</v>
      </c>
      <c r="W38" t="s">
        <v>275</v>
      </c>
      <c r="X38" s="3">
        <v>46049</v>
      </c>
      <c r="Y38" s="3">
        <v>46049</v>
      </c>
      <c r="Z38" t="s">
        <v>276</v>
      </c>
      <c r="AA38" t="s">
        <v>277</v>
      </c>
      <c r="AB38" t="s">
        <v>45</v>
      </c>
      <c r="AC38" t="s">
        <v>127</v>
      </c>
      <c r="AE38">
        <v>-8623.1200000000008</v>
      </c>
    </row>
    <row r="39" spans="2:31" x14ac:dyDescent="0.25">
      <c r="B39" t="s">
        <v>108</v>
      </c>
      <c r="C39" t="s">
        <v>111</v>
      </c>
      <c r="D39" t="s">
        <v>108</v>
      </c>
      <c r="E39" t="s">
        <v>112</v>
      </c>
      <c r="F39" t="s">
        <v>133</v>
      </c>
      <c r="G39" t="s">
        <v>134</v>
      </c>
      <c r="H39" t="s">
        <v>135</v>
      </c>
      <c r="I39" t="s">
        <v>133</v>
      </c>
      <c r="J39" t="s">
        <v>134</v>
      </c>
      <c r="K39" t="s">
        <v>135</v>
      </c>
      <c r="L39" t="s">
        <v>133</v>
      </c>
      <c r="M39" t="s">
        <v>134</v>
      </c>
      <c r="N39" t="s">
        <v>135</v>
      </c>
      <c r="O39" t="s">
        <v>136</v>
      </c>
      <c r="P39" t="s">
        <v>137</v>
      </c>
      <c r="Q39" t="s">
        <v>138</v>
      </c>
      <c r="R39" t="s">
        <v>64</v>
      </c>
      <c r="S39" t="s">
        <v>278</v>
      </c>
      <c r="T39">
        <v>-8500</v>
      </c>
      <c r="U39">
        <v>-8500</v>
      </c>
      <c r="V39">
        <v>-8500</v>
      </c>
      <c r="W39" t="s">
        <v>279</v>
      </c>
      <c r="X39" s="3">
        <v>46057</v>
      </c>
      <c r="Y39" s="3">
        <v>46057</v>
      </c>
      <c r="Z39" t="s">
        <v>141</v>
      </c>
      <c r="AA39" t="s">
        <v>142</v>
      </c>
      <c r="AB39" t="s">
        <v>45</v>
      </c>
      <c r="AC39" t="s">
        <v>127</v>
      </c>
      <c r="AE39">
        <v>-8500</v>
      </c>
    </row>
    <row r="40" spans="2:31" x14ac:dyDescent="0.25">
      <c r="B40" t="s">
        <v>108</v>
      </c>
      <c r="C40" t="s">
        <v>111</v>
      </c>
      <c r="D40" t="s">
        <v>108</v>
      </c>
      <c r="E40" t="s">
        <v>112</v>
      </c>
      <c r="F40" t="s">
        <v>160</v>
      </c>
      <c r="G40" t="s">
        <v>38</v>
      </c>
      <c r="H40" t="s">
        <v>161</v>
      </c>
      <c r="I40" t="s">
        <v>160</v>
      </c>
      <c r="J40" t="s">
        <v>38</v>
      </c>
      <c r="K40" t="s">
        <v>161</v>
      </c>
      <c r="L40" t="s">
        <v>160</v>
      </c>
      <c r="M40" t="s">
        <v>38</v>
      </c>
      <c r="N40" t="s">
        <v>161</v>
      </c>
      <c r="O40" t="s">
        <v>280</v>
      </c>
      <c r="P40" t="s">
        <v>281</v>
      </c>
      <c r="Q40" t="s">
        <v>282</v>
      </c>
      <c r="R40" t="s">
        <v>64</v>
      </c>
      <c r="S40" t="s">
        <v>283</v>
      </c>
      <c r="T40">
        <v>-50</v>
      </c>
      <c r="U40">
        <v>-50</v>
      </c>
      <c r="V40">
        <v>-50</v>
      </c>
      <c r="W40" t="s">
        <v>284</v>
      </c>
      <c r="X40" s="3">
        <v>46058</v>
      </c>
      <c r="Y40" s="3">
        <v>46058</v>
      </c>
      <c r="Z40" t="s">
        <v>141</v>
      </c>
      <c r="AA40" t="s">
        <v>142</v>
      </c>
      <c r="AB40" t="s">
        <v>45</v>
      </c>
      <c r="AC40" t="s">
        <v>127</v>
      </c>
      <c r="AE40">
        <v>-50</v>
      </c>
    </row>
    <row r="41" spans="2:31" x14ac:dyDescent="0.25">
      <c r="B41" t="s">
        <v>108</v>
      </c>
      <c r="C41" t="s">
        <v>111</v>
      </c>
      <c r="D41" t="s">
        <v>108</v>
      </c>
      <c r="E41" t="s">
        <v>112</v>
      </c>
      <c r="F41" t="s">
        <v>160</v>
      </c>
      <c r="G41" t="s">
        <v>38</v>
      </c>
      <c r="H41" t="s">
        <v>161</v>
      </c>
      <c r="I41" t="s">
        <v>160</v>
      </c>
      <c r="J41" t="s">
        <v>38</v>
      </c>
      <c r="K41" t="s">
        <v>161</v>
      </c>
      <c r="L41" t="s">
        <v>160</v>
      </c>
      <c r="M41" t="s">
        <v>38</v>
      </c>
      <c r="N41" t="s">
        <v>161</v>
      </c>
      <c r="O41" t="s">
        <v>280</v>
      </c>
      <c r="P41" t="s">
        <v>281</v>
      </c>
      <c r="Q41" t="s">
        <v>282</v>
      </c>
      <c r="R41" t="s">
        <v>269</v>
      </c>
      <c r="S41" t="s">
        <v>285</v>
      </c>
      <c r="T41">
        <v>-1000</v>
      </c>
      <c r="U41">
        <v>-1000</v>
      </c>
      <c r="V41">
        <v>-1000</v>
      </c>
      <c r="W41" t="s">
        <v>286</v>
      </c>
      <c r="X41" s="3">
        <v>46053</v>
      </c>
      <c r="Y41" s="3">
        <v>46053</v>
      </c>
      <c r="Z41" t="s">
        <v>287</v>
      </c>
      <c r="AA41" t="s">
        <v>288</v>
      </c>
      <c r="AB41" t="s">
        <v>45</v>
      </c>
      <c r="AC41" t="s">
        <v>127</v>
      </c>
      <c r="AE41">
        <v>-1000</v>
      </c>
    </row>
    <row r="42" spans="2:31" x14ac:dyDescent="0.25">
      <c r="B42" t="s">
        <v>108</v>
      </c>
      <c r="C42" t="s">
        <v>111</v>
      </c>
      <c r="D42" t="s">
        <v>108</v>
      </c>
      <c r="E42" t="s">
        <v>112</v>
      </c>
      <c r="F42" t="s">
        <v>271</v>
      </c>
      <c r="G42" t="s">
        <v>272</v>
      </c>
      <c r="H42" t="s">
        <v>273</v>
      </c>
      <c r="I42" t="s">
        <v>271</v>
      </c>
      <c r="J42" t="s">
        <v>272</v>
      </c>
      <c r="K42" t="s">
        <v>273</v>
      </c>
      <c r="L42" t="s">
        <v>271</v>
      </c>
      <c r="M42" t="s">
        <v>272</v>
      </c>
      <c r="N42" t="s">
        <v>273</v>
      </c>
      <c r="O42" t="s">
        <v>280</v>
      </c>
      <c r="P42" t="s">
        <v>281</v>
      </c>
      <c r="Q42" t="s">
        <v>282</v>
      </c>
      <c r="R42" t="s">
        <v>269</v>
      </c>
      <c r="S42" t="s">
        <v>289</v>
      </c>
      <c r="T42">
        <v>-1000</v>
      </c>
      <c r="U42">
        <v>-1000</v>
      </c>
      <c r="V42">
        <v>-1000</v>
      </c>
      <c r="W42" t="s">
        <v>290</v>
      </c>
      <c r="X42" s="3">
        <v>46053</v>
      </c>
      <c r="Y42" s="3">
        <v>46053</v>
      </c>
      <c r="Z42" t="s">
        <v>291</v>
      </c>
      <c r="AA42" t="s">
        <v>292</v>
      </c>
      <c r="AB42" t="s">
        <v>45</v>
      </c>
      <c r="AC42" t="s">
        <v>127</v>
      </c>
      <c r="AE42">
        <v>-1000</v>
      </c>
    </row>
    <row r="43" spans="2:31" x14ac:dyDescent="0.25">
      <c r="B43" t="s">
        <v>108</v>
      </c>
      <c r="C43" t="s">
        <v>111</v>
      </c>
      <c r="D43" t="s">
        <v>108</v>
      </c>
      <c r="E43" t="s">
        <v>112</v>
      </c>
      <c r="F43" t="s">
        <v>113</v>
      </c>
      <c r="G43" t="s">
        <v>114</v>
      </c>
      <c r="H43" t="s">
        <v>115</v>
      </c>
      <c r="I43" t="s">
        <v>116</v>
      </c>
      <c r="J43" t="s">
        <v>117</v>
      </c>
      <c r="K43" t="s">
        <v>118</v>
      </c>
      <c r="L43" t="s">
        <v>116</v>
      </c>
      <c r="M43" t="s">
        <v>117</v>
      </c>
      <c r="N43" t="s">
        <v>118</v>
      </c>
      <c r="O43" t="s">
        <v>143</v>
      </c>
      <c r="P43" t="s">
        <v>144</v>
      </c>
      <c r="Q43" t="s">
        <v>145</v>
      </c>
      <c r="R43" t="s">
        <v>122</v>
      </c>
      <c r="S43" t="s">
        <v>293</v>
      </c>
      <c r="T43">
        <v>-5989.17</v>
      </c>
      <c r="U43">
        <v>-5989.17</v>
      </c>
      <c r="V43">
        <v>-5989.17</v>
      </c>
      <c r="W43" t="s">
        <v>294</v>
      </c>
      <c r="X43" s="3">
        <v>46037</v>
      </c>
      <c r="Y43" s="3">
        <v>46037</v>
      </c>
      <c r="Z43" t="s">
        <v>148</v>
      </c>
      <c r="AA43" t="s">
        <v>149</v>
      </c>
      <c r="AB43" t="s">
        <v>45</v>
      </c>
      <c r="AC43" t="s">
        <v>127</v>
      </c>
      <c r="AE43">
        <v>-5989.17</v>
      </c>
    </row>
    <row r="44" spans="2:31" x14ac:dyDescent="0.25">
      <c r="B44" t="s">
        <v>108</v>
      </c>
      <c r="C44" t="s">
        <v>111</v>
      </c>
      <c r="D44" t="s">
        <v>108</v>
      </c>
      <c r="E44" t="s">
        <v>112</v>
      </c>
      <c r="F44" t="s">
        <v>133</v>
      </c>
      <c r="G44" t="s">
        <v>134</v>
      </c>
      <c r="H44" t="s">
        <v>135</v>
      </c>
      <c r="I44" t="s">
        <v>133</v>
      </c>
      <c r="J44" t="s">
        <v>134</v>
      </c>
      <c r="K44" t="s">
        <v>135</v>
      </c>
      <c r="L44" t="s">
        <v>133</v>
      </c>
      <c r="M44" t="s">
        <v>134</v>
      </c>
      <c r="N44" t="s">
        <v>135</v>
      </c>
      <c r="O44" t="s">
        <v>295</v>
      </c>
      <c r="P44" t="s">
        <v>296</v>
      </c>
      <c r="Q44" t="s">
        <v>297</v>
      </c>
      <c r="R44" t="s">
        <v>70</v>
      </c>
      <c r="S44" t="s">
        <v>298</v>
      </c>
      <c r="T44">
        <v>-55.2</v>
      </c>
      <c r="U44">
        <v>-55.2</v>
      </c>
      <c r="V44">
        <v>-55.2</v>
      </c>
      <c r="W44" t="s">
        <v>299</v>
      </c>
      <c r="X44" s="3">
        <v>46054</v>
      </c>
      <c r="Y44" s="3">
        <v>46054</v>
      </c>
      <c r="Z44" t="s">
        <v>300</v>
      </c>
      <c r="AA44" t="s">
        <v>301</v>
      </c>
      <c r="AB44" t="s">
        <v>45</v>
      </c>
      <c r="AC44" t="s">
        <v>127</v>
      </c>
      <c r="AE44">
        <v>-55.2</v>
      </c>
    </row>
    <row r="45" spans="2:31" x14ac:dyDescent="0.25">
      <c r="B45" t="s">
        <v>108</v>
      </c>
      <c r="C45" t="s">
        <v>111</v>
      </c>
      <c r="D45" t="s">
        <v>108</v>
      </c>
      <c r="E45" t="s">
        <v>112</v>
      </c>
      <c r="F45" t="s">
        <v>113</v>
      </c>
      <c r="G45" t="s">
        <v>114</v>
      </c>
      <c r="H45" t="s">
        <v>115</v>
      </c>
      <c r="I45" t="s">
        <v>116</v>
      </c>
      <c r="J45" t="s">
        <v>117</v>
      </c>
      <c r="K45" t="s">
        <v>118</v>
      </c>
      <c r="L45" t="s">
        <v>116</v>
      </c>
      <c r="M45" t="s">
        <v>117</v>
      </c>
      <c r="N45" t="s">
        <v>118</v>
      </c>
      <c r="O45" t="s">
        <v>302</v>
      </c>
      <c r="P45" t="s">
        <v>303</v>
      </c>
      <c r="Q45" t="s">
        <v>304</v>
      </c>
      <c r="R45" t="s">
        <v>64</v>
      </c>
      <c r="S45" t="s">
        <v>305</v>
      </c>
      <c r="T45">
        <v>-639.79</v>
      </c>
      <c r="U45">
        <v>-639.79</v>
      </c>
      <c r="V45">
        <v>-639.79</v>
      </c>
      <c r="W45" t="s">
        <v>306</v>
      </c>
      <c r="X45" s="3">
        <v>46056</v>
      </c>
      <c r="Y45" s="3">
        <v>46056</v>
      </c>
      <c r="Z45" t="s">
        <v>307</v>
      </c>
      <c r="AA45" t="s">
        <v>308</v>
      </c>
      <c r="AB45" t="s">
        <v>45</v>
      </c>
      <c r="AC45" t="s">
        <v>127</v>
      </c>
      <c r="AE45">
        <v>-639.79</v>
      </c>
    </row>
    <row r="46" spans="2:31" x14ac:dyDescent="0.25">
      <c r="B46" t="s">
        <v>108</v>
      </c>
      <c r="C46" t="s">
        <v>111</v>
      </c>
      <c r="D46" t="s">
        <v>108</v>
      </c>
      <c r="E46" t="s">
        <v>112</v>
      </c>
      <c r="F46" t="s">
        <v>160</v>
      </c>
      <c r="G46" t="s">
        <v>38</v>
      </c>
      <c r="H46" t="s">
        <v>161</v>
      </c>
      <c r="I46" t="s">
        <v>160</v>
      </c>
      <c r="J46" t="s">
        <v>38</v>
      </c>
      <c r="K46" t="s">
        <v>161</v>
      </c>
      <c r="L46" t="s">
        <v>160</v>
      </c>
      <c r="M46" t="s">
        <v>38</v>
      </c>
      <c r="N46" t="s">
        <v>161</v>
      </c>
      <c r="O46" t="s">
        <v>162</v>
      </c>
      <c r="P46" t="s">
        <v>163</v>
      </c>
      <c r="Q46" t="s">
        <v>164</v>
      </c>
      <c r="R46" t="s">
        <v>64</v>
      </c>
      <c r="S46" t="s">
        <v>309</v>
      </c>
      <c r="T46">
        <v>-1350</v>
      </c>
      <c r="U46">
        <v>-1350</v>
      </c>
      <c r="V46">
        <v>-1350</v>
      </c>
      <c r="W46" t="s">
        <v>310</v>
      </c>
      <c r="X46" s="3">
        <v>46065</v>
      </c>
      <c r="Y46" s="3">
        <v>46065</v>
      </c>
      <c r="Z46" t="s">
        <v>167</v>
      </c>
      <c r="AA46" t="s">
        <v>168</v>
      </c>
      <c r="AB46" t="s">
        <v>45</v>
      </c>
      <c r="AC46" t="s">
        <v>127</v>
      </c>
      <c r="AE46">
        <v>-1350</v>
      </c>
    </row>
    <row r="47" spans="2:31" x14ac:dyDescent="0.25">
      <c r="B47" t="s">
        <v>108</v>
      </c>
      <c r="C47" t="s">
        <v>111</v>
      </c>
      <c r="D47" t="s">
        <v>108</v>
      </c>
      <c r="E47" t="s">
        <v>112</v>
      </c>
      <c r="F47" t="s">
        <v>311</v>
      </c>
      <c r="G47" t="s">
        <v>312</v>
      </c>
      <c r="H47" t="s">
        <v>313</v>
      </c>
      <c r="I47" t="s">
        <v>311</v>
      </c>
      <c r="J47" t="s">
        <v>312</v>
      </c>
      <c r="K47" t="s">
        <v>313</v>
      </c>
      <c r="L47" t="s">
        <v>311</v>
      </c>
      <c r="M47" t="s">
        <v>312</v>
      </c>
      <c r="N47" t="s">
        <v>313</v>
      </c>
      <c r="O47" t="s">
        <v>314</v>
      </c>
      <c r="P47" t="s">
        <v>315</v>
      </c>
      <c r="Q47" t="s">
        <v>316</v>
      </c>
      <c r="R47" t="s">
        <v>64</v>
      </c>
      <c r="S47" t="s">
        <v>317</v>
      </c>
      <c r="T47">
        <v>-18.18</v>
      </c>
      <c r="U47">
        <v>-18.18</v>
      </c>
      <c r="V47">
        <v>-18.18</v>
      </c>
      <c r="W47" t="s">
        <v>318</v>
      </c>
      <c r="X47" s="3">
        <v>46056</v>
      </c>
      <c r="Y47" s="3">
        <v>46056</v>
      </c>
      <c r="Z47" t="s">
        <v>319</v>
      </c>
      <c r="AA47" t="s">
        <v>320</v>
      </c>
      <c r="AB47" t="s">
        <v>45</v>
      </c>
      <c r="AC47" t="s">
        <v>127</v>
      </c>
      <c r="AE47">
        <v>-18.18</v>
      </c>
    </row>
    <row r="48" spans="2:31" x14ac:dyDescent="0.25">
      <c r="B48" t="s">
        <v>108</v>
      </c>
      <c r="C48" t="s">
        <v>111</v>
      </c>
      <c r="D48" t="s">
        <v>108</v>
      </c>
      <c r="E48" t="s">
        <v>112</v>
      </c>
      <c r="F48" t="s">
        <v>133</v>
      </c>
      <c r="G48" t="s">
        <v>134</v>
      </c>
      <c r="H48" t="s">
        <v>135</v>
      </c>
      <c r="I48" t="s">
        <v>133</v>
      </c>
      <c r="J48" t="s">
        <v>134</v>
      </c>
      <c r="K48" t="s">
        <v>135</v>
      </c>
      <c r="L48" t="s">
        <v>133</v>
      </c>
      <c r="M48" t="s">
        <v>134</v>
      </c>
      <c r="N48" t="s">
        <v>135</v>
      </c>
      <c r="O48" t="s">
        <v>196</v>
      </c>
      <c r="P48" t="s">
        <v>197</v>
      </c>
      <c r="Q48" t="s">
        <v>198</v>
      </c>
      <c r="R48" t="s">
        <v>70</v>
      </c>
      <c r="S48" t="s">
        <v>321</v>
      </c>
      <c r="T48">
        <v>-65.97</v>
      </c>
      <c r="U48">
        <v>-65.97</v>
      </c>
      <c r="V48">
        <v>-65.97</v>
      </c>
      <c r="W48" t="s">
        <v>322</v>
      </c>
      <c r="X48" s="3">
        <v>46055</v>
      </c>
      <c r="Y48" s="3">
        <v>46055</v>
      </c>
      <c r="Z48" t="s">
        <v>201</v>
      </c>
      <c r="AA48" t="s">
        <v>202</v>
      </c>
      <c r="AB48" t="s">
        <v>45</v>
      </c>
      <c r="AC48" t="s">
        <v>127</v>
      </c>
      <c r="AE48">
        <v>-65.97</v>
      </c>
    </row>
    <row r="49" spans="2:31" x14ac:dyDescent="0.25">
      <c r="B49" t="s">
        <v>108</v>
      </c>
      <c r="C49" t="s">
        <v>111</v>
      </c>
      <c r="D49" t="s">
        <v>108</v>
      </c>
      <c r="E49" t="s">
        <v>112</v>
      </c>
      <c r="F49" t="s">
        <v>169</v>
      </c>
      <c r="G49" t="s">
        <v>170</v>
      </c>
      <c r="H49" t="s">
        <v>171</v>
      </c>
      <c r="I49" t="s">
        <v>169</v>
      </c>
      <c r="J49" t="s">
        <v>170</v>
      </c>
      <c r="K49" t="s">
        <v>171</v>
      </c>
      <c r="L49" t="s">
        <v>169</v>
      </c>
      <c r="M49" t="s">
        <v>170</v>
      </c>
      <c r="N49" t="s">
        <v>171</v>
      </c>
      <c r="O49" t="s">
        <v>295</v>
      </c>
      <c r="P49" t="s">
        <v>296</v>
      </c>
      <c r="Q49" t="s">
        <v>297</v>
      </c>
      <c r="R49" t="s">
        <v>64</v>
      </c>
      <c r="S49" t="s">
        <v>323</v>
      </c>
      <c r="T49">
        <v>-660</v>
      </c>
      <c r="U49">
        <v>-660</v>
      </c>
      <c r="V49">
        <v>-660</v>
      </c>
      <c r="W49" t="s">
        <v>324</v>
      </c>
      <c r="X49" s="3">
        <v>46027</v>
      </c>
      <c r="Y49" s="3">
        <v>46027</v>
      </c>
      <c r="Z49" t="s">
        <v>325</v>
      </c>
      <c r="AA49" t="s">
        <v>326</v>
      </c>
      <c r="AB49" t="s">
        <v>45</v>
      </c>
      <c r="AC49" t="s">
        <v>127</v>
      </c>
      <c r="AE49">
        <v>-660</v>
      </c>
    </row>
    <row r="50" spans="2:31" hidden="1" x14ac:dyDescent="0.25">
      <c r="B50" t="s">
        <v>108</v>
      </c>
      <c r="C50" t="s">
        <v>111</v>
      </c>
      <c r="D50" t="s">
        <v>108</v>
      </c>
      <c r="E50" t="s">
        <v>112</v>
      </c>
      <c r="F50" t="s">
        <v>113</v>
      </c>
      <c r="G50" t="s">
        <v>114</v>
      </c>
      <c r="H50" t="s">
        <v>115</v>
      </c>
      <c r="I50" t="s">
        <v>116</v>
      </c>
      <c r="J50" t="s">
        <v>117</v>
      </c>
      <c r="K50" t="s">
        <v>118</v>
      </c>
      <c r="L50" t="s">
        <v>116</v>
      </c>
      <c r="M50" t="s">
        <v>117</v>
      </c>
      <c r="N50" t="s">
        <v>118</v>
      </c>
      <c r="O50" t="s">
        <v>327</v>
      </c>
      <c r="P50" t="s">
        <v>328</v>
      </c>
      <c r="Q50" t="s">
        <v>329</v>
      </c>
      <c r="R50" t="s">
        <v>205</v>
      </c>
      <c r="S50" t="s">
        <v>330</v>
      </c>
      <c r="T50">
        <v>-285.05</v>
      </c>
      <c r="U50">
        <v>-285.05</v>
      </c>
      <c r="V50">
        <v>-285.05</v>
      </c>
      <c r="W50" t="s">
        <v>331</v>
      </c>
      <c r="X50" s="3">
        <v>46068</v>
      </c>
      <c r="Y50" s="3">
        <v>46068</v>
      </c>
      <c r="Z50" t="s">
        <v>332</v>
      </c>
      <c r="AA50" t="s">
        <v>333</v>
      </c>
      <c r="AB50" t="s">
        <v>45</v>
      </c>
      <c r="AC50" t="s">
        <v>127</v>
      </c>
      <c r="AE50">
        <v>-285.05</v>
      </c>
    </row>
    <row r="51" spans="2:31" x14ac:dyDescent="0.25">
      <c r="B51" t="s">
        <v>108</v>
      </c>
      <c r="C51" t="s">
        <v>111</v>
      </c>
      <c r="D51" t="s">
        <v>108</v>
      </c>
      <c r="E51" t="s">
        <v>112</v>
      </c>
      <c r="F51" t="s">
        <v>169</v>
      </c>
      <c r="G51" t="s">
        <v>170</v>
      </c>
      <c r="H51" t="s">
        <v>171</v>
      </c>
      <c r="I51" t="s">
        <v>169</v>
      </c>
      <c r="J51" t="s">
        <v>170</v>
      </c>
      <c r="K51" t="s">
        <v>171</v>
      </c>
      <c r="L51" t="s">
        <v>169</v>
      </c>
      <c r="M51" t="s">
        <v>170</v>
      </c>
      <c r="N51" t="s">
        <v>171</v>
      </c>
      <c r="O51" t="s">
        <v>179</v>
      </c>
      <c r="P51" t="s">
        <v>180</v>
      </c>
      <c r="Q51" t="s">
        <v>181</v>
      </c>
      <c r="R51" t="s">
        <v>70</v>
      </c>
      <c r="S51" t="s">
        <v>334</v>
      </c>
      <c r="T51">
        <v>-75566.149999999994</v>
      </c>
      <c r="U51">
        <v>-75566.149999999994</v>
      </c>
      <c r="V51">
        <v>-75566.149999999994</v>
      </c>
      <c r="W51" t="s">
        <v>335</v>
      </c>
      <c r="X51" s="3">
        <v>46072</v>
      </c>
      <c r="Y51" s="3">
        <v>46072</v>
      </c>
      <c r="Z51" t="s">
        <v>177</v>
      </c>
      <c r="AA51" t="s">
        <v>178</v>
      </c>
      <c r="AB51" t="s">
        <v>45</v>
      </c>
      <c r="AC51" t="s">
        <v>127</v>
      </c>
      <c r="AE51">
        <v>-75566.149999999994</v>
      </c>
    </row>
    <row r="52" spans="2:31" x14ac:dyDescent="0.25">
      <c r="B52" t="s">
        <v>108</v>
      </c>
      <c r="C52" t="s">
        <v>111</v>
      </c>
      <c r="D52" t="s">
        <v>108</v>
      </c>
      <c r="E52" t="s">
        <v>112</v>
      </c>
      <c r="F52" t="s">
        <v>169</v>
      </c>
      <c r="G52" t="s">
        <v>170</v>
      </c>
      <c r="H52" t="s">
        <v>171</v>
      </c>
      <c r="I52" t="s">
        <v>169</v>
      </c>
      <c r="J52" t="s">
        <v>170</v>
      </c>
      <c r="K52" t="s">
        <v>171</v>
      </c>
      <c r="L52" t="s">
        <v>169</v>
      </c>
      <c r="M52" t="s">
        <v>170</v>
      </c>
      <c r="N52" t="s">
        <v>171</v>
      </c>
      <c r="O52" t="s">
        <v>182</v>
      </c>
      <c r="P52" t="s">
        <v>183</v>
      </c>
      <c r="Q52" t="s">
        <v>184</v>
      </c>
      <c r="R52" t="s">
        <v>70</v>
      </c>
      <c r="S52" t="s">
        <v>336</v>
      </c>
      <c r="T52">
        <v>-22008.720000000001</v>
      </c>
      <c r="U52">
        <v>-22008.720000000001</v>
      </c>
      <c r="V52">
        <v>-22008.720000000001</v>
      </c>
      <c r="W52" t="s">
        <v>337</v>
      </c>
      <c r="X52" s="3">
        <v>46072</v>
      </c>
      <c r="Y52" s="3">
        <v>46072</v>
      </c>
      <c r="Z52" t="s">
        <v>187</v>
      </c>
      <c r="AA52" t="s">
        <v>188</v>
      </c>
      <c r="AB52" t="s">
        <v>45</v>
      </c>
      <c r="AC52" t="s">
        <v>127</v>
      </c>
      <c r="AE52">
        <v>-22008.720000000001</v>
      </c>
    </row>
    <row r="53" spans="2:31" x14ac:dyDescent="0.25">
      <c r="B53" t="s">
        <v>108</v>
      </c>
      <c r="C53" t="s">
        <v>111</v>
      </c>
      <c r="D53" t="s">
        <v>108</v>
      </c>
      <c r="E53" t="s">
        <v>112</v>
      </c>
      <c r="F53" t="s">
        <v>169</v>
      </c>
      <c r="G53" t="s">
        <v>170</v>
      </c>
      <c r="H53" t="s">
        <v>171</v>
      </c>
      <c r="I53" t="s">
        <v>169</v>
      </c>
      <c r="J53" t="s">
        <v>170</v>
      </c>
      <c r="K53" t="s">
        <v>171</v>
      </c>
      <c r="L53" t="s">
        <v>169</v>
      </c>
      <c r="M53" t="s">
        <v>170</v>
      </c>
      <c r="N53" t="s">
        <v>171</v>
      </c>
      <c r="O53" t="s">
        <v>338</v>
      </c>
      <c r="P53" t="s">
        <v>339</v>
      </c>
      <c r="Q53" t="s">
        <v>340</v>
      </c>
      <c r="R53" t="s">
        <v>70</v>
      </c>
      <c r="S53" t="s">
        <v>341</v>
      </c>
      <c r="T53">
        <v>-2584.25</v>
      </c>
      <c r="U53">
        <v>-2584.25</v>
      </c>
      <c r="V53">
        <v>-2584.25</v>
      </c>
      <c r="W53" t="s">
        <v>342</v>
      </c>
      <c r="X53" s="3">
        <v>46072</v>
      </c>
      <c r="Y53" s="3">
        <v>46072</v>
      </c>
      <c r="Z53" t="s">
        <v>220</v>
      </c>
      <c r="AA53" t="s">
        <v>221</v>
      </c>
      <c r="AB53" t="s">
        <v>45</v>
      </c>
      <c r="AC53" t="s">
        <v>127</v>
      </c>
      <c r="AE53">
        <v>-2584.25</v>
      </c>
    </row>
    <row r="54" spans="2:31" x14ac:dyDescent="0.25">
      <c r="B54" t="s">
        <v>108</v>
      </c>
      <c r="C54" t="s">
        <v>111</v>
      </c>
      <c r="D54" t="s">
        <v>108</v>
      </c>
      <c r="E54" t="s">
        <v>112</v>
      </c>
      <c r="F54" t="s">
        <v>169</v>
      </c>
      <c r="G54" t="s">
        <v>170</v>
      </c>
      <c r="H54" t="s">
        <v>171</v>
      </c>
      <c r="I54" t="s">
        <v>169</v>
      </c>
      <c r="J54" t="s">
        <v>170</v>
      </c>
      <c r="K54" t="s">
        <v>171</v>
      </c>
      <c r="L54" t="s">
        <v>169</v>
      </c>
      <c r="M54" t="s">
        <v>170</v>
      </c>
      <c r="N54" t="s">
        <v>171</v>
      </c>
      <c r="O54" t="s">
        <v>338</v>
      </c>
      <c r="P54" t="s">
        <v>339</v>
      </c>
      <c r="Q54" t="s">
        <v>340</v>
      </c>
      <c r="R54" t="s">
        <v>269</v>
      </c>
      <c r="S54" t="s">
        <v>343</v>
      </c>
      <c r="T54">
        <v>-11921.25</v>
      </c>
      <c r="U54">
        <v>-11921.25</v>
      </c>
      <c r="V54">
        <v>-11921.25</v>
      </c>
      <c r="W54" t="s">
        <v>344</v>
      </c>
      <c r="X54" s="3">
        <v>46072</v>
      </c>
      <c r="Y54" s="3">
        <v>46072</v>
      </c>
      <c r="Z54" t="s">
        <v>220</v>
      </c>
      <c r="AA54" t="s">
        <v>221</v>
      </c>
      <c r="AB54" t="s">
        <v>45</v>
      </c>
      <c r="AC54" t="s">
        <v>127</v>
      </c>
      <c r="AE54">
        <v>-11921.25</v>
      </c>
    </row>
    <row r="55" spans="2:31" x14ac:dyDescent="0.25">
      <c r="B55" t="s">
        <v>108</v>
      </c>
      <c r="C55" t="s">
        <v>111</v>
      </c>
      <c r="D55" t="s">
        <v>108</v>
      </c>
      <c r="E55" t="s">
        <v>112</v>
      </c>
      <c r="F55" t="s">
        <v>169</v>
      </c>
      <c r="G55" t="s">
        <v>170</v>
      </c>
      <c r="H55" t="s">
        <v>171</v>
      </c>
      <c r="I55" t="s">
        <v>169</v>
      </c>
      <c r="J55" t="s">
        <v>170</v>
      </c>
      <c r="K55" t="s">
        <v>171</v>
      </c>
      <c r="L55" t="s">
        <v>169</v>
      </c>
      <c r="M55" t="s">
        <v>170</v>
      </c>
      <c r="N55" t="s">
        <v>171</v>
      </c>
      <c r="O55" t="s">
        <v>338</v>
      </c>
      <c r="P55" t="s">
        <v>339</v>
      </c>
      <c r="Q55" t="s">
        <v>340</v>
      </c>
      <c r="R55" t="s">
        <v>76</v>
      </c>
      <c r="S55" t="s">
        <v>345</v>
      </c>
      <c r="T55">
        <v>-1542.12</v>
      </c>
      <c r="U55">
        <v>-1542.12</v>
      </c>
      <c r="V55">
        <v>-1542.12</v>
      </c>
      <c r="W55" t="s">
        <v>344</v>
      </c>
      <c r="X55" s="3">
        <v>46073</v>
      </c>
      <c r="Y55" s="3">
        <v>46073</v>
      </c>
      <c r="Z55" t="s">
        <v>220</v>
      </c>
      <c r="AA55" t="s">
        <v>221</v>
      </c>
      <c r="AB55" t="s">
        <v>45</v>
      </c>
      <c r="AC55" t="s">
        <v>127</v>
      </c>
      <c r="AE55">
        <v>-1542.12</v>
      </c>
    </row>
    <row r="56" spans="2:31" x14ac:dyDescent="0.25">
      <c r="B56" t="s">
        <v>108</v>
      </c>
      <c r="C56" t="s">
        <v>111</v>
      </c>
      <c r="D56" t="s">
        <v>108</v>
      </c>
      <c r="E56" t="s">
        <v>112</v>
      </c>
      <c r="F56" t="s">
        <v>169</v>
      </c>
      <c r="G56" t="s">
        <v>170</v>
      </c>
      <c r="H56" t="s">
        <v>171</v>
      </c>
      <c r="I56" t="s">
        <v>169</v>
      </c>
      <c r="J56" t="s">
        <v>170</v>
      </c>
      <c r="K56" t="s">
        <v>171</v>
      </c>
      <c r="L56" t="s">
        <v>169</v>
      </c>
      <c r="M56" t="s">
        <v>170</v>
      </c>
      <c r="N56" t="s">
        <v>171</v>
      </c>
      <c r="O56" t="s">
        <v>338</v>
      </c>
      <c r="P56" t="s">
        <v>339</v>
      </c>
      <c r="Q56" t="s">
        <v>340</v>
      </c>
      <c r="R56" t="s">
        <v>43</v>
      </c>
      <c r="S56" t="s">
        <v>346</v>
      </c>
      <c r="T56">
        <v>-2584.25</v>
      </c>
      <c r="U56">
        <v>-2584.25</v>
      </c>
      <c r="V56">
        <v>-2584.25</v>
      </c>
      <c r="W56" t="s">
        <v>347</v>
      </c>
      <c r="X56" s="3">
        <v>46073</v>
      </c>
      <c r="Y56" s="3">
        <v>46073</v>
      </c>
      <c r="Z56" t="s">
        <v>220</v>
      </c>
      <c r="AA56" t="s">
        <v>221</v>
      </c>
      <c r="AB56" t="s">
        <v>45</v>
      </c>
      <c r="AC56" t="s">
        <v>127</v>
      </c>
      <c r="AE56">
        <v>-2584.25</v>
      </c>
    </row>
    <row r="57" spans="2:31" x14ac:dyDescent="0.25">
      <c r="B57" t="s">
        <v>108</v>
      </c>
      <c r="C57" t="s">
        <v>111</v>
      </c>
      <c r="D57" t="s">
        <v>108</v>
      </c>
      <c r="E57" t="s">
        <v>112</v>
      </c>
      <c r="F57" t="s">
        <v>169</v>
      </c>
      <c r="G57" t="s">
        <v>170</v>
      </c>
      <c r="H57" t="s">
        <v>171</v>
      </c>
      <c r="I57" t="s">
        <v>169</v>
      </c>
      <c r="J57" t="s">
        <v>170</v>
      </c>
      <c r="K57" t="s">
        <v>171</v>
      </c>
      <c r="L57" t="s">
        <v>169</v>
      </c>
      <c r="M57" t="s">
        <v>170</v>
      </c>
      <c r="N57" t="s">
        <v>171</v>
      </c>
      <c r="O57" t="s">
        <v>338</v>
      </c>
      <c r="P57" t="s">
        <v>339</v>
      </c>
      <c r="Q57" t="s">
        <v>340</v>
      </c>
      <c r="R57" t="s">
        <v>52</v>
      </c>
      <c r="S57" t="s">
        <v>348</v>
      </c>
      <c r="T57">
        <v>-1028.08</v>
      </c>
      <c r="U57">
        <v>-1028.08</v>
      </c>
      <c r="V57">
        <v>-1028.08</v>
      </c>
      <c r="W57" t="s">
        <v>344</v>
      </c>
      <c r="X57" s="3">
        <v>46073</v>
      </c>
      <c r="Y57" s="3">
        <v>46073</v>
      </c>
      <c r="Z57" t="s">
        <v>220</v>
      </c>
      <c r="AA57" t="s">
        <v>221</v>
      </c>
      <c r="AB57" t="s">
        <v>45</v>
      </c>
      <c r="AC57" t="s">
        <v>127</v>
      </c>
      <c r="AE57">
        <v>-1028.08</v>
      </c>
    </row>
    <row r="58" spans="2:31" x14ac:dyDescent="0.25">
      <c r="B58" t="s">
        <v>108</v>
      </c>
      <c r="C58" t="s">
        <v>111</v>
      </c>
      <c r="D58" t="s">
        <v>108</v>
      </c>
      <c r="E58" t="s">
        <v>112</v>
      </c>
      <c r="F58" t="s">
        <v>169</v>
      </c>
      <c r="G58" t="s">
        <v>170</v>
      </c>
      <c r="H58" t="s">
        <v>171</v>
      </c>
      <c r="I58" t="s">
        <v>169</v>
      </c>
      <c r="J58" t="s">
        <v>170</v>
      </c>
      <c r="K58" t="s">
        <v>171</v>
      </c>
      <c r="L58" t="s">
        <v>169</v>
      </c>
      <c r="M58" t="s">
        <v>170</v>
      </c>
      <c r="N58" t="s">
        <v>171</v>
      </c>
      <c r="O58" t="s">
        <v>338</v>
      </c>
      <c r="P58" t="s">
        <v>339</v>
      </c>
      <c r="Q58" t="s">
        <v>340</v>
      </c>
      <c r="R58" t="s">
        <v>349</v>
      </c>
      <c r="S58" t="s">
        <v>350</v>
      </c>
      <c r="T58">
        <v>-6420.24</v>
      </c>
      <c r="U58">
        <v>-6420.24</v>
      </c>
      <c r="V58">
        <v>-6420.24</v>
      </c>
      <c r="W58" t="s">
        <v>344</v>
      </c>
      <c r="X58" s="3">
        <v>46072</v>
      </c>
      <c r="Y58" s="3">
        <v>46072</v>
      </c>
      <c r="Z58" t="s">
        <v>220</v>
      </c>
      <c r="AA58" t="s">
        <v>221</v>
      </c>
      <c r="AB58" t="s">
        <v>45</v>
      </c>
      <c r="AC58" t="s">
        <v>127</v>
      </c>
      <c r="AE58">
        <v>-6420.24</v>
      </c>
    </row>
    <row r="59" spans="2:31" x14ac:dyDescent="0.25">
      <c r="B59" t="s">
        <v>108</v>
      </c>
      <c r="C59" t="s">
        <v>111</v>
      </c>
      <c r="D59" t="s">
        <v>108</v>
      </c>
      <c r="E59" t="s">
        <v>112</v>
      </c>
      <c r="F59" t="s">
        <v>169</v>
      </c>
      <c r="G59" t="s">
        <v>170</v>
      </c>
      <c r="H59" t="s">
        <v>171</v>
      </c>
      <c r="I59" t="s">
        <v>169</v>
      </c>
      <c r="J59" t="s">
        <v>170</v>
      </c>
      <c r="K59" t="s">
        <v>171</v>
      </c>
      <c r="L59" t="s">
        <v>169</v>
      </c>
      <c r="M59" t="s">
        <v>170</v>
      </c>
      <c r="N59" t="s">
        <v>171</v>
      </c>
      <c r="O59" t="s">
        <v>338</v>
      </c>
      <c r="P59" t="s">
        <v>339</v>
      </c>
      <c r="Q59" t="s">
        <v>340</v>
      </c>
      <c r="R59" t="s">
        <v>238</v>
      </c>
      <c r="S59" t="s">
        <v>351</v>
      </c>
      <c r="T59">
        <v>-1028.08</v>
      </c>
      <c r="U59">
        <v>-1028.08</v>
      </c>
      <c r="V59">
        <v>-1028.08</v>
      </c>
      <c r="W59" t="s">
        <v>344</v>
      </c>
      <c r="X59" s="3">
        <v>46072</v>
      </c>
      <c r="Y59" s="3">
        <v>46072</v>
      </c>
      <c r="Z59" t="s">
        <v>220</v>
      </c>
      <c r="AA59" t="s">
        <v>221</v>
      </c>
      <c r="AB59" t="s">
        <v>45</v>
      </c>
      <c r="AC59" t="s">
        <v>127</v>
      </c>
      <c r="AE59">
        <v>-1028.08</v>
      </c>
    </row>
    <row r="60" spans="2:31" x14ac:dyDescent="0.25">
      <c r="B60" t="s">
        <v>108</v>
      </c>
      <c r="C60" t="s">
        <v>111</v>
      </c>
      <c r="D60" t="s">
        <v>108</v>
      </c>
      <c r="E60" t="s">
        <v>112</v>
      </c>
      <c r="F60" t="s">
        <v>169</v>
      </c>
      <c r="G60" t="s">
        <v>170</v>
      </c>
      <c r="H60" t="s">
        <v>171</v>
      </c>
      <c r="I60" t="s">
        <v>169</v>
      </c>
      <c r="J60" t="s">
        <v>170</v>
      </c>
      <c r="K60" t="s">
        <v>171</v>
      </c>
      <c r="L60" t="s">
        <v>169</v>
      </c>
      <c r="M60" t="s">
        <v>170</v>
      </c>
      <c r="N60" t="s">
        <v>171</v>
      </c>
      <c r="O60" t="s">
        <v>338</v>
      </c>
      <c r="P60" t="s">
        <v>339</v>
      </c>
      <c r="Q60" t="s">
        <v>340</v>
      </c>
      <c r="R60" t="s">
        <v>352</v>
      </c>
      <c r="S60" t="s">
        <v>353</v>
      </c>
      <c r="T60">
        <v>-2056.17</v>
      </c>
      <c r="U60">
        <v>-2056.17</v>
      </c>
      <c r="V60">
        <v>-2056.17</v>
      </c>
      <c r="W60" t="s">
        <v>344</v>
      </c>
      <c r="X60" s="3">
        <v>46072</v>
      </c>
      <c r="Y60" s="3">
        <v>46072</v>
      </c>
      <c r="Z60" t="s">
        <v>220</v>
      </c>
      <c r="AA60" t="s">
        <v>221</v>
      </c>
      <c r="AB60" t="s">
        <v>45</v>
      </c>
      <c r="AC60" t="s">
        <v>127</v>
      </c>
      <c r="AE60">
        <v>-2056.17</v>
      </c>
    </row>
    <row r="61" spans="2:31" x14ac:dyDescent="0.25">
      <c r="B61" t="s">
        <v>108</v>
      </c>
      <c r="C61" t="s">
        <v>111</v>
      </c>
      <c r="D61" t="s">
        <v>108</v>
      </c>
      <c r="E61" t="s">
        <v>112</v>
      </c>
      <c r="F61" t="s">
        <v>169</v>
      </c>
      <c r="G61" t="s">
        <v>170</v>
      </c>
      <c r="H61" t="s">
        <v>171</v>
      </c>
      <c r="I61" t="s">
        <v>169</v>
      </c>
      <c r="J61" t="s">
        <v>170</v>
      </c>
      <c r="K61" t="s">
        <v>171</v>
      </c>
      <c r="L61" t="s">
        <v>169</v>
      </c>
      <c r="M61" t="s">
        <v>170</v>
      </c>
      <c r="N61" t="s">
        <v>171</v>
      </c>
      <c r="O61" t="s">
        <v>338</v>
      </c>
      <c r="P61" t="s">
        <v>339</v>
      </c>
      <c r="Q61" t="s">
        <v>340</v>
      </c>
      <c r="R61" t="s">
        <v>354</v>
      </c>
      <c r="S61" t="s">
        <v>355</v>
      </c>
      <c r="T61">
        <v>-2570.21</v>
      </c>
      <c r="U61">
        <v>-2570.21</v>
      </c>
      <c r="V61">
        <v>-2570.21</v>
      </c>
      <c r="W61" t="s">
        <v>344</v>
      </c>
      <c r="X61" s="3">
        <v>46072</v>
      </c>
      <c r="Y61" s="3">
        <v>46072</v>
      </c>
      <c r="Z61" t="s">
        <v>220</v>
      </c>
      <c r="AA61" t="s">
        <v>221</v>
      </c>
      <c r="AB61" t="s">
        <v>45</v>
      </c>
      <c r="AC61" t="s">
        <v>127</v>
      </c>
      <c r="AE61">
        <v>-2570.21</v>
      </c>
    </row>
    <row r="62" spans="2:31" x14ac:dyDescent="0.25">
      <c r="B62" t="s">
        <v>108</v>
      </c>
      <c r="C62" t="s">
        <v>111</v>
      </c>
      <c r="D62" t="s">
        <v>108</v>
      </c>
      <c r="E62" t="s">
        <v>112</v>
      </c>
      <c r="F62" t="s">
        <v>169</v>
      </c>
      <c r="G62" t="s">
        <v>170</v>
      </c>
      <c r="H62" t="s">
        <v>171</v>
      </c>
      <c r="I62" t="s">
        <v>169</v>
      </c>
      <c r="J62" t="s">
        <v>170</v>
      </c>
      <c r="K62" t="s">
        <v>171</v>
      </c>
      <c r="L62" t="s">
        <v>169</v>
      </c>
      <c r="M62" t="s">
        <v>170</v>
      </c>
      <c r="N62" t="s">
        <v>171</v>
      </c>
      <c r="O62" t="s">
        <v>338</v>
      </c>
      <c r="P62" t="s">
        <v>339</v>
      </c>
      <c r="Q62" t="s">
        <v>340</v>
      </c>
      <c r="R62" t="s">
        <v>122</v>
      </c>
      <c r="S62" t="s">
        <v>356</v>
      </c>
      <c r="T62">
        <v>-4140.42</v>
      </c>
      <c r="U62">
        <v>-4140.42</v>
      </c>
      <c r="V62">
        <v>-4140.42</v>
      </c>
      <c r="W62" t="s">
        <v>344</v>
      </c>
      <c r="X62" s="3">
        <v>46072</v>
      </c>
      <c r="Y62" s="3">
        <v>46072</v>
      </c>
      <c r="Z62" t="s">
        <v>220</v>
      </c>
      <c r="AA62" t="s">
        <v>221</v>
      </c>
      <c r="AB62" t="s">
        <v>45</v>
      </c>
      <c r="AC62" t="s">
        <v>127</v>
      </c>
      <c r="AE62">
        <v>-4140.42</v>
      </c>
    </row>
    <row r="63" spans="2:31" hidden="1" x14ac:dyDescent="0.25">
      <c r="B63" t="s">
        <v>108</v>
      </c>
      <c r="C63" t="s">
        <v>111</v>
      </c>
      <c r="D63" t="s">
        <v>108</v>
      </c>
      <c r="E63" t="s">
        <v>112</v>
      </c>
      <c r="F63" t="s">
        <v>113</v>
      </c>
      <c r="G63" t="s">
        <v>114</v>
      </c>
      <c r="H63" t="s">
        <v>115</v>
      </c>
      <c r="I63" t="s">
        <v>116</v>
      </c>
      <c r="J63" t="s">
        <v>117</v>
      </c>
      <c r="K63" t="s">
        <v>118</v>
      </c>
      <c r="L63" t="s">
        <v>116</v>
      </c>
      <c r="M63" t="s">
        <v>117</v>
      </c>
      <c r="N63" t="s">
        <v>118</v>
      </c>
      <c r="O63" t="s">
        <v>357</v>
      </c>
      <c r="P63" t="s">
        <v>358</v>
      </c>
      <c r="Q63" t="s">
        <v>359</v>
      </c>
      <c r="R63" t="s">
        <v>205</v>
      </c>
      <c r="S63" t="s">
        <v>360</v>
      </c>
      <c r="T63">
        <v>760000</v>
      </c>
      <c r="U63">
        <v>760000</v>
      </c>
      <c r="V63">
        <v>760000</v>
      </c>
      <c r="W63" t="s">
        <v>361</v>
      </c>
      <c r="X63" s="3">
        <v>46064</v>
      </c>
      <c r="Y63" s="3">
        <v>46064</v>
      </c>
      <c r="Z63" t="s">
        <v>246</v>
      </c>
      <c r="AA63" t="s">
        <v>247</v>
      </c>
      <c r="AB63" t="s">
        <v>45</v>
      </c>
      <c r="AC63" t="s">
        <v>127</v>
      </c>
      <c r="AE63">
        <v>760000</v>
      </c>
    </row>
    <row r="64" spans="2:31" x14ac:dyDescent="0.25">
      <c r="B64" t="s">
        <v>108</v>
      </c>
      <c r="C64" t="s">
        <v>111</v>
      </c>
      <c r="D64" t="s">
        <v>108</v>
      </c>
      <c r="E64" t="s">
        <v>112</v>
      </c>
      <c r="F64" t="s">
        <v>169</v>
      </c>
      <c r="G64" t="s">
        <v>170</v>
      </c>
      <c r="H64" t="s">
        <v>171</v>
      </c>
      <c r="I64" t="s">
        <v>169</v>
      </c>
      <c r="J64" t="s">
        <v>170</v>
      </c>
      <c r="K64" t="s">
        <v>171</v>
      </c>
      <c r="L64" t="s">
        <v>169</v>
      </c>
      <c r="M64" t="s">
        <v>170</v>
      </c>
      <c r="N64" t="s">
        <v>171</v>
      </c>
      <c r="O64" t="s">
        <v>248</v>
      </c>
      <c r="P64" t="s">
        <v>249</v>
      </c>
      <c r="Q64" t="s">
        <v>250</v>
      </c>
      <c r="R64" t="s">
        <v>76</v>
      </c>
      <c r="S64" t="s">
        <v>362</v>
      </c>
      <c r="T64">
        <v>-44.94</v>
      </c>
      <c r="U64">
        <v>-44.94</v>
      </c>
      <c r="V64">
        <v>-44.94</v>
      </c>
      <c r="W64" t="s">
        <v>363</v>
      </c>
      <c r="X64" s="3">
        <v>46076</v>
      </c>
      <c r="Y64" s="3">
        <v>46076</v>
      </c>
      <c r="Z64" t="s">
        <v>253</v>
      </c>
      <c r="AA64" t="s">
        <v>254</v>
      </c>
      <c r="AB64" t="s">
        <v>45</v>
      </c>
      <c r="AC64" t="s">
        <v>127</v>
      </c>
      <c r="AE64">
        <v>-44.94</v>
      </c>
    </row>
    <row r="65" spans="2:31" x14ac:dyDescent="0.25">
      <c r="B65" t="s">
        <v>108</v>
      </c>
      <c r="C65" t="s">
        <v>111</v>
      </c>
      <c r="D65" t="s">
        <v>108</v>
      </c>
      <c r="E65" t="s">
        <v>112</v>
      </c>
      <c r="F65" t="s">
        <v>169</v>
      </c>
      <c r="G65" t="s">
        <v>170</v>
      </c>
      <c r="H65" t="s">
        <v>171</v>
      </c>
      <c r="I65" t="s">
        <v>169</v>
      </c>
      <c r="J65" t="s">
        <v>170</v>
      </c>
      <c r="K65" t="s">
        <v>171</v>
      </c>
      <c r="L65" t="s">
        <v>169</v>
      </c>
      <c r="M65" t="s">
        <v>170</v>
      </c>
      <c r="N65" t="s">
        <v>171</v>
      </c>
      <c r="O65" t="s">
        <v>248</v>
      </c>
      <c r="P65" t="s">
        <v>249</v>
      </c>
      <c r="Q65" t="s">
        <v>250</v>
      </c>
      <c r="R65" t="s">
        <v>43</v>
      </c>
      <c r="S65" t="s">
        <v>364</v>
      </c>
      <c r="T65">
        <v>-134.82</v>
      </c>
      <c r="U65">
        <v>-134.82</v>
      </c>
      <c r="V65">
        <v>-134.82</v>
      </c>
      <c r="W65" t="s">
        <v>363</v>
      </c>
      <c r="X65" s="3">
        <v>46076</v>
      </c>
      <c r="Y65" s="3">
        <v>46076</v>
      </c>
      <c r="Z65" t="s">
        <v>253</v>
      </c>
      <c r="AA65" t="s">
        <v>254</v>
      </c>
      <c r="AB65" t="s">
        <v>45</v>
      </c>
      <c r="AC65" t="s">
        <v>127</v>
      </c>
      <c r="AE65">
        <v>-134.82</v>
      </c>
    </row>
    <row r="66" spans="2:31" x14ac:dyDescent="0.25">
      <c r="B66" t="s">
        <v>108</v>
      </c>
      <c r="C66" t="s">
        <v>111</v>
      </c>
      <c r="D66" t="s">
        <v>108</v>
      </c>
      <c r="E66" t="s">
        <v>112</v>
      </c>
      <c r="F66" t="s">
        <v>365</v>
      </c>
      <c r="G66" t="s">
        <v>366</v>
      </c>
      <c r="H66" t="s">
        <v>367</v>
      </c>
      <c r="I66" t="s">
        <v>365</v>
      </c>
      <c r="J66" t="s">
        <v>366</v>
      </c>
      <c r="K66" t="s">
        <v>367</v>
      </c>
      <c r="L66" t="s">
        <v>365</v>
      </c>
      <c r="M66" t="s">
        <v>366</v>
      </c>
      <c r="N66" t="s">
        <v>367</v>
      </c>
      <c r="O66" t="s">
        <v>368</v>
      </c>
      <c r="P66" t="s">
        <v>369</v>
      </c>
      <c r="Q66" t="s">
        <v>370</v>
      </c>
      <c r="R66" t="s">
        <v>64</v>
      </c>
      <c r="S66" t="s">
        <v>371</v>
      </c>
      <c r="T66">
        <v>-304.17</v>
      </c>
      <c r="U66">
        <v>-304.17</v>
      </c>
      <c r="V66">
        <v>-304.17</v>
      </c>
      <c r="W66" t="s">
        <v>372</v>
      </c>
      <c r="X66" s="3">
        <v>46071</v>
      </c>
      <c r="Y66" s="3">
        <v>46071</v>
      </c>
      <c r="Z66" t="s">
        <v>373</v>
      </c>
      <c r="AA66" t="s">
        <v>374</v>
      </c>
      <c r="AB66" t="s">
        <v>45</v>
      </c>
      <c r="AC66" t="s">
        <v>127</v>
      </c>
      <c r="AE66">
        <v>-304.17</v>
      </c>
    </row>
    <row r="67" spans="2:31" x14ac:dyDescent="0.25">
      <c r="B67" t="s">
        <v>108</v>
      </c>
      <c r="C67" t="s">
        <v>111</v>
      </c>
      <c r="D67" t="s">
        <v>108</v>
      </c>
      <c r="E67" t="s">
        <v>112</v>
      </c>
      <c r="F67" t="s">
        <v>169</v>
      </c>
      <c r="G67" t="s">
        <v>170</v>
      </c>
      <c r="H67" t="s">
        <v>171</v>
      </c>
      <c r="I67" t="s">
        <v>169</v>
      </c>
      <c r="J67" t="s">
        <v>170</v>
      </c>
      <c r="K67" t="s">
        <v>171</v>
      </c>
      <c r="L67" t="s">
        <v>169</v>
      </c>
      <c r="M67" t="s">
        <v>170</v>
      </c>
      <c r="N67" t="s">
        <v>171</v>
      </c>
      <c r="O67" t="s">
        <v>375</v>
      </c>
      <c r="P67" t="s">
        <v>376</v>
      </c>
      <c r="Q67" t="s">
        <v>377</v>
      </c>
      <c r="R67" t="s">
        <v>64</v>
      </c>
      <c r="S67" t="s">
        <v>378</v>
      </c>
      <c r="T67">
        <v>-103.19</v>
      </c>
      <c r="U67">
        <v>-103.19</v>
      </c>
      <c r="V67">
        <v>-103.19</v>
      </c>
      <c r="W67" t="s">
        <v>379</v>
      </c>
      <c r="X67" s="3">
        <v>46053</v>
      </c>
      <c r="Y67" s="3">
        <v>46053</v>
      </c>
      <c r="Z67" t="s">
        <v>380</v>
      </c>
      <c r="AA67" t="s">
        <v>381</v>
      </c>
      <c r="AB67" t="s">
        <v>45</v>
      </c>
      <c r="AC67" t="s">
        <v>127</v>
      </c>
      <c r="AE67">
        <v>-103.19</v>
      </c>
    </row>
    <row r="68" spans="2:31" x14ac:dyDescent="0.25">
      <c r="B68" t="s">
        <v>108</v>
      </c>
      <c r="C68" t="s">
        <v>111</v>
      </c>
      <c r="D68" t="s">
        <v>108</v>
      </c>
      <c r="E68" t="s">
        <v>112</v>
      </c>
      <c r="F68" t="s">
        <v>271</v>
      </c>
      <c r="G68" t="s">
        <v>272</v>
      </c>
      <c r="H68" t="s">
        <v>273</v>
      </c>
      <c r="I68" t="s">
        <v>271</v>
      </c>
      <c r="J68" t="s">
        <v>272</v>
      </c>
      <c r="K68" t="s">
        <v>273</v>
      </c>
      <c r="L68" t="s">
        <v>271</v>
      </c>
      <c r="M68" t="s">
        <v>272</v>
      </c>
      <c r="N68" t="s">
        <v>273</v>
      </c>
      <c r="O68" t="s">
        <v>375</v>
      </c>
      <c r="P68" t="s">
        <v>376</v>
      </c>
      <c r="Q68" t="s">
        <v>377</v>
      </c>
      <c r="R68" t="s">
        <v>64</v>
      </c>
      <c r="S68" t="s">
        <v>378</v>
      </c>
      <c r="T68">
        <v>-155.9</v>
      </c>
      <c r="U68">
        <v>-155.9</v>
      </c>
      <c r="V68">
        <v>-155.9</v>
      </c>
      <c r="W68" t="s">
        <v>379</v>
      </c>
      <c r="X68" s="3">
        <v>46053</v>
      </c>
      <c r="Y68" s="3">
        <v>46053</v>
      </c>
      <c r="Z68" t="s">
        <v>380</v>
      </c>
      <c r="AA68" t="s">
        <v>381</v>
      </c>
      <c r="AB68" t="s">
        <v>45</v>
      </c>
      <c r="AC68" t="s">
        <v>127</v>
      </c>
      <c r="AE68">
        <v>-155.9</v>
      </c>
    </row>
    <row r="69" spans="2:31" x14ac:dyDescent="0.25">
      <c r="B69" t="s">
        <v>108</v>
      </c>
      <c r="C69" t="s">
        <v>111</v>
      </c>
      <c r="D69" t="s">
        <v>108</v>
      </c>
      <c r="E69" t="s">
        <v>112</v>
      </c>
      <c r="F69" t="s">
        <v>169</v>
      </c>
      <c r="G69" t="s">
        <v>170</v>
      </c>
      <c r="H69" t="s">
        <v>171</v>
      </c>
      <c r="I69" t="s">
        <v>169</v>
      </c>
      <c r="J69" t="s">
        <v>170</v>
      </c>
      <c r="K69" t="s">
        <v>171</v>
      </c>
      <c r="L69" t="s">
        <v>169</v>
      </c>
      <c r="M69" t="s">
        <v>170</v>
      </c>
      <c r="N69" t="s">
        <v>171</v>
      </c>
      <c r="O69" t="s">
        <v>248</v>
      </c>
      <c r="P69" t="s">
        <v>249</v>
      </c>
      <c r="Q69" t="s">
        <v>250</v>
      </c>
      <c r="R69" t="s">
        <v>255</v>
      </c>
      <c r="S69" t="s">
        <v>382</v>
      </c>
      <c r="T69">
        <v>-141.27000000000001</v>
      </c>
      <c r="U69">
        <v>-141.27000000000001</v>
      </c>
      <c r="V69">
        <v>-141.27000000000001</v>
      </c>
      <c r="W69" t="s">
        <v>363</v>
      </c>
      <c r="X69" s="3">
        <v>46076</v>
      </c>
      <c r="Y69" s="3">
        <v>46076</v>
      </c>
      <c r="Z69" t="s">
        <v>253</v>
      </c>
      <c r="AA69" t="s">
        <v>254</v>
      </c>
      <c r="AB69" t="s">
        <v>45</v>
      </c>
      <c r="AC69" t="s">
        <v>127</v>
      </c>
      <c r="AE69">
        <v>-141.27000000000001</v>
      </c>
    </row>
    <row r="70" spans="2:31" x14ac:dyDescent="0.25">
      <c r="B70" t="s">
        <v>108</v>
      </c>
      <c r="C70" t="s">
        <v>111</v>
      </c>
      <c r="D70" t="s">
        <v>108</v>
      </c>
      <c r="E70" t="s">
        <v>112</v>
      </c>
      <c r="F70" t="s">
        <v>169</v>
      </c>
      <c r="G70" t="s">
        <v>170</v>
      </c>
      <c r="H70" t="s">
        <v>171</v>
      </c>
      <c r="I70" t="s">
        <v>169</v>
      </c>
      <c r="J70" t="s">
        <v>170</v>
      </c>
      <c r="K70" t="s">
        <v>171</v>
      </c>
      <c r="L70" t="s">
        <v>169</v>
      </c>
      <c r="M70" t="s">
        <v>170</v>
      </c>
      <c r="N70" t="s">
        <v>171</v>
      </c>
      <c r="O70" t="s">
        <v>248</v>
      </c>
      <c r="P70" t="s">
        <v>249</v>
      </c>
      <c r="Q70" t="s">
        <v>250</v>
      </c>
      <c r="R70" t="s">
        <v>122</v>
      </c>
      <c r="S70" t="s">
        <v>383</v>
      </c>
      <c r="T70">
        <v>-263.26</v>
      </c>
      <c r="U70">
        <v>-263.26</v>
      </c>
      <c r="V70">
        <v>-263.26</v>
      </c>
      <c r="W70" t="s">
        <v>384</v>
      </c>
      <c r="X70" s="3">
        <v>46076</v>
      </c>
      <c r="Y70" s="3">
        <v>46076</v>
      </c>
      <c r="Z70" t="s">
        <v>253</v>
      </c>
      <c r="AA70" t="s">
        <v>254</v>
      </c>
      <c r="AB70" t="s">
        <v>45</v>
      </c>
      <c r="AC70" t="s">
        <v>127</v>
      </c>
      <c r="AE70">
        <v>-263.26</v>
      </c>
    </row>
    <row r="71" spans="2:31" hidden="1" x14ac:dyDescent="0.25">
      <c r="B71" t="s">
        <v>108</v>
      </c>
      <c r="C71" t="s">
        <v>111</v>
      </c>
      <c r="D71" t="s">
        <v>108</v>
      </c>
      <c r="E71" t="s">
        <v>112</v>
      </c>
      <c r="F71" t="s">
        <v>169</v>
      </c>
      <c r="G71" t="s">
        <v>170</v>
      </c>
      <c r="H71" t="s">
        <v>171</v>
      </c>
      <c r="I71" t="s">
        <v>169</v>
      </c>
      <c r="J71" t="s">
        <v>170</v>
      </c>
      <c r="K71" t="s">
        <v>171</v>
      </c>
      <c r="L71" t="s">
        <v>169</v>
      </c>
      <c r="M71" t="s">
        <v>170</v>
      </c>
      <c r="N71" t="s">
        <v>171</v>
      </c>
      <c r="O71" t="s">
        <v>248</v>
      </c>
      <c r="P71" t="s">
        <v>249</v>
      </c>
      <c r="Q71" t="s">
        <v>250</v>
      </c>
      <c r="R71" t="s">
        <v>205</v>
      </c>
      <c r="S71" t="s">
        <v>385</v>
      </c>
      <c r="T71">
        <v>-22.47</v>
      </c>
      <c r="U71">
        <v>-22.47</v>
      </c>
      <c r="V71">
        <v>-22.47</v>
      </c>
      <c r="W71" t="s">
        <v>384</v>
      </c>
      <c r="X71" s="3">
        <v>46076</v>
      </c>
      <c r="Y71" s="3">
        <v>46076</v>
      </c>
      <c r="Z71" t="s">
        <v>253</v>
      </c>
      <c r="AA71" t="s">
        <v>254</v>
      </c>
      <c r="AB71" t="s">
        <v>45</v>
      </c>
      <c r="AC71" t="s">
        <v>127</v>
      </c>
      <c r="AE71">
        <v>-22.47</v>
      </c>
    </row>
    <row r="72" spans="2:31" x14ac:dyDescent="0.25">
      <c r="B72" t="s">
        <v>108</v>
      </c>
      <c r="C72" t="s">
        <v>111</v>
      </c>
      <c r="D72" t="s">
        <v>108</v>
      </c>
      <c r="E72" t="s">
        <v>112</v>
      </c>
      <c r="F72" t="s">
        <v>365</v>
      </c>
      <c r="G72" t="s">
        <v>366</v>
      </c>
      <c r="H72" t="s">
        <v>367</v>
      </c>
      <c r="I72" t="s">
        <v>365</v>
      </c>
      <c r="J72" t="s">
        <v>366</v>
      </c>
      <c r="K72" t="s">
        <v>367</v>
      </c>
      <c r="L72" t="s">
        <v>365</v>
      </c>
      <c r="M72" t="s">
        <v>366</v>
      </c>
      <c r="N72" t="s">
        <v>367</v>
      </c>
      <c r="O72" t="s">
        <v>368</v>
      </c>
      <c r="P72" t="s">
        <v>369</v>
      </c>
      <c r="Q72" t="s">
        <v>370</v>
      </c>
      <c r="R72" t="s">
        <v>64</v>
      </c>
      <c r="S72" t="s">
        <v>386</v>
      </c>
      <c r="T72">
        <v>-500</v>
      </c>
      <c r="U72">
        <v>-500</v>
      </c>
      <c r="V72">
        <v>-500</v>
      </c>
      <c r="W72" t="s">
        <v>387</v>
      </c>
      <c r="X72" s="3">
        <v>46077</v>
      </c>
      <c r="Y72" s="3">
        <v>46077</v>
      </c>
      <c r="Z72" t="s">
        <v>388</v>
      </c>
      <c r="AA72" t="s">
        <v>389</v>
      </c>
      <c r="AB72" t="s">
        <v>45</v>
      </c>
      <c r="AC72" t="s">
        <v>127</v>
      </c>
      <c r="AE72">
        <v>-500</v>
      </c>
    </row>
    <row r="73" spans="2:31" x14ac:dyDescent="0.25">
      <c r="B73" t="s">
        <v>108</v>
      </c>
      <c r="C73" t="s">
        <v>111</v>
      </c>
      <c r="D73" t="s">
        <v>108</v>
      </c>
      <c r="E73" t="s">
        <v>112</v>
      </c>
      <c r="F73" t="s">
        <v>169</v>
      </c>
      <c r="G73" t="s">
        <v>170</v>
      </c>
      <c r="H73" t="s">
        <v>171</v>
      </c>
      <c r="I73" t="s">
        <v>169</v>
      </c>
      <c r="J73" t="s">
        <v>170</v>
      </c>
      <c r="K73" t="s">
        <v>171</v>
      </c>
      <c r="L73" t="s">
        <v>169</v>
      </c>
      <c r="M73" t="s">
        <v>170</v>
      </c>
      <c r="N73" t="s">
        <v>171</v>
      </c>
      <c r="O73" t="s">
        <v>390</v>
      </c>
      <c r="P73" t="s">
        <v>391</v>
      </c>
      <c r="Q73" t="s">
        <v>392</v>
      </c>
      <c r="R73" t="s">
        <v>269</v>
      </c>
      <c r="S73" t="s">
        <v>393</v>
      </c>
      <c r="T73">
        <v>-984.97</v>
      </c>
      <c r="U73">
        <v>-984.97</v>
      </c>
      <c r="V73">
        <v>-984.97</v>
      </c>
      <c r="W73" t="s">
        <v>394</v>
      </c>
      <c r="X73" s="3">
        <v>46079</v>
      </c>
      <c r="Y73" s="3">
        <v>46079</v>
      </c>
      <c r="Z73" t="s">
        <v>395</v>
      </c>
      <c r="AA73" t="s">
        <v>396</v>
      </c>
      <c r="AB73" t="s">
        <v>45</v>
      </c>
      <c r="AC73" t="s">
        <v>127</v>
      </c>
      <c r="AE73">
        <v>-984.97</v>
      </c>
    </row>
    <row r="74" spans="2:31" x14ac:dyDescent="0.25">
      <c r="B74" t="s">
        <v>108</v>
      </c>
      <c r="C74" t="s">
        <v>111</v>
      </c>
      <c r="D74" t="s">
        <v>108</v>
      </c>
      <c r="E74" t="s">
        <v>112</v>
      </c>
      <c r="F74" t="s">
        <v>113</v>
      </c>
      <c r="G74" t="s">
        <v>114</v>
      </c>
      <c r="H74" t="s">
        <v>115</v>
      </c>
      <c r="I74" t="s">
        <v>116</v>
      </c>
      <c r="J74" t="s">
        <v>117</v>
      </c>
      <c r="K74" t="s">
        <v>118</v>
      </c>
      <c r="L74" t="s">
        <v>116</v>
      </c>
      <c r="M74" t="s">
        <v>117</v>
      </c>
      <c r="N74" t="s">
        <v>118</v>
      </c>
      <c r="O74" t="s">
        <v>196</v>
      </c>
      <c r="P74" t="s">
        <v>197</v>
      </c>
      <c r="Q74" t="s">
        <v>198</v>
      </c>
      <c r="R74" t="s">
        <v>70</v>
      </c>
      <c r="S74" t="s">
        <v>397</v>
      </c>
      <c r="T74">
        <v>-29</v>
      </c>
      <c r="U74">
        <v>-29</v>
      </c>
      <c r="V74">
        <v>-29</v>
      </c>
      <c r="W74" t="s">
        <v>398</v>
      </c>
      <c r="X74" s="3">
        <v>46078</v>
      </c>
      <c r="Y74" s="3">
        <v>46078</v>
      </c>
      <c r="Z74" t="s">
        <v>399</v>
      </c>
      <c r="AA74" t="s">
        <v>400</v>
      </c>
      <c r="AB74" t="s">
        <v>45</v>
      </c>
      <c r="AC74" t="s">
        <v>127</v>
      </c>
      <c r="AE74">
        <v>-29</v>
      </c>
    </row>
    <row r="75" spans="2:31" hidden="1" x14ac:dyDescent="0.25">
      <c r="B75" t="s">
        <v>108</v>
      </c>
      <c r="C75" t="s">
        <v>111</v>
      </c>
      <c r="D75" t="s">
        <v>108</v>
      </c>
      <c r="E75" t="s">
        <v>112</v>
      </c>
      <c r="F75" t="s">
        <v>113</v>
      </c>
      <c r="G75" t="s">
        <v>114</v>
      </c>
      <c r="H75" t="s">
        <v>115</v>
      </c>
      <c r="I75" t="s">
        <v>116</v>
      </c>
      <c r="J75" t="s">
        <v>117</v>
      </c>
      <c r="K75" t="s">
        <v>118</v>
      </c>
      <c r="L75" t="s">
        <v>116</v>
      </c>
      <c r="M75" t="s">
        <v>117</v>
      </c>
      <c r="N75" t="s">
        <v>118</v>
      </c>
      <c r="O75" t="s">
        <v>401</v>
      </c>
      <c r="P75" t="s">
        <v>402</v>
      </c>
      <c r="Q75" t="s">
        <v>403</v>
      </c>
      <c r="R75" t="s">
        <v>205</v>
      </c>
      <c r="S75" t="s">
        <v>404</v>
      </c>
      <c r="T75">
        <v>-130000</v>
      </c>
      <c r="U75">
        <v>-130000</v>
      </c>
      <c r="V75">
        <v>-130000</v>
      </c>
      <c r="W75" t="s">
        <v>405</v>
      </c>
      <c r="X75" s="3">
        <v>46079</v>
      </c>
      <c r="Y75" s="3">
        <v>46079</v>
      </c>
      <c r="Z75" t="s">
        <v>131</v>
      </c>
      <c r="AA75" t="s">
        <v>132</v>
      </c>
      <c r="AB75" t="s">
        <v>45</v>
      </c>
      <c r="AC75" t="s">
        <v>127</v>
      </c>
      <c r="AE75">
        <v>-130000</v>
      </c>
    </row>
    <row r="76" spans="2:31" hidden="1" x14ac:dyDescent="0.25">
      <c r="B76" t="s">
        <v>108</v>
      </c>
      <c r="C76" t="s">
        <v>111</v>
      </c>
      <c r="D76" t="s">
        <v>108</v>
      </c>
      <c r="E76" t="s">
        <v>112</v>
      </c>
      <c r="F76" t="s">
        <v>113</v>
      </c>
      <c r="G76" t="s">
        <v>114</v>
      </c>
      <c r="H76" t="s">
        <v>115</v>
      </c>
      <c r="I76" t="s">
        <v>116</v>
      </c>
      <c r="J76" t="s">
        <v>117</v>
      </c>
      <c r="K76" t="s">
        <v>118</v>
      </c>
      <c r="L76" t="s">
        <v>116</v>
      </c>
      <c r="M76" t="s">
        <v>117</v>
      </c>
      <c r="N76" t="s">
        <v>118</v>
      </c>
      <c r="O76" t="s">
        <v>327</v>
      </c>
      <c r="P76" t="s">
        <v>328</v>
      </c>
      <c r="Q76" t="s">
        <v>329</v>
      </c>
      <c r="R76" t="s">
        <v>205</v>
      </c>
      <c r="S76" t="s">
        <v>406</v>
      </c>
      <c r="T76">
        <v>-3.8</v>
      </c>
      <c r="U76">
        <v>-3.8</v>
      </c>
      <c r="V76">
        <v>-3.8</v>
      </c>
      <c r="W76" t="s">
        <v>407</v>
      </c>
      <c r="X76" s="3">
        <v>46078</v>
      </c>
      <c r="Y76" s="3">
        <v>46078</v>
      </c>
      <c r="Z76" t="s">
        <v>399</v>
      </c>
      <c r="AA76" t="s">
        <v>400</v>
      </c>
      <c r="AB76" t="s">
        <v>45</v>
      </c>
      <c r="AC76" t="s">
        <v>127</v>
      </c>
      <c r="AE76">
        <v>-3.8</v>
      </c>
    </row>
    <row r="77" spans="2:31" hidden="1" x14ac:dyDescent="0.25">
      <c r="B77" t="s">
        <v>108</v>
      </c>
      <c r="C77" t="s">
        <v>111</v>
      </c>
      <c r="D77" t="s">
        <v>108</v>
      </c>
      <c r="E77" t="s">
        <v>112</v>
      </c>
      <c r="F77" t="s">
        <v>113</v>
      </c>
      <c r="G77" t="s">
        <v>114</v>
      </c>
      <c r="H77" t="s">
        <v>115</v>
      </c>
      <c r="I77" t="s">
        <v>116</v>
      </c>
      <c r="J77" t="s">
        <v>117</v>
      </c>
      <c r="K77" t="s">
        <v>118</v>
      </c>
      <c r="L77" t="s">
        <v>116</v>
      </c>
      <c r="M77" t="s">
        <v>117</v>
      </c>
      <c r="N77" t="s">
        <v>118</v>
      </c>
      <c r="O77" t="s">
        <v>327</v>
      </c>
      <c r="P77" t="s">
        <v>328</v>
      </c>
      <c r="Q77" t="s">
        <v>329</v>
      </c>
      <c r="R77" t="s">
        <v>205</v>
      </c>
      <c r="S77" t="s">
        <v>408</v>
      </c>
      <c r="T77">
        <v>-3.8</v>
      </c>
      <c r="U77">
        <v>-3.8</v>
      </c>
      <c r="V77">
        <v>-3.8</v>
      </c>
      <c r="W77" t="s">
        <v>409</v>
      </c>
      <c r="X77" s="3">
        <v>46078</v>
      </c>
      <c r="Y77" s="3">
        <v>46078</v>
      </c>
      <c r="Z77" t="s">
        <v>399</v>
      </c>
      <c r="AA77" t="s">
        <v>400</v>
      </c>
      <c r="AB77" t="s">
        <v>45</v>
      </c>
      <c r="AC77" t="s">
        <v>127</v>
      </c>
      <c r="AE77">
        <v>-3.8</v>
      </c>
    </row>
    <row r="78" spans="2:31" x14ac:dyDescent="0.25">
      <c r="B78" t="s">
        <v>108</v>
      </c>
      <c r="C78" t="s">
        <v>111</v>
      </c>
      <c r="D78" t="s">
        <v>108</v>
      </c>
      <c r="E78" t="s">
        <v>112</v>
      </c>
      <c r="F78" t="s">
        <v>169</v>
      </c>
      <c r="G78" t="s">
        <v>170</v>
      </c>
      <c r="H78" t="s">
        <v>171</v>
      </c>
      <c r="I78" t="s">
        <v>169</v>
      </c>
      <c r="J78" t="s">
        <v>170</v>
      </c>
      <c r="K78" t="s">
        <v>171</v>
      </c>
      <c r="L78" t="s">
        <v>169</v>
      </c>
      <c r="M78" t="s">
        <v>170</v>
      </c>
      <c r="N78" t="s">
        <v>171</v>
      </c>
      <c r="O78" t="s">
        <v>410</v>
      </c>
      <c r="P78" t="s">
        <v>411</v>
      </c>
      <c r="Q78" t="s">
        <v>412</v>
      </c>
      <c r="R78" t="s">
        <v>70</v>
      </c>
      <c r="S78" t="s">
        <v>413</v>
      </c>
      <c r="T78">
        <v>-850</v>
      </c>
      <c r="U78">
        <v>-850</v>
      </c>
      <c r="V78">
        <v>-850</v>
      </c>
      <c r="W78" t="s">
        <v>414</v>
      </c>
      <c r="X78" s="3">
        <v>46035</v>
      </c>
      <c r="Y78" s="3">
        <v>46035</v>
      </c>
      <c r="Z78" t="s">
        <v>415</v>
      </c>
      <c r="AA78" t="s">
        <v>416</v>
      </c>
      <c r="AB78" t="s">
        <v>45</v>
      </c>
      <c r="AC78" t="s">
        <v>127</v>
      </c>
      <c r="AE78">
        <v>-850</v>
      </c>
    </row>
    <row r="79" spans="2:31" x14ac:dyDescent="0.25">
      <c r="B79" t="s">
        <v>108</v>
      </c>
      <c r="C79" t="s">
        <v>111</v>
      </c>
      <c r="D79" t="s">
        <v>108</v>
      </c>
      <c r="E79" t="s">
        <v>112</v>
      </c>
      <c r="F79" t="s">
        <v>160</v>
      </c>
      <c r="G79" t="s">
        <v>38</v>
      </c>
      <c r="H79" t="s">
        <v>161</v>
      </c>
      <c r="I79" t="s">
        <v>160</v>
      </c>
      <c r="J79" t="s">
        <v>38</v>
      </c>
      <c r="K79" t="s">
        <v>161</v>
      </c>
      <c r="L79" t="s">
        <v>160</v>
      </c>
      <c r="M79" t="s">
        <v>38</v>
      </c>
      <c r="N79" t="s">
        <v>161</v>
      </c>
      <c r="O79" t="s">
        <v>417</v>
      </c>
      <c r="P79" t="s">
        <v>418</v>
      </c>
      <c r="Q79" t="s">
        <v>419</v>
      </c>
      <c r="R79" t="s">
        <v>64</v>
      </c>
      <c r="S79" t="s">
        <v>420</v>
      </c>
      <c r="T79">
        <v>-158.93</v>
      </c>
      <c r="U79">
        <v>-158.93</v>
      </c>
      <c r="V79">
        <v>-158.93</v>
      </c>
      <c r="W79" t="s">
        <v>421</v>
      </c>
      <c r="X79" s="3">
        <v>46050</v>
      </c>
      <c r="Y79" s="3">
        <v>46050</v>
      </c>
      <c r="Z79" t="s">
        <v>422</v>
      </c>
      <c r="AA79" t="s">
        <v>423</v>
      </c>
      <c r="AB79" t="s">
        <v>45</v>
      </c>
      <c r="AC79" t="s">
        <v>127</v>
      </c>
      <c r="AE79">
        <v>-158.93</v>
      </c>
    </row>
    <row r="80" spans="2:31" x14ac:dyDescent="0.25">
      <c r="B80" t="s">
        <v>108</v>
      </c>
      <c r="C80" t="s">
        <v>111</v>
      </c>
      <c r="D80" t="s">
        <v>108</v>
      </c>
      <c r="E80" t="s">
        <v>112</v>
      </c>
      <c r="F80" t="s">
        <v>113</v>
      </c>
      <c r="G80" t="s">
        <v>114</v>
      </c>
      <c r="H80" t="s">
        <v>115</v>
      </c>
      <c r="I80" t="s">
        <v>116</v>
      </c>
      <c r="J80" t="s">
        <v>117</v>
      </c>
      <c r="K80" t="s">
        <v>118</v>
      </c>
      <c r="L80" t="s">
        <v>116</v>
      </c>
      <c r="M80" t="s">
        <v>117</v>
      </c>
      <c r="N80" t="s">
        <v>118</v>
      </c>
      <c r="O80" t="s">
        <v>424</v>
      </c>
      <c r="P80" t="s">
        <v>425</v>
      </c>
      <c r="Q80" t="s">
        <v>426</v>
      </c>
      <c r="R80" t="s">
        <v>70</v>
      </c>
      <c r="S80" t="s">
        <v>427</v>
      </c>
      <c r="T80">
        <v>-95.48</v>
      </c>
      <c r="U80">
        <v>-95.48</v>
      </c>
      <c r="V80">
        <v>-95.48</v>
      </c>
      <c r="W80" t="s">
        <v>428</v>
      </c>
      <c r="X80" s="3">
        <v>46041</v>
      </c>
      <c r="Y80" s="3">
        <v>46041</v>
      </c>
      <c r="Z80" t="s">
        <v>429</v>
      </c>
      <c r="AA80" t="s">
        <v>430</v>
      </c>
      <c r="AB80" t="s">
        <v>45</v>
      </c>
      <c r="AC80" t="s">
        <v>127</v>
      </c>
      <c r="AE80">
        <v>-95.48</v>
      </c>
    </row>
    <row r="81" spans="2:31" x14ac:dyDescent="0.25">
      <c r="B81" t="s">
        <v>108</v>
      </c>
      <c r="C81" t="s">
        <v>111</v>
      </c>
      <c r="D81" t="s">
        <v>108</v>
      </c>
      <c r="E81" t="s">
        <v>112</v>
      </c>
      <c r="F81" t="s">
        <v>113</v>
      </c>
      <c r="G81" t="s">
        <v>114</v>
      </c>
      <c r="H81" t="s">
        <v>115</v>
      </c>
      <c r="I81" t="s">
        <v>116</v>
      </c>
      <c r="J81" t="s">
        <v>117</v>
      </c>
      <c r="K81" t="s">
        <v>118</v>
      </c>
      <c r="L81" t="s">
        <v>116</v>
      </c>
      <c r="M81" t="s">
        <v>117</v>
      </c>
      <c r="N81" t="s">
        <v>118</v>
      </c>
      <c r="O81" t="s">
        <v>302</v>
      </c>
      <c r="P81" t="s">
        <v>303</v>
      </c>
      <c r="Q81" t="s">
        <v>304</v>
      </c>
      <c r="R81" t="s">
        <v>64</v>
      </c>
      <c r="S81" t="s">
        <v>431</v>
      </c>
      <c r="T81">
        <v>-489.52</v>
      </c>
      <c r="U81">
        <v>-489.52</v>
      </c>
      <c r="V81">
        <v>-489.52</v>
      </c>
      <c r="W81" t="s">
        <v>432</v>
      </c>
      <c r="X81" s="3">
        <v>46045</v>
      </c>
      <c r="Y81" s="3">
        <v>46045</v>
      </c>
      <c r="Z81" t="s">
        <v>433</v>
      </c>
      <c r="AA81" t="s">
        <v>434</v>
      </c>
      <c r="AB81" t="s">
        <v>45</v>
      </c>
      <c r="AC81" t="s">
        <v>127</v>
      </c>
      <c r="AE81">
        <v>-489.52</v>
      </c>
    </row>
    <row r="82" spans="2:31" x14ac:dyDescent="0.25">
      <c r="B82" t="s">
        <v>108</v>
      </c>
      <c r="C82" t="s">
        <v>111</v>
      </c>
      <c r="D82" t="s">
        <v>108</v>
      </c>
      <c r="E82" t="s">
        <v>112</v>
      </c>
      <c r="F82" t="s">
        <v>113</v>
      </c>
      <c r="G82" t="s">
        <v>114</v>
      </c>
      <c r="H82" t="s">
        <v>115</v>
      </c>
      <c r="I82" t="s">
        <v>116</v>
      </c>
      <c r="J82" t="s">
        <v>117</v>
      </c>
      <c r="K82" t="s">
        <v>118</v>
      </c>
      <c r="L82" t="s">
        <v>116</v>
      </c>
      <c r="M82" t="s">
        <v>117</v>
      </c>
      <c r="N82" t="s">
        <v>118</v>
      </c>
      <c r="O82" t="s">
        <v>424</v>
      </c>
      <c r="P82" t="s">
        <v>425</v>
      </c>
      <c r="Q82" t="s">
        <v>426</v>
      </c>
      <c r="R82" t="s">
        <v>70</v>
      </c>
      <c r="S82" t="s">
        <v>427</v>
      </c>
      <c r="T82">
        <v>-95.48</v>
      </c>
      <c r="U82">
        <v>-95.48</v>
      </c>
      <c r="V82">
        <v>-95.48</v>
      </c>
      <c r="W82" t="s">
        <v>428</v>
      </c>
      <c r="X82" s="3">
        <v>46041</v>
      </c>
      <c r="Y82" s="3">
        <v>46041</v>
      </c>
      <c r="Z82" t="s">
        <v>429</v>
      </c>
      <c r="AA82" t="s">
        <v>430</v>
      </c>
      <c r="AB82" t="s">
        <v>45</v>
      </c>
      <c r="AC82" t="s">
        <v>127</v>
      </c>
      <c r="AE82">
        <v>-95.48</v>
      </c>
    </row>
    <row r="83" spans="2:31" x14ac:dyDescent="0.25">
      <c r="B83" t="s">
        <v>108</v>
      </c>
      <c r="C83" t="s">
        <v>111</v>
      </c>
      <c r="D83" t="s">
        <v>108</v>
      </c>
      <c r="E83" t="s">
        <v>112</v>
      </c>
      <c r="F83" t="s">
        <v>435</v>
      </c>
      <c r="G83" t="s">
        <v>436</v>
      </c>
      <c r="H83" t="s">
        <v>437</v>
      </c>
      <c r="I83" t="s">
        <v>435</v>
      </c>
      <c r="J83" t="s">
        <v>436</v>
      </c>
      <c r="K83" t="s">
        <v>437</v>
      </c>
      <c r="L83" t="s">
        <v>435</v>
      </c>
      <c r="M83" t="s">
        <v>436</v>
      </c>
      <c r="N83" t="s">
        <v>437</v>
      </c>
      <c r="O83" t="s">
        <v>424</v>
      </c>
      <c r="P83" t="s">
        <v>425</v>
      </c>
      <c r="Q83" t="s">
        <v>426</v>
      </c>
      <c r="R83" t="s">
        <v>352</v>
      </c>
      <c r="S83" t="s">
        <v>438</v>
      </c>
      <c r="T83">
        <v>-120</v>
      </c>
      <c r="U83">
        <v>-120</v>
      </c>
      <c r="V83">
        <v>-120</v>
      </c>
      <c r="W83" t="s">
        <v>439</v>
      </c>
      <c r="X83" s="3">
        <v>46086</v>
      </c>
      <c r="Y83" s="3">
        <v>46086</v>
      </c>
      <c r="Z83" t="s">
        <v>440</v>
      </c>
      <c r="AA83" t="s">
        <v>441</v>
      </c>
      <c r="AB83" t="s">
        <v>45</v>
      </c>
      <c r="AC83" t="s">
        <v>127</v>
      </c>
      <c r="AE83">
        <v>-120</v>
      </c>
    </row>
    <row r="84" spans="2:31" x14ac:dyDescent="0.25">
      <c r="B84" t="s">
        <v>108</v>
      </c>
      <c r="C84" t="s">
        <v>111</v>
      </c>
      <c r="D84" t="s">
        <v>108</v>
      </c>
      <c r="E84" t="s">
        <v>112</v>
      </c>
      <c r="F84" t="s">
        <v>271</v>
      </c>
      <c r="G84" t="s">
        <v>272</v>
      </c>
      <c r="H84" t="s">
        <v>273</v>
      </c>
      <c r="I84" t="s">
        <v>271</v>
      </c>
      <c r="J84" t="s">
        <v>272</v>
      </c>
      <c r="K84" t="s">
        <v>273</v>
      </c>
      <c r="L84" t="s">
        <v>271</v>
      </c>
      <c r="M84" t="s">
        <v>272</v>
      </c>
      <c r="N84" t="s">
        <v>273</v>
      </c>
      <c r="O84" t="s">
        <v>136</v>
      </c>
      <c r="P84" t="s">
        <v>137</v>
      </c>
      <c r="Q84" t="s">
        <v>138</v>
      </c>
      <c r="R84" t="s">
        <v>269</v>
      </c>
      <c r="S84" t="s">
        <v>442</v>
      </c>
      <c r="T84">
        <v>-11758.8</v>
      </c>
      <c r="U84">
        <v>-11758.8</v>
      </c>
      <c r="V84">
        <v>-11758.8</v>
      </c>
      <c r="W84" t="s">
        <v>443</v>
      </c>
      <c r="X84" s="3">
        <v>46080</v>
      </c>
      <c r="Y84" s="3">
        <v>46080</v>
      </c>
      <c r="Z84" t="s">
        <v>276</v>
      </c>
      <c r="AA84" t="s">
        <v>277</v>
      </c>
      <c r="AB84" t="s">
        <v>45</v>
      </c>
      <c r="AC84" t="s">
        <v>127</v>
      </c>
      <c r="AE84">
        <v>-11758.8</v>
      </c>
    </row>
    <row r="85" spans="2:31" x14ac:dyDescent="0.25">
      <c r="B85" t="s">
        <v>108</v>
      </c>
      <c r="C85" t="s">
        <v>111</v>
      </c>
      <c r="D85" t="s">
        <v>108</v>
      </c>
      <c r="E85" t="s">
        <v>112</v>
      </c>
      <c r="F85" t="s">
        <v>160</v>
      </c>
      <c r="G85" t="s">
        <v>38</v>
      </c>
      <c r="H85" t="s">
        <v>161</v>
      </c>
      <c r="I85" t="s">
        <v>160</v>
      </c>
      <c r="J85" t="s">
        <v>38</v>
      </c>
      <c r="K85" t="s">
        <v>161</v>
      </c>
      <c r="L85" t="s">
        <v>160</v>
      </c>
      <c r="M85" t="s">
        <v>38</v>
      </c>
      <c r="N85" t="s">
        <v>161</v>
      </c>
      <c r="O85" t="s">
        <v>280</v>
      </c>
      <c r="P85" t="s">
        <v>281</v>
      </c>
      <c r="Q85" t="s">
        <v>282</v>
      </c>
      <c r="R85" t="s">
        <v>122</v>
      </c>
      <c r="S85" t="s">
        <v>444</v>
      </c>
      <c r="T85">
        <v>-250</v>
      </c>
      <c r="U85">
        <v>-250</v>
      </c>
      <c r="V85">
        <v>-250</v>
      </c>
      <c r="W85" t="s">
        <v>445</v>
      </c>
      <c r="X85" s="3">
        <v>46086</v>
      </c>
      <c r="Y85" s="3">
        <v>46086</v>
      </c>
      <c r="Z85" t="s">
        <v>446</v>
      </c>
      <c r="AA85" t="s">
        <v>447</v>
      </c>
      <c r="AB85" t="s">
        <v>45</v>
      </c>
      <c r="AC85" t="s">
        <v>127</v>
      </c>
      <c r="AE85">
        <v>-250</v>
      </c>
    </row>
    <row r="86" spans="2:31" x14ac:dyDescent="0.25">
      <c r="B86" t="s">
        <v>108</v>
      </c>
      <c r="C86" t="s">
        <v>111</v>
      </c>
      <c r="D86" t="s">
        <v>108</v>
      </c>
      <c r="E86" t="s">
        <v>112</v>
      </c>
      <c r="F86" t="s">
        <v>160</v>
      </c>
      <c r="G86" t="s">
        <v>38</v>
      </c>
      <c r="H86" t="s">
        <v>161</v>
      </c>
      <c r="I86" t="s">
        <v>160</v>
      </c>
      <c r="J86" t="s">
        <v>38</v>
      </c>
      <c r="K86" t="s">
        <v>161</v>
      </c>
      <c r="L86" t="s">
        <v>160</v>
      </c>
      <c r="M86" t="s">
        <v>38</v>
      </c>
      <c r="N86" t="s">
        <v>161</v>
      </c>
      <c r="O86" t="s">
        <v>280</v>
      </c>
      <c r="P86" t="s">
        <v>281</v>
      </c>
      <c r="Q86" t="s">
        <v>282</v>
      </c>
      <c r="R86" t="s">
        <v>122</v>
      </c>
      <c r="S86" t="s">
        <v>448</v>
      </c>
      <c r="T86">
        <v>-250</v>
      </c>
      <c r="U86">
        <v>-250</v>
      </c>
      <c r="V86">
        <v>-250</v>
      </c>
      <c r="W86" t="s">
        <v>449</v>
      </c>
      <c r="X86" s="3">
        <v>46086</v>
      </c>
      <c r="Y86" s="3">
        <v>46086</v>
      </c>
      <c r="Z86" t="s">
        <v>450</v>
      </c>
      <c r="AA86" t="s">
        <v>451</v>
      </c>
      <c r="AB86" t="s">
        <v>45</v>
      </c>
      <c r="AC86" t="s">
        <v>127</v>
      </c>
      <c r="AE86">
        <v>-250</v>
      </c>
    </row>
    <row r="87" spans="2:31" x14ac:dyDescent="0.25">
      <c r="B87" t="s">
        <v>108</v>
      </c>
      <c r="C87" t="s">
        <v>111</v>
      </c>
      <c r="D87" t="s">
        <v>108</v>
      </c>
      <c r="E87" t="s">
        <v>112</v>
      </c>
      <c r="F87" t="s">
        <v>452</v>
      </c>
      <c r="G87" t="s">
        <v>453</v>
      </c>
      <c r="H87" t="s">
        <v>454</v>
      </c>
      <c r="I87" t="s">
        <v>452</v>
      </c>
      <c r="J87" t="s">
        <v>453</v>
      </c>
      <c r="K87" t="s">
        <v>454</v>
      </c>
      <c r="L87" t="s">
        <v>452</v>
      </c>
      <c r="M87" t="s">
        <v>453</v>
      </c>
      <c r="N87" t="s">
        <v>454</v>
      </c>
      <c r="O87" t="s">
        <v>280</v>
      </c>
      <c r="P87" t="s">
        <v>281</v>
      </c>
      <c r="Q87" t="s">
        <v>282</v>
      </c>
      <c r="R87" t="s">
        <v>269</v>
      </c>
      <c r="S87" t="s">
        <v>455</v>
      </c>
      <c r="T87">
        <v>-1000</v>
      </c>
      <c r="U87">
        <v>-1000</v>
      </c>
      <c r="V87">
        <v>-1000</v>
      </c>
      <c r="W87" t="s">
        <v>456</v>
      </c>
      <c r="X87" s="3">
        <v>46054</v>
      </c>
      <c r="Y87" s="3">
        <v>46054</v>
      </c>
      <c r="Z87" t="s">
        <v>457</v>
      </c>
      <c r="AA87" t="s">
        <v>458</v>
      </c>
      <c r="AB87" t="s">
        <v>45</v>
      </c>
      <c r="AC87" t="s">
        <v>127</v>
      </c>
      <c r="AE87">
        <v>-1000</v>
      </c>
    </row>
    <row r="88" spans="2:31" x14ac:dyDescent="0.25">
      <c r="B88" t="s">
        <v>108</v>
      </c>
      <c r="C88" t="s">
        <v>111</v>
      </c>
      <c r="D88" t="s">
        <v>108</v>
      </c>
      <c r="E88" t="s">
        <v>112</v>
      </c>
      <c r="F88" t="s">
        <v>113</v>
      </c>
      <c r="G88" t="s">
        <v>114</v>
      </c>
      <c r="H88" t="s">
        <v>115</v>
      </c>
      <c r="I88" t="s">
        <v>116</v>
      </c>
      <c r="J88" t="s">
        <v>117</v>
      </c>
      <c r="K88" t="s">
        <v>118</v>
      </c>
      <c r="L88" t="s">
        <v>116</v>
      </c>
      <c r="M88" t="s">
        <v>117</v>
      </c>
      <c r="N88" t="s">
        <v>118</v>
      </c>
      <c r="O88" t="s">
        <v>424</v>
      </c>
      <c r="P88" t="s">
        <v>425</v>
      </c>
      <c r="Q88" t="s">
        <v>426</v>
      </c>
      <c r="R88" t="s">
        <v>70</v>
      </c>
      <c r="S88" t="s">
        <v>427</v>
      </c>
      <c r="T88">
        <v>-95.48</v>
      </c>
      <c r="U88">
        <v>-95.48</v>
      </c>
      <c r="V88">
        <v>-95.48</v>
      </c>
      <c r="W88" t="s">
        <v>428</v>
      </c>
      <c r="X88" s="3">
        <v>46041</v>
      </c>
      <c r="Y88" s="3">
        <v>46041</v>
      </c>
      <c r="Z88" t="s">
        <v>429</v>
      </c>
      <c r="AA88" t="s">
        <v>430</v>
      </c>
      <c r="AB88" t="s">
        <v>45</v>
      </c>
      <c r="AC88" t="s">
        <v>127</v>
      </c>
      <c r="AE88">
        <v>-95.48</v>
      </c>
    </row>
    <row r="89" spans="2:31" x14ac:dyDescent="0.25">
      <c r="B89" t="s">
        <v>108</v>
      </c>
      <c r="C89" t="s">
        <v>111</v>
      </c>
      <c r="D89" t="s">
        <v>108</v>
      </c>
      <c r="E89" t="s">
        <v>112</v>
      </c>
      <c r="F89" t="s">
        <v>113</v>
      </c>
      <c r="G89" t="s">
        <v>114</v>
      </c>
      <c r="H89" t="s">
        <v>115</v>
      </c>
      <c r="I89" t="s">
        <v>116</v>
      </c>
      <c r="J89" t="s">
        <v>117</v>
      </c>
      <c r="K89" t="s">
        <v>118</v>
      </c>
      <c r="L89" t="s">
        <v>116</v>
      </c>
      <c r="M89" t="s">
        <v>117</v>
      </c>
      <c r="N89" t="s">
        <v>118</v>
      </c>
      <c r="O89" t="s">
        <v>424</v>
      </c>
      <c r="P89" t="s">
        <v>425</v>
      </c>
      <c r="Q89" t="s">
        <v>426</v>
      </c>
      <c r="R89" t="s">
        <v>70</v>
      </c>
      <c r="S89" t="s">
        <v>427</v>
      </c>
      <c r="T89">
        <v>-236.25</v>
      </c>
      <c r="U89">
        <v>-236.25</v>
      </c>
      <c r="V89">
        <v>-236.25</v>
      </c>
      <c r="W89" t="s">
        <v>459</v>
      </c>
      <c r="X89" s="3">
        <v>46039</v>
      </c>
      <c r="Y89" s="3">
        <v>46039</v>
      </c>
      <c r="Z89" t="s">
        <v>460</v>
      </c>
      <c r="AA89" t="s">
        <v>461</v>
      </c>
      <c r="AB89" t="s">
        <v>45</v>
      </c>
      <c r="AC89" t="s">
        <v>127</v>
      </c>
      <c r="AE89">
        <v>-236.25</v>
      </c>
    </row>
    <row r="90" spans="2:31" x14ac:dyDescent="0.25">
      <c r="B90" t="s">
        <v>108</v>
      </c>
      <c r="C90" t="s">
        <v>111</v>
      </c>
      <c r="D90" t="s">
        <v>108</v>
      </c>
      <c r="E90" t="s">
        <v>112</v>
      </c>
      <c r="F90" t="s">
        <v>113</v>
      </c>
      <c r="G90" t="s">
        <v>114</v>
      </c>
      <c r="H90" t="s">
        <v>115</v>
      </c>
      <c r="I90" t="s">
        <v>116</v>
      </c>
      <c r="J90" t="s">
        <v>117</v>
      </c>
      <c r="K90" t="s">
        <v>118</v>
      </c>
      <c r="L90" t="s">
        <v>116</v>
      </c>
      <c r="M90" t="s">
        <v>117</v>
      </c>
      <c r="N90" t="s">
        <v>118</v>
      </c>
      <c r="O90" t="s">
        <v>302</v>
      </c>
      <c r="P90" t="s">
        <v>303</v>
      </c>
      <c r="Q90" t="s">
        <v>304</v>
      </c>
      <c r="R90" t="s">
        <v>64</v>
      </c>
      <c r="S90" t="s">
        <v>431</v>
      </c>
      <c r="T90">
        <v>-489.52</v>
      </c>
      <c r="U90">
        <v>-489.52</v>
      </c>
      <c r="V90">
        <v>-489.52</v>
      </c>
      <c r="W90" t="s">
        <v>432</v>
      </c>
      <c r="X90" s="3">
        <v>46045</v>
      </c>
      <c r="Y90" s="3">
        <v>46045</v>
      </c>
      <c r="Z90" t="s">
        <v>433</v>
      </c>
      <c r="AA90" t="s">
        <v>434</v>
      </c>
      <c r="AB90" t="s">
        <v>45</v>
      </c>
      <c r="AC90" t="s">
        <v>127</v>
      </c>
      <c r="AE90">
        <v>-489.52</v>
      </c>
    </row>
    <row r="91" spans="2:31" x14ac:dyDescent="0.25">
      <c r="B91" t="s">
        <v>108</v>
      </c>
      <c r="C91" t="s">
        <v>111</v>
      </c>
      <c r="D91" t="s">
        <v>108</v>
      </c>
      <c r="E91" t="s">
        <v>112</v>
      </c>
      <c r="F91" t="s">
        <v>113</v>
      </c>
      <c r="G91" t="s">
        <v>114</v>
      </c>
      <c r="H91" t="s">
        <v>115</v>
      </c>
      <c r="I91" t="s">
        <v>116</v>
      </c>
      <c r="J91" t="s">
        <v>117</v>
      </c>
      <c r="K91" t="s">
        <v>118</v>
      </c>
      <c r="L91" t="s">
        <v>116</v>
      </c>
      <c r="M91" t="s">
        <v>117</v>
      </c>
      <c r="N91" t="s">
        <v>118</v>
      </c>
      <c r="O91" t="s">
        <v>302</v>
      </c>
      <c r="P91" t="s">
        <v>303</v>
      </c>
      <c r="Q91" t="s">
        <v>304</v>
      </c>
      <c r="R91" t="s">
        <v>70</v>
      </c>
      <c r="S91" t="s">
        <v>462</v>
      </c>
      <c r="T91">
        <v>-592.1</v>
      </c>
      <c r="U91">
        <v>-592.1</v>
      </c>
      <c r="V91">
        <v>-592.1</v>
      </c>
      <c r="W91" t="s">
        <v>463</v>
      </c>
      <c r="X91" s="3">
        <v>46065</v>
      </c>
      <c r="Y91" s="3">
        <v>46065</v>
      </c>
      <c r="Z91" t="s">
        <v>464</v>
      </c>
      <c r="AA91" t="s">
        <v>465</v>
      </c>
      <c r="AB91" t="s">
        <v>45</v>
      </c>
      <c r="AC91" t="s">
        <v>127</v>
      </c>
      <c r="AE91">
        <v>-592.1</v>
      </c>
    </row>
    <row r="92" spans="2:31" x14ac:dyDescent="0.25">
      <c r="B92" t="s">
        <v>108</v>
      </c>
      <c r="C92" t="s">
        <v>111</v>
      </c>
      <c r="D92" t="s">
        <v>108</v>
      </c>
      <c r="E92" t="s">
        <v>112</v>
      </c>
      <c r="F92" t="s">
        <v>113</v>
      </c>
      <c r="G92" t="s">
        <v>114</v>
      </c>
      <c r="H92" t="s">
        <v>115</v>
      </c>
      <c r="I92" t="s">
        <v>116</v>
      </c>
      <c r="J92" t="s">
        <v>117</v>
      </c>
      <c r="K92" t="s">
        <v>118</v>
      </c>
      <c r="L92" t="s">
        <v>116</v>
      </c>
      <c r="M92" t="s">
        <v>117</v>
      </c>
      <c r="N92" t="s">
        <v>118</v>
      </c>
      <c r="O92" t="s">
        <v>302</v>
      </c>
      <c r="P92" t="s">
        <v>303</v>
      </c>
      <c r="Q92" t="s">
        <v>304</v>
      </c>
      <c r="R92" t="s">
        <v>64</v>
      </c>
      <c r="S92" t="s">
        <v>431</v>
      </c>
      <c r="T92">
        <v>-489.52</v>
      </c>
      <c r="U92">
        <v>-489.52</v>
      </c>
      <c r="V92">
        <v>-489.52</v>
      </c>
      <c r="W92" t="s">
        <v>432</v>
      </c>
      <c r="X92" s="3">
        <v>46045</v>
      </c>
      <c r="Y92" s="3">
        <v>46045</v>
      </c>
      <c r="Z92" t="s">
        <v>433</v>
      </c>
      <c r="AA92" t="s">
        <v>434</v>
      </c>
      <c r="AB92" t="s">
        <v>45</v>
      </c>
      <c r="AC92" t="s">
        <v>127</v>
      </c>
      <c r="AE92">
        <v>-489.52</v>
      </c>
    </row>
    <row r="93" spans="2:31" hidden="1" x14ac:dyDescent="0.25">
      <c r="B93" t="s">
        <v>108</v>
      </c>
      <c r="C93" t="s">
        <v>111</v>
      </c>
      <c r="D93" t="s">
        <v>108</v>
      </c>
      <c r="E93" t="s">
        <v>112</v>
      </c>
      <c r="F93" t="s">
        <v>113</v>
      </c>
      <c r="G93" t="s">
        <v>114</v>
      </c>
      <c r="H93" t="s">
        <v>115</v>
      </c>
      <c r="I93" t="s">
        <v>116</v>
      </c>
      <c r="J93" t="s">
        <v>117</v>
      </c>
      <c r="K93" t="s">
        <v>118</v>
      </c>
      <c r="L93" t="s">
        <v>116</v>
      </c>
      <c r="M93" t="s">
        <v>117</v>
      </c>
      <c r="N93" t="s">
        <v>118</v>
      </c>
      <c r="O93" t="s">
        <v>302</v>
      </c>
      <c r="P93" t="s">
        <v>303</v>
      </c>
      <c r="Q93" t="s">
        <v>304</v>
      </c>
      <c r="R93" t="s">
        <v>205</v>
      </c>
      <c r="S93" t="s">
        <v>466</v>
      </c>
      <c r="T93">
        <v>-477.15</v>
      </c>
      <c r="U93">
        <v>-477.15</v>
      </c>
      <c r="V93">
        <v>-477.15</v>
      </c>
      <c r="W93" t="s">
        <v>467</v>
      </c>
      <c r="X93" s="3">
        <v>46030</v>
      </c>
      <c r="Y93" s="3">
        <v>46030</v>
      </c>
      <c r="Z93" t="s">
        <v>464</v>
      </c>
      <c r="AA93" t="s">
        <v>465</v>
      </c>
      <c r="AB93" t="s">
        <v>45</v>
      </c>
      <c r="AC93" t="s">
        <v>127</v>
      </c>
      <c r="AE93">
        <v>-477.15</v>
      </c>
    </row>
    <row r="94" spans="2:31" hidden="1" x14ac:dyDescent="0.25">
      <c r="B94" t="s">
        <v>108</v>
      </c>
      <c r="C94" t="s">
        <v>111</v>
      </c>
      <c r="D94" t="s">
        <v>108</v>
      </c>
      <c r="E94" t="s">
        <v>112</v>
      </c>
      <c r="F94" t="s">
        <v>113</v>
      </c>
      <c r="G94" t="s">
        <v>114</v>
      </c>
      <c r="H94" t="s">
        <v>115</v>
      </c>
      <c r="I94" t="s">
        <v>116</v>
      </c>
      <c r="J94" t="s">
        <v>117</v>
      </c>
      <c r="K94" t="s">
        <v>118</v>
      </c>
      <c r="L94" t="s">
        <v>116</v>
      </c>
      <c r="M94" t="s">
        <v>117</v>
      </c>
      <c r="N94" t="s">
        <v>118</v>
      </c>
      <c r="O94" t="s">
        <v>302</v>
      </c>
      <c r="P94" t="s">
        <v>303</v>
      </c>
      <c r="Q94" t="s">
        <v>304</v>
      </c>
      <c r="R94" t="s">
        <v>205</v>
      </c>
      <c r="S94" t="s">
        <v>466</v>
      </c>
      <c r="T94">
        <v>-477.15</v>
      </c>
      <c r="U94">
        <v>-477.15</v>
      </c>
      <c r="V94">
        <v>-477.15</v>
      </c>
      <c r="W94" t="s">
        <v>467</v>
      </c>
      <c r="X94" s="3">
        <v>46030</v>
      </c>
      <c r="Y94" s="3">
        <v>46030</v>
      </c>
      <c r="Z94" t="s">
        <v>464</v>
      </c>
      <c r="AA94" t="s">
        <v>465</v>
      </c>
      <c r="AB94" t="s">
        <v>45</v>
      </c>
      <c r="AC94" t="s">
        <v>127</v>
      </c>
      <c r="AE94">
        <v>-477.15</v>
      </c>
    </row>
    <row r="95" spans="2:31" x14ac:dyDescent="0.25">
      <c r="B95" t="s">
        <v>108</v>
      </c>
      <c r="C95" t="s">
        <v>111</v>
      </c>
      <c r="D95" t="s">
        <v>108</v>
      </c>
      <c r="E95" t="s">
        <v>112</v>
      </c>
      <c r="F95" t="s">
        <v>113</v>
      </c>
      <c r="G95" t="s">
        <v>114</v>
      </c>
      <c r="H95" t="s">
        <v>115</v>
      </c>
      <c r="I95" t="s">
        <v>116</v>
      </c>
      <c r="J95" t="s">
        <v>117</v>
      </c>
      <c r="K95" t="s">
        <v>118</v>
      </c>
      <c r="L95" t="s">
        <v>116</v>
      </c>
      <c r="M95" t="s">
        <v>117</v>
      </c>
      <c r="N95" t="s">
        <v>118</v>
      </c>
      <c r="O95" t="s">
        <v>424</v>
      </c>
      <c r="P95" t="s">
        <v>425</v>
      </c>
      <c r="Q95" t="s">
        <v>426</v>
      </c>
      <c r="R95" t="s">
        <v>70</v>
      </c>
      <c r="S95" t="s">
        <v>427</v>
      </c>
      <c r="T95">
        <v>-236.25</v>
      </c>
      <c r="U95">
        <v>-236.25</v>
      </c>
      <c r="V95">
        <v>-236.25</v>
      </c>
      <c r="W95" t="s">
        <v>459</v>
      </c>
      <c r="X95" s="3">
        <v>46039</v>
      </c>
      <c r="Y95" s="3">
        <v>46039</v>
      </c>
      <c r="Z95" t="s">
        <v>460</v>
      </c>
      <c r="AA95" t="s">
        <v>461</v>
      </c>
      <c r="AB95" t="s">
        <v>45</v>
      </c>
      <c r="AC95" t="s">
        <v>127</v>
      </c>
      <c r="AE95">
        <v>-236.25</v>
      </c>
    </row>
    <row r="96" spans="2:31" x14ac:dyDescent="0.25">
      <c r="B96" t="s">
        <v>108</v>
      </c>
      <c r="C96" t="s">
        <v>111</v>
      </c>
      <c r="D96" t="s">
        <v>108</v>
      </c>
      <c r="E96" t="s">
        <v>112</v>
      </c>
      <c r="F96" t="s">
        <v>113</v>
      </c>
      <c r="G96" t="s">
        <v>114</v>
      </c>
      <c r="H96" t="s">
        <v>115</v>
      </c>
      <c r="I96" t="s">
        <v>116</v>
      </c>
      <c r="J96" t="s">
        <v>117</v>
      </c>
      <c r="K96" t="s">
        <v>118</v>
      </c>
      <c r="L96" t="s">
        <v>116</v>
      </c>
      <c r="M96" t="s">
        <v>117</v>
      </c>
      <c r="N96" t="s">
        <v>118</v>
      </c>
      <c r="O96" t="s">
        <v>302</v>
      </c>
      <c r="P96" t="s">
        <v>303</v>
      </c>
      <c r="Q96" t="s">
        <v>304</v>
      </c>
      <c r="R96" t="s">
        <v>64</v>
      </c>
      <c r="S96" t="s">
        <v>431</v>
      </c>
      <c r="T96">
        <v>-489.52</v>
      </c>
      <c r="U96">
        <v>-489.52</v>
      </c>
      <c r="V96">
        <v>-489.52</v>
      </c>
      <c r="W96" t="s">
        <v>432</v>
      </c>
      <c r="X96" s="3">
        <v>46045</v>
      </c>
      <c r="Y96" s="3">
        <v>46045</v>
      </c>
      <c r="Z96" t="s">
        <v>433</v>
      </c>
      <c r="AA96" t="s">
        <v>434</v>
      </c>
      <c r="AB96" t="s">
        <v>45</v>
      </c>
      <c r="AC96" t="s">
        <v>127</v>
      </c>
      <c r="AE96">
        <v>-489.52</v>
      </c>
    </row>
    <row r="97" spans="2:31" x14ac:dyDescent="0.25">
      <c r="B97" t="s">
        <v>108</v>
      </c>
      <c r="C97" t="s">
        <v>111</v>
      </c>
      <c r="D97" t="s">
        <v>108</v>
      </c>
      <c r="E97" t="s">
        <v>112</v>
      </c>
      <c r="F97" t="s">
        <v>113</v>
      </c>
      <c r="G97" t="s">
        <v>114</v>
      </c>
      <c r="H97" t="s">
        <v>115</v>
      </c>
      <c r="I97" t="s">
        <v>116</v>
      </c>
      <c r="J97" t="s">
        <v>117</v>
      </c>
      <c r="K97" t="s">
        <v>118</v>
      </c>
      <c r="L97" t="s">
        <v>116</v>
      </c>
      <c r="M97" t="s">
        <v>117</v>
      </c>
      <c r="N97" t="s">
        <v>118</v>
      </c>
      <c r="O97" t="s">
        <v>302</v>
      </c>
      <c r="P97" t="s">
        <v>303</v>
      </c>
      <c r="Q97" t="s">
        <v>304</v>
      </c>
      <c r="R97" t="s">
        <v>64</v>
      </c>
      <c r="S97" t="s">
        <v>431</v>
      </c>
      <c r="T97">
        <v>-489.52</v>
      </c>
      <c r="U97">
        <v>-489.52</v>
      </c>
      <c r="V97">
        <v>-489.52</v>
      </c>
      <c r="W97" t="s">
        <v>432</v>
      </c>
      <c r="X97" s="3">
        <v>46045</v>
      </c>
      <c r="Y97" s="3">
        <v>46045</v>
      </c>
      <c r="Z97" t="s">
        <v>433</v>
      </c>
      <c r="AA97" t="s">
        <v>434</v>
      </c>
      <c r="AB97" t="s">
        <v>45</v>
      </c>
      <c r="AC97" t="s">
        <v>127</v>
      </c>
      <c r="AE97">
        <v>-489.52</v>
      </c>
    </row>
    <row r="98" spans="2:31" x14ac:dyDescent="0.25">
      <c r="B98" t="s">
        <v>108</v>
      </c>
      <c r="C98" t="s">
        <v>111</v>
      </c>
      <c r="D98" t="s">
        <v>108</v>
      </c>
      <c r="E98" t="s">
        <v>112</v>
      </c>
      <c r="F98" t="s">
        <v>113</v>
      </c>
      <c r="G98" t="s">
        <v>114</v>
      </c>
      <c r="H98" t="s">
        <v>115</v>
      </c>
      <c r="I98" t="s">
        <v>116</v>
      </c>
      <c r="J98" t="s">
        <v>117</v>
      </c>
      <c r="K98" t="s">
        <v>118</v>
      </c>
      <c r="L98" t="s">
        <v>116</v>
      </c>
      <c r="M98" t="s">
        <v>117</v>
      </c>
      <c r="N98" t="s">
        <v>118</v>
      </c>
      <c r="O98" t="s">
        <v>424</v>
      </c>
      <c r="P98" t="s">
        <v>425</v>
      </c>
      <c r="Q98" t="s">
        <v>426</v>
      </c>
      <c r="R98" t="s">
        <v>70</v>
      </c>
      <c r="S98" t="s">
        <v>427</v>
      </c>
      <c r="T98">
        <v>-95.48</v>
      </c>
      <c r="U98">
        <v>-95.48</v>
      </c>
      <c r="V98">
        <v>-95.48</v>
      </c>
      <c r="W98" t="s">
        <v>428</v>
      </c>
      <c r="X98" s="3">
        <v>46041</v>
      </c>
      <c r="Y98" s="3">
        <v>46041</v>
      </c>
      <c r="Z98" t="s">
        <v>429</v>
      </c>
      <c r="AA98" t="s">
        <v>430</v>
      </c>
      <c r="AB98" t="s">
        <v>45</v>
      </c>
      <c r="AC98" t="s">
        <v>127</v>
      </c>
      <c r="AE98">
        <v>-95.48</v>
      </c>
    </row>
    <row r="99" spans="2:31" x14ac:dyDescent="0.25">
      <c r="B99" t="s">
        <v>108</v>
      </c>
      <c r="C99" t="s">
        <v>111</v>
      </c>
      <c r="D99" t="s">
        <v>108</v>
      </c>
      <c r="E99" t="s">
        <v>112</v>
      </c>
      <c r="F99" t="s">
        <v>435</v>
      </c>
      <c r="G99" t="s">
        <v>436</v>
      </c>
      <c r="H99" t="s">
        <v>437</v>
      </c>
      <c r="I99" t="s">
        <v>435</v>
      </c>
      <c r="J99" t="s">
        <v>436</v>
      </c>
      <c r="K99" t="s">
        <v>437</v>
      </c>
      <c r="L99" t="s">
        <v>435</v>
      </c>
      <c r="M99" t="s">
        <v>436</v>
      </c>
      <c r="N99" t="s">
        <v>437</v>
      </c>
      <c r="O99" t="s">
        <v>424</v>
      </c>
      <c r="P99" t="s">
        <v>425</v>
      </c>
      <c r="Q99" t="s">
        <v>426</v>
      </c>
      <c r="R99" t="s">
        <v>238</v>
      </c>
      <c r="S99" t="s">
        <v>468</v>
      </c>
      <c r="T99">
        <v>-120</v>
      </c>
      <c r="U99">
        <v>-120</v>
      </c>
      <c r="V99">
        <v>-120</v>
      </c>
      <c r="W99" t="s">
        <v>469</v>
      </c>
      <c r="X99" s="3">
        <v>46086</v>
      </c>
      <c r="Y99" s="3">
        <v>46086</v>
      </c>
      <c r="Z99" t="s">
        <v>470</v>
      </c>
      <c r="AA99" t="s">
        <v>471</v>
      </c>
      <c r="AB99" t="s">
        <v>45</v>
      </c>
      <c r="AC99" t="s">
        <v>127</v>
      </c>
      <c r="AE99">
        <v>-120</v>
      </c>
    </row>
    <row r="100" spans="2:31" x14ac:dyDescent="0.25">
      <c r="B100" t="s">
        <v>108</v>
      </c>
      <c r="C100" t="s">
        <v>111</v>
      </c>
      <c r="D100" t="s">
        <v>108</v>
      </c>
      <c r="E100" t="s">
        <v>112</v>
      </c>
      <c r="F100" t="s">
        <v>271</v>
      </c>
      <c r="G100" t="s">
        <v>272</v>
      </c>
      <c r="H100" t="s">
        <v>273</v>
      </c>
      <c r="I100" t="s">
        <v>271</v>
      </c>
      <c r="J100" t="s">
        <v>272</v>
      </c>
      <c r="K100" t="s">
        <v>273</v>
      </c>
      <c r="L100" t="s">
        <v>271</v>
      </c>
      <c r="M100" t="s">
        <v>272</v>
      </c>
      <c r="N100" t="s">
        <v>273</v>
      </c>
      <c r="O100" t="s">
        <v>295</v>
      </c>
      <c r="P100" t="s">
        <v>296</v>
      </c>
      <c r="Q100" t="s">
        <v>297</v>
      </c>
      <c r="R100" t="s">
        <v>70</v>
      </c>
      <c r="S100" t="s">
        <v>472</v>
      </c>
      <c r="T100">
        <v>-113.2</v>
      </c>
      <c r="U100">
        <v>-113.2</v>
      </c>
      <c r="V100">
        <v>-113.2</v>
      </c>
      <c r="W100" t="s">
        <v>473</v>
      </c>
      <c r="X100" s="3">
        <v>46054</v>
      </c>
      <c r="Y100" s="3">
        <v>46054</v>
      </c>
      <c r="Z100" t="s">
        <v>474</v>
      </c>
      <c r="AA100" t="s">
        <v>475</v>
      </c>
      <c r="AB100" t="s">
        <v>45</v>
      </c>
      <c r="AC100" t="s">
        <v>127</v>
      </c>
      <c r="AE100">
        <v>-113.2</v>
      </c>
    </row>
    <row r="101" spans="2:31" x14ac:dyDescent="0.25">
      <c r="B101" t="s">
        <v>108</v>
      </c>
      <c r="C101" t="s">
        <v>111</v>
      </c>
      <c r="D101" t="s">
        <v>108</v>
      </c>
      <c r="E101" t="s">
        <v>112</v>
      </c>
      <c r="F101" t="s">
        <v>160</v>
      </c>
      <c r="G101" t="s">
        <v>38</v>
      </c>
      <c r="H101" t="s">
        <v>161</v>
      </c>
      <c r="I101" t="s">
        <v>160</v>
      </c>
      <c r="J101" t="s">
        <v>38</v>
      </c>
      <c r="K101" t="s">
        <v>161</v>
      </c>
      <c r="L101" t="s">
        <v>160</v>
      </c>
      <c r="M101" t="s">
        <v>38</v>
      </c>
      <c r="N101" t="s">
        <v>161</v>
      </c>
      <c r="O101" t="s">
        <v>417</v>
      </c>
      <c r="P101" t="s">
        <v>418</v>
      </c>
      <c r="Q101" t="s">
        <v>419</v>
      </c>
      <c r="R101" t="s">
        <v>64</v>
      </c>
      <c r="S101" t="s">
        <v>420</v>
      </c>
      <c r="T101">
        <v>-158.91999999999999</v>
      </c>
      <c r="U101">
        <v>-158.91999999999999</v>
      </c>
      <c r="V101">
        <v>-158.91999999999999</v>
      </c>
      <c r="W101" t="s">
        <v>421</v>
      </c>
      <c r="X101" s="3">
        <v>46050</v>
      </c>
      <c r="Y101" s="3">
        <v>46050</v>
      </c>
      <c r="Z101" t="s">
        <v>422</v>
      </c>
      <c r="AA101" t="s">
        <v>423</v>
      </c>
      <c r="AB101" t="s">
        <v>45</v>
      </c>
      <c r="AC101" t="s">
        <v>127</v>
      </c>
      <c r="AE101">
        <v>-158.91999999999999</v>
      </c>
    </row>
    <row r="102" spans="2:31" x14ac:dyDescent="0.25">
      <c r="B102" t="s">
        <v>108</v>
      </c>
      <c r="C102" t="s">
        <v>111</v>
      </c>
      <c r="D102" t="s">
        <v>108</v>
      </c>
      <c r="E102" t="s">
        <v>112</v>
      </c>
      <c r="F102" t="s">
        <v>435</v>
      </c>
      <c r="G102" t="s">
        <v>436</v>
      </c>
      <c r="H102" t="s">
        <v>437</v>
      </c>
      <c r="I102" t="s">
        <v>435</v>
      </c>
      <c r="J102" t="s">
        <v>436</v>
      </c>
      <c r="K102" t="s">
        <v>437</v>
      </c>
      <c r="L102" t="s">
        <v>435</v>
      </c>
      <c r="M102" t="s">
        <v>436</v>
      </c>
      <c r="N102" t="s">
        <v>437</v>
      </c>
      <c r="O102" t="s">
        <v>424</v>
      </c>
      <c r="P102" t="s">
        <v>425</v>
      </c>
      <c r="Q102" t="s">
        <v>426</v>
      </c>
      <c r="R102" t="s">
        <v>352</v>
      </c>
      <c r="S102" t="s">
        <v>476</v>
      </c>
      <c r="T102">
        <v>-120</v>
      </c>
      <c r="U102">
        <v>-120</v>
      </c>
      <c r="V102">
        <v>-120</v>
      </c>
      <c r="W102" t="s">
        <v>477</v>
      </c>
      <c r="X102" s="3">
        <v>46086</v>
      </c>
      <c r="Y102" s="3">
        <v>46086</v>
      </c>
      <c r="Z102" t="s">
        <v>478</v>
      </c>
      <c r="AA102" t="s">
        <v>479</v>
      </c>
      <c r="AB102" t="s">
        <v>45</v>
      </c>
      <c r="AC102" t="s">
        <v>127</v>
      </c>
      <c r="AE102">
        <v>-120</v>
      </c>
    </row>
    <row r="103" spans="2:31" x14ac:dyDescent="0.25">
      <c r="B103" t="s">
        <v>108</v>
      </c>
      <c r="C103" t="s">
        <v>111</v>
      </c>
      <c r="D103" t="s">
        <v>108</v>
      </c>
      <c r="E103" t="s">
        <v>112</v>
      </c>
      <c r="F103" t="s">
        <v>271</v>
      </c>
      <c r="G103" t="s">
        <v>272</v>
      </c>
      <c r="H103" t="s">
        <v>273</v>
      </c>
      <c r="I103" t="s">
        <v>271</v>
      </c>
      <c r="J103" t="s">
        <v>272</v>
      </c>
      <c r="K103" t="s">
        <v>273</v>
      </c>
      <c r="L103" t="s">
        <v>271</v>
      </c>
      <c r="M103" t="s">
        <v>272</v>
      </c>
      <c r="N103" t="s">
        <v>273</v>
      </c>
      <c r="O103" t="s">
        <v>480</v>
      </c>
      <c r="P103" t="s">
        <v>481</v>
      </c>
      <c r="Q103" t="s">
        <v>482</v>
      </c>
      <c r="R103" t="s">
        <v>269</v>
      </c>
      <c r="S103" t="s">
        <v>483</v>
      </c>
      <c r="T103">
        <v>-150</v>
      </c>
      <c r="U103">
        <v>-150</v>
      </c>
      <c r="V103">
        <v>-150</v>
      </c>
      <c r="W103" t="s">
        <v>484</v>
      </c>
      <c r="X103" s="3">
        <v>46098</v>
      </c>
      <c r="Y103" s="3">
        <v>46098</v>
      </c>
      <c r="Z103" t="s">
        <v>485</v>
      </c>
      <c r="AA103" t="s">
        <v>486</v>
      </c>
      <c r="AB103" t="s">
        <v>45</v>
      </c>
      <c r="AC103" t="s">
        <v>127</v>
      </c>
      <c r="AE103">
        <v>-150</v>
      </c>
    </row>
    <row r="104" spans="2:31" x14ac:dyDescent="0.25">
      <c r="B104" t="s">
        <v>108</v>
      </c>
      <c r="C104" t="s">
        <v>111</v>
      </c>
      <c r="D104" t="s">
        <v>108</v>
      </c>
      <c r="E104" t="s">
        <v>112</v>
      </c>
      <c r="F104" t="s">
        <v>169</v>
      </c>
      <c r="G104" t="s">
        <v>170</v>
      </c>
      <c r="H104" t="s">
        <v>171</v>
      </c>
      <c r="I104" t="s">
        <v>169</v>
      </c>
      <c r="J104" t="s">
        <v>170</v>
      </c>
      <c r="K104" t="s">
        <v>171</v>
      </c>
      <c r="L104" t="s">
        <v>169</v>
      </c>
      <c r="M104" t="s">
        <v>170</v>
      </c>
      <c r="N104" t="s">
        <v>171</v>
      </c>
      <c r="O104" t="s">
        <v>280</v>
      </c>
      <c r="P104" t="s">
        <v>281</v>
      </c>
      <c r="Q104" t="s">
        <v>282</v>
      </c>
      <c r="R104" t="s">
        <v>269</v>
      </c>
      <c r="S104" t="s">
        <v>487</v>
      </c>
      <c r="T104">
        <v>-433.33</v>
      </c>
      <c r="U104">
        <v>-433.33</v>
      </c>
      <c r="V104">
        <v>-433.33</v>
      </c>
      <c r="W104" t="s">
        <v>488</v>
      </c>
      <c r="X104" s="3">
        <v>46054</v>
      </c>
      <c r="Y104" s="3">
        <v>46054</v>
      </c>
      <c r="Z104" t="s">
        <v>489</v>
      </c>
      <c r="AA104" t="s">
        <v>490</v>
      </c>
      <c r="AB104" t="s">
        <v>45</v>
      </c>
      <c r="AC104" t="s">
        <v>127</v>
      </c>
      <c r="AE104">
        <v>-433.33</v>
      </c>
    </row>
    <row r="105" spans="2:31" x14ac:dyDescent="0.25">
      <c r="B105" t="s">
        <v>108</v>
      </c>
      <c r="C105" t="s">
        <v>111</v>
      </c>
      <c r="D105" t="s">
        <v>108</v>
      </c>
      <c r="E105" t="s">
        <v>112</v>
      </c>
      <c r="F105" t="s">
        <v>113</v>
      </c>
      <c r="G105" t="s">
        <v>114</v>
      </c>
      <c r="H105" t="s">
        <v>115</v>
      </c>
      <c r="I105" t="s">
        <v>116</v>
      </c>
      <c r="J105" t="s">
        <v>117</v>
      </c>
      <c r="K105" t="s">
        <v>118</v>
      </c>
      <c r="L105" t="s">
        <v>116</v>
      </c>
      <c r="M105" t="s">
        <v>117</v>
      </c>
      <c r="N105" t="s">
        <v>118</v>
      </c>
      <c r="O105" t="s">
        <v>302</v>
      </c>
      <c r="P105" t="s">
        <v>303</v>
      </c>
      <c r="Q105" t="s">
        <v>304</v>
      </c>
      <c r="R105" t="s">
        <v>64</v>
      </c>
      <c r="S105" t="s">
        <v>431</v>
      </c>
      <c r="T105">
        <v>-489.52</v>
      </c>
      <c r="U105">
        <v>-489.52</v>
      </c>
      <c r="V105">
        <v>-489.52</v>
      </c>
      <c r="W105" t="s">
        <v>432</v>
      </c>
      <c r="X105" s="3">
        <v>46045</v>
      </c>
      <c r="Y105" s="3">
        <v>46045</v>
      </c>
      <c r="Z105" t="s">
        <v>433</v>
      </c>
      <c r="AA105" t="s">
        <v>434</v>
      </c>
      <c r="AB105" t="s">
        <v>45</v>
      </c>
      <c r="AC105" t="s">
        <v>127</v>
      </c>
      <c r="AE105">
        <v>-489.52</v>
      </c>
    </row>
    <row r="106" spans="2:31" x14ac:dyDescent="0.25">
      <c r="B106" t="s">
        <v>108</v>
      </c>
      <c r="C106" t="s">
        <v>111</v>
      </c>
      <c r="D106" t="s">
        <v>108</v>
      </c>
      <c r="E106" t="s">
        <v>112</v>
      </c>
      <c r="F106" t="s">
        <v>435</v>
      </c>
      <c r="G106" t="s">
        <v>436</v>
      </c>
      <c r="H106" t="s">
        <v>437</v>
      </c>
      <c r="I106" t="s">
        <v>435</v>
      </c>
      <c r="J106" t="s">
        <v>436</v>
      </c>
      <c r="K106" t="s">
        <v>437</v>
      </c>
      <c r="L106" t="s">
        <v>435</v>
      </c>
      <c r="M106" t="s">
        <v>436</v>
      </c>
      <c r="N106" t="s">
        <v>437</v>
      </c>
      <c r="O106" t="s">
        <v>424</v>
      </c>
      <c r="P106" t="s">
        <v>425</v>
      </c>
      <c r="Q106" t="s">
        <v>426</v>
      </c>
      <c r="R106" t="s">
        <v>238</v>
      </c>
      <c r="S106" t="s">
        <v>491</v>
      </c>
      <c r="T106">
        <v>-120</v>
      </c>
      <c r="U106">
        <v>-120</v>
      </c>
      <c r="V106">
        <v>-120</v>
      </c>
      <c r="W106" t="s">
        <v>492</v>
      </c>
      <c r="X106" s="3">
        <v>46086</v>
      </c>
      <c r="Y106" s="3">
        <v>46086</v>
      </c>
      <c r="Z106" t="s">
        <v>493</v>
      </c>
      <c r="AA106" t="s">
        <v>494</v>
      </c>
      <c r="AB106" t="s">
        <v>45</v>
      </c>
      <c r="AC106" t="s">
        <v>127</v>
      </c>
      <c r="AE106">
        <v>-120</v>
      </c>
    </row>
    <row r="107" spans="2:31" x14ac:dyDescent="0.25">
      <c r="B107" t="s">
        <v>108</v>
      </c>
      <c r="C107" t="s">
        <v>111</v>
      </c>
      <c r="D107" t="s">
        <v>108</v>
      </c>
      <c r="E107" t="s">
        <v>112</v>
      </c>
      <c r="F107" t="s">
        <v>113</v>
      </c>
      <c r="G107" t="s">
        <v>114</v>
      </c>
      <c r="H107" t="s">
        <v>115</v>
      </c>
      <c r="I107" t="s">
        <v>116</v>
      </c>
      <c r="J107" t="s">
        <v>117</v>
      </c>
      <c r="K107" t="s">
        <v>118</v>
      </c>
      <c r="L107" t="s">
        <v>116</v>
      </c>
      <c r="M107" t="s">
        <v>117</v>
      </c>
      <c r="N107" t="s">
        <v>118</v>
      </c>
      <c r="O107" t="s">
        <v>424</v>
      </c>
      <c r="P107" t="s">
        <v>425</v>
      </c>
      <c r="Q107" t="s">
        <v>426</v>
      </c>
      <c r="R107" t="s">
        <v>70</v>
      </c>
      <c r="S107" t="s">
        <v>427</v>
      </c>
      <c r="T107">
        <v>-236.25</v>
      </c>
      <c r="U107">
        <v>-236.25</v>
      </c>
      <c r="V107">
        <v>-236.25</v>
      </c>
      <c r="W107" t="s">
        <v>459</v>
      </c>
      <c r="X107" s="3">
        <v>46039</v>
      </c>
      <c r="Y107" s="3">
        <v>46039</v>
      </c>
      <c r="Z107" t="s">
        <v>460</v>
      </c>
      <c r="AA107" t="s">
        <v>461</v>
      </c>
      <c r="AB107" t="s">
        <v>45</v>
      </c>
      <c r="AC107" t="s">
        <v>127</v>
      </c>
      <c r="AE107">
        <v>-236.25</v>
      </c>
    </row>
    <row r="108" spans="2:31" x14ac:dyDescent="0.25">
      <c r="B108" t="s">
        <v>108</v>
      </c>
      <c r="C108" t="s">
        <v>111</v>
      </c>
      <c r="D108" t="s">
        <v>108</v>
      </c>
      <c r="E108" t="s">
        <v>112</v>
      </c>
      <c r="F108" t="s">
        <v>113</v>
      </c>
      <c r="G108" t="s">
        <v>114</v>
      </c>
      <c r="H108" t="s">
        <v>115</v>
      </c>
      <c r="I108" t="s">
        <v>116</v>
      </c>
      <c r="J108" t="s">
        <v>117</v>
      </c>
      <c r="K108" t="s">
        <v>118</v>
      </c>
      <c r="L108" t="s">
        <v>116</v>
      </c>
      <c r="M108" t="s">
        <v>117</v>
      </c>
      <c r="N108" t="s">
        <v>118</v>
      </c>
      <c r="O108" t="s">
        <v>302</v>
      </c>
      <c r="P108" t="s">
        <v>303</v>
      </c>
      <c r="Q108" t="s">
        <v>304</v>
      </c>
      <c r="R108" t="s">
        <v>70</v>
      </c>
      <c r="S108" t="s">
        <v>462</v>
      </c>
      <c r="T108">
        <v>-592.19000000000005</v>
      </c>
      <c r="U108">
        <v>-592.19000000000005</v>
      </c>
      <c r="V108">
        <v>-592.19000000000005</v>
      </c>
      <c r="W108" t="s">
        <v>463</v>
      </c>
      <c r="X108" s="3">
        <v>46065</v>
      </c>
      <c r="Y108" s="3">
        <v>46065</v>
      </c>
      <c r="Z108" t="s">
        <v>464</v>
      </c>
      <c r="AA108" t="s">
        <v>465</v>
      </c>
      <c r="AB108" t="s">
        <v>45</v>
      </c>
      <c r="AC108" t="s">
        <v>127</v>
      </c>
      <c r="AE108">
        <v>-592.19000000000005</v>
      </c>
    </row>
    <row r="109" spans="2:31" x14ac:dyDescent="0.25">
      <c r="B109" t="s">
        <v>108</v>
      </c>
      <c r="C109" t="s">
        <v>111</v>
      </c>
      <c r="D109" t="s">
        <v>108</v>
      </c>
      <c r="E109" t="s">
        <v>112</v>
      </c>
      <c r="F109" t="s">
        <v>133</v>
      </c>
      <c r="G109" t="s">
        <v>134</v>
      </c>
      <c r="H109" t="s">
        <v>135</v>
      </c>
      <c r="I109" t="s">
        <v>133</v>
      </c>
      <c r="J109" t="s">
        <v>134</v>
      </c>
      <c r="K109" t="s">
        <v>135</v>
      </c>
      <c r="L109" t="s">
        <v>133</v>
      </c>
      <c r="M109" t="s">
        <v>134</v>
      </c>
      <c r="N109" t="s">
        <v>135</v>
      </c>
      <c r="O109" t="s">
        <v>495</v>
      </c>
      <c r="P109" t="s">
        <v>496</v>
      </c>
      <c r="Q109" t="s">
        <v>497</v>
      </c>
      <c r="R109" t="s">
        <v>349</v>
      </c>
      <c r="S109" t="s">
        <v>498</v>
      </c>
      <c r="T109">
        <v>-22356.97</v>
      </c>
      <c r="U109">
        <v>-22356.97</v>
      </c>
      <c r="V109">
        <v>-22356.97</v>
      </c>
      <c r="W109" t="s">
        <v>499</v>
      </c>
      <c r="X109" s="3">
        <v>46085</v>
      </c>
      <c r="Y109" s="3">
        <v>46085</v>
      </c>
      <c r="Z109" t="s">
        <v>500</v>
      </c>
      <c r="AA109" t="s">
        <v>501</v>
      </c>
      <c r="AB109" t="s">
        <v>45</v>
      </c>
      <c r="AC109" t="s">
        <v>127</v>
      </c>
      <c r="AE109">
        <v>-22356.97</v>
      </c>
    </row>
    <row r="110" spans="2:31" x14ac:dyDescent="0.25">
      <c r="B110" t="s">
        <v>108</v>
      </c>
      <c r="C110" t="s">
        <v>111</v>
      </c>
      <c r="D110" t="s">
        <v>108</v>
      </c>
      <c r="E110" t="s">
        <v>112</v>
      </c>
      <c r="F110" t="s">
        <v>452</v>
      </c>
      <c r="G110" t="s">
        <v>453</v>
      </c>
      <c r="H110" t="s">
        <v>454</v>
      </c>
      <c r="I110" t="s">
        <v>452</v>
      </c>
      <c r="J110" t="s">
        <v>453</v>
      </c>
      <c r="K110" t="s">
        <v>454</v>
      </c>
      <c r="L110" t="s">
        <v>452</v>
      </c>
      <c r="M110" t="s">
        <v>453</v>
      </c>
      <c r="N110" t="s">
        <v>454</v>
      </c>
      <c r="O110" t="s">
        <v>136</v>
      </c>
      <c r="P110" t="s">
        <v>137</v>
      </c>
      <c r="Q110" t="s">
        <v>138</v>
      </c>
      <c r="R110" t="s">
        <v>64</v>
      </c>
      <c r="S110" t="s">
        <v>502</v>
      </c>
      <c r="T110">
        <v>-2640</v>
      </c>
      <c r="U110">
        <v>-2640</v>
      </c>
      <c r="V110">
        <v>-2640</v>
      </c>
      <c r="W110" t="s">
        <v>503</v>
      </c>
      <c r="X110" s="3">
        <v>46083</v>
      </c>
      <c r="Y110" s="3">
        <v>46083</v>
      </c>
      <c r="Z110" t="s">
        <v>504</v>
      </c>
      <c r="AA110" t="s">
        <v>505</v>
      </c>
      <c r="AB110" t="s">
        <v>45</v>
      </c>
      <c r="AC110" t="s">
        <v>127</v>
      </c>
      <c r="AE110">
        <v>-2640</v>
      </c>
    </row>
    <row r="111" spans="2:31" hidden="1" x14ac:dyDescent="0.25">
      <c r="B111" t="s">
        <v>108</v>
      </c>
      <c r="C111" t="s">
        <v>111</v>
      </c>
      <c r="D111" t="s">
        <v>108</v>
      </c>
      <c r="E111" t="s">
        <v>112</v>
      </c>
      <c r="F111" t="s">
        <v>113</v>
      </c>
      <c r="G111" t="s">
        <v>114</v>
      </c>
      <c r="H111" t="s">
        <v>115</v>
      </c>
      <c r="I111" t="s">
        <v>116</v>
      </c>
      <c r="J111" t="s">
        <v>117</v>
      </c>
      <c r="K111" t="s">
        <v>118</v>
      </c>
      <c r="L111" t="s">
        <v>116</v>
      </c>
      <c r="M111" t="s">
        <v>117</v>
      </c>
      <c r="N111" t="s">
        <v>118</v>
      </c>
      <c r="O111" t="s">
        <v>302</v>
      </c>
      <c r="P111" t="s">
        <v>303</v>
      </c>
      <c r="Q111" t="s">
        <v>304</v>
      </c>
      <c r="R111" t="s">
        <v>205</v>
      </c>
      <c r="S111" t="s">
        <v>466</v>
      </c>
      <c r="T111">
        <v>-477.15</v>
      </c>
      <c r="U111">
        <v>-477.15</v>
      </c>
      <c r="V111">
        <v>-477.15</v>
      </c>
      <c r="W111" t="s">
        <v>467</v>
      </c>
      <c r="X111" s="3">
        <v>46030</v>
      </c>
      <c r="Y111" s="3">
        <v>46030</v>
      </c>
      <c r="Z111" t="s">
        <v>464</v>
      </c>
      <c r="AA111" t="s">
        <v>465</v>
      </c>
      <c r="AB111" t="s">
        <v>45</v>
      </c>
      <c r="AC111" t="s">
        <v>127</v>
      </c>
      <c r="AE111">
        <v>-477.15</v>
      </c>
    </row>
    <row r="112" spans="2:31" x14ac:dyDescent="0.25">
      <c r="B112" t="s">
        <v>108</v>
      </c>
      <c r="C112" t="s">
        <v>111</v>
      </c>
      <c r="D112" t="s">
        <v>108</v>
      </c>
      <c r="E112" t="s">
        <v>112</v>
      </c>
      <c r="F112" t="s">
        <v>113</v>
      </c>
      <c r="G112" t="s">
        <v>114</v>
      </c>
      <c r="H112" t="s">
        <v>115</v>
      </c>
      <c r="I112" t="s">
        <v>116</v>
      </c>
      <c r="J112" t="s">
        <v>117</v>
      </c>
      <c r="K112" t="s">
        <v>118</v>
      </c>
      <c r="L112" t="s">
        <v>116</v>
      </c>
      <c r="M112" t="s">
        <v>117</v>
      </c>
      <c r="N112" t="s">
        <v>118</v>
      </c>
      <c r="O112" t="s">
        <v>424</v>
      </c>
      <c r="P112" t="s">
        <v>425</v>
      </c>
      <c r="Q112" t="s">
        <v>426</v>
      </c>
      <c r="R112" t="s">
        <v>70</v>
      </c>
      <c r="S112" t="s">
        <v>427</v>
      </c>
      <c r="T112">
        <v>-95.48</v>
      </c>
      <c r="U112">
        <v>-95.48</v>
      </c>
      <c r="V112">
        <v>-95.48</v>
      </c>
      <c r="W112" t="s">
        <v>428</v>
      </c>
      <c r="X112" s="3">
        <v>46041</v>
      </c>
      <c r="Y112" s="3">
        <v>46041</v>
      </c>
      <c r="Z112" t="s">
        <v>429</v>
      </c>
      <c r="AA112" t="s">
        <v>430</v>
      </c>
      <c r="AB112" t="s">
        <v>45</v>
      </c>
      <c r="AC112" t="s">
        <v>127</v>
      </c>
      <c r="AE112">
        <v>-95.48</v>
      </c>
    </row>
    <row r="113" spans="2:31" x14ac:dyDescent="0.25">
      <c r="B113" t="s">
        <v>108</v>
      </c>
      <c r="C113" t="s">
        <v>111</v>
      </c>
      <c r="D113" t="s">
        <v>108</v>
      </c>
      <c r="E113" t="s">
        <v>112</v>
      </c>
      <c r="F113" t="s">
        <v>113</v>
      </c>
      <c r="G113" t="s">
        <v>114</v>
      </c>
      <c r="H113" t="s">
        <v>115</v>
      </c>
      <c r="I113" t="s">
        <v>116</v>
      </c>
      <c r="J113" t="s">
        <v>117</v>
      </c>
      <c r="K113" t="s">
        <v>118</v>
      </c>
      <c r="L113" t="s">
        <v>116</v>
      </c>
      <c r="M113" t="s">
        <v>117</v>
      </c>
      <c r="N113" t="s">
        <v>118</v>
      </c>
      <c r="O113" t="s">
        <v>302</v>
      </c>
      <c r="P113" t="s">
        <v>303</v>
      </c>
      <c r="Q113" t="s">
        <v>304</v>
      </c>
      <c r="R113" t="s">
        <v>70</v>
      </c>
      <c r="S113" t="s">
        <v>462</v>
      </c>
      <c r="T113">
        <v>-592.19000000000005</v>
      </c>
      <c r="U113">
        <v>-592.19000000000005</v>
      </c>
      <c r="V113">
        <v>-592.19000000000005</v>
      </c>
      <c r="W113" t="s">
        <v>463</v>
      </c>
      <c r="X113" s="3">
        <v>46065</v>
      </c>
      <c r="Y113" s="3">
        <v>46065</v>
      </c>
      <c r="Z113" t="s">
        <v>464</v>
      </c>
      <c r="AA113" t="s">
        <v>465</v>
      </c>
      <c r="AB113" t="s">
        <v>45</v>
      </c>
      <c r="AC113" t="s">
        <v>127</v>
      </c>
      <c r="AE113">
        <v>-592.19000000000005</v>
      </c>
    </row>
    <row r="114" spans="2:31" x14ac:dyDescent="0.25">
      <c r="B114" t="s">
        <v>108</v>
      </c>
      <c r="C114" t="s">
        <v>111</v>
      </c>
      <c r="D114" t="s">
        <v>108</v>
      </c>
      <c r="E114" t="s">
        <v>112</v>
      </c>
      <c r="F114" t="s">
        <v>435</v>
      </c>
      <c r="G114" t="s">
        <v>436</v>
      </c>
      <c r="H114" t="s">
        <v>437</v>
      </c>
      <c r="I114" t="s">
        <v>435</v>
      </c>
      <c r="J114" t="s">
        <v>436</v>
      </c>
      <c r="K114" t="s">
        <v>437</v>
      </c>
      <c r="L114" t="s">
        <v>435</v>
      </c>
      <c r="M114" t="s">
        <v>436</v>
      </c>
      <c r="N114" t="s">
        <v>437</v>
      </c>
      <c r="O114" t="s">
        <v>506</v>
      </c>
      <c r="P114" t="s">
        <v>507</v>
      </c>
      <c r="Q114" t="s">
        <v>508</v>
      </c>
      <c r="R114" t="s">
        <v>122</v>
      </c>
      <c r="S114" t="s">
        <v>509</v>
      </c>
      <c r="T114">
        <v>-250</v>
      </c>
      <c r="U114">
        <v>-250</v>
      </c>
      <c r="V114">
        <v>-250</v>
      </c>
      <c r="W114" t="s">
        <v>510</v>
      </c>
      <c r="X114" s="3">
        <v>46085</v>
      </c>
      <c r="Y114" s="3">
        <v>46085</v>
      </c>
      <c r="Z114" t="s">
        <v>236</v>
      </c>
      <c r="AA114" t="s">
        <v>237</v>
      </c>
      <c r="AB114" t="s">
        <v>45</v>
      </c>
      <c r="AC114" t="s">
        <v>127</v>
      </c>
      <c r="AE114">
        <v>-250</v>
      </c>
    </row>
    <row r="115" spans="2:31" hidden="1" x14ac:dyDescent="0.25">
      <c r="B115" t="s">
        <v>108</v>
      </c>
      <c r="C115" t="s">
        <v>111</v>
      </c>
      <c r="D115" t="s">
        <v>108</v>
      </c>
      <c r="E115" t="s">
        <v>112</v>
      </c>
      <c r="F115" t="s">
        <v>113</v>
      </c>
      <c r="G115" t="s">
        <v>114</v>
      </c>
      <c r="H115" t="s">
        <v>115</v>
      </c>
      <c r="I115" t="s">
        <v>116</v>
      </c>
      <c r="J115" t="s">
        <v>117</v>
      </c>
      <c r="K115" t="s">
        <v>118</v>
      </c>
      <c r="L115" t="s">
        <v>116</v>
      </c>
      <c r="M115" t="s">
        <v>117</v>
      </c>
      <c r="N115" t="s">
        <v>118</v>
      </c>
      <c r="O115" t="s">
        <v>302</v>
      </c>
      <c r="P115" t="s">
        <v>303</v>
      </c>
      <c r="Q115" t="s">
        <v>304</v>
      </c>
      <c r="R115" t="s">
        <v>205</v>
      </c>
      <c r="S115" t="s">
        <v>466</v>
      </c>
      <c r="T115">
        <v>-477.15</v>
      </c>
      <c r="U115">
        <v>-477.15</v>
      </c>
      <c r="V115">
        <v>-477.15</v>
      </c>
      <c r="W115" t="s">
        <v>467</v>
      </c>
      <c r="X115" s="3">
        <v>46030</v>
      </c>
      <c r="Y115" s="3">
        <v>46030</v>
      </c>
      <c r="Z115" t="s">
        <v>464</v>
      </c>
      <c r="AA115" t="s">
        <v>465</v>
      </c>
      <c r="AB115" t="s">
        <v>45</v>
      </c>
      <c r="AC115" t="s">
        <v>127</v>
      </c>
      <c r="AE115">
        <v>-477.15</v>
      </c>
    </row>
    <row r="116" spans="2:31" x14ac:dyDescent="0.25">
      <c r="B116" t="s">
        <v>108</v>
      </c>
      <c r="C116" t="s">
        <v>111</v>
      </c>
      <c r="D116" t="s">
        <v>108</v>
      </c>
      <c r="E116" t="s">
        <v>112</v>
      </c>
      <c r="F116" t="s">
        <v>160</v>
      </c>
      <c r="G116" t="s">
        <v>38</v>
      </c>
      <c r="H116" t="s">
        <v>161</v>
      </c>
      <c r="I116" t="s">
        <v>160</v>
      </c>
      <c r="J116" t="s">
        <v>38</v>
      </c>
      <c r="K116" t="s">
        <v>161</v>
      </c>
      <c r="L116" t="s">
        <v>160</v>
      </c>
      <c r="M116" t="s">
        <v>38</v>
      </c>
      <c r="N116" t="s">
        <v>161</v>
      </c>
      <c r="O116" t="s">
        <v>417</v>
      </c>
      <c r="P116" t="s">
        <v>418</v>
      </c>
      <c r="Q116" t="s">
        <v>419</v>
      </c>
      <c r="R116" t="s">
        <v>64</v>
      </c>
      <c r="S116" t="s">
        <v>420</v>
      </c>
      <c r="T116">
        <v>-158.91999999999999</v>
      </c>
      <c r="U116">
        <v>-158.91999999999999</v>
      </c>
      <c r="V116">
        <v>-158.91999999999999</v>
      </c>
      <c r="W116" t="s">
        <v>421</v>
      </c>
      <c r="X116" s="3">
        <v>46050</v>
      </c>
      <c r="Y116" s="3">
        <v>46050</v>
      </c>
      <c r="Z116" t="s">
        <v>422</v>
      </c>
      <c r="AA116" t="s">
        <v>423</v>
      </c>
      <c r="AB116" t="s">
        <v>45</v>
      </c>
      <c r="AC116" t="s">
        <v>127</v>
      </c>
      <c r="AE116">
        <v>-158.91999999999999</v>
      </c>
    </row>
    <row r="117" spans="2:31" x14ac:dyDescent="0.25">
      <c r="B117" t="s">
        <v>108</v>
      </c>
      <c r="C117" t="s">
        <v>111</v>
      </c>
      <c r="D117" t="s">
        <v>108</v>
      </c>
      <c r="E117" t="s">
        <v>112</v>
      </c>
      <c r="F117" t="s">
        <v>113</v>
      </c>
      <c r="G117" t="s">
        <v>114</v>
      </c>
      <c r="H117" t="s">
        <v>115</v>
      </c>
      <c r="I117" t="s">
        <v>116</v>
      </c>
      <c r="J117" t="s">
        <v>117</v>
      </c>
      <c r="K117" t="s">
        <v>118</v>
      </c>
      <c r="L117" t="s">
        <v>116</v>
      </c>
      <c r="M117" t="s">
        <v>117</v>
      </c>
      <c r="N117" t="s">
        <v>118</v>
      </c>
      <c r="O117" t="s">
        <v>302</v>
      </c>
      <c r="P117" t="s">
        <v>303</v>
      </c>
      <c r="Q117" t="s">
        <v>304</v>
      </c>
      <c r="R117" t="s">
        <v>64</v>
      </c>
      <c r="S117" t="s">
        <v>431</v>
      </c>
      <c r="T117">
        <v>-489.52</v>
      </c>
      <c r="U117">
        <v>-489.52</v>
      </c>
      <c r="V117">
        <v>-489.52</v>
      </c>
      <c r="W117" t="s">
        <v>432</v>
      </c>
      <c r="X117" s="3">
        <v>46045</v>
      </c>
      <c r="Y117" s="3">
        <v>46045</v>
      </c>
      <c r="Z117" t="s">
        <v>433</v>
      </c>
      <c r="AA117" t="s">
        <v>434</v>
      </c>
      <c r="AB117" t="s">
        <v>45</v>
      </c>
      <c r="AC117" t="s">
        <v>127</v>
      </c>
      <c r="AE117">
        <v>-489.52</v>
      </c>
    </row>
    <row r="118" spans="2:31" x14ac:dyDescent="0.25">
      <c r="B118" t="s">
        <v>108</v>
      </c>
      <c r="C118" t="s">
        <v>111</v>
      </c>
      <c r="D118" t="s">
        <v>108</v>
      </c>
      <c r="E118" t="s">
        <v>112</v>
      </c>
      <c r="F118" t="s">
        <v>229</v>
      </c>
      <c r="G118" t="s">
        <v>230</v>
      </c>
      <c r="H118" t="s">
        <v>231</v>
      </c>
      <c r="I118" t="s">
        <v>229</v>
      </c>
      <c r="J118" t="s">
        <v>230</v>
      </c>
      <c r="K118" t="s">
        <v>231</v>
      </c>
      <c r="L118" t="s">
        <v>229</v>
      </c>
      <c r="M118" t="s">
        <v>230</v>
      </c>
      <c r="N118" t="s">
        <v>231</v>
      </c>
      <c r="O118" t="s">
        <v>136</v>
      </c>
      <c r="P118" t="s">
        <v>137</v>
      </c>
      <c r="Q118" t="s">
        <v>138</v>
      </c>
      <c r="R118" t="s">
        <v>269</v>
      </c>
      <c r="S118" t="s">
        <v>511</v>
      </c>
      <c r="T118">
        <v>-6500</v>
      </c>
      <c r="U118">
        <v>-6500</v>
      </c>
      <c r="V118">
        <v>-6500</v>
      </c>
      <c r="W118" t="s">
        <v>512</v>
      </c>
      <c r="X118" s="3">
        <v>46078</v>
      </c>
      <c r="Y118" s="3">
        <v>46078</v>
      </c>
      <c r="Z118" t="s">
        <v>513</v>
      </c>
      <c r="AA118" t="s">
        <v>514</v>
      </c>
      <c r="AB118" t="s">
        <v>45</v>
      </c>
      <c r="AC118" t="s">
        <v>127</v>
      </c>
      <c r="AE118">
        <v>-6500</v>
      </c>
    </row>
    <row r="119" spans="2:31" x14ac:dyDescent="0.25">
      <c r="B119" t="s">
        <v>108</v>
      </c>
      <c r="C119" t="s">
        <v>111</v>
      </c>
      <c r="D119" t="s">
        <v>108</v>
      </c>
      <c r="E119" t="s">
        <v>112</v>
      </c>
      <c r="F119" t="s">
        <v>113</v>
      </c>
      <c r="G119" t="s">
        <v>114</v>
      </c>
      <c r="H119" t="s">
        <v>115</v>
      </c>
      <c r="I119" t="s">
        <v>116</v>
      </c>
      <c r="J119" t="s">
        <v>117</v>
      </c>
      <c r="K119" t="s">
        <v>118</v>
      </c>
      <c r="L119" t="s">
        <v>116</v>
      </c>
      <c r="M119" t="s">
        <v>117</v>
      </c>
      <c r="N119" t="s">
        <v>118</v>
      </c>
      <c r="O119" t="s">
        <v>302</v>
      </c>
      <c r="P119" t="s">
        <v>303</v>
      </c>
      <c r="Q119" t="s">
        <v>304</v>
      </c>
      <c r="R119" t="s">
        <v>64</v>
      </c>
      <c r="S119" t="s">
        <v>431</v>
      </c>
      <c r="T119">
        <v>-489.52</v>
      </c>
      <c r="U119">
        <v>-489.52</v>
      </c>
      <c r="V119">
        <v>-489.52</v>
      </c>
      <c r="W119" t="s">
        <v>432</v>
      </c>
      <c r="X119" s="3">
        <v>46045</v>
      </c>
      <c r="Y119" s="3">
        <v>46045</v>
      </c>
      <c r="Z119" t="s">
        <v>433</v>
      </c>
      <c r="AA119" t="s">
        <v>434</v>
      </c>
      <c r="AB119" t="s">
        <v>45</v>
      </c>
      <c r="AC119" t="s">
        <v>127</v>
      </c>
      <c r="AE119">
        <v>-489.52</v>
      </c>
    </row>
    <row r="120" spans="2:31" x14ac:dyDescent="0.25">
      <c r="B120" t="s">
        <v>108</v>
      </c>
      <c r="C120" t="s">
        <v>111</v>
      </c>
      <c r="D120" t="s">
        <v>108</v>
      </c>
      <c r="E120" t="s">
        <v>112</v>
      </c>
      <c r="F120" t="s">
        <v>113</v>
      </c>
      <c r="G120" t="s">
        <v>114</v>
      </c>
      <c r="H120" t="s">
        <v>115</v>
      </c>
      <c r="I120" t="s">
        <v>116</v>
      </c>
      <c r="J120" t="s">
        <v>117</v>
      </c>
      <c r="K120" t="s">
        <v>118</v>
      </c>
      <c r="L120" t="s">
        <v>116</v>
      </c>
      <c r="M120" t="s">
        <v>117</v>
      </c>
      <c r="N120" t="s">
        <v>118</v>
      </c>
      <c r="O120" t="s">
        <v>302</v>
      </c>
      <c r="P120" t="s">
        <v>303</v>
      </c>
      <c r="Q120" t="s">
        <v>304</v>
      </c>
      <c r="R120" t="s">
        <v>64</v>
      </c>
      <c r="S120" t="s">
        <v>431</v>
      </c>
      <c r="T120">
        <v>-489.52</v>
      </c>
      <c r="U120">
        <v>-489.52</v>
      </c>
      <c r="V120">
        <v>-489.52</v>
      </c>
      <c r="W120" t="s">
        <v>432</v>
      </c>
      <c r="X120" s="3">
        <v>46045</v>
      </c>
      <c r="Y120" s="3">
        <v>46045</v>
      </c>
      <c r="Z120" t="s">
        <v>433</v>
      </c>
      <c r="AA120" t="s">
        <v>434</v>
      </c>
      <c r="AB120" t="s">
        <v>45</v>
      </c>
      <c r="AC120" t="s">
        <v>127</v>
      </c>
      <c r="AE120">
        <v>-489.52</v>
      </c>
    </row>
    <row r="121" spans="2:31" x14ac:dyDescent="0.25">
      <c r="B121" t="s">
        <v>108</v>
      </c>
      <c r="C121" t="s">
        <v>111</v>
      </c>
      <c r="D121" t="s">
        <v>108</v>
      </c>
      <c r="E121" t="s">
        <v>112</v>
      </c>
      <c r="F121" t="s">
        <v>271</v>
      </c>
      <c r="G121" t="s">
        <v>272</v>
      </c>
      <c r="H121" t="s">
        <v>273</v>
      </c>
      <c r="I121" t="s">
        <v>271</v>
      </c>
      <c r="J121" t="s">
        <v>272</v>
      </c>
      <c r="K121" t="s">
        <v>273</v>
      </c>
      <c r="L121" t="s">
        <v>271</v>
      </c>
      <c r="M121" t="s">
        <v>272</v>
      </c>
      <c r="N121" t="s">
        <v>273</v>
      </c>
      <c r="O121" t="s">
        <v>280</v>
      </c>
      <c r="P121" t="s">
        <v>281</v>
      </c>
      <c r="Q121" t="s">
        <v>282</v>
      </c>
      <c r="R121" t="s">
        <v>269</v>
      </c>
      <c r="S121" t="s">
        <v>515</v>
      </c>
      <c r="T121">
        <v>-1250</v>
      </c>
      <c r="U121">
        <v>-1250</v>
      </c>
      <c r="V121">
        <v>-1250</v>
      </c>
      <c r="W121" t="s">
        <v>516</v>
      </c>
      <c r="X121" s="3">
        <v>46027</v>
      </c>
      <c r="Y121" s="3">
        <v>46027</v>
      </c>
      <c r="Z121" t="s">
        <v>517</v>
      </c>
      <c r="AA121" t="s">
        <v>518</v>
      </c>
      <c r="AB121" t="s">
        <v>45</v>
      </c>
      <c r="AC121" t="s">
        <v>127</v>
      </c>
      <c r="AE121">
        <v>-1250</v>
      </c>
    </row>
    <row r="122" spans="2:31" x14ac:dyDescent="0.25">
      <c r="B122" t="s">
        <v>108</v>
      </c>
      <c r="C122" t="s">
        <v>111</v>
      </c>
      <c r="D122" t="s">
        <v>108</v>
      </c>
      <c r="E122" t="s">
        <v>112</v>
      </c>
      <c r="F122" t="s">
        <v>113</v>
      </c>
      <c r="G122" t="s">
        <v>114</v>
      </c>
      <c r="H122" t="s">
        <v>115</v>
      </c>
      <c r="I122" t="s">
        <v>116</v>
      </c>
      <c r="J122" t="s">
        <v>117</v>
      </c>
      <c r="K122" t="s">
        <v>118</v>
      </c>
      <c r="L122" t="s">
        <v>116</v>
      </c>
      <c r="M122" t="s">
        <v>117</v>
      </c>
      <c r="N122" t="s">
        <v>118</v>
      </c>
      <c r="O122" t="s">
        <v>119</v>
      </c>
      <c r="P122" t="s">
        <v>120</v>
      </c>
      <c r="Q122" t="s">
        <v>121</v>
      </c>
      <c r="R122" t="s">
        <v>70</v>
      </c>
      <c r="S122" t="s">
        <v>519</v>
      </c>
      <c r="T122">
        <v>-1351.02</v>
      </c>
      <c r="U122">
        <v>-1351.02</v>
      </c>
      <c r="V122">
        <v>-1351.02</v>
      </c>
      <c r="W122" t="s">
        <v>520</v>
      </c>
      <c r="X122" s="3">
        <v>46028</v>
      </c>
      <c r="Y122" s="3">
        <v>46028</v>
      </c>
      <c r="Z122" t="s">
        <v>125</v>
      </c>
      <c r="AA122" t="s">
        <v>126</v>
      </c>
      <c r="AB122" t="s">
        <v>45</v>
      </c>
      <c r="AC122" t="s">
        <v>127</v>
      </c>
      <c r="AE122">
        <v>-1351.02</v>
      </c>
    </row>
    <row r="123" spans="2:31" hidden="1" x14ac:dyDescent="0.25">
      <c r="B123" t="s">
        <v>108</v>
      </c>
      <c r="C123" t="s">
        <v>111</v>
      </c>
      <c r="D123" t="s">
        <v>108</v>
      </c>
      <c r="E123" t="s">
        <v>112</v>
      </c>
      <c r="F123" t="s">
        <v>113</v>
      </c>
      <c r="G123" t="s">
        <v>114</v>
      </c>
      <c r="H123" t="s">
        <v>115</v>
      </c>
      <c r="I123" t="s">
        <v>116</v>
      </c>
      <c r="J123" t="s">
        <v>117</v>
      </c>
      <c r="K123" t="s">
        <v>118</v>
      </c>
      <c r="L123" t="s">
        <v>116</v>
      </c>
      <c r="M123" t="s">
        <v>117</v>
      </c>
      <c r="N123" t="s">
        <v>118</v>
      </c>
      <c r="O123" t="s">
        <v>119</v>
      </c>
      <c r="P123" t="s">
        <v>120</v>
      </c>
      <c r="Q123" t="s">
        <v>121</v>
      </c>
      <c r="R123" t="s">
        <v>205</v>
      </c>
      <c r="S123" t="s">
        <v>521</v>
      </c>
      <c r="T123">
        <v>-1351.02</v>
      </c>
      <c r="U123">
        <v>-1351.02</v>
      </c>
      <c r="V123">
        <v>-1351.02</v>
      </c>
      <c r="W123" t="s">
        <v>522</v>
      </c>
      <c r="X123" s="3">
        <v>46028</v>
      </c>
      <c r="Y123" s="3">
        <v>46028</v>
      </c>
      <c r="Z123" t="s">
        <v>131</v>
      </c>
      <c r="AA123" t="s">
        <v>132</v>
      </c>
      <c r="AB123" t="s">
        <v>45</v>
      </c>
      <c r="AC123" t="s">
        <v>127</v>
      </c>
      <c r="AE123">
        <v>-1351.02</v>
      </c>
    </row>
    <row r="124" spans="2:31" x14ac:dyDescent="0.25">
      <c r="B124" t="s">
        <v>108</v>
      </c>
      <c r="C124" t="s">
        <v>111</v>
      </c>
      <c r="D124" t="s">
        <v>108</v>
      </c>
      <c r="E124" t="s">
        <v>112</v>
      </c>
      <c r="F124" t="s">
        <v>311</v>
      </c>
      <c r="G124" t="s">
        <v>312</v>
      </c>
      <c r="H124" t="s">
        <v>313</v>
      </c>
      <c r="I124" t="s">
        <v>311</v>
      </c>
      <c r="J124" t="s">
        <v>312</v>
      </c>
      <c r="K124" t="s">
        <v>313</v>
      </c>
      <c r="L124" t="s">
        <v>311</v>
      </c>
      <c r="M124" t="s">
        <v>312</v>
      </c>
      <c r="N124" t="s">
        <v>313</v>
      </c>
      <c r="O124" t="s">
        <v>314</v>
      </c>
      <c r="P124" t="s">
        <v>315</v>
      </c>
      <c r="Q124" t="s">
        <v>316</v>
      </c>
      <c r="R124" t="s">
        <v>64</v>
      </c>
      <c r="S124" t="s">
        <v>523</v>
      </c>
      <c r="T124">
        <v>-26.28</v>
      </c>
      <c r="U124">
        <v>-26.28</v>
      </c>
      <c r="V124">
        <v>-26.28</v>
      </c>
      <c r="W124" t="s">
        <v>524</v>
      </c>
      <c r="X124" s="3">
        <v>46031</v>
      </c>
      <c r="Y124" s="3">
        <v>46031</v>
      </c>
      <c r="Z124" t="s">
        <v>319</v>
      </c>
      <c r="AA124" t="s">
        <v>320</v>
      </c>
      <c r="AB124" t="s">
        <v>45</v>
      </c>
      <c r="AC124" t="s">
        <v>127</v>
      </c>
      <c r="AE124">
        <v>-26.28</v>
      </c>
    </row>
    <row r="125" spans="2:31" x14ac:dyDescent="0.25">
      <c r="B125" t="s">
        <v>108</v>
      </c>
      <c r="C125" t="s">
        <v>111</v>
      </c>
      <c r="D125" t="s">
        <v>108</v>
      </c>
      <c r="E125" t="s">
        <v>112</v>
      </c>
      <c r="F125" t="s">
        <v>160</v>
      </c>
      <c r="G125" t="s">
        <v>38</v>
      </c>
      <c r="H125" t="s">
        <v>161</v>
      </c>
      <c r="I125" t="s">
        <v>160</v>
      </c>
      <c r="J125" t="s">
        <v>38</v>
      </c>
      <c r="K125" t="s">
        <v>161</v>
      </c>
      <c r="L125" t="s">
        <v>160</v>
      </c>
      <c r="M125" t="s">
        <v>38</v>
      </c>
      <c r="N125" t="s">
        <v>161</v>
      </c>
      <c r="O125" t="s">
        <v>215</v>
      </c>
      <c r="P125" t="s">
        <v>216</v>
      </c>
      <c r="Q125" t="s">
        <v>217</v>
      </c>
      <c r="R125" t="s">
        <v>269</v>
      </c>
      <c r="S125" t="s">
        <v>525</v>
      </c>
      <c r="T125">
        <v>-238.62</v>
      </c>
      <c r="U125">
        <v>-238.62</v>
      </c>
      <c r="V125">
        <v>-238.62</v>
      </c>
      <c r="W125" t="s">
        <v>526</v>
      </c>
      <c r="X125" s="3">
        <v>46030</v>
      </c>
      <c r="Y125" s="3">
        <v>46030</v>
      </c>
      <c r="Z125" t="s">
        <v>287</v>
      </c>
      <c r="AA125" t="s">
        <v>288</v>
      </c>
      <c r="AB125" t="s">
        <v>45</v>
      </c>
      <c r="AC125" t="s">
        <v>127</v>
      </c>
      <c r="AE125">
        <v>-238.62</v>
      </c>
    </row>
    <row r="126" spans="2:31" x14ac:dyDescent="0.25">
      <c r="B126" t="s">
        <v>108</v>
      </c>
      <c r="C126" t="s">
        <v>111</v>
      </c>
      <c r="D126" t="s">
        <v>108</v>
      </c>
      <c r="E126" t="s">
        <v>112</v>
      </c>
      <c r="F126" t="s">
        <v>452</v>
      </c>
      <c r="G126" t="s">
        <v>453</v>
      </c>
      <c r="H126" t="s">
        <v>454</v>
      </c>
      <c r="I126" t="s">
        <v>452</v>
      </c>
      <c r="J126" t="s">
        <v>453</v>
      </c>
      <c r="K126" t="s">
        <v>454</v>
      </c>
      <c r="L126" t="s">
        <v>452</v>
      </c>
      <c r="M126" t="s">
        <v>453</v>
      </c>
      <c r="N126" t="s">
        <v>454</v>
      </c>
      <c r="O126" t="s">
        <v>527</v>
      </c>
      <c r="P126" t="s">
        <v>528</v>
      </c>
      <c r="Q126" t="s">
        <v>529</v>
      </c>
      <c r="R126" t="s">
        <v>64</v>
      </c>
      <c r="S126" t="s">
        <v>530</v>
      </c>
      <c r="T126">
        <v>-122.2</v>
      </c>
      <c r="U126">
        <v>-122.2</v>
      </c>
      <c r="V126">
        <v>-122.2</v>
      </c>
      <c r="W126" t="s">
        <v>531</v>
      </c>
      <c r="X126" s="3">
        <v>46036</v>
      </c>
      <c r="Y126" s="3">
        <v>46036</v>
      </c>
      <c r="Z126" t="s">
        <v>532</v>
      </c>
      <c r="AA126" t="s">
        <v>533</v>
      </c>
      <c r="AB126" t="s">
        <v>45</v>
      </c>
      <c r="AC126" t="s">
        <v>127</v>
      </c>
      <c r="AE126">
        <v>-122.2</v>
      </c>
    </row>
    <row r="127" spans="2:31" x14ac:dyDescent="0.25">
      <c r="B127" t="s">
        <v>108</v>
      </c>
      <c r="C127" t="s">
        <v>111</v>
      </c>
      <c r="D127" t="s">
        <v>108</v>
      </c>
      <c r="E127" t="s">
        <v>112</v>
      </c>
      <c r="F127" t="s">
        <v>271</v>
      </c>
      <c r="G127" t="s">
        <v>272</v>
      </c>
      <c r="H127" t="s">
        <v>273</v>
      </c>
      <c r="I127" t="s">
        <v>271</v>
      </c>
      <c r="J127" t="s">
        <v>272</v>
      </c>
      <c r="K127" t="s">
        <v>273</v>
      </c>
      <c r="L127" t="s">
        <v>271</v>
      </c>
      <c r="M127" t="s">
        <v>272</v>
      </c>
      <c r="N127" t="s">
        <v>273</v>
      </c>
      <c r="O127" t="s">
        <v>527</v>
      </c>
      <c r="P127" t="s">
        <v>528</v>
      </c>
      <c r="Q127" t="s">
        <v>529</v>
      </c>
      <c r="R127" t="s">
        <v>64</v>
      </c>
      <c r="S127" t="s">
        <v>530</v>
      </c>
      <c r="T127">
        <v>-122.2</v>
      </c>
      <c r="U127">
        <v>-122.2</v>
      </c>
      <c r="V127">
        <v>-122.2</v>
      </c>
      <c r="W127" t="s">
        <v>531</v>
      </c>
      <c r="X127" s="3">
        <v>46036</v>
      </c>
      <c r="Y127" s="3">
        <v>46036</v>
      </c>
      <c r="Z127" t="s">
        <v>532</v>
      </c>
      <c r="AA127" t="s">
        <v>533</v>
      </c>
      <c r="AB127" t="s">
        <v>45</v>
      </c>
      <c r="AC127" t="s">
        <v>127</v>
      </c>
      <c r="AE127">
        <v>-122.2</v>
      </c>
    </row>
    <row r="128" spans="2:31" x14ac:dyDescent="0.25">
      <c r="B128" t="s">
        <v>108</v>
      </c>
      <c r="C128" t="s">
        <v>111</v>
      </c>
      <c r="D128" t="s">
        <v>108</v>
      </c>
      <c r="E128" t="s">
        <v>112</v>
      </c>
      <c r="F128" t="s">
        <v>169</v>
      </c>
      <c r="G128" t="s">
        <v>170</v>
      </c>
      <c r="H128" t="s">
        <v>171</v>
      </c>
      <c r="I128" t="s">
        <v>169</v>
      </c>
      <c r="J128" t="s">
        <v>170</v>
      </c>
      <c r="K128" t="s">
        <v>171</v>
      </c>
      <c r="L128" t="s">
        <v>169</v>
      </c>
      <c r="M128" t="s">
        <v>170</v>
      </c>
      <c r="N128" t="s">
        <v>171</v>
      </c>
      <c r="O128" t="s">
        <v>527</v>
      </c>
      <c r="P128" t="s">
        <v>528</v>
      </c>
      <c r="Q128" t="s">
        <v>529</v>
      </c>
      <c r="R128" t="s">
        <v>64</v>
      </c>
      <c r="S128" t="s">
        <v>530</v>
      </c>
      <c r="T128">
        <v>-122.2</v>
      </c>
      <c r="U128">
        <v>-122.2</v>
      </c>
      <c r="V128">
        <v>-122.2</v>
      </c>
      <c r="W128" t="s">
        <v>531</v>
      </c>
      <c r="X128" s="3">
        <v>46036</v>
      </c>
      <c r="Y128" s="3">
        <v>46036</v>
      </c>
      <c r="Z128" t="s">
        <v>532</v>
      </c>
      <c r="AA128" t="s">
        <v>533</v>
      </c>
      <c r="AB128" t="s">
        <v>45</v>
      </c>
      <c r="AC128" t="s">
        <v>127</v>
      </c>
      <c r="AE128">
        <v>-122.2</v>
      </c>
    </row>
    <row r="129" spans="2:31" hidden="1" x14ac:dyDescent="0.25">
      <c r="B129" t="s">
        <v>108</v>
      </c>
      <c r="C129" t="s">
        <v>111</v>
      </c>
      <c r="D129" t="s">
        <v>108</v>
      </c>
      <c r="E129" t="s">
        <v>112</v>
      </c>
      <c r="F129" t="s">
        <v>169</v>
      </c>
      <c r="G129" t="s">
        <v>170</v>
      </c>
      <c r="H129" t="s">
        <v>171</v>
      </c>
      <c r="I129" t="s">
        <v>169</v>
      </c>
      <c r="J129" t="s">
        <v>170</v>
      </c>
      <c r="K129" t="s">
        <v>171</v>
      </c>
      <c r="L129" t="s">
        <v>169</v>
      </c>
      <c r="M129" t="s">
        <v>170</v>
      </c>
      <c r="N129" t="s">
        <v>171</v>
      </c>
      <c r="O129" t="s">
        <v>172</v>
      </c>
      <c r="P129" t="s">
        <v>173</v>
      </c>
      <c r="Q129" t="s">
        <v>174</v>
      </c>
      <c r="R129" t="s">
        <v>205</v>
      </c>
      <c r="S129" t="s">
        <v>534</v>
      </c>
      <c r="T129">
        <v>-765.4</v>
      </c>
      <c r="U129">
        <v>-765.4</v>
      </c>
      <c r="V129">
        <v>-765.4</v>
      </c>
      <c r="W129" t="s">
        <v>535</v>
      </c>
      <c r="X129" s="3">
        <v>46038</v>
      </c>
      <c r="Y129" s="3">
        <v>46038</v>
      </c>
      <c r="Z129" t="s">
        <v>177</v>
      </c>
      <c r="AA129" t="s">
        <v>178</v>
      </c>
      <c r="AB129" t="s">
        <v>45</v>
      </c>
      <c r="AC129" t="s">
        <v>127</v>
      </c>
      <c r="AE129">
        <v>-765.4</v>
      </c>
    </row>
    <row r="130" spans="2:31" hidden="1" x14ac:dyDescent="0.25">
      <c r="B130" t="s">
        <v>108</v>
      </c>
      <c r="C130" t="s">
        <v>111</v>
      </c>
      <c r="D130" t="s">
        <v>108</v>
      </c>
      <c r="E130" t="s">
        <v>112</v>
      </c>
      <c r="F130" t="s">
        <v>169</v>
      </c>
      <c r="G130" t="s">
        <v>170</v>
      </c>
      <c r="H130" t="s">
        <v>171</v>
      </c>
      <c r="I130" t="s">
        <v>169</v>
      </c>
      <c r="J130" t="s">
        <v>170</v>
      </c>
      <c r="K130" t="s">
        <v>171</v>
      </c>
      <c r="L130" t="s">
        <v>169</v>
      </c>
      <c r="M130" t="s">
        <v>170</v>
      </c>
      <c r="N130" t="s">
        <v>171</v>
      </c>
      <c r="O130" t="s">
        <v>179</v>
      </c>
      <c r="P130" t="s">
        <v>180</v>
      </c>
      <c r="Q130" t="s">
        <v>181</v>
      </c>
      <c r="R130" t="s">
        <v>205</v>
      </c>
      <c r="S130" t="s">
        <v>534</v>
      </c>
      <c r="T130">
        <v>-765.41</v>
      </c>
      <c r="U130">
        <v>-765.41</v>
      </c>
      <c r="V130">
        <v>-765.41</v>
      </c>
      <c r="W130" t="s">
        <v>535</v>
      </c>
      <c r="X130" s="3">
        <v>46038</v>
      </c>
      <c r="Y130" s="3">
        <v>46038</v>
      </c>
      <c r="Z130" t="s">
        <v>177</v>
      </c>
      <c r="AA130" t="s">
        <v>178</v>
      </c>
      <c r="AB130" t="s">
        <v>45</v>
      </c>
      <c r="AC130" t="s">
        <v>127</v>
      </c>
      <c r="AE130">
        <v>-765.41</v>
      </c>
    </row>
    <row r="131" spans="2:31" x14ac:dyDescent="0.25">
      <c r="B131" t="s">
        <v>108</v>
      </c>
      <c r="C131" t="s">
        <v>111</v>
      </c>
      <c r="D131" t="s">
        <v>108</v>
      </c>
      <c r="E131" t="s">
        <v>112</v>
      </c>
      <c r="F131" t="s">
        <v>113</v>
      </c>
      <c r="G131" t="s">
        <v>114</v>
      </c>
      <c r="H131" t="s">
        <v>115</v>
      </c>
      <c r="I131" t="s">
        <v>116</v>
      </c>
      <c r="J131" t="s">
        <v>117</v>
      </c>
      <c r="K131" t="s">
        <v>118</v>
      </c>
      <c r="L131" t="s">
        <v>116</v>
      </c>
      <c r="M131" t="s">
        <v>117</v>
      </c>
      <c r="N131" t="s">
        <v>118</v>
      </c>
      <c r="O131" t="s">
        <v>179</v>
      </c>
      <c r="P131" t="s">
        <v>180</v>
      </c>
      <c r="Q131" t="s">
        <v>181</v>
      </c>
      <c r="R131" t="s">
        <v>128</v>
      </c>
      <c r="S131" t="s">
        <v>536</v>
      </c>
      <c r="T131">
        <v>-470.58</v>
      </c>
      <c r="U131">
        <v>-470.58</v>
      </c>
      <c r="V131">
        <v>-470.58</v>
      </c>
      <c r="W131" t="s">
        <v>537</v>
      </c>
      <c r="X131" s="3">
        <v>46038</v>
      </c>
      <c r="Y131" s="3">
        <v>46038</v>
      </c>
      <c r="Z131" t="s">
        <v>177</v>
      </c>
      <c r="AA131" t="s">
        <v>178</v>
      </c>
      <c r="AB131" t="s">
        <v>45</v>
      </c>
      <c r="AC131" t="s">
        <v>127</v>
      </c>
      <c r="AE131">
        <v>-470.58</v>
      </c>
    </row>
    <row r="132" spans="2:31" x14ac:dyDescent="0.25">
      <c r="B132" t="s">
        <v>108</v>
      </c>
      <c r="C132" t="s">
        <v>111</v>
      </c>
      <c r="D132" t="s">
        <v>108</v>
      </c>
      <c r="E132" t="s">
        <v>112</v>
      </c>
      <c r="F132" t="s">
        <v>160</v>
      </c>
      <c r="G132" t="s">
        <v>38</v>
      </c>
      <c r="H132" t="s">
        <v>161</v>
      </c>
      <c r="I132" t="s">
        <v>160</v>
      </c>
      <c r="J132" t="s">
        <v>38</v>
      </c>
      <c r="K132" t="s">
        <v>161</v>
      </c>
      <c r="L132" t="s">
        <v>160</v>
      </c>
      <c r="M132" t="s">
        <v>38</v>
      </c>
      <c r="N132" t="s">
        <v>161</v>
      </c>
      <c r="O132" t="s">
        <v>538</v>
      </c>
      <c r="P132" t="s">
        <v>539</v>
      </c>
      <c r="Q132" t="s">
        <v>540</v>
      </c>
      <c r="R132" t="s">
        <v>64</v>
      </c>
      <c r="S132" t="s">
        <v>541</v>
      </c>
      <c r="T132">
        <v>-110.91</v>
      </c>
      <c r="U132">
        <v>-110.91</v>
      </c>
      <c r="V132">
        <v>-110.91</v>
      </c>
      <c r="W132" t="s">
        <v>542</v>
      </c>
      <c r="X132" s="3">
        <v>46031</v>
      </c>
      <c r="Y132" s="3">
        <v>46031</v>
      </c>
      <c r="Z132" t="s">
        <v>543</v>
      </c>
      <c r="AA132" t="s">
        <v>544</v>
      </c>
      <c r="AB132" t="s">
        <v>45</v>
      </c>
      <c r="AC132" t="s">
        <v>127</v>
      </c>
      <c r="AE132">
        <v>-110.91</v>
      </c>
    </row>
    <row r="133" spans="2:31" x14ac:dyDescent="0.25">
      <c r="B133" t="s">
        <v>108</v>
      </c>
      <c r="C133" t="s">
        <v>111</v>
      </c>
      <c r="D133" t="s">
        <v>108</v>
      </c>
      <c r="E133" t="s">
        <v>112</v>
      </c>
      <c r="F133" t="s">
        <v>113</v>
      </c>
      <c r="G133" t="s">
        <v>114</v>
      </c>
      <c r="H133" t="s">
        <v>115</v>
      </c>
      <c r="I133" t="s">
        <v>116</v>
      </c>
      <c r="J133" t="s">
        <v>117</v>
      </c>
      <c r="K133" t="s">
        <v>118</v>
      </c>
      <c r="L133" t="s">
        <v>116</v>
      </c>
      <c r="M133" t="s">
        <v>117</v>
      </c>
      <c r="N133" t="s">
        <v>118</v>
      </c>
      <c r="O133" t="s">
        <v>545</v>
      </c>
      <c r="P133" t="s">
        <v>546</v>
      </c>
      <c r="Q133" t="s">
        <v>547</v>
      </c>
      <c r="R133" t="s">
        <v>64</v>
      </c>
      <c r="S133" t="s">
        <v>548</v>
      </c>
      <c r="T133">
        <v>-174.08</v>
      </c>
      <c r="U133">
        <v>-174.08</v>
      </c>
      <c r="V133">
        <v>-174.08</v>
      </c>
      <c r="W133" t="s">
        <v>549</v>
      </c>
      <c r="X133" s="3">
        <v>46024</v>
      </c>
      <c r="Y133" s="3">
        <v>46024</v>
      </c>
      <c r="Z133" t="s">
        <v>213</v>
      </c>
      <c r="AA133" t="s">
        <v>214</v>
      </c>
      <c r="AB133" t="s">
        <v>45</v>
      </c>
      <c r="AC133" t="s">
        <v>127</v>
      </c>
      <c r="AE133">
        <v>-174.08</v>
      </c>
    </row>
    <row r="134" spans="2:31" x14ac:dyDescent="0.25">
      <c r="B134" t="s">
        <v>108</v>
      </c>
      <c r="C134" t="s">
        <v>111</v>
      </c>
      <c r="D134" t="s">
        <v>108</v>
      </c>
      <c r="E134" t="s">
        <v>112</v>
      </c>
      <c r="F134" t="s">
        <v>169</v>
      </c>
      <c r="G134" t="s">
        <v>170</v>
      </c>
      <c r="H134" t="s">
        <v>171</v>
      </c>
      <c r="I134" t="s">
        <v>169</v>
      </c>
      <c r="J134" t="s">
        <v>170</v>
      </c>
      <c r="K134" t="s">
        <v>171</v>
      </c>
      <c r="L134" t="s">
        <v>169</v>
      </c>
      <c r="M134" t="s">
        <v>170</v>
      </c>
      <c r="N134" t="s">
        <v>171</v>
      </c>
      <c r="O134" t="s">
        <v>215</v>
      </c>
      <c r="P134" t="s">
        <v>216</v>
      </c>
      <c r="Q134" t="s">
        <v>217</v>
      </c>
      <c r="R134" t="s">
        <v>43</v>
      </c>
      <c r="S134" t="s">
        <v>550</v>
      </c>
      <c r="T134">
        <v>-1055</v>
      </c>
      <c r="U134">
        <v>-1055</v>
      </c>
      <c r="V134">
        <v>-1055</v>
      </c>
      <c r="W134" t="s">
        <v>228</v>
      </c>
      <c r="X134" s="3">
        <v>46044</v>
      </c>
      <c r="Y134" s="3">
        <v>46044</v>
      </c>
      <c r="Z134" t="s">
        <v>220</v>
      </c>
      <c r="AA134" t="s">
        <v>221</v>
      </c>
      <c r="AB134" t="s">
        <v>45</v>
      </c>
      <c r="AC134" t="s">
        <v>127</v>
      </c>
      <c r="AE134">
        <v>-1055</v>
      </c>
    </row>
    <row r="135" spans="2:31" x14ac:dyDescent="0.25">
      <c r="B135" t="s">
        <v>108</v>
      </c>
      <c r="C135" t="s">
        <v>111</v>
      </c>
      <c r="D135" t="s">
        <v>108</v>
      </c>
      <c r="E135" t="s">
        <v>112</v>
      </c>
      <c r="F135" t="s">
        <v>169</v>
      </c>
      <c r="G135" t="s">
        <v>170</v>
      </c>
      <c r="H135" t="s">
        <v>171</v>
      </c>
      <c r="I135" t="s">
        <v>169</v>
      </c>
      <c r="J135" t="s">
        <v>170</v>
      </c>
      <c r="K135" t="s">
        <v>171</v>
      </c>
      <c r="L135" t="s">
        <v>169</v>
      </c>
      <c r="M135" t="s">
        <v>170</v>
      </c>
      <c r="N135" t="s">
        <v>171</v>
      </c>
      <c r="O135" t="s">
        <v>222</v>
      </c>
      <c r="P135" t="s">
        <v>223</v>
      </c>
      <c r="Q135" t="s">
        <v>224</v>
      </c>
      <c r="R135" t="s">
        <v>43</v>
      </c>
      <c r="S135" t="s">
        <v>550</v>
      </c>
      <c r="T135">
        <v>-1055.01</v>
      </c>
      <c r="U135">
        <v>-1055.01</v>
      </c>
      <c r="V135">
        <v>-1055.01</v>
      </c>
      <c r="W135" t="s">
        <v>228</v>
      </c>
      <c r="X135" s="3">
        <v>46044</v>
      </c>
      <c r="Y135" s="3">
        <v>46044</v>
      </c>
      <c r="Z135" t="s">
        <v>220</v>
      </c>
      <c r="AA135" t="s">
        <v>221</v>
      </c>
      <c r="AB135" t="s">
        <v>45</v>
      </c>
      <c r="AC135" t="s">
        <v>127</v>
      </c>
      <c r="AE135">
        <v>-1055.01</v>
      </c>
    </row>
    <row r="136" spans="2:31" x14ac:dyDescent="0.25">
      <c r="B136" t="s">
        <v>108</v>
      </c>
      <c r="C136" t="s">
        <v>111</v>
      </c>
      <c r="D136" t="s">
        <v>108</v>
      </c>
      <c r="E136" t="s">
        <v>112</v>
      </c>
      <c r="F136" t="s">
        <v>169</v>
      </c>
      <c r="G136" t="s">
        <v>170</v>
      </c>
      <c r="H136" t="s">
        <v>171</v>
      </c>
      <c r="I136" t="s">
        <v>169</v>
      </c>
      <c r="J136" t="s">
        <v>170</v>
      </c>
      <c r="K136" t="s">
        <v>171</v>
      </c>
      <c r="L136" t="s">
        <v>169</v>
      </c>
      <c r="M136" t="s">
        <v>170</v>
      </c>
      <c r="N136" t="s">
        <v>171</v>
      </c>
      <c r="O136" t="s">
        <v>215</v>
      </c>
      <c r="P136" t="s">
        <v>216</v>
      </c>
      <c r="Q136" t="s">
        <v>217</v>
      </c>
      <c r="R136" t="s">
        <v>70</v>
      </c>
      <c r="S136" t="s">
        <v>551</v>
      </c>
      <c r="T136">
        <v>-1660.97</v>
      </c>
      <c r="U136">
        <v>-1660.97</v>
      </c>
      <c r="V136">
        <v>-1660.97</v>
      </c>
      <c r="W136" t="s">
        <v>228</v>
      </c>
      <c r="X136" s="3">
        <v>46044</v>
      </c>
      <c r="Y136" s="3">
        <v>46044</v>
      </c>
      <c r="Z136" t="s">
        <v>220</v>
      </c>
      <c r="AA136" t="s">
        <v>221</v>
      </c>
      <c r="AB136" t="s">
        <v>45</v>
      </c>
      <c r="AC136" t="s">
        <v>127</v>
      </c>
      <c r="AE136">
        <v>-1660.97</v>
      </c>
    </row>
    <row r="137" spans="2:31" x14ac:dyDescent="0.25">
      <c r="B137" t="s">
        <v>108</v>
      </c>
      <c r="C137" t="s">
        <v>111</v>
      </c>
      <c r="D137" t="s">
        <v>108</v>
      </c>
      <c r="E137" t="s">
        <v>112</v>
      </c>
      <c r="F137" t="s">
        <v>169</v>
      </c>
      <c r="G137" t="s">
        <v>170</v>
      </c>
      <c r="H137" t="s">
        <v>171</v>
      </c>
      <c r="I137" t="s">
        <v>169</v>
      </c>
      <c r="J137" t="s">
        <v>170</v>
      </c>
      <c r="K137" t="s">
        <v>171</v>
      </c>
      <c r="L137" t="s">
        <v>169</v>
      </c>
      <c r="M137" t="s">
        <v>170</v>
      </c>
      <c r="N137" t="s">
        <v>171</v>
      </c>
      <c r="O137" t="s">
        <v>222</v>
      </c>
      <c r="P137" t="s">
        <v>223</v>
      </c>
      <c r="Q137" t="s">
        <v>224</v>
      </c>
      <c r="R137" t="s">
        <v>70</v>
      </c>
      <c r="S137" t="s">
        <v>551</v>
      </c>
      <c r="T137">
        <v>-1660.98</v>
      </c>
      <c r="U137">
        <v>-1660.98</v>
      </c>
      <c r="V137">
        <v>-1660.98</v>
      </c>
      <c r="W137" t="s">
        <v>228</v>
      </c>
      <c r="X137" s="3">
        <v>46044</v>
      </c>
      <c r="Y137" s="3">
        <v>46044</v>
      </c>
      <c r="Z137" t="s">
        <v>220</v>
      </c>
      <c r="AA137" t="s">
        <v>221</v>
      </c>
      <c r="AB137" t="s">
        <v>45</v>
      </c>
      <c r="AC137" t="s">
        <v>127</v>
      </c>
      <c r="AE137">
        <v>-1660.98</v>
      </c>
    </row>
    <row r="138" spans="2:31" x14ac:dyDescent="0.25">
      <c r="B138" t="s">
        <v>108</v>
      </c>
      <c r="C138" t="s">
        <v>111</v>
      </c>
      <c r="D138" t="s">
        <v>108</v>
      </c>
      <c r="E138" t="s">
        <v>112</v>
      </c>
      <c r="F138" t="s">
        <v>169</v>
      </c>
      <c r="G138" t="s">
        <v>170</v>
      </c>
      <c r="H138" t="s">
        <v>171</v>
      </c>
      <c r="I138" t="s">
        <v>169</v>
      </c>
      <c r="J138" t="s">
        <v>170</v>
      </c>
      <c r="K138" t="s">
        <v>171</v>
      </c>
      <c r="L138" t="s">
        <v>169</v>
      </c>
      <c r="M138" t="s">
        <v>170</v>
      </c>
      <c r="N138" t="s">
        <v>171</v>
      </c>
      <c r="O138" t="s">
        <v>215</v>
      </c>
      <c r="P138" t="s">
        <v>216</v>
      </c>
      <c r="Q138" t="s">
        <v>217</v>
      </c>
      <c r="R138" t="s">
        <v>269</v>
      </c>
      <c r="S138" t="s">
        <v>552</v>
      </c>
      <c r="T138">
        <v>-6094.32</v>
      </c>
      <c r="U138">
        <v>-6094.32</v>
      </c>
      <c r="V138">
        <v>-6094.32</v>
      </c>
      <c r="W138" t="s">
        <v>228</v>
      </c>
      <c r="X138" s="3">
        <v>46044</v>
      </c>
      <c r="Y138" s="3">
        <v>46044</v>
      </c>
      <c r="Z138" t="s">
        <v>220</v>
      </c>
      <c r="AA138" t="s">
        <v>221</v>
      </c>
      <c r="AB138" t="s">
        <v>45</v>
      </c>
      <c r="AC138" t="s">
        <v>127</v>
      </c>
      <c r="AE138">
        <v>-6094.32</v>
      </c>
    </row>
    <row r="139" spans="2:31" x14ac:dyDescent="0.25">
      <c r="B139" t="s">
        <v>108</v>
      </c>
      <c r="C139" t="s">
        <v>111</v>
      </c>
      <c r="D139" t="s">
        <v>108</v>
      </c>
      <c r="E139" t="s">
        <v>112</v>
      </c>
      <c r="F139" t="s">
        <v>169</v>
      </c>
      <c r="G139" t="s">
        <v>170</v>
      </c>
      <c r="H139" t="s">
        <v>171</v>
      </c>
      <c r="I139" t="s">
        <v>169</v>
      </c>
      <c r="J139" t="s">
        <v>170</v>
      </c>
      <c r="K139" t="s">
        <v>171</v>
      </c>
      <c r="L139" t="s">
        <v>169</v>
      </c>
      <c r="M139" t="s">
        <v>170</v>
      </c>
      <c r="N139" t="s">
        <v>171</v>
      </c>
      <c r="O139" t="s">
        <v>222</v>
      </c>
      <c r="P139" t="s">
        <v>223</v>
      </c>
      <c r="Q139" t="s">
        <v>224</v>
      </c>
      <c r="R139" t="s">
        <v>269</v>
      </c>
      <c r="S139" t="s">
        <v>552</v>
      </c>
      <c r="T139">
        <v>-6094.33</v>
      </c>
      <c r="U139">
        <v>-6094.33</v>
      </c>
      <c r="V139">
        <v>-6094.33</v>
      </c>
      <c r="W139" t="s">
        <v>228</v>
      </c>
      <c r="X139" s="3">
        <v>46044</v>
      </c>
      <c r="Y139" s="3">
        <v>46044</v>
      </c>
      <c r="Z139" t="s">
        <v>220</v>
      </c>
      <c r="AA139" t="s">
        <v>221</v>
      </c>
      <c r="AB139" t="s">
        <v>45</v>
      </c>
      <c r="AC139" t="s">
        <v>127</v>
      </c>
      <c r="AE139">
        <v>-6094.33</v>
      </c>
    </row>
    <row r="140" spans="2:31" x14ac:dyDescent="0.25">
      <c r="B140" t="s">
        <v>108</v>
      </c>
      <c r="C140" t="s">
        <v>111</v>
      </c>
      <c r="D140" t="s">
        <v>108</v>
      </c>
      <c r="E140" t="s">
        <v>112</v>
      </c>
      <c r="F140" t="s">
        <v>169</v>
      </c>
      <c r="G140" t="s">
        <v>170</v>
      </c>
      <c r="H140" t="s">
        <v>171</v>
      </c>
      <c r="I140" t="s">
        <v>169</v>
      </c>
      <c r="J140" t="s">
        <v>170</v>
      </c>
      <c r="K140" t="s">
        <v>171</v>
      </c>
      <c r="L140" t="s">
        <v>169</v>
      </c>
      <c r="M140" t="s">
        <v>170</v>
      </c>
      <c r="N140" t="s">
        <v>171</v>
      </c>
      <c r="O140" t="s">
        <v>191</v>
      </c>
      <c r="P140" t="s">
        <v>192</v>
      </c>
      <c r="Q140" t="s">
        <v>193</v>
      </c>
      <c r="R140" t="s">
        <v>269</v>
      </c>
      <c r="S140" t="s">
        <v>553</v>
      </c>
      <c r="T140">
        <v>-300</v>
      </c>
      <c r="U140">
        <v>-300</v>
      </c>
      <c r="V140">
        <v>-300</v>
      </c>
      <c r="W140" t="s">
        <v>554</v>
      </c>
      <c r="X140" s="3">
        <v>46048</v>
      </c>
      <c r="Y140" s="3">
        <v>46048</v>
      </c>
      <c r="Z140" t="s">
        <v>555</v>
      </c>
      <c r="AA140" t="s">
        <v>556</v>
      </c>
      <c r="AB140" t="s">
        <v>45</v>
      </c>
      <c r="AC140" t="s">
        <v>127</v>
      </c>
      <c r="AE140">
        <v>-300</v>
      </c>
    </row>
    <row r="141" spans="2:31" x14ac:dyDescent="0.25">
      <c r="B141" t="s">
        <v>108</v>
      </c>
      <c r="C141" t="s">
        <v>111</v>
      </c>
      <c r="D141" t="s">
        <v>108</v>
      </c>
      <c r="E141" t="s">
        <v>112</v>
      </c>
      <c r="F141" t="s">
        <v>311</v>
      </c>
      <c r="G141" t="s">
        <v>312</v>
      </c>
      <c r="H141" t="s">
        <v>313</v>
      </c>
      <c r="I141" t="s">
        <v>311</v>
      </c>
      <c r="J141" t="s">
        <v>312</v>
      </c>
      <c r="K141" t="s">
        <v>313</v>
      </c>
      <c r="L141" t="s">
        <v>311</v>
      </c>
      <c r="M141" t="s">
        <v>312</v>
      </c>
      <c r="N141" t="s">
        <v>313</v>
      </c>
      <c r="O141" t="s">
        <v>136</v>
      </c>
      <c r="P141" t="s">
        <v>137</v>
      </c>
      <c r="Q141" t="s">
        <v>138</v>
      </c>
      <c r="R141" t="s">
        <v>64</v>
      </c>
      <c r="S141" t="s">
        <v>557</v>
      </c>
      <c r="T141">
        <v>-6000</v>
      </c>
      <c r="U141">
        <v>-6000</v>
      </c>
      <c r="V141">
        <v>-6000</v>
      </c>
      <c r="W141" t="s">
        <v>558</v>
      </c>
      <c r="X141" s="3">
        <v>46037</v>
      </c>
      <c r="Y141" s="3">
        <v>46037</v>
      </c>
      <c r="Z141" t="s">
        <v>559</v>
      </c>
      <c r="AA141" t="s">
        <v>560</v>
      </c>
      <c r="AB141" t="s">
        <v>45</v>
      </c>
      <c r="AC141" t="s">
        <v>127</v>
      </c>
      <c r="AE141">
        <v>-6000</v>
      </c>
    </row>
    <row r="142" spans="2:31" x14ac:dyDescent="0.25">
      <c r="B142" t="s">
        <v>108</v>
      </c>
      <c r="C142" t="s">
        <v>111</v>
      </c>
      <c r="D142" t="s">
        <v>108</v>
      </c>
      <c r="E142" t="s">
        <v>112</v>
      </c>
      <c r="F142" t="s">
        <v>169</v>
      </c>
      <c r="G142" t="s">
        <v>170</v>
      </c>
      <c r="H142" t="s">
        <v>171</v>
      </c>
      <c r="I142" t="s">
        <v>169</v>
      </c>
      <c r="J142" t="s">
        <v>170</v>
      </c>
      <c r="K142" t="s">
        <v>171</v>
      </c>
      <c r="L142" t="s">
        <v>169</v>
      </c>
      <c r="M142" t="s">
        <v>170</v>
      </c>
      <c r="N142" t="s">
        <v>171</v>
      </c>
      <c r="O142" t="s">
        <v>215</v>
      </c>
      <c r="P142" t="s">
        <v>216</v>
      </c>
      <c r="Q142" t="s">
        <v>217</v>
      </c>
      <c r="R142" t="s">
        <v>58</v>
      </c>
      <c r="S142" t="s">
        <v>561</v>
      </c>
      <c r="T142">
        <v>-1292.1199999999999</v>
      </c>
      <c r="U142">
        <v>-1292.1199999999999</v>
      </c>
      <c r="V142">
        <v>-1292.1199999999999</v>
      </c>
      <c r="W142" t="s">
        <v>228</v>
      </c>
      <c r="X142" s="3">
        <v>46043</v>
      </c>
      <c r="Y142" s="3">
        <v>46043</v>
      </c>
      <c r="Z142" t="s">
        <v>220</v>
      </c>
      <c r="AA142" t="s">
        <v>221</v>
      </c>
      <c r="AB142" t="s">
        <v>45</v>
      </c>
      <c r="AC142" t="s">
        <v>127</v>
      </c>
      <c r="AE142">
        <v>-1292.1199999999999</v>
      </c>
    </row>
    <row r="143" spans="2:31" x14ac:dyDescent="0.25">
      <c r="B143" t="s">
        <v>108</v>
      </c>
      <c r="C143" t="s">
        <v>111</v>
      </c>
      <c r="D143" t="s">
        <v>108</v>
      </c>
      <c r="E143" t="s">
        <v>112</v>
      </c>
      <c r="F143" t="s">
        <v>169</v>
      </c>
      <c r="G143" t="s">
        <v>170</v>
      </c>
      <c r="H143" t="s">
        <v>171</v>
      </c>
      <c r="I143" t="s">
        <v>169</v>
      </c>
      <c r="J143" t="s">
        <v>170</v>
      </c>
      <c r="K143" t="s">
        <v>171</v>
      </c>
      <c r="L143" t="s">
        <v>169</v>
      </c>
      <c r="M143" t="s">
        <v>170</v>
      </c>
      <c r="N143" t="s">
        <v>171</v>
      </c>
      <c r="O143" t="s">
        <v>222</v>
      </c>
      <c r="P143" t="s">
        <v>223</v>
      </c>
      <c r="Q143" t="s">
        <v>224</v>
      </c>
      <c r="R143" t="s">
        <v>58</v>
      </c>
      <c r="S143" t="s">
        <v>561</v>
      </c>
      <c r="T143">
        <v>-1292.1300000000001</v>
      </c>
      <c r="U143">
        <v>-1292.1300000000001</v>
      </c>
      <c r="V143">
        <v>-1292.1300000000001</v>
      </c>
      <c r="W143" t="s">
        <v>228</v>
      </c>
      <c r="X143" s="3">
        <v>46043</v>
      </c>
      <c r="Y143" s="3">
        <v>46043</v>
      </c>
      <c r="Z143" t="s">
        <v>220</v>
      </c>
      <c r="AA143" t="s">
        <v>221</v>
      </c>
      <c r="AB143" t="s">
        <v>45</v>
      </c>
      <c r="AC143" t="s">
        <v>127</v>
      </c>
      <c r="AE143">
        <v>-1292.1300000000001</v>
      </c>
    </row>
    <row r="144" spans="2:31" x14ac:dyDescent="0.25">
      <c r="B144" t="s">
        <v>108</v>
      </c>
      <c r="C144" t="s">
        <v>111</v>
      </c>
      <c r="D144" t="s">
        <v>108</v>
      </c>
      <c r="E144" t="s">
        <v>112</v>
      </c>
      <c r="F144" t="s">
        <v>169</v>
      </c>
      <c r="G144" t="s">
        <v>170</v>
      </c>
      <c r="H144" t="s">
        <v>171</v>
      </c>
      <c r="I144" t="s">
        <v>169</v>
      </c>
      <c r="J144" t="s">
        <v>170</v>
      </c>
      <c r="K144" t="s">
        <v>171</v>
      </c>
      <c r="L144" t="s">
        <v>169</v>
      </c>
      <c r="M144" t="s">
        <v>170</v>
      </c>
      <c r="N144" t="s">
        <v>171</v>
      </c>
      <c r="O144" t="s">
        <v>215</v>
      </c>
      <c r="P144" t="s">
        <v>216</v>
      </c>
      <c r="Q144" t="s">
        <v>217</v>
      </c>
      <c r="R144" t="s">
        <v>122</v>
      </c>
      <c r="S144" t="s">
        <v>562</v>
      </c>
      <c r="T144">
        <v>-1852.98</v>
      </c>
      <c r="U144">
        <v>-1852.98</v>
      </c>
      <c r="V144">
        <v>-1852.98</v>
      </c>
      <c r="W144" t="s">
        <v>228</v>
      </c>
      <c r="X144" s="3">
        <v>46044</v>
      </c>
      <c r="Y144" s="3">
        <v>46044</v>
      </c>
      <c r="Z144" t="s">
        <v>220</v>
      </c>
      <c r="AA144" t="s">
        <v>221</v>
      </c>
      <c r="AB144" t="s">
        <v>45</v>
      </c>
      <c r="AC144" t="s">
        <v>127</v>
      </c>
      <c r="AE144">
        <v>-1852.98</v>
      </c>
    </row>
    <row r="145" spans="2:31" x14ac:dyDescent="0.25">
      <c r="B145" t="s">
        <v>108</v>
      </c>
      <c r="C145" t="s">
        <v>111</v>
      </c>
      <c r="D145" t="s">
        <v>108</v>
      </c>
      <c r="E145" t="s">
        <v>112</v>
      </c>
      <c r="F145" t="s">
        <v>169</v>
      </c>
      <c r="G145" t="s">
        <v>170</v>
      </c>
      <c r="H145" t="s">
        <v>171</v>
      </c>
      <c r="I145" t="s">
        <v>169</v>
      </c>
      <c r="J145" t="s">
        <v>170</v>
      </c>
      <c r="K145" t="s">
        <v>171</v>
      </c>
      <c r="L145" t="s">
        <v>169</v>
      </c>
      <c r="M145" t="s">
        <v>170</v>
      </c>
      <c r="N145" t="s">
        <v>171</v>
      </c>
      <c r="O145" t="s">
        <v>222</v>
      </c>
      <c r="P145" t="s">
        <v>223</v>
      </c>
      <c r="Q145" t="s">
        <v>224</v>
      </c>
      <c r="R145" t="s">
        <v>122</v>
      </c>
      <c r="S145" t="s">
        <v>562</v>
      </c>
      <c r="T145">
        <v>-1852.99</v>
      </c>
      <c r="U145">
        <v>-1852.99</v>
      </c>
      <c r="V145">
        <v>-1852.99</v>
      </c>
      <c r="W145" t="s">
        <v>228</v>
      </c>
      <c r="X145" s="3">
        <v>46044</v>
      </c>
      <c r="Y145" s="3">
        <v>46044</v>
      </c>
      <c r="Z145" t="s">
        <v>220</v>
      </c>
      <c r="AA145" t="s">
        <v>221</v>
      </c>
      <c r="AB145" t="s">
        <v>45</v>
      </c>
      <c r="AC145" t="s">
        <v>127</v>
      </c>
      <c r="AE145">
        <v>-1852.99</v>
      </c>
    </row>
    <row r="146" spans="2:31" x14ac:dyDescent="0.25">
      <c r="B146" t="s">
        <v>108</v>
      </c>
      <c r="C146" t="s">
        <v>111</v>
      </c>
      <c r="D146" t="s">
        <v>108</v>
      </c>
      <c r="E146" t="s">
        <v>112</v>
      </c>
      <c r="F146" t="s">
        <v>169</v>
      </c>
      <c r="G146" t="s">
        <v>170</v>
      </c>
      <c r="H146" t="s">
        <v>171</v>
      </c>
      <c r="I146" t="s">
        <v>169</v>
      </c>
      <c r="J146" t="s">
        <v>170</v>
      </c>
      <c r="K146" t="s">
        <v>171</v>
      </c>
      <c r="L146" t="s">
        <v>169</v>
      </c>
      <c r="M146" t="s">
        <v>170</v>
      </c>
      <c r="N146" t="s">
        <v>171</v>
      </c>
      <c r="O146" t="s">
        <v>215</v>
      </c>
      <c r="P146" t="s">
        <v>216</v>
      </c>
      <c r="Q146" t="s">
        <v>217</v>
      </c>
      <c r="R146" t="s">
        <v>349</v>
      </c>
      <c r="S146" t="s">
        <v>563</v>
      </c>
      <c r="T146">
        <v>-3127.45</v>
      </c>
      <c r="U146">
        <v>-3127.45</v>
      </c>
      <c r="V146">
        <v>-3127.45</v>
      </c>
      <c r="W146" t="s">
        <v>228</v>
      </c>
      <c r="X146" s="3">
        <v>46044</v>
      </c>
      <c r="Y146" s="3">
        <v>46044</v>
      </c>
      <c r="Z146" t="s">
        <v>220</v>
      </c>
      <c r="AA146" t="s">
        <v>221</v>
      </c>
      <c r="AB146" t="s">
        <v>45</v>
      </c>
      <c r="AC146" t="s">
        <v>127</v>
      </c>
      <c r="AE146">
        <v>-3127.45</v>
      </c>
    </row>
    <row r="147" spans="2:31" x14ac:dyDescent="0.25">
      <c r="B147" t="s">
        <v>108</v>
      </c>
      <c r="C147" t="s">
        <v>111</v>
      </c>
      <c r="D147" t="s">
        <v>108</v>
      </c>
      <c r="E147" t="s">
        <v>112</v>
      </c>
      <c r="F147" t="s">
        <v>169</v>
      </c>
      <c r="G147" t="s">
        <v>170</v>
      </c>
      <c r="H147" t="s">
        <v>171</v>
      </c>
      <c r="I147" t="s">
        <v>169</v>
      </c>
      <c r="J147" t="s">
        <v>170</v>
      </c>
      <c r="K147" t="s">
        <v>171</v>
      </c>
      <c r="L147" t="s">
        <v>169</v>
      </c>
      <c r="M147" t="s">
        <v>170</v>
      </c>
      <c r="N147" t="s">
        <v>171</v>
      </c>
      <c r="O147" t="s">
        <v>222</v>
      </c>
      <c r="P147" t="s">
        <v>223</v>
      </c>
      <c r="Q147" t="s">
        <v>224</v>
      </c>
      <c r="R147" t="s">
        <v>349</v>
      </c>
      <c r="S147" t="s">
        <v>563</v>
      </c>
      <c r="T147">
        <v>-3127.46</v>
      </c>
      <c r="U147">
        <v>-3127.46</v>
      </c>
      <c r="V147">
        <v>-3127.46</v>
      </c>
      <c r="W147" t="s">
        <v>228</v>
      </c>
      <c r="X147" s="3">
        <v>46044</v>
      </c>
      <c r="Y147" s="3">
        <v>46044</v>
      </c>
      <c r="Z147" t="s">
        <v>220</v>
      </c>
      <c r="AA147" t="s">
        <v>221</v>
      </c>
      <c r="AB147" t="s">
        <v>45</v>
      </c>
      <c r="AC147" t="s">
        <v>127</v>
      </c>
      <c r="AE147">
        <v>-3127.46</v>
      </c>
    </row>
    <row r="148" spans="2:31" x14ac:dyDescent="0.25">
      <c r="B148" t="s">
        <v>108</v>
      </c>
      <c r="C148" t="s">
        <v>111</v>
      </c>
      <c r="D148" t="s">
        <v>108</v>
      </c>
      <c r="E148" t="s">
        <v>112</v>
      </c>
      <c r="F148" t="s">
        <v>169</v>
      </c>
      <c r="G148" t="s">
        <v>170</v>
      </c>
      <c r="H148" t="s">
        <v>171</v>
      </c>
      <c r="I148" t="s">
        <v>169</v>
      </c>
      <c r="J148" t="s">
        <v>170</v>
      </c>
      <c r="K148" t="s">
        <v>171</v>
      </c>
      <c r="L148" t="s">
        <v>169</v>
      </c>
      <c r="M148" t="s">
        <v>170</v>
      </c>
      <c r="N148" t="s">
        <v>171</v>
      </c>
      <c r="O148" t="s">
        <v>215</v>
      </c>
      <c r="P148" t="s">
        <v>216</v>
      </c>
      <c r="Q148" t="s">
        <v>217</v>
      </c>
      <c r="R148" t="s">
        <v>354</v>
      </c>
      <c r="S148" t="s">
        <v>564</v>
      </c>
      <c r="T148">
        <v>-1285.0999999999999</v>
      </c>
      <c r="U148">
        <v>-1285.0999999999999</v>
      </c>
      <c r="V148">
        <v>-1285.0999999999999</v>
      </c>
      <c r="W148" t="s">
        <v>228</v>
      </c>
      <c r="X148" s="3">
        <v>46044</v>
      </c>
      <c r="Y148" s="3">
        <v>46044</v>
      </c>
      <c r="Z148" t="s">
        <v>220</v>
      </c>
      <c r="AA148" t="s">
        <v>221</v>
      </c>
      <c r="AB148" t="s">
        <v>45</v>
      </c>
      <c r="AC148" t="s">
        <v>127</v>
      </c>
      <c r="AE148">
        <v>-1285.0999999999999</v>
      </c>
    </row>
    <row r="149" spans="2:31" x14ac:dyDescent="0.25">
      <c r="B149" t="s">
        <v>108</v>
      </c>
      <c r="C149" t="s">
        <v>111</v>
      </c>
      <c r="D149" t="s">
        <v>108</v>
      </c>
      <c r="E149" t="s">
        <v>112</v>
      </c>
      <c r="F149" t="s">
        <v>169</v>
      </c>
      <c r="G149" t="s">
        <v>170</v>
      </c>
      <c r="H149" t="s">
        <v>171</v>
      </c>
      <c r="I149" t="s">
        <v>169</v>
      </c>
      <c r="J149" t="s">
        <v>170</v>
      </c>
      <c r="K149" t="s">
        <v>171</v>
      </c>
      <c r="L149" t="s">
        <v>169</v>
      </c>
      <c r="M149" t="s">
        <v>170</v>
      </c>
      <c r="N149" t="s">
        <v>171</v>
      </c>
      <c r="O149" t="s">
        <v>222</v>
      </c>
      <c r="P149" t="s">
        <v>223</v>
      </c>
      <c r="Q149" t="s">
        <v>224</v>
      </c>
      <c r="R149" t="s">
        <v>354</v>
      </c>
      <c r="S149" t="s">
        <v>564</v>
      </c>
      <c r="T149">
        <v>-1285.1099999999999</v>
      </c>
      <c r="U149">
        <v>-1285.1099999999999</v>
      </c>
      <c r="V149">
        <v>-1285.1099999999999</v>
      </c>
      <c r="W149" t="s">
        <v>228</v>
      </c>
      <c r="X149" s="3">
        <v>46044</v>
      </c>
      <c r="Y149" s="3">
        <v>46044</v>
      </c>
      <c r="Z149" t="s">
        <v>220</v>
      </c>
      <c r="AA149" t="s">
        <v>221</v>
      </c>
      <c r="AB149" t="s">
        <v>45</v>
      </c>
      <c r="AC149" t="s">
        <v>127</v>
      </c>
      <c r="AE149">
        <v>-1285.1099999999999</v>
      </c>
    </row>
    <row r="150" spans="2:31" x14ac:dyDescent="0.25">
      <c r="B150" t="s">
        <v>108</v>
      </c>
      <c r="C150" t="s">
        <v>111</v>
      </c>
      <c r="D150" t="s">
        <v>108</v>
      </c>
      <c r="E150" t="s">
        <v>112</v>
      </c>
      <c r="F150" t="s">
        <v>169</v>
      </c>
      <c r="G150" t="s">
        <v>170</v>
      </c>
      <c r="H150" t="s">
        <v>171</v>
      </c>
      <c r="I150" t="s">
        <v>169</v>
      </c>
      <c r="J150" t="s">
        <v>170</v>
      </c>
      <c r="K150" t="s">
        <v>171</v>
      </c>
      <c r="L150" t="s">
        <v>169</v>
      </c>
      <c r="M150" t="s">
        <v>170</v>
      </c>
      <c r="N150" t="s">
        <v>171</v>
      </c>
      <c r="O150" t="s">
        <v>215</v>
      </c>
      <c r="P150" t="s">
        <v>216</v>
      </c>
      <c r="Q150" t="s">
        <v>217</v>
      </c>
      <c r="R150" t="s">
        <v>352</v>
      </c>
      <c r="S150" t="s">
        <v>565</v>
      </c>
      <c r="T150">
        <v>-1028.08</v>
      </c>
      <c r="U150">
        <v>-1028.08</v>
      </c>
      <c r="V150">
        <v>-1028.08</v>
      </c>
      <c r="W150" t="s">
        <v>226</v>
      </c>
      <c r="X150" s="3">
        <v>46044</v>
      </c>
      <c r="Y150" s="3">
        <v>46044</v>
      </c>
      <c r="Z150" t="s">
        <v>220</v>
      </c>
      <c r="AA150" t="s">
        <v>221</v>
      </c>
      <c r="AB150" t="s">
        <v>45</v>
      </c>
      <c r="AC150" t="s">
        <v>127</v>
      </c>
      <c r="AE150">
        <v>-1028.08</v>
      </c>
    </row>
    <row r="151" spans="2:31" x14ac:dyDescent="0.25">
      <c r="B151" t="s">
        <v>108</v>
      </c>
      <c r="C151" t="s">
        <v>111</v>
      </c>
      <c r="D151" t="s">
        <v>108</v>
      </c>
      <c r="E151" t="s">
        <v>112</v>
      </c>
      <c r="F151" t="s">
        <v>169</v>
      </c>
      <c r="G151" t="s">
        <v>170</v>
      </c>
      <c r="H151" t="s">
        <v>171</v>
      </c>
      <c r="I151" t="s">
        <v>169</v>
      </c>
      <c r="J151" t="s">
        <v>170</v>
      </c>
      <c r="K151" t="s">
        <v>171</v>
      </c>
      <c r="L151" t="s">
        <v>169</v>
      </c>
      <c r="M151" t="s">
        <v>170</v>
      </c>
      <c r="N151" t="s">
        <v>171</v>
      </c>
      <c r="O151" t="s">
        <v>222</v>
      </c>
      <c r="P151" t="s">
        <v>223</v>
      </c>
      <c r="Q151" t="s">
        <v>224</v>
      </c>
      <c r="R151" t="s">
        <v>352</v>
      </c>
      <c r="S151" t="s">
        <v>565</v>
      </c>
      <c r="T151">
        <v>-1028.0899999999999</v>
      </c>
      <c r="U151">
        <v>-1028.0899999999999</v>
      </c>
      <c r="V151">
        <v>-1028.0899999999999</v>
      </c>
      <c r="W151" t="s">
        <v>226</v>
      </c>
      <c r="X151" s="3">
        <v>46044</v>
      </c>
      <c r="Y151" s="3">
        <v>46044</v>
      </c>
      <c r="Z151" t="s">
        <v>220</v>
      </c>
      <c r="AA151" t="s">
        <v>221</v>
      </c>
      <c r="AB151" t="s">
        <v>45</v>
      </c>
      <c r="AC151" t="s">
        <v>127</v>
      </c>
      <c r="AE151">
        <v>-1028.0899999999999</v>
      </c>
    </row>
    <row r="152" spans="2:31" x14ac:dyDescent="0.25">
      <c r="B152" t="s">
        <v>108</v>
      </c>
      <c r="C152" t="s">
        <v>111</v>
      </c>
      <c r="D152" t="s">
        <v>108</v>
      </c>
      <c r="E152" t="s">
        <v>112</v>
      </c>
      <c r="F152" t="s">
        <v>169</v>
      </c>
      <c r="G152" t="s">
        <v>170</v>
      </c>
      <c r="H152" t="s">
        <v>171</v>
      </c>
      <c r="I152" t="s">
        <v>169</v>
      </c>
      <c r="J152" t="s">
        <v>170</v>
      </c>
      <c r="K152" t="s">
        <v>171</v>
      </c>
      <c r="L152" t="s">
        <v>169</v>
      </c>
      <c r="M152" t="s">
        <v>170</v>
      </c>
      <c r="N152" t="s">
        <v>171</v>
      </c>
      <c r="O152" t="s">
        <v>215</v>
      </c>
      <c r="P152" t="s">
        <v>216</v>
      </c>
      <c r="Q152" t="s">
        <v>217</v>
      </c>
      <c r="R152" t="s">
        <v>255</v>
      </c>
      <c r="S152" t="s">
        <v>566</v>
      </c>
      <c r="T152">
        <v>-800.22</v>
      </c>
      <c r="U152">
        <v>-800.22</v>
      </c>
      <c r="V152">
        <v>-800.22</v>
      </c>
      <c r="W152" t="s">
        <v>226</v>
      </c>
      <c r="X152" s="3">
        <v>46044</v>
      </c>
      <c r="Y152" s="3">
        <v>46044</v>
      </c>
      <c r="Z152" t="s">
        <v>220</v>
      </c>
      <c r="AA152" t="s">
        <v>221</v>
      </c>
      <c r="AB152" t="s">
        <v>45</v>
      </c>
      <c r="AC152" t="s">
        <v>127</v>
      </c>
      <c r="AE152">
        <v>-800.22</v>
      </c>
    </row>
    <row r="153" spans="2:31" x14ac:dyDescent="0.25">
      <c r="B153" t="s">
        <v>108</v>
      </c>
      <c r="C153" t="s">
        <v>111</v>
      </c>
      <c r="D153" t="s">
        <v>108</v>
      </c>
      <c r="E153" t="s">
        <v>112</v>
      </c>
      <c r="F153" t="s">
        <v>169</v>
      </c>
      <c r="G153" t="s">
        <v>170</v>
      </c>
      <c r="H153" t="s">
        <v>171</v>
      </c>
      <c r="I153" t="s">
        <v>169</v>
      </c>
      <c r="J153" t="s">
        <v>170</v>
      </c>
      <c r="K153" t="s">
        <v>171</v>
      </c>
      <c r="L153" t="s">
        <v>169</v>
      </c>
      <c r="M153" t="s">
        <v>170</v>
      </c>
      <c r="N153" t="s">
        <v>171</v>
      </c>
      <c r="O153" t="s">
        <v>222</v>
      </c>
      <c r="P153" t="s">
        <v>223</v>
      </c>
      <c r="Q153" t="s">
        <v>224</v>
      </c>
      <c r="R153" t="s">
        <v>255</v>
      </c>
      <c r="S153" t="s">
        <v>566</v>
      </c>
      <c r="T153">
        <v>-800.23</v>
      </c>
      <c r="U153">
        <v>-800.23</v>
      </c>
      <c r="V153">
        <v>-800.23</v>
      </c>
      <c r="W153" t="s">
        <v>226</v>
      </c>
      <c r="X153" s="3">
        <v>46044</v>
      </c>
      <c r="Y153" s="3">
        <v>46044</v>
      </c>
      <c r="Z153" t="s">
        <v>220</v>
      </c>
      <c r="AA153" t="s">
        <v>221</v>
      </c>
      <c r="AB153" t="s">
        <v>45</v>
      </c>
      <c r="AC153" t="s">
        <v>127</v>
      </c>
      <c r="AE153">
        <v>-800.23</v>
      </c>
    </row>
    <row r="154" spans="2:31" x14ac:dyDescent="0.25">
      <c r="B154" t="s">
        <v>108</v>
      </c>
      <c r="C154" t="s">
        <v>111</v>
      </c>
      <c r="D154" t="s">
        <v>108</v>
      </c>
      <c r="E154" t="s">
        <v>112</v>
      </c>
      <c r="F154" t="s">
        <v>169</v>
      </c>
      <c r="G154" t="s">
        <v>170</v>
      </c>
      <c r="H154" t="s">
        <v>171</v>
      </c>
      <c r="I154" t="s">
        <v>169</v>
      </c>
      <c r="J154" t="s">
        <v>170</v>
      </c>
      <c r="K154" t="s">
        <v>171</v>
      </c>
      <c r="L154" t="s">
        <v>169</v>
      </c>
      <c r="M154" t="s">
        <v>170</v>
      </c>
      <c r="N154" t="s">
        <v>171</v>
      </c>
      <c r="O154" t="s">
        <v>248</v>
      </c>
      <c r="P154" t="s">
        <v>249</v>
      </c>
      <c r="Q154" t="s">
        <v>250</v>
      </c>
      <c r="R154" t="s">
        <v>349</v>
      </c>
      <c r="S154" t="s">
        <v>567</v>
      </c>
      <c r="T154">
        <v>-308.2</v>
      </c>
      <c r="U154">
        <v>-308.2</v>
      </c>
      <c r="V154">
        <v>-308.2</v>
      </c>
      <c r="W154" t="s">
        <v>568</v>
      </c>
      <c r="X154" s="3">
        <v>46049</v>
      </c>
      <c r="Y154" s="3">
        <v>46049</v>
      </c>
      <c r="Z154" t="s">
        <v>253</v>
      </c>
      <c r="AA154" t="s">
        <v>254</v>
      </c>
      <c r="AB154" t="s">
        <v>45</v>
      </c>
      <c r="AC154" t="s">
        <v>127</v>
      </c>
      <c r="AE154">
        <v>-308.2</v>
      </c>
    </row>
    <row r="155" spans="2:31" x14ac:dyDescent="0.25">
      <c r="B155" t="s">
        <v>108</v>
      </c>
      <c r="C155" t="s">
        <v>111</v>
      </c>
      <c r="D155" t="s">
        <v>108</v>
      </c>
      <c r="E155" t="s">
        <v>112</v>
      </c>
      <c r="F155" t="s">
        <v>169</v>
      </c>
      <c r="G155" t="s">
        <v>170</v>
      </c>
      <c r="H155" t="s">
        <v>171</v>
      </c>
      <c r="I155" t="s">
        <v>169</v>
      </c>
      <c r="J155" t="s">
        <v>170</v>
      </c>
      <c r="K155" t="s">
        <v>171</v>
      </c>
      <c r="L155" t="s">
        <v>169</v>
      </c>
      <c r="M155" t="s">
        <v>170</v>
      </c>
      <c r="N155" t="s">
        <v>171</v>
      </c>
      <c r="O155" t="s">
        <v>248</v>
      </c>
      <c r="P155" t="s">
        <v>249</v>
      </c>
      <c r="Q155" t="s">
        <v>250</v>
      </c>
      <c r="R155" t="s">
        <v>352</v>
      </c>
      <c r="S155" t="s">
        <v>569</v>
      </c>
      <c r="T155">
        <v>-128.44</v>
      </c>
      <c r="U155">
        <v>-128.44</v>
      </c>
      <c r="V155">
        <v>-128.44</v>
      </c>
      <c r="W155" t="s">
        <v>570</v>
      </c>
      <c r="X155" s="3">
        <v>46049</v>
      </c>
      <c r="Y155" s="3">
        <v>46049</v>
      </c>
      <c r="Z155" t="s">
        <v>253</v>
      </c>
      <c r="AA155" t="s">
        <v>254</v>
      </c>
      <c r="AB155" t="s">
        <v>45</v>
      </c>
      <c r="AC155" t="s">
        <v>127</v>
      </c>
      <c r="AE155">
        <v>-128.44</v>
      </c>
    </row>
    <row r="156" spans="2:31" x14ac:dyDescent="0.25">
      <c r="B156" t="s">
        <v>108</v>
      </c>
      <c r="C156" t="s">
        <v>111</v>
      </c>
      <c r="D156" t="s">
        <v>108</v>
      </c>
      <c r="E156" t="s">
        <v>112</v>
      </c>
      <c r="F156" t="s">
        <v>169</v>
      </c>
      <c r="G156" t="s">
        <v>170</v>
      </c>
      <c r="H156" t="s">
        <v>171</v>
      </c>
      <c r="I156" t="s">
        <v>169</v>
      </c>
      <c r="J156" t="s">
        <v>170</v>
      </c>
      <c r="K156" t="s">
        <v>171</v>
      </c>
      <c r="L156" t="s">
        <v>169</v>
      </c>
      <c r="M156" t="s">
        <v>170</v>
      </c>
      <c r="N156" t="s">
        <v>171</v>
      </c>
      <c r="O156" t="s">
        <v>248</v>
      </c>
      <c r="P156" t="s">
        <v>249</v>
      </c>
      <c r="Q156" t="s">
        <v>250</v>
      </c>
      <c r="R156" t="s">
        <v>76</v>
      </c>
      <c r="S156" t="s">
        <v>571</v>
      </c>
      <c r="T156">
        <v>-22.47</v>
      </c>
      <c r="U156">
        <v>-22.47</v>
      </c>
      <c r="V156">
        <v>-22.47</v>
      </c>
      <c r="W156" t="s">
        <v>252</v>
      </c>
      <c r="X156" s="3">
        <v>46049</v>
      </c>
      <c r="Y156" s="3">
        <v>46049</v>
      </c>
      <c r="Z156" t="s">
        <v>253</v>
      </c>
      <c r="AA156" t="s">
        <v>254</v>
      </c>
      <c r="AB156" t="s">
        <v>45</v>
      </c>
      <c r="AC156" t="s">
        <v>127</v>
      </c>
      <c r="AE156">
        <v>-22.47</v>
      </c>
    </row>
    <row r="157" spans="2:31" x14ac:dyDescent="0.25">
      <c r="B157" t="s">
        <v>108</v>
      </c>
      <c r="C157" t="s">
        <v>111</v>
      </c>
      <c r="D157" t="s">
        <v>108</v>
      </c>
      <c r="E157" t="s">
        <v>112</v>
      </c>
      <c r="F157" t="s">
        <v>169</v>
      </c>
      <c r="G157" t="s">
        <v>170</v>
      </c>
      <c r="H157" t="s">
        <v>171</v>
      </c>
      <c r="I157" t="s">
        <v>169</v>
      </c>
      <c r="J157" t="s">
        <v>170</v>
      </c>
      <c r="K157" t="s">
        <v>171</v>
      </c>
      <c r="L157" t="s">
        <v>169</v>
      </c>
      <c r="M157" t="s">
        <v>170</v>
      </c>
      <c r="N157" t="s">
        <v>171</v>
      </c>
      <c r="O157" t="s">
        <v>248</v>
      </c>
      <c r="P157" t="s">
        <v>249</v>
      </c>
      <c r="Q157" t="s">
        <v>250</v>
      </c>
      <c r="R157" t="s">
        <v>52</v>
      </c>
      <c r="S157" t="s">
        <v>572</v>
      </c>
      <c r="T157">
        <v>-89.88</v>
      </c>
      <c r="U157">
        <v>-89.88</v>
      </c>
      <c r="V157">
        <v>-89.88</v>
      </c>
      <c r="W157" t="s">
        <v>252</v>
      </c>
      <c r="X157" s="3">
        <v>46049</v>
      </c>
      <c r="Y157" s="3">
        <v>46049</v>
      </c>
      <c r="Z157" t="s">
        <v>253</v>
      </c>
      <c r="AA157" t="s">
        <v>254</v>
      </c>
      <c r="AB157" t="s">
        <v>45</v>
      </c>
      <c r="AC157" t="s">
        <v>127</v>
      </c>
      <c r="AE157">
        <v>-89.88</v>
      </c>
    </row>
    <row r="158" spans="2:31" x14ac:dyDescent="0.25">
      <c r="B158" t="s">
        <v>108</v>
      </c>
      <c r="C158" t="s">
        <v>111</v>
      </c>
      <c r="D158" t="s">
        <v>108</v>
      </c>
      <c r="E158" t="s">
        <v>112</v>
      </c>
      <c r="F158" t="s">
        <v>169</v>
      </c>
      <c r="G158" t="s">
        <v>170</v>
      </c>
      <c r="H158" t="s">
        <v>171</v>
      </c>
      <c r="I158" t="s">
        <v>169</v>
      </c>
      <c r="J158" t="s">
        <v>170</v>
      </c>
      <c r="K158" t="s">
        <v>171</v>
      </c>
      <c r="L158" t="s">
        <v>169</v>
      </c>
      <c r="M158" t="s">
        <v>170</v>
      </c>
      <c r="N158" t="s">
        <v>171</v>
      </c>
      <c r="O158" t="s">
        <v>248</v>
      </c>
      <c r="P158" t="s">
        <v>249</v>
      </c>
      <c r="Q158" t="s">
        <v>250</v>
      </c>
      <c r="R158" t="s">
        <v>58</v>
      </c>
      <c r="S158" t="s">
        <v>573</v>
      </c>
      <c r="T158">
        <v>-89.88</v>
      </c>
      <c r="U158">
        <v>-89.88</v>
      </c>
      <c r="V158">
        <v>-89.88</v>
      </c>
      <c r="W158" t="s">
        <v>252</v>
      </c>
      <c r="X158" s="3">
        <v>46049</v>
      </c>
      <c r="Y158" s="3">
        <v>46049</v>
      </c>
      <c r="Z158" t="s">
        <v>253</v>
      </c>
      <c r="AA158" t="s">
        <v>254</v>
      </c>
      <c r="AB158" t="s">
        <v>45</v>
      </c>
      <c r="AC158" t="s">
        <v>127</v>
      </c>
      <c r="AE158">
        <v>-89.88</v>
      </c>
    </row>
    <row r="159" spans="2:31" x14ac:dyDescent="0.25">
      <c r="B159" t="s">
        <v>108</v>
      </c>
      <c r="C159" t="s">
        <v>111</v>
      </c>
      <c r="D159" t="s">
        <v>108</v>
      </c>
      <c r="E159" t="s">
        <v>112</v>
      </c>
      <c r="F159" t="s">
        <v>169</v>
      </c>
      <c r="G159" t="s">
        <v>170</v>
      </c>
      <c r="H159" t="s">
        <v>171</v>
      </c>
      <c r="I159" t="s">
        <v>169</v>
      </c>
      <c r="J159" t="s">
        <v>170</v>
      </c>
      <c r="K159" t="s">
        <v>171</v>
      </c>
      <c r="L159" t="s">
        <v>169</v>
      </c>
      <c r="M159" t="s">
        <v>170</v>
      </c>
      <c r="N159" t="s">
        <v>171</v>
      </c>
      <c r="O159" t="s">
        <v>248</v>
      </c>
      <c r="P159" t="s">
        <v>249</v>
      </c>
      <c r="Q159" t="s">
        <v>250</v>
      </c>
      <c r="R159" t="s">
        <v>70</v>
      </c>
      <c r="S159" t="s">
        <v>574</v>
      </c>
      <c r="T159">
        <v>-112.35</v>
      </c>
      <c r="U159">
        <v>-112.35</v>
      </c>
      <c r="V159">
        <v>-112.35</v>
      </c>
      <c r="W159" t="s">
        <v>252</v>
      </c>
      <c r="X159" s="3">
        <v>46049</v>
      </c>
      <c r="Y159" s="3">
        <v>46049</v>
      </c>
      <c r="Z159" t="s">
        <v>253</v>
      </c>
      <c r="AA159" t="s">
        <v>254</v>
      </c>
      <c r="AB159" t="s">
        <v>45</v>
      </c>
      <c r="AC159" t="s">
        <v>127</v>
      </c>
      <c r="AE159">
        <v>-112.35</v>
      </c>
    </row>
    <row r="160" spans="2:31" hidden="1" x14ac:dyDescent="0.25">
      <c r="B160" t="s">
        <v>108</v>
      </c>
      <c r="C160" t="s">
        <v>111</v>
      </c>
      <c r="D160" t="s">
        <v>108</v>
      </c>
      <c r="E160" t="s">
        <v>112</v>
      </c>
      <c r="F160" t="s">
        <v>113</v>
      </c>
      <c r="G160" t="s">
        <v>114</v>
      </c>
      <c r="H160" t="s">
        <v>115</v>
      </c>
      <c r="I160" t="s">
        <v>116</v>
      </c>
      <c r="J160" t="s">
        <v>117</v>
      </c>
      <c r="K160" t="s">
        <v>118</v>
      </c>
      <c r="L160" t="s">
        <v>116</v>
      </c>
      <c r="M160" t="s">
        <v>117</v>
      </c>
      <c r="N160" t="s">
        <v>118</v>
      </c>
      <c r="O160" t="s">
        <v>327</v>
      </c>
      <c r="P160" t="s">
        <v>328</v>
      </c>
      <c r="Q160" t="s">
        <v>329</v>
      </c>
      <c r="R160" t="s">
        <v>205</v>
      </c>
      <c r="S160" t="s">
        <v>575</v>
      </c>
      <c r="T160">
        <v>-242.72</v>
      </c>
      <c r="U160">
        <v>-242.72</v>
      </c>
      <c r="V160">
        <v>-242.72</v>
      </c>
      <c r="W160" t="s">
        <v>576</v>
      </c>
      <c r="X160" s="3">
        <v>46037</v>
      </c>
      <c r="Y160" s="3">
        <v>46037</v>
      </c>
      <c r="Z160" t="s">
        <v>332</v>
      </c>
      <c r="AA160" t="s">
        <v>333</v>
      </c>
      <c r="AB160" t="s">
        <v>45</v>
      </c>
      <c r="AC160" t="s">
        <v>127</v>
      </c>
      <c r="AE160">
        <v>-242.72</v>
      </c>
    </row>
    <row r="161" spans="2:31" x14ac:dyDescent="0.25">
      <c r="B161" t="s">
        <v>108</v>
      </c>
      <c r="C161" t="s">
        <v>111</v>
      </c>
      <c r="D161" t="s">
        <v>108</v>
      </c>
      <c r="E161" t="s">
        <v>112</v>
      </c>
      <c r="F161" t="s">
        <v>311</v>
      </c>
      <c r="G161" t="s">
        <v>312</v>
      </c>
      <c r="H161" t="s">
        <v>313</v>
      </c>
      <c r="I161" t="s">
        <v>311</v>
      </c>
      <c r="J161" t="s">
        <v>312</v>
      </c>
      <c r="K161" t="s">
        <v>313</v>
      </c>
      <c r="L161" t="s">
        <v>311</v>
      </c>
      <c r="M161" t="s">
        <v>312</v>
      </c>
      <c r="N161" t="s">
        <v>313</v>
      </c>
      <c r="O161" t="s">
        <v>390</v>
      </c>
      <c r="P161" t="s">
        <v>391</v>
      </c>
      <c r="Q161" t="s">
        <v>392</v>
      </c>
      <c r="R161" t="s">
        <v>77</v>
      </c>
      <c r="S161" t="s">
        <v>577</v>
      </c>
      <c r="T161">
        <v>-1968.7</v>
      </c>
      <c r="U161">
        <v>-1968.7</v>
      </c>
      <c r="V161">
        <v>-1968.7</v>
      </c>
      <c r="W161" t="s">
        <v>578</v>
      </c>
      <c r="X161" s="3">
        <v>46051</v>
      </c>
      <c r="Y161" s="3">
        <v>46051</v>
      </c>
      <c r="Z161" t="s">
        <v>579</v>
      </c>
      <c r="AA161" t="s">
        <v>580</v>
      </c>
      <c r="AB161" t="s">
        <v>45</v>
      </c>
      <c r="AC161" t="s">
        <v>127</v>
      </c>
      <c r="AE161">
        <v>-1968.7</v>
      </c>
    </row>
    <row r="162" spans="2:31" x14ac:dyDescent="0.25">
      <c r="B162" t="s">
        <v>108</v>
      </c>
      <c r="C162" t="s">
        <v>111</v>
      </c>
      <c r="D162" t="s">
        <v>108</v>
      </c>
      <c r="E162" t="s">
        <v>112</v>
      </c>
      <c r="F162" t="s">
        <v>311</v>
      </c>
      <c r="G162" t="s">
        <v>312</v>
      </c>
      <c r="H162" t="s">
        <v>313</v>
      </c>
      <c r="I162" t="s">
        <v>311</v>
      </c>
      <c r="J162" t="s">
        <v>312</v>
      </c>
      <c r="K162" t="s">
        <v>313</v>
      </c>
      <c r="L162" t="s">
        <v>311</v>
      </c>
      <c r="M162" t="s">
        <v>312</v>
      </c>
      <c r="N162" t="s">
        <v>313</v>
      </c>
      <c r="O162" t="s">
        <v>390</v>
      </c>
      <c r="P162" t="s">
        <v>391</v>
      </c>
      <c r="Q162" t="s">
        <v>392</v>
      </c>
      <c r="R162" t="s">
        <v>77</v>
      </c>
      <c r="S162" t="s">
        <v>581</v>
      </c>
      <c r="T162">
        <v>-129.62</v>
      </c>
      <c r="U162">
        <v>-129.62</v>
      </c>
      <c r="V162">
        <v>-129.62</v>
      </c>
      <c r="W162" t="s">
        <v>582</v>
      </c>
      <c r="X162" s="3">
        <v>46055</v>
      </c>
      <c r="Y162" s="3">
        <v>46055</v>
      </c>
      <c r="Z162" t="s">
        <v>579</v>
      </c>
      <c r="AA162" t="s">
        <v>580</v>
      </c>
      <c r="AB162" t="s">
        <v>45</v>
      </c>
      <c r="AC162" t="s">
        <v>127</v>
      </c>
      <c r="AE162">
        <v>-129.62</v>
      </c>
    </row>
    <row r="163" spans="2:31" x14ac:dyDescent="0.25">
      <c r="B163" t="s">
        <v>108</v>
      </c>
      <c r="C163" t="s">
        <v>111</v>
      </c>
      <c r="D163" t="s">
        <v>108</v>
      </c>
      <c r="E163" t="s">
        <v>112</v>
      </c>
      <c r="F163" t="s">
        <v>169</v>
      </c>
      <c r="G163" t="s">
        <v>170</v>
      </c>
      <c r="H163" t="s">
        <v>171</v>
      </c>
      <c r="I163" t="s">
        <v>169</v>
      </c>
      <c r="J163" t="s">
        <v>170</v>
      </c>
      <c r="K163" t="s">
        <v>171</v>
      </c>
      <c r="L163" t="s">
        <v>169</v>
      </c>
      <c r="M163" t="s">
        <v>170</v>
      </c>
      <c r="N163" t="s">
        <v>171</v>
      </c>
      <c r="O163" t="s">
        <v>248</v>
      </c>
      <c r="P163" t="s">
        <v>249</v>
      </c>
      <c r="Q163" t="s">
        <v>250</v>
      </c>
      <c r="R163" t="s">
        <v>354</v>
      </c>
      <c r="S163" t="s">
        <v>583</v>
      </c>
      <c r="T163">
        <v>-173.38</v>
      </c>
      <c r="U163">
        <v>-173.38</v>
      </c>
      <c r="V163">
        <v>-173.38</v>
      </c>
      <c r="W163" t="s">
        <v>584</v>
      </c>
      <c r="X163" s="3">
        <v>46051</v>
      </c>
      <c r="Y163" s="3">
        <v>46051</v>
      </c>
      <c r="Z163" t="s">
        <v>253</v>
      </c>
      <c r="AA163" t="s">
        <v>254</v>
      </c>
      <c r="AB163" t="s">
        <v>45</v>
      </c>
      <c r="AC163" t="s">
        <v>127</v>
      </c>
      <c r="AE163">
        <v>-173.38</v>
      </c>
    </row>
    <row r="164" spans="2:31" hidden="1" x14ac:dyDescent="0.25">
      <c r="B164" t="s">
        <v>108</v>
      </c>
      <c r="C164" t="s">
        <v>111</v>
      </c>
      <c r="D164" t="s">
        <v>108</v>
      </c>
      <c r="E164" t="s">
        <v>112</v>
      </c>
      <c r="F164" t="s">
        <v>113</v>
      </c>
      <c r="G164" t="s">
        <v>114</v>
      </c>
      <c r="H164" t="s">
        <v>115</v>
      </c>
      <c r="I164" t="s">
        <v>116</v>
      </c>
      <c r="J164" t="s">
        <v>117</v>
      </c>
      <c r="K164" t="s">
        <v>118</v>
      </c>
      <c r="L164" t="s">
        <v>116</v>
      </c>
      <c r="M164" t="s">
        <v>117</v>
      </c>
      <c r="N164" t="s">
        <v>118</v>
      </c>
      <c r="O164" t="s">
        <v>241</v>
      </c>
      <c r="P164" t="s">
        <v>242</v>
      </c>
      <c r="Q164" t="s">
        <v>243</v>
      </c>
      <c r="R164" t="s">
        <v>205</v>
      </c>
      <c r="S164" t="s">
        <v>585</v>
      </c>
      <c r="T164">
        <v>-350000</v>
      </c>
      <c r="U164">
        <v>-350000</v>
      </c>
      <c r="V164">
        <v>-350000</v>
      </c>
      <c r="W164" t="s">
        <v>586</v>
      </c>
      <c r="X164" s="3">
        <v>46048</v>
      </c>
      <c r="Y164" s="3">
        <v>46048</v>
      </c>
      <c r="Z164" t="s">
        <v>246</v>
      </c>
      <c r="AA164" t="s">
        <v>247</v>
      </c>
      <c r="AB164" t="s">
        <v>45</v>
      </c>
      <c r="AC164" t="s">
        <v>127</v>
      </c>
      <c r="AE164">
        <v>-350000</v>
      </c>
    </row>
    <row r="165" spans="2:31" hidden="1" x14ac:dyDescent="0.25">
      <c r="B165" t="s">
        <v>108</v>
      </c>
      <c r="C165" t="s">
        <v>111</v>
      </c>
      <c r="D165" t="s">
        <v>108</v>
      </c>
      <c r="E165" t="s">
        <v>112</v>
      </c>
      <c r="F165" t="s">
        <v>113</v>
      </c>
      <c r="G165" t="s">
        <v>114</v>
      </c>
      <c r="H165" t="s">
        <v>115</v>
      </c>
      <c r="I165" t="s">
        <v>116</v>
      </c>
      <c r="J165" t="s">
        <v>117</v>
      </c>
      <c r="K165" t="s">
        <v>118</v>
      </c>
      <c r="L165" t="s">
        <v>116</v>
      </c>
      <c r="M165" t="s">
        <v>117</v>
      </c>
      <c r="N165" t="s">
        <v>118</v>
      </c>
      <c r="O165" t="s">
        <v>241</v>
      </c>
      <c r="P165" t="s">
        <v>242</v>
      </c>
      <c r="Q165" t="s">
        <v>243</v>
      </c>
      <c r="R165" t="s">
        <v>205</v>
      </c>
      <c r="S165" t="s">
        <v>585</v>
      </c>
      <c r="T165">
        <v>-350000</v>
      </c>
      <c r="U165">
        <v>-350000</v>
      </c>
      <c r="V165">
        <v>-350000</v>
      </c>
      <c r="W165" t="s">
        <v>586</v>
      </c>
      <c r="X165" s="3">
        <v>46048</v>
      </c>
      <c r="Y165" s="3">
        <v>46048</v>
      </c>
      <c r="Z165" t="s">
        <v>246</v>
      </c>
      <c r="AA165" t="s">
        <v>247</v>
      </c>
      <c r="AB165" t="s">
        <v>45</v>
      </c>
      <c r="AC165" t="s">
        <v>127</v>
      </c>
      <c r="AE165">
        <v>-350000</v>
      </c>
    </row>
    <row r="166" spans="2:31" hidden="1" x14ac:dyDescent="0.25">
      <c r="B166" t="s">
        <v>108</v>
      </c>
      <c r="C166" t="s">
        <v>111</v>
      </c>
      <c r="D166" t="s">
        <v>108</v>
      </c>
      <c r="E166" t="s">
        <v>112</v>
      </c>
      <c r="F166" t="s">
        <v>113</v>
      </c>
      <c r="G166" t="s">
        <v>114</v>
      </c>
      <c r="H166" t="s">
        <v>115</v>
      </c>
      <c r="I166" t="s">
        <v>116</v>
      </c>
      <c r="J166" t="s">
        <v>117</v>
      </c>
      <c r="K166" t="s">
        <v>118</v>
      </c>
      <c r="L166" t="s">
        <v>116</v>
      </c>
      <c r="M166" t="s">
        <v>117</v>
      </c>
      <c r="N166" t="s">
        <v>118</v>
      </c>
      <c r="O166" t="s">
        <v>241</v>
      </c>
      <c r="P166" t="s">
        <v>242</v>
      </c>
      <c r="Q166" t="s">
        <v>243</v>
      </c>
      <c r="R166" t="s">
        <v>205</v>
      </c>
      <c r="S166" t="s">
        <v>587</v>
      </c>
      <c r="T166">
        <v>-760000</v>
      </c>
      <c r="U166">
        <v>-760000</v>
      </c>
      <c r="V166">
        <v>-760000</v>
      </c>
      <c r="W166" t="s">
        <v>588</v>
      </c>
      <c r="X166" s="3">
        <v>46048</v>
      </c>
      <c r="Y166" s="3">
        <v>46048</v>
      </c>
      <c r="Z166" t="s">
        <v>246</v>
      </c>
      <c r="AA166" t="s">
        <v>247</v>
      </c>
      <c r="AB166" t="s">
        <v>45</v>
      </c>
      <c r="AC166" t="s">
        <v>127</v>
      </c>
      <c r="AE166">
        <v>-760000</v>
      </c>
    </row>
    <row r="167" spans="2:31" x14ac:dyDescent="0.25">
      <c r="B167" t="s">
        <v>108</v>
      </c>
      <c r="C167" t="s">
        <v>111</v>
      </c>
      <c r="D167" t="s">
        <v>108</v>
      </c>
      <c r="E167" t="s">
        <v>112</v>
      </c>
      <c r="F167" t="s">
        <v>271</v>
      </c>
      <c r="G167" t="s">
        <v>272</v>
      </c>
      <c r="H167" t="s">
        <v>273</v>
      </c>
      <c r="I167" t="s">
        <v>271</v>
      </c>
      <c r="J167" t="s">
        <v>272</v>
      </c>
      <c r="K167" t="s">
        <v>273</v>
      </c>
      <c r="L167" t="s">
        <v>271</v>
      </c>
      <c r="M167" t="s">
        <v>272</v>
      </c>
      <c r="N167" t="s">
        <v>273</v>
      </c>
      <c r="O167" t="s">
        <v>136</v>
      </c>
      <c r="P167" t="s">
        <v>137</v>
      </c>
      <c r="Q167" t="s">
        <v>138</v>
      </c>
      <c r="R167" t="s">
        <v>64</v>
      </c>
      <c r="S167" t="s">
        <v>589</v>
      </c>
      <c r="T167">
        <v>-5359.59</v>
      </c>
      <c r="U167">
        <v>-5359.59</v>
      </c>
      <c r="V167">
        <v>-5359.59</v>
      </c>
      <c r="W167" t="s">
        <v>590</v>
      </c>
      <c r="X167" s="3">
        <v>46038</v>
      </c>
      <c r="Y167" s="3">
        <v>46038</v>
      </c>
      <c r="Z167" t="s">
        <v>591</v>
      </c>
      <c r="AA167" t="s">
        <v>592</v>
      </c>
      <c r="AB167" t="s">
        <v>45</v>
      </c>
      <c r="AC167" t="s">
        <v>127</v>
      </c>
      <c r="AE167">
        <v>-5359.59</v>
      </c>
    </row>
    <row r="168" spans="2:31" x14ac:dyDescent="0.25">
      <c r="B168" t="s">
        <v>108</v>
      </c>
      <c r="C168" t="s">
        <v>111</v>
      </c>
      <c r="D168" t="s">
        <v>108</v>
      </c>
      <c r="E168" t="s">
        <v>112</v>
      </c>
      <c r="F168" t="s">
        <v>169</v>
      </c>
      <c r="G168" t="s">
        <v>170</v>
      </c>
      <c r="H168" t="s">
        <v>171</v>
      </c>
      <c r="I168" t="s">
        <v>169</v>
      </c>
      <c r="J168" t="s">
        <v>170</v>
      </c>
      <c r="K168" t="s">
        <v>171</v>
      </c>
      <c r="L168" t="s">
        <v>169</v>
      </c>
      <c r="M168" t="s">
        <v>170</v>
      </c>
      <c r="N168" t="s">
        <v>171</v>
      </c>
      <c r="O168" t="s">
        <v>136</v>
      </c>
      <c r="P168" t="s">
        <v>137</v>
      </c>
      <c r="Q168" t="s">
        <v>138</v>
      </c>
      <c r="R168" t="s">
        <v>64</v>
      </c>
      <c r="S168" t="s">
        <v>593</v>
      </c>
      <c r="T168">
        <v>-4596.8100000000004</v>
      </c>
      <c r="U168">
        <v>-4596.8100000000004</v>
      </c>
      <c r="V168">
        <v>-4596.8100000000004</v>
      </c>
      <c r="W168" t="s">
        <v>594</v>
      </c>
      <c r="X168" s="3">
        <v>46048</v>
      </c>
      <c r="Y168" s="3">
        <v>46048</v>
      </c>
      <c r="Z168" t="s">
        <v>595</v>
      </c>
      <c r="AA168" t="s">
        <v>596</v>
      </c>
      <c r="AB168" t="s">
        <v>45</v>
      </c>
      <c r="AC168" t="s">
        <v>127</v>
      </c>
      <c r="AE168">
        <v>-4596.8100000000004</v>
      </c>
    </row>
    <row r="169" spans="2:31" x14ac:dyDescent="0.25">
      <c r="B169" t="s">
        <v>108</v>
      </c>
      <c r="C169" t="s">
        <v>111</v>
      </c>
      <c r="D169" t="s">
        <v>108</v>
      </c>
      <c r="E169" t="s">
        <v>112</v>
      </c>
      <c r="F169" t="s">
        <v>452</v>
      </c>
      <c r="G169" t="s">
        <v>453</v>
      </c>
      <c r="H169" t="s">
        <v>454</v>
      </c>
      <c r="I169" t="s">
        <v>452</v>
      </c>
      <c r="J169" t="s">
        <v>453</v>
      </c>
      <c r="K169" t="s">
        <v>454</v>
      </c>
      <c r="L169" t="s">
        <v>452</v>
      </c>
      <c r="M169" t="s">
        <v>453</v>
      </c>
      <c r="N169" t="s">
        <v>454</v>
      </c>
      <c r="O169" t="s">
        <v>136</v>
      </c>
      <c r="P169" t="s">
        <v>137</v>
      </c>
      <c r="Q169" t="s">
        <v>138</v>
      </c>
      <c r="R169" t="s">
        <v>64</v>
      </c>
      <c r="S169" t="s">
        <v>597</v>
      </c>
      <c r="T169">
        <v>-2640</v>
      </c>
      <c r="U169">
        <v>-2640</v>
      </c>
      <c r="V169">
        <v>-2640</v>
      </c>
      <c r="W169" t="s">
        <v>598</v>
      </c>
      <c r="X169" s="3">
        <v>46051</v>
      </c>
      <c r="Y169" s="3">
        <v>46051</v>
      </c>
      <c r="Z169" t="s">
        <v>504</v>
      </c>
      <c r="AA169" t="s">
        <v>505</v>
      </c>
      <c r="AB169" t="s">
        <v>45</v>
      </c>
      <c r="AC169" t="s">
        <v>127</v>
      </c>
      <c r="AE169">
        <v>-2640</v>
      </c>
    </row>
    <row r="170" spans="2:31" x14ac:dyDescent="0.25">
      <c r="B170" t="s">
        <v>108</v>
      </c>
      <c r="C170" t="s">
        <v>111</v>
      </c>
      <c r="D170" t="s">
        <v>108</v>
      </c>
      <c r="E170" t="s">
        <v>112</v>
      </c>
      <c r="F170" t="s">
        <v>133</v>
      </c>
      <c r="G170" t="s">
        <v>134</v>
      </c>
      <c r="H170" t="s">
        <v>135</v>
      </c>
      <c r="I170" t="s">
        <v>133</v>
      </c>
      <c r="J170" t="s">
        <v>134</v>
      </c>
      <c r="K170" t="s">
        <v>135</v>
      </c>
      <c r="L170" t="s">
        <v>133</v>
      </c>
      <c r="M170" t="s">
        <v>134</v>
      </c>
      <c r="N170" t="s">
        <v>135</v>
      </c>
      <c r="O170" t="s">
        <v>136</v>
      </c>
      <c r="P170" t="s">
        <v>137</v>
      </c>
      <c r="Q170" t="s">
        <v>138</v>
      </c>
      <c r="R170" t="s">
        <v>64</v>
      </c>
      <c r="S170" t="s">
        <v>599</v>
      </c>
      <c r="T170">
        <v>-10000</v>
      </c>
      <c r="U170">
        <v>-10000</v>
      </c>
      <c r="V170">
        <v>-10000</v>
      </c>
      <c r="W170" t="s">
        <v>279</v>
      </c>
      <c r="X170" s="3">
        <v>46057</v>
      </c>
      <c r="Y170" s="3">
        <v>46057</v>
      </c>
      <c r="Z170" t="s">
        <v>141</v>
      </c>
      <c r="AA170" t="s">
        <v>142</v>
      </c>
      <c r="AB170" t="s">
        <v>45</v>
      </c>
      <c r="AC170" t="s">
        <v>127</v>
      </c>
      <c r="AE170">
        <v>-10000</v>
      </c>
    </row>
    <row r="171" spans="2:31" x14ac:dyDescent="0.25">
      <c r="B171" t="s">
        <v>108</v>
      </c>
      <c r="C171" t="s">
        <v>111</v>
      </c>
      <c r="D171" t="s">
        <v>108</v>
      </c>
      <c r="E171" t="s">
        <v>112</v>
      </c>
      <c r="F171" t="s">
        <v>311</v>
      </c>
      <c r="G171" t="s">
        <v>312</v>
      </c>
      <c r="H171" t="s">
        <v>313</v>
      </c>
      <c r="I171" t="s">
        <v>311</v>
      </c>
      <c r="J171" t="s">
        <v>312</v>
      </c>
      <c r="K171" t="s">
        <v>313</v>
      </c>
      <c r="L171" t="s">
        <v>311</v>
      </c>
      <c r="M171" t="s">
        <v>312</v>
      </c>
      <c r="N171" t="s">
        <v>313</v>
      </c>
      <c r="O171" t="s">
        <v>136</v>
      </c>
      <c r="P171" t="s">
        <v>137</v>
      </c>
      <c r="Q171" t="s">
        <v>138</v>
      </c>
      <c r="R171" t="s">
        <v>64</v>
      </c>
      <c r="S171" t="s">
        <v>600</v>
      </c>
      <c r="T171">
        <v>-12197.33</v>
      </c>
      <c r="U171">
        <v>-12197.33</v>
      </c>
      <c r="V171">
        <v>-12197.33</v>
      </c>
      <c r="W171" t="s">
        <v>601</v>
      </c>
      <c r="X171" s="3">
        <v>46058</v>
      </c>
      <c r="Y171" s="3">
        <v>46058</v>
      </c>
      <c r="Z171" t="s">
        <v>602</v>
      </c>
      <c r="AA171" t="s">
        <v>603</v>
      </c>
      <c r="AB171" t="s">
        <v>45</v>
      </c>
      <c r="AC171" t="s">
        <v>127</v>
      </c>
      <c r="AE171">
        <v>-12197.33</v>
      </c>
    </row>
    <row r="172" spans="2:31" x14ac:dyDescent="0.25">
      <c r="B172" t="s">
        <v>108</v>
      </c>
      <c r="C172" t="s">
        <v>111</v>
      </c>
      <c r="D172" t="s">
        <v>108</v>
      </c>
      <c r="E172" t="s">
        <v>112</v>
      </c>
      <c r="F172" t="s">
        <v>229</v>
      </c>
      <c r="G172" t="s">
        <v>230</v>
      </c>
      <c r="H172" t="s">
        <v>231</v>
      </c>
      <c r="I172" t="s">
        <v>229</v>
      </c>
      <c r="J172" t="s">
        <v>230</v>
      </c>
      <c r="K172" t="s">
        <v>231</v>
      </c>
      <c r="L172" t="s">
        <v>229</v>
      </c>
      <c r="M172" t="s">
        <v>230</v>
      </c>
      <c r="N172" t="s">
        <v>231</v>
      </c>
      <c r="O172" t="s">
        <v>136</v>
      </c>
      <c r="P172" t="s">
        <v>137</v>
      </c>
      <c r="Q172" t="s">
        <v>138</v>
      </c>
      <c r="R172" t="s">
        <v>269</v>
      </c>
      <c r="S172" t="s">
        <v>604</v>
      </c>
      <c r="T172">
        <v>-6500</v>
      </c>
      <c r="U172">
        <v>-6500</v>
      </c>
      <c r="V172">
        <v>-6500</v>
      </c>
      <c r="W172" t="s">
        <v>605</v>
      </c>
      <c r="X172" s="3">
        <v>46051</v>
      </c>
      <c r="Y172" s="3">
        <v>46051</v>
      </c>
      <c r="Z172" t="s">
        <v>513</v>
      </c>
      <c r="AA172" t="s">
        <v>514</v>
      </c>
      <c r="AB172" t="s">
        <v>45</v>
      </c>
      <c r="AC172" t="s">
        <v>127</v>
      </c>
      <c r="AE172">
        <v>-6500</v>
      </c>
    </row>
    <row r="173" spans="2:31" x14ac:dyDescent="0.25">
      <c r="B173" t="s">
        <v>108</v>
      </c>
      <c r="C173" t="s">
        <v>111</v>
      </c>
      <c r="D173" t="s">
        <v>108</v>
      </c>
      <c r="E173" t="s">
        <v>112</v>
      </c>
      <c r="F173" t="s">
        <v>113</v>
      </c>
      <c r="G173" t="s">
        <v>114</v>
      </c>
      <c r="H173" t="s">
        <v>115</v>
      </c>
      <c r="I173" t="s">
        <v>116</v>
      </c>
      <c r="J173" t="s">
        <v>117</v>
      </c>
      <c r="K173" t="s">
        <v>118</v>
      </c>
      <c r="L173" t="s">
        <v>116</v>
      </c>
      <c r="M173" t="s">
        <v>117</v>
      </c>
      <c r="N173" t="s">
        <v>118</v>
      </c>
      <c r="O173" t="s">
        <v>191</v>
      </c>
      <c r="P173" t="s">
        <v>192</v>
      </c>
      <c r="Q173" t="s">
        <v>193</v>
      </c>
      <c r="R173" t="s">
        <v>70</v>
      </c>
      <c r="S173" t="s">
        <v>606</v>
      </c>
      <c r="T173">
        <v>-1442.69</v>
      </c>
      <c r="U173">
        <v>-1442.69</v>
      </c>
      <c r="V173">
        <v>-1442.69</v>
      </c>
      <c r="W173" t="s">
        <v>607</v>
      </c>
      <c r="X173" s="3">
        <v>46059</v>
      </c>
      <c r="Y173" s="3">
        <v>46059</v>
      </c>
      <c r="Z173" t="s">
        <v>125</v>
      </c>
      <c r="AA173" t="s">
        <v>126</v>
      </c>
      <c r="AB173" t="s">
        <v>45</v>
      </c>
      <c r="AC173" t="s">
        <v>127</v>
      </c>
      <c r="AE173">
        <v>-1442.69</v>
      </c>
    </row>
    <row r="174" spans="2:31" x14ac:dyDescent="0.25">
      <c r="B174" t="s">
        <v>108</v>
      </c>
      <c r="C174" t="s">
        <v>111</v>
      </c>
      <c r="D174" t="s">
        <v>108</v>
      </c>
      <c r="E174" t="s">
        <v>112</v>
      </c>
      <c r="F174" t="s">
        <v>229</v>
      </c>
      <c r="G174" t="s">
        <v>230</v>
      </c>
      <c r="H174" t="s">
        <v>231</v>
      </c>
      <c r="I174" t="s">
        <v>229</v>
      </c>
      <c r="J174" t="s">
        <v>230</v>
      </c>
      <c r="K174" t="s">
        <v>231</v>
      </c>
      <c r="L174" t="s">
        <v>229</v>
      </c>
      <c r="M174" t="s">
        <v>230</v>
      </c>
      <c r="N174" t="s">
        <v>231</v>
      </c>
      <c r="O174" t="s">
        <v>280</v>
      </c>
      <c r="P174" t="s">
        <v>281</v>
      </c>
      <c r="Q174" t="s">
        <v>282</v>
      </c>
      <c r="R174" t="s">
        <v>269</v>
      </c>
      <c r="S174" t="s">
        <v>608</v>
      </c>
      <c r="T174">
        <v>-866.67</v>
      </c>
      <c r="U174">
        <v>-866.67</v>
      </c>
      <c r="V174">
        <v>-866.67</v>
      </c>
      <c r="W174" t="s">
        <v>609</v>
      </c>
      <c r="X174" s="3">
        <v>46053</v>
      </c>
      <c r="Y174" s="3">
        <v>46053</v>
      </c>
      <c r="Z174" t="s">
        <v>610</v>
      </c>
      <c r="AA174" t="s">
        <v>611</v>
      </c>
      <c r="AB174" t="s">
        <v>45</v>
      </c>
      <c r="AC174" t="s">
        <v>127</v>
      </c>
      <c r="AE174">
        <v>-866.67</v>
      </c>
    </row>
    <row r="175" spans="2:31" x14ac:dyDescent="0.25">
      <c r="B175" t="s">
        <v>108</v>
      </c>
      <c r="C175" t="s">
        <v>111</v>
      </c>
      <c r="D175" t="s">
        <v>108</v>
      </c>
      <c r="E175" t="s">
        <v>112</v>
      </c>
      <c r="F175" t="s">
        <v>229</v>
      </c>
      <c r="G175" t="s">
        <v>230</v>
      </c>
      <c r="H175" t="s">
        <v>231</v>
      </c>
      <c r="I175" t="s">
        <v>229</v>
      </c>
      <c r="J175" t="s">
        <v>230</v>
      </c>
      <c r="K175" t="s">
        <v>231</v>
      </c>
      <c r="L175" t="s">
        <v>229</v>
      </c>
      <c r="M175" t="s">
        <v>230</v>
      </c>
      <c r="N175" t="s">
        <v>231</v>
      </c>
      <c r="O175" t="s">
        <v>280</v>
      </c>
      <c r="P175" t="s">
        <v>281</v>
      </c>
      <c r="Q175" t="s">
        <v>282</v>
      </c>
      <c r="R175" t="s">
        <v>269</v>
      </c>
      <c r="S175" t="s">
        <v>612</v>
      </c>
      <c r="T175">
        <v>-1000</v>
      </c>
      <c r="U175">
        <v>-1000</v>
      </c>
      <c r="V175">
        <v>-1000</v>
      </c>
      <c r="W175" t="s">
        <v>613</v>
      </c>
      <c r="X175" s="3">
        <v>46053</v>
      </c>
      <c r="Y175" s="3">
        <v>46053</v>
      </c>
      <c r="Z175" t="s">
        <v>614</v>
      </c>
      <c r="AA175" t="s">
        <v>615</v>
      </c>
      <c r="AB175" t="s">
        <v>45</v>
      </c>
      <c r="AC175" t="s">
        <v>127</v>
      </c>
      <c r="AE175">
        <v>-1000</v>
      </c>
    </row>
    <row r="176" spans="2:31" x14ac:dyDescent="0.25">
      <c r="B176" t="s">
        <v>108</v>
      </c>
      <c r="C176" t="s">
        <v>111</v>
      </c>
      <c r="D176" t="s">
        <v>108</v>
      </c>
      <c r="E176" t="s">
        <v>112</v>
      </c>
      <c r="F176" t="s">
        <v>452</v>
      </c>
      <c r="G176" t="s">
        <v>453</v>
      </c>
      <c r="H176" t="s">
        <v>454</v>
      </c>
      <c r="I176" t="s">
        <v>452</v>
      </c>
      <c r="J176" t="s">
        <v>453</v>
      </c>
      <c r="K176" t="s">
        <v>454</v>
      </c>
      <c r="L176" t="s">
        <v>452</v>
      </c>
      <c r="M176" t="s">
        <v>453</v>
      </c>
      <c r="N176" t="s">
        <v>454</v>
      </c>
      <c r="O176" t="s">
        <v>280</v>
      </c>
      <c r="P176" t="s">
        <v>281</v>
      </c>
      <c r="Q176" t="s">
        <v>282</v>
      </c>
      <c r="R176" t="s">
        <v>269</v>
      </c>
      <c r="S176" t="s">
        <v>616</v>
      </c>
      <c r="T176">
        <v>-866.67</v>
      </c>
      <c r="U176">
        <v>-866.67</v>
      </c>
      <c r="V176">
        <v>-866.67</v>
      </c>
      <c r="W176" t="s">
        <v>617</v>
      </c>
      <c r="X176" s="3">
        <v>46053</v>
      </c>
      <c r="Y176" s="3">
        <v>46053</v>
      </c>
      <c r="Z176" t="s">
        <v>457</v>
      </c>
      <c r="AA176" t="s">
        <v>458</v>
      </c>
      <c r="AB176" t="s">
        <v>45</v>
      </c>
      <c r="AC176" t="s">
        <v>127</v>
      </c>
      <c r="AE176">
        <v>-866.67</v>
      </c>
    </row>
    <row r="177" spans="2:31" x14ac:dyDescent="0.25">
      <c r="B177" t="s">
        <v>108</v>
      </c>
      <c r="C177" t="s">
        <v>111</v>
      </c>
      <c r="D177" t="s">
        <v>108</v>
      </c>
      <c r="E177" t="s">
        <v>112</v>
      </c>
      <c r="F177" t="s">
        <v>271</v>
      </c>
      <c r="G177" t="s">
        <v>272</v>
      </c>
      <c r="H177" t="s">
        <v>273</v>
      </c>
      <c r="I177" t="s">
        <v>271</v>
      </c>
      <c r="J177" t="s">
        <v>272</v>
      </c>
      <c r="K177" t="s">
        <v>273</v>
      </c>
      <c r="L177" t="s">
        <v>271</v>
      </c>
      <c r="M177" t="s">
        <v>272</v>
      </c>
      <c r="N177" t="s">
        <v>273</v>
      </c>
      <c r="O177" t="s">
        <v>618</v>
      </c>
      <c r="P177" t="s">
        <v>619</v>
      </c>
      <c r="Q177" t="s">
        <v>620</v>
      </c>
      <c r="R177" t="s">
        <v>70</v>
      </c>
      <c r="S177" t="s">
        <v>621</v>
      </c>
      <c r="T177">
        <v>-20000</v>
      </c>
      <c r="U177">
        <v>-20000</v>
      </c>
      <c r="V177">
        <v>-20000</v>
      </c>
      <c r="W177" t="s">
        <v>622</v>
      </c>
      <c r="X177" s="3">
        <v>46046</v>
      </c>
      <c r="Y177" s="3">
        <v>46046</v>
      </c>
      <c r="Z177" t="s">
        <v>623</v>
      </c>
      <c r="AA177" t="s">
        <v>624</v>
      </c>
      <c r="AB177" t="s">
        <v>45</v>
      </c>
      <c r="AC177" t="s">
        <v>127</v>
      </c>
      <c r="AE177">
        <v>-20000</v>
      </c>
    </row>
    <row r="178" spans="2:31" x14ac:dyDescent="0.25">
      <c r="B178" t="s">
        <v>108</v>
      </c>
      <c r="C178" t="s">
        <v>111</v>
      </c>
      <c r="D178" t="s">
        <v>108</v>
      </c>
      <c r="E178" t="s">
        <v>112</v>
      </c>
      <c r="F178" t="s">
        <v>113</v>
      </c>
      <c r="G178" t="s">
        <v>114</v>
      </c>
      <c r="H178" t="s">
        <v>115</v>
      </c>
      <c r="I178" t="s">
        <v>116</v>
      </c>
      <c r="J178" t="s">
        <v>117</v>
      </c>
      <c r="K178" t="s">
        <v>118</v>
      </c>
      <c r="L178" t="s">
        <v>116</v>
      </c>
      <c r="M178" t="s">
        <v>117</v>
      </c>
      <c r="N178" t="s">
        <v>118</v>
      </c>
      <c r="O178" t="s">
        <v>625</v>
      </c>
      <c r="P178" t="s">
        <v>626</v>
      </c>
      <c r="Q178" t="s">
        <v>627</v>
      </c>
      <c r="R178" t="s">
        <v>122</v>
      </c>
      <c r="S178" t="s">
        <v>628</v>
      </c>
      <c r="T178">
        <v>-80.52</v>
      </c>
      <c r="U178">
        <v>-80.52</v>
      </c>
      <c r="V178">
        <v>-80.52</v>
      </c>
      <c r="W178" t="s">
        <v>629</v>
      </c>
      <c r="X178" s="3">
        <v>46055</v>
      </c>
      <c r="Y178" s="3">
        <v>46055</v>
      </c>
      <c r="Z178" t="s">
        <v>630</v>
      </c>
      <c r="AA178" t="s">
        <v>631</v>
      </c>
      <c r="AB178" t="s">
        <v>45</v>
      </c>
      <c r="AC178" t="s">
        <v>127</v>
      </c>
      <c r="AE178">
        <v>-80.52</v>
      </c>
    </row>
    <row r="179" spans="2:31" x14ac:dyDescent="0.25">
      <c r="B179" t="s">
        <v>108</v>
      </c>
      <c r="C179" t="s">
        <v>111</v>
      </c>
      <c r="D179" t="s">
        <v>108</v>
      </c>
      <c r="E179" t="s">
        <v>112</v>
      </c>
      <c r="F179" t="s">
        <v>632</v>
      </c>
      <c r="G179" t="s">
        <v>633</v>
      </c>
      <c r="H179" t="s">
        <v>634</v>
      </c>
      <c r="I179" t="s">
        <v>632</v>
      </c>
      <c r="J179" t="s">
        <v>633</v>
      </c>
      <c r="K179" t="s">
        <v>634</v>
      </c>
      <c r="L179" t="s">
        <v>632</v>
      </c>
      <c r="M179" t="s">
        <v>633</v>
      </c>
      <c r="N179" t="s">
        <v>634</v>
      </c>
      <c r="O179" t="s">
        <v>635</v>
      </c>
      <c r="P179" t="s">
        <v>636</v>
      </c>
      <c r="Q179" t="s">
        <v>637</v>
      </c>
      <c r="R179" t="s">
        <v>70</v>
      </c>
      <c r="S179" t="s">
        <v>638</v>
      </c>
      <c r="T179">
        <v>-309.82</v>
      </c>
      <c r="U179">
        <v>-309.82</v>
      </c>
      <c r="V179">
        <v>-309.82</v>
      </c>
      <c r="W179" t="s">
        <v>639</v>
      </c>
      <c r="X179" s="3">
        <v>46050</v>
      </c>
      <c r="Y179" s="3">
        <v>46050</v>
      </c>
      <c r="Z179" t="s">
        <v>395</v>
      </c>
      <c r="AA179" t="s">
        <v>396</v>
      </c>
      <c r="AB179" t="s">
        <v>45</v>
      </c>
      <c r="AC179" t="s">
        <v>127</v>
      </c>
      <c r="AE179">
        <v>-309.82</v>
      </c>
    </row>
    <row r="180" spans="2:31" x14ac:dyDescent="0.25">
      <c r="B180" t="s">
        <v>108</v>
      </c>
      <c r="C180" t="s">
        <v>111</v>
      </c>
      <c r="D180" t="s">
        <v>108</v>
      </c>
      <c r="E180" t="s">
        <v>112</v>
      </c>
      <c r="F180" t="s">
        <v>632</v>
      </c>
      <c r="G180" t="s">
        <v>633</v>
      </c>
      <c r="H180" t="s">
        <v>634</v>
      </c>
      <c r="I180" t="s">
        <v>632</v>
      </c>
      <c r="J180" t="s">
        <v>633</v>
      </c>
      <c r="K180" t="s">
        <v>634</v>
      </c>
      <c r="L180" t="s">
        <v>632</v>
      </c>
      <c r="M180" t="s">
        <v>633</v>
      </c>
      <c r="N180" t="s">
        <v>634</v>
      </c>
      <c r="O180" t="s">
        <v>424</v>
      </c>
      <c r="P180" t="s">
        <v>425</v>
      </c>
      <c r="Q180" t="s">
        <v>426</v>
      </c>
      <c r="R180" t="s">
        <v>70</v>
      </c>
      <c r="S180" t="s">
        <v>638</v>
      </c>
      <c r="T180">
        <v>-670.24</v>
      </c>
      <c r="U180">
        <v>-670.24</v>
      </c>
      <c r="V180">
        <v>-670.24</v>
      </c>
      <c r="W180" t="s">
        <v>639</v>
      </c>
      <c r="X180" s="3">
        <v>46050</v>
      </c>
      <c r="Y180" s="3">
        <v>46050</v>
      </c>
      <c r="Z180" t="s">
        <v>395</v>
      </c>
      <c r="AA180" t="s">
        <v>396</v>
      </c>
      <c r="AB180" t="s">
        <v>45</v>
      </c>
      <c r="AC180" t="s">
        <v>127</v>
      </c>
      <c r="AE180">
        <v>-670.24</v>
      </c>
    </row>
    <row r="181" spans="2:31" x14ac:dyDescent="0.25">
      <c r="B181" t="s">
        <v>108</v>
      </c>
      <c r="C181" t="s">
        <v>111</v>
      </c>
      <c r="D181" t="s">
        <v>108</v>
      </c>
      <c r="E181" t="s">
        <v>112</v>
      </c>
      <c r="F181" t="s">
        <v>632</v>
      </c>
      <c r="G181" t="s">
        <v>633</v>
      </c>
      <c r="H181" t="s">
        <v>634</v>
      </c>
      <c r="I181" t="s">
        <v>632</v>
      </c>
      <c r="J181" t="s">
        <v>633</v>
      </c>
      <c r="K181" t="s">
        <v>634</v>
      </c>
      <c r="L181" t="s">
        <v>632</v>
      </c>
      <c r="M181" t="s">
        <v>633</v>
      </c>
      <c r="N181" t="s">
        <v>634</v>
      </c>
      <c r="O181" t="s">
        <v>640</v>
      </c>
      <c r="P181" t="s">
        <v>641</v>
      </c>
      <c r="Q181" t="s">
        <v>642</v>
      </c>
      <c r="R181" t="s">
        <v>70</v>
      </c>
      <c r="S181" t="s">
        <v>638</v>
      </c>
      <c r="T181">
        <v>-345.75</v>
      </c>
      <c r="U181">
        <v>-345.75</v>
      </c>
      <c r="V181">
        <v>-345.75</v>
      </c>
      <c r="W181" t="s">
        <v>639</v>
      </c>
      <c r="X181" s="3">
        <v>46050</v>
      </c>
      <c r="Y181" s="3">
        <v>46050</v>
      </c>
      <c r="Z181" t="s">
        <v>395</v>
      </c>
      <c r="AA181" t="s">
        <v>396</v>
      </c>
      <c r="AB181" t="s">
        <v>45</v>
      </c>
      <c r="AC181" t="s">
        <v>127</v>
      </c>
      <c r="AE181">
        <v>-345.75</v>
      </c>
    </row>
    <row r="182" spans="2:31" x14ac:dyDescent="0.25">
      <c r="B182" t="s">
        <v>108</v>
      </c>
      <c r="C182" t="s">
        <v>111</v>
      </c>
      <c r="D182" t="s">
        <v>108</v>
      </c>
      <c r="E182" t="s">
        <v>112</v>
      </c>
      <c r="F182" t="s">
        <v>133</v>
      </c>
      <c r="G182" t="s">
        <v>134</v>
      </c>
      <c r="H182" t="s">
        <v>135</v>
      </c>
      <c r="I182" t="s">
        <v>133</v>
      </c>
      <c r="J182" t="s">
        <v>134</v>
      </c>
      <c r="K182" t="s">
        <v>135</v>
      </c>
      <c r="L182" t="s">
        <v>133</v>
      </c>
      <c r="M182" t="s">
        <v>134</v>
      </c>
      <c r="N182" t="s">
        <v>135</v>
      </c>
      <c r="O182" t="s">
        <v>643</v>
      </c>
      <c r="P182" t="s">
        <v>644</v>
      </c>
      <c r="Q182" t="s">
        <v>645</v>
      </c>
      <c r="R182" t="s">
        <v>64</v>
      </c>
      <c r="S182" t="s">
        <v>646</v>
      </c>
      <c r="T182">
        <v>-428</v>
      </c>
      <c r="U182">
        <v>-428</v>
      </c>
      <c r="V182">
        <v>-428</v>
      </c>
      <c r="W182" t="s">
        <v>647</v>
      </c>
      <c r="X182" s="3">
        <v>46050</v>
      </c>
      <c r="Y182" s="3">
        <v>46050</v>
      </c>
      <c r="Z182" t="s">
        <v>648</v>
      </c>
      <c r="AA182" t="s">
        <v>649</v>
      </c>
      <c r="AB182" t="s">
        <v>45</v>
      </c>
      <c r="AC182" t="s">
        <v>127</v>
      </c>
      <c r="AE182">
        <v>-428</v>
      </c>
    </row>
    <row r="183" spans="2:31" x14ac:dyDescent="0.25">
      <c r="B183" t="s">
        <v>108</v>
      </c>
      <c r="C183" t="s">
        <v>111</v>
      </c>
      <c r="D183" t="s">
        <v>108</v>
      </c>
      <c r="E183" t="s">
        <v>112</v>
      </c>
      <c r="F183" t="s">
        <v>311</v>
      </c>
      <c r="G183" t="s">
        <v>312</v>
      </c>
      <c r="H183" t="s">
        <v>313</v>
      </c>
      <c r="I183" t="s">
        <v>311</v>
      </c>
      <c r="J183" t="s">
        <v>312</v>
      </c>
      <c r="K183" t="s">
        <v>313</v>
      </c>
      <c r="L183" t="s">
        <v>311</v>
      </c>
      <c r="M183" t="s">
        <v>312</v>
      </c>
      <c r="N183" t="s">
        <v>313</v>
      </c>
      <c r="O183" t="s">
        <v>136</v>
      </c>
      <c r="P183" t="s">
        <v>137</v>
      </c>
      <c r="Q183" t="s">
        <v>138</v>
      </c>
      <c r="R183" t="s">
        <v>64</v>
      </c>
      <c r="S183" t="s">
        <v>650</v>
      </c>
      <c r="T183">
        <v>-6000</v>
      </c>
      <c r="U183">
        <v>-6000</v>
      </c>
      <c r="V183">
        <v>-6000</v>
      </c>
      <c r="W183" t="s">
        <v>651</v>
      </c>
      <c r="X183" s="3">
        <v>46056</v>
      </c>
      <c r="Y183" s="3">
        <v>46056</v>
      </c>
      <c r="Z183" t="s">
        <v>559</v>
      </c>
      <c r="AA183" t="s">
        <v>560</v>
      </c>
      <c r="AB183" t="s">
        <v>45</v>
      </c>
      <c r="AC183" t="s">
        <v>127</v>
      </c>
      <c r="AE183">
        <v>-6000</v>
      </c>
    </row>
    <row r="184" spans="2:31" x14ac:dyDescent="0.25">
      <c r="B184" t="s">
        <v>108</v>
      </c>
      <c r="C184" t="s">
        <v>111</v>
      </c>
      <c r="D184" t="s">
        <v>108</v>
      </c>
      <c r="E184" t="s">
        <v>112</v>
      </c>
      <c r="F184" t="s">
        <v>229</v>
      </c>
      <c r="G184" t="s">
        <v>230</v>
      </c>
      <c r="H184" t="s">
        <v>231</v>
      </c>
      <c r="I184" t="s">
        <v>229</v>
      </c>
      <c r="J184" t="s">
        <v>230</v>
      </c>
      <c r="K184" t="s">
        <v>231</v>
      </c>
      <c r="L184" t="s">
        <v>229</v>
      </c>
      <c r="M184" t="s">
        <v>230</v>
      </c>
      <c r="N184" t="s">
        <v>231</v>
      </c>
      <c r="O184" t="s">
        <v>280</v>
      </c>
      <c r="P184" t="s">
        <v>281</v>
      </c>
      <c r="Q184" t="s">
        <v>282</v>
      </c>
      <c r="R184" t="s">
        <v>64</v>
      </c>
      <c r="S184" t="s">
        <v>652</v>
      </c>
      <c r="T184">
        <v>-172.33</v>
      </c>
      <c r="U184">
        <v>-172.33</v>
      </c>
      <c r="V184">
        <v>-172.33</v>
      </c>
      <c r="W184" t="s">
        <v>653</v>
      </c>
      <c r="X184" s="3">
        <v>46066</v>
      </c>
      <c r="Y184" s="3">
        <v>46066</v>
      </c>
      <c r="Z184" t="s">
        <v>532</v>
      </c>
      <c r="AA184" t="s">
        <v>533</v>
      </c>
      <c r="AB184" t="s">
        <v>45</v>
      </c>
      <c r="AC184" t="s">
        <v>127</v>
      </c>
      <c r="AE184">
        <v>-172.33</v>
      </c>
    </row>
    <row r="185" spans="2:31" x14ac:dyDescent="0.25">
      <c r="B185" t="s">
        <v>108</v>
      </c>
      <c r="C185" t="s">
        <v>111</v>
      </c>
      <c r="D185" t="s">
        <v>108</v>
      </c>
      <c r="E185" t="s">
        <v>112</v>
      </c>
      <c r="F185" t="s">
        <v>452</v>
      </c>
      <c r="G185" t="s">
        <v>453</v>
      </c>
      <c r="H185" t="s">
        <v>454</v>
      </c>
      <c r="I185" t="s">
        <v>452</v>
      </c>
      <c r="J185" t="s">
        <v>453</v>
      </c>
      <c r="K185" t="s">
        <v>454</v>
      </c>
      <c r="L185" t="s">
        <v>452</v>
      </c>
      <c r="M185" t="s">
        <v>453</v>
      </c>
      <c r="N185" t="s">
        <v>454</v>
      </c>
      <c r="O185" t="s">
        <v>280</v>
      </c>
      <c r="P185" t="s">
        <v>281</v>
      </c>
      <c r="Q185" t="s">
        <v>282</v>
      </c>
      <c r="R185" t="s">
        <v>64</v>
      </c>
      <c r="S185" t="s">
        <v>652</v>
      </c>
      <c r="T185">
        <v>-172.33</v>
      </c>
      <c r="U185">
        <v>-172.33</v>
      </c>
      <c r="V185">
        <v>-172.33</v>
      </c>
      <c r="W185" t="s">
        <v>653</v>
      </c>
      <c r="X185" s="3">
        <v>46066</v>
      </c>
      <c r="Y185" s="3">
        <v>46066</v>
      </c>
      <c r="Z185" t="s">
        <v>532</v>
      </c>
      <c r="AA185" t="s">
        <v>533</v>
      </c>
      <c r="AB185" t="s">
        <v>45</v>
      </c>
      <c r="AC185" t="s">
        <v>127</v>
      </c>
      <c r="AE185">
        <v>-172.33</v>
      </c>
    </row>
    <row r="186" spans="2:31" x14ac:dyDescent="0.25">
      <c r="B186" t="s">
        <v>108</v>
      </c>
      <c r="C186" t="s">
        <v>111</v>
      </c>
      <c r="D186" t="s">
        <v>108</v>
      </c>
      <c r="E186" t="s">
        <v>112</v>
      </c>
      <c r="F186" t="s">
        <v>271</v>
      </c>
      <c r="G186" t="s">
        <v>272</v>
      </c>
      <c r="H186" t="s">
        <v>273</v>
      </c>
      <c r="I186" t="s">
        <v>271</v>
      </c>
      <c r="J186" t="s">
        <v>272</v>
      </c>
      <c r="K186" t="s">
        <v>273</v>
      </c>
      <c r="L186" t="s">
        <v>271</v>
      </c>
      <c r="M186" t="s">
        <v>272</v>
      </c>
      <c r="N186" t="s">
        <v>273</v>
      </c>
      <c r="O186" t="s">
        <v>280</v>
      </c>
      <c r="P186" t="s">
        <v>281</v>
      </c>
      <c r="Q186" t="s">
        <v>282</v>
      </c>
      <c r="R186" t="s">
        <v>64</v>
      </c>
      <c r="S186" t="s">
        <v>652</v>
      </c>
      <c r="T186">
        <v>-172.33</v>
      </c>
      <c r="U186">
        <v>-172.33</v>
      </c>
      <c r="V186">
        <v>-172.33</v>
      </c>
      <c r="W186" t="s">
        <v>653</v>
      </c>
      <c r="X186" s="3">
        <v>46066</v>
      </c>
      <c r="Y186" s="3">
        <v>46066</v>
      </c>
      <c r="Z186" t="s">
        <v>532</v>
      </c>
      <c r="AA186" t="s">
        <v>533</v>
      </c>
      <c r="AB186" t="s">
        <v>45</v>
      </c>
      <c r="AC186" t="s">
        <v>127</v>
      </c>
      <c r="AE186">
        <v>-172.33</v>
      </c>
    </row>
    <row r="187" spans="2:31" x14ac:dyDescent="0.25">
      <c r="B187" t="s">
        <v>108</v>
      </c>
      <c r="C187" t="s">
        <v>111</v>
      </c>
      <c r="D187" t="s">
        <v>108</v>
      </c>
      <c r="E187" t="s">
        <v>112</v>
      </c>
      <c r="F187" t="s">
        <v>113</v>
      </c>
      <c r="G187" t="s">
        <v>114</v>
      </c>
      <c r="H187" t="s">
        <v>115</v>
      </c>
      <c r="I187" t="s">
        <v>116</v>
      </c>
      <c r="J187" t="s">
        <v>117</v>
      </c>
      <c r="K187" t="s">
        <v>118</v>
      </c>
      <c r="L187" t="s">
        <v>116</v>
      </c>
      <c r="M187" t="s">
        <v>117</v>
      </c>
      <c r="N187" t="s">
        <v>118</v>
      </c>
      <c r="O187" t="s">
        <v>302</v>
      </c>
      <c r="P187" t="s">
        <v>303</v>
      </c>
      <c r="Q187" t="s">
        <v>304</v>
      </c>
      <c r="R187" t="s">
        <v>70</v>
      </c>
      <c r="S187" t="s">
        <v>462</v>
      </c>
      <c r="T187">
        <v>-592.26</v>
      </c>
      <c r="U187">
        <v>-592.26</v>
      </c>
      <c r="V187">
        <v>-592.26</v>
      </c>
      <c r="W187" t="s">
        <v>463</v>
      </c>
      <c r="X187" s="3">
        <v>46065</v>
      </c>
      <c r="Y187" s="3">
        <v>46065</v>
      </c>
      <c r="Z187" t="s">
        <v>464</v>
      </c>
      <c r="AA187" t="s">
        <v>465</v>
      </c>
      <c r="AB187" t="s">
        <v>45</v>
      </c>
      <c r="AC187" t="s">
        <v>127</v>
      </c>
      <c r="AE187">
        <v>-592.26</v>
      </c>
    </row>
    <row r="188" spans="2:31" x14ac:dyDescent="0.25">
      <c r="B188" t="s">
        <v>108</v>
      </c>
      <c r="C188" t="s">
        <v>111</v>
      </c>
      <c r="D188" t="s">
        <v>108</v>
      </c>
      <c r="E188" t="s">
        <v>112</v>
      </c>
      <c r="F188" t="s">
        <v>169</v>
      </c>
      <c r="G188" t="s">
        <v>170</v>
      </c>
      <c r="H188" t="s">
        <v>171</v>
      </c>
      <c r="I188" t="s">
        <v>169</v>
      </c>
      <c r="J188" t="s">
        <v>170</v>
      </c>
      <c r="K188" t="s">
        <v>171</v>
      </c>
      <c r="L188" t="s">
        <v>169</v>
      </c>
      <c r="M188" t="s">
        <v>170</v>
      </c>
      <c r="N188" t="s">
        <v>171</v>
      </c>
      <c r="O188" t="s">
        <v>338</v>
      </c>
      <c r="P188" t="s">
        <v>339</v>
      </c>
      <c r="Q188" t="s">
        <v>340</v>
      </c>
      <c r="R188" t="s">
        <v>269</v>
      </c>
      <c r="S188" t="s">
        <v>654</v>
      </c>
      <c r="T188">
        <v>-466.67</v>
      </c>
      <c r="U188">
        <v>-466.67</v>
      </c>
      <c r="V188">
        <v>-466.67</v>
      </c>
      <c r="W188" t="s">
        <v>655</v>
      </c>
      <c r="X188" s="3">
        <v>46071</v>
      </c>
      <c r="Y188" s="3">
        <v>46071</v>
      </c>
      <c r="Z188" t="s">
        <v>489</v>
      </c>
      <c r="AA188" t="s">
        <v>490</v>
      </c>
      <c r="AB188" t="s">
        <v>45</v>
      </c>
      <c r="AC188" t="s">
        <v>127</v>
      </c>
      <c r="AE188">
        <v>-466.67</v>
      </c>
    </row>
    <row r="189" spans="2:31" x14ac:dyDescent="0.25">
      <c r="B189" t="s">
        <v>108</v>
      </c>
      <c r="C189" t="s">
        <v>111</v>
      </c>
      <c r="D189" t="s">
        <v>108</v>
      </c>
      <c r="E189" t="s">
        <v>112</v>
      </c>
      <c r="F189" t="s">
        <v>169</v>
      </c>
      <c r="G189" t="s">
        <v>170</v>
      </c>
      <c r="H189" t="s">
        <v>171</v>
      </c>
      <c r="I189" t="s">
        <v>169</v>
      </c>
      <c r="J189" t="s">
        <v>170</v>
      </c>
      <c r="K189" t="s">
        <v>171</v>
      </c>
      <c r="L189" t="s">
        <v>169</v>
      </c>
      <c r="M189" t="s">
        <v>170</v>
      </c>
      <c r="N189" t="s">
        <v>171</v>
      </c>
      <c r="O189" t="s">
        <v>179</v>
      </c>
      <c r="P189" t="s">
        <v>180</v>
      </c>
      <c r="Q189" t="s">
        <v>181</v>
      </c>
      <c r="R189" t="s">
        <v>70</v>
      </c>
      <c r="S189" t="s">
        <v>656</v>
      </c>
      <c r="T189">
        <v>-178.75</v>
      </c>
      <c r="U189">
        <v>-178.75</v>
      </c>
      <c r="V189">
        <v>-178.75</v>
      </c>
      <c r="W189" t="s">
        <v>657</v>
      </c>
      <c r="X189" s="3">
        <v>46072</v>
      </c>
      <c r="Y189" s="3">
        <v>46072</v>
      </c>
      <c r="Z189" t="s">
        <v>177</v>
      </c>
      <c r="AA189" t="s">
        <v>178</v>
      </c>
      <c r="AB189" t="s">
        <v>45</v>
      </c>
      <c r="AC189" t="s">
        <v>127</v>
      </c>
      <c r="AE189">
        <v>-178.75</v>
      </c>
    </row>
    <row r="190" spans="2:31" x14ac:dyDescent="0.25">
      <c r="B190" t="s">
        <v>108</v>
      </c>
      <c r="C190" t="s">
        <v>111</v>
      </c>
      <c r="D190" t="s">
        <v>108</v>
      </c>
      <c r="E190" t="s">
        <v>112</v>
      </c>
      <c r="F190" t="s">
        <v>113</v>
      </c>
      <c r="G190" t="s">
        <v>114</v>
      </c>
      <c r="H190" t="s">
        <v>115</v>
      </c>
      <c r="I190" t="s">
        <v>116</v>
      </c>
      <c r="J190" t="s">
        <v>117</v>
      </c>
      <c r="K190" t="s">
        <v>118</v>
      </c>
      <c r="L190" t="s">
        <v>116</v>
      </c>
      <c r="M190" t="s">
        <v>117</v>
      </c>
      <c r="N190" t="s">
        <v>118</v>
      </c>
      <c r="O190" t="s">
        <v>327</v>
      </c>
      <c r="P190" t="s">
        <v>328</v>
      </c>
      <c r="Q190" t="s">
        <v>329</v>
      </c>
      <c r="R190" t="s">
        <v>122</v>
      </c>
      <c r="S190" t="s">
        <v>658</v>
      </c>
      <c r="T190">
        <v>-227.2</v>
      </c>
      <c r="U190">
        <v>-227.2</v>
      </c>
      <c r="V190">
        <v>-227.2</v>
      </c>
      <c r="W190" t="s">
        <v>659</v>
      </c>
      <c r="X190" s="3">
        <v>46068</v>
      </c>
      <c r="Y190" s="3">
        <v>46068</v>
      </c>
      <c r="Z190" t="s">
        <v>332</v>
      </c>
      <c r="AA190" t="s">
        <v>333</v>
      </c>
      <c r="AB190" t="s">
        <v>45</v>
      </c>
      <c r="AC190" t="s">
        <v>127</v>
      </c>
      <c r="AE190">
        <v>-227.2</v>
      </c>
    </row>
    <row r="191" spans="2:31" x14ac:dyDescent="0.25">
      <c r="B191" t="s">
        <v>108</v>
      </c>
      <c r="C191" t="s">
        <v>111</v>
      </c>
      <c r="D191" t="s">
        <v>108</v>
      </c>
      <c r="E191" t="s">
        <v>112</v>
      </c>
      <c r="F191" t="s">
        <v>169</v>
      </c>
      <c r="G191" t="s">
        <v>170</v>
      </c>
      <c r="H191" t="s">
        <v>171</v>
      </c>
      <c r="I191" t="s">
        <v>169</v>
      </c>
      <c r="J191" t="s">
        <v>170</v>
      </c>
      <c r="K191" t="s">
        <v>171</v>
      </c>
      <c r="L191" t="s">
        <v>169</v>
      </c>
      <c r="M191" t="s">
        <v>170</v>
      </c>
      <c r="N191" t="s">
        <v>171</v>
      </c>
      <c r="O191" t="s">
        <v>182</v>
      </c>
      <c r="P191" t="s">
        <v>183</v>
      </c>
      <c r="Q191" t="s">
        <v>184</v>
      </c>
      <c r="R191" t="s">
        <v>122</v>
      </c>
      <c r="S191" t="s">
        <v>660</v>
      </c>
      <c r="T191">
        <v>-15122.61</v>
      </c>
      <c r="U191">
        <v>-15122.61</v>
      </c>
      <c r="V191">
        <v>-15122.61</v>
      </c>
      <c r="W191" t="s">
        <v>661</v>
      </c>
      <c r="X191" s="3">
        <v>46072</v>
      </c>
      <c r="Y191" s="3">
        <v>46072</v>
      </c>
      <c r="Z191" t="s">
        <v>187</v>
      </c>
      <c r="AA191" t="s">
        <v>188</v>
      </c>
      <c r="AB191" t="s">
        <v>45</v>
      </c>
      <c r="AC191" t="s">
        <v>127</v>
      </c>
      <c r="AE191">
        <v>-15122.61</v>
      </c>
    </row>
    <row r="192" spans="2:31" hidden="1" x14ac:dyDescent="0.25">
      <c r="B192" t="s">
        <v>108</v>
      </c>
      <c r="C192" t="s">
        <v>111</v>
      </c>
      <c r="D192" t="s">
        <v>108</v>
      </c>
      <c r="E192" t="s">
        <v>112</v>
      </c>
      <c r="F192" t="s">
        <v>169</v>
      </c>
      <c r="G192" t="s">
        <v>170</v>
      </c>
      <c r="H192" t="s">
        <v>171</v>
      </c>
      <c r="I192" t="s">
        <v>169</v>
      </c>
      <c r="J192" t="s">
        <v>170</v>
      </c>
      <c r="K192" t="s">
        <v>171</v>
      </c>
      <c r="L192" t="s">
        <v>169</v>
      </c>
      <c r="M192" t="s">
        <v>170</v>
      </c>
      <c r="N192" t="s">
        <v>171</v>
      </c>
      <c r="O192" t="s">
        <v>179</v>
      </c>
      <c r="P192" t="s">
        <v>180</v>
      </c>
      <c r="Q192" t="s">
        <v>181</v>
      </c>
      <c r="R192" t="s">
        <v>205</v>
      </c>
      <c r="S192" t="s">
        <v>662</v>
      </c>
      <c r="T192">
        <v>-1392.13</v>
      </c>
      <c r="U192">
        <v>-1392.13</v>
      </c>
      <c r="V192">
        <v>-1392.13</v>
      </c>
      <c r="W192" t="s">
        <v>663</v>
      </c>
      <c r="X192" s="3">
        <v>46072</v>
      </c>
      <c r="Y192" s="3">
        <v>46072</v>
      </c>
      <c r="Z192" t="s">
        <v>177</v>
      </c>
      <c r="AA192" t="s">
        <v>178</v>
      </c>
      <c r="AB192" t="s">
        <v>45</v>
      </c>
      <c r="AC192" t="s">
        <v>127</v>
      </c>
      <c r="AE192">
        <v>-1392.13</v>
      </c>
    </row>
    <row r="193" spans="2:31" hidden="1" x14ac:dyDescent="0.25">
      <c r="B193" t="s">
        <v>108</v>
      </c>
      <c r="C193" t="s">
        <v>111</v>
      </c>
      <c r="D193" t="s">
        <v>108</v>
      </c>
      <c r="E193" t="s">
        <v>112</v>
      </c>
      <c r="F193" t="s">
        <v>169</v>
      </c>
      <c r="G193" t="s">
        <v>170</v>
      </c>
      <c r="H193" t="s">
        <v>171</v>
      </c>
      <c r="I193" t="s">
        <v>169</v>
      </c>
      <c r="J193" t="s">
        <v>170</v>
      </c>
      <c r="K193" t="s">
        <v>171</v>
      </c>
      <c r="L193" t="s">
        <v>169</v>
      </c>
      <c r="M193" t="s">
        <v>170</v>
      </c>
      <c r="N193" t="s">
        <v>171</v>
      </c>
      <c r="O193" t="s">
        <v>179</v>
      </c>
      <c r="P193" t="s">
        <v>180</v>
      </c>
      <c r="Q193" t="s">
        <v>181</v>
      </c>
      <c r="R193" t="s">
        <v>205</v>
      </c>
      <c r="S193" t="s">
        <v>664</v>
      </c>
      <c r="T193">
        <v>-181.5</v>
      </c>
      <c r="U193">
        <v>-181.5</v>
      </c>
      <c r="V193">
        <v>-181.5</v>
      </c>
      <c r="W193" t="s">
        <v>665</v>
      </c>
      <c r="X193" s="3">
        <v>46072</v>
      </c>
      <c r="Y193" s="3">
        <v>46072</v>
      </c>
      <c r="Z193" t="s">
        <v>177</v>
      </c>
      <c r="AA193" t="s">
        <v>178</v>
      </c>
      <c r="AB193" t="s">
        <v>45</v>
      </c>
      <c r="AC193" t="s">
        <v>127</v>
      </c>
      <c r="AE193">
        <v>-181.5</v>
      </c>
    </row>
    <row r="194" spans="2:31" x14ac:dyDescent="0.25">
      <c r="B194" t="s">
        <v>108</v>
      </c>
      <c r="C194" t="s">
        <v>111</v>
      </c>
      <c r="D194" t="s">
        <v>108</v>
      </c>
      <c r="E194" t="s">
        <v>112</v>
      </c>
      <c r="F194" t="s">
        <v>365</v>
      </c>
      <c r="G194" t="s">
        <v>366</v>
      </c>
      <c r="H194" t="s">
        <v>367</v>
      </c>
      <c r="I194" t="s">
        <v>365</v>
      </c>
      <c r="J194" t="s">
        <v>366</v>
      </c>
      <c r="K194" t="s">
        <v>367</v>
      </c>
      <c r="L194" t="s">
        <v>365</v>
      </c>
      <c r="M194" t="s">
        <v>366</v>
      </c>
      <c r="N194" t="s">
        <v>367</v>
      </c>
      <c r="O194" t="s">
        <v>215</v>
      </c>
      <c r="P194" t="s">
        <v>216</v>
      </c>
      <c r="Q194" t="s">
        <v>217</v>
      </c>
      <c r="R194" t="s">
        <v>269</v>
      </c>
      <c r="S194" t="s">
        <v>666</v>
      </c>
      <c r="T194">
        <v>-7.02</v>
      </c>
      <c r="U194">
        <v>-7.02</v>
      </c>
      <c r="V194">
        <v>-7.02</v>
      </c>
      <c r="W194" t="s">
        <v>667</v>
      </c>
      <c r="X194" s="3">
        <v>46066</v>
      </c>
      <c r="Y194" s="3">
        <v>46066</v>
      </c>
      <c r="Z194" t="s">
        <v>220</v>
      </c>
      <c r="AA194" t="s">
        <v>221</v>
      </c>
      <c r="AB194" t="s">
        <v>45</v>
      </c>
      <c r="AC194" t="s">
        <v>127</v>
      </c>
      <c r="AE194">
        <v>-7.02</v>
      </c>
    </row>
    <row r="195" spans="2:31" x14ac:dyDescent="0.25">
      <c r="B195" t="s">
        <v>108</v>
      </c>
      <c r="C195" t="s">
        <v>111</v>
      </c>
      <c r="D195" t="s">
        <v>108</v>
      </c>
      <c r="E195" t="s">
        <v>112</v>
      </c>
      <c r="F195" t="s">
        <v>365</v>
      </c>
      <c r="G195" t="s">
        <v>366</v>
      </c>
      <c r="H195" t="s">
        <v>367</v>
      </c>
      <c r="I195" t="s">
        <v>365</v>
      </c>
      <c r="J195" t="s">
        <v>366</v>
      </c>
      <c r="K195" t="s">
        <v>367</v>
      </c>
      <c r="L195" t="s">
        <v>365</v>
      </c>
      <c r="M195" t="s">
        <v>366</v>
      </c>
      <c r="N195" t="s">
        <v>367</v>
      </c>
      <c r="O195" t="s">
        <v>222</v>
      </c>
      <c r="P195" t="s">
        <v>223</v>
      </c>
      <c r="Q195" t="s">
        <v>224</v>
      </c>
      <c r="R195" t="s">
        <v>269</v>
      </c>
      <c r="S195" t="s">
        <v>666</v>
      </c>
      <c r="T195">
        <v>-7.03</v>
      </c>
      <c r="U195">
        <v>-7.03</v>
      </c>
      <c r="V195">
        <v>-7.03</v>
      </c>
      <c r="W195" t="s">
        <v>667</v>
      </c>
      <c r="X195" s="3">
        <v>46066</v>
      </c>
      <c r="Y195" s="3">
        <v>46066</v>
      </c>
      <c r="Z195" t="s">
        <v>220</v>
      </c>
      <c r="AA195" t="s">
        <v>221</v>
      </c>
      <c r="AB195" t="s">
        <v>45</v>
      </c>
      <c r="AC195" t="s">
        <v>127</v>
      </c>
      <c r="AE195">
        <v>-7.03</v>
      </c>
    </row>
    <row r="196" spans="2:31" x14ac:dyDescent="0.25">
      <c r="B196" t="s">
        <v>108</v>
      </c>
      <c r="C196" t="s">
        <v>111</v>
      </c>
      <c r="D196" t="s">
        <v>108</v>
      </c>
      <c r="E196" t="s">
        <v>112</v>
      </c>
      <c r="F196" t="s">
        <v>169</v>
      </c>
      <c r="G196" t="s">
        <v>170</v>
      </c>
      <c r="H196" t="s">
        <v>171</v>
      </c>
      <c r="I196" t="s">
        <v>169</v>
      </c>
      <c r="J196" t="s">
        <v>170</v>
      </c>
      <c r="K196" t="s">
        <v>171</v>
      </c>
      <c r="L196" t="s">
        <v>169</v>
      </c>
      <c r="M196" t="s">
        <v>170</v>
      </c>
      <c r="N196" t="s">
        <v>171</v>
      </c>
      <c r="O196" t="s">
        <v>338</v>
      </c>
      <c r="P196" t="s">
        <v>339</v>
      </c>
      <c r="Q196" t="s">
        <v>340</v>
      </c>
      <c r="R196" t="s">
        <v>58</v>
      </c>
      <c r="S196" t="s">
        <v>668</v>
      </c>
      <c r="T196">
        <v>-1556.17</v>
      </c>
      <c r="U196">
        <v>-1556.17</v>
      </c>
      <c r="V196">
        <v>-1556.17</v>
      </c>
      <c r="W196" t="s">
        <v>344</v>
      </c>
      <c r="X196" s="3">
        <v>46073</v>
      </c>
      <c r="Y196" s="3">
        <v>46073</v>
      </c>
      <c r="Z196" t="s">
        <v>220</v>
      </c>
      <c r="AA196" t="s">
        <v>221</v>
      </c>
      <c r="AB196" t="s">
        <v>45</v>
      </c>
      <c r="AC196" t="s">
        <v>127</v>
      </c>
      <c r="AE196">
        <v>-1556.17</v>
      </c>
    </row>
    <row r="197" spans="2:31" x14ac:dyDescent="0.25">
      <c r="B197" t="s">
        <v>108</v>
      </c>
      <c r="C197" t="s">
        <v>111</v>
      </c>
      <c r="D197" t="s">
        <v>108</v>
      </c>
      <c r="E197" t="s">
        <v>112</v>
      </c>
      <c r="F197" t="s">
        <v>169</v>
      </c>
      <c r="G197" t="s">
        <v>170</v>
      </c>
      <c r="H197" t="s">
        <v>171</v>
      </c>
      <c r="I197" t="s">
        <v>169</v>
      </c>
      <c r="J197" t="s">
        <v>170</v>
      </c>
      <c r="K197" t="s">
        <v>171</v>
      </c>
      <c r="L197" t="s">
        <v>169</v>
      </c>
      <c r="M197" t="s">
        <v>170</v>
      </c>
      <c r="N197" t="s">
        <v>171</v>
      </c>
      <c r="O197" t="s">
        <v>338</v>
      </c>
      <c r="P197" t="s">
        <v>339</v>
      </c>
      <c r="Q197" t="s">
        <v>340</v>
      </c>
      <c r="R197" t="s">
        <v>64</v>
      </c>
      <c r="S197" t="s">
        <v>669</v>
      </c>
      <c r="T197">
        <v>-5379.53</v>
      </c>
      <c r="U197">
        <v>-5379.53</v>
      </c>
      <c r="V197">
        <v>-5379.53</v>
      </c>
      <c r="W197" t="s">
        <v>344</v>
      </c>
      <c r="X197" s="3">
        <v>46073</v>
      </c>
      <c r="Y197" s="3">
        <v>46073</v>
      </c>
      <c r="Z197" t="s">
        <v>220</v>
      </c>
      <c r="AA197" t="s">
        <v>221</v>
      </c>
      <c r="AB197" t="s">
        <v>45</v>
      </c>
      <c r="AC197" t="s">
        <v>127</v>
      </c>
      <c r="AE197">
        <v>-5379.53</v>
      </c>
    </row>
    <row r="198" spans="2:31" x14ac:dyDescent="0.25">
      <c r="B198" t="s">
        <v>108</v>
      </c>
      <c r="C198" t="s">
        <v>111</v>
      </c>
      <c r="D198" t="s">
        <v>108</v>
      </c>
      <c r="E198" t="s">
        <v>112</v>
      </c>
      <c r="F198" t="s">
        <v>169</v>
      </c>
      <c r="G198" t="s">
        <v>170</v>
      </c>
      <c r="H198" t="s">
        <v>171</v>
      </c>
      <c r="I198" t="s">
        <v>169</v>
      </c>
      <c r="J198" t="s">
        <v>170</v>
      </c>
      <c r="K198" t="s">
        <v>171</v>
      </c>
      <c r="L198" t="s">
        <v>169</v>
      </c>
      <c r="M198" t="s">
        <v>170</v>
      </c>
      <c r="N198" t="s">
        <v>171</v>
      </c>
      <c r="O198" t="s">
        <v>338</v>
      </c>
      <c r="P198" t="s">
        <v>339</v>
      </c>
      <c r="Q198" t="s">
        <v>340</v>
      </c>
      <c r="R198" t="s">
        <v>255</v>
      </c>
      <c r="S198" t="s">
        <v>670</v>
      </c>
      <c r="T198">
        <v>-1542.12</v>
      </c>
      <c r="U198">
        <v>-1542.12</v>
      </c>
      <c r="V198">
        <v>-1542.12</v>
      </c>
      <c r="W198" t="s">
        <v>344</v>
      </c>
      <c r="X198" s="3">
        <v>46072</v>
      </c>
      <c r="Y198" s="3">
        <v>46072</v>
      </c>
      <c r="Z198" t="s">
        <v>220</v>
      </c>
      <c r="AA198" t="s">
        <v>221</v>
      </c>
      <c r="AB198" t="s">
        <v>45</v>
      </c>
      <c r="AC198" t="s">
        <v>127</v>
      </c>
      <c r="AE198">
        <v>-1542.12</v>
      </c>
    </row>
    <row r="199" spans="2:31" x14ac:dyDescent="0.25">
      <c r="B199" t="s">
        <v>108</v>
      </c>
      <c r="C199" t="s">
        <v>111</v>
      </c>
      <c r="D199" t="s">
        <v>108</v>
      </c>
      <c r="E199" t="s">
        <v>112</v>
      </c>
      <c r="F199" t="s">
        <v>169</v>
      </c>
      <c r="G199" t="s">
        <v>170</v>
      </c>
      <c r="H199" t="s">
        <v>171</v>
      </c>
      <c r="I199" t="s">
        <v>169</v>
      </c>
      <c r="J199" t="s">
        <v>170</v>
      </c>
      <c r="K199" t="s">
        <v>171</v>
      </c>
      <c r="L199" t="s">
        <v>169</v>
      </c>
      <c r="M199" t="s">
        <v>170</v>
      </c>
      <c r="N199" t="s">
        <v>171</v>
      </c>
      <c r="O199" t="s">
        <v>248</v>
      </c>
      <c r="P199" t="s">
        <v>249</v>
      </c>
      <c r="Q199" t="s">
        <v>250</v>
      </c>
      <c r="R199" t="s">
        <v>70</v>
      </c>
      <c r="S199" t="s">
        <v>671</v>
      </c>
      <c r="T199">
        <v>-112.35</v>
      </c>
      <c r="U199">
        <v>-112.35</v>
      </c>
      <c r="V199">
        <v>-112.35</v>
      </c>
      <c r="W199" t="s">
        <v>363</v>
      </c>
      <c r="X199" s="3">
        <v>46076</v>
      </c>
      <c r="Y199" s="3">
        <v>46076</v>
      </c>
      <c r="Z199" t="s">
        <v>253</v>
      </c>
      <c r="AA199" t="s">
        <v>254</v>
      </c>
      <c r="AB199" t="s">
        <v>45</v>
      </c>
      <c r="AC199" t="s">
        <v>127</v>
      </c>
      <c r="AE199">
        <v>-112.35</v>
      </c>
    </row>
    <row r="200" spans="2:31" x14ac:dyDescent="0.25">
      <c r="B200" t="s">
        <v>108</v>
      </c>
      <c r="C200" t="s">
        <v>111</v>
      </c>
      <c r="D200" t="s">
        <v>108</v>
      </c>
      <c r="E200" t="s">
        <v>112</v>
      </c>
      <c r="F200" t="s">
        <v>169</v>
      </c>
      <c r="G200" t="s">
        <v>170</v>
      </c>
      <c r="H200" t="s">
        <v>171</v>
      </c>
      <c r="I200" t="s">
        <v>169</v>
      </c>
      <c r="J200" t="s">
        <v>170</v>
      </c>
      <c r="K200" t="s">
        <v>171</v>
      </c>
      <c r="L200" t="s">
        <v>169</v>
      </c>
      <c r="M200" t="s">
        <v>170</v>
      </c>
      <c r="N200" t="s">
        <v>171</v>
      </c>
      <c r="O200" t="s">
        <v>248</v>
      </c>
      <c r="P200" t="s">
        <v>249</v>
      </c>
      <c r="Q200" t="s">
        <v>250</v>
      </c>
      <c r="R200" t="s">
        <v>52</v>
      </c>
      <c r="S200" t="s">
        <v>672</v>
      </c>
      <c r="T200">
        <v>-89.88</v>
      </c>
      <c r="U200">
        <v>-89.88</v>
      </c>
      <c r="V200">
        <v>-89.88</v>
      </c>
      <c r="W200" t="s">
        <v>363</v>
      </c>
      <c r="X200" s="3">
        <v>46076</v>
      </c>
      <c r="Y200" s="3">
        <v>46076</v>
      </c>
      <c r="Z200" t="s">
        <v>253</v>
      </c>
      <c r="AA200" t="s">
        <v>254</v>
      </c>
      <c r="AB200" t="s">
        <v>45</v>
      </c>
      <c r="AC200" t="s">
        <v>127</v>
      </c>
      <c r="AE200">
        <v>-89.88</v>
      </c>
    </row>
    <row r="201" spans="2:31" x14ac:dyDescent="0.25">
      <c r="B201" t="s">
        <v>108</v>
      </c>
      <c r="C201" t="s">
        <v>111</v>
      </c>
      <c r="D201" t="s">
        <v>108</v>
      </c>
      <c r="E201" t="s">
        <v>112</v>
      </c>
      <c r="F201" t="s">
        <v>169</v>
      </c>
      <c r="G201" t="s">
        <v>170</v>
      </c>
      <c r="H201" t="s">
        <v>171</v>
      </c>
      <c r="I201" t="s">
        <v>169</v>
      </c>
      <c r="J201" t="s">
        <v>170</v>
      </c>
      <c r="K201" t="s">
        <v>171</v>
      </c>
      <c r="L201" t="s">
        <v>169</v>
      </c>
      <c r="M201" t="s">
        <v>170</v>
      </c>
      <c r="N201" t="s">
        <v>171</v>
      </c>
      <c r="O201" t="s">
        <v>248</v>
      </c>
      <c r="P201" t="s">
        <v>249</v>
      </c>
      <c r="Q201" t="s">
        <v>250</v>
      </c>
      <c r="R201" t="s">
        <v>58</v>
      </c>
      <c r="S201" t="s">
        <v>673</v>
      </c>
      <c r="T201">
        <v>-134.82</v>
      </c>
      <c r="U201">
        <v>-134.82</v>
      </c>
      <c r="V201">
        <v>-134.82</v>
      </c>
      <c r="W201" t="s">
        <v>363</v>
      </c>
      <c r="X201" s="3">
        <v>46076</v>
      </c>
      <c r="Y201" s="3">
        <v>46076</v>
      </c>
      <c r="Z201" t="s">
        <v>253</v>
      </c>
      <c r="AA201" t="s">
        <v>254</v>
      </c>
      <c r="AB201" t="s">
        <v>45</v>
      </c>
      <c r="AC201" t="s">
        <v>127</v>
      </c>
      <c r="AE201">
        <v>-134.82</v>
      </c>
    </row>
    <row r="202" spans="2:31" x14ac:dyDescent="0.25">
      <c r="B202" t="s">
        <v>108</v>
      </c>
      <c r="C202" t="s">
        <v>111</v>
      </c>
      <c r="D202" t="s">
        <v>108</v>
      </c>
      <c r="E202" t="s">
        <v>112</v>
      </c>
      <c r="F202" t="s">
        <v>169</v>
      </c>
      <c r="G202" t="s">
        <v>170</v>
      </c>
      <c r="H202" t="s">
        <v>171</v>
      </c>
      <c r="I202" t="s">
        <v>169</v>
      </c>
      <c r="J202" t="s">
        <v>170</v>
      </c>
      <c r="K202" t="s">
        <v>171</v>
      </c>
      <c r="L202" t="s">
        <v>169</v>
      </c>
      <c r="M202" t="s">
        <v>170</v>
      </c>
      <c r="N202" t="s">
        <v>171</v>
      </c>
      <c r="O202" t="s">
        <v>248</v>
      </c>
      <c r="P202" t="s">
        <v>249</v>
      </c>
      <c r="Q202" t="s">
        <v>250</v>
      </c>
      <c r="R202" t="s">
        <v>64</v>
      </c>
      <c r="S202" t="s">
        <v>674</v>
      </c>
      <c r="T202">
        <v>-247.17</v>
      </c>
      <c r="U202">
        <v>-247.17</v>
      </c>
      <c r="V202">
        <v>-247.17</v>
      </c>
      <c r="W202" t="s">
        <v>363</v>
      </c>
      <c r="X202" s="3">
        <v>46076</v>
      </c>
      <c r="Y202" s="3">
        <v>46076</v>
      </c>
      <c r="Z202" t="s">
        <v>253</v>
      </c>
      <c r="AA202" t="s">
        <v>254</v>
      </c>
      <c r="AB202" t="s">
        <v>45</v>
      </c>
      <c r="AC202" t="s">
        <v>127</v>
      </c>
      <c r="AE202">
        <v>-247.17</v>
      </c>
    </row>
    <row r="203" spans="2:31" x14ac:dyDescent="0.25">
      <c r="B203" t="s">
        <v>108</v>
      </c>
      <c r="C203" t="s">
        <v>111</v>
      </c>
      <c r="D203" t="s">
        <v>108</v>
      </c>
      <c r="E203" t="s">
        <v>112</v>
      </c>
      <c r="F203" t="s">
        <v>169</v>
      </c>
      <c r="G203" t="s">
        <v>170</v>
      </c>
      <c r="H203" t="s">
        <v>171</v>
      </c>
      <c r="I203" t="s">
        <v>169</v>
      </c>
      <c r="J203" t="s">
        <v>170</v>
      </c>
      <c r="K203" t="s">
        <v>171</v>
      </c>
      <c r="L203" t="s">
        <v>169</v>
      </c>
      <c r="M203" t="s">
        <v>170</v>
      </c>
      <c r="N203" t="s">
        <v>171</v>
      </c>
      <c r="O203" t="s">
        <v>248</v>
      </c>
      <c r="P203" t="s">
        <v>249</v>
      </c>
      <c r="Q203" t="s">
        <v>250</v>
      </c>
      <c r="R203" t="s">
        <v>352</v>
      </c>
      <c r="S203" t="s">
        <v>675</v>
      </c>
      <c r="T203">
        <v>-128.44</v>
      </c>
      <c r="U203">
        <v>-128.44</v>
      </c>
      <c r="V203">
        <v>-128.44</v>
      </c>
      <c r="W203" t="s">
        <v>363</v>
      </c>
      <c r="X203" s="3">
        <v>46076</v>
      </c>
      <c r="Y203" s="3">
        <v>46076</v>
      </c>
      <c r="Z203" t="s">
        <v>253</v>
      </c>
      <c r="AA203" t="s">
        <v>254</v>
      </c>
      <c r="AB203" t="s">
        <v>45</v>
      </c>
      <c r="AC203" t="s">
        <v>127</v>
      </c>
      <c r="AE203">
        <v>-128.44</v>
      </c>
    </row>
    <row r="204" spans="2:31" x14ac:dyDescent="0.25">
      <c r="B204" t="s">
        <v>108</v>
      </c>
      <c r="C204" t="s">
        <v>111</v>
      </c>
      <c r="D204" t="s">
        <v>108</v>
      </c>
      <c r="E204" t="s">
        <v>112</v>
      </c>
      <c r="F204" t="s">
        <v>169</v>
      </c>
      <c r="G204" t="s">
        <v>170</v>
      </c>
      <c r="H204" t="s">
        <v>171</v>
      </c>
      <c r="I204" t="s">
        <v>169</v>
      </c>
      <c r="J204" t="s">
        <v>170</v>
      </c>
      <c r="K204" t="s">
        <v>171</v>
      </c>
      <c r="L204" t="s">
        <v>169</v>
      </c>
      <c r="M204" t="s">
        <v>170</v>
      </c>
      <c r="N204" t="s">
        <v>171</v>
      </c>
      <c r="O204" t="s">
        <v>248</v>
      </c>
      <c r="P204" t="s">
        <v>249</v>
      </c>
      <c r="Q204" t="s">
        <v>250</v>
      </c>
      <c r="R204" t="s">
        <v>354</v>
      </c>
      <c r="S204" t="s">
        <v>676</v>
      </c>
      <c r="T204">
        <v>-150.91</v>
      </c>
      <c r="U204">
        <v>-150.91</v>
      </c>
      <c r="V204">
        <v>-150.91</v>
      </c>
      <c r="W204" t="s">
        <v>677</v>
      </c>
      <c r="X204" s="3">
        <v>46076</v>
      </c>
      <c r="Y204" s="3">
        <v>46076</v>
      </c>
      <c r="Z204" t="s">
        <v>253</v>
      </c>
      <c r="AA204" t="s">
        <v>254</v>
      </c>
      <c r="AB204" t="s">
        <v>45</v>
      </c>
      <c r="AC204" t="s">
        <v>127</v>
      </c>
      <c r="AE204">
        <v>-150.91</v>
      </c>
    </row>
    <row r="205" spans="2:31" x14ac:dyDescent="0.25">
      <c r="B205" t="s">
        <v>108</v>
      </c>
      <c r="C205" t="s">
        <v>111</v>
      </c>
      <c r="D205" t="s">
        <v>108</v>
      </c>
      <c r="E205" t="s">
        <v>112</v>
      </c>
      <c r="F205" t="s">
        <v>169</v>
      </c>
      <c r="G205" t="s">
        <v>170</v>
      </c>
      <c r="H205" t="s">
        <v>171</v>
      </c>
      <c r="I205" t="s">
        <v>169</v>
      </c>
      <c r="J205" t="s">
        <v>170</v>
      </c>
      <c r="K205" t="s">
        <v>171</v>
      </c>
      <c r="L205" t="s">
        <v>169</v>
      </c>
      <c r="M205" t="s">
        <v>170</v>
      </c>
      <c r="N205" t="s">
        <v>171</v>
      </c>
      <c r="O205" t="s">
        <v>248</v>
      </c>
      <c r="P205" t="s">
        <v>249</v>
      </c>
      <c r="Q205" t="s">
        <v>250</v>
      </c>
      <c r="R205" t="s">
        <v>349</v>
      </c>
      <c r="S205" t="s">
        <v>678</v>
      </c>
      <c r="T205">
        <v>-308.2</v>
      </c>
      <c r="U205">
        <v>-308.2</v>
      </c>
      <c r="V205">
        <v>-308.2</v>
      </c>
      <c r="W205" t="s">
        <v>677</v>
      </c>
      <c r="X205" s="3">
        <v>46076</v>
      </c>
      <c r="Y205" s="3">
        <v>46076</v>
      </c>
      <c r="Z205" t="s">
        <v>253</v>
      </c>
      <c r="AA205" t="s">
        <v>254</v>
      </c>
      <c r="AB205" t="s">
        <v>45</v>
      </c>
      <c r="AC205" t="s">
        <v>127</v>
      </c>
      <c r="AE205">
        <v>-308.2</v>
      </c>
    </row>
    <row r="206" spans="2:31" x14ac:dyDescent="0.25">
      <c r="B206" t="s">
        <v>108</v>
      </c>
      <c r="C206" t="s">
        <v>111</v>
      </c>
      <c r="D206" t="s">
        <v>108</v>
      </c>
      <c r="E206" t="s">
        <v>112</v>
      </c>
      <c r="F206" t="s">
        <v>169</v>
      </c>
      <c r="G206" t="s">
        <v>170</v>
      </c>
      <c r="H206" t="s">
        <v>171</v>
      </c>
      <c r="I206" t="s">
        <v>169</v>
      </c>
      <c r="J206" t="s">
        <v>170</v>
      </c>
      <c r="K206" t="s">
        <v>171</v>
      </c>
      <c r="L206" t="s">
        <v>169</v>
      </c>
      <c r="M206" t="s">
        <v>170</v>
      </c>
      <c r="N206" t="s">
        <v>171</v>
      </c>
      <c r="O206" t="s">
        <v>248</v>
      </c>
      <c r="P206" t="s">
        <v>249</v>
      </c>
      <c r="Q206" t="s">
        <v>250</v>
      </c>
      <c r="R206" t="s">
        <v>238</v>
      </c>
      <c r="S206" t="s">
        <v>679</v>
      </c>
      <c r="T206">
        <v>-86.69</v>
      </c>
      <c r="U206">
        <v>-86.69</v>
      </c>
      <c r="V206">
        <v>-86.69</v>
      </c>
      <c r="W206" t="s">
        <v>363</v>
      </c>
      <c r="X206" s="3">
        <v>46076</v>
      </c>
      <c r="Y206" s="3">
        <v>46076</v>
      </c>
      <c r="Z206" t="s">
        <v>253</v>
      </c>
      <c r="AA206" t="s">
        <v>254</v>
      </c>
      <c r="AB206" t="s">
        <v>45</v>
      </c>
      <c r="AC206" t="s">
        <v>127</v>
      </c>
      <c r="AE206">
        <v>-86.69</v>
      </c>
    </row>
    <row r="207" spans="2:31" x14ac:dyDescent="0.25">
      <c r="B207" t="s">
        <v>108</v>
      </c>
      <c r="C207" t="s">
        <v>111</v>
      </c>
      <c r="D207" t="s">
        <v>108</v>
      </c>
      <c r="E207" t="s">
        <v>112</v>
      </c>
      <c r="F207" t="s">
        <v>169</v>
      </c>
      <c r="G207" t="s">
        <v>170</v>
      </c>
      <c r="H207" t="s">
        <v>171</v>
      </c>
      <c r="I207" t="s">
        <v>169</v>
      </c>
      <c r="J207" t="s">
        <v>170</v>
      </c>
      <c r="K207" t="s">
        <v>171</v>
      </c>
      <c r="L207" t="s">
        <v>169</v>
      </c>
      <c r="M207" t="s">
        <v>170</v>
      </c>
      <c r="N207" t="s">
        <v>171</v>
      </c>
      <c r="O207" t="s">
        <v>248</v>
      </c>
      <c r="P207" t="s">
        <v>249</v>
      </c>
      <c r="Q207" t="s">
        <v>250</v>
      </c>
      <c r="R207" t="s">
        <v>269</v>
      </c>
      <c r="S207" t="s">
        <v>680</v>
      </c>
      <c r="T207">
        <v>-314.58</v>
      </c>
      <c r="U207">
        <v>-314.58</v>
      </c>
      <c r="V207">
        <v>-314.58</v>
      </c>
      <c r="W207" t="s">
        <v>363</v>
      </c>
      <c r="X207" s="3">
        <v>46076</v>
      </c>
      <c r="Y207" s="3">
        <v>46076</v>
      </c>
      <c r="Z207" t="s">
        <v>253</v>
      </c>
      <c r="AA207" t="s">
        <v>254</v>
      </c>
      <c r="AB207" t="s">
        <v>45</v>
      </c>
      <c r="AC207" t="s">
        <v>127</v>
      </c>
      <c r="AE207">
        <v>-314.58</v>
      </c>
    </row>
    <row r="208" spans="2:31" x14ac:dyDescent="0.25">
      <c r="B208" t="s">
        <v>108</v>
      </c>
      <c r="C208" t="s">
        <v>111</v>
      </c>
      <c r="D208" t="s">
        <v>108</v>
      </c>
      <c r="E208" t="s">
        <v>112</v>
      </c>
      <c r="F208" t="s">
        <v>311</v>
      </c>
      <c r="G208" t="s">
        <v>312</v>
      </c>
      <c r="H208" t="s">
        <v>313</v>
      </c>
      <c r="I208" t="s">
        <v>311</v>
      </c>
      <c r="J208" t="s">
        <v>312</v>
      </c>
      <c r="K208" t="s">
        <v>313</v>
      </c>
      <c r="L208" t="s">
        <v>311</v>
      </c>
      <c r="M208" t="s">
        <v>312</v>
      </c>
      <c r="N208" t="s">
        <v>313</v>
      </c>
      <c r="O208" t="s">
        <v>495</v>
      </c>
      <c r="P208" t="s">
        <v>496</v>
      </c>
      <c r="Q208" t="s">
        <v>497</v>
      </c>
      <c r="R208" t="s">
        <v>77</v>
      </c>
      <c r="S208" t="s">
        <v>681</v>
      </c>
      <c r="T208">
        <v>-7789.44</v>
      </c>
      <c r="U208">
        <v>-7789.44</v>
      </c>
      <c r="V208">
        <v>-7789.44</v>
      </c>
      <c r="W208" t="s">
        <v>682</v>
      </c>
      <c r="X208" s="3">
        <v>46076</v>
      </c>
      <c r="Y208" s="3">
        <v>46076</v>
      </c>
      <c r="Z208" t="s">
        <v>579</v>
      </c>
      <c r="AA208" t="s">
        <v>580</v>
      </c>
      <c r="AB208" t="s">
        <v>45</v>
      </c>
      <c r="AC208" t="s">
        <v>127</v>
      </c>
      <c r="AE208">
        <v>-7789.44</v>
      </c>
    </row>
    <row r="209" spans="2:31" hidden="1" x14ac:dyDescent="0.25">
      <c r="B209" t="s">
        <v>108</v>
      </c>
      <c r="C209" t="s">
        <v>111</v>
      </c>
      <c r="D209" t="s">
        <v>108</v>
      </c>
      <c r="E209" t="s">
        <v>112</v>
      </c>
      <c r="F209" t="s">
        <v>113</v>
      </c>
      <c r="G209" t="s">
        <v>114</v>
      </c>
      <c r="H209" t="s">
        <v>115</v>
      </c>
      <c r="I209" t="s">
        <v>116</v>
      </c>
      <c r="J209" t="s">
        <v>117</v>
      </c>
      <c r="K209" t="s">
        <v>118</v>
      </c>
      <c r="L209" t="s">
        <v>116</v>
      </c>
      <c r="M209" t="s">
        <v>117</v>
      </c>
      <c r="N209" t="s">
        <v>118</v>
      </c>
      <c r="O209" t="s">
        <v>327</v>
      </c>
      <c r="P209" t="s">
        <v>328</v>
      </c>
      <c r="Q209" t="s">
        <v>329</v>
      </c>
      <c r="R209" t="s">
        <v>205</v>
      </c>
      <c r="S209" t="s">
        <v>408</v>
      </c>
      <c r="T209">
        <v>-15</v>
      </c>
      <c r="U209">
        <v>-15</v>
      </c>
      <c r="V209">
        <v>-15</v>
      </c>
      <c r="W209" t="s">
        <v>683</v>
      </c>
      <c r="X209" s="3">
        <v>46070</v>
      </c>
      <c r="Y209" s="3">
        <v>46070</v>
      </c>
      <c r="Z209" t="s">
        <v>399</v>
      </c>
      <c r="AA209" t="s">
        <v>400</v>
      </c>
      <c r="AB209" t="s">
        <v>45</v>
      </c>
      <c r="AC209" t="s">
        <v>127</v>
      </c>
      <c r="AE209">
        <v>-15</v>
      </c>
    </row>
    <row r="210" spans="2:31" hidden="1" x14ac:dyDescent="0.25">
      <c r="B210" t="s">
        <v>108</v>
      </c>
      <c r="C210" t="s">
        <v>111</v>
      </c>
      <c r="D210" t="s">
        <v>108</v>
      </c>
      <c r="E210" t="s">
        <v>112</v>
      </c>
      <c r="F210" t="s">
        <v>113</v>
      </c>
      <c r="G210" t="s">
        <v>114</v>
      </c>
      <c r="H210" t="s">
        <v>115</v>
      </c>
      <c r="I210" t="s">
        <v>116</v>
      </c>
      <c r="J210" t="s">
        <v>117</v>
      </c>
      <c r="K210" t="s">
        <v>118</v>
      </c>
      <c r="L210" t="s">
        <v>116</v>
      </c>
      <c r="M210" t="s">
        <v>117</v>
      </c>
      <c r="N210" t="s">
        <v>118</v>
      </c>
      <c r="O210" t="s">
        <v>302</v>
      </c>
      <c r="P210" t="s">
        <v>303</v>
      </c>
      <c r="Q210" t="s">
        <v>304</v>
      </c>
      <c r="R210" t="s">
        <v>205</v>
      </c>
      <c r="S210" t="s">
        <v>466</v>
      </c>
      <c r="T210">
        <v>-477.15</v>
      </c>
      <c r="U210">
        <v>-477.15</v>
      </c>
      <c r="V210">
        <v>-477.15</v>
      </c>
      <c r="W210" t="s">
        <v>467</v>
      </c>
      <c r="X210" s="3">
        <v>46030</v>
      </c>
      <c r="Y210" s="3">
        <v>46030</v>
      </c>
      <c r="Z210" t="s">
        <v>464</v>
      </c>
      <c r="AA210" t="s">
        <v>465</v>
      </c>
      <c r="AB210" t="s">
        <v>45</v>
      </c>
      <c r="AC210" t="s">
        <v>127</v>
      </c>
      <c r="AE210">
        <v>-477.15</v>
      </c>
    </row>
    <row r="211" spans="2:31" x14ac:dyDescent="0.25">
      <c r="B211" t="s">
        <v>108</v>
      </c>
      <c r="C211" t="s">
        <v>111</v>
      </c>
      <c r="D211" t="s">
        <v>108</v>
      </c>
      <c r="E211" t="s">
        <v>112</v>
      </c>
      <c r="F211" t="s">
        <v>271</v>
      </c>
      <c r="G211" t="s">
        <v>272</v>
      </c>
      <c r="H211" t="s">
        <v>273</v>
      </c>
      <c r="I211" t="s">
        <v>271</v>
      </c>
      <c r="J211" t="s">
        <v>272</v>
      </c>
      <c r="K211" t="s">
        <v>273</v>
      </c>
      <c r="L211" t="s">
        <v>271</v>
      </c>
      <c r="M211" t="s">
        <v>272</v>
      </c>
      <c r="N211" t="s">
        <v>273</v>
      </c>
      <c r="O211" t="s">
        <v>684</v>
      </c>
      <c r="P211" t="s">
        <v>685</v>
      </c>
      <c r="Q211" t="s">
        <v>686</v>
      </c>
      <c r="R211" t="s">
        <v>70</v>
      </c>
      <c r="S211" t="s">
        <v>687</v>
      </c>
      <c r="T211">
        <v>-1</v>
      </c>
      <c r="U211">
        <v>-1</v>
      </c>
      <c r="V211">
        <v>-1</v>
      </c>
      <c r="W211" t="s">
        <v>688</v>
      </c>
      <c r="X211" s="3">
        <v>46080</v>
      </c>
      <c r="Y211" s="3">
        <v>46080</v>
      </c>
      <c r="Z211" t="s">
        <v>689</v>
      </c>
      <c r="AA211" t="s">
        <v>690</v>
      </c>
      <c r="AB211" t="s">
        <v>45</v>
      </c>
      <c r="AC211" t="s">
        <v>127</v>
      </c>
      <c r="AE211">
        <v>-1</v>
      </c>
    </row>
    <row r="212" spans="2:31" x14ac:dyDescent="0.25">
      <c r="B212" t="s">
        <v>108</v>
      </c>
      <c r="C212" t="s">
        <v>111</v>
      </c>
      <c r="D212" t="s">
        <v>108</v>
      </c>
      <c r="E212" t="s">
        <v>112</v>
      </c>
      <c r="F212" t="s">
        <v>169</v>
      </c>
      <c r="G212" t="s">
        <v>170</v>
      </c>
      <c r="H212" t="s">
        <v>171</v>
      </c>
      <c r="I212" t="s">
        <v>169</v>
      </c>
      <c r="J212" t="s">
        <v>170</v>
      </c>
      <c r="K212" t="s">
        <v>171</v>
      </c>
      <c r="L212" t="s">
        <v>169</v>
      </c>
      <c r="M212" t="s">
        <v>170</v>
      </c>
      <c r="N212" t="s">
        <v>171</v>
      </c>
      <c r="O212" t="s">
        <v>684</v>
      </c>
      <c r="P212" t="s">
        <v>685</v>
      </c>
      <c r="Q212" t="s">
        <v>686</v>
      </c>
      <c r="R212" t="s">
        <v>70</v>
      </c>
      <c r="S212" t="s">
        <v>691</v>
      </c>
      <c r="T212">
        <v>-1</v>
      </c>
      <c r="U212">
        <v>-1</v>
      </c>
      <c r="V212">
        <v>-1</v>
      </c>
      <c r="W212" t="s">
        <v>692</v>
      </c>
      <c r="X212" s="3">
        <v>46073</v>
      </c>
      <c r="Y212" s="3">
        <v>46073</v>
      </c>
      <c r="Z212" t="s">
        <v>693</v>
      </c>
      <c r="AA212" t="s">
        <v>694</v>
      </c>
      <c r="AB212" t="s">
        <v>45</v>
      </c>
      <c r="AC212" t="s">
        <v>127</v>
      </c>
      <c r="AE212">
        <v>-1</v>
      </c>
    </row>
    <row r="213" spans="2:31" hidden="1" x14ac:dyDescent="0.25">
      <c r="B213" t="s">
        <v>108</v>
      </c>
      <c r="C213" t="s">
        <v>111</v>
      </c>
      <c r="D213" t="s">
        <v>108</v>
      </c>
      <c r="E213" t="s">
        <v>112</v>
      </c>
      <c r="F213" t="s">
        <v>113</v>
      </c>
      <c r="G213" t="s">
        <v>114</v>
      </c>
      <c r="H213" t="s">
        <v>115</v>
      </c>
      <c r="I213" t="s">
        <v>116</v>
      </c>
      <c r="J213" t="s">
        <v>117</v>
      </c>
      <c r="K213" t="s">
        <v>118</v>
      </c>
      <c r="L213" t="s">
        <v>116</v>
      </c>
      <c r="M213" t="s">
        <v>117</v>
      </c>
      <c r="N213" t="s">
        <v>118</v>
      </c>
      <c r="O213" t="s">
        <v>302</v>
      </c>
      <c r="P213" t="s">
        <v>303</v>
      </c>
      <c r="Q213" t="s">
        <v>304</v>
      </c>
      <c r="R213" t="s">
        <v>205</v>
      </c>
      <c r="S213" t="s">
        <v>466</v>
      </c>
      <c r="T213">
        <v>-477.12</v>
      </c>
      <c r="U213">
        <v>-477.12</v>
      </c>
      <c r="V213">
        <v>-477.12</v>
      </c>
      <c r="W213" t="s">
        <v>467</v>
      </c>
      <c r="X213" s="3">
        <v>46030</v>
      </c>
      <c r="Y213" s="3">
        <v>46030</v>
      </c>
      <c r="Z213" t="s">
        <v>464</v>
      </c>
      <c r="AA213" t="s">
        <v>465</v>
      </c>
      <c r="AB213" t="s">
        <v>45</v>
      </c>
      <c r="AC213" t="s">
        <v>127</v>
      </c>
      <c r="AE213">
        <v>-477.12</v>
      </c>
    </row>
    <row r="214" spans="2:31" x14ac:dyDescent="0.25">
      <c r="B214" t="s">
        <v>108</v>
      </c>
      <c r="C214" t="s">
        <v>111</v>
      </c>
      <c r="D214" t="s">
        <v>108</v>
      </c>
      <c r="E214" t="s">
        <v>112</v>
      </c>
      <c r="F214" t="s">
        <v>271</v>
      </c>
      <c r="G214" t="s">
        <v>272</v>
      </c>
      <c r="H214" t="s">
        <v>273</v>
      </c>
      <c r="I214" t="s">
        <v>271</v>
      </c>
      <c r="J214" t="s">
        <v>272</v>
      </c>
      <c r="K214" t="s">
        <v>273</v>
      </c>
      <c r="L214" t="s">
        <v>271</v>
      </c>
      <c r="M214" t="s">
        <v>272</v>
      </c>
      <c r="N214" t="s">
        <v>273</v>
      </c>
      <c r="O214" t="s">
        <v>280</v>
      </c>
      <c r="P214" t="s">
        <v>281</v>
      </c>
      <c r="Q214" t="s">
        <v>282</v>
      </c>
      <c r="R214" t="s">
        <v>269</v>
      </c>
      <c r="S214" t="s">
        <v>695</v>
      </c>
      <c r="T214">
        <v>-1000</v>
      </c>
      <c r="U214">
        <v>-1000</v>
      </c>
      <c r="V214">
        <v>-1000</v>
      </c>
      <c r="W214" t="s">
        <v>696</v>
      </c>
      <c r="X214" s="3">
        <v>46054</v>
      </c>
      <c r="Y214" s="3">
        <v>46054</v>
      </c>
      <c r="Z214" t="s">
        <v>291</v>
      </c>
      <c r="AA214" t="s">
        <v>292</v>
      </c>
      <c r="AB214" t="s">
        <v>45</v>
      </c>
      <c r="AC214" t="s">
        <v>127</v>
      </c>
      <c r="AE214">
        <v>-1000</v>
      </c>
    </row>
    <row r="215" spans="2:31" x14ac:dyDescent="0.25">
      <c r="B215" t="s">
        <v>108</v>
      </c>
      <c r="C215" t="s">
        <v>111</v>
      </c>
      <c r="D215" t="s">
        <v>108</v>
      </c>
      <c r="E215" t="s">
        <v>112</v>
      </c>
      <c r="F215" t="s">
        <v>169</v>
      </c>
      <c r="G215" t="s">
        <v>170</v>
      </c>
      <c r="H215" t="s">
        <v>171</v>
      </c>
      <c r="I215" t="s">
        <v>169</v>
      </c>
      <c r="J215" t="s">
        <v>170</v>
      </c>
      <c r="K215" t="s">
        <v>171</v>
      </c>
      <c r="L215" t="s">
        <v>169</v>
      </c>
      <c r="M215" t="s">
        <v>170</v>
      </c>
      <c r="N215" t="s">
        <v>171</v>
      </c>
      <c r="O215" t="s">
        <v>295</v>
      </c>
      <c r="P215" t="s">
        <v>296</v>
      </c>
      <c r="Q215" t="s">
        <v>297</v>
      </c>
      <c r="R215" t="s">
        <v>64</v>
      </c>
      <c r="S215" t="s">
        <v>697</v>
      </c>
      <c r="T215">
        <v>-660</v>
      </c>
      <c r="U215">
        <v>-660</v>
      </c>
      <c r="V215">
        <v>-660</v>
      </c>
      <c r="W215" t="s">
        <v>698</v>
      </c>
      <c r="X215" s="3">
        <v>46066</v>
      </c>
      <c r="Y215" s="3">
        <v>46066</v>
      </c>
      <c r="Z215" t="s">
        <v>325</v>
      </c>
      <c r="AA215" t="s">
        <v>326</v>
      </c>
      <c r="AB215" t="s">
        <v>45</v>
      </c>
      <c r="AC215" t="s">
        <v>127</v>
      </c>
      <c r="AE215">
        <v>-660</v>
      </c>
    </row>
    <row r="216" spans="2:31" x14ac:dyDescent="0.25">
      <c r="B216" t="s">
        <v>108</v>
      </c>
      <c r="C216" t="s">
        <v>111</v>
      </c>
      <c r="D216" t="s">
        <v>108</v>
      </c>
      <c r="E216" t="s">
        <v>112</v>
      </c>
      <c r="F216" t="s">
        <v>160</v>
      </c>
      <c r="G216" t="s">
        <v>38</v>
      </c>
      <c r="H216" t="s">
        <v>161</v>
      </c>
      <c r="I216" t="s">
        <v>160</v>
      </c>
      <c r="J216" t="s">
        <v>38</v>
      </c>
      <c r="K216" t="s">
        <v>161</v>
      </c>
      <c r="L216" t="s">
        <v>160</v>
      </c>
      <c r="M216" t="s">
        <v>38</v>
      </c>
      <c r="N216" t="s">
        <v>161</v>
      </c>
      <c r="O216" t="s">
        <v>417</v>
      </c>
      <c r="P216" t="s">
        <v>418</v>
      </c>
      <c r="Q216" t="s">
        <v>419</v>
      </c>
      <c r="R216" t="s">
        <v>64</v>
      </c>
      <c r="S216" t="s">
        <v>420</v>
      </c>
      <c r="T216">
        <v>-158.91999999999999</v>
      </c>
      <c r="U216">
        <v>-158.91999999999999</v>
      </c>
      <c r="V216">
        <v>-158.91999999999999</v>
      </c>
      <c r="W216" t="s">
        <v>421</v>
      </c>
      <c r="X216" s="3">
        <v>46050</v>
      </c>
      <c r="Y216" s="3">
        <v>46050</v>
      </c>
      <c r="Z216" t="s">
        <v>422</v>
      </c>
      <c r="AA216" t="s">
        <v>423</v>
      </c>
      <c r="AB216" t="s">
        <v>45</v>
      </c>
      <c r="AC216" t="s">
        <v>127</v>
      </c>
      <c r="AE216">
        <v>-158.91999999999999</v>
      </c>
    </row>
    <row r="217" spans="2:31" x14ac:dyDescent="0.25">
      <c r="B217" t="s">
        <v>108</v>
      </c>
      <c r="C217" t="s">
        <v>111</v>
      </c>
      <c r="D217" t="s">
        <v>108</v>
      </c>
      <c r="E217" t="s">
        <v>112</v>
      </c>
      <c r="F217" t="s">
        <v>229</v>
      </c>
      <c r="G217" t="s">
        <v>230</v>
      </c>
      <c r="H217" t="s">
        <v>231</v>
      </c>
      <c r="I217" t="s">
        <v>229</v>
      </c>
      <c r="J217" t="s">
        <v>230</v>
      </c>
      <c r="K217" t="s">
        <v>231</v>
      </c>
      <c r="L217" t="s">
        <v>229</v>
      </c>
      <c r="M217" t="s">
        <v>230</v>
      </c>
      <c r="N217" t="s">
        <v>231</v>
      </c>
      <c r="O217" t="s">
        <v>280</v>
      </c>
      <c r="P217" t="s">
        <v>281</v>
      </c>
      <c r="Q217" t="s">
        <v>282</v>
      </c>
      <c r="R217" t="s">
        <v>269</v>
      </c>
      <c r="S217" t="s">
        <v>699</v>
      </c>
      <c r="T217">
        <v>-1000</v>
      </c>
      <c r="U217">
        <v>-1000</v>
      </c>
      <c r="V217">
        <v>-1000</v>
      </c>
      <c r="W217" t="s">
        <v>700</v>
      </c>
      <c r="X217" s="3">
        <v>46054</v>
      </c>
      <c r="Y217" s="3">
        <v>46054</v>
      </c>
      <c r="Z217" t="s">
        <v>614</v>
      </c>
      <c r="AA217" t="s">
        <v>615</v>
      </c>
      <c r="AB217" t="s">
        <v>45</v>
      </c>
      <c r="AC217" t="s">
        <v>127</v>
      </c>
      <c r="AE217">
        <v>-1000</v>
      </c>
    </row>
    <row r="218" spans="2:31" x14ac:dyDescent="0.25">
      <c r="B218" t="s">
        <v>108</v>
      </c>
      <c r="C218" t="s">
        <v>111</v>
      </c>
      <c r="D218" t="s">
        <v>108</v>
      </c>
      <c r="E218" t="s">
        <v>112</v>
      </c>
      <c r="F218" t="s">
        <v>160</v>
      </c>
      <c r="G218" t="s">
        <v>38</v>
      </c>
      <c r="H218" t="s">
        <v>161</v>
      </c>
      <c r="I218" t="s">
        <v>160</v>
      </c>
      <c r="J218" t="s">
        <v>38</v>
      </c>
      <c r="K218" t="s">
        <v>161</v>
      </c>
      <c r="L218" t="s">
        <v>160</v>
      </c>
      <c r="M218" t="s">
        <v>38</v>
      </c>
      <c r="N218" t="s">
        <v>161</v>
      </c>
      <c r="O218" t="s">
        <v>417</v>
      </c>
      <c r="P218" t="s">
        <v>418</v>
      </c>
      <c r="Q218" t="s">
        <v>419</v>
      </c>
      <c r="R218" t="s">
        <v>64</v>
      </c>
      <c r="S218" t="s">
        <v>420</v>
      </c>
      <c r="T218">
        <v>-158.91999999999999</v>
      </c>
      <c r="U218">
        <v>-158.91999999999999</v>
      </c>
      <c r="V218">
        <v>-158.91999999999999</v>
      </c>
      <c r="W218" t="s">
        <v>421</v>
      </c>
      <c r="X218" s="3">
        <v>46050</v>
      </c>
      <c r="Y218" s="3">
        <v>46050</v>
      </c>
      <c r="Z218" t="s">
        <v>422</v>
      </c>
      <c r="AA218" t="s">
        <v>423</v>
      </c>
      <c r="AB218" t="s">
        <v>45</v>
      </c>
      <c r="AC218" t="s">
        <v>127</v>
      </c>
      <c r="AE218">
        <v>-158.91999999999999</v>
      </c>
    </row>
    <row r="219" spans="2:31" x14ac:dyDescent="0.25">
      <c r="B219" t="s">
        <v>108</v>
      </c>
      <c r="C219" t="s">
        <v>111</v>
      </c>
      <c r="D219" t="s">
        <v>108</v>
      </c>
      <c r="E219" t="s">
        <v>112</v>
      </c>
      <c r="F219" t="s">
        <v>113</v>
      </c>
      <c r="G219" t="s">
        <v>114</v>
      </c>
      <c r="H219" t="s">
        <v>115</v>
      </c>
      <c r="I219" t="s">
        <v>116</v>
      </c>
      <c r="J219" t="s">
        <v>117</v>
      </c>
      <c r="K219" t="s">
        <v>118</v>
      </c>
      <c r="L219" t="s">
        <v>116</v>
      </c>
      <c r="M219" t="s">
        <v>117</v>
      </c>
      <c r="N219" t="s">
        <v>118</v>
      </c>
      <c r="O219" t="s">
        <v>302</v>
      </c>
      <c r="P219" t="s">
        <v>303</v>
      </c>
      <c r="Q219" t="s">
        <v>304</v>
      </c>
      <c r="R219" t="s">
        <v>70</v>
      </c>
      <c r="S219" t="s">
        <v>462</v>
      </c>
      <c r="T219">
        <v>-592.19000000000005</v>
      </c>
      <c r="U219">
        <v>-592.19000000000005</v>
      </c>
      <c r="V219">
        <v>-592.19000000000005</v>
      </c>
      <c r="W219" t="s">
        <v>463</v>
      </c>
      <c r="X219" s="3">
        <v>46065</v>
      </c>
      <c r="Y219" s="3">
        <v>46065</v>
      </c>
      <c r="Z219" t="s">
        <v>464</v>
      </c>
      <c r="AA219" t="s">
        <v>465</v>
      </c>
      <c r="AB219" t="s">
        <v>45</v>
      </c>
      <c r="AC219" t="s">
        <v>127</v>
      </c>
      <c r="AE219">
        <v>-592.19000000000005</v>
      </c>
    </row>
    <row r="220" spans="2:31" x14ac:dyDescent="0.25">
      <c r="B220" t="s">
        <v>108</v>
      </c>
      <c r="C220" t="s">
        <v>111</v>
      </c>
      <c r="D220" t="s">
        <v>108</v>
      </c>
      <c r="E220" t="s">
        <v>112</v>
      </c>
      <c r="F220" t="s">
        <v>113</v>
      </c>
      <c r="G220" t="s">
        <v>114</v>
      </c>
      <c r="H220" t="s">
        <v>115</v>
      </c>
      <c r="I220" t="s">
        <v>116</v>
      </c>
      <c r="J220" t="s">
        <v>117</v>
      </c>
      <c r="K220" t="s">
        <v>118</v>
      </c>
      <c r="L220" t="s">
        <v>116</v>
      </c>
      <c r="M220" t="s">
        <v>117</v>
      </c>
      <c r="N220" t="s">
        <v>118</v>
      </c>
      <c r="O220" t="s">
        <v>424</v>
      </c>
      <c r="P220" t="s">
        <v>425</v>
      </c>
      <c r="Q220" t="s">
        <v>426</v>
      </c>
      <c r="R220" t="s">
        <v>70</v>
      </c>
      <c r="S220" t="s">
        <v>427</v>
      </c>
      <c r="T220">
        <v>-95.48</v>
      </c>
      <c r="U220">
        <v>-95.48</v>
      </c>
      <c r="V220">
        <v>-95.48</v>
      </c>
      <c r="W220" t="s">
        <v>428</v>
      </c>
      <c r="X220" s="3">
        <v>46041</v>
      </c>
      <c r="Y220" s="3">
        <v>46041</v>
      </c>
      <c r="Z220" t="s">
        <v>429</v>
      </c>
      <c r="AA220" t="s">
        <v>430</v>
      </c>
      <c r="AB220" t="s">
        <v>45</v>
      </c>
      <c r="AC220" t="s">
        <v>127</v>
      </c>
      <c r="AE220">
        <v>-95.48</v>
      </c>
    </row>
    <row r="221" spans="2:31" x14ac:dyDescent="0.25">
      <c r="B221" t="s">
        <v>108</v>
      </c>
      <c r="C221" t="s">
        <v>111</v>
      </c>
      <c r="D221" t="s">
        <v>108</v>
      </c>
      <c r="E221" t="s">
        <v>112</v>
      </c>
      <c r="F221" t="s">
        <v>160</v>
      </c>
      <c r="G221" t="s">
        <v>38</v>
      </c>
      <c r="H221" t="s">
        <v>161</v>
      </c>
      <c r="I221" t="s">
        <v>160</v>
      </c>
      <c r="J221" t="s">
        <v>38</v>
      </c>
      <c r="K221" t="s">
        <v>161</v>
      </c>
      <c r="L221" t="s">
        <v>160</v>
      </c>
      <c r="M221" t="s">
        <v>38</v>
      </c>
      <c r="N221" t="s">
        <v>161</v>
      </c>
      <c r="O221" t="s">
        <v>417</v>
      </c>
      <c r="P221" t="s">
        <v>418</v>
      </c>
      <c r="Q221" t="s">
        <v>419</v>
      </c>
      <c r="R221" t="s">
        <v>64</v>
      </c>
      <c r="S221" t="s">
        <v>420</v>
      </c>
      <c r="T221">
        <v>-158.91999999999999</v>
      </c>
      <c r="U221">
        <v>-158.91999999999999</v>
      </c>
      <c r="V221">
        <v>-158.91999999999999</v>
      </c>
      <c r="W221" t="s">
        <v>421</v>
      </c>
      <c r="X221" s="3">
        <v>46050</v>
      </c>
      <c r="Y221" s="3">
        <v>46050</v>
      </c>
      <c r="Z221" t="s">
        <v>422</v>
      </c>
      <c r="AA221" t="s">
        <v>423</v>
      </c>
      <c r="AB221" t="s">
        <v>45</v>
      </c>
      <c r="AC221" t="s">
        <v>127</v>
      </c>
      <c r="AE221">
        <v>-158.91999999999999</v>
      </c>
    </row>
    <row r="222" spans="2:31" hidden="1" x14ac:dyDescent="0.25">
      <c r="B222" t="s">
        <v>108</v>
      </c>
      <c r="C222" t="s">
        <v>111</v>
      </c>
      <c r="D222" t="s">
        <v>108</v>
      </c>
      <c r="E222" t="s">
        <v>112</v>
      </c>
      <c r="F222" t="s">
        <v>113</v>
      </c>
      <c r="G222" t="s">
        <v>114</v>
      </c>
      <c r="H222" t="s">
        <v>115</v>
      </c>
      <c r="I222" t="s">
        <v>116</v>
      </c>
      <c r="J222" t="s">
        <v>117</v>
      </c>
      <c r="K222" t="s">
        <v>118</v>
      </c>
      <c r="L222" t="s">
        <v>116</v>
      </c>
      <c r="M222" t="s">
        <v>117</v>
      </c>
      <c r="N222" t="s">
        <v>118</v>
      </c>
      <c r="O222" t="s">
        <v>302</v>
      </c>
      <c r="P222" t="s">
        <v>303</v>
      </c>
      <c r="Q222" t="s">
        <v>304</v>
      </c>
      <c r="R222" t="s">
        <v>205</v>
      </c>
      <c r="S222" t="s">
        <v>466</v>
      </c>
      <c r="T222">
        <v>-477.15</v>
      </c>
      <c r="U222">
        <v>-477.15</v>
      </c>
      <c r="V222">
        <v>-477.15</v>
      </c>
      <c r="W222" t="s">
        <v>467</v>
      </c>
      <c r="X222" s="3">
        <v>46030</v>
      </c>
      <c r="Y222" s="3">
        <v>46030</v>
      </c>
      <c r="Z222" t="s">
        <v>464</v>
      </c>
      <c r="AA222" t="s">
        <v>465</v>
      </c>
      <c r="AB222" t="s">
        <v>45</v>
      </c>
      <c r="AC222" t="s">
        <v>127</v>
      </c>
      <c r="AE222">
        <v>-477.15</v>
      </c>
    </row>
    <row r="223" spans="2:31" x14ac:dyDescent="0.25">
      <c r="B223" t="s">
        <v>108</v>
      </c>
      <c r="C223" t="s">
        <v>111</v>
      </c>
      <c r="D223" t="s">
        <v>108</v>
      </c>
      <c r="E223" t="s">
        <v>112</v>
      </c>
      <c r="F223" t="s">
        <v>160</v>
      </c>
      <c r="G223" t="s">
        <v>38</v>
      </c>
      <c r="H223" t="s">
        <v>161</v>
      </c>
      <c r="I223" t="s">
        <v>160</v>
      </c>
      <c r="J223" t="s">
        <v>38</v>
      </c>
      <c r="K223" t="s">
        <v>161</v>
      </c>
      <c r="L223" t="s">
        <v>160</v>
      </c>
      <c r="M223" t="s">
        <v>38</v>
      </c>
      <c r="N223" t="s">
        <v>161</v>
      </c>
      <c r="O223" t="s">
        <v>417</v>
      </c>
      <c r="P223" t="s">
        <v>418</v>
      </c>
      <c r="Q223" t="s">
        <v>419</v>
      </c>
      <c r="R223" t="s">
        <v>64</v>
      </c>
      <c r="S223" t="s">
        <v>420</v>
      </c>
      <c r="T223">
        <v>-158.91999999999999</v>
      </c>
      <c r="U223">
        <v>-158.91999999999999</v>
      </c>
      <c r="V223">
        <v>-158.91999999999999</v>
      </c>
      <c r="W223" t="s">
        <v>421</v>
      </c>
      <c r="X223" s="3">
        <v>46050</v>
      </c>
      <c r="Y223" s="3">
        <v>46050</v>
      </c>
      <c r="Z223" t="s">
        <v>422</v>
      </c>
      <c r="AA223" t="s">
        <v>423</v>
      </c>
      <c r="AB223" t="s">
        <v>45</v>
      </c>
      <c r="AC223" t="s">
        <v>127</v>
      </c>
      <c r="AE223">
        <v>-158.91999999999999</v>
      </c>
    </row>
    <row r="224" spans="2:31" x14ac:dyDescent="0.25">
      <c r="B224" t="s">
        <v>108</v>
      </c>
      <c r="C224" t="s">
        <v>111</v>
      </c>
      <c r="D224" t="s">
        <v>108</v>
      </c>
      <c r="E224" t="s">
        <v>112</v>
      </c>
      <c r="F224" t="s">
        <v>113</v>
      </c>
      <c r="G224" t="s">
        <v>114</v>
      </c>
      <c r="H224" t="s">
        <v>115</v>
      </c>
      <c r="I224" t="s">
        <v>116</v>
      </c>
      <c r="J224" t="s">
        <v>117</v>
      </c>
      <c r="K224" t="s">
        <v>118</v>
      </c>
      <c r="L224" t="s">
        <v>116</v>
      </c>
      <c r="M224" t="s">
        <v>117</v>
      </c>
      <c r="N224" t="s">
        <v>118</v>
      </c>
      <c r="O224" t="s">
        <v>424</v>
      </c>
      <c r="P224" t="s">
        <v>425</v>
      </c>
      <c r="Q224" t="s">
        <v>426</v>
      </c>
      <c r="R224" t="s">
        <v>70</v>
      </c>
      <c r="S224" t="s">
        <v>427</v>
      </c>
      <c r="T224">
        <v>-95.48</v>
      </c>
      <c r="U224">
        <v>-95.48</v>
      </c>
      <c r="V224">
        <v>-95.48</v>
      </c>
      <c r="W224" t="s">
        <v>428</v>
      </c>
      <c r="X224" s="3">
        <v>46041</v>
      </c>
      <c r="Y224" s="3">
        <v>46041</v>
      </c>
      <c r="Z224" t="s">
        <v>429</v>
      </c>
      <c r="AA224" t="s">
        <v>430</v>
      </c>
      <c r="AB224" t="s">
        <v>45</v>
      </c>
      <c r="AC224" t="s">
        <v>127</v>
      </c>
      <c r="AE224">
        <v>-95.48</v>
      </c>
    </row>
    <row r="225" spans="2:31" x14ac:dyDescent="0.25">
      <c r="B225" t="s">
        <v>108</v>
      </c>
      <c r="C225" t="s">
        <v>111</v>
      </c>
      <c r="D225" t="s">
        <v>108</v>
      </c>
      <c r="E225" t="s">
        <v>112</v>
      </c>
      <c r="F225" t="s">
        <v>160</v>
      </c>
      <c r="G225" t="s">
        <v>38</v>
      </c>
      <c r="H225" t="s">
        <v>161</v>
      </c>
      <c r="I225" t="s">
        <v>160</v>
      </c>
      <c r="J225" t="s">
        <v>38</v>
      </c>
      <c r="K225" t="s">
        <v>161</v>
      </c>
      <c r="L225" t="s">
        <v>160</v>
      </c>
      <c r="M225" t="s">
        <v>38</v>
      </c>
      <c r="N225" t="s">
        <v>161</v>
      </c>
      <c r="O225" t="s">
        <v>136</v>
      </c>
      <c r="P225" t="s">
        <v>137</v>
      </c>
      <c r="Q225" t="s">
        <v>138</v>
      </c>
      <c r="R225" t="s">
        <v>269</v>
      </c>
      <c r="S225" t="s">
        <v>701</v>
      </c>
      <c r="T225">
        <v>-9034.68</v>
      </c>
      <c r="U225">
        <v>-9034.68</v>
      </c>
      <c r="V225">
        <v>-9034.68</v>
      </c>
      <c r="W225" t="s">
        <v>702</v>
      </c>
      <c r="X225" s="3">
        <v>46080</v>
      </c>
      <c r="Y225" s="3">
        <v>46080</v>
      </c>
      <c r="Z225" t="s">
        <v>703</v>
      </c>
      <c r="AA225" t="s">
        <v>704</v>
      </c>
      <c r="AB225" t="s">
        <v>45</v>
      </c>
      <c r="AC225" t="s">
        <v>127</v>
      </c>
      <c r="AE225">
        <v>-9034.68</v>
      </c>
    </row>
    <row r="226" spans="2:31" x14ac:dyDescent="0.25">
      <c r="B226" t="s">
        <v>108</v>
      </c>
      <c r="C226" t="s">
        <v>111</v>
      </c>
      <c r="D226" t="s">
        <v>108</v>
      </c>
      <c r="E226" t="s">
        <v>112</v>
      </c>
      <c r="F226" t="s">
        <v>229</v>
      </c>
      <c r="G226" t="s">
        <v>230</v>
      </c>
      <c r="H226" t="s">
        <v>231</v>
      </c>
      <c r="I226" t="s">
        <v>229</v>
      </c>
      <c r="J226" t="s">
        <v>230</v>
      </c>
      <c r="K226" t="s">
        <v>231</v>
      </c>
      <c r="L226" t="s">
        <v>229</v>
      </c>
      <c r="M226" t="s">
        <v>230</v>
      </c>
      <c r="N226" t="s">
        <v>231</v>
      </c>
      <c r="O226" t="s">
        <v>280</v>
      </c>
      <c r="P226" t="s">
        <v>281</v>
      </c>
      <c r="Q226" t="s">
        <v>282</v>
      </c>
      <c r="R226" t="s">
        <v>269</v>
      </c>
      <c r="S226" t="s">
        <v>705</v>
      </c>
      <c r="T226">
        <v>-1000</v>
      </c>
      <c r="U226">
        <v>-1000</v>
      </c>
      <c r="V226">
        <v>-1000</v>
      </c>
      <c r="W226" t="s">
        <v>706</v>
      </c>
      <c r="X226" s="3">
        <v>46054</v>
      </c>
      <c r="Y226" s="3">
        <v>46054</v>
      </c>
      <c r="Z226" t="s">
        <v>610</v>
      </c>
      <c r="AA226" t="s">
        <v>611</v>
      </c>
      <c r="AB226" t="s">
        <v>45</v>
      </c>
      <c r="AC226" t="s">
        <v>127</v>
      </c>
      <c r="AE226">
        <v>-1000</v>
      </c>
    </row>
    <row r="227" spans="2:31" x14ac:dyDescent="0.25">
      <c r="B227" t="s">
        <v>108</v>
      </c>
      <c r="C227" t="s">
        <v>111</v>
      </c>
      <c r="D227" t="s">
        <v>108</v>
      </c>
      <c r="E227" t="s">
        <v>112</v>
      </c>
      <c r="F227" t="s">
        <v>113</v>
      </c>
      <c r="G227" t="s">
        <v>114</v>
      </c>
      <c r="H227" t="s">
        <v>115</v>
      </c>
      <c r="I227" t="s">
        <v>116</v>
      </c>
      <c r="J227" t="s">
        <v>117</v>
      </c>
      <c r="K227" t="s">
        <v>118</v>
      </c>
      <c r="L227" t="s">
        <v>116</v>
      </c>
      <c r="M227" t="s">
        <v>117</v>
      </c>
      <c r="N227" t="s">
        <v>118</v>
      </c>
      <c r="O227" t="s">
        <v>302</v>
      </c>
      <c r="P227" t="s">
        <v>303</v>
      </c>
      <c r="Q227" t="s">
        <v>304</v>
      </c>
      <c r="R227" t="s">
        <v>70</v>
      </c>
      <c r="S227" t="s">
        <v>462</v>
      </c>
      <c r="T227">
        <v>-592.19000000000005</v>
      </c>
      <c r="U227">
        <v>-592.19000000000005</v>
      </c>
      <c r="V227">
        <v>-592.19000000000005</v>
      </c>
      <c r="W227" t="s">
        <v>463</v>
      </c>
      <c r="X227" s="3">
        <v>46065</v>
      </c>
      <c r="Y227" s="3">
        <v>46065</v>
      </c>
      <c r="Z227" t="s">
        <v>464</v>
      </c>
      <c r="AA227" t="s">
        <v>465</v>
      </c>
      <c r="AB227" t="s">
        <v>45</v>
      </c>
      <c r="AC227" t="s">
        <v>127</v>
      </c>
      <c r="AE227">
        <v>-592.19000000000005</v>
      </c>
    </row>
    <row r="228" spans="2:31" x14ac:dyDescent="0.25">
      <c r="B228" t="s">
        <v>108</v>
      </c>
      <c r="C228" t="s">
        <v>111</v>
      </c>
      <c r="D228" t="s">
        <v>108</v>
      </c>
      <c r="E228" t="s">
        <v>112</v>
      </c>
      <c r="F228" t="s">
        <v>160</v>
      </c>
      <c r="G228" t="s">
        <v>38</v>
      </c>
      <c r="H228" t="s">
        <v>161</v>
      </c>
      <c r="I228" t="s">
        <v>160</v>
      </c>
      <c r="J228" t="s">
        <v>38</v>
      </c>
      <c r="K228" t="s">
        <v>161</v>
      </c>
      <c r="L228" t="s">
        <v>160</v>
      </c>
      <c r="M228" t="s">
        <v>38</v>
      </c>
      <c r="N228" t="s">
        <v>161</v>
      </c>
      <c r="O228" t="s">
        <v>707</v>
      </c>
      <c r="P228" t="s">
        <v>708</v>
      </c>
      <c r="Q228" t="s">
        <v>709</v>
      </c>
      <c r="R228" t="s">
        <v>64</v>
      </c>
      <c r="S228" t="s">
        <v>710</v>
      </c>
      <c r="T228">
        <v>-1815</v>
      </c>
      <c r="U228">
        <v>-1815</v>
      </c>
      <c r="V228">
        <v>-1815</v>
      </c>
      <c r="W228" t="s">
        <v>711</v>
      </c>
      <c r="X228" s="3">
        <v>46063</v>
      </c>
      <c r="Y228" s="3">
        <v>46063</v>
      </c>
      <c r="Z228" t="s">
        <v>712</v>
      </c>
      <c r="AA228" t="s">
        <v>713</v>
      </c>
      <c r="AB228" t="s">
        <v>45</v>
      </c>
      <c r="AC228" t="s">
        <v>127</v>
      </c>
      <c r="AE228">
        <v>-1815</v>
      </c>
    </row>
    <row r="229" spans="2:31" x14ac:dyDescent="0.25">
      <c r="B229" t="s">
        <v>108</v>
      </c>
      <c r="C229" t="s">
        <v>111</v>
      </c>
      <c r="D229" t="s">
        <v>108</v>
      </c>
      <c r="E229" t="s">
        <v>112</v>
      </c>
      <c r="F229" t="s">
        <v>113</v>
      </c>
      <c r="G229" t="s">
        <v>114</v>
      </c>
      <c r="H229" t="s">
        <v>115</v>
      </c>
      <c r="I229" t="s">
        <v>116</v>
      </c>
      <c r="J229" t="s">
        <v>117</v>
      </c>
      <c r="K229" t="s">
        <v>118</v>
      </c>
      <c r="L229" t="s">
        <v>116</v>
      </c>
      <c r="M229" t="s">
        <v>117</v>
      </c>
      <c r="N229" t="s">
        <v>118</v>
      </c>
      <c r="O229" t="s">
        <v>424</v>
      </c>
      <c r="P229" t="s">
        <v>425</v>
      </c>
      <c r="Q229" t="s">
        <v>426</v>
      </c>
      <c r="R229" t="s">
        <v>70</v>
      </c>
      <c r="S229" t="s">
        <v>427</v>
      </c>
      <c r="T229">
        <v>-95.48</v>
      </c>
      <c r="U229">
        <v>-95.48</v>
      </c>
      <c r="V229">
        <v>-95.48</v>
      </c>
      <c r="W229" t="s">
        <v>428</v>
      </c>
      <c r="X229" s="3">
        <v>46041</v>
      </c>
      <c r="Y229" s="3">
        <v>46041</v>
      </c>
      <c r="Z229" t="s">
        <v>429</v>
      </c>
      <c r="AA229" t="s">
        <v>430</v>
      </c>
      <c r="AB229" t="s">
        <v>45</v>
      </c>
      <c r="AC229" t="s">
        <v>127</v>
      </c>
      <c r="AE229">
        <v>-95.48</v>
      </c>
    </row>
    <row r="230" spans="2:31" x14ac:dyDescent="0.25">
      <c r="B230" t="s">
        <v>108</v>
      </c>
      <c r="C230" t="s">
        <v>111</v>
      </c>
      <c r="D230" t="s">
        <v>108</v>
      </c>
      <c r="E230" t="s">
        <v>112</v>
      </c>
      <c r="F230" t="s">
        <v>113</v>
      </c>
      <c r="G230" t="s">
        <v>114</v>
      </c>
      <c r="H230" t="s">
        <v>115</v>
      </c>
      <c r="I230" t="s">
        <v>116</v>
      </c>
      <c r="J230" t="s">
        <v>117</v>
      </c>
      <c r="K230" t="s">
        <v>118</v>
      </c>
      <c r="L230" t="s">
        <v>116</v>
      </c>
      <c r="M230" t="s">
        <v>117</v>
      </c>
      <c r="N230" t="s">
        <v>118</v>
      </c>
      <c r="O230" t="s">
        <v>424</v>
      </c>
      <c r="P230" t="s">
        <v>425</v>
      </c>
      <c r="Q230" t="s">
        <v>426</v>
      </c>
      <c r="R230" t="s">
        <v>70</v>
      </c>
      <c r="S230" t="s">
        <v>427</v>
      </c>
      <c r="T230">
        <v>-95.48</v>
      </c>
      <c r="U230">
        <v>-95.48</v>
      </c>
      <c r="V230">
        <v>-95.48</v>
      </c>
      <c r="W230" t="s">
        <v>428</v>
      </c>
      <c r="X230" s="3">
        <v>46041</v>
      </c>
      <c r="Y230" s="3">
        <v>46041</v>
      </c>
      <c r="Z230" t="s">
        <v>429</v>
      </c>
      <c r="AA230" t="s">
        <v>430</v>
      </c>
      <c r="AB230" t="s">
        <v>45</v>
      </c>
      <c r="AC230" t="s">
        <v>127</v>
      </c>
      <c r="AE230">
        <v>-95.48</v>
      </c>
    </row>
    <row r="231" spans="2:31" x14ac:dyDescent="0.25">
      <c r="B231" t="s">
        <v>108</v>
      </c>
      <c r="C231" t="s">
        <v>111</v>
      </c>
      <c r="D231" t="s">
        <v>108</v>
      </c>
      <c r="E231" t="s">
        <v>112</v>
      </c>
      <c r="F231" t="s">
        <v>169</v>
      </c>
      <c r="G231" t="s">
        <v>170</v>
      </c>
      <c r="H231" t="s">
        <v>171</v>
      </c>
      <c r="I231" t="s">
        <v>169</v>
      </c>
      <c r="J231" t="s">
        <v>170</v>
      </c>
      <c r="K231" t="s">
        <v>171</v>
      </c>
      <c r="L231" t="s">
        <v>169</v>
      </c>
      <c r="M231" t="s">
        <v>170</v>
      </c>
      <c r="N231" t="s">
        <v>171</v>
      </c>
      <c r="O231" t="s">
        <v>136</v>
      </c>
      <c r="P231" t="s">
        <v>137</v>
      </c>
      <c r="Q231" t="s">
        <v>138</v>
      </c>
      <c r="R231" t="s">
        <v>64</v>
      </c>
      <c r="S231" t="s">
        <v>714</v>
      </c>
      <c r="T231">
        <v>-5866.37</v>
      </c>
      <c r="U231">
        <v>-5866.37</v>
      </c>
      <c r="V231">
        <v>-5866.37</v>
      </c>
      <c r="W231" t="s">
        <v>715</v>
      </c>
      <c r="X231" s="3">
        <v>46076</v>
      </c>
      <c r="Y231" s="3">
        <v>46076</v>
      </c>
      <c r="Z231" t="s">
        <v>595</v>
      </c>
      <c r="AA231" t="s">
        <v>596</v>
      </c>
      <c r="AB231" t="s">
        <v>45</v>
      </c>
      <c r="AC231" t="s">
        <v>127</v>
      </c>
      <c r="AE231">
        <v>-5866.37</v>
      </c>
    </row>
    <row r="232" spans="2:31" x14ac:dyDescent="0.25">
      <c r="B232" t="s">
        <v>108</v>
      </c>
      <c r="C232" t="s">
        <v>111</v>
      </c>
      <c r="D232" t="s">
        <v>108</v>
      </c>
      <c r="E232" t="s">
        <v>112</v>
      </c>
      <c r="F232" t="s">
        <v>113</v>
      </c>
      <c r="G232" t="s">
        <v>114</v>
      </c>
      <c r="H232" t="s">
        <v>115</v>
      </c>
      <c r="I232" t="s">
        <v>116</v>
      </c>
      <c r="J232" t="s">
        <v>117</v>
      </c>
      <c r="K232" t="s">
        <v>118</v>
      </c>
      <c r="L232" t="s">
        <v>116</v>
      </c>
      <c r="M232" t="s">
        <v>117</v>
      </c>
      <c r="N232" t="s">
        <v>118</v>
      </c>
      <c r="O232" t="s">
        <v>302</v>
      </c>
      <c r="P232" t="s">
        <v>303</v>
      </c>
      <c r="Q232" t="s">
        <v>304</v>
      </c>
      <c r="R232" t="s">
        <v>70</v>
      </c>
      <c r="S232" t="s">
        <v>462</v>
      </c>
      <c r="T232">
        <v>-592.19000000000005</v>
      </c>
      <c r="U232">
        <v>-592.19000000000005</v>
      </c>
      <c r="V232">
        <v>-592.19000000000005</v>
      </c>
      <c r="W232" t="s">
        <v>463</v>
      </c>
      <c r="X232" s="3">
        <v>46065</v>
      </c>
      <c r="Y232" s="3">
        <v>46065</v>
      </c>
      <c r="Z232" t="s">
        <v>464</v>
      </c>
      <c r="AA232" t="s">
        <v>465</v>
      </c>
      <c r="AB232" t="s">
        <v>45</v>
      </c>
      <c r="AC232" t="s">
        <v>127</v>
      </c>
      <c r="AE232">
        <v>-592.19000000000005</v>
      </c>
    </row>
    <row r="233" spans="2:31" x14ac:dyDescent="0.25">
      <c r="B233" t="s">
        <v>108</v>
      </c>
      <c r="C233" t="s">
        <v>111</v>
      </c>
      <c r="D233" t="s">
        <v>108</v>
      </c>
      <c r="E233" t="s">
        <v>112</v>
      </c>
      <c r="F233" t="s">
        <v>160</v>
      </c>
      <c r="G233" t="s">
        <v>38</v>
      </c>
      <c r="H233" t="s">
        <v>161</v>
      </c>
      <c r="I233" t="s">
        <v>160</v>
      </c>
      <c r="J233" t="s">
        <v>38</v>
      </c>
      <c r="K233" t="s">
        <v>161</v>
      </c>
      <c r="L233" t="s">
        <v>160</v>
      </c>
      <c r="M233" t="s">
        <v>38</v>
      </c>
      <c r="N233" t="s">
        <v>161</v>
      </c>
      <c r="O233" t="s">
        <v>417</v>
      </c>
      <c r="P233" t="s">
        <v>418</v>
      </c>
      <c r="Q233" t="s">
        <v>419</v>
      </c>
      <c r="R233" t="s">
        <v>64</v>
      </c>
      <c r="S233" t="s">
        <v>420</v>
      </c>
      <c r="T233">
        <v>-158.91999999999999</v>
      </c>
      <c r="U233">
        <v>-158.91999999999999</v>
      </c>
      <c r="V233">
        <v>-158.91999999999999</v>
      </c>
      <c r="W233" t="s">
        <v>421</v>
      </c>
      <c r="X233" s="3">
        <v>46050</v>
      </c>
      <c r="Y233" s="3">
        <v>46050</v>
      </c>
      <c r="Z233" t="s">
        <v>422</v>
      </c>
      <c r="AA233" t="s">
        <v>423</v>
      </c>
      <c r="AB233" t="s">
        <v>45</v>
      </c>
      <c r="AC233" t="s">
        <v>127</v>
      </c>
      <c r="AE233">
        <v>-158.91999999999999</v>
      </c>
    </row>
    <row r="234" spans="2:31" x14ac:dyDescent="0.25">
      <c r="B234" t="s">
        <v>108</v>
      </c>
      <c r="C234" t="s">
        <v>111</v>
      </c>
      <c r="D234" t="s">
        <v>108</v>
      </c>
      <c r="E234" t="s">
        <v>112</v>
      </c>
      <c r="F234" t="s">
        <v>113</v>
      </c>
      <c r="G234" t="s">
        <v>114</v>
      </c>
      <c r="H234" t="s">
        <v>115</v>
      </c>
      <c r="I234" t="s">
        <v>116</v>
      </c>
      <c r="J234" t="s">
        <v>117</v>
      </c>
      <c r="K234" t="s">
        <v>118</v>
      </c>
      <c r="L234" t="s">
        <v>116</v>
      </c>
      <c r="M234" t="s">
        <v>117</v>
      </c>
      <c r="N234" t="s">
        <v>118</v>
      </c>
      <c r="O234" t="s">
        <v>424</v>
      </c>
      <c r="P234" t="s">
        <v>425</v>
      </c>
      <c r="Q234" t="s">
        <v>426</v>
      </c>
      <c r="R234" t="s">
        <v>70</v>
      </c>
      <c r="S234" t="s">
        <v>427</v>
      </c>
      <c r="T234">
        <v>-95.56</v>
      </c>
      <c r="U234">
        <v>-95.56</v>
      </c>
      <c r="V234">
        <v>-95.56</v>
      </c>
      <c r="W234" t="s">
        <v>428</v>
      </c>
      <c r="X234" s="3">
        <v>46041</v>
      </c>
      <c r="Y234" s="3">
        <v>46041</v>
      </c>
      <c r="Z234" t="s">
        <v>429</v>
      </c>
      <c r="AA234" t="s">
        <v>430</v>
      </c>
      <c r="AB234" t="s">
        <v>45</v>
      </c>
      <c r="AC234" t="s">
        <v>127</v>
      </c>
      <c r="AE234">
        <v>-95.56</v>
      </c>
    </row>
    <row r="235" spans="2:31" hidden="1" x14ac:dyDescent="0.25">
      <c r="B235" t="s">
        <v>108</v>
      </c>
      <c r="C235" t="s">
        <v>111</v>
      </c>
      <c r="D235" t="s">
        <v>108</v>
      </c>
      <c r="E235" t="s">
        <v>112</v>
      </c>
      <c r="F235" t="s">
        <v>113</v>
      </c>
      <c r="G235" t="s">
        <v>114</v>
      </c>
      <c r="H235" t="s">
        <v>115</v>
      </c>
      <c r="I235" t="s">
        <v>116</v>
      </c>
      <c r="J235" t="s">
        <v>117</v>
      </c>
      <c r="K235" t="s">
        <v>118</v>
      </c>
      <c r="L235" t="s">
        <v>116</v>
      </c>
      <c r="M235" t="s">
        <v>117</v>
      </c>
      <c r="N235" t="s">
        <v>118</v>
      </c>
      <c r="O235" t="s">
        <v>302</v>
      </c>
      <c r="P235" t="s">
        <v>303</v>
      </c>
      <c r="Q235" t="s">
        <v>304</v>
      </c>
      <c r="R235" t="s">
        <v>205</v>
      </c>
      <c r="S235" t="s">
        <v>466</v>
      </c>
      <c r="T235">
        <v>-477.15</v>
      </c>
      <c r="U235">
        <v>-477.15</v>
      </c>
      <c r="V235">
        <v>-477.15</v>
      </c>
      <c r="W235" t="s">
        <v>467</v>
      </c>
      <c r="X235" s="3">
        <v>46030</v>
      </c>
      <c r="Y235" s="3">
        <v>46030</v>
      </c>
      <c r="Z235" t="s">
        <v>464</v>
      </c>
      <c r="AA235" t="s">
        <v>465</v>
      </c>
      <c r="AB235" t="s">
        <v>45</v>
      </c>
      <c r="AC235" t="s">
        <v>127</v>
      </c>
      <c r="AE235">
        <v>-477.15</v>
      </c>
    </row>
    <row r="236" spans="2:31" x14ac:dyDescent="0.25">
      <c r="B236" t="s">
        <v>108</v>
      </c>
      <c r="C236" t="s">
        <v>111</v>
      </c>
      <c r="D236" t="s">
        <v>108</v>
      </c>
      <c r="E236" t="s">
        <v>112</v>
      </c>
      <c r="F236" t="s">
        <v>160</v>
      </c>
      <c r="G236" t="s">
        <v>38</v>
      </c>
      <c r="H236" t="s">
        <v>161</v>
      </c>
      <c r="I236" t="s">
        <v>160</v>
      </c>
      <c r="J236" t="s">
        <v>38</v>
      </c>
      <c r="K236" t="s">
        <v>161</v>
      </c>
      <c r="L236" t="s">
        <v>160</v>
      </c>
      <c r="M236" t="s">
        <v>38</v>
      </c>
      <c r="N236" t="s">
        <v>161</v>
      </c>
      <c r="O236" t="s">
        <v>417</v>
      </c>
      <c r="P236" t="s">
        <v>418</v>
      </c>
      <c r="Q236" t="s">
        <v>419</v>
      </c>
      <c r="R236" t="s">
        <v>64</v>
      </c>
      <c r="S236" t="s">
        <v>420</v>
      </c>
      <c r="T236">
        <v>-158.91999999999999</v>
      </c>
      <c r="U236">
        <v>-158.91999999999999</v>
      </c>
      <c r="V236">
        <v>-158.91999999999999</v>
      </c>
      <c r="W236" t="s">
        <v>421</v>
      </c>
      <c r="X236" s="3">
        <v>46050</v>
      </c>
      <c r="Y236" s="3">
        <v>46050</v>
      </c>
      <c r="Z236" t="s">
        <v>422</v>
      </c>
      <c r="AA236" t="s">
        <v>423</v>
      </c>
      <c r="AB236" t="s">
        <v>45</v>
      </c>
      <c r="AC236" t="s">
        <v>127</v>
      </c>
      <c r="AE236">
        <v>-158.91999999999999</v>
      </c>
    </row>
    <row r="237" spans="2:31" x14ac:dyDescent="0.25">
      <c r="B237" t="s">
        <v>108</v>
      </c>
      <c r="C237" t="s">
        <v>111</v>
      </c>
      <c r="D237" t="s">
        <v>108</v>
      </c>
      <c r="E237" t="s">
        <v>112</v>
      </c>
      <c r="F237" t="s">
        <v>113</v>
      </c>
      <c r="G237" t="s">
        <v>114</v>
      </c>
      <c r="H237" t="s">
        <v>115</v>
      </c>
      <c r="I237" t="s">
        <v>116</v>
      </c>
      <c r="J237" t="s">
        <v>117</v>
      </c>
      <c r="K237" t="s">
        <v>118</v>
      </c>
      <c r="L237" t="s">
        <v>116</v>
      </c>
      <c r="M237" t="s">
        <v>117</v>
      </c>
      <c r="N237" t="s">
        <v>118</v>
      </c>
      <c r="O237" t="s">
        <v>302</v>
      </c>
      <c r="P237" t="s">
        <v>303</v>
      </c>
      <c r="Q237" t="s">
        <v>304</v>
      </c>
      <c r="R237" t="s">
        <v>64</v>
      </c>
      <c r="S237" t="s">
        <v>431</v>
      </c>
      <c r="T237">
        <v>-489.58</v>
      </c>
      <c r="U237">
        <v>-489.58</v>
      </c>
      <c r="V237">
        <v>-489.58</v>
      </c>
      <c r="W237" t="s">
        <v>432</v>
      </c>
      <c r="X237" s="3">
        <v>46045</v>
      </c>
      <c r="Y237" s="3">
        <v>46045</v>
      </c>
      <c r="Z237" t="s">
        <v>433</v>
      </c>
      <c r="AA237" t="s">
        <v>434</v>
      </c>
      <c r="AB237" t="s">
        <v>45</v>
      </c>
      <c r="AC237" t="s">
        <v>127</v>
      </c>
      <c r="AE237">
        <v>-489.58</v>
      </c>
    </row>
    <row r="238" spans="2:31" hidden="1" x14ac:dyDescent="0.25">
      <c r="B238" t="s">
        <v>108</v>
      </c>
      <c r="C238" t="s">
        <v>111</v>
      </c>
      <c r="D238" t="s">
        <v>108</v>
      </c>
      <c r="E238" t="s">
        <v>112</v>
      </c>
      <c r="F238" t="s">
        <v>113</v>
      </c>
      <c r="G238" t="s">
        <v>114</v>
      </c>
      <c r="H238" t="s">
        <v>115</v>
      </c>
      <c r="I238" t="s">
        <v>116</v>
      </c>
      <c r="J238" t="s">
        <v>117</v>
      </c>
      <c r="K238" t="s">
        <v>118</v>
      </c>
      <c r="L238" t="s">
        <v>116</v>
      </c>
      <c r="M238" t="s">
        <v>117</v>
      </c>
      <c r="N238" t="s">
        <v>118</v>
      </c>
      <c r="O238" t="s">
        <v>302</v>
      </c>
      <c r="P238" t="s">
        <v>303</v>
      </c>
      <c r="Q238" t="s">
        <v>304</v>
      </c>
      <c r="R238" t="s">
        <v>205</v>
      </c>
      <c r="S238" t="s">
        <v>466</v>
      </c>
      <c r="T238">
        <v>-477.15</v>
      </c>
      <c r="U238">
        <v>-477.15</v>
      </c>
      <c r="V238">
        <v>-477.15</v>
      </c>
      <c r="W238" t="s">
        <v>467</v>
      </c>
      <c r="X238" s="3">
        <v>46030</v>
      </c>
      <c r="Y238" s="3">
        <v>46030</v>
      </c>
      <c r="Z238" t="s">
        <v>464</v>
      </c>
      <c r="AA238" t="s">
        <v>465</v>
      </c>
      <c r="AB238" t="s">
        <v>45</v>
      </c>
      <c r="AC238" t="s">
        <v>127</v>
      </c>
      <c r="AE238">
        <v>-477.15</v>
      </c>
    </row>
    <row r="239" spans="2:31" x14ac:dyDescent="0.25">
      <c r="B239" t="s">
        <v>108</v>
      </c>
      <c r="C239" t="s">
        <v>111</v>
      </c>
      <c r="D239" t="s">
        <v>108</v>
      </c>
      <c r="E239" t="s">
        <v>112</v>
      </c>
      <c r="F239" t="s">
        <v>160</v>
      </c>
      <c r="G239" t="s">
        <v>38</v>
      </c>
      <c r="H239" t="s">
        <v>161</v>
      </c>
      <c r="I239" t="s">
        <v>160</v>
      </c>
      <c r="J239" t="s">
        <v>38</v>
      </c>
      <c r="K239" t="s">
        <v>161</v>
      </c>
      <c r="L239" t="s">
        <v>160</v>
      </c>
      <c r="M239" t="s">
        <v>38</v>
      </c>
      <c r="N239" t="s">
        <v>161</v>
      </c>
      <c r="O239" t="s">
        <v>280</v>
      </c>
      <c r="P239" t="s">
        <v>281</v>
      </c>
      <c r="Q239" t="s">
        <v>282</v>
      </c>
      <c r="R239" t="s">
        <v>269</v>
      </c>
      <c r="S239" t="s">
        <v>716</v>
      </c>
      <c r="T239">
        <v>-1000</v>
      </c>
      <c r="U239">
        <v>-1000</v>
      </c>
      <c r="V239">
        <v>-1000</v>
      </c>
      <c r="W239" t="s">
        <v>717</v>
      </c>
      <c r="X239" s="3">
        <v>46054</v>
      </c>
      <c r="Y239" s="3">
        <v>46054</v>
      </c>
      <c r="Z239" t="s">
        <v>287</v>
      </c>
      <c r="AA239" t="s">
        <v>288</v>
      </c>
      <c r="AB239" t="s">
        <v>45</v>
      </c>
      <c r="AC239" t="s">
        <v>127</v>
      </c>
      <c r="AE239">
        <v>-1000</v>
      </c>
    </row>
    <row r="240" spans="2:31" x14ac:dyDescent="0.25">
      <c r="B240" t="s">
        <v>108</v>
      </c>
      <c r="C240" t="s">
        <v>111</v>
      </c>
      <c r="D240" t="s">
        <v>108</v>
      </c>
      <c r="E240" t="s">
        <v>112</v>
      </c>
      <c r="F240" t="s">
        <v>435</v>
      </c>
      <c r="G240" t="s">
        <v>436</v>
      </c>
      <c r="H240" t="s">
        <v>437</v>
      </c>
      <c r="I240" t="s">
        <v>435</v>
      </c>
      <c r="J240" t="s">
        <v>436</v>
      </c>
      <c r="K240" t="s">
        <v>437</v>
      </c>
      <c r="L240" t="s">
        <v>435</v>
      </c>
      <c r="M240" t="s">
        <v>436</v>
      </c>
      <c r="N240" t="s">
        <v>437</v>
      </c>
      <c r="O240" t="s">
        <v>424</v>
      </c>
      <c r="P240" t="s">
        <v>425</v>
      </c>
      <c r="Q240" t="s">
        <v>426</v>
      </c>
      <c r="R240" t="s">
        <v>352</v>
      </c>
      <c r="S240" t="s">
        <v>718</v>
      </c>
      <c r="T240">
        <v>-120</v>
      </c>
      <c r="U240">
        <v>-120</v>
      </c>
      <c r="V240">
        <v>-120</v>
      </c>
      <c r="W240" t="s">
        <v>719</v>
      </c>
      <c r="X240" s="3">
        <v>46086</v>
      </c>
      <c r="Y240" s="3">
        <v>46086</v>
      </c>
      <c r="Z240" t="s">
        <v>720</v>
      </c>
      <c r="AA240" t="s">
        <v>721</v>
      </c>
      <c r="AB240" t="s">
        <v>45</v>
      </c>
      <c r="AC240" t="s">
        <v>127</v>
      </c>
      <c r="AE240">
        <v>-120</v>
      </c>
    </row>
    <row r="241" spans="2:31" hidden="1" x14ac:dyDescent="0.25">
      <c r="B241" t="s">
        <v>108</v>
      </c>
      <c r="C241" t="s">
        <v>111</v>
      </c>
      <c r="D241" t="s">
        <v>108</v>
      </c>
      <c r="E241" t="s">
        <v>112</v>
      </c>
      <c r="F241" t="s">
        <v>113</v>
      </c>
      <c r="G241" t="s">
        <v>114</v>
      </c>
      <c r="H241" t="s">
        <v>115</v>
      </c>
      <c r="I241" t="s">
        <v>116</v>
      </c>
      <c r="J241" t="s">
        <v>117</v>
      </c>
      <c r="K241" t="s">
        <v>118</v>
      </c>
      <c r="L241" t="s">
        <v>116</v>
      </c>
      <c r="M241" t="s">
        <v>117</v>
      </c>
      <c r="N241" t="s">
        <v>118</v>
      </c>
      <c r="O241" t="s">
        <v>302</v>
      </c>
      <c r="P241" t="s">
        <v>303</v>
      </c>
      <c r="Q241" t="s">
        <v>304</v>
      </c>
      <c r="R241" t="s">
        <v>205</v>
      </c>
      <c r="S241" t="s">
        <v>466</v>
      </c>
      <c r="T241">
        <v>-477.15</v>
      </c>
      <c r="U241">
        <v>-477.15</v>
      </c>
      <c r="V241">
        <v>-477.15</v>
      </c>
      <c r="W241" t="s">
        <v>467</v>
      </c>
      <c r="X241" s="3">
        <v>46030</v>
      </c>
      <c r="Y241" s="3">
        <v>46030</v>
      </c>
      <c r="Z241" t="s">
        <v>464</v>
      </c>
      <c r="AA241" t="s">
        <v>465</v>
      </c>
      <c r="AB241" t="s">
        <v>45</v>
      </c>
      <c r="AC241" t="s">
        <v>127</v>
      </c>
      <c r="AE241">
        <v>-477.15</v>
      </c>
    </row>
    <row r="242" spans="2:31" x14ac:dyDescent="0.25">
      <c r="B242" t="s">
        <v>108</v>
      </c>
      <c r="C242" t="s">
        <v>111</v>
      </c>
      <c r="D242" t="s">
        <v>108</v>
      </c>
      <c r="E242" t="s">
        <v>112</v>
      </c>
      <c r="F242" t="s">
        <v>113</v>
      </c>
      <c r="G242" t="s">
        <v>114</v>
      </c>
      <c r="H242" t="s">
        <v>115</v>
      </c>
      <c r="I242" t="s">
        <v>116</v>
      </c>
      <c r="J242" t="s">
        <v>117</v>
      </c>
      <c r="K242" t="s">
        <v>118</v>
      </c>
      <c r="L242" t="s">
        <v>116</v>
      </c>
      <c r="M242" t="s">
        <v>117</v>
      </c>
      <c r="N242" t="s">
        <v>118</v>
      </c>
      <c r="O242" t="s">
        <v>302</v>
      </c>
      <c r="P242" t="s">
        <v>303</v>
      </c>
      <c r="Q242" t="s">
        <v>304</v>
      </c>
      <c r="R242" t="s">
        <v>70</v>
      </c>
      <c r="S242" t="s">
        <v>462</v>
      </c>
      <c r="T242">
        <v>-592.19000000000005</v>
      </c>
      <c r="U242">
        <v>-592.19000000000005</v>
      </c>
      <c r="V242">
        <v>-592.19000000000005</v>
      </c>
      <c r="W242" t="s">
        <v>463</v>
      </c>
      <c r="X242" s="3">
        <v>46065</v>
      </c>
      <c r="Y242" s="3">
        <v>46065</v>
      </c>
      <c r="Z242" t="s">
        <v>464</v>
      </c>
      <c r="AA242" t="s">
        <v>465</v>
      </c>
      <c r="AB242" t="s">
        <v>45</v>
      </c>
      <c r="AC242" t="s">
        <v>127</v>
      </c>
      <c r="AE242">
        <v>-592.19000000000005</v>
      </c>
    </row>
    <row r="243" spans="2:31" x14ac:dyDescent="0.25">
      <c r="B243" t="s">
        <v>108</v>
      </c>
      <c r="C243" t="s">
        <v>111</v>
      </c>
      <c r="D243" t="s">
        <v>108</v>
      </c>
      <c r="E243" t="s">
        <v>112</v>
      </c>
      <c r="F243" t="s">
        <v>113</v>
      </c>
      <c r="G243" t="s">
        <v>114</v>
      </c>
      <c r="H243" t="s">
        <v>115</v>
      </c>
      <c r="I243" t="s">
        <v>116</v>
      </c>
      <c r="J243" t="s">
        <v>117</v>
      </c>
      <c r="K243" t="s">
        <v>118</v>
      </c>
      <c r="L243" t="s">
        <v>116</v>
      </c>
      <c r="M243" t="s">
        <v>117</v>
      </c>
      <c r="N243" t="s">
        <v>118</v>
      </c>
      <c r="O243" t="s">
        <v>143</v>
      </c>
      <c r="P243" t="s">
        <v>144</v>
      </c>
      <c r="Q243" t="s">
        <v>145</v>
      </c>
      <c r="R243" t="s">
        <v>122</v>
      </c>
      <c r="S243" t="s">
        <v>722</v>
      </c>
      <c r="T243">
        <v>-6545.91</v>
      </c>
      <c r="U243">
        <v>-6545.91</v>
      </c>
      <c r="V243">
        <v>-6545.91</v>
      </c>
      <c r="W243" t="s">
        <v>723</v>
      </c>
      <c r="X243" s="3">
        <v>46086</v>
      </c>
      <c r="Y243" s="3">
        <v>46086</v>
      </c>
      <c r="Z243" t="s">
        <v>148</v>
      </c>
      <c r="AA243" t="s">
        <v>149</v>
      </c>
      <c r="AB243" t="s">
        <v>45</v>
      </c>
      <c r="AC243" t="s">
        <v>127</v>
      </c>
      <c r="AE243">
        <v>-6545.91</v>
      </c>
    </row>
    <row r="244" spans="2:31" x14ac:dyDescent="0.25">
      <c r="B244" t="s">
        <v>108</v>
      </c>
      <c r="C244" t="s">
        <v>111</v>
      </c>
      <c r="D244" t="s">
        <v>108</v>
      </c>
      <c r="E244" t="s">
        <v>112</v>
      </c>
      <c r="F244" t="s">
        <v>113</v>
      </c>
      <c r="G244" t="s">
        <v>114</v>
      </c>
      <c r="H244" t="s">
        <v>115</v>
      </c>
      <c r="I244" t="s">
        <v>116</v>
      </c>
      <c r="J244" t="s">
        <v>117</v>
      </c>
      <c r="K244" t="s">
        <v>118</v>
      </c>
      <c r="L244" t="s">
        <v>116</v>
      </c>
      <c r="M244" t="s">
        <v>117</v>
      </c>
      <c r="N244" t="s">
        <v>118</v>
      </c>
      <c r="O244" t="s">
        <v>302</v>
      </c>
      <c r="P244" t="s">
        <v>303</v>
      </c>
      <c r="Q244" t="s">
        <v>304</v>
      </c>
      <c r="R244" t="s">
        <v>70</v>
      </c>
      <c r="S244" t="s">
        <v>462</v>
      </c>
      <c r="T244">
        <v>-592.19000000000005</v>
      </c>
      <c r="U244">
        <v>-592.19000000000005</v>
      </c>
      <c r="V244">
        <v>-592.19000000000005</v>
      </c>
      <c r="W244" t="s">
        <v>463</v>
      </c>
      <c r="X244" s="3">
        <v>46065</v>
      </c>
      <c r="Y244" s="3">
        <v>46065</v>
      </c>
      <c r="Z244" t="s">
        <v>464</v>
      </c>
      <c r="AA244" t="s">
        <v>465</v>
      </c>
      <c r="AB244" t="s">
        <v>45</v>
      </c>
      <c r="AC244" t="s">
        <v>127</v>
      </c>
      <c r="AE244">
        <v>-592.19000000000005</v>
      </c>
    </row>
    <row r="245" spans="2:31" x14ac:dyDescent="0.25">
      <c r="B245" t="s">
        <v>108</v>
      </c>
      <c r="C245" t="s">
        <v>111</v>
      </c>
      <c r="D245" t="s">
        <v>108</v>
      </c>
      <c r="E245" t="s">
        <v>112</v>
      </c>
      <c r="F245" t="s">
        <v>113</v>
      </c>
      <c r="G245" t="s">
        <v>114</v>
      </c>
      <c r="H245" t="s">
        <v>115</v>
      </c>
      <c r="I245" t="s">
        <v>116</v>
      </c>
      <c r="J245" t="s">
        <v>117</v>
      </c>
      <c r="K245" t="s">
        <v>118</v>
      </c>
      <c r="L245" t="s">
        <v>116</v>
      </c>
      <c r="M245" t="s">
        <v>117</v>
      </c>
      <c r="N245" t="s">
        <v>118</v>
      </c>
      <c r="O245" t="s">
        <v>302</v>
      </c>
      <c r="P245" t="s">
        <v>303</v>
      </c>
      <c r="Q245" t="s">
        <v>304</v>
      </c>
      <c r="R245" t="s">
        <v>70</v>
      </c>
      <c r="S245" t="s">
        <v>462</v>
      </c>
      <c r="T245">
        <v>-592.19000000000005</v>
      </c>
      <c r="U245">
        <v>-592.19000000000005</v>
      </c>
      <c r="V245">
        <v>-592.19000000000005</v>
      </c>
      <c r="W245" t="s">
        <v>463</v>
      </c>
      <c r="X245" s="3">
        <v>46065</v>
      </c>
      <c r="Y245" s="3">
        <v>46065</v>
      </c>
      <c r="Z245" t="s">
        <v>464</v>
      </c>
      <c r="AA245" t="s">
        <v>465</v>
      </c>
      <c r="AB245" t="s">
        <v>45</v>
      </c>
      <c r="AC245" t="s">
        <v>127</v>
      </c>
      <c r="AE245">
        <v>-592.19000000000005</v>
      </c>
    </row>
    <row r="246" spans="2:31" x14ac:dyDescent="0.25">
      <c r="B246" t="s">
        <v>108</v>
      </c>
      <c r="C246" t="s">
        <v>111</v>
      </c>
      <c r="D246" t="s">
        <v>108</v>
      </c>
      <c r="E246" t="s">
        <v>112</v>
      </c>
      <c r="F246" t="s">
        <v>160</v>
      </c>
      <c r="G246" t="s">
        <v>38</v>
      </c>
      <c r="H246" t="s">
        <v>161</v>
      </c>
      <c r="I246" t="s">
        <v>160</v>
      </c>
      <c r="J246" t="s">
        <v>38</v>
      </c>
      <c r="K246" t="s">
        <v>161</v>
      </c>
      <c r="L246" t="s">
        <v>160</v>
      </c>
      <c r="M246" t="s">
        <v>38</v>
      </c>
      <c r="N246" t="s">
        <v>161</v>
      </c>
      <c r="O246" t="s">
        <v>417</v>
      </c>
      <c r="P246" t="s">
        <v>418</v>
      </c>
      <c r="Q246" t="s">
        <v>419</v>
      </c>
      <c r="R246" t="s">
        <v>64</v>
      </c>
      <c r="S246" t="s">
        <v>420</v>
      </c>
      <c r="T246">
        <v>-158.91999999999999</v>
      </c>
      <c r="U246">
        <v>-158.91999999999999</v>
      </c>
      <c r="V246">
        <v>-158.91999999999999</v>
      </c>
      <c r="W246" t="s">
        <v>421</v>
      </c>
      <c r="X246" s="3">
        <v>46050</v>
      </c>
      <c r="Y246" s="3">
        <v>46050</v>
      </c>
      <c r="Z246" t="s">
        <v>422</v>
      </c>
      <c r="AA246" t="s">
        <v>423</v>
      </c>
      <c r="AB246" t="s">
        <v>45</v>
      </c>
      <c r="AC246" t="s">
        <v>127</v>
      </c>
      <c r="AE246">
        <v>-158.91999999999999</v>
      </c>
    </row>
    <row r="247" spans="2:31" x14ac:dyDescent="0.25">
      <c r="B247" t="s">
        <v>108</v>
      </c>
      <c r="C247" t="s">
        <v>111</v>
      </c>
      <c r="D247" t="s">
        <v>108</v>
      </c>
      <c r="E247" t="s">
        <v>112</v>
      </c>
      <c r="F247" t="s">
        <v>160</v>
      </c>
      <c r="G247" t="s">
        <v>38</v>
      </c>
      <c r="H247" t="s">
        <v>161</v>
      </c>
      <c r="I247" t="s">
        <v>160</v>
      </c>
      <c r="J247" t="s">
        <v>38</v>
      </c>
      <c r="K247" t="s">
        <v>161</v>
      </c>
      <c r="L247" t="s">
        <v>160</v>
      </c>
      <c r="M247" t="s">
        <v>38</v>
      </c>
      <c r="N247" t="s">
        <v>161</v>
      </c>
      <c r="O247" t="s">
        <v>191</v>
      </c>
      <c r="P247" t="s">
        <v>192</v>
      </c>
      <c r="Q247" t="s">
        <v>193</v>
      </c>
      <c r="T247">
        <v>-48632.589722222219</v>
      </c>
      <c r="U247">
        <v>-48632.589722222219</v>
      </c>
      <c r="V247">
        <v>-48632.589722222219</v>
      </c>
      <c r="X247" s="3">
        <v>46050</v>
      </c>
      <c r="Y247" s="3">
        <v>46050</v>
      </c>
      <c r="AA247" t="s">
        <v>724</v>
      </c>
      <c r="AB247" t="s">
        <v>45</v>
      </c>
      <c r="AC247" t="s">
        <v>725</v>
      </c>
      <c r="AE247">
        <v>-48632.589722222219</v>
      </c>
    </row>
    <row r="248" spans="2:31" x14ac:dyDescent="0.25">
      <c r="B248" t="s">
        <v>108</v>
      </c>
      <c r="C248" t="s">
        <v>111</v>
      </c>
      <c r="D248" t="s">
        <v>108</v>
      </c>
      <c r="E248" t="s">
        <v>112</v>
      </c>
      <c r="F248" t="s">
        <v>160</v>
      </c>
      <c r="G248" t="s">
        <v>38</v>
      </c>
      <c r="H248" t="s">
        <v>161</v>
      </c>
      <c r="I248" t="s">
        <v>160</v>
      </c>
      <c r="J248" t="s">
        <v>38</v>
      </c>
      <c r="K248" t="s">
        <v>161</v>
      </c>
      <c r="L248" t="s">
        <v>160</v>
      </c>
      <c r="M248" t="s">
        <v>38</v>
      </c>
      <c r="N248" t="s">
        <v>161</v>
      </c>
      <c r="O248" t="s">
        <v>191</v>
      </c>
      <c r="P248" t="s">
        <v>192</v>
      </c>
      <c r="Q248" t="s">
        <v>193</v>
      </c>
      <c r="T248">
        <v>-48632.589722222219</v>
      </c>
      <c r="U248">
        <v>-48632.589722222219</v>
      </c>
      <c r="V248">
        <v>-48632.589722222219</v>
      </c>
      <c r="X248" s="3">
        <v>46054</v>
      </c>
      <c r="Y248" s="3">
        <v>46050</v>
      </c>
      <c r="AA248" t="s">
        <v>724</v>
      </c>
      <c r="AB248" t="s">
        <v>45</v>
      </c>
      <c r="AC248" t="s">
        <v>725</v>
      </c>
      <c r="AE248">
        <v>-48632.589722222219</v>
      </c>
    </row>
  </sheetData>
  <autoFilter ref="A1:AE246" xr:uid="{00000000-0001-0000-0000-000000000000}">
    <filterColumn colId="17">
      <filters>
        <filter val="BRACOFER"/>
        <filter val="G&amp;S BARUERI"/>
        <filter val="G&amp;S CAMPO GRANDE"/>
        <filter val="G&amp;S DOURADOS"/>
        <filter val="G&amp;S LONDRINA"/>
        <filter val="G&amp;S MARINGA"/>
        <filter val="G&amp;S PRUDENTE"/>
        <filter val="G3S ADM"/>
        <filter val="G3S CAMPO GRANDE"/>
        <filter val="G3S CIDADE ALTA"/>
        <filter val="G3S DOURADOS"/>
        <filter val="G3S LONDRINA"/>
        <filter val="G3S MARINGA"/>
        <filter val="G3S PRUDENTE"/>
        <filter val="GXS MARING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242F-9633-4DFF-AD55-3D453B035D6A}">
  <dimension ref="A1:E6"/>
  <sheetViews>
    <sheetView workbookViewId="0">
      <selection activeCell="E5" activeCellId="1" sqref="E2:E3 E5:E6"/>
    </sheetView>
  </sheetViews>
  <sheetFormatPr defaultRowHeight="15" x14ac:dyDescent="0.25"/>
  <cols>
    <col min="1" max="1" width="27.140625" bestFit="1" customWidth="1"/>
    <col min="2" max="4" width="9.140625" customWidth="1"/>
  </cols>
  <sheetData>
    <row r="1" spans="1:5" x14ac:dyDescent="0.25">
      <c r="A1" t="s">
        <v>726</v>
      </c>
      <c r="B1" t="s">
        <v>727</v>
      </c>
      <c r="C1" t="s">
        <v>728</v>
      </c>
      <c r="D1" t="s">
        <v>729</v>
      </c>
      <c r="E1" s="5" t="s">
        <v>730</v>
      </c>
    </row>
    <row r="2" spans="1:5" x14ac:dyDescent="0.25">
      <c r="A2" s="11" t="s">
        <v>77</v>
      </c>
      <c r="B2" s="9">
        <v>6.2427777072609492E-2</v>
      </c>
      <c r="C2" s="9">
        <f>VLOOKUP(A2,'[1]análise H'!$D$3:$E$9,2,FALSE)</f>
        <v>8.9108910891089105E-2</v>
      </c>
      <c r="D2" s="10">
        <f>B2+C2</f>
        <v>0.1515366879636986</v>
      </c>
      <c r="E2" s="5">
        <v>0.16036784174315052</v>
      </c>
    </row>
    <row r="3" spans="1:5" x14ac:dyDescent="0.25">
      <c r="A3" s="6" t="s">
        <v>84</v>
      </c>
      <c r="B3" s="4">
        <v>2.8170740910712293E-3</v>
      </c>
      <c r="C3" s="4">
        <f>VLOOKUP(A3,'[1]análise H'!$D$3:$E$9,2,FALSE)</f>
        <v>4.9504950495049506E-3</v>
      </c>
      <c r="D3" s="5">
        <f t="shared" ref="D3:D6" si="0">B3+C3</f>
        <v>7.7675691405761794E-3</v>
      </c>
      <c r="E3" s="5">
        <v>8.2202423413352335E-3</v>
      </c>
    </row>
    <row r="4" spans="1:5" x14ac:dyDescent="0.25">
      <c r="A4" s="6" t="s">
        <v>731</v>
      </c>
      <c r="B4" s="4">
        <v>1.5464148543133591E-2</v>
      </c>
      <c r="C4" s="4">
        <f>VLOOKUP(A4,'[1]análise H'!$D$3:$E$9,2,FALSE)</f>
        <v>3.9603960396039604E-2</v>
      </c>
      <c r="D4" s="5">
        <f t="shared" si="0"/>
        <v>5.5068108939173195E-2</v>
      </c>
      <c r="E4" s="5"/>
    </row>
    <row r="5" spans="1:5" x14ac:dyDescent="0.25">
      <c r="A5" s="8" t="s">
        <v>31</v>
      </c>
      <c r="B5" s="9">
        <v>0.37294991598000066</v>
      </c>
      <c r="C5" s="9">
        <f>VLOOKUP(A5,'[1]análise H'!$D$3:$E$9,2,FALSE)</f>
        <v>0.34653465346534651</v>
      </c>
      <c r="D5" s="10">
        <f t="shared" si="0"/>
        <v>0.71948456944534711</v>
      </c>
      <c r="E5" s="5">
        <v>0.76141421011584087</v>
      </c>
    </row>
    <row r="6" spans="1:5" x14ac:dyDescent="0.25">
      <c r="A6" s="7" t="s">
        <v>91</v>
      </c>
      <c r="B6" s="4">
        <v>4.6341084313185017E-2</v>
      </c>
      <c r="C6" s="4">
        <f>VLOOKUP(A6,'[1]análise H'!$D$3:$E$9,2,FALSE)</f>
        <v>1.9801980198019802E-2</v>
      </c>
      <c r="D6" s="5">
        <f t="shared" si="0"/>
        <v>6.6143064511204816E-2</v>
      </c>
      <c r="E6" s="5">
        <v>6.9997705799673446E-2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CARGA</vt:lpstr>
      <vt:lpstr>Rateio</vt:lpstr>
      <vt:lpstr>BASE PILARES</vt:lpstr>
      <vt:lpstr>estrutura rateio pilares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Julio Oliveira Santana | Pilares</cp:lastModifiedBy>
  <cp:revision/>
  <dcterms:created xsi:type="dcterms:W3CDTF">2026-03-05T18:41:16Z</dcterms:created>
  <dcterms:modified xsi:type="dcterms:W3CDTF">2026-04-27T13:10:58Z</dcterms:modified>
  <cp:category/>
  <cp:contentStatus/>
</cp:coreProperties>
</file>