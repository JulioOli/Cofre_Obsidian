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ivotTables/pivotTable1.xml" ContentType="application/vnd.openxmlformats-officedocument.spreadsheetml.pivot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Custos-Maquinas\"/>
    </mc:Choice>
  </mc:AlternateContent>
  <xr:revisionPtr revIDLastSave="0" documentId="13_ncr:1_{AF8F78C2-0636-4881-B375-CF195FAB8F6D}" xr6:coauthVersionLast="47" xr6:coauthVersionMax="47" xr10:uidLastSave="{00000000-0000-0000-0000-000000000000}"/>
  <bookViews>
    <workbookView xWindow="-120" yWindow="-120" windowWidth="29040" windowHeight="16440" xr2:uid="{CD422316-9C3B-4D91-9C81-B94D8C867957}"/>
  </bookViews>
  <sheets>
    <sheet name="BASE DADOS" sheetId="1" r:id="rId1"/>
    <sheet name="PARÂMETROS" sheetId="8" state="hidden" r:id="rId2"/>
    <sheet name="MEDIÇÕES PARA NFS - G&amp;S" sheetId="7" r:id="rId3"/>
    <sheet name="RESUMO 1" sheetId="3" r:id="rId4"/>
    <sheet name="RESUMO 2" sheetId="11" r:id="rId5"/>
    <sheet name="VALIDACÃO RECEITAS G&amp;S  04.2026" sheetId="10" r:id="rId6"/>
    <sheet name="VALIDACÃO RECEITAS G&amp;S  05.2026" sheetId="12" r:id="rId7"/>
    <sheet name="OBSERVAÇÕES" sheetId="6" r:id="rId8"/>
  </sheets>
  <externalReferences>
    <externalReference r:id="rId9"/>
  </externalReferences>
  <definedNames>
    <definedName name="_xlnm._FilterDatabase" localSheetId="0" hidden="1">'BASE DADOS'!$A$1:$AH$91</definedName>
    <definedName name="_xlnm._FilterDatabase" localSheetId="2" hidden="1">'MEDIÇÕES PARA NFS - G&amp;S'!$A$1:$P$35</definedName>
    <definedName name="_xlnm._FilterDatabase" localSheetId="1" hidden="1">PARÂMETROS!$A$1:$J$43</definedName>
    <definedName name="_xlnm.Print_Area" localSheetId="2">'MEDIÇÕES PARA NFS - G&amp;S'!$A$1:$P$43</definedName>
  </definedNames>
  <calcPr calcId="191028"/>
  <pivotCaches>
    <pivotCache cacheId="49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1" l="1"/>
  <c r="F41" i="11"/>
  <c r="D41" i="11"/>
  <c r="B41" i="11"/>
  <c r="C41" i="11"/>
  <c r="E41" i="11"/>
  <c r="H41" i="11"/>
  <c r="H43" i="11" s="1"/>
  <c r="H31" i="11"/>
  <c r="H28" i="11"/>
  <c r="H36" i="11" s="1"/>
  <c r="G15" i="12"/>
  <c r="G8" i="12"/>
  <c r="G10" i="12"/>
  <c r="G7" i="12"/>
  <c r="P29" i="7"/>
  <c r="O32" i="7"/>
  <c r="O31" i="7"/>
  <c r="N31" i="7"/>
  <c r="N32" i="7"/>
  <c r="E23" i="12"/>
  <c r="E25" i="12"/>
  <c r="H25" i="12" s="1"/>
  <c r="E24" i="12"/>
  <c r="H24" i="12" s="1"/>
  <c r="H23" i="12"/>
  <c r="G17" i="12"/>
  <c r="H20" i="11"/>
  <c r="F18" i="11"/>
  <c r="C18" i="11"/>
  <c r="E18" i="11"/>
  <c r="D18" i="11"/>
  <c r="G18" i="11"/>
  <c r="P14" i="7"/>
  <c r="H18" i="11"/>
  <c r="P30" i="7"/>
  <c r="H8" i="11"/>
  <c r="H5" i="11"/>
  <c r="H13" i="11" s="1"/>
  <c r="N30" i="7"/>
  <c r="N29" i="7"/>
  <c r="N6" i="7"/>
  <c r="N19" i="7"/>
  <c r="N35" i="7"/>
  <c r="P35" i="7" s="1"/>
  <c r="N34" i="7"/>
  <c r="P34" i="7" s="1"/>
  <c r="N33" i="7"/>
  <c r="P33" i="7" s="1"/>
  <c r="P32" i="7"/>
  <c r="P31" i="7"/>
  <c r="N28" i="7"/>
  <c r="P28" i="7" s="1"/>
  <c r="N27" i="7"/>
  <c r="P27" i="7" s="1"/>
  <c r="N26" i="7"/>
  <c r="P26" i="7" s="1"/>
  <c r="N25" i="7"/>
  <c r="P25" i="7" s="1"/>
  <c r="N24" i="7"/>
  <c r="P24" i="7" s="1"/>
  <c r="N23" i="7"/>
  <c r="P23" i="7" s="1"/>
  <c r="N22" i="7"/>
  <c r="P22" i="7" s="1"/>
  <c r="N21" i="7"/>
  <c r="P21" i="7" s="1"/>
  <c r="N20" i="7"/>
  <c r="P20" i="7" s="1"/>
  <c r="P19" i="7"/>
  <c r="N18" i="7"/>
  <c r="P18" i="7" s="1"/>
  <c r="AG92" i="1"/>
  <c r="G16" i="10"/>
  <c r="D24" i="10"/>
  <c r="E24" i="10" s="1"/>
  <c r="H24" i="10" s="1"/>
  <c r="E23" i="10"/>
  <c r="H23" i="10" s="1"/>
  <c r="E22" i="10"/>
  <c r="H22" i="10" s="1"/>
  <c r="G6" i="10"/>
  <c r="G9" i="10" s="1"/>
  <c r="AD92" i="1"/>
  <c r="Z92" i="1"/>
  <c r="P13" i="7"/>
  <c r="N17" i="7"/>
  <c r="N16" i="7"/>
  <c r="N15" i="7"/>
  <c r="N12" i="7"/>
  <c r="N11" i="7"/>
  <c r="N10" i="7"/>
  <c r="N9" i="7"/>
  <c r="N8" i="7"/>
  <c r="P36" i="7" l="1"/>
  <c r="P6" i="7"/>
  <c r="N5" i="7"/>
  <c r="P5" i="7" s="1"/>
  <c r="N4" i="7"/>
  <c r="P4" i="7" s="1"/>
  <c r="N2" i="7"/>
  <c r="P2" i="7" s="1"/>
  <c r="N7" i="7"/>
  <c r="P7" i="7" s="1"/>
  <c r="I2" i="8"/>
  <c r="J2" i="8"/>
  <c r="I3" i="8"/>
  <c r="J3" i="8"/>
  <c r="I4" i="8"/>
  <c r="J4" i="8"/>
  <c r="I5" i="8"/>
  <c r="J5" i="8"/>
  <c r="I6" i="8"/>
  <c r="J6" i="8"/>
  <c r="I7" i="8"/>
  <c r="J7" i="8"/>
  <c r="I8" i="8"/>
  <c r="J8" i="8"/>
  <c r="I9" i="8"/>
  <c r="J9" i="8"/>
  <c r="I10" i="8"/>
  <c r="J10" i="8"/>
  <c r="I11" i="8"/>
  <c r="J11" i="8"/>
  <c r="I12" i="8"/>
  <c r="J12" i="8"/>
  <c r="I13" i="8"/>
  <c r="J13" i="8"/>
  <c r="I14" i="8"/>
  <c r="J14" i="8"/>
  <c r="I15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P15" i="7"/>
  <c r="P17" i="7"/>
  <c r="P16" i="7"/>
  <c r="P10" i="7"/>
  <c r="P9" i="7"/>
  <c r="P8" i="7"/>
  <c r="N3" i="7"/>
  <c r="P3" i="7"/>
  <c r="P11" i="7"/>
  <c r="P12" i="7"/>
  <c r="P39" i="7" l="1"/>
  <c r="L42" i="1" l="1"/>
  <c r="M42" i="1"/>
  <c r="L53" i="1"/>
  <c r="M53" i="1"/>
  <c r="L57" i="1"/>
  <c r="M57" i="1"/>
  <c r="L30" i="1"/>
  <c r="M30" i="1"/>
  <c r="L83" i="1"/>
  <c r="M83" i="1"/>
  <c r="L34" i="1"/>
  <c r="M34" i="1"/>
  <c r="L74" i="1"/>
  <c r="M74" i="1"/>
  <c r="L75" i="1"/>
  <c r="M75" i="1"/>
  <c r="L76" i="1"/>
  <c r="M76" i="1"/>
  <c r="L77" i="1"/>
  <c r="M77" i="1"/>
  <c r="L28" i="1"/>
  <c r="M28" i="1"/>
  <c r="L29" i="1"/>
  <c r="M29" i="1"/>
  <c r="L7" i="1"/>
  <c r="M7" i="1"/>
  <c r="L8" i="1"/>
  <c r="M8" i="1"/>
  <c r="L3" i="1"/>
  <c r="M3" i="1"/>
  <c r="L58" i="1"/>
  <c r="M58" i="1"/>
  <c r="L59" i="1"/>
  <c r="M59" i="1"/>
  <c r="L21" i="1"/>
  <c r="M21" i="1"/>
  <c r="L17" i="1"/>
  <c r="M17" i="1"/>
  <c r="L47" i="1"/>
  <c r="M47" i="1"/>
  <c r="L35" i="1"/>
  <c r="M35" i="1"/>
  <c r="L4" i="1"/>
  <c r="M4" i="1"/>
  <c r="L60" i="1"/>
  <c r="M60" i="1"/>
  <c r="L61" i="1"/>
  <c r="M61" i="1"/>
  <c r="L18" i="1"/>
  <c r="M18" i="1"/>
  <c r="L16" i="1"/>
  <c r="M16" i="1"/>
  <c r="L73" i="1"/>
  <c r="M73" i="1"/>
  <c r="L48" i="1"/>
  <c r="M48" i="1"/>
  <c r="L56" i="1"/>
  <c r="M56" i="1"/>
  <c r="L90" i="1"/>
  <c r="M90" i="1"/>
  <c r="L5" i="1"/>
  <c r="M5" i="1"/>
  <c r="L62" i="1"/>
  <c r="M62" i="1"/>
  <c r="L19" i="1"/>
  <c r="M19" i="1"/>
  <c r="L37" i="1"/>
  <c r="M37" i="1"/>
  <c r="L49" i="1"/>
  <c r="M49" i="1"/>
  <c r="L52" i="1"/>
  <c r="M52" i="1"/>
  <c r="L6" i="1"/>
  <c r="M6" i="1"/>
  <c r="L91" i="1"/>
  <c r="M91" i="1"/>
  <c r="L63" i="1"/>
  <c r="M63" i="1"/>
  <c r="L64" i="1"/>
  <c r="M64" i="1"/>
  <c r="L65" i="1"/>
  <c r="M65" i="1"/>
  <c r="L66" i="1"/>
  <c r="M66" i="1"/>
  <c r="L20" i="1"/>
  <c r="M20" i="1"/>
  <c r="L13" i="1"/>
  <c r="M13" i="1"/>
  <c r="L12" i="1"/>
  <c r="M12" i="1"/>
  <c r="L26" i="1"/>
  <c r="M26" i="1"/>
  <c r="L11" i="1"/>
  <c r="M11" i="1"/>
  <c r="L25" i="1"/>
  <c r="M25" i="1"/>
  <c r="L36" i="1"/>
  <c r="M36" i="1"/>
  <c r="L40" i="1"/>
  <c r="M40" i="1"/>
  <c r="L43" i="1"/>
  <c r="M43" i="1"/>
  <c r="L44" i="1"/>
  <c r="M44" i="1"/>
  <c r="L50" i="1"/>
  <c r="M50" i="1"/>
  <c r="L81" i="1"/>
  <c r="M81" i="1"/>
  <c r="L51" i="1"/>
  <c r="M51" i="1"/>
  <c r="L54" i="1"/>
  <c r="M54" i="1"/>
  <c r="L31" i="1"/>
  <c r="M31" i="1"/>
  <c r="L84" i="1"/>
  <c r="M84" i="1"/>
  <c r="L45" i="1"/>
  <c r="M45" i="1"/>
  <c r="L55" i="1"/>
  <c r="M55" i="1"/>
  <c r="L85" i="1"/>
  <c r="M85" i="1"/>
  <c r="L86" i="1"/>
  <c r="M86" i="1"/>
  <c r="L87" i="1"/>
  <c r="M87" i="1"/>
  <c r="L68" i="1"/>
  <c r="M68" i="1"/>
  <c r="L71" i="1"/>
  <c r="M71" i="1"/>
  <c r="L72" i="1"/>
  <c r="M72" i="1"/>
  <c r="L67" i="1"/>
  <c r="M67" i="1"/>
  <c r="L69" i="1"/>
  <c r="M69" i="1"/>
  <c r="L2" i="1"/>
  <c r="M2" i="1"/>
  <c r="L70" i="1"/>
  <c r="M70" i="1"/>
  <c r="L22" i="1"/>
  <c r="M22" i="1"/>
  <c r="L9" i="1"/>
  <c r="M9" i="1"/>
  <c r="L10" i="1"/>
  <c r="M10" i="1"/>
  <c r="L15" i="1"/>
  <c r="M15" i="1"/>
  <c r="L14" i="1"/>
  <c r="M14" i="1"/>
  <c r="L24" i="1"/>
  <c r="M24" i="1"/>
  <c r="L27" i="1"/>
  <c r="M27" i="1"/>
  <c r="L23" i="1"/>
  <c r="M23" i="1"/>
  <c r="L39" i="1"/>
  <c r="M39" i="1"/>
  <c r="L41" i="1"/>
  <c r="M41" i="1"/>
  <c r="L46" i="1"/>
  <c r="M46" i="1"/>
  <c r="L78" i="1"/>
  <c r="M78" i="1"/>
  <c r="L79" i="1"/>
  <c r="M79" i="1"/>
  <c r="L80" i="1"/>
  <c r="M80" i="1"/>
  <c r="L82" i="1"/>
  <c r="M82" i="1"/>
  <c r="L32" i="1"/>
  <c r="M32" i="1"/>
  <c r="L88" i="1"/>
  <c r="M88" i="1"/>
  <c r="L33" i="1"/>
  <c r="M33" i="1"/>
  <c r="L89" i="1"/>
  <c r="M89" i="1"/>
  <c r="M38" i="1"/>
  <c r="L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Cristina Sugui</author>
    <author>Cristina Sugui - Notebook</author>
    <author>tc={5A464182-6C7C-4337-AE45-F61894D470DD}</author>
    <author>tc={CAE88DC1-B98F-496B-AEBF-98A21A185487}</author>
    <author>tc={B2F15F07-8BCC-43AB-9599-ECD1684406A8}</author>
    <author>tc={81ECBB1C-6C34-40D7-B9B0-7446A2A34530}</author>
    <author>tc={627205C9-DCA7-42D9-935D-29FF84403719}</author>
    <author>tc={8FD2D1B7-BC74-4C07-9507-D5810AEDA86B}</author>
    <author>tc={A0D0A272-AC00-49C9-BC62-F58A7752C42C}</author>
    <author>tc={24A32989-89F9-4A61-BC8E-1C618BD906DD}</author>
    <author>tc={A86423A8-1AEB-4B60-A165-2A42F7193E53}</author>
    <author>tc={07FAE8A4-BCFB-42DC-8426-039C944A60F2}</author>
    <author>tc={0D00E560-535A-496D-8EEE-B198273A36F0}</author>
    <author>tc={1C6FDF68-EE66-4954-908E-F27864EB0805}</author>
    <author>tc={720A0DD7-5CEF-4A9C-B25A-1B92BCA5A252}</author>
    <author>tc={FE242C09-FA34-477F-9A0C-64B2C32262BD}</author>
    <author>tc={8532DF44-A7B5-4835-A013-4ECD0278280B}</author>
    <author>tc={DB9578B8-CD45-4395-9228-7959E93B5FD0}</author>
    <author>tc={C9D36973-910A-4235-B1E3-2F73A42F3551}</author>
    <author>tc={2CBE4784-CDA4-48AB-8FCF-D3C6DD0838A1}</author>
    <author>tc={D58DAC69-8D3A-4389-95F1-4365C22A692A}</author>
    <author>tc={8F970117-19C9-4682-817F-6A16511391CF}</author>
    <author>tc={1E6F5FBD-91EF-459C-8A51-83AE4B837C82}</author>
    <author>tc={C1141219-8FCA-4F28-9D31-9EA2AC7977C4}</author>
    <author>tc={6B8831AF-E6F2-40CA-A5C7-357FB486865E}</author>
    <author>tc={7B59DF8E-61E7-405A-8486-C64E7AC6E81D}</author>
    <author>tc={CB5C51DB-7B0B-406E-B746-FFC69AC1A107}</author>
    <author>tc={74CF1914-1B4D-4D9A-8F73-E380A6FA2D82}</author>
    <author>tc={3A2B5591-6127-403B-9969-EA2DCEE856D5}</author>
    <author>tc={2ABD1173-5086-422C-83F2-1E64E7D8DF2A}</author>
    <author>tc={77562075-F342-4E9C-89A3-34007D0A0392}</author>
    <author>tc={8FA0D43D-E4A2-4D9D-B0ED-19557A4B0E6D}</author>
    <author>tc={BBA48ACC-2012-4765-9674-A5540C0E397F}</author>
    <author>tc={F7659571-731B-49B0-9C6A-02BD7ED92647}</author>
    <author>tc={2F3DA91B-8630-4553-B6FC-AEB1FF13B2FE}</author>
    <author>tc={3E94A22B-1B33-4229-BA61-65692AFB7F30}</author>
    <author>tc={6152DA4F-3CE2-4850-BFD5-F708490EB429}</author>
    <author>tc={DB55CD62-FFC1-40E6-97AC-B736C21B2028}</author>
    <author>tc={EA31FDBA-7142-4E0F-A46F-54FE13962C4A}</author>
    <author>tc={B9DC56B5-F494-40FC-9D7E-EAA4EE7400AB}</author>
    <author>tc={BDFBB2F6-BFA8-454E-B820-7C9F6E7F6883}</author>
    <author>tc={AE11AD3C-0234-4589-88D1-A2C4520554D6}</author>
    <author>tc={F48EA356-E1EF-4082-A566-00B89BB11BDD}</author>
    <author>tc={A7E9E269-B99E-47B4-81E5-4EE980B77C0F}</author>
    <author>tc={62CE0C03-3018-4788-84CE-E57150DF153A}</author>
    <author>tc={CE20F948-2E7E-4C91-BC3C-507641BE0B96}</author>
    <author>tc={4D3259E1-8BA5-4EFD-B062-1B46C9314E20}</author>
    <author>tc={FB4003FA-4C61-4E7F-A7C3-762162FBA9FD}</author>
    <author>tc={281F98AC-800D-427A-A7E2-B10BDF49C561}</author>
    <author>tc={5D1A02AE-6BE6-4DB7-8B6E-5ADE3027749D}</author>
    <author>tc={7DFA86B8-34B5-4468-81B8-708CD55B37B1}</author>
    <author>tc={A8238F91-3AC0-4369-A0A4-863AAC220E1F}</author>
    <author>tc={41218EE9-501B-4EF6-A7B2-5E47F08483C0}</author>
    <author>tc={362FF8E8-6EA8-47A4-9B0F-6D7EE149A9F6}</author>
    <author>tc={8C641B08-6EBB-40C4-BDB6-5514A63CB5C1}</author>
    <author>tc={4BC84F0D-8B79-4208-BA4C-6D1DD8545A04}</author>
    <author>tc={E41E05DD-186D-4E6D-89E0-65F71F977AAA}</author>
    <author>tc={0B2B447E-9EC7-40F1-A3EB-058F99602CA9}</author>
    <author>tc={9F6B5067-B2CC-4D46-82EF-A08039D7FB3C}</author>
    <author>tc={05593025-6275-411D-A9DD-0D357369D29D}</author>
    <author>tc={B1320E81-B573-424F-A4A9-03509140D501}</author>
    <author>tc={EB6617C0-EF7E-4E3E-A24B-4870111F5972}</author>
    <author>tc={2F39D127-49DF-48BB-8BD1-095CDC2C5483}</author>
    <author>tc={5E473503-616B-41A4-9D37-05CACD963D56}</author>
    <author>tc={C28704F5-EBFA-4152-8D69-857FD4465E05}</author>
    <author>tc={598BBD1B-FFDB-4337-910B-132A6230A17B}</author>
    <author>tc={BCE59297-79CE-4FAC-B8B6-BBB5C6A77427}</author>
    <author>tc={D20BF602-D6BD-4E51-89F4-98E664B776F0}</author>
    <author>tc={C7ADF273-6AD7-44EC-B6DB-5385F2E976C2}</author>
    <author>tc={AFDB2E4A-ED09-49D7-98A1-74E87D2AF696}</author>
    <author>tc={CE0C7DC1-5631-43DD-A8BE-E08A4B44EF02}</author>
    <author>tc={06673133-2585-40B4-B5DD-F5326162E947}</author>
    <author>tc={5B1312DB-DE16-4E1C-B2F3-C75FEDA87515}</author>
    <author>tc={D75AC096-0972-48E9-A625-B057F4B00D34}</author>
    <author>tc={1F215DDF-AABD-48E6-91EE-172FF3D106F6}</author>
    <author>tc={520B5ADD-DB87-4F61-A626-C1CA4BCD5B41}</author>
    <author>tc={62277339-A212-4ACC-A118-25115ADEED96}</author>
    <author>tc={B4B8ADA8-BAEB-4955-9F10-44F33133521C}</author>
    <author>tc={9618D8B5-4574-4992-A214-0822A8DDB506}</author>
    <author>tc={86F27BFA-A2F4-443E-8A9D-418B77B3D17C}</author>
    <author>tc={B2148E89-EAC3-4ED0-B682-BA38B9B02DF1}</author>
    <author>tc={77152674-72D7-4BA9-9132-1AB01B4C497A}</author>
    <author>tc={C89594D1-9629-49FC-8069-BD25B6A02EED}</author>
    <author>tc={2C18E563-5305-4836-ABF4-CCC4E58FC63C}</author>
    <author>tc={AAFF9208-F1B8-471A-B2AB-49DBC487C96D}</author>
    <author>tc={EEBA5848-E3F9-42DE-96EB-9B44D4413BDD}</author>
    <author>tc={548B5FF0-8BC5-4398-A8BB-F9CDD1C103BB}</author>
    <author>tc={FB9EAC67-EF01-4550-BB21-BA8CA781CE83}</author>
    <author>tc={BFBE8156-DC91-460D-8E01-2BD6FA57E952}</author>
    <author>tc={8ACD80BE-139D-48BC-B7CC-C9831E217203}</author>
    <author>tc={BCA58911-4A55-48E5-845E-D7F257CBB410}</author>
    <author>tc={69B1F8F4-46E5-4636-9D08-023FFF00E52E}</author>
    <author>tc={34DBDD86-9027-4608-948B-311210AFE806}</author>
    <author>tc={D2DE279D-72FC-45DC-9C65-1C309A34A388}</author>
    <author>tc={74357B41-D266-45FD-8425-DA110C21BBC2}</author>
    <author>tc={882D64DB-7ECF-4132-BABB-9F1835EE8050}</author>
    <author>tc={3FAAF395-7E95-44C3-A70A-90B2ECFE068C}</author>
    <author>tc={40E61A35-5F53-4BCE-A9A9-83F7C232F170}</author>
    <author>tc={6B7EB9DE-8903-4252-9412-D19A876BF450}</author>
    <author>tc={E7FADA7F-D2CC-47B6-BFF0-F0D13126EE8A}</author>
    <author>tc={3301B586-F407-44EC-B650-C99AF9ECAD1F}</author>
    <author>tc={7584AC51-D71E-477D-AAA6-9A2DB686698B}</author>
    <author>tc={2285B428-EB34-45A9-BBC1-F5243B346BBD}</author>
    <author>tc={2ADF76D6-AA84-469D-AF84-8D485BA1AB4D}</author>
    <author>tc={70EE899F-6820-4D1F-A70C-9397ADCD3D9D}</author>
    <author>tc={71379F88-5737-413E-88AD-C6F176D79068}</author>
    <author>tc={916074D4-52E2-49D2-881C-01A1AAD816C2}</author>
    <author>tc={7F9DF5AA-0D00-4923-92FF-023D37CE9BCF}</author>
    <author>tc={0D5F4C74-49BA-45BC-A3BD-7FAD70105E59}</author>
    <author>tc={331F50C8-6321-482A-950E-33331685B92D}</author>
    <author>tc={CDD5F058-55C8-4C12-90ED-4F1973DBD71D}</author>
    <author>tc={347DEACC-0639-4B39-A40E-4D0C1B035A4A}</author>
  </authors>
  <commentList>
    <comment ref="E1" authorId="0" shapeId="0" xr:uid="{5F938E80-6B80-40A3-BFD7-1EBB1760F6A2}">
      <text>
        <r>
          <rPr>
            <sz val="11"/>
            <color theme="1"/>
            <rFont val="Aptos Narrow"/>
            <family val="2"/>
            <scheme val="minor"/>
          </rPr>
          <t>Cristina Sugui:
Receitas da G&amp;S</t>
        </r>
      </text>
    </comment>
    <comment ref="N2" authorId="1" shapeId="0" xr:uid="{AA456D1B-D7C3-4D3A-AB1A-FC18878F6322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Única de concreto é a de Prudente</t>
        </r>
      </text>
    </comment>
    <comment ref="O2" authorId="1" shapeId="0" xr:uid="{C23A0263-AFBF-46D7-B1AA-2571E03BE445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Renato passou em 04/2026 o valor da metalica de 178.000,00 mas tem mais os gastos de instalação, pediu para considerar todas como metalica para calculo do aluguel</t>
        </r>
      </text>
    </comment>
    <comment ref="J7" authorId="2" shapeId="0" xr:uid="{5A464182-6C7C-4337-AE45-F61894D47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</t>
      </text>
    </comment>
    <comment ref="J8" authorId="3" shapeId="0" xr:uid="{CAE88DC1-B98F-496B-AEBF-98A21A1854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
Braçofer - Júlio 16/01</t>
      </text>
    </comment>
    <comment ref="B9" authorId="4" shapeId="0" xr:uid="{B2F15F07-8BCC-43AB-9599-ECD1684406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Estava com status "PARA VENDA"</t>
      </text>
    </comment>
    <comment ref="J9" authorId="5" shapeId="0" xr:uid="{81ECBB1C-6C34-40D7-B9B0-7446A2A345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unidade Campo Grande - Júlio 16/01</t>
      </text>
    </comment>
    <comment ref="N9" authorId="6" shapeId="0" xr:uid="{627205C9-DCA7-42D9-935D-29FF844037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 sem Palfinger</t>
      </text>
    </comment>
    <comment ref="B10" authorId="7" shapeId="0" xr:uid="{8FD2D1B7-BC74-4C07-9507-D5810AEDA8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Estava com status "PARA VENDA"</t>
      </text>
    </comment>
    <comment ref="J10" authorId="8" shapeId="0" xr:uid="{A0D0A272-AC00-49C9-BC62-F58A7752C4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24/07/2025
unidade Prudente - Júlio 16/01/2025 
Responder:
    Sinistro conforme chamado 792636.002 Alfa Seguradora - Vinícius está tratando 
diretamente com a seguradora
Responder:
    Informado pelo Julio (10/02/26) - Alterado de Dourados para Presidente Prudente.</t>
      </text>
    </comment>
    <comment ref="N10" authorId="9" shapeId="0" xr:uid="{24A32989-89F9-4A61-BC8E-1C618BD906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retirado a Garra.</t>
      </text>
    </comment>
    <comment ref="F11" authorId="10" shapeId="0" xr:uid="{A86423A8-1AEB-4B60-A165-2A42F7193E5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Marcondes!</t>
      </text>
    </comment>
    <comment ref="J11" authorId="11" shapeId="0" xr:uid="{07FAE8A4-BCFB-42DC-8426-039C944A60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24/07/2025
Responder:
    Unidade Presidente Prudente - 25/02/2026
Responder:
    CORREÇÃO - UNIDADE MARINGÁ</t>
      </text>
    </comment>
    <comment ref="F12" authorId="12" shapeId="0" xr:uid="{0D00E560-535A-496D-8EEE-B198273A3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Marcondes validar ?</t>
      </text>
    </comment>
    <comment ref="J12" authorId="13" shapeId="0" xr:uid="{1C6FDF68-EE66-4954-908E-F27864EB08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OFINA PARA INSERIR EQUIPAMENTOS - JULIO 28/07/2025
unidade Prudente - Júlio 16/01
Responder:
    Informado pelo Julio (10/02/26) que o caminhão foi alterado de P.Pte e irá operar em Maringá.</t>
      </text>
    </comment>
    <comment ref="N12" authorId="14" shapeId="0" xr:uid="{720A0DD7-5CEF-4A9C-B25A-1B92BCA5A25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em manutenção (câmbio)
</t>
      </text>
    </comment>
    <comment ref="F13" authorId="15" shapeId="0" xr:uid="{FE242C09-FA34-477F-9A0C-64B2C32262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Marcondes validar?</t>
      </text>
    </comment>
    <comment ref="J13" authorId="16" shapeId="0" xr:uid="{8532DF44-A7B5-4835-A013-4ECD0278280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MARINGÁ - JULIO 28/07/2025 
unidade Prudente - Júlio 16/01</t>
      </text>
    </comment>
    <comment ref="N13" authorId="1" shapeId="0" xr:uid="{64D3412E-C50B-430A-B566-0FD2FE7C5A36}">
      <text>
        <r>
          <rPr>
            <b/>
            <sz val="9"/>
            <color indexed="81"/>
            <rFont val="Segoe UI"/>
            <family val="2"/>
          </rPr>
          <t>L - São as que guardam na Caçamba e a Z São as que ficam como um gafanhoto (igual o dianteiro)</t>
        </r>
      </text>
    </comment>
    <comment ref="J14" authorId="17" shapeId="0" xr:uid="{DB9578B8-CD45-4395-9228-7959E93B5F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JULIO 28/07/2025</t>
      </text>
    </comment>
    <comment ref="N14" authorId="18" shapeId="0" xr:uid="{C9D36973-910A-4235-B1E3-2F73A42F355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CAÇAMBA ADAPTADA PELA INDUSPLAN</t>
      </text>
    </comment>
    <comment ref="J15" authorId="19" shapeId="0" xr:uid="{2CBE4784-CDA4-48AB-8FCF-D3C6DD0838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N15" authorId="20" shapeId="0" xr:uid="{D58DAC69-8D3A-4389-95F1-4365C22A69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em Maringá</t>
      </text>
    </comment>
    <comment ref="C16" authorId="21" shapeId="0" xr:uid="{8F970117-19C9-4682-817F-6A16511391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Julio hoje (03/02/2026) que o caminhão irá operar na unidade de Dourados.</t>
      </text>
    </comment>
    <comment ref="N16" authorId="22" shapeId="0" xr:uid="{1E6F5FBD-91EF-459C-8A51-83AE4B837C8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essa placa está correta </t>
      </text>
    </comment>
    <comment ref="F17" authorId="23" shapeId="0" xr:uid="{C1141219-8FCA-4F28-9D31-9EA2AC7977C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 do Marcondes? </t>
      </text>
    </comment>
    <comment ref="J17" authorId="24" shapeId="0" xr:uid="{6B8831AF-E6F2-40CA-A5C7-357FB48686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CAMPO GRANDE - JULIO 28/07/25
Responder:
    Caminhão do acidente (Tombou) 
Responder:
    Verificar com @Hugo Bossolani a placa que irá substitui-lo - Reuniao com Marcondes e Gisele onde ja foi informado.</t>
      </text>
    </comment>
    <comment ref="J18" authorId="25" shapeId="0" xr:uid="{7B59DF8E-61E7-405A-8486-C64E7AC6E8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unidade Dourados - Júlio 16/01/2025</t>
      </text>
    </comment>
    <comment ref="J19" authorId="26" shapeId="0" xr:uid="{CB5C51DB-7B0B-406E-B746-FFC69AC1A10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Responder:
    unidade Londrina PR - Júlio 25/08/2025</t>
      </text>
    </comment>
    <comment ref="J20" authorId="27" shapeId="0" xr:uid="{74CF1914-1B4D-4D9A-8F73-E380A6FA2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Responder:
    Informado pelo Julio (03/02/2026) que o caminhão saiu de Dourados e operará na unidade de Londrina.
Responder:
    Informado pelo Julio (10/02) - Alterado de Londrina para operar em Maringá.</t>
      </text>
    </comment>
    <comment ref="F21" authorId="28" shapeId="0" xr:uid="{3A2B5591-6127-403B-9969-EA2DCEE856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Validado Marcondes!</t>
      </text>
    </comment>
    <comment ref="J21" authorId="29" shapeId="0" xr:uid="{2ABD1173-5086-422C-83F2-1E64E7D8DF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24/07/2025
unidade Dourados - Júlio 16/01/2025
Responder:
    Informado pelo Julio (26/03) - Caminhão operará em Campo Grande</t>
      </text>
    </comment>
    <comment ref="J22" authorId="30" shapeId="0" xr:uid="{77562075-F342-4E9C-89A3-34007D0A039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</t>
      </text>
    </comment>
    <comment ref="J23" authorId="31" shapeId="0" xr:uid="{8FA0D43D-E4A2-4D9D-B0ED-19557A4B0E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Prudente/Sucata - Júlio 25/08/2025</t>
      </text>
    </comment>
    <comment ref="J24" authorId="32" shapeId="0" xr:uid="{BBA48ACC-2012-4765-9674-A5540C0E39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24/07/2025
Responder:
    Informado pelo Julio (26/03) - Operará em Presidente Prudente</t>
      </text>
    </comment>
    <comment ref="N24" authorId="33" shapeId="0" xr:uid="{F7659571-731B-49B0-9C6A-02BD7ED926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ORIGINALMENTE O VEICULO ERA ROLLON ROLLOFF - GRIMALDI GR25 - GARRA GRIMALDI GRS 15000Z  E ESTÁ DISPONÍVEL NA OFICINA</t>
      </text>
    </comment>
    <comment ref="J25" authorId="34" shapeId="0" xr:uid="{2F3DA91B-8630-4553-B6FC-AEB1FF13B2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24/07/2025
Responder:
    Confirmado pelo Julio, caminhão operando em Maringá (06/02/26)</t>
      </text>
    </comment>
    <comment ref="J26" authorId="35" shapeId="0" xr:uid="{3E94A22B-1B33-4229-BA61-65692AFB7F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Julio 25/07/25
unidade Prudente - Júlio 16/01/25</t>
      </text>
    </comment>
    <comment ref="J27" authorId="36" shapeId="0" xr:uid="{6152DA4F-3CE2-4850-BFD5-F708490EB4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28/07/2025
unidade Prudente - Júlio 16/01</t>
      </text>
    </comment>
    <comment ref="J28" authorId="37" shapeId="0" xr:uid="{DB55CD62-FFC1-40E6-97AC-B736C21B20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
Braçofer - Júlio 16/01</t>
      </text>
    </comment>
    <comment ref="J29" authorId="38" shapeId="0" xr:uid="{EA31FDBA-7142-4E0F-A46F-54FE13962C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Braçofer - Júlio 28/07/2025</t>
      </text>
    </comment>
    <comment ref="J30" authorId="39" shapeId="0" xr:uid="{B9DC56B5-F494-40FC-9D7E-EAA4EE7400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Arcelor IRACEMÁPOLIS - Júlio 28/07/2025
Arcelor Piracicaba - Júlio 16/01
Responder:
    Informado pelo Julio (10/02) - Alterado de Iracemápolis para Piracicaba (Arcelor)</t>
      </text>
    </comment>
    <comment ref="J31" authorId="40" shapeId="0" xr:uid="{BDFBB2F6-BFA8-454E-B820-7C9F6E7F68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Arcelor RESENDE RJ - Júlio 28/07/25
Arcelor Piracicaba - Júlio 16/01</t>
      </text>
    </comment>
    <comment ref="J32" authorId="41" shapeId="0" xr:uid="{AE11AD3C-0234-4589-88D1-A2C4520554D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 ACOPLADO NA PRENSA GDU0275 - JULIO 28/07/2025</t>
      </text>
    </comment>
    <comment ref="N32" authorId="42" shapeId="0" xr:uid="{F48EA356-E1EF-4082-A566-00B89BB11B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Rebocador - a Prensa utiliza (parado)</t>
      </text>
    </comment>
    <comment ref="J33" authorId="43" shapeId="0" xr:uid="{A7E9E269-B99E-47B4-81E5-4EE980B77C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 ACOPLADO NA PRENSA QXH2G14</t>
      </text>
    </comment>
    <comment ref="C35" authorId="44" shapeId="0" xr:uid="{62CE0C03-3018-4788-84CE-E57150DF15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Máquina irá operar em Campo Grande, será transferida hoje (02/02/2026).</t>
      </text>
    </comment>
    <comment ref="E35" authorId="45" shapeId="0" xr:uid="{CE20F948-2E7E-4C91-BC3C-507641BE0B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G3S C. GRANDE &gt; CC G&amp;S 1.7.9.33</t>
      </text>
    </comment>
    <comment ref="J35" authorId="46" shapeId="0" xr:uid="{4D3259E1-8BA5-4EFD-B062-1B46C9314E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E36" authorId="47" shapeId="0" xr:uid="{FB4003FA-4C61-4E7F-A7C3-762162FBA9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da G3S PRUDENTE &gt; CC da G&amp;S (1.7.9.32</t>
      </text>
    </comment>
    <comment ref="J36" authorId="48" shapeId="0" xr:uid="{281F98AC-800D-427A-A7E2-B10BDF49C5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E37" authorId="49" shapeId="0" xr:uid="{5D1A02AE-6BE6-4DB7-8B6E-5ADE302774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CC G3S LDN &gt; CC G&amp;S 1.7.9.34</t>
      </text>
    </comment>
    <comment ref="J37" authorId="50" shapeId="0" xr:uid="{7DFA86B8-34B5-4468-81B8-708CD55B37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38" authorId="51" shapeId="0" xr:uid="{A8238F91-3AC0-4369-A0A4-863AAC220E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02/06/2026 Maquina enviada para S&amp;G Resíduos para prestar serviços em um espaço na cidade de  Pirapozinho/SP, para quebra de concretos, a pedido do Mateus Grosso.</t>
      </text>
    </comment>
    <comment ref="J39" authorId="52" shapeId="0" xr:uid="{41218EE9-501B-4EF6-A7B2-5E47F08483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
Responder:
    Informado pelo Junior (23/02/2026) - operando em Presidente Prudente</t>
      </text>
    </comment>
    <comment ref="C40" authorId="53" shapeId="0" xr:uid="{362FF8E8-6EA8-47A4-9B0F-6D7EE149A9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Contrato emitido para G&amp;S 06 - Maringá Distrito - Cidade Alta não tem G&amp;S.</t>
      </text>
    </comment>
    <comment ref="J40" authorId="54" shapeId="0" xr:uid="{8C641B08-6EBB-40C4-BDB6-5514A63CB5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C41" authorId="55" shapeId="0" xr:uid="{4BC84F0D-8B79-4208-BA4C-6D1DD8545A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na Oficina</t>
      </text>
    </comment>
    <comment ref="J41" authorId="56" shapeId="0" xr:uid="{E41E05DD-186D-4E6D-89E0-65F71F977A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42" authorId="57" shapeId="0" xr:uid="{0B2B447E-9EC7-40F1-A3EB-058F99602C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Liebher parada (RSE)</t>
      </text>
    </comment>
    <comment ref="C43" authorId="58" shapeId="0" xr:uid="{9F6B5067-B2CC-4D46-82EF-A08039D7FB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alterada de Presidente Prudente, e irá operar em Maringá.
</t>
      </text>
    </comment>
    <comment ref="C52" authorId="59" shapeId="0" xr:uid="{05593025-6275-411D-A9DD-0D357369D2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Informado pelo Edmilson que a máquina foi transferida de Maringá para Londrina, e já está operando.</t>
      </text>
    </comment>
    <comment ref="J53" authorId="60" shapeId="0" xr:uid="{B1320E81-B573-424F-A4A9-03509140D50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Disponibilizada para uso final de 05/2026 - Prudente </t>
      </text>
    </comment>
    <comment ref="N53" authorId="61" shapeId="0" xr:uid="{EB6617C0-EF7E-4E3E-A24B-4870111F597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Montada para locação (Inclusao da Garra Arden) Vai para MS
</t>
      </text>
    </comment>
    <comment ref="J54" authorId="62" shapeId="0" xr:uid="{2F39D127-49DF-48BB-8BD1-095CDC2C54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D55" authorId="63" shapeId="0" xr:uid="{5E473503-616B-41A4-9D37-05CACD963D5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se será colocado uma Maquina da Ekipa (RSE) substituindo ela para poder gerar fatura.
Responder:
    Conversado com a Cris em 23/04/2026
</t>
      </text>
    </comment>
    <comment ref="J55" authorId="64" shapeId="0" xr:uid="{C28704F5-EBFA-4152-8D69-857FD4465E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56" authorId="65" shapeId="0" xr:uid="{598BBD1B-FFDB-4337-910B-132A6230A17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57" authorId="66" shapeId="0" xr:uid="{BCE59297-79CE-4FAC-B8B6-BBB5C6A774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no barracão da Braçofer (sem uso)
Responder:
    12/05/2026 Disponibilizada para Operar na G&amp;S Prudente</t>
      </text>
    </comment>
    <comment ref="J58" authorId="67" shapeId="0" xr:uid="{D20BF602-D6BD-4E51-89F4-98E664B776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16/01</t>
      </text>
    </comment>
    <comment ref="J59" authorId="68" shapeId="0" xr:uid="{C7ADF273-6AD7-44EC-B6DB-5385F2E976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Campo Grande - Júlio 16/01</t>
      </text>
    </comment>
    <comment ref="J60" authorId="69" shapeId="0" xr:uid="{AFDB2E4A-ED09-49D7-98A1-74E87D2AF6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28/07/2025
unidade Dourados - Júlio 16/01</t>
      </text>
    </comment>
    <comment ref="J61" authorId="70" shapeId="0" xr:uid="{CE0C7DC1-5631-43DD-A8BE-E08A4B44EF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</t>
      </text>
    </comment>
    <comment ref="J62" authorId="71" shapeId="0" xr:uid="{06673133-2585-40B4-B5DD-F5326162E9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Londrina - Júlio 16/01</t>
      </text>
    </comment>
    <comment ref="J63" authorId="72" shapeId="0" xr:uid="{5B1312DB-DE16-4E1C-B2F3-C75FEDA875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J64" authorId="73" shapeId="0" xr:uid="{D75AC096-0972-48E9-A625-B057F4B00D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J65" authorId="74" shapeId="0" xr:uid="{1F215DDF-AABD-48E6-91EE-172FF3D106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Maringá - Júlio 16/01</t>
      </text>
    </comment>
    <comment ref="J66" authorId="75" shapeId="0" xr:uid="{520B5ADD-DB87-4F61-A626-C1CA4BCD5B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J67" authorId="76" shapeId="0" xr:uid="{62277339-A212-4ACC-A118-25115ADEED9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
Responder:
    Informado pelo Julio (03/02/2026) que foi alterado de unidade, de Dourados para Maringá.
Responder:
    Informado pelo Julio (10/02) - Alterado de unidade, de Maringá para Presidente Prudente.</t>
      </text>
    </comment>
    <comment ref="N67" authorId="77" shapeId="0" xr:uid="{B4B8ADA8-BAEB-4955-9F10-44F3313352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Vai ser retirada Cidade Alta para Prudente.</t>
      </text>
    </comment>
    <comment ref="J68" authorId="78" shapeId="0" xr:uid="{9618D8B5-4574-4992-A214-0822A8DDB5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J69" authorId="79" shapeId="0" xr:uid="{86F27BFA-A2F4-443E-8A9D-418B77B3D1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J70" authorId="80" shapeId="0" xr:uid="{B2148E89-EAC3-4ED0-B682-BA38B9B02D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Dourados - Júlio 16/01</t>
      </text>
    </comment>
    <comment ref="J71" authorId="81" shapeId="0" xr:uid="{77152674-72D7-4BA9-9132-1AB01B4C49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J72" authorId="82" shapeId="0" xr:uid="{C89594D1-9629-49FC-8069-BD25B6A02E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Prudente - Júlio 16/01</t>
      </text>
    </comment>
    <comment ref="J73" authorId="83" shapeId="0" xr:uid="{2C18E563-5305-4836-ABF4-CCC4E58FC6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78" authorId="84" shapeId="0" xr:uid="{AAFF9208-F1B8-471A-B2AB-49DBC487C9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79" authorId="85" shapeId="0" xr:uid="{EEBA5848-E3F9-42DE-96EB-9B44D4413B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J80" authorId="86" shapeId="0" xr:uid="{548B5FF0-8BC5-4398-A8BB-F9CDD1C103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N80" authorId="87" shapeId="0" xr:uid="{FB9EAC67-EF01-4550-BB21-BA8CA781CE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na oficina - Premer</t>
      </text>
    </comment>
    <comment ref="J82" authorId="88" shapeId="0" xr:uid="{BFBE8156-DC91-460D-8E01-2BD6FA57E9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VERIFICAR A PLCA INTERNA PHH0045 OU PHT0045???
Responder:
    Correto é PHH0045 = Prensa Hidraulica Hidroeuropa
As PHT estão erradas, pois quando chegaram o comprador que cadastrava colocou essa placa entendendo que deveria ser PHT = Prensa Hidraulica Tesoura.
Manteremos errada, pois o pessoal ja se habituou com a placa.</t>
      </text>
    </comment>
    <comment ref="J83" authorId="89" shapeId="0" xr:uid="{8ACD80BE-139D-48BC-B7CC-C9831E2172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EMPLACAMENTO COM CONCLUSAO PREVISTA PARA DAQUI A 6 MESES - A PARTIR DE 07/2024
Responder:
    @Michelle Camphora Staquecini sabe me dizer a placa CRLV desta prensa?
Responder:
    Está em processo de emplacamento e sem previsão até o momento
Responder:
    Liberada documentação em 11/08/2025 - PHH0049 para SWQ2C15
Responder:
    Informado pelo Junior (23/02/2026) - Operando em Piracicaba.</t>
      </text>
    </comment>
    <comment ref="P83" authorId="1" shapeId="0" xr:uid="{907E5F5D-29FF-4520-9430-BB7567707B1C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Z83" authorId="90" shapeId="0" xr:uid="{BCA58911-4A55-48E5-845E-D7F257CBB4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84" authorId="91" shapeId="0" xr:uid="{69B1F8F4-46E5-4636-9D08-023FFF00E5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resende rj - JULIO 28/07/2025
locada para Arcelor em Piracicaba - Julio 16/01
16 de janeiro de 2025 às 15:38
Responder:
    PHH0044 PLACA INTERNA</t>
      </text>
    </comment>
    <comment ref="Z84" authorId="92" shapeId="0" xr:uid="{34DBDD86-9027-4608-948B-311210AFE8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C85" authorId="93" shapeId="0" xr:uid="{D2DE279D-72FC-45DC-9C65-1C309A34A3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Emitir sempre no último dia do mês e enviar ao João Pualo/Andressa Francine</t>
      </text>
    </comment>
    <comment ref="J85" authorId="94" shapeId="0" xr:uid="{74357B41-D266-45FD-8425-DA110C21BB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locada para Gerdau, Jaragua do Sul - Julio 28/07/2025
locada para Gerdau, Jaragua do Sul - Julio 16/01
Responder:
    placa interna PHH0033 - substituida pela oficial EQO6E99</t>
      </text>
    </comment>
    <comment ref="Z85" authorId="95" shapeId="0" xr:uid="{882D64DB-7ECF-4132-BABB-9F1835EE80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C86" authorId="96" shapeId="0" xr:uid="{3FAAF395-7E95-44C3-A70A-90B2ECFE06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Emitir sempre no último dia do mês e enviar ao João Pualo/Andressa Francine</t>
      </text>
    </comment>
    <comment ref="J86" authorId="97" shapeId="0" xr:uid="{40E61A35-5F53-4BCE-A9A9-83F7C232F1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locada para Gerdau  - Julio 28/07/2025
locada para Gerdau  - Julio 16/01
Responder:
    PHH 0021 PLACA INTERNA</t>
      </text>
    </comment>
    <comment ref="P86" authorId="1" shapeId="0" xr:uid="{BDACB5FB-7D22-4427-82E8-83EF73E806C1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Z86" authorId="98" shapeId="0" xr:uid="{6B7EB9DE-8903-4252-9412-D19A876BF4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87" authorId="99" shapeId="0" xr:uid="{E7FADA7F-D2CC-47B6-BFF0-F0D13126EE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PHH-0061
Responder:
    Prensa em Paraná - Júlio 16/01
Responder:
    Prensa regularizada, 22/12/2025 (Jairo seguiu com regularização)
Responder:
    Informado pelo Junior (23/02/2026) - Máquina está em manutenção na unidade de Presidente Prudente, porém operará na Gerdau.</t>
      </text>
    </comment>
    <comment ref="P87" authorId="1" shapeId="0" xr:uid="{C9E6944C-C201-4A88-9515-EAFC53F92CCD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360000 euros a 6,25 mais 50% de imposto e frete</t>
        </r>
      </text>
    </comment>
    <comment ref="Z87" authorId="100" shapeId="0" xr:uid="{3301B586-F407-44EC-B650-C99AF9ECAD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AC87" authorId="101" shapeId="0" xr:uid="{7584AC51-D71E-477D-AAA6-9A2DB68669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NFS de abril emitida para G3S Maringá - conforme informação da Andressa.</t>
      </text>
    </comment>
    <comment ref="AF87" authorId="102" shapeId="0" xr:uid="{2285B428-EB34-45A9-BBC1-F5243B346B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NFS de abril emitida para G3S Maringá - conforme informação da Andressa.</t>
      </text>
    </comment>
    <comment ref="F88" authorId="103" shapeId="0" xr:uid="{2ADF76D6-AA84-469D-AF84-8D485BA1AB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por Medição</t>
      </text>
    </comment>
    <comment ref="J88" authorId="104" shapeId="0" xr:uid="{70EE899F-6820-4D1F-A70C-9397ADCD3D9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LOCALIZAÇÃO VARIÁVEL - 28/07/2025
Em Manutenção - Prudente - Julkio 16/01
Responder:
    PHH0022 PLACA INTERNA
</t>
      </text>
    </comment>
    <comment ref="N88" authorId="105" shapeId="0" xr:uid="{71379F88-5737-413E-88AD-C6F176D790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Devolvida pela Gerdau</t>
      </text>
    </comment>
    <comment ref="Z88" authorId="106" shapeId="0" xr:uid="{916074D4-52E2-49D2-881C-01A1AAD816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R$ 28.125,00</t>
      </text>
    </comment>
    <comment ref="J89" authorId="107" shapeId="0" xr:uid="{7F9DF5AA-0D00-4923-92FF-023D37CE9B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Placa interna da prensa JCH200M - criada antes da chegada do bem para lançamentos dos custos de aquisição.
Responder:
    MIchelle, boa tarde!
Grata pela informação.
Solicito informar o Luciano para criação de um centro de custo.
Responder:
    Prensa definida como SP- SELETIVA (variável).</t>
      </text>
    </comment>
    <comment ref="Z89" authorId="108" shapeId="0" xr:uid="{0D5F4C74-49BA-45BC-A3BD-7FAD70105E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R$ 23.981,72</t>
      </text>
    </comment>
    <comment ref="J90" authorId="109" shapeId="0" xr:uid="{331F50C8-6321-482A-950E-33331685B9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O90" authorId="1" shapeId="0" xr:uid="{24058C29-C24F-468D-B75B-BB2CAD696D0B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500000 euros a 6,25 mai 50% de imposto e frete</t>
        </r>
      </text>
    </comment>
    <comment ref="J91" authorId="110" shapeId="0" xr:uid="{CDD5F058-55C8-4C12-90ED-4F1973DBD7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Junior - 18/09/2025</t>
      </text>
    </comment>
    <comment ref="Z91" authorId="111" shapeId="0" xr:uid="{347DEACC-0639-4B39-A40E-4D0C1B035A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anterior R$ 7.500,00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tc={01F0D0DE-8A74-46F4-8780-E4E607EEB469}</author>
    <author>Cristina Sugui - Notebook</author>
    <author>tc={DD11C28A-B172-4E87-BE00-914C8F960359}</author>
  </authors>
  <commentList>
    <comment ref="B14" authorId="0" shapeId="0" xr:uid="{01F0D0DE-8A74-46F4-8780-E4E607EEB4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Está em manutenção em Prudente e após será enviada para Dourados</t>
      </text>
    </comment>
    <comment ref="B18" authorId="1" shapeId="0" xr:uid="{8BC23870-EBB5-4F00-95F3-5D33201B4F97}">
      <text>
        <r>
          <rPr>
            <b/>
            <sz val="9"/>
            <color indexed="81"/>
            <rFont val="Segoe UI"/>
            <family val="2"/>
          </rPr>
          <t>Cristina Sugui - Notebook:</t>
        </r>
        <r>
          <rPr>
            <sz val="9"/>
            <color indexed="81"/>
            <rFont val="Segoe UI"/>
            <family val="2"/>
          </rPr>
          <t xml:space="preserve">
Única de concreto é a de Prudente</t>
        </r>
      </text>
    </comment>
    <comment ref="B24" authorId="1" shapeId="0" xr:uid="{56625F7C-E633-4595-8732-BCAD37C76ADC}">
      <text>
        <r>
          <rPr>
            <b/>
            <sz val="9"/>
            <color indexed="81"/>
            <rFont val="Segoe UI"/>
            <family val="2"/>
          </rPr>
          <t>L - São as que guardam na Caçamba e a Z São as que ficam como um gafanhoto (igual o dianteiro)</t>
        </r>
      </text>
    </comment>
    <comment ref="B28" authorId="2" shapeId="0" xr:uid="{DD11C28A-B172-4E87-BE00-914C8F96035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ORIGINALMENTE O VEICULO ERA ROLLON ROLLOFF - GRIMALDI GR25 - GARRA GRIMALDI GRS 15000Z  E ESTÁ DISPONÍVEL NA OFICINA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tc={47156AF2-F5CC-40F2-8B55-5CA8635E7683}</author>
    <author>tc={8408DA6A-1F3C-4685-8236-A5979AAB24D2}</author>
    <author>tc={D31FF9FE-CFAB-4181-9DAB-1F8F806F9822}</author>
    <author>tc={50D7507D-6479-472B-A707-3575867F904F}</author>
    <author>tc={2969521C-149F-45DB-A8E8-93183D99CF20}</author>
    <author>tc={E747AA27-C536-48E1-A551-964FDFCA708D}</author>
    <author>tc={E067500F-7AE7-4814-BC69-D20B2E998F09}</author>
    <author>tc={1FD9990C-EFAD-4B7F-971D-EF97FD87D78B}</author>
    <author>tc={0EB6AB02-1815-4C59-8008-37FB442BD4FC}</author>
    <author>tc={E08FADD0-C912-4421-BA34-CC7D60EFB0C2}</author>
    <author>tc={FAB7D8B2-ECF4-4DA6-8F47-897B3EFEA94E}</author>
    <author>tc={9447CC22-9431-41D3-95B6-B124869E09D2}</author>
    <author>tc={08C9BFA4-EC13-43E8-B82F-664FBF3F93F5}</author>
    <author>tc={61417390-958E-47C9-B607-03A5B1454C9C}</author>
    <author>tc={9E4AF114-0C29-4EFF-9CEE-5F7F7A996294}</author>
    <author>tc={67FCEAE0-6226-41E2-A722-8CEAB8A2A281}</author>
  </authors>
  <commentList>
    <comment ref="K1" authorId="0" shapeId="0" xr:uid="{47156AF2-F5CC-40F2-8B55-5CA8635E76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26 do mês anterior</t>
      </text>
    </comment>
    <comment ref="L1" authorId="1" shapeId="0" xr:uid="{8408DA6A-1F3C-4685-8236-A5979AAB24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25 do mês corrente</t>
      </text>
    </comment>
    <comment ref="L3" authorId="2" shapeId="0" xr:uid="{D31FF9FE-CFAB-4181-9DAB-1F8F806F98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Horímetro travado, feito contato com o Edmilson que ficou de verificar, considerado 3 h/dias</t>
      </text>
    </comment>
    <comment ref="K4" authorId="3" shapeId="0" xr:uid="{50D7507D-6479-472B-A707-3575867F90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tinha o cheklist do dia 26/03 considerei o horímetro 9420 (passado pelo Neno em 22/04) dividi por 4 dias e multipliquei por 20
Responder:
    Achamos o horímetro no CTA/Abastecimento no dia 26-03-26. Consideramos esse (9314,2)</t>
      </text>
    </comment>
    <comment ref="K5" authorId="4" shapeId="0" xr:uid="{2969521C-149F-45DB-A8E8-93183D99CF2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tinha o cheklist do dia 26/03 considerei o horímetro 16227 (passado pelo Valter em 22/04) dividi por 4 dias e multipliquei por 20
Responder:
    Achamos o horímetro no CTA/Abastecimento no dia 25-03-26. Consideramos esse (16086,5)</t>
      </text>
    </comment>
    <comment ref="K6" authorId="5" shapeId="0" xr:uid="{E747AA27-C536-48E1-A551-964FDFCA70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tinha o cheklist do dia 26/03 considerei o horímetro 10737 (passado pelo Valter em 22/04) dividi por 4 dias e multipliquei por 20</t>
      </text>
    </comment>
    <comment ref="C13" authorId="6" shapeId="0" xr:uid="{E067500F-7AE7-4814-BC69-D20B2E998F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PHH0061</t>
      </text>
    </comment>
    <comment ref="P13" authorId="7" shapeId="0" xr:uid="{1FD9990C-EFAD-4B7F-971D-EF97FD87D7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Cobrar G3S de MARINGÁ-PR. Prensagem em Paranavai, Lobato e Industrial</t>
      </text>
    </comment>
    <comment ref="P14" authorId="8" shapeId="0" xr:uid="{0EB6AB02-1815-4C59-8008-37FB442BD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Cid Alta R$ 47.600/ Industrial R$ 70.210/ Dourados R$ 19.975,00/ Londrina R$ 51.340,00</t>
      </text>
    </comment>
    <comment ref="L19" authorId="9" shapeId="0" xr:uid="{E08FADD0-C912-4421-BA34-CC7D60EFB0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Horímetro travado, feito contato com o Edmilson que ficou de verificar, considerado 3 h/dias</t>
      </text>
    </comment>
    <comment ref="P20" authorId="10" shapeId="0" xr:uid="{FAB7D8B2-ECF4-4DA6-8F47-897B3EFEA9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Fechada (Paralisada por Fiscalização)</t>
      </text>
    </comment>
    <comment ref="C31" authorId="11" shapeId="0" xr:uid="{9447CC22-9431-41D3-95B6-B124869E09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PHH0061</t>
      </text>
    </comment>
    <comment ref="O31" authorId="12" shapeId="0" xr:uid="{08C9BFA4-EC13-43E8-B82F-664FBF3F93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235 pctes *850kg cada</t>
      </text>
    </comment>
    <comment ref="P31" authorId="13" shapeId="0" xr:uid="{61417390-958E-47C9-B607-03A5B1454C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Cobrar G3S de MARINGÁ-PR. Prensagem em Maringa 150pctes e Campo Mourão 85 pctes</t>
      </text>
    </comment>
    <comment ref="O32" authorId="14" shapeId="0" xr:uid="{9E4AF114-0C29-4EFF-9CEE-5F7F7A9962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2769 pacotes *850kg cada</t>
      </text>
    </comment>
    <comment ref="P32" authorId="15" shapeId="0" xr:uid="{67FCEAE0-6226-41E2-A722-8CEAB8A2A28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Dourados R$ 67.490,00 / CGrande R$ 66.470,00 / Prudente R$ 94.520,00/ Londrina R$ 6.885,00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tc={12619B20-139A-4323-B5E1-60B497BA49B9}</author>
  </authors>
  <commentList>
    <comment ref="G41" authorId="0" shapeId="0" xr:uid="{12619B20-139A-4323-B5E1-60B497BA49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Unidade Sem Operação no Mês</t>
      </text>
    </comment>
  </commentList>
</comments>
</file>

<file path=xl/sharedStrings.xml><?xml version="1.0" encoding="utf-8"?>
<sst xmlns="http://schemas.openxmlformats.org/spreadsheetml/2006/main" count="2309" uniqueCount="319">
  <si>
    <t>ESCAVADEIRA COM GARRA DINAM</t>
  </si>
  <si>
    <t>STATUS DO VEÍCULO</t>
  </si>
  <si>
    <t>LOCALIZAÇÃO</t>
  </si>
  <si>
    <t>PRIMEIRA "PERNA"</t>
  </si>
  <si>
    <t>SEGUNDA "PERNA"</t>
  </si>
  <si>
    <t>TERCEIRA "PERNA"</t>
  </si>
  <si>
    <t>PROPRIETÁRIO</t>
  </si>
  <si>
    <t>N.º CONTRATO</t>
  </si>
  <si>
    <t>LOCAÇÃO OU SERVIÇO</t>
  </si>
  <si>
    <t>PLACA</t>
  </si>
  <si>
    <t>TIPO</t>
  </si>
  <si>
    <t>MARCA</t>
  </si>
  <si>
    <t>MODELO</t>
  </si>
  <si>
    <t>IMPLEMENTO</t>
  </si>
  <si>
    <t>Preço Compra Equipamento 0 fev/2025</t>
  </si>
  <si>
    <t>Preço Compra Veículo 0 fev/2025</t>
  </si>
  <si>
    <t>Preço Rollon+Caçamba 0 fev/2025</t>
  </si>
  <si>
    <t>Preço Implemento 0 Garra 0 fev/2025</t>
  </si>
  <si>
    <t>Preço Implemento 0 Eletroima 0 fev/2025</t>
  </si>
  <si>
    <t>Preço Implemento 0 Tesoura 0 fev/2025</t>
  </si>
  <si>
    <t>Preço Implemento 0 Peneira 0 fev/2025</t>
  </si>
  <si>
    <t>∑ Conjunto (Base)</t>
  </si>
  <si>
    <t>VIDA ÚTIL</t>
  </si>
  <si>
    <t>PAYBACK
(ANOS)</t>
  </si>
  <si>
    <t>PAYBACK (MESES)</t>
  </si>
  <si>
    <t>VALOR DA LOCAÇÃO (DEPRECIAÇÃO)</t>
  </si>
  <si>
    <t>FATURA RSE MARÇO 2026</t>
  </si>
  <si>
    <t>FATURA RSE ABRIL 2026 (1°)</t>
  </si>
  <si>
    <t>2° PERNA EMISSAO NFS 04/2026</t>
  </si>
  <si>
    <t>VALOR DE MEDIÇÕES 04/2026 (NFS)</t>
  </si>
  <si>
    <t>FATURA RSE MAIO 2026 (1°)</t>
  </si>
  <si>
    <t>2° PERNA EMISSAO NFS 05/2026</t>
  </si>
  <si>
    <t>VALOR DE MEDIÇÕES 05/2026 (NFS)</t>
  </si>
  <si>
    <t>OBSERVAÇÕES CONTROLADORIA</t>
  </si>
  <si>
    <t>REGULAR</t>
  </si>
  <si>
    <t>SP - PRUDENTE - SUCATA</t>
  </si>
  <si>
    <t>RSE para G3S correspondente</t>
  </si>
  <si>
    <t>N/A</t>
  </si>
  <si>
    <t>RSE</t>
  </si>
  <si>
    <t>LOCAÇÃO</t>
  </si>
  <si>
    <t>BAL0004</t>
  </si>
  <si>
    <t>MÁQUINA</t>
  </si>
  <si>
    <t>BALANÇA RODOVIARIA - CONCRETO - 21 METROS</t>
  </si>
  <si>
    <t>NÃO</t>
  </si>
  <si>
    <t>OK</t>
  </si>
  <si>
    <t>CONTRATO OK</t>
  </si>
  <si>
    <t>MS - CAMPO GRANDE</t>
  </si>
  <si>
    <t>BAL0007</t>
  </si>
  <si>
    <t>BALANÇA RODOVIARIA - METALICA - 21 METROS</t>
  </si>
  <si>
    <t>MS - DOURADOS</t>
  </si>
  <si>
    <t>BAL0006</t>
  </si>
  <si>
    <t>PR - LONDRINA</t>
  </si>
  <si>
    <t>BAL0003</t>
  </si>
  <si>
    <t>PR - MARINGÁ</t>
  </si>
  <si>
    <t>BAL0001</t>
  </si>
  <si>
    <t>G3S - Filial 5</t>
  </si>
  <si>
    <t>RSE para G3S 5</t>
  </si>
  <si>
    <t>EJZ7495</t>
  </si>
  <si>
    <t>VEÍCULO</t>
  </si>
  <si>
    <t>CAMINHÃO / 3/4 - CARROCERIA ABERTA</t>
  </si>
  <si>
    <t>EJZ7496</t>
  </si>
  <si>
    <t>SP - PRUDENTE - RESERVA</t>
  </si>
  <si>
    <t>RSE para G&amp;S correspondente</t>
  </si>
  <si>
    <t>G&amp;S para G3S correspondente</t>
  </si>
  <si>
    <t>CTE</t>
  </si>
  <si>
    <t>SERVIÇO</t>
  </si>
  <si>
    <t>NRQ7727</t>
  </si>
  <si>
    <t>CAMINHÃO / CACAMBA BASCULANTE / GARRA PALFINGER C 80Z</t>
  </si>
  <si>
    <t>-</t>
  </si>
  <si>
    <t>NRV7727</t>
  </si>
  <si>
    <t>CAMINHÃO / CACAMBA BASCULANTENTE - GARRA PALFINGER C 80Z</t>
  </si>
  <si>
    <t>OON3B85</t>
  </si>
  <si>
    <t>CAMINHÃO / CACAMBA BASCULANTENTE - GARRA PALFINGER M 100L</t>
  </si>
  <si>
    <t>FBU7329</t>
  </si>
  <si>
    <t>CAMINHÃO / CACAMBA NÃO BASCULANTE INDUSPLAN - GARRA TRASEIRO PALFINGER M 100L</t>
  </si>
  <si>
    <t>FJQ5A08</t>
  </si>
  <si>
    <t>GHI3A74</t>
  </si>
  <si>
    <t>CAMINHÃO / CACAMBA NÃO BASCULANTE INDUSPLAN - GARRA TRASEIRO PALFINGER M 100L / ELETROIMA ZOLOAR</t>
  </si>
  <si>
    <t>GGE5059</t>
  </si>
  <si>
    <t>TKI2E74</t>
  </si>
  <si>
    <t>CAMINHÃO / ROLLON ROLLOF G25 IMAVI</t>
  </si>
  <si>
    <t>GDG8E75</t>
  </si>
  <si>
    <t>CAMINHÃO / ROLLON ROLLOFF - BUSA G25 - GARRA PALFINGER C 80Z</t>
  </si>
  <si>
    <t>BKW9I57</t>
  </si>
  <si>
    <t>GDA9J63</t>
  </si>
  <si>
    <t>BZL7H95</t>
  </si>
  <si>
    <t>BTZ8D36</t>
  </si>
  <si>
    <t>BZG6A91</t>
  </si>
  <si>
    <t>SUY4F83</t>
  </si>
  <si>
    <t>QAO4A53</t>
  </si>
  <si>
    <t>CAMINHÃO / ROLLON ROLLOFF - BUSA G25 - GARRA PALFINGER M 120Z - 4º EIXO</t>
  </si>
  <si>
    <t>OK - G&amp;S 06*</t>
  </si>
  <si>
    <t>EWU6A85</t>
  </si>
  <si>
    <t>CAMINHÃO / ROLLON ROLLOFF - IMAVI G25</t>
  </si>
  <si>
    <t>FRT7548</t>
  </si>
  <si>
    <t>CAMINHÃO / ROLLON ROLLOFF - IMAVI G25 - GARRA PALFINGER C 80Z</t>
  </si>
  <si>
    <t>EJZ7J97</t>
  </si>
  <si>
    <t>CAMINHÃO / TOCO - POLI DUPLO</t>
  </si>
  <si>
    <t>CZB9H07</t>
  </si>
  <si>
    <t>CAMINHÃO / TRUCK - CARROCERIA ABERTA</t>
  </si>
  <si>
    <t>HAR1F82</t>
  </si>
  <si>
    <t>ARCELOR - PIRACICABA</t>
  </si>
  <si>
    <t>RSE para G&amp;S Barueri</t>
  </si>
  <si>
    <t>G&amp;S para cliente</t>
  </si>
  <si>
    <t>NFS</t>
  </si>
  <si>
    <t>EWU6A79</t>
  </si>
  <si>
    <t>CAMINHÃO TRACADO / REBOCADOR</t>
  </si>
  <si>
    <t>RJ - RESENDE</t>
  </si>
  <si>
    <t>EWU5857</t>
  </si>
  <si>
    <t>SP - SELETIVA (variável)</t>
  </si>
  <si>
    <t>GDY0H74</t>
  </si>
  <si>
    <t>GDB3A42</t>
  </si>
  <si>
    <t>EUS0048</t>
  </si>
  <si>
    <t>CORTE E DOBRA - EURA 13</t>
  </si>
  <si>
    <t>VER HORA</t>
  </si>
  <si>
    <t>EHH0019</t>
  </si>
  <si>
    <t>ESCAVADEIRA / GARRA</t>
  </si>
  <si>
    <t>EHH0006</t>
  </si>
  <si>
    <t>ESCAVADEIRA / GARRA CHB</t>
  </si>
  <si>
    <t>EHH0008</t>
  </si>
  <si>
    <t>ESCAVADEIRA / GARRA CHB / ELETROIMA ZOLOAR</t>
  </si>
  <si>
    <t>AGUARDAR</t>
  </si>
  <si>
    <t>?</t>
  </si>
  <si>
    <t>EHH0009</t>
  </si>
  <si>
    <t>ESCAVADEIRA / GARRA DINAMAC</t>
  </si>
  <si>
    <t>EHH0007</t>
  </si>
  <si>
    <t>PR - MARINGÁ (CIDADE ALTA)</t>
  </si>
  <si>
    <t>EHH0004</t>
  </si>
  <si>
    <t>ESCAVADEIRA / GARRA DINAMAC / ELETROIMA ZOLOAR</t>
  </si>
  <si>
    <t>MARCONDES VALIDAR</t>
  </si>
  <si>
    <t>EHH0005</t>
  </si>
  <si>
    <t xml:space="preserve">CONTRATO OK </t>
  </si>
  <si>
    <t>EHL0013</t>
  </si>
  <si>
    <t>ESCAVADEIRA / GARRA LIEBHERR</t>
  </si>
  <si>
    <t>EHL0014</t>
  </si>
  <si>
    <t>EHL0043</t>
  </si>
  <si>
    <t xml:space="preserve">OK </t>
  </si>
  <si>
    <t>SC - JOINVILLE</t>
  </si>
  <si>
    <t>EHL0041</t>
  </si>
  <si>
    <t>USADA NA EMPRESA (G3S)</t>
  </si>
  <si>
    <t>G3S 01</t>
  </si>
  <si>
    <t>EHL0028</t>
  </si>
  <si>
    <t>NAO EMITIR - USADA NA PROPRIA G3S</t>
  </si>
  <si>
    <t>EHH0038</t>
  </si>
  <si>
    <t>ESCAVADEIRA / GARRA LIEBHERR / ELETROIMA ZOLOAR</t>
  </si>
  <si>
    <t>EHH0036</t>
  </si>
  <si>
    <t>EHH0040</t>
  </si>
  <si>
    <t>EHH0039</t>
  </si>
  <si>
    <t>RJ - BARRA MANSA</t>
  </si>
  <si>
    <t>EHH0037</t>
  </si>
  <si>
    <t>EHH0002</t>
  </si>
  <si>
    <t>ESCAVADEIRA / PENEIRA ITALIANA MB S16</t>
  </si>
  <si>
    <t>FATURAR MAIO</t>
  </si>
  <si>
    <t>EHH0046</t>
  </si>
  <si>
    <t>ESCAVADEIRA / PENEIRA MB S18</t>
  </si>
  <si>
    <t>EHH0015</t>
  </si>
  <si>
    <t xml:space="preserve">VERIFICAR G3S PARA G&amp;S </t>
  </si>
  <si>
    <t>EHH0044</t>
  </si>
  <si>
    <t>ESCAVADEIRA / TESOURA ARDEN</t>
  </si>
  <si>
    <t>AGUARDAR - IRÁ EMITIR FATURA ?</t>
  </si>
  <si>
    <t>EHH0003</t>
  </si>
  <si>
    <t>ESCAVADEIRA / TESOURA VTN</t>
  </si>
  <si>
    <t>EHL0070</t>
  </si>
  <si>
    <t>ESCAVADEIRA LIEBHERR LH30M COM 1 GARRA - MAIS 2 GARRAS ADICIONAIS</t>
  </si>
  <si>
    <t>EWU6341</t>
  </si>
  <si>
    <t>JULIETA ROLLON ROLLOFF - 3 EIXOS</t>
  </si>
  <si>
    <t>OK - G&amp;S **</t>
  </si>
  <si>
    <t>EWU6294</t>
  </si>
  <si>
    <t>FJU8F67</t>
  </si>
  <si>
    <t>FUF1E28</t>
  </si>
  <si>
    <t>OK  - G&amp;S **</t>
  </si>
  <si>
    <t>FTP7D76</t>
  </si>
  <si>
    <t>EWU6154</t>
  </si>
  <si>
    <t>EWU6204</t>
  </si>
  <si>
    <t>EWU6343</t>
  </si>
  <si>
    <t>EWU6B52</t>
  </si>
  <si>
    <t xml:space="preserve">SP - PRUDENTE - SUCATA </t>
  </si>
  <si>
    <t>QAU6E20</t>
  </si>
  <si>
    <t>EWU6342</t>
  </si>
  <si>
    <t>EWU6143</t>
  </si>
  <si>
    <t>FZF3J28</t>
  </si>
  <si>
    <t>FUP3G76</t>
  </si>
  <si>
    <t>FVQ3B78</t>
  </si>
  <si>
    <t>EHL0042</t>
  </si>
  <si>
    <t>MANIPULADOR / GARRA LIEBHERR</t>
  </si>
  <si>
    <t>CCS0052</t>
  </si>
  <si>
    <t>MÁQUINA CORTADEIRA - C4</t>
  </si>
  <si>
    <t>DPS0050</t>
  </si>
  <si>
    <t>MÁQUINA DOBRADEIRA - P3 2V-2D</t>
  </si>
  <si>
    <t>DPS0051</t>
  </si>
  <si>
    <t>ACS0049</t>
  </si>
  <si>
    <t>MÁQUINA ESTRIBADEIRA ACO 8</t>
  </si>
  <si>
    <t>PHJ0054</t>
  </si>
  <si>
    <t>PRENSA 30X30</t>
  </si>
  <si>
    <t>PHH0031</t>
  </si>
  <si>
    <t>PRENSA 40X40</t>
  </si>
  <si>
    <t>PHT0025</t>
  </si>
  <si>
    <t>PRENSA 60X60</t>
  </si>
  <si>
    <t>PHH0061</t>
  </si>
  <si>
    <t>PRENSA FIXA JCG800</t>
  </si>
  <si>
    <t>PHH0045</t>
  </si>
  <si>
    <t>SWQ2C15 / PHH0049</t>
  </si>
  <si>
    <t>PRENSA MÓVEL JCH200M</t>
  </si>
  <si>
    <t>GBL8H44</t>
  </si>
  <si>
    <t>SP - GERDAU</t>
  </si>
  <si>
    <t>RSE direto para cliente</t>
  </si>
  <si>
    <t>EQO6E99</t>
  </si>
  <si>
    <t>EWU6041</t>
  </si>
  <si>
    <t>POR TONELADA</t>
  </si>
  <si>
    <t>QXH2G14</t>
  </si>
  <si>
    <t>G&amp;S para Cliente</t>
  </si>
  <si>
    <t>GDU0275</t>
  </si>
  <si>
    <t>AGUARDAR - R$ 38.000,00</t>
  </si>
  <si>
    <t>PHH0062</t>
  </si>
  <si>
    <t>PHT0018/PHH0018</t>
  </si>
  <si>
    <t>PRENSA SEMIFIXA JCG600</t>
  </si>
  <si>
    <t>BHM0047</t>
  </si>
  <si>
    <t>TILTER</t>
  </si>
  <si>
    <t>ID</t>
  </si>
  <si>
    <t>MÁQUINA + IMPLEMENTO</t>
  </si>
  <si>
    <t>LOCAÇÃO FIXA E MENSAL</t>
  </si>
  <si>
    <t>HORA-MAQUINA</t>
  </si>
  <si>
    <t>TONELADA PROCESSADA</t>
  </si>
  <si>
    <t>DIAS / MÊS</t>
  </si>
  <si>
    <t>HORAS / DIA</t>
  </si>
  <si>
    <t>HORAS / MÊS</t>
  </si>
  <si>
    <t>CAPACIDADE DE PRODUÇÃO (100%)</t>
  </si>
  <si>
    <t xml:space="preserve">ESCAVADEIRA </t>
  </si>
  <si>
    <t>COMPETÊNCIA</t>
  </si>
  <si>
    <t>HORIMETRO INICIAL</t>
  </si>
  <si>
    <t>HORIMETRO FINAL</t>
  </si>
  <si>
    <t>VALOR A FATURAR</t>
  </si>
  <si>
    <t>PR - MARINGÁ - CID. ALTA</t>
  </si>
  <si>
    <t>SP - SELETIVA - VARIAVEL</t>
  </si>
  <si>
    <t>ESCAVADEIRA  GARRA CHB</t>
  </si>
  <si>
    <t xml:space="preserve">Notas Fiscais Serviços G&amp;S x G3S </t>
  </si>
  <si>
    <t>Emissão CTE 03/2026</t>
  </si>
  <si>
    <t>G&amp;S Prudente</t>
  </si>
  <si>
    <t>41 CTE</t>
  </si>
  <si>
    <t>No mês 3 foi emitido referente a todas as coletas?</t>
  </si>
  <si>
    <t>G&amp;S Dourados</t>
  </si>
  <si>
    <t>55 CTE</t>
  </si>
  <si>
    <t>G&amp;S Londrina</t>
  </si>
  <si>
    <t>G&amp;S Maringa</t>
  </si>
  <si>
    <t>69 CTE</t>
  </si>
  <si>
    <t xml:space="preserve"> </t>
  </si>
  <si>
    <t>(Tudo)</t>
  </si>
  <si>
    <t>Unidade Operacional &gt; Ativo</t>
  </si>
  <si>
    <t xml:space="preserve"> VALOR DA LOCAÇÃO (DEPRECIAÇÃO)</t>
  </si>
  <si>
    <t>Total Geral</t>
  </si>
  <si>
    <t>RSE a receber G3S</t>
  </si>
  <si>
    <t>G3S 03</t>
  </si>
  <si>
    <t>G3S 04</t>
  </si>
  <si>
    <t>G3S 05</t>
  </si>
  <si>
    <t>G3S 06</t>
  </si>
  <si>
    <t>G3S 08</t>
  </si>
  <si>
    <t>TOTAL</t>
  </si>
  <si>
    <t>RSE a receber G&amp;S</t>
  </si>
  <si>
    <t>G&amp;S 01</t>
  </si>
  <si>
    <t>G&amp;S 03</t>
  </si>
  <si>
    <t>G&amp;S 04</t>
  </si>
  <si>
    <t>G&amp;S 05</t>
  </si>
  <si>
    <t>G&amp;S 06</t>
  </si>
  <si>
    <t>G&amp;S 07</t>
  </si>
  <si>
    <t>RSE a receber GERDAU</t>
  </si>
  <si>
    <t>LOCAÇÃO DE PRENSA JCH 200 - EQO6E99</t>
  </si>
  <si>
    <t>LOCAÇÃO DE PRENSA JCH 200 - EWU6041</t>
  </si>
  <si>
    <t xml:space="preserve"> TOTAL FATURAS -  LOCAÇÃO RSE</t>
  </si>
  <si>
    <t>G&amp;S a receber G3S</t>
  </si>
  <si>
    <t>G3S 11</t>
  </si>
  <si>
    <t xml:space="preserve"> TOTAL NOTAS SERVIÇOS -  MEDIÇÕES G&amp;S</t>
  </si>
  <si>
    <t>G&amp;S</t>
  </si>
  <si>
    <t>Emissão CTE 04/2026</t>
  </si>
  <si>
    <t>CTEs 04/2026</t>
  </si>
  <si>
    <t>Notas Fiscais de Serviços (Clientes Externos) G&amp;S Barueri</t>
  </si>
  <si>
    <t>NFS Clientes Externos</t>
  </si>
  <si>
    <t>Notas Fiscais de Serviços (G3S - Medições)</t>
  </si>
  <si>
    <t>NFS G3S - Medições</t>
  </si>
  <si>
    <t>Faturamento Total - 04/2026</t>
  </si>
  <si>
    <t xml:space="preserve">Faturas de Locação (Clientes Externos) </t>
  </si>
  <si>
    <t>Faturas (G3S /G&amp;S- Locações)</t>
  </si>
  <si>
    <t>DEMONSTRATIVO DE FATURAMENTO G&amp;S - 1° TRIMESTRE/2026</t>
  </si>
  <si>
    <t>DEC. FATURAMENTO</t>
  </si>
  <si>
    <t>DIFERENÇA</t>
  </si>
  <si>
    <t>Faturamento G&amp;S 01/2026</t>
  </si>
  <si>
    <t>Faturamento G&amp;S 02/2026</t>
  </si>
  <si>
    <t>Faturamento G&amp;S 03/2026</t>
  </si>
  <si>
    <t>**</t>
  </si>
  <si>
    <t>Emissão CTE 05/2026</t>
  </si>
  <si>
    <t>TOTAL CTEs</t>
  </si>
  <si>
    <t>CTEs 05/2026</t>
  </si>
  <si>
    <t>Faturamento Total G&amp;S - 05/2026</t>
  </si>
  <si>
    <t>Faturamento Total RSE - 05/2026</t>
  </si>
  <si>
    <t>DEMONSTRATIVO DE FATURAMENTO G&amp;S - 2° TRIMESTRE/2026</t>
  </si>
  <si>
    <t>Faturamento G&amp;S 04/2026</t>
  </si>
  <si>
    <t>Faturamento G&amp;S 05/2026</t>
  </si>
  <si>
    <t>Faturamento G&amp;S 06/2026</t>
  </si>
  <si>
    <t>Análise Previa de Resultados</t>
  </si>
  <si>
    <t>Enviar para Prado e Ossucci, Faturas, Notas de Serviços e CTEs emitidos (e/ou projeção) pela G&amp;S, mês 04/2026, para conferência de possível Lucro.</t>
  </si>
  <si>
    <t>Despesas, Notas de Compras e etc .. Pegam diretamente no Sagi?</t>
  </si>
  <si>
    <t>Obs: G&amp;S dar lucro! (Lucro Real) - Lucro somente na RSE</t>
  </si>
  <si>
    <t>Marcondes 22/04 - Validação de Ativos para Cobrança</t>
  </si>
  <si>
    <t>Verificar quais caminhões (placas) vão ser utilizados?</t>
  </si>
  <si>
    <t>Verificar caminhões reservas (vai precisar?)</t>
  </si>
  <si>
    <t>O que não for utilizar trazer para Prudente (para possivel venda)</t>
  </si>
  <si>
    <t>GISELE E ANDRESSA</t>
  </si>
  <si>
    <t>1 - Prensa Movel - Validar periodo de fechamento (26 a 25)</t>
  </si>
  <si>
    <t>2 - Mensalmente vir o volume R$ 100,00 / tonelada com emissao NFS</t>
  </si>
  <si>
    <t>Escavadeira por hora utilizada</t>
  </si>
  <si>
    <t>Vir por hora - Unidade que será faturada (Unid de Venda)</t>
  </si>
  <si>
    <t>Pagar de acordo com o controle da produção (encima é o calculo de comissao)</t>
  </si>
  <si>
    <t>Quando ficar no patio tambem calcular</t>
  </si>
  <si>
    <t>Carragemento direto + processamento em pátio</t>
  </si>
  <si>
    <t>Entendimento: G3S é um Cliente, como se fosse externo (Mobilizou ou Desmobilizou vir contrato, reajuste, aditivo, mudança de hora) - Tudo Formalizado</t>
  </si>
  <si>
    <t>Todo controle de contratos e Financeiro</t>
  </si>
  <si>
    <t>Acrescentar esses novos contratos no controle de faturamento das maquinas que é feito atualmente para clientes externos</t>
  </si>
  <si>
    <t>Hora/Valor/Prazo</t>
  </si>
  <si>
    <t>Fechamento Medições - Dia 25</t>
  </si>
  <si>
    <t>Dia 26 - Fechamento Gisele - Envio a Andressa (Todos os relatorios por hora)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</si>
</sst>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"/>
    <numFmt numFmtId="165" formatCode="_-[$R$-416]\ * #,##0.00_-;\-[$R$-416]\ * #,##0.00_-;_-[$R$-416]\ * &quot;-&quot;??_-;_-@_-"/>
    <numFmt numFmtId="166" formatCode="[$-416]mmm\-yy;@"/>
    <numFmt numFmtId="167" formatCode="&quot;R$&quot;\ #,##0.00"/>
  </numFmts>
  <fonts count="18" x14ac:knownFonts="1">
    <font>
      <sz val="11"/>
      <color theme="1"/>
      <name val="Aptos Narrow"/>
      <family val="2"/>
      <scheme val="minor"/>
    </font>
    <font>
      <b/>
      <sz val="10"/>
      <name val="Aptos"/>
      <family val="2"/>
    </font>
    <font>
      <sz val="10"/>
      <name val="Aptos"/>
      <family val="2"/>
    </font>
    <font>
      <u/>
      <sz val="11"/>
      <color theme="10"/>
      <name val="Aptos Narrow"/>
      <family val="2"/>
      <scheme val="minor"/>
    </font>
    <font>
      <u/>
      <sz val="10"/>
      <name val="Aptos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Aptos Narrow"/>
      <family val="2"/>
      <scheme val="minor"/>
    </font>
    <font>
      <sz val="10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10"/>
      <color rgb="FFFF0000"/>
      <name val="Aptos"/>
      <family val="2"/>
    </font>
    <font>
      <i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u/>
      <sz val="10"/>
      <color rgb="FF000000"/>
      <name val="Aptos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4.9989318521683403E-2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4" fillId="0" borderId="1" xfId="1" applyNumberFormat="1" applyFont="1" applyFill="1" applyBorder="1" applyAlignment="1">
      <alignment horizontal="left" vertical="center"/>
    </xf>
    <xf numFmtId="0" fontId="4" fillId="0" borderId="1" xfId="2" applyNumberFormat="1" applyFont="1" applyFill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/>
    </xf>
    <xf numFmtId="44" fontId="2" fillId="0" borderId="0" xfId="0" applyNumberFormat="1" applyFont="1" applyAlignment="1">
      <alignment horizontal="left" vertical="center"/>
    </xf>
    <xf numFmtId="44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7" fillId="0" borderId="0" xfId="0" applyFont="1"/>
    <xf numFmtId="0" fontId="2" fillId="7" borderId="1" xfId="1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44" fontId="0" fillId="0" borderId="0" xfId="0" applyNumberFormat="1"/>
    <xf numFmtId="0" fontId="0" fillId="0" borderId="0" xfId="0" applyAlignment="1">
      <alignment horizontal="center"/>
    </xf>
    <xf numFmtId="44" fontId="7" fillId="0" borderId="0" xfId="0" applyNumberFormat="1" applyFont="1"/>
    <xf numFmtId="165" fontId="0" fillId="0" borderId="0" xfId="0" applyNumberForma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65" fontId="7" fillId="0" borderId="0" xfId="0" applyNumberFormat="1" applyFont="1"/>
    <xf numFmtId="44" fontId="7" fillId="2" borderId="0" xfId="0" applyNumberFormat="1" applyFont="1" applyFill="1"/>
    <xf numFmtId="165" fontId="7" fillId="9" borderId="0" xfId="0" applyNumberFormat="1" applyFont="1" applyFill="1"/>
    <xf numFmtId="44" fontId="7" fillId="8" borderId="0" xfId="0" applyNumberFormat="1" applyFont="1" applyFill="1"/>
    <xf numFmtId="165" fontId="7" fillId="8" borderId="0" xfId="0" applyNumberFormat="1" applyFont="1" applyFill="1"/>
    <xf numFmtId="8" fontId="0" fillId="0" borderId="0" xfId="0" applyNumberFormat="1"/>
    <xf numFmtId="0" fontId="0" fillId="0" borderId="0" xfId="0" applyAlignment="1">
      <alignment horizontal="right"/>
    </xf>
    <xf numFmtId="0" fontId="2" fillId="8" borderId="1" xfId="0" applyFont="1" applyFill="1" applyBorder="1" applyAlignment="1">
      <alignment horizontal="left" vertical="center"/>
    </xf>
    <xf numFmtId="44" fontId="1" fillId="0" borderId="0" xfId="0" applyNumberFormat="1" applyFont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166" fontId="0" fillId="0" borderId="0" xfId="0" applyNumberFormat="1"/>
    <xf numFmtId="166" fontId="7" fillId="0" borderId="0" xfId="0" applyNumberFormat="1" applyFont="1"/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44" fontId="12" fillId="6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4" fontId="12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0" fillId="10" borderId="0" xfId="0" applyFill="1"/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44" fontId="1" fillId="3" borderId="5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4" fontId="2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4" fontId="2" fillId="6" borderId="1" xfId="0" applyNumberFormat="1" applyFont="1" applyFill="1" applyBorder="1" applyAlignment="1">
      <alignment horizontal="center" vertical="center" wrapText="1"/>
    </xf>
    <xf numFmtId="166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44" fontId="1" fillId="2" borderId="0" xfId="0" applyNumberFormat="1" applyFont="1" applyFill="1" applyAlignment="1">
      <alignment horizontal="center" vertical="center"/>
    </xf>
    <xf numFmtId="0" fontId="9" fillId="0" borderId="0" xfId="0" pivotButton="1" applyFont="1"/>
    <xf numFmtId="0" fontId="9" fillId="5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left"/>
    </xf>
    <xf numFmtId="44" fontId="9" fillId="4" borderId="0" xfId="0" applyNumberFormat="1" applyFont="1" applyFill="1" applyAlignment="1">
      <alignment horizontal="center"/>
    </xf>
    <xf numFmtId="0" fontId="9" fillId="0" borderId="0" xfId="0" applyFont="1" applyAlignment="1">
      <alignment horizontal="left" indent="1"/>
    </xf>
    <xf numFmtId="44" fontId="9" fillId="0" borderId="0" xfId="0" applyNumberFormat="1" applyFont="1" applyAlignment="1">
      <alignment horizontal="center"/>
    </xf>
    <xf numFmtId="0" fontId="9" fillId="5" borderId="0" xfId="0" applyFont="1" applyFill="1" applyAlignment="1">
      <alignment horizontal="center"/>
    </xf>
    <xf numFmtId="44" fontId="9" fillId="5" borderId="0" xfId="0" applyNumberFormat="1" applyFont="1" applyFill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1" fillId="2" borderId="1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15" fillId="0" borderId="0" xfId="0" applyFont="1"/>
    <xf numFmtId="44" fontId="0" fillId="0" borderId="0" xfId="0" applyNumberFormat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/>
    <xf numFmtId="0" fontId="7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44" fontId="0" fillId="0" borderId="7" xfId="0" applyNumberFormat="1" applyBorder="1"/>
    <xf numFmtId="44" fontId="7" fillId="0" borderId="7" xfId="0" applyNumberFormat="1" applyFont="1" applyBorder="1"/>
    <xf numFmtId="0" fontId="7" fillId="8" borderId="7" xfId="0" applyFont="1" applyFill="1" applyBorder="1" applyAlignment="1">
      <alignment horizontal="center"/>
    </xf>
    <xf numFmtId="44" fontId="0" fillId="0" borderId="8" xfId="0" applyNumberFormat="1" applyBorder="1"/>
    <xf numFmtId="0" fontId="0" fillId="0" borderId="1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14" borderId="11" xfId="0" applyFont="1" applyFill="1" applyBorder="1" applyAlignment="1">
      <alignment horizontal="center"/>
    </xf>
    <xf numFmtId="44" fontId="1" fillId="0" borderId="7" xfId="0" applyNumberFormat="1" applyFont="1" applyBorder="1" applyAlignment="1">
      <alignment horizontal="center" vertical="center"/>
    </xf>
    <xf numFmtId="44" fontId="2" fillId="0" borderId="17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right"/>
    </xf>
    <xf numFmtId="0" fontId="1" fillId="1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" fontId="7" fillId="13" borderId="14" xfId="0" applyNumberFormat="1" applyFont="1" applyFill="1" applyBorder="1" applyAlignment="1">
      <alignment horizontal="center"/>
    </xf>
    <xf numFmtId="17" fontId="7" fillId="13" borderId="15" xfId="0" applyNumberFormat="1" applyFont="1" applyFill="1" applyBorder="1" applyAlignment="1">
      <alignment horizontal="center"/>
    </xf>
    <xf numFmtId="17" fontId="7" fillId="13" borderId="16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8" fontId="0" fillId="0" borderId="0" xfId="0" applyNumberFormat="1" applyAlignment="1">
      <alignment horizontal="right"/>
    </xf>
    <xf numFmtId="4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7" fillId="10" borderId="0" xfId="0" applyFont="1" applyFill="1" applyAlignment="1">
      <alignment horizontal="center"/>
    </xf>
  </cellXfs>
  <cellStyles count="3">
    <cellStyle name="Hiperlink" xfId="1" builtinId="8"/>
    <cellStyle name="Hyperlink" xfId="2" xr:uid="{C9B56326-EF3A-4474-AE40-536478835E57}"/>
    <cellStyle name="Normal" xfId="0" builtinId="0"/>
  </cellStyles>
  <dxfs count="110"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font>
        <name val="Aptos"/>
        <family val="2"/>
        <scheme val="none"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bgColor theme="4" tint="0.59999389629810485"/>
        </patternFill>
      </fill>
    </dxf>
    <dxf>
      <alignment horizontal="center"/>
    </dxf>
    <dxf>
      <alignment horizontal="center"/>
    </dxf>
    <dxf>
      <alignment wrapText="1"/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ont>
        <name val="Aptos"/>
        <scheme val="none"/>
      </font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23B45C26-CE55-4AD2-8724-72EAFBE40296}">
    <Anchor>
      <Comment id="{8ACD80BE-139D-48BC-B7CC-C9831E217203}"/>
    </Anchor>
    <History>
      <Event time="2025-06-17T14:36:42.56" id="{87529472-0831-4AFE-AA29-860C39D7F326}">
        <Attribution userId="S::cristina.sugui@seletiva.ind.br::3adf00f0-444e-4e80-95b8-4fe658f29ff9" userName="Cristina Sugui" userProvider="AD"/>
        <Anchor>
          <Comment id="{28AE68EF-A042-4639-BCA9-5B5FB091C5BF}"/>
        </Anchor>
        <Create/>
      </Event>
      <Event time="2025-06-17T14:36:42.56" id="{CB8FE7F8-040D-4EF9-BFE9-58870598BA13}">
        <Attribution userId="S::cristina.sugui@seletiva.ind.br::3adf00f0-444e-4e80-95b8-4fe658f29ff9" userName="Cristina Sugui" userProvider="AD"/>
        <Anchor>
          <Comment id="{28AE68EF-A042-4639-BCA9-5B5FB091C5BF}"/>
        </Anchor>
        <Assign userId="S::michelle.staquecini@seletiva.ind.br::5858326e-ebe9-40da-af3c-a85d950692b3" userName="Michelle Camphora Staquecini" userProvider="AD"/>
      </Event>
      <Event time="2025-06-17T14:36:42.56" id="{F92CC7AA-3BEA-46F8-ADA2-E83504EF72FF}">
        <Attribution userId="S::cristina.sugui@seletiva.ind.br::3adf00f0-444e-4e80-95b8-4fe658f29ff9" userName="Cristina Sugui" userProvider="AD"/>
        <Anchor>
          <Comment id="{28AE68EF-A042-4639-BCA9-5B5FB091C5BF}"/>
        </Anchor>
        <SetTitle title="@Michelle Camphora Staquecini sabe me dizer a placa CRLV desta prensa?"/>
      </Event>
    </History>
  </Task>
  <Task id="{90963592-2C2D-4662-8D4A-4CEB6B81FF34}">
    <Anchor>
      <Comment id="{6B8831AF-E6F2-40CA-A5C7-357FB486865E}"/>
    </Anchor>
    <History>
      <Event time="2026-04-20T18:50:40.11" id="{C43F0F39-B15E-4B08-BF4B-03E022297231}">
        <Attribution userId="S::controladoria02@seletiva.ind.br::ff7dcd86-0259-4c47-a6a3-b591d2d57b5c" userName="Fernanda Oliveira Silva Cardoso" userProvider="AD"/>
        <Anchor>
          <Comment id="{5850E95D-7EAE-48EB-A140-65F7EE7F1D50}"/>
        </Anchor>
        <Create/>
      </Event>
      <Event time="2026-04-20T18:50:40.11" id="{4DAE2E1C-4D05-4B3F-B76F-F5ED14BF4375}">
        <Attribution userId="S::controladoria02@seletiva.ind.br::ff7dcd86-0259-4c47-a6a3-b591d2d57b5c" userName="Fernanda Oliveira Silva Cardoso" userProvider="AD"/>
        <Anchor>
          <Comment id="{5850E95D-7EAE-48EB-A140-65F7EE7F1D50}"/>
        </Anchor>
        <Assign userId="S::hugo.bossolani@pilares.adm.br::36e56b1b-4ae5-4b12-b057-4f5d5e6af059" userName="Hugo Bossolani" userProvider="AD"/>
      </Event>
      <Event time="2026-04-20T18:50:40.11" id="{CDB97E33-8801-4D08-B158-0C9C4BBDAE28}">
        <Attribution userId="S::controladoria02@seletiva.ind.br::ff7dcd86-0259-4c47-a6a3-b591d2d57b5c" userName="Fernanda Oliveira Silva Cardoso" userProvider="AD"/>
        <Anchor>
          <Comment id="{5850E95D-7EAE-48EB-A140-65F7EE7F1D50}"/>
        </Anchor>
        <SetTitle title="Verificar com @Hugo Bossolani a placa que irá substitui-lo - Reuniao com Marcondes e Gisele onde ja foi informado.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letivaindbr-my.sharepoint.com/personal/cristina_sugui_seletiva_ind_br/Documents/Controladoria/Bens/M&#243;veis/2025_02_11%20-%20CC%20Maquinas%20e%20Equipamentos%20-%20Valorizado.xlsx" TargetMode="External"/><Relationship Id="rId1" Type="http://schemas.openxmlformats.org/officeDocument/2006/relationships/externalLinkPath" Target="https://seletivaindbr-my.sharepoint.com/personal/cristina_sugui_seletiva_ind_br/Documents/Controladoria/Bens/M&#243;veis/2025_02_11%20-%20CC%20Maquinas%20e%20Equipamentos%20-%20Valor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Geral"/>
      <sheetName val="Imóveis"/>
      <sheetName val="Din_BCBI"/>
      <sheetName val="Base Geral  dez_2023"/>
      <sheetName val="Detalhes1"/>
      <sheetName val="Detalhes2"/>
      <sheetName val="Venda"/>
      <sheetName val="Base Aplicativo Henrique"/>
      <sheetName val="BCBI 2026_02"/>
      <sheetName val="FAT LOCAL"/>
      <sheetName val="FAT MÁQ"/>
      <sheetName val="CTA"/>
      <sheetName val="Critério de Depreciação"/>
      <sheetName val="2026"/>
      <sheetName val="ANDRESSA"/>
      <sheetName val="Imobilis Intercompany 2025"/>
      <sheetName val="Seguro"/>
      <sheetName val="Base Geral  Cd bco"/>
      <sheetName val="Intercompany - Empresa"/>
      <sheetName val="Intercompany - Tipo"/>
      <sheetName val="Intercompany - Locatária"/>
      <sheetName val="Tabela Preços 2025"/>
      <sheetName val="Intercompany - Aluguel"/>
      <sheetName val="ATIVOS ATUA"/>
      <sheetName val="ATIVOS SAGI"/>
      <sheetName val="Atualizações 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 t="str">
            <v>COMPUTADORES / PERIFÉRICOS</v>
          </cell>
        </row>
      </sheetData>
      <sheetData sheetId="13">
        <row r="3">
          <cell r="AG3" t="str">
            <v>PLACA</v>
          </cell>
          <cell r="AH3" t="str">
            <v>TIPO CRV (D/F)</v>
          </cell>
          <cell r="AI3" t="str">
            <v>RENAVAM</v>
          </cell>
          <cell r="AJ3" t="str">
            <v>CHASSI / SÉRIE</v>
          </cell>
          <cell r="AK3" t="str">
            <v>MARCA</v>
          </cell>
          <cell r="AL3" t="str">
            <v>MODELO</v>
          </cell>
        </row>
        <row r="4">
          <cell r="AG4" t="str">
            <v>EOF2B17</v>
          </cell>
          <cell r="AH4" t="str">
            <v>-</v>
          </cell>
          <cell r="AI4" t="str">
            <v>01187307529</v>
          </cell>
          <cell r="AJ4" t="str">
            <v>9A9A03310K0BE7292</v>
          </cell>
          <cell r="AK4" t="str">
            <v>ANGOLA</v>
          </cell>
          <cell r="AL4" t="str">
            <v>ANGOLA AWA</v>
          </cell>
        </row>
        <row r="5">
          <cell r="AG5" t="str">
            <v>GBW4F06</v>
          </cell>
          <cell r="AH5" t="str">
            <v>DIGITAL</v>
          </cell>
          <cell r="AI5" t="str">
            <v>01267132261</v>
          </cell>
          <cell r="AJ5" t="str">
            <v>9E3CLA501MG001556</v>
          </cell>
          <cell r="AK5" t="str">
            <v>LIDER</v>
          </cell>
          <cell r="AL5" t="str">
            <v>CLA 501</v>
          </cell>
        </row>
        <row r="6">
          <cell r="AG6" t="str">
            <v>EWU5671</v>
          </cell>
          <cell r="AH6" t="str">
            <v>FÍSICO</v>
          </cell>
          <cell r="AI6" t="str">
            <v>00413696545</v>
          </cell>
          <cell r="AJ6" t="str">
            <v>9A9BFB300B1D65324</v>
          </cell>
          <cell r="AK6" t="str">
            <v>CBN</v>
          </cell>
          <cell r="AL6" t="str">
            <v>R/CBN CBNC PB300</v>
          </cell>
        </row>
        <row r="7">
          <cell r="AG7" t="str">
            <v>COMPRA DIRETO DA LIEBHERR</v>
          </cell>
          <cell r="AH7" t="str">
            <v>-</v>
          </cell>
          <cell r="AI7" t="str">
            <v>-</v>
          </cell>
          <cell r="AJ7" t="str">
            <v>-</v>
          </cell>
          <cell r="AK7" t="str">
            <v>-</v>
          </cell>
          <cell r="AL7" t="str">
            <v>-</v>
          </cell>
        </row>
        <row r="8">
          <cell r="AG8" t="str">
            <v>COMPRA DIRETO DA LIEBHERR</v>
          </cell>
          <cell r="AH8" t="str">
            <v>-</v>
          </cell>
          <cell r="AI8" t="str">
            <v>-</v>
          </cell>
          <cell r="AJ8" t="str">
            <v>-</v>
          </cell>
          <cell r="AK8" t="str">
            <v>-</v>
          </cell>
          <cell r="AL8" t="str">
            <v>-</v>
          </cell>
        </row>
        <row r="9">
          <cell r="AG9" t="str">
            <v>EUS0048</v>
          </cell>
          <cell r="AH9" t="str">
            <v>-</v>
          </cell>
          <cell r="AI9" t="str">
            <v>-</v>
          </cell>
          <cell r="AJ9" t="str">
            <v>-</v>
          </cell>
          <cell r="AK9" t="str">
            <v>SCHNELL</v>
          </cell>
          <cell r="AL9" t="str">
            <v>CORTE E DOBRA</v>
          </cell>
        </row>
        <row r="10">
          <cell r="AG10" t="str">
            <v>CZB9484</v>
          </cell>
          <cell r="AH10" t="str">
            <v>FÍSICO</v>
          </cell>
          <cell r="AI10" t="str">
            <v>00852520174</v>
          </cell>
          <cell r="AJ10" t="str">
            <v>9A9R6502551DV7030</v>
          </cell>
          <cell r="AK10" t="str">
            <v>MULTIFORÇA</v>
          </cell>
          <cell r="AL10" t="str">
            <v>R/MULTIFORÇA MF M20T 4X2</v>
          </cell>
        </row>
        <row r="11">
          <cell r="AG11" t="str">
            <v>CZB9994</v>
          </cell>
          <cell r="AH11" t="str">
            <v>-</v>
          </cell>
          <cell r="AI11" t="str">
            <v>00944496849</v>
          </cell>
          <cell r="AJ11" t="str">
            <v>95UMFJ4X27E000005</v>
          </cell>
          <cell r="AK11" t="str">
            <v>MULTIFORÇA</v>
          </cell>
          <cell r="AL11" t="str">
            <v>R/MULTIFORÇA MF M20T 4X2</v>
          </cell>
        </row>
        <row r="12">
          <cell r="AG12" t="str">
            <v>EJZ7716</v>
          </cell>
          <cell r="AH12" t="str">
            <v>-</v>
          </cell>
          <cell r="AI12" t="str">
            <v>00321721632</v>
          </cell>
          <cell r="AJ12" t="str">
            <v>95UMFJ4X2BE000071</v>
          </cell>
          <cell r="AK12" t="str">
            <v>MULTIFORÇA</v>
          </cell>
          <cell r="AL12" t="str">
            <v>R/MULTIFORÇA MF M20T 4X2</v>
          </cell>
        </row>
        <row r="13">
          <cell r="AG13" t="str">
            <v>EJZ7734</v>
          </cell>
          <cell r="AH13" t="str">
            <v>-</v>
          </cell>
          <cell r="AI13" t="str">
            <v>00321722396</v>
          </cell>
          <cell r="AJ13" t="str">
            <v>95UMFJ4X2BE000070</v>
          </cell>
          <cell r="AK13" t="str">
            <v>MULTIFORÇA</v>
          </cell>
          <cell r="AL13" t="str">
            <v>R/MULTIFORÇA MF M20T 4X2</v>
          </cell>
        </row>
        <row r="14">
          <cell r="AG14" t="str">
            <v>EJZ7735</v>
          </cell>
          <cell r="AH14" t="str">
            <v>-</v>
          </cell>
          <cell r="AI14" t="str">
            <v>00321723058</v>
          </cell>
          <cell r="AJ14" t="str">
            <v>95UMFJ4X2BE000069</v>
          </cell>
          <cell r="AK14" t="str">
            <v>MULTIFORÇA</v>
          </cell>
          <cell r="AL14" t="str">
            <v>R/MULTIFORÇA MF M20T 4X2</v>
          </cell>
        </row>
        <row r="15">
          <cell r="AG15" t="str">
            <v>EJZ7392</v>
          </cell>
          <cell r="AH15" t="str">
            <v>-</v>
          </cell>
          <cell r="AI15" t="str">
            <v>00209059842</v>
          </cell>
          <cell r="AJ15" t="str">
            <v>9A9R9402AAGEC3009</v>
          </cell>
          <cell r="AK15" t="str">
            <v>BUSA</v>
          </cell>
          <cell r="AL15" t="str">
            <v>REBOQUE 02 EIXOS ROLLON ROLLOFF</v>
          </cell>
        </row>
        <row r="16">
          <cell r="AG16" t="str">
            <v>FJU8F67</v>
          </cell>
          <cell r="AH16" t="str">
            <v>DIGITAL</v>
          </cell>
          <cell r="AI16" t="str">
            <v>01265535210</v>
          </cell>
          <cell r="AJ16" t="str">
            <v>9A9R0933MMGEC3239</v>
          </cell>
          <cell r="AK16" t="str">
            <v>BUSA</v>
          </cell>
          <cell r="AL16" t="str">
            <v>REBOQUE 03 EIXOS ROLLON ROLLOFF</v>
          </cell>
        </row>
        <row r="17">
          <cell r="AG17" t="str">
            <v>FTP7D76</v>
          </cell>
          <cell r="AH17" t="str">
            <v>DIGITAL</v>
          </cell>
          <cell r="AI17" t="str">
            <v>01265536578</v>
          </cell>
          <cell r="AJ17" t="str">
            <v>9A9R0933MMGEC3237</v>
          </cell>
          <cell r="AK17" t="str">
            <v>BUSA</v>
          </cell>
          <cell r="AL17" t="str">
            <v>REBOQUE 03 EIXOS ROLLON ROLLOFF</v>
          </cell>
        </row>
        <row r="18">
          <cell r="AG18" t="str">
            <v>FUF1E28</v>
          </cell>
          <cell r="AH18" t="str">
            <v>DIGITAL</v>
          </cell>
          <cell r="AI18" t="str">
            <v>01265537124</v>
          </cell>
          <cell r="AJ18" t="str">
            <v>9A9R0933MMGEC3240</v>
          </cell>
          <cell r="AK18" t="str">
            <v>BUSA</v>
          </cell>
          <cell r="AL18" t="str">
            <v>REBOQUE 03 EIXOS ROLLON ROLLOFF</v>
          </cell>
        </row>
        <row r="19">
          <cell r="AG19" t="str">
            <v>FUP3G76</v>
          </cell>
          <cell r="AH19" t="str">
            <v>DIGITAL</v>
          </cell>
          <cell r="AI19" t="str">
            <v>01265535598</v>
          </cell>
          <cell r="AJ19" t="str">
            <v>9A9R0933MMGEC3238</v>
          </cell>
          <cell r="AK19" t="str">
            <v>BUSA</v>
          </cell>
          <cell r="AL19" t="str">
            <v>REBOQUE 03 EIXOS ROLLON ROLLOFF</v>
          </cell>
        </row>
        <row r="20">
          <cell r="AG20" t="str">
            <v>FVQ3B78</v>
          </cell>
          <cell r="AH20" t="str">
            <v>DIGITAL</v>
          </cell>
          <cell r="AI20" t="str">
            <v>01265537507</v>
          </cell>
          <cell r="AJ20" t="str">
            <v>9A9R0933MMGEC3242</v>
          </cell>
          <cell r="AK20" t="str">
            <v>BUSA</v>
          </cell>
          <cell r="AL20" t="str">
            <v>REBOQUE 03 EIXOS ROLLON ROLLOFF</v>
          </cell>
        </row>
        <row r="21">
          <cell r="AG21" t="str">
            <v>QAU6E20</v>
          </cell>
          <cell r="AH21" t="str">
            <v>DIGITAL</v>
          </cell>
          <cell r="AI21" t="str">
            <v>01223927528</v>
          </cell>
          <cell r="AJ21" t="str">
            <v>9A9R6003AL1DV7002</v>
          </cell>
          <cell r="AK21" t="str">
            <v>IMAVI</v>
          </cell>
          <cell r="AL21" t="str">
            <v>REBOQUE 03 EIXOS ROLLON ROLLOFF</v>
          </cell>
        </row>
        <row r="22">
          <cell r="AG22" t="str">
            <v>EWU6143</v>
          </cell>
          <cell r="AH22" t="str">
            <v>FÍSICO</v>
          </cell>
          <cell r="AI22" t="str">
            <v>00540684201</v>
          </cell>
          <cell r="AJ22" t="str">
            <v>9A9R6503AD1DV7016</v>
          </cell>
          <cell r="AK22" t="str">
            <v>IMAVI</v>
          </cell>
          <cell r="AL22" t="str">
            <v>REBOQUE 03 EIXOS ROLLON ROLLOFF</v>
          </cell>
        </row>
        <row r="23">
          <cell r="AG23" t="str">
            <v>EWU6154</v>
          </cell>
          <cell r="AH23" t="str">
            <v>FÍSICO</v>
          </cell>
          <cell r="AI23" t="str">
            <v>00540683809</v>
          </cell>
          <cell r="AJ23" t="str">
            <v>9A9R6503AD1DV7017</v>
          </cell>
          <cell r="AK23" t="str">
            <v>IMAVI</v>
          </cell>
          <cell r="AL23" t="str">
            <v>REBOQUE 03 EIXOS ROLLON ROLLOFF</v>
          </cell>
        </row>
        <row r="24">
          <cell r="AG24" t="str">
            <v>EWU6204</v>
          </cell>
          <cell r="AH24" t="str">
            <v>FÍSICO</v>
          </cell>
          <cell r="AI24" t="str">
            <v>00545788064</v>
          </cell>
          <cell r="AJ24" t="str">
            <v>9A9R6503AD1DV7020</v>
          </cell>
          <cell r="AK24" t="str">
            <v>IMAVI</v>
          </cell>
          <cell r="AL24" t="str">
            <v>REBOQUE 03 EIXOS ROLLON ROLLOFF</v>
          </cell>
        </row>
        <row r="25">
          <cell r="AG25" t="str">
            <v>EWU6341</v>
          </cell>
          <cell r="AH25" t="str">
            <v>FÍSICO</v>
          </cell>
          <cell r="AI25" t="str">
            <v>00588231967</v>
          </cell>
          <cell r="AJ25" t="str">
            <v>9A9R6503AD1DV7021</v>
          </cell>
          <cell r="AK25" t="str">
            <v>IMAVI</v>
          </cell>
          <cell r="AL25" t="str">
            <v>REBOQUE 03 EIXOS ROLLON ROLLOFF</v>
          </cell>
        </row>
        <row r="26">
          <cell r="AG26" t="str">
            <v>EWU6342</v>
          </cell>
          <cell r="AH26" t="str">
            <v>FÍSICO</v>
          </cell>
          <cell r="AI26" t="str">
            <v>00588231134</v>
          </cell>
          <cell r="AJ26" t="str">
            <v>9A9R6503AD1DV7022</v>
          </cell>
          <cell r="AK26" t="str">
            <v>IMAVI</v>
          </cell>
          <cell r="AL26" t="str">
            <v>REBOQUE 03 EIXOS ROLLON ROLLOFF</v>
          </cell>
        </row>
        <row r="27">
          <cell r="AG27" t="str">
            <v>EWU6343</v>
          </cell>
          <cell r="AH27" t="str">
            <v>FÍSICO</v>
          </cell>
          <cell r="AI27" t="str">
            <v>00594083010</v>
          </cell>
          <cell r="AJ27" t="str">
            <v>9A9R6503AD1DV7023</v>
          </cell>
          <cell r="AK27" t="str">
            <v>IMAVI</v>
          </cell>
          <cell r="AL27" t="str">
            <v>REBOQUE 03 EIXOS ROLLON ROLLOFF</v>
          </cell>
        </row>
        <row r="28">
          <cell r="AG28" t="str">
            <v>EWU6B52</v>
          </cell>
          <cell r="AH28" t="str">
            <v>DIGITAL</v>
          </cell>
          <cell r="AI28" t="str">
            <v>00540684589</v>
          </cell>
          <cell r="AJ28" t="str">
            <v>9A9R6503AD1DV7018</v>
          </cell>
          <cell r="AK28" t="str">
            <v>IMAVI</v>
          </cell>
          <cell r="AL28" t="str">
            <v>REBOQUE 03 EIXOS ROLLON ROLLOFF</v>
          </cell>
        </row>
        <row r="29">
          <cell r="AG29" t="str">
            <v>EWU6294</v>
          </cell>
          <cell r="AH29" t="str">
            <v>FÍSICO</v>
          </cell>
          <cell r="AI29" t="str">
            <v>00566974908</v>
          </cell>
          <cell r="AJ29" t="str">
            <v>9A9R6503AD1DV7019</v>
          </cell>
          <cell r="AK29" t="str">
            <v>IMAVI</v>
          </cell>
          <cell r="AL29" t="str">
            <v>REBOQUE 03 EIXOS ROLLON ROLLOFF</v>
          </cell>
        </row>
        <row r="30">
          <cell r="AG30" t="str">
            <v>CCS0052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SCHNELL</v>
          </cell>
          <cell r="AL30" t="str">
            <v>MÁQUINA CORTADEIRA</v>
          </cell>
        </row>
        <row r="31">
          <cell r="AG31" t="str">
            <v>DPS0050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SCHNELL</v>
          </cell>
          <cell r="AL31" t="str">
            <v>MÁQUINA DOBRADEIRA</v>
          </cell>
        </row>
        <row r="32">
          <cell r="AG32" t="str">
            <v>DPS0051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SCHNELL</v>
          </cell>
          <cell r="AL32" t="str">
            <v>MÁQUINA DOBRADEIRA</v>
          </cell>
        </row>
        <row r="33">
          <cell r="AG33" t="str">
            <v>ACS0049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SCHNELL</v>
          </cell>
          <cell r="AL33" t="str">
            <v>MÁQUINA ESTRIBADEIRA</v>
          </cell>
        </row>
        <row r="34">
          <cell r="AG34" t="str">
            <v>VEIO NA COMPRA DA PRENSA FIXA PHH0061 - BOMBA EXTRA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</row>
        <row r="35">
          <cell r="AG35" t="str">
            <v>VEIO NA COMPRA DA PRENSA FIXA PHH0061 - BOMBA EXTRA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</row>
        <row r="36">
          <cell r="AG36" t="str">
            <v>VEIO NA COMPRA DA PRENSA FIXA PHH0061 - BOMBA EXTRA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</row>
        <row r="37">
          <cell r="AG37" t="str">
            <v>-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HIDROEUROPA</v>
          </cell>
          <cell r="AL37" t="str">
            <v>BASCULANTE HIDRÁULICO DE CONTEINER</v>
          </cell>
        </row>
        <row r="38">
          <cell r="AG38" t="str">
            <v>HSA4D03</v>
          </cell>
          <cell r="AH38" t="str">
            <v>-</v>
          </cell>
          <cell r="AI38" t="str">
            <v>00791008339</v>
          </cell>
          <cell r="AJ38" t="str">
            <v>9BFV2UHG52BB17601</v>
          </cell>
          <cell r="AK38" t="str">
            <v>FORD</v>
          </cell>
          <cell r="AL38" t="str">
            <v>CARGO 815</v>
          </cell>
        </row>
        <row r="39">
          <cell r="AG39" t="str">
            <v>GFC0I97</v>
          </cell>
          <cell r="AH39" t="str">
            <v>-</v>
          </cell>
          <cell r="AI39" t="str">
            <v>01287305765</v>
          </cell>
          <cell r="AJ39" t="str">
            <v>9BD281A31NYW98143</v>
          </cell>
          <cell r="AK39" t="str">
            <v>FIAT</v>
          </cell>
          <cell r="AL39" t="str">
            <v>STRADA FREEDOM 13CS</v>
          </cell>
        </row>
        <row r="40">
          <cell r="AG40" t="str">
            <v>GGE8044</v>
          </cell>
          <cell r="AH40" t="str">
            <v>-</v>
          </cell>
          <cell r="AI40" t="str">
            <v>01143513115</v>
          </cell>
          <cell r="AJ40" t="str">
            <v>99JCA2BNXJT204139</v>
          </cell>
          <cell r="AK40" t="str">
            <v>LAND ROVER</v>
          </cell>
          <cell r="AL40" t="str">
            <v>LR/DISCOVERY SPORT D180 SE</v>
          </cell>
        </row>
        <row r="41">
          <cell r="AG41" t="str">
            <v>GFI7E03</v>
          </cell>
          <cell r="AH41" t="str">
            <v>-</v>
          </cell>
          <cell r="AI41" t="str">
            <v>01251983321</v>
          </cell>
          <cell r="AJ41" t="str">
            <v>WV1DA22H9MA004521</v>
          </cell>
          <cell r="AK41" t="str">
            <v>VOLKSWAGEN</v>
          </cell>
          <cell r="AL41" t="str">
            <v>VW AMAROK V6 EXTR AD4</v>
          </cell>
        </row>
        <row r="42">
          <cell r="AG42" t="str">
            <v>CBS5B58</v>
          </cell>
          <cell r="AH42" t="str">
            <v>-</v>
          </cell>
          <cell r="AI42" t="str">
            <v>00670836397</v>
          </cell>
          <cell r="AJ42" t="str">
            <v>9BM695014VB113239</v>
          </cell>
          <cell r="AK42" t="str">
            <v>MERCEDES-BENZ</v>
          </cell>
          <cell r="AL42" t="str">
            <v>L 1620</v>
          </cell>
        </row>
        <row r="43">
          <cell r="AG43" t="str">
            <v>FCE5F96</v>
          </cell>
          <cell r="AH43" t="str">
            <v>-</v>
          </cell>
          <cell r="AI43" t="str">
            <v>01279832859</v>
          </cell>
          <cell r="AJ43" t="str">
            <v>9BWAH5BZXNP023473</v>
          </cell>
          <cell r="AK43" t="str">
            <v>VOLKSWAGEN</v>
          </cell>
          <cell r="AL43" t="str">
            <v>VW POLO CL AD</v>
          </cell>
        </row>
        <row r="44">
          <cell r="AG44" t="str">
            <v>DPR4140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CHEVROLET</v>
          </cell>
          <cell r="AL44" t="str">
            <v>MONTANA LS2</v>
          </cell>
        </row>
        <row r="45">
          <cell r="AG45" t="str">
            <v>TKQ2D62</v>
          </cell>
          <cell r="AH45" t="str">
            <v>DIGITAL</v>
          </cell>
          <cell r="AI45" t="str">
            <v>01422588286</v>
          </cell>
          <cell r="AJ45" t="str">
            <v>8AWJW62H2SA013735</v>
          </cell>
          <cell r="AK45" t="str">
            <v>VOLKSWAGEN</v>
          </cell>
          <cell r="AL45" t="str">
            <v>AMAROK V6 HIGH</v>
          </cell>
        </row>
        <row r="46">
          <cell r="AG46" t="str">
            <v>-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</row>
        <row r="47">
          <cell r="AG47" t="str">
            <v>-</v>
          </cell>
          <cell r="AH47" t="str">
            <v>-</v>
          </cell>
          <cell r="AI47" t="str">
            <v>-</v>
          </cell>
          <cell r="AJ47" t="str">
            <v>-</v>
          </cell>
          <cell r="AK47" t="str">
            <v>-</v>
          </cell>
          <cell r="AL47" t="str">
            <v>-</v>
          </cell>
        </row>
        <row r="48">
          <cell r="AG48" t="str">
            <v>-</v>
          </cell>
          <cell r="AH48" t="str">
            <v>-</v>
          </cell>
          <cell r="AI48" t="str">
            <v>-</v>
          </cell>
          <cell r="AJ48" t="str">
            <v>-</v>
          </cell>
          <cell r="AK48" t="str">
            <v>-</v>
          </cell>
          <cell r="AL48" t="str">
            <v>-</v>
          </cell>
        </row>
        <row r="49">
          <cell r="AG49" t="str">
            <v>BHM0047</v>
          </cell>
          <cell r="AH49" t="str">
            <v>-</v>
          </cell>
          <cell r="AI49" t="str">
            <v>-</v>
          </cell>
          <cell r="AJ49" t="str">
            <v>-</v>
          </cell>
          <cell r="AK49" t="str">
            <v>MOROSHIMA</v>
          </cell>
          <cell r="AL49" t="str">
            <v>BASCULANTENTE HIDRÁULICO DE CONTEINER</v>
          </cell>
        </row>
        <row r="50">
          <cell r="AG50" t="str">
            <v>22 UNIDADES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OUTROS</v>
          </cell>
          <cell r="AL50" t="str">
            <v>CONTEINER</v>
          </cell>
        </row>
        <row r="51">
          <cell r="AG51" t="str">
            <v>32 UNIDADES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OUTROS</v>
          </cell>
          <cell r="AL51" t="str">
            <v>CONTEINER</v>
          </cell>
        </row>
        <row r="52">
          <cell r="AG52" t="str">
            <v>410 UNIDADES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OUTROS</v>
          </cell>
          <cell r="AL52" t="str">
            <v>CONTEINER</v>
          </cell>
        </row>
        <row r="53">
          <cell r="AG53" t="str">
            <v>6 UNIDADES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OUTROS</v>
          </cell>
          <cell r="AL53" t="str">
            <v>CONTEINER</v>
          </cell>
        </row>
        <row r="54">
          <cell r="AG54" t="str">
            <v>67 UNIDADES</v>
          </cell>
          <cell r="AH54" t="str">
            <v>-</v>
          </cell>
          <cell r="AI54" t="str">
            <v>-</v>
          </cell>
          <cell r="AJ54" t="str">
            <v>-</v>
          </cell>
          <cell r="AK54" t="str">
            <v>OUTROS</v>
          </cell>
          <cell r="AL54" t="str">
            <v>CONTEINER</v>
          </cell>
        </row>
        <row r="55">
          <cell r="AG55" t="str">
            <v>BAL0004</v>
          </cell>
          <cell r="AH55" t="str">
            <v>-</v>
          </cell>
          <cell r="AI55" t="str">
            <v>-</v>
          </cell>
          <cell r="AJ55" t="str">
            <v>-</v>
          </cell>
          <cell r="AK55" t="str">
            <v>CAPITAL</v>
          </cell>
          <cell r="AL55" t="str">
            <v>PRESIDENTE PRUDENTE</v>
          </cell>
        </row>
        <row r="56">
          <cell r="AG56" t="str">
            <v>BAL0001</v>
          </cell>
          <cell r="AH56" t="str">
            <v>-</v>
          </cell>
          <cell r="AI56" t="str">
            <v>-</v>
          </cell>
          <cell r="AJ56" t="str">
            <v>-</v>
          </cell>
          <cell r="AK56" t="str">
            <v>CAPITAL</v>
          </cell>
          <cell r="AL56" t="str">
            <v>MARINGÁ</v>
          </cell>
        </row>
        <row r="57">
          <cell r="AG57" t="str">
            <v>BAL0002</v>
          </cell>
          <cell r="AH57" t="str">
            <v>-</v>
          </cell>
          <cell r="AI57" t="str">
            <v>-</v>
          </cell>
          <cell r="AJ57" t="str">
            <v>-</v>
          </cell>
          <cell r="AK57" t="str">
            <v>CAPITAL</v>
          </cell>
          <cell r="AL57" t="str">
            <v>MARINGÁ</v>
          </cell>
        </row>
        <row r="58">
          <cell r="AG58" t="str">
            <v>BAL0003</v>
          </cell>
          <cell r="AH58" t="str">
            <v>-</v>
          </cell>
          <cell r="AI58" t="str">
            <v>-</v>
          </cell>
          <cell r="AJ58" t="str">
            <v>-</v>
          </cell>
          <cell r="AK58" t="str">
            <v>CAPITAL</v>
          </cell>
          <cell r="AL58" t="str">
            <v>LONDRINA</v>
          </cell>
        </row>
        <row r="59">
          <cell r="AG59" t="str">
            <v>BAL0005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CAPITAL</v>
          </cell>
          <cell r="AL59" t="str">
            <v>PRESIDENTE PRUDENTE</v>
          </cell>
        </row>
        <row r="60">
          <cell r="AG60" t="str">
            <v>BAL0006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PADRÃO</v>
          </cell>
          <cell r="AL60" t="str">
            <v>DOURADOS</v>
          </cell>
        </row>
        <row r="61">
          <cell r="AG61" t="str">
            <v>BAL0007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PADRÃO</v>
          </cell>
          <cell r="AL61" t="str">
            <v>TRÊS LAGOAS</v>
          </cell>
        </row>
        <row r="62">
          <cell r="AG62" t="str">
            <v>BAL0008</v>
          </cell>
          <cell r="AH62" t="str">
            <v>-</v>
          </cell>
          <cell r="AI62" t="str">
            <v>-</v>
          </cell>
          <cell r="AJ62" t="str">
            <v>-</v>
          </cell>
          <cell r="AK62" t="str">
            <v>TOLEDO</v>
          </cell>
          <cell r="AL62" t="str">
            <v>ASSIS</v>
          </cell>
        </row>
        <row r="63">
          <cell r="AG63" t="str">
            <v>BAL0009</v>
          </cell>
          <cell r="AH63" t="str">
            <v>-</v>
          </cell>
          <cell r="AI63" t="str">
            <v>-</v>
          </cell>
          <cell r="AJ63" t="str">
            <v>-</v>
          </cell>
          <cell r="AK63" t="str">
            <v>TOLEDO</v>
          </cell>
          <cell r="AL63" t="str">
            <v>ASSIS</v>
          </cell>
        </row>
        <row r="64">
          <cell r="AG64" t="str">
            <v>BAL0010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TOLEDO</v>
          </cell>
          <cell r="AL64" t="str">
            <v>PRESIDENTE PRUDENTE</v>
          </cell>
        </row>
        <row r="65">
          <cell r="AG65" t="str">
            <v>EJZ7303</v>
          </cell>
          <cell r="AH65" t="str">
            <v>FÍSICO</v>
          </cell>
          <cell r="AI65" t="str">
            <v>00206268920</v>
          </cell>
          <cell r="AJ65" t="str">
            <v>9BFYCAWY2ABB46976</v>
          </cell>
          <cell r="AK65" t="str">
            <v>FORD</v>
          </cell>
          <cell r="AL65" t="str">
            <v>CARGO 1832 E</v>
          </cell>
        </row>
        <row r="66">
          <cell r="AG66" t="str">
            <v>EJZ7D04</v>
          </cell>
          <cell r="AH66" t="str">
            <v>-</v>
          </cell>
          <cell r="AI66" t="str">
            <v>00203465792</v>
          </cell>
          <cell r="AJ66" t="str">
            <v>9BFYCAWY0ABB46975</v>
          </cell>
          <cell r="AK66" t="str">
            <v>FORD</v>
          </cell>
          <cell r="AL66" t="str">
            <v>CARGO 1832 E</v>
          </cell>
        </row>
        <row r="67">
          <cell r="AG67" t="str">
            <v>EJZ7305</v>
          </cell>
          <cell r="AH67" t="str">
            <v>-</v>
          </cell>
          <cell r="AI67" t="str">
            <v>00204108985</v>
          </cell>
          <cell r="AJ67" t="str">
            <v>9BFYCAWY5ABB45014</v>
          </cell>
          <cell r="AK67" t="str">
            <v>FORD</v>
          </cell>
          <cell r="AL67" t="str">
            <v>CARGO 1832 E</v>
          </cell>
        </row>
        <row r="68">
          <cell r="AG68" t="str">
            <v>AYT3519</v>
          </cell>
          <cell r="AH68" t="str">
            <v>-</v>
          </cell>
          <cell r="AI68" t="str">
            <v>01017215100</v>
          </cell>
          <cell r="AJ68" t="str">
            <v>9BFYEB5J3EB560539</v>
          </cell>
          <cell r="AK68" t="str">
            <v>FORD</v>
          </cell>
          <cell r="AL68" t="str">
            <v>CARGO 1933</v>
          </cell>
        </row>
        <row r="69">
          <cell r="AG69" t="str">
            <v>EWU6003</v>
          </cell>
          <cell r="AH69" t="str">
            <v>FÍSICO</v>
          </cell>
          <cell r="AI69" t="str">
            <v>00501284613</v>
          </cell>
          <cell r="AJ69" t="str">
            <v>93KP0S1CXDE137844</v>
          </cell>
          <cell r="AK69" t="str">
            <v>VOLVO</v>
          </cell>
          <cell r="AL69" t="str">
            <v>VM 330 6X2R</v>
          </cell>
        </row>
        <row r="70">
          <cell r="AG70" t="str">
            <v>EWU5986</v>
          </cell>
          <cell r="AH70" t="str">
            <v>FÍSICO</v>
          </cell>
          <cell r="AI70" t="str">
            <v>00501188428</v>
          </cell>
          <cell r="AJ70" t="str">
            <v>93KP0S1C7DE137843</v>
          </cell>
          <cell r="AK70" t="str">
            <v>VOLVO</v>
          </cell>
          <cell r="AL70" t="str">
            <v>VM 330 6X2R</v>
          </cell>
        </row>
        <row r="71">
          <cell r="AG71" t="str">
            <v>EWU5J85</v>
          </cell>
          <cell r="AH71" t="str">
            <v>DIGITAL</v>
          </cell>
          <cell r="AI71" t="str">
            <v>00501292055</v>
          </cell>
          <cell r="AJ71" t="str">
            <v>93KP0S1C5DE137658</v>
          </cell>
          <cell r="AK71" t="str">
            <v>VOLVO</v>
          </cell>
          <cell r="AL71" t="str">
            <v>VM 330 6X2R</v>
          </cell>
        </row>
        <row r="72">
          <cell r="AG72" t="str">
            <v>FZF3J28</v>
          </cell>
          <cell r="AH72" t="str">
            <v>DIGITAL</v>
          </cell>
          <cell r="AI72" t="str">
            <v>01265534761</v>
          </cell>
          <cell r="AJ72" t="str">
            <v>9A9R0933MMGEC3241</v>
          </cell>
          <cell r="AK72" t="str">
            <v>BUSA</v>
          </cell>
          <cell r="AL72" t="str">
            <v>REBOQUE 03 EIXOS ROLLON ROLLOFF</v>
          </cell>
        </row>
        <row r="73">
          <cell r="AG73" t="str">
            <v>BKW9I57</v>
          </cell>
          <cell r="AH73" t="str">
            <v>DIGITAL</v>
          </cell>
          <cell r="AI73" t="str">
            <v>01274597380</v>
          </cell>
          <cell r="AJ73" t="str">
            <v>93KP0S1F4ME171053</v>
          </cell>
          <cell r="AK73" t="str">
            <v>VOLVO</v>
          </cell>
          <cell r="AL73" t="str">
            <v>VM 330 6X2R</v>
          </cell>
        </row>
        <row r="74">
          <cell r="AG74" t="str">
            <v>BTZ8D36</v>
          </cell>
          <cell r="AH74" t="str">
            <v>DIGITAL</v>
          </cell>
          <cell r="AI74" t="str">
            <v>01272096294</v>
          </cell>
          <cell r="AJ74" t="str">
            <v>93KP0S1F1ME171052</v>
          </cell>
          <cell r="AK74" t="str">
            <v>VOLVO</v>
          </cell>
          <cell r="AL74" t="str">
            <v>VM 330 6X2R</v>
          </cell>
        </row>
        <row r="75">
          <cell r="AG75" t="str">
            <v>EWU5J98</v>
          </cell>
          <cell r="AH75" t="str">
            <v>DIGITAL</v>
          </cell>
          <cell r="AI75" t="str">
            <v>00501493085</v>
          </cell>
          <cell r="AJ75" t="str">
            <v>93KP0S1C8DE137476</v>
          </cell>
          <cell r="AK75" t="str">
            <v>VOLVO</v>
          </cell>
          <cell r="AL75" t="str">
            <v>VM 330 6X2R</v>
          </cell>
        </row>
        <row r="76">
          <cell r="AG76" t="str">
            <v>BZG6A91</v>
          </cell>
          <cell r="AH76" t="str">
            <v>DIGITAL</v>
          </cell>
          <cell r="AI76" t="str">
            <v>01274316690</v>
          </cell>
          <cell r="AJ76" t="str">
            <v>93KP0S1F2ME171056</v>
          </cell>
          <cell r="AK76" t="str">
            <v>VOLVO</v>
          </cell>
          <cell r="AL76" t="str">
            <v>VM 330 6X2R</v>
          </cell>
        </row>
        <row r="77">
          <cell r="AG77" t="str">
            <v>BZL7H95</v>
          </cell>
          <cell r="AH77" t="str">
            <v>DIGITAL</v>
          </cell>
          <cell r="AI77" t="str">
            <v>01274597355</v>
          </cell>
          <cell r="AJ77" t="str">
            <v>93KP0S1FXME171055</v>
          </cell>
          <cell r="AK77" t="str">
            <v>VOLVO</v>
          </cell>
          <cell r="AL77" t="str">
            <v>VM 330 6X2R</v>
          </cell>
        </row>
        <row r="78">
          <cell r="AG78" t="str">
            <v>GDA9J63</v>
          </cell>
          <cell r="AH78" t="str">
            <v>DIGITAL</v>
          </cell>
          <cell r="AI78" t="str">
            <v>01284368685</v>
          </cell>
          <cell r="AJ78" t="str">
            <v>93KP0S1F7ME171080</v>
          </cell>
          <cell r="AK78" t="str">
            <v>VOLVO</v>
          </cell>
          <cell r="AL78" t="str">
            <v>VM 330 6X2R</v>
          </cell>
        </row>
        <row r="79">
          <cell r="AG79" t="str">
            <v>GDG8E75</v>
          </cell>
          <cell r="AH79" t="str">
            <v>DIGITAL</v>
          </cell>
          <cell r="AI79" t="str">
            <v>01301660245</v>
          </cell>
          <cell r="AJ79" t="str">
            <v>93KP0S1F7ME171054</v>
          </cell>
          <cell r="AK79" t="str">
            <v>VOLVO</v>
          </cell>
          <cell r="AL79" t="str">
            <v>VM 330 6X2R</v>
          </cell>
        </row>
        <row r="80">
          <cell r="AG80" t="str">
            <v>NRQ7727</v>
          </cell>
          <cell r="AH80" t="str">
            <v>FÍSICO</v>
          </cell>
          <cell r="AI80" t="str">
            <v>00324556233</v>
          </cell>
          <cell r="AJ80" t="str">
            <v>9BM958094BB784875</v>
          </cell>
          <cell r="AK80" t="str">
            <v>MERCEDES-BENZ</v>
          </cell>
          <cell r="AL80" t="str">
            <v>ATEGO 2425</v>
          </cell>
        </row>
        <row r="81">
          <cell r="AG81" t="str">
            <v>NRV7727</v>
          </cell>
          <cell r="AH81" t="str">
            <v>FÍSICO</v>
          </cell>
          <cell r="AI81" t="str">
            <v>00419877908</v>
          </cell>
          <cell r="AJ81" t="str">
            <v>9BM958094CB830722</v>
          </cell>
          <cell r="AK81" t="str">
            <v>MERCEDES-BENZ</v>
          </cell>
          <cell r="AL81" t="str">
            <v>ATEGO 2425</v>
          </cell>
        </row>
        <row r="82">
          <cell r="AG82" t="str">
            <v>FJQ5A08</v>
          </cell>
          <cell r="AH82" t="str">
            <v>FÍSICO</v>
          </cell>
          <cell r="AI82" t="str">
            <v>01166648505</v>
          </cell>
          <cell r="AJ82" t="str">
            <v>9BFYEBVF5KBL73366</v>
          </cell>
          <cell r="AK82" t="str">
            <v>FORD</v>
          </cell>
          <cell r="AL82" t="str">
            <v>CARGO 2431 L</v>
          </cell>
        </row>
        <row r="83">
          <cell r="AG83" t="str">
            <v>GGE5059</v>
          </cell>
          <cell r="AH83" t="str">
            <v>FÍSICO</v>
          </cell>
          <cell r="AI83" t="str">
            <v>01166844088</v>
          </cell>
          <cell r="AJ83" t="str">
            <v>9BFYEBVFXKBL73508</v>
          </cell>
          <cell r="AK83" t="str">
            <v>FORD</v>
          </cell>
          <cell r="AL83" t="str">
            <v>CARGO 2431 L</v>
          </cell>
        </row>
        <row r="84">
          <cell r="AG84" t="str">
            <v>FBU7329</v>
          </cell>
          <cell r="AH84" t="str">
            <v>FÍSICO</v>
          </cell>
          <cell r="AI84" t="str">
            <v>01156069430</v>
          </cell>
          <cell r="AJ84" t="str">
            <v>93KP0S1C5JE161255</v>
          </cell>
          <cell r="AK84" t="str">
            <v>VOLVO</v>
          </cell>
          <cell r="AL84" t="str">
            <v>VM 330 6X2R</v>
          </cell>
        </row>
        <row r="85">
          <cell r="AG85" t="str">
            <v>FRT7548</v>
          </cell>
          <cell r="AH85" t="str">
            <v>DIGITAL</v>
          </cell>
          <cell r="AI85" t="str">
            <v>01156069910</v>
          </cell>
          <cell r="AJ85" t="str">
            <v>93KP0S1C5JE161545</v>
          </cell>
          <cell r="AK85" t="str">
            <v>VOLVO</v>
          </cell>
          <cell r="AL85" t="str">
            <v>VM 330 6X2R</v>
          </cell>
        </row>
        <row r="86">
          <cell r="AG86" t="str">
            <v>GHI3A74</v>
          </cell>
          <cell r="AH86" t="str">
            <v>DIGITAL</v>
          </cell>
          <cell r="AI86" t="str">
            <v>01258236327</v>
          </cell>
          <cell r="AJ86" t="str">
            <v>93KP0S1C1ME171046</v>
          </cell>
          <cell r="AK86" t="str">
            <v>VOLVO</v>
          </cell>
          <cell r="AL86" t="str">
            <v>VM 330 6X2R</v>
          </cell>
        </row>
        <row r="87">
          <cell r="AG87" t="str">
            <v>OON3B85</v>
          </cell>
          <cell r="AH87" t="str">
            <v>DIGITAL</v>
          </cell>
          <cell r="AI87" t="str">
            <v>01020611240</v>
          </cell>
          <cell r="AJ87" t="str">
            <v>93KP0R1C9EE148541</v>
          </cell>
          <cell r="AK87" t="str">
            <v>VOLVO</v>
          </cell>
          <cell r="AL87" t="str">
            <v>VM 270 6X2R</v>
          </cell>
        </row>
        <row r="88">
          <cell r="AG88" t="str">
            <v>QAO4A53</v>
          </cell>
          <cell r="AH88" t="str">
            <v>DIGITAL</v>
          </cell>
          <cell r="AI88" t="str">
            <v>01180403336</v>
          </cell>
          <cell r="AJ88" t="str">
            <v>93KP0S1FXKE162811</v>
          </cell>
          <cell r="AK88" t="str">
            <v>VOLVO</v>
          </cell>
          <cell r="AL88" t="str">
            <v>VM 330 8X2R</v>
          </cell>
        </row>
        <row r="89">
          <cell r="AG89" t="str">
            <v>AJV6A51</v>
          </cell>
          <cell r="AH89" t="str">
            <v>-</v>
          </cell>
          <cell r="AI89" t="str">
            <v>00757128785</v>
          </cell>
          <cell r="AJ89" t="str">
            <v>9BM6953011B259823</v>
          </cell>
          <cell r="AK89" t="str">
            <v>MERCEDES-BENZ</v>
          </cell>
          <cell r="AL89" t="str">
            <v>L 1620</v>
          </cell>
        </row>
        <row r="90">
          <cell r="AG90" t="str">
            <v>KNZ2F41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VOLKSWAGEN</v>
          </cell>
          <cell r="AL90" t="str">
            <v>24250 CNC 6X2</v>
          </cell>
        </row>
        <row r="91">
          <cell r="AG91" t="str">
            <v>AHT1418</v>
          </cell>
          <cell r="AH91" t="str">
            <v>-</v>
          </cell>
          <cell r="AI91" t="str">
            <v>00630276790</v>
          </cell>
          <cell r="AJ91" t="str">
            <v>9BM384024RB033719</v>
          </cell>
          <cell r="AK91" t="str">
            <v>MERCEDES-BENZ</v>
          </cell>
          <cell r="AL91" t="str">
            <v>L 1418 E</v>
          </cell>
        </row>
        <row r="92">
          <cell r="AG92" t="str">
            <v>ALJ7D92</v>
          </cell>
          <cell r="AH92" t="str">
            <v>-</v>
          </cell>
          <cell r="AI92" t="str">
            <v>00817061398</v>
          </cell>
          <cell r="AJ92" t="str">
            <v>9BFYTHZF33B820120</v>
          </cell>
          <cell r="AK92" t="str">
            <v>FORD</v>
          </cell>
          <cell r="AL92" t="str">
            <v>CARGO 1721</v>
          </cell>
        </row>
        <row r="93">
          <cell r="AG93" t="str">
            <v>DTB6854</v>
          </cell>
          <cell r="AH93" t="str">
            <v>FÍSICO</v>
          </cell>
          <cell r="AI93" t="str">
            <v>00938748106</v>
          </cell>
          <cell r="AJ93" t="str">
            <v>9EP02093071004824</v>
          </cell>
          <cell r="AK93" t="str">
            <v>NOMA</v>
          </cell>
          <cell r="AL93" t="str">
            <v>SR/NOMA SR3E27 BCG</v>
          </cell>
        </row>
        <row r="94">
          <cell r="AG94" t="str">
            <v>MRP6135</v>
          </cell>
          <cell r="AH94" t="str">
            <v>FÍSICO</v>
          </cell>
          <cell r="AI94" t="str">
            <v>00940494906</v>
          </cell>
          <cell r="AJ94" t="str">
            <v>9ADB107378M258770</v>
          </cell>
          <cell r="AK94" t="str">
            <v>RANDON</v>
          </cell>
          <cell r="AL94" t="str">
            <v>REBOQUE 03 EIXO - RANDON SR BA</v>
          </cell>
        </row>
        <row r="95">
          <cell r="AG95" t="str">
            <v>EJZ7367</v>
          </cell>
          <cell r="AH95" t="str">
            <v>-</v>
          </cell>
          <cell r="AI95" t="str">
            <v>00203475631</v>
          </cell>
          <cell r="AJ95" t="str">
            <v>9BFYCAWYXABB48670</v>
          </cell>
          <cell r="AK95" t="str">
            <v>FORD</v>
          </cell>
          <cell r="AL95" t="str">
            <v>CARGO 1832 E</v>
          </cell>
        </row>
        <row r="96">
          <cell r="AG96" t="str">
            <v>EJZ7D68</v>
          </cell>
          <cell r="AH96" t="str">
            <v>-</v>
          </cell>
          <cell r="AI96" t="str">
            <v>00203929314</v>
          </cell>
          <cell r="AJ96" t="str">
            <v>9BFYCAWY8ABB46979</v>
          </cell>
          <cell r="AK96" t="str">
            <v>FORD</v>
          </cell>
          <cell r="AL96" t="str">
            <v>CARGO 1832 E</v>
          </cell>
        </row>
        <row r="97">
          <cell r="AG97" t="str">
            <v>EWU6087</v>
          </cell>
          <cell r="AH97" t="str">
            <v>FÍSICO</v>
          </cell>
          <cell r="AI97" t="str">
            <v>00537170251</v>
          </cell>
          <cell r="AJ97" t="str">
            <v>93KP0S1C3DE139926</v>
          </cell>
          <cell r="AK97" t="str">
            <v>VOLVO</v>
          </cell>
          <cell r="AL97" t="str">
            <v>VM 330 6X2R</v>
          </cell>
        </row>
        <row r="98">
          <cell r="AG98" t="str">
            <v>EWU6088</v>
          </cell>
          <cell r="AH98" t="str">
            <v>FÍSICO</v>
          </cell>
          <cell r="AI98" t="str">
            <v>00537170502</v>
          </cell>
          <cell r="AJ98" t="str">
            <v>93KP0S1C1DE139929</v>
          </cell>
          <cell r="AK98" t="str">
            <v>VOLVO</v>
          </cell>
          <cell r="AL98" t="str">
            <v>VM 330 6X2R</v>
          </cell>
        </row>
        <row r="99">
          <cell r="AG99" t="str">
            <v>EWU6A85</v>
          </cell>
          <cell r="AH99" t="str">
            <v>DIGITAL</v>
          </cell>
          <cell r="AI99" t="str">
            <v>00537169741</v>
          </cell>
          <cell r="AJ99" t="str">
            <v>93KP0S1C6DE139927</v>
          </cell>
          <cell r="AK99" t="str">
            <v>VOLVO</v>
          </cell>
          <cell r="AL99" t="str">
            <v>VM 330 6X2R</v>
          </cell>
        </row>
        <row r="100">
          <cell r="AG100" t="str">
            <v>EWU6A86</v>
          </cell>
          <cell r="AH100" t="str">
            <v>-</v>
          </cell>
          <cell r="AI100" t="str">
            <v>00537170103</v>
          </cell>
          <cell r="AJ100" t="str">
            <v>93KP0S1C9DE139928</v>
          </cell>
          <cell r="AK100" t="str">
            <v>VOLVO</v>
          </cell>
          <cell r="AL100" t="str">
            <v>VM 330 6X2R</v>
          </cell>
        </row>
        <row r="101">
          <cell r="AG101" t="str">
            <v>EJZ7998</v>
          </cell>
          <cell r="AH101" t="str">
            <v>FÍSICO</v>
          </cell>
          <cell r="AI101" t="str">
            <v>00232414572</v>
          </cell>
          <cell r="AJ101" t="str">
            <v>9BFXCE2UXBBB63127</v>
          </cell>
          <cell r="AK101" t="str">
            <v>FORD</v>
          </cell>
          <cell r="AL101" t="str">
            <v>CARGO 1317 E</v>
          </cell>
        </row>
        <row r="102">
          <cell r="AG102" t="str">
            <v>EJZ7999</v>
          </cell>
          <cell r="AH102" t="str">
            <v>FÍSICO</v>
          </cell>
          <cell r="AI102" t="str">
            <v>00232416028</v>
          </cell>
          <cell r="AJ102" t="str">
            <v>9BFXCE2U9BBB63118</v>
          </cell>
          <cell r="AK102" t="str">
            <v>FORD</v>
          </cell>
          <cell r="AL102" t="str">
            <v>CARGO 1317 E</v>
          </cell>
        </row>
        <row r="103">
          <cell r="AG103" t="str">
            <v>EJZ7J97</v>
          </cell>
          <cell r="AH103" t="str">
            <v>DIGITAL</v>
          </cell>
          <cell r="AI103" t="str">
            <v>00257747885</v>
          </cell>
          <cell r="AJ103" t="str">
            <v>9BFXCE2U5BBB63147</v>
          </cell>
          <cell r="AK103" t="str">
            <v>FORD</v>
          </cell>
          <cell r="AL103" t="str">
            <v>CARGO 1317 E</v>
          </cell>
        </row>
        <row r="104">
          <cell r="AG104" t="str">
            <v>CZB9H07</v>
          </cell>
          <cell r="AH104" t="str">
            <v>FÍSICO</v>
          </cell>
          <cell r="AI104" t="str">
            <v>00876342810</v>
          </cell>
          <cell r="AJ104" t="str">
            <v>9BFYCN9T65BB61106</v>
          </cell>
          <cell r="AK104" t="str">
            <v>FORD</v>
          </cell>
          <cell r="AL104" t="str">
            <v>CARGO 2422 T</v>
          </cell>
        </row>
        <row r="105">
          <cell r="AG105" t="str">
            <v>HAR1F82</v>
          </cell>
          <cell r="AH105" t="str">
            <v>DIGITAL</v>
          </cell>
          <cell r="AI105" t="str">
            <v>00852840080</v>
          </cell>
          <cell r="AJ105" t="str">
            <v>9BFYCN9T35BB49477</v>
          </cell>
          <cell r="AK105" t="str">
            <v>FORD</v>
          </cell>
          <cell r="AL105" t="str">
            <v>CARGO 2422 T</v>
          </cell>
        </row>
        <row r="106">
          <cell r="AG106" t="str">
            <v>EJZ7495</v>
          </cell>
          <cell r="AH106" t="str">
            <v>FÍSICO</v>
          </cell>
          <cell r="AI106" t="str">
            <v>00224946960</v>
          </cell>
          <cell r="AJ106" t="str">
            <v>9BFVCE1N7ABB60573</v>
          </cell>
          <cell r="AK106" t="str">
            <v>FORD</v>
          </cell>
          <cell r="AL106" t="str">
            <v>CARGO 815 E</v>
          </cell>
        </row>
        <row r="107">
          <cell r="AG107" t="str">
            <v>EJZ7496</v>
          </cell>
          <cell r="AH107" t="str">
            <v>FÍSICO</v>
          </cell>
          <cell r="AI107" t="str">
            <v>00224944681</v>
          </cell>
          <cell r="AJ107" t="str">
            <v>9BFVCE1N1ABB60584</v>
          </cell>
          <cell r="AK107" t="str">
            <v>FORD</v>
          </cell>
          <cell r="AL107" t="str">
            <v>CARGO 815 E</v>
          </cell>
        </row>
        <row r="108">
          <cell r="AG108" t="str">
            <v>HQR6804</v>
          </cell>
          <cell r="AH108" t="str">
            <v>-</v>
          </cell>
          <cell r="AI108" t="str">
            <v>00415704430</v>
          </cell>
          <cell r="AJ108" t="str">
            <v>34400713041060</v>
          </cell>
          <cell r="AK108" t="str">
            <v>MERCEDES-BENZ</v>
          </cell>
          <cell r="AL108" t="str">
            <v>L 1111</v>
          </cell>
        </row>
        <row r="109">
          <cell r="AG109" t="str">
            <v>CNI0624</v>
          </cell>
          <cell r="AH109" t="str">
            <v>Veiculo com restrições ( Bloqueio Judicial, Sem motor e Doc. em nome de outro proprietário)</v>
          </cell>
          <cell r="AI109" t="str">
            <v>00363678670</v>
          </cell>
          <cell r="AJ109" t="str">
            <v>3210570715602</v>
          </cell>
          <cell r="AK109" t="str">
            <v>MERCEDES-BENZ</v>
          </cell>
          <cell r="AL109" t="str">
            <v>MB 321</v>
          </cell>
        </row>
        <row r="110">
          <cell r="AG110" t="str">
            <v>HSU9D49</v>
          </cell>
          <cell r="AH110" t="str">
            <v>DIGITAL</v>
          </cell>
          <cell r="AI110" t="str">
            <v>00169835049</v>
          </cell>
          <cell r="AJ110" t="str">
            <v>9A9CS4273ALDJ5086</v>
          </cell>
          <cell r="AK110" t="str">
            <v>LIBRELATO</v>
          </cell>
          <cell r="AL110" t="str">
            <v>LIBRELATO SRCS 3E</v>
          </cell>
        </row>
        <row r="111">
          <cell r="AG111" t="str">
            <v>BZN1874</v>
          </cell>
          <cell r="AH111" t="str">
            <v>FÍSICO</v>
          </cell>
          <cell r="AI111" t="str">
            <v>00400701960</v>
          </cell>
          <cell r="AJ111" t="str">
            <v>34400612033102</v>
          </cell>
          <cell r="AK111" t="str">
            <v>MERCEDES-BENZ</v>
          </cell>
          <cell r="AL111" t="str">
            <v>L 1111</v>
          </cell>
        </row>
        <row r="112">
          <cell r="AG112" t="str">
            <v>HRO5E08</v>
          </cell>
          <cell r="AH112" t="str">
            <v>-</v>
          </cell>
          <cell r="AI112" t="str">
            <v>00732994047</v>
          </cell>
          <cell r="AJ112" t="str">
            <v>9BM695014YB220021</v>
          </cell>
          <cell r="AK112" t="str">
            <v>MERCEDES-BENZ</v>
          </cell>
          <cell r="AL112" t="str">
            <v>L 1620</v>
          </cell>
        </row>
        <row r="113">
          <cell r="AG113" t="str">
            <v>HRO7F30</v>
          </cell>
          <cell r="AH113" t="str">
            <v>-</v>
          </cell>
          <cell r="AI113" t="str">
            <v>00750097205</v>
          </cell>
          <cell r="AJ113" t="str">
            <v>9BM695014YB239174</v>
          </cell>
          <cell r="AK113" t="str">
            <v>MERCEDES-BENZ</v>
          </cell>
          <cell r="AL113" t="str">
            <v>L 1620</v>
          </cell>
        </row>
        <row r="114">
          <cell r="AG114" t="str">
            <v>BFO6788</v>
          </cell>
          <cell r="AH114" t="str">
            <v>-</v>
          </cell>
          <cell r="AI114" t="str">
            <v>00372189245</v>
          </cell>
          <cell r="AJ114" t="str">
            <v>OJ85806</v>
          </cell>
          <cell r="AK114" t="str">
            <v>TOYOTA</v>
          </cell>
          <cell r="AL114" t="str">
            <v>TOYOTA/BANDEIRANTE</v>
          </cell>
        </row>
        <row r="115">
          <cell r="AG115" t="str">
            <v>EJZ7366</v>
          </cell>
          <cell r="AH115" t="str">
            <v>-</v>
          </cell>
          <cell r="AI115" t="str">
            <v>00203475003</v>
          </cell>
          <cell r="AJ115" t="str">
            <v>9BFYCAWY4ABB49765</v>
          </cell>
          <cell r="AK115" t="str">
            <v>FORD</v>
          </cell>
          <cell r="AL115" t="str">
            <v>CARGO 1832 E</v>
          </cell>
        </row>
        <row r="116">
          <cell r="AG116" t="str">
            <v>BNJ9314</v>
          </cell>
          <cell r="AH116" t="str">
            <v>-</v>
          </cell>
          <cell r="AI116" t="str">
            <v>00410084425</v>
          </cell>
          <cell r="AJ116" t="str">
            <v>-</v>
          </cell>
          <cell r="AK116" t="str">
            <v>MERCEDES-BENZ</v>
          </cell>
          <cell r="AL116" t="str">
            <v>L 1113</v>
          </cell>
        </row>
        <row r="117">
          <cell r="AG117" t="str">
            <v>EJZ7609</v>
          </cell>
          <cell r="AH117" t="str">
            <v>-</v>
          </cell>
          <cell r="AI117" t="str">
            <v>00232186154</v>
          </cell>
          <cell r="AJ117" t="str">
            <v>9BFXCE2U2ABB60723</v>
          </cell>
          <cell r="AK117" t="str">
            <v>FORD</v>
          </cell>
          <cell r="AL117" t="str">
            <v>CARGO 1317 E</v>
          </cell>
        </row>
        <row r="118">
          <cell r="AG118" t="str">
            <v>EJZ7G08</v>
          </cell>
          <cell r="AH118" t="str">
            <v>-</v>
          </cell>
          <cell r="AI118" t="str">
            <v>00232153345</v>
          </cell>
          <cell r="AJ118" t="str">
            <v>9BFXCE2U7ABB60717</v>
          </cell>
          <cell r="AK118" t="str">
            <v>FORD</v>
          </cell>
          <cell r="AL118" t="str">
            <v>CARGO 1317 E</v>
          </cell>
        </row>
        <row r="119">
          <cell r="AG119" t="str">
            <v>SUY4F83</v>
          </cell>
          <cell r="AH119" t="str">
            <v>DIGITAL</v>
          </cell>
          <cell r="AI119" t="str">
            <v>01451712968</v>
          </cell>
          <cell r="AJ119" t="str">
            <v>93KPZ60C8SE209221</v>
          </cell>
          <cell r="AK119" t="str">
            <v>VOLVO</v>
          </cell>
          <cell r="AL119" t="str">
            <v>VM 330 6X2R</v>
          </cell>
        </row>
        <row r="120">
          <cell r="AG120" t="str">
            <v>TKI2E74</v>
          </cell>
          <cell r="AH120" t="str">
            <v>DIGITAL</v>
          </cell>
          <cell r="AI120" t="str">
            <v>01463655794</v>
          </cell>
          <cell r="AJ120" t="str">
            <v>93KPZ60C6SE211014</v>
          </cell>
          <cell r="AK120" t="str">
            <v>VOLVO</v>
          </cell>
          <cell r="AL120" t="str">
            <v>VM 330 6X2R</v>
          </cell>
        </row>
        <row r="121">
          <cell r="AG121" t="str">
            <v>BWJ9H37</v>
          </cell>
          <cell r="AH121" t="str">
            <v>DIGITAL</v>
          </cell>
          <cell r="AI121" t="str">
            <v>00436604272</v>
          </cell>
          <cell r="AJ121" t="str">
            <v>9A9G12430P1AV8033</v>
          </cell>
          <cell r="AK121" t="str">
            <v>NOMA</v>
          </cell>
          <cell r="AL121" t="str">
            <v>SR/NOMA</v>
          </cell>
        </row>
        <row r="122">
          <cell r="AG122" t="str">
            <v>BTS7191</v>
          </cell>
          <cell r="AH122" t="str">
            <v>FÍSICO</v>
          </cell>
          <cell r="AI122" t="str">
            <v>00384958222</v>
          </cell>
          <cell r="AJ122" t="str">
            <v>45817</v>
          </cell>
          <cell r="AK122" t="str">
            <v>RANDON</v>
          </cell>
          <cell r="AL122" t="str">
            <v>SR/RANDON</v>
          </cell>
        </row>
        <row r="123">
          <cell r="AG123" t="str">
            <v>DBP3174</v>
          </cell>
          <cell r="AH123" t="str">
            <v>FÍSICO</v>
          </cell>
          <cell r="AI123" t="str">
            <v>00812226780</v>
          </cell>
          <cell r="AJ123" t="str">
            <v>9ADJO66234M192858</v>
          </cell>
          <cell r="AK123" t="str">
            <v>RANDON</v>
          </cell>
          <cell r="AL123" t="str">
            <v>SR/RANDON SR CO</v>
          </cell>
        </row>
        <row r="124">
          <cell r="AG124" t="str">
            <v>EWU5984</v>
          </cell>
          <cell r="AH124" t="str">
            <v>FÍSICO</v>
          </cell>
          <cell r="AI124" t="str">
            <v>00499339444</v>
          </cell>
          <cell r="AJ124" t="str">
            <v>9BVP0S1A6CE137190</v>
          </cell>
          <cell r="AK124" t="str">
            <v>VOLVO</v>
          </cell>
          <cell r="AL124" t="str">
            <v>VM 330 4X2 2P</v>
          </cell>
        </row>
        <row r="125">
          <cell r="AG125" t="str">
            <v>GDB3A42</v>
          </cell>
          <cell r="AH125" t="str">
            <v>DIGITAL</v>
          </cell>
          <cell r="AI125" t="str">
            <v>01294632253</v>
          </cell>
          <cell r="AJ125" t="str">
            <v>9BVRG40D0NE914628</v>
          </cell>
          <cell r="AK125" t="str">
            <v>VOLVO</v>
          </cell>
          <cell r="AL125" t="str">
            <v>FH 540 6X4T</v>
          </cell>
        </row>
        <row r="126">
          <cell r="AG126" t="str">
            <v>GDY0H74</v>
          </cell>
          <cell r="AH126" t="str">
            <v>DIGITAL</v>
          </cell>
          <cell r="AI126" t="str">
            <v>01286571534</v>
          </cell>
          <cell r="AJ126" t="str">
            <v>9BVRG40D8NE911037</v>
          </cell>
          <cell r="AK126" t="str">
            <v>VOLVO</v>
          </cell>
          <cell r="AL126" t="str">
            <v>FH 540 6X4T</v>
          </cell>
        </row>
        <row r="127">
          <cell r="AG127" t="str">
            <v>EWU5698</v>
          </cell>
          <cell r="AH127" t="str">
            <v>FÍSICO</v>
          </cell>
          <cell r="AI127" t="str">
            <v>00420874208</v>
          </cell>
          <cell r="AJ127" t="str">
            <v>93KK0F0D6BE131741</v>
          </cell>
          <cell r="AK127" t="str">
            <v>VOLVO</v>
          </cell>
          <cell r="AL127" t="str">
            <v>VM 310 6X4R</v>
          </cell>
        </row>
        <row r="128">
          <cell r="AG128" t="str">
            <v>EWU6A79</v>
          </cell>
          <cell r="AH128" t="str">
            <v>DIGITAL</v>
          </cell>
          <cell r="AI128" t="str">
            <v>00536725446</v>
          </cell>
          <cell r="AJ128" t="str">
            <v>93KPOS1D2DE139657</v>
          </cell>
          <cell r="AK128" t="str">
            <v>VOLVO</v>
          </cell>
          <cell r="AL128" t="str">
            <v>VM 330 6X4R</v>
          </cell>
        </row>
        <row r="129">
          <cell r="AG129" t="str">
            <v>EWU5857</v>
          </cell>
          <cell r="AH129" t="str">
            <v>FÍSICO</v>
          </cell>
          <cell r="AI129" t="str">
            <v>00470246561</v>
          </cell>
          <cell r="AJ129" t="str">
            <v>93KP0S1DXCE135005</v>
          </cell>
          <cell r="AK129" t="str">
            <v>VOLVO</v>
          </cell>
          <cell r="AL129" t="str">
            <v>VM 330 6X4R</v>
          </cell>
        </row>
        <row r="130">
          <cell r="AG130" t="str">
            <v>OOM8D73</v>
          </cell>
          <cell r="AH130" t="str">
            <v>DIGITAL</v>
          </cell>
          <cell r="AI130" t="str">
            <v>01066783745</v>
          </cell>
          <cell r="AJ130" t="str">
            <v>9BVXG00C0GE835683</v>
          </cell>
          <cell r="AK130" t="str">
            <v>VOLVO</v>
          </cell>
          <cell r="AL130" t="str">
            <v>FM 380 6X2T</v>
          </cell>
        </row>
        <row r="131">
          <cell r="AG131" t="str">
            <v>EJZ7349</v>
          </cell>
          <cell r="AH131" t="str">
            <v>-</v>
          </cell>
          <cell r="AI131" t="str">
            <v>00203983734</v>
          </cell>
          <cell r="AJ131" t="str">
            <v>9BFYCAWY5ABB50469</v>
          </cell>
          <cell r="AK131" t="str">
            <v>FORD</v>
          </cell>
          <cell r="AL131" t="str">
            <v>CARGO 4532 E</v>
          </cell>
        </row>
        <row r="132"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ZOLOAR</v>
          </cell>
          <cell r="AL132" t="str">
            <v>45 POLEGADAS</v>
          </cell>
        </row>
        <row r="133">
          <cell r="AG133" t="str">
            <v>TES0003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GENESIS</v>
          </cell>
          <cell r="AL133" t="str">
            <v>-</v>
          </cell>
        </row>
        <row r="134">
          <cell r="AG134" t="str">
            <v>-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SEADOO</v>
          </cell>
          <cell r="AL134" t="str">
            <v>-</v>
          </cell>
        </row>
        <row r="135">
          <cell r="AG135" t="str">
            <v>-</v>
          </cell>
          <cell r="AH135" t="str">
            <v>-</v>
          </cell>
          <cell r="AI135" t="str">
            <v>-</v>
          </cell>
          <cell r="AJ135" t="str">
            <v>YDV06552H526</v>
          </cell>
          <cell r="AK135" t="str">
            <v>SEADOO</v>
          </cell>
          <cell r="AL135" t="str">
            <v>PWC GTX LTD 325 HP</v>
          </cell>
        </row>
        <row r="136">
          <cell r="AG136" t="str">
            <v>60 UNIDADES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GRIMALDI</v>
          </cell>
          <cell r="AL136" t="str">
            <v>CAIXAS ROLLON</v>
          </cell>
        </row>
        <row r="137">
          <cell r="AG137" t="str">
            <v>60 UNIDADES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GRIMALDI</v>
          </cell>
          <cell r="AL137" t="str">
            <v>CAIXAS ROLLON</v>
          </cell>
        </row>
        <row r="138">
          <cell r="AG138" t="str">
            <v>45 UNIDADES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OUTROS</v>
          </cell>
          <cell r="AL138" t="str">
            <v>CAIXAS ROLLON</v>
          </cell>
        </row>
        <row r="139">
          <cell r="AG139" t="str">
            <v>CHF0016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FIATALLIS</v>
          </cell>
          <cell r="AL139" t="str">
            <v>1900B</v>
          </cell>
        </row>
        <row r="140">
          <cell r="AG140" t="str">
            <v>EHN0001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NEW HOLLAND</v>
          </cell>
          <cell r="AL140" t="str">
            <v>E215B</v>
          </cell>
        </row>
        <row r="141">
          <cell r="AG141" t="str">
            <v>EPH0020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HYSTER</v>
          </cell>
          <cell r="AL141" t="str">
            <v>-</v>
          </cell>
        </row>
        <row r="142">
          <cell r="AG142" t="str">
            <v>EPT0024</v>
          </cell>
          <cell r="AH142" t="str">
            <v>-</v>
          </cell>
          <cell r="AI142" t="str">
            <v>-</v>
          </cell>
          <cell r="AJ142" t="str">
            <v>CHASSI:FGZN25-10232 NºMOTOR:4Y2380933</v>
          </cell>
          <cell r="AK142" t="str">
            <v>TOYOTA</v>
          </cell>
          <cell r="AL142" t="str">
            <v xml:space="preserve">COMBUSTÃO FGZN25FSV4,7 </v>
          </cell>
        </row>
        <row r="143">
          <cell r="AG143" t="str">
            <v>EHL0012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LIEBHERR</v>
          </cell>
          <cell r="AL143" t="str">
            <v>A924B</v>
          </cell>
        </row>
        <row r="144">
          <cell r="AG144" t="str">
            <v>EHL0011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LIEBHERR</v>
          </cell>
          <cell r="AL144" t="str">
            <v>A934C</v>
          </cell>
        </row>
        <row r="145">
          <cell r="AG145" t="str">
            <v>EHP0032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POCLAIN</v>
          </cell>
          <cell r="AL145" t="str">
            <v>80CR</v>
          </cell>
        </row>
        <row r="146">
          <cell r="AG146" t="str">
            <v>ESC0001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POCLAIN</v>
          </cell>
          <cell r="AL146" t="str">
            <v>80CR</v>
          </cell>
        </row>
        <row r="147">
          <cell r="AG147" t="str">
            <v>ESC0002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POCLAIN</v>
          </cell>
          <cell r="AL147" t="str">
            <v>80CR</v>
          </cell>
        </row>
        <row r="148">
          <cell r="AG148" t="str">
            <v>EHH0006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HYUNDAI</v>
          </cell>
          <cell r="AL148" t="str">
            <v>ROBEX 210LC-7</v>
          </cell>
        </row>
        <row r="149">
          <cell r="AG149" t="str">
            <v>EHH0008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HYUNDAI</v>
          </cell>
          <cell r="AL149" t="str">
            <v>ROBEX 210LC-7</v>
          </cell>
        </row>
        <row r="150">
          <cell r="AG150" t="str">
            <v>EHH0007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HYUNDAI</v>
          </cell>
          <cell r="AL150" t="str">
            <v>ROBEX 140LC-9SB</v>
          </cell>
        </row>
        <row r="151">
          <cell r="AG151" t="str">
            <v>EHH0009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HYUNDAI</v>
          </cell>
          <cell r="AL151" t="str">
            <v>ROBEX 210LC-7</v>
          </cell>
        </row>
        <row r="152">
          <cell r="AG152" t="str">
            <v>EHH0004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HYUNDAI</v>
          </cell>
          <cell r="AL152" t="str">
            <v>ROBEX 140LC-9SB</v>
          </cell>
        </row>
        <row r="153">
          <cell r="AG153" t="str">
            <v>EHH0005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HYUNDAI</v>
          </cell>
          <cell r="AL153" t="str">
            <v>ROBEX 140LC-9SB</v>
          </cell>
        </row>
        <row r="154">
          <cell r="AG154" t="str">
            <v>EHL0013</v>
          </cell>
          <cell r="AH154" t="str">
            <v>-</v>
          </cell>
          <cell r="AI154" t="str">
            <v>-</v>
          </cell>
          <cell r="AJ154">
            <v>130562068</v>
          </cell>
          <cell r="AK154" t="str">
            <v>LIEBHERR</v>
          </cell>
          <cell r="AL154" t="str">
            <v>A924C</v>
          </cell>
        </row>
        <row r="155">
          <cell r="AG155" t="str">
            <v>EHL0014</v>
          </cell>
          <cell r="AH155" t="str">
            <v>-</v>
          </cell>
          <cell r="AI155" t="str">
            <v>-</v>
          </cell>
          <cell r="AJ155">
            <v>130569890</v>
          </cell>
          <cell r="AK155" t="str">
            <v>LIEBHERR</v>
          </cell>
          <cell r="AL155" t="str">
            <v>A924C</v>
          </cell>
        </row>
        <row r="156">
          <cell r="AG156" t="str">
            <v>EHL0028</v>
          </cell>
          <cell r="AH156" t="str">
            <v>-</v>
          </cell>
          <cell r="AI156" t="str">
            <v>-</v>
          </cell>
          <cell r="AJ156">
            <v>125399908</v>
          </cell>
          <cell r="AK156" t="str">
            <v>LIEBHERR</v>
          </cell>
          <cell r="AL156" t="str">
            <v>LH30M</v>
          </cell>
        </row>
        <row r="157">
          <cell r="AG157" t="str">
            <v>EHL0041</v>
          </cell>
          <cell r="AH157" t="str">
            <v>-</v>
          </cell>
          <cell r="AI157" t="str">
            <v>-</v>
          </cell>
          <cell r="AJ157">
            <v>1253127612</v>
          </cell>
          <cell r="AK157" t="str">
            <v>LIEBHERR</v>
          </cell>
          <cell r="AL157" t="str">
            <v>LH30M</v>
          </cell>
        </row>
        <row r="158">
          <cell r="AG158" t="str">
            <v>EHL0042</v>
          </cell>
          <cell r="AH158" t="str">
            <v>-</v>
          </cell>
          <cell r="AI158" t="str">
            <v>-</v>
          </cell>
          <cell r="AJ158">
            <v>1253127614</v>
          </cell>
          <cell r="AK158" t="str">
            <v>LIEBHERR</v>
          </cell>
          <cell r="AL158" t="str">
            <v>LH30M</v>
          </cell>
        </row>
        <row r="159">
          <cell r="AG159" t="str">
            <v>EHL0043</v>
          </cell>
          <cell r="AH159" t="str">
            <v>-</v>
          </cell>
          <cell r="AI159" t="str">
            <v>-</v>
          </cell>
          <cell r="AJ159">
            <v>1253127615</v>
          </cell>
          <cell r="AK159" t="str">
            <v>LIEBHERR</v>
          </cell>
          <cell r="AL159" t="str">
            <v>LH30M</v>
          </cell>
        </row>
        <row r="160">
          <cell r="AG160" t="str">
            <v>EHH0036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HYUNDAI</v>
          </cell>
          <cell r="AL160" t="str">
            <v>R220 LONG REACH</v>
          </cell>
        </row>
        <row r="161">
          <cell r="AG161" t="str">
            <v>EHH0037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HYUNDAI</v>
          </cell>
          <cell r="AL161" t="str">
            <v>R220 LONG REACH</v>
          </cell>
        </row>
        <row r="162">
          <cell r="AG162" t="str">
            <v>EHH0038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HYUNDAI</v>
          </cell>
          <cell r="AL162" t="str">
            <v>R220 LONG REACH</v>
          </cell>
        </row>
        <row r="163">
          <cell r="AG163" t="str">
            <v>EHH0040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HYUNDAI</v>
          </cell>
          <cell r="AL163" t="str">
            <v>R220 LONG REACH</v>
          </cell>
        </row>
        <row r="164">
          <cell r="AG164" t="str">
            <v>EHH0039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HYUNDAI</v>
          </cell>
          <cell r="AL164" t="str">
            <v>R220 LONG REACH</v>
          </cell>
        </row>
        <row r="165">
          <cell r="AG165" t="str">
            <v>EHH0002</v>
          </cell>
          <cell r="AH165" t="str">
            <v>-</v>
          </cell>
          <cell r="AI165" t="str">
            <v>-</v>
          </cell>
          <cell r="AJ165" t="str">
            <v>-</v>
          </cell>
          <cell r="AK165" t="str">
            <v>HYUNDAI</v>
          </cell>
          <cell r="AL165" t="str">
            <v>ROBEX 140LC-9SB</v>
          </cell>
        </row>
        <row r="166">
          <cell r="AG166" t="str">
            <v>EHH0015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HYUNDAI</v>
          </cell>
          <cell r="AL166" t="str">
            <v>ROBEX 220LC -9SB</v>
          </cell>
        </row>
        <row r="167">
          <cell r="AG167" t="str">
            <v>EHH0019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HYUNDAI</v>
          </cell>
          <cell r="AL167" t="str">
            <v>ROBEX 220LC-9SBT3</v>
          </cell>
        </row>
        <row r="168">
          <cell r="AG168" t="str">
            <v>EHH0046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HYUNDAI</v>
          </cell>
          <cell r="AL168" t="str">
            <v>ROBEX 220LC-9S</v>
          </cell>
        </row>
        <row r="169">
          <cell r="AG169" t="str">
            <v>GRIMAL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HYUNDAI</v>
          </cell>
          <cell r="AL169" t="str">
            <v>ROBEX 225 LVS</v>
          </cell>
        </row>
        <row r="170">
          <cell r="AG170" t="str">
            <v>EHH0003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HYUNDAI</v>
          </cell>
          <cell r="AL170" t="str">
            <v>ROBEX 220LC-9SB</v>
          </cell>
        </row>
        <row r="171">
          <cell r="AG171" t="str">
            <v>EHL0070</v>
          </cell>
          <cell r="AH171" t="str">
            <v>-</v>
          </cell>
          <cell r="AI171" t="str">
            <v>-</v>
          </cell>
          <cell r="AJ171" t="str">
            <v>1253-176514</v>
          </cell>
          <cell r="AK171" t="str">
            <v>LIEBHERR</v>
          </cell>
          <cell r="AL171" t="str">
            <v>LH30M</v>
          </cell>
        </row>
        <row r="172"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H-TOTA</v>
          </cell>
          <cell r="AL172" t="str">
            <v>-</v>
          </cell>
        </row>
        <row r="173"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H-TOTA</v>
          </cell>
          <cell r="AL173" t="str">
            <v>-</v>
          </cell>
        </row>
        <row r="174"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HIDRAUBERTO</v>
          </cell>
          <cell r="AL174" t="str">
            <v>GARRA+CAÇAMBA ROLLON</v>
          </cell>
        </row>
        <row r="175">
          <cell r="AG175" t="str">
            <v>MAQ0004</v>
          </cell>
          <cell r="AH175" t="str">
            <v>-</v>
          </cell>
          <cell r="AI175" t="str">
            <v>-</v>
          </cell>
          <cell r="AJ175" t="str">
            <v>-</v>
          </cell>
          <cell r="AK175" t="str">
            <v>STOKKERMILL</v>
          </cell>
          <cell r="AL175" t="str">
            <v>SM 1100 EF PLUS</v>
          </cell>
        </row>
        <row r="176">
          <cell r="AG176" t="str">
            <v>MAQ0001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MARAFON</v>
          </cell>
          <cell r="AL176" t="str">
            <v>ONDULADA 17</v>
          </cell>
        </row>
        <row r="177">
          <cell r="AG177" t="str">
            <v>MAQ0002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MARAFON</v>
          </cell>
          <cell r="AL177" t="str">
            <v>PRENSA CUMEEIRA</v>
          </cell>
        </row>
        <row r="178">
          <cell r="AG178" t="str">
            <v>MAQ0003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MARAFON</v>
          </cell>
          <cell r="AL178" t="str">
            <v>TRAPÉZIO 40</v>
          </cell>
        </row>
        <row r="179">
          <cell r="AG179" t="str">
            <v>CHN0029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EHL</v>
          </cell>
          <cell r="AL179" t="str">
            <v>-</v>
          </cell>
        </row>
        <row r="180">
          <cell r="AG180" t="str">
            <v>CHM0027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MICHIGAN</v>
          </cell>
          <cell r="AL180" t="str">
            <v>PA CARREGADEIRA MICHIGAN 75</v>
          </cell>
        </row>
        <row r="181">
          <cell r="AG181" t="str">
            <v>IPM0061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MB CRUSHER</v>
          </cell>
          <cell r="AL181" t="str">
            <v>MB-S18 S4 20X20</v>
          </cell>
        </row>
        <row r="182">
          <cell r="AG182" t="str">
            <v>-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H-TOTA</v>
          </cell>
          <cell r="AL182" t="str">
            <v>-</v>
          </cell>
        </row>
        <row r="183">
          <cell r="AG183" t="str">
            <v>344 UNIDADES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OUTROS</v>
          </cell>
          <cell r="AL183" t="str">
            <v>CAIXAS POLI</v>
          </cell>
        </row>
        <row r="184">
          <cell r="AG184" t="str">
            <v>50 UNIDADES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OUTROS</v>
          </cell>
          <cell r="AL184" t="str">
            <v>CAIXAS POLI</v>
          </cell>
        </row>
        <row r="185">
          <cell r="AG185" t="str">
            <v>MAQ0005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WEG</v>
          </cell>
          <cell r="AL185" t="str">
            <v>PONTE COM TALHA - 3 ~250S/M</v>
          </cell>
        </row>
        <row r="186">
          <cell r="AG186" t="str">
            <v>-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HOVAN</v>
          </cell>
          <cell r="AL186" t="str">
            <v>PONTE COM TALHA</v>
          </cell>
        </row>
        <row r="187"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HOVAN</v>
          </cell>
          <cell r="AL187" t="str">
            <v>PONTE COM TALHA</v>
          </cell>
        </row>
        <row r="188">
          <cell r="AG188" t="str">
            <v>-</v>
          </cell>
          <cell r="AH188" t="str">
            <v>-</v>
          </cell>
          <cell r="AI188" t="str">
            <v>-</v>
          </cell>
          <cell r="AJ188" t="str">
            <v>-</v>
          </cell>
          <cell r="AK188" t="str">
            <v>H-TOTA</v>
          </cell>
          <cell r="AL188" t="str">
            <v>-</v>
          </cell>
        </row>
        <row r="189">
          <cell r="AG189" t="str">
            <v>PRJ0001</v>
          </cell>
          <cell r="AH189" t="str">
            <v>-</v>
          </cell>
          <cell r="AI189" t="str">
            <v>-</v>
          </cell>
          <cell r="AJ189" t="str">
            <v>-</v>
          </cell>
          <cell r="AK189" t="str">
            <v>OUTROS</v>
          </cell>
          <cell r="AL189" t="str">
            <v>-</v>
          </cell>
        </row>
        <row r="190">
          <cell r="AG190" t="str">
            <v>80 UNIDADES</v>
          </cell>
          <cell r="AH190" t="str">
            <v>-</v>
          </cell>
          <cell r="AI190" t="str">
            <v>-</v>
          </cell>
          <cell r="AJ190" t="str">
            <v>-</v>
          </cell>
          <cell r="AK190" t="str">
            <v>OUTROS</v>
          </cell>
          <cell r="AL190" t="str">
            <v>CAIXAS ROLLON</v>
          </cell>
        </row>
        <row r="191">
          <cell r="AG191" t="str">
            <v>-</v>
          </cell>
          <cell r="AH191" t="str">
            <v>-</v>
          </cell>
          <cell r="AI191" t="str">
            <v>-</v>
          </cell>
          <cell r="AJ191" t="str">
            <v>-</v>
          </cell>
          <cell r="AK191" t="str">
            <v>H-TOTA</v>
          </cell>
          <cell r="AL191" t="str">
            <v>-</v>
          </cell>
        </row>
        <row r="192">
          <cell r="AG192" t="str">
            <v>TES0002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GENESIS</v>
          </cell>
          <cell r="AL192" t="str">
            <v>GXP300R</v>
          </cell>
        </row>
        <row r="193">
          <cell r="AG193" t="str">
            <v>TES0001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ARDEN</v>
          </cell>
          <cell r="AL193" t="str">
            <v>AS-030R61</v>
          </cell>
        </row>
        <row r="194">
          <cell r="AG194" t="str">
            <v>TES0004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ARDEN</v>
          </cell>
          <cell r="AL194" t="str">
            <v>PARTES E PEÇAS DE GUINDASTE - FERRAMENTA PARA CORTAR SUCATA - AS-030R - ACESSÓRIO DA MANDÍBULA CF</v>
          </cell>
        </row>
        <row r="195">
          <cell r="AG195" t="str">
            <v>TES0005</v>
          </cell>
          <cell r="AH195" t="str">
            <v>-</v>
          </cell>
          <cell r="AI195" t="str">
            <v>-</v>
          </cell>
          <cell r="AJ195" t="str">
            <v>-</v>
          </cell>
          <cell r="AK195" t="str">
            <v>ARDEN</v>
          </cell>
          <cell r="AL195" t="str">
            <v>BASE DA TESOURA ARDEN</v>
          </cell>
        </row>
        <row r="196">
          <cell r="AG196" t="str">
            <v>TES0006</v>
          </cell>
          <cell r="AH196" t="str">
            <v>-</v>
          </cell>
          <cell r="AI196" t="str">
            <v>-</v>
          </cell>
          <cell r="AJ196" t="str">
            <v>SERIE: 2190416</v>
          </cell>
          <cell r="AK196" t="str">
            <v>ARDEN</v>
          </cell>
          <cell r="AL196" t="str">
            <v>AS030BR01</v>
          </cell>
        </row>
        <row r="197">
          <cell r="AG197" t="str">
            <v>-</v>
          </cell>
          <cell r="AH197" t="str">
            <v>-</v>
          </cell>
          <cell r="AI197" t="str">
            <v>-</v>
          </cell>
          <cell r="AJ197" t="str">
            <v>-</v>
          </cell>
          <cell r="AK197" t="str">
            <v>MB CRUSHER</v>
          </cell>
          <cell r="AL197" t="str">
            <v>BF90 3 S4</v>
          </cell>
        </row>
        <row r="198">
          <cell r="AG198" t="str">
            <v>GAR0001</v>
          </cell>
          <cell r="AH198" t="str">
            <v>-</v>
          </cell>
          <cell r="AI198" t="str">
            <v>-</v>
          </cell>
          <cell r="AJ198" t="str">
            <v>-</v>
          </cell>
          <cell r="AK198" t="str">
            <v>CHB</v>
          </cell>
          <cell r="AL198" t="str">
            <v>GARRA</v>
          </cell>
        </row>
        <row r="199">
          <cell r="AG199" t="str">
            <v>GDS7F95</v>
          </cell>
          <cell r="AH199" t="str">
            <v>DIGITAL</v>
          </cell>
          <cell r="AI199" t="str">
            <v>01334053445</v>
          </cell>
          <cell r="AJ199" t="str">
            <v>W1K5J4GW1PN335601</v>
          </cell>
          <cell r="AK199" t="str">
            <v>MERCEDES-BENZ</v>
          </cell>
          <cell r="AL199" t="str">
            <v>CLA 250</v>
          </cell>
        </row>
        <row r="200">
          <cell r="AG200" t="str">
            <v>GFA0D41</v>
          </cell>
          <cell r="AH200" t="str">
            <v>DIGITAL</v>
          </cell>
          <cell r="AI200" t="str">
            <v>01298615949</v>
          </cell>
          <cell r="AJ200" t="str">
            <v>LYVUZH6CDNB037634</v>
          </cell>
          <cell r="AK200" t="str">
            <v>VOLVO</v>
          </cell>
          <cell r="AL200" t="str">
            <v>XC 60 T8 INSCRIPT</v>
          </cell>
        </row>
        <row r="201">
          <cell r="AG201" t="str">
            <v>DDC2G89</v>
          </cell>
          <cell r="AH201" t="str">
            <v>-</v>
          </cell>
          <cell r="AI201" t="str">
            <v>01246961994</v>
          </cell>
          <cell r="AJ201" t="str">
            <v>9BFZH55L2M8065784</v>
          </cell>
          <cell r="AK201" t="str">
            <v>FORD</v>
          </cell>
          <cell r="AL201" t="str">
            <v>KA SE 1.0 HA C</v>
          </cell>
        </row>
        <row r="202">
          <cell r="AG202" t="str">
            <v>EEG9C30</v>
          </cell>
          <cell r="AH202" t="str">
            <v>-</v>
          </cell>
          <cell r="AI202" t="str">
            <v>01187170426</v>
          </cell>
          <cell r="AJ202" t="str">
            <v>9BFZH55L8K8317907</v>
          </cell>
          <cell r="AK202" t="str">
            <v>FORD</v>
          </cell>
          <cell r="AL202" t="str">
            <v>KA SE 1.0 HA C</v>
          </cell>
        </row>
        <row r="203">
          <cell r="AG203" t="str">
            <v>EGY1I23</v>
          </cell>
          <cell r="AH203" t="str">
            <v>-</v>
          </cell>
          <cell r="AI203" t="str">
            <v>01240094881</v>
          </cell>
          <cell r="AJ203" t="str">
            <v>9BFZH55L9M8057472</v>
          </cell>
          <cell r="AK203" t="str">
            <v>FORD</v>
          </cell>
          <cell r="AL203" t="str">
            <v>KA SE 1.0 HA C</v>
          </cell>
        </row>
        <row r="204">
          <cell r="AG204" t="str">
            <v>EMF0J29</v>
          </cell>
          <cell r="AH204" t="str">
            <v>-</v>
          </cell>
          <cell r="AI204" t="str">
            <v>01187164841</v>
          </cell>
          <cell r="AJ204" t="str">
            <v>9BFZH55L1K8334323</v>
          </cell>
          <cell r="AK204" t="str">
            <v>FORD</v>
          </cell>
          <cell r="AL204" t="str">
            <v>KA SE 1.0 HA C</v>
          </cell>
        </row>
        <row r="205">
          <cell r="AG205" t="str">
            <v>ENG4A84</v>
          </cell>
          <cell r="AH205" t="str">
            <v>-</v>
          </cell>
          <cell r="AI205" t="str">
            <v>01246962230</v>
          </cell>
          <cell r="AJ205" t="str">
            <v>9BFZH55L4M8075085</v>
          </cell>
          <cell r="AK205" t="str">
            <v>FORD</v>
          </cell>
          <cell r="AL205" t="str">
            <v>KA SE 1.0 HA C</v>
          </cell>
        </row>
        <row r="206">
          <cell r="AG206" t="str">
            <v>FBV4H62</v>
          </cell>
          <cell r="AH206" t="str">
            <v>DIGITAL</v>
          </cell>
          <cell r="AI206" t="str">
            <v>01296861179</v>
          </cell>
          <cell r="AJ206" t="str">
            <v>9BWAH5BZ5NP035742</v>
          </cell>
          <cell r="AK206" t="str">
            <v>VOLKSWAGEN</v>
          </cell>
          <cell r="AL206" t="str">
            <v>VW POLO CL TSI</v>
          </cell>
        </row>
        <row r="207">
          <cell r="AG207" t="str">
            <v>FCL4A82</v>
          </cell>
          <cell r="AH207" t="str">
            <v>-</v>
          </cell>
          <cell r="AI207" t="str">
            <v>01292091247</v>
          </cell>
          <cell r="AJ207" t="str">
            <v>9BWAH5BZ0NP033123</v>
          </cell>
          <cell r="AK207" t="str">
            <v>VOLKSWAGEN</v>
          </cell>
          <cell r="AL207" t="str">
            <v>VW POLO CL TSI</v>
          </cell>
        </row>
        <row r="208">
          <cell r="AG208" t="str">
            <v>STF9C60</v>
          </cell>
          <cell r="AH208" t="str">
            <v>-</v>
          </cell>
          <cell r="AI208" t="str">
            <v>01366104690</v>
          </cell>
          <cell r="AJ208" t="str">
            <v>9BWAH5BZ7RT626037</v>
          </cell>
          <cell r="AK208" t="str">
            <v>VOLKSWAGEN</v>
          </cell>
          <cell r="AL208" t="str">
            <v>VW POLO CL AB</v>
          </cell>
        </row>
        <row r="209">
          <cell r="AG209" t="str">
            <v>SUE1E15</v>
          </cell>
          <cell r="AH209" t="str">
            <v>DIGITAL</v>
          </cell>
          <cell r="AI209" t="str">
            <v>01365749824</v>
          </cell>
          <cell r="AJ209" t="str">
            <v>9BWAH5BZ6RT625638</v>
          </cell>
          <cell r="AK209" t="str">
            <v>VOLKSWAGEN</v>
          </cell>
          <cell r="AL209" t="str">
            <v>VW POLO CL AB</v>
          </cell>
        </row>
        <row r="210">
          <cell r="AG210" t="str">
            <v>SUC7A43</v>
          </cell>
          <cell r="AH210" t="str">
            <v>DIGITAL</v>
          </cell>
          <cell r="AI210" t="str">
            <v>01405639110</v>
          </cell>
          <cell r="AJ210" t="str">
            <v>9BWAH5BZ1ST632096</v>
          </cell>
          <cell r="AK210" t="str">
            <v>VOLKSWAGEN</v>
          </cell>
          <cell r="AL210" t="str">
            <v>VW POLO CL AB</v>
          </cell>
        </row>
        <row r="211">
          <cell r="AG211" t="str">
            <v>RNC9H69</v>
          </cell>
          <cell r="AH211" t="str">
            <v>-</v>
          </cell>
          <cell r="AI211" t="str">
            <v>01265366109</v>
          </cell>
          <cell r="AJ211" t="str">
            <v>9BWAG45U2NT047867</v>
          </cell>
          <cell r="AK211" t="str">
            <v>VOLKSWAGEN</v>
          </cell>
          <cell r="AL211" t="str">
            <v>GOL 1.0L MC4</v>
          </cell>
        </row>
        <row r="212">
          <cell r="AG212" t="str">
            <v>SWW9B93</v>
          </cell>
          <cell r="AH212" t="str">
            <v>-</v>
          </cell>
          <cell r="AI212" t="str">
            <v>01399625958</v>
          </cell>
          <cell r="AJ212" t="str">
            <v>9BWBH6BF3S4013591</v>
          </cell>
          <cell r="AK212" t="str">
            <v>VOLKSWAGEN</v>
          </cell>
          <cell r="AL212" t="str">
            <v>VW T CROSS TSI</v>
          </cell>
        </row>
        <row r="213">
          <cell r="AG213" t="str">
            <v>SUC4A26</v>
          </cell>
          <cell r="AH213" t="str">
            <v>DIGITAL</v>
          </cell>
          <cell r="AI213" t="str">
            <v>01399454665</v>
          </cell>
          <cell r="AJ213" t="str">
            <v>9BWAJ5BZ9SP007166</v>
          </cell>
          <cell r="AK213" t="str">
            <v>VOLKSWAGEN</v>
          </cell>
          <cell r="AL213" t="str">
            <v>VW POLO GTS AD</v>
          </cell>
        </row>
        <row r="214">
          <cell r="AG214" t="str">
            <v>GEV3A59</v>
          </cell>
          <cell r="AH214" t="str">
            <v>-</v>
          </cell>
          <cell r="AI214" t="str">
            <v>01240094806</v>
          </cell>
          <cell r="AJ214" t="str">
            <v>9BFZH55L0M8057683</v>
          </cell>
          <cell r="AK214" t="str">
            <v>FORD</v>
          </cell>
          <cell r="AL214" t="str">
            <v>KA SE 1.0 HA C</v>
          </cell>
        </row>
        <row r="215">
          <cell r="AG215" t="str">
            <v>RLN4B56</v>
          </cell>
          <cell r="AH215" t="str">
            <v>-</v>
          </cell>
          <cell r="AI215" t="str">
            <v>-</v>
          </cell>
          <cell r="AJ215" t="str">
            <v>-</v>
          </cell>
          <cell r="AK215" t="str">
            <v>FIAT</v>
          </cell>
          <cell r="AL215" t="str">
            <v>TORO FREED TURB AT6</v>
          </cell>
        </row>
        <row r="216">
          <cell r="AG216" t="str">
            <v>UGV1B16</v>
          </cell>
          <cell r="AH216" t="str">
            <v>DIGITAL</v>
          </cell>
          <cell r="AI216" t="str">
            <v>01475031812</v>
          </cell>
          <cell r="AJ216" t="str">
            <v>W1N4N8HW5TJ767618</v>
          </cell>
          <cell r="AK216" t="str">
            <v xml:space="preserve"> MERCEDES BENZ</v>
          </cell>
          <cell r="AL216" t="str">
            <v xml:space="preserve">GLA200 </v>
          </cell>
        </row>
        <row r="217">
          <cell r="AG217" t="str">
            <v>IPM0057</v>
          </cell>
          <cell r="AH217" t="str">
            <v>-</v>
          </cell>
          <cell r="AI217" t="str">
            <v>-</v>
          </cell>
          <cell r="AJ217" t="str">
            <v>-</v>
          </cell>
          <cell r="AK217" t="str">
            <v>MB CRUSHER</v>
          </cell>
          <cell r="AL217" t="str">
            <v xml:space="preserve">MB-S 18 S4/EX 058 </v>
          </cell>
        </row>
        <row r="218">
          <cell r="AG218" t="str">
            <v>IPM0060</v>
          </cell>
          <cell r="AH218" t="str">
            <v>-</v>
          </cell>
          <cell r="AI218" t="str">
            <v>-</v>
          </cell>
          <cell r="AJ218" t="str">
            <v>-</v>
          </cell>
          <cell r="AK218" t="str">
            <v>MB CRUSHER</v>
          </cell>
          <cell r="AL218" t="str">
            <v xml:space="preserve">MB-S 18 S4/EX 058 </v>
          </cell>
        </row>
        <row r="219">
          <cell r="AG219" t="str">
            <v>PHH0061</v>
          </cell>
          <cell r="AH219" t="str">
            <v>-</v>
          </cell>
          <cell r="AI219" t="str">
            <v>-</v>
          </cell>
          <cell r="AJ219" t="str">
            <v>-</v>
          </cell>
          <cell r="AK219" t="str">
            <v>HIDROEUROPA</v>
          </cell>
          <cell r="AL219" t="str">
            <v>JCG 800</v>
          </cell>
        </row>
        <row r="220">
          <cell r="AG220" t="str">
            <v>-</v>
          </cell>
          <cell r="AH220" t="str">
            <v>-</v>
          </cell>
          <cell r="AI220" t="str">
            <v>-</v>
          </cell>
          <cell r="AJ220" t="str">
            <v>-</v>
          </cell>
          <cell r="AK220" t="str">
            <v>-</v>
          </cell>
          <cell r="AL220" t="str">
            <v>-</v>
          </cell>
        </row>
        <row r="221">
          <cell r="AG221" t="str">
            <v>EQO6E99</v>
          </cell>
          <cell r="AH221" t="str">
            <v>FÍSICO</v>
          </cell>
          <cell r="AI221" t="str">
            <v>01235748968</v>
          </cell>
          <cell r="AJ221" t="str">
            <v>VV9S3G127KA100014</v>
          </cell>
          <cell r="AK221" t="str">
            <v>HIDROEUROPA</v>
          </cell>
          <cell r="AL221" t="str">
            <v>JCH200M</v>
          </cell>
        </row>
        <row r="222">
          <cell r="AG222" t="str">
            <v>GBL8H44</v>
          </cell>
          <cell r="AH222" t="str">
            <v>DIGITAL</v>
          </cell>
          <cell r="AI222" t="str">
            <v>01281034034</v>
          </cell>
          <cell r="AJ222" t="str">
            <v>VV9S3G120MA100004</v>
          </cell>
          <cell r="AK222" t="str">
            <v>HIDROEUROPA</v>
          </cell>
          <cell r="AL222" t="str">
            <v>JCH200M</v>
          </cell>
        </row>
        <row r="223">
          <cell r="AG223" t="str">
            <v>GDU0275</v>
          </cell>
          <cell r="AH223" t="str">
            <v>FÍSICO</v>
          </cell>
          <cell r="AI223" t="str">
            <v>01168247168</v>
          </cell>
          <cell r="AJ223" t="str">
            <v>VV9S3G116HA100019</v>
          </cell>
          <cell r="AK223" t="str">
            <v>HIDROEUROPA</v>
          </cell>
          <cell r="AL223" t="str">
            <v>JCH200M</v>
          </cell>
        </row>
        <row r="224">
          <cell r="AG224" t="str">
            <v>PHH0062</v>
          </cell>
          <cell r="AH224" t="str">
            <v>-</v>
          </cell>
          <cell r="AI224" t="str">
            <v>-</v>
          </cell>
          <cell r="AJ224" t="str">
            <v>SERIE: 25091439</v>
          </cell>
          <cell r="AK224" t="str">
            <v>HIDROEUROPA</v>
          </cell>
          <cell r="AL224" t="str">
            <v>JCH200M</v>
          </cell>
        </row>
        <row r="225">
          <cell r="AG225" t="str">
            <v>EWU6041</v>
          </cell>
          <cell r="AH225" t="str">
            <v>FÍSICO</v>
          </cell>
          <cell r="AI225" t="str">
            <v>00509449247</v>
          </cell>
          <cell r="AJ225" t="str">
            <v>VSRSE3000CU076847</v>
          </cell>
          <cell r="AK225" t="str">
            <v>HIDROEUROPA</v>
          </cell>
          <cell r="AL225" t="str">
            <v>JCH200M</v>
          </cell>
        </row>
        <row r="226">
          <cell r="AG226" t="str">
            <v>QXH2G14</v>
          </cell>
          <cell r="AH226" t="str">
            <v>DIGITAL</v>
          </cell>
          <cell r="AI226" t="str">
            <v>01218124242</v>
          </cell>
          <cell r="AJ226" t="str">
            <v>VV9S3G12XKA100007</v>
          </cell>
          <cell r="AK226" t="str">
            <v>HIDROEUROPA</v>
          </cell>
          <cell r="AL226" t="str">
            <v>JCH200M</v>
          </cell>
        </row>
        <row r="227">
          <cell r="AG227" t="str">
            <v>SWQ2C15 / PHH0049</v>
          </cell>
          <cell r="AH227" t="str">
            <v>DIGITAL</v>
          </cell>
          <cell r="AI227" t="str">
            <v>01451602186</v>
          </cell>
          <cell r="AJ227" t="str">
            <v>VV9S3G12XPA100032</v>
          </cell>
          <cell r="AK227" t="str">
            <v>HIDROEUROPA</v>
          </cell>
          <cell r="AL227" t="str">
            <v>JCH200M</v>
          </cell>
        </row>
        <row r="228">
          <cell r="AG228" t="str">
            <v>PHJ0054</v>
          </cell>
          <cell r="AH228" t="str">
            <v>-</v>
          </cell>
          <cell r="AI228" t="str">
            <v>-</v>
          </cell>
          <cell r="AJ228" t="str">
            <v>-</v>
          </cell>
          <cell r="AK228" t="str">
            <v>HARRIS</v>
          </cell>
          <cell r="AL228" t="str">
            <v>TGS60</v>
          </cell>
        </row>
        <row r="229">
          <cell r="AG229" t="str">
            <v>PHH0031</v>
          </cell>
          <cell r="AH229" t="str">
            <v>-</v>
          </cell>
          <cell r="AI229" t="str">
            <v>-</v>
          </cell>
          <cell r="AJ229" t="str">
            <v>-</v>
          </cell>
          <cell r="AK229" t="str">
            <v>HARRIS</v>
          </cell>
          <cell r="AL229" t="str">
            <v>TGS200</v>
          </cell>
        </row>
        <row r="230">
          <cell r="AG230" t="str">
            <v>PHT0025</v>
          </cell>
          <cell r="AH230" t="str">
            <v>-</v>
          </cell>
          <cell r="AI230" t="str">
            <v>-</v>
          </cell>
          <cell r="AJ230" t="str">
            <v>-</v>
          </cell>
          <cell r="AK230" t="str">
            <v>PREMER</v>
          </cell>
          <cell r="AL230" t="str">
            <v>PC60 4000</v>
          </cell>
        </row>
        <row r="231">
          <cell r="AG231" t="str">
            <v>PHH0045</v>
          </cell>
          <cell r="AH231" t="str">
            <v>-</v>
          </cell>
          <cell r="AI231" t="str">
            <v>-</v>
          </cell>
          <cell r="AJ231" t="str">
            <v>-</v>
          </cell>
          <cell r="AK231" t="str">
            <v>HIDROEUROPA</v>
          </cell>
          <cell r="AL231" t="str">
            <v>JCG800 LB</v>
          </cell>
        </row>
        <row r="232">
          <cell r="AG232" t="str">
            <v>PHE0030</v>
          </cell>
          <cell r="AH232" t="str">
            <v>-</v>
          </cell>
          <cell r="AI232" t="str">
            <v>-</v>
          </cell>
          <cell r="AJ232" t="str">
            <v>-</v>
          </cell>
          <cell r="AK232" t="str">
            <v>JB</v>
          </cell>
          <cell r="AL232" t="str">
            <v>ELÉTRICA 30X30</v>
          </cell>
        </row>
        <row r="233">
          <cell r="AG233" t="str">
            <v>PHT0018/PHH0018</v>
          </cell>
          <cell r="AH233" t="str">
            <v>-</v>
          </cell>
          <cell r="AI233" t="str">
            <v>-</v>
          </cell>
          <cell r="AJ233" t="str">
            <v>-</v>
          </cell>
          <cell r="AK233" t="str">
            <v>HIDROEUROPA</v>
          </cell>
          <cell r="AL233" t="str">
            <v>JCG600 SF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Código</v>
          </cell>
        </row>
      </sheetData>
      <sheetData sheetId="25"/>
      <sheetData sheetId="2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ugo Bossolani" id="{AFA03842-B33C-46D1-BBD8-72C009CF7A5A}" userId="hugo.bossolani@pilares.adm.br" providerId="PeoplePicker"/>
  <person displayName="Michelle Camphora Staquecini" id="{492B29D2-2D9A-4638-983D-AC7B21D7F29B}" userId="michelle.staquecini@seletiva.ind.br" providerId="PeoplePicker"/>
  <person displayName="Andressa Francine | Transmove" id="{1F3226E1-370A-42E0-B96B-1F89BF653D7D}" userId="S::logistica@transmove.net.br::832d33a6-33a8-408f-a5f2-d738e537544d" providerId="AD"/>
  <person displayName="João Paulo  Martins Ozores | PILARES" id="{F3DE14A1-5CA5-4524-8F43-F4454F24D6C3}" userId="S::qualidade01@pilares.adm.br::cd80b806-c699-45c9-a78e-fd92f3e70591" providerId="AD"/>
  <person displayName="Gisele Tonetto Santos | Seletiva Resíduos Industriais" id="{1BCA5606-2EB3-4CA4-8EF7-B57D313E88DB}" userId="S::adm.prudente@seletiva.ind.br::ab24413f-7562-4c71-a126-9082d02aa8d5" providerId="AD"/>
  <person displayName="Luciano Faria | Pilares" id="{5DB99779-7BC0-4ADB-916C-8F432A85EEB5}" userId="S::luciano.faria@pilares.adm.br::35a23d0e-8c4b-4e16-9e00-2967167d731e" providerId="AD"/>
  <person displayName="Mayara Martins" id="{377F824C-F5C3-4F2B-9A96-AB6BA9C3D2A8}" userId="S::mayara.martins@pilares.adm.br::38ff13d0-abdf-4a92-8bd3-f0aaa2765121" providerId="AD"/>
  <person displayName="Cristina Sugui" id="{166FD8A9-4A67-4034-8C13-38ED12D169CB}" userId="S::cristina.sugui@seletiva.ind.br::3adf00f0-444e-4e80-95b8-4fe658f29ff9" providerId="AD"/>
  <person displayName="Fernanda Oliveira Silva Cardoso" id="{33485ADF-D4A4-42BD-A726-DEE0B1CF374B}" userId="S::controladoria02@seletiva.ind.br::ff7dcd86-0259-4c47-a6a3-b591d2d57b5c" providerId="AD"/>
  <person displayName="Michelle Camphora Staquecini" id="{33FC0132-7C17-4E6E-B9B1-4E08E75FBF91}" userId="S::michelle.staquecini@seletiva.ind.br::5858326e-ebe9-40da-af3c-a85d950692b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6.611939930553" createdVersion="8" refreshedVersion="8" minRefreshableVersion="3" recordCount="90" xr:uid="{96E96EEA-E966-4707-918A-0DF81A69B621}">
  <cacheSource type="worksheet">
    <worksheetSource ref="A1:AH91" sheet="BASE DADOS"/>
  </cacheSource>
  <cacheFields count="34">
    <cacheField name="ESCAVADEIRA COM GARRA DINAM" numFmtId="164">
      <sharedItems containsSemiMixedTypes="0" containsString="0" containsNumber="1" containsInteger="1" minValue="1" maxValue="90"/>
    </cacheField>
    <cacheField name="STATUS DO VEÍCULO" numFmtId="0">
      <sharedItems count="2">
        <s v="REGULAR"/>
        <s v="PARA VENDA" u="1"/>
      </sharedItems>
    </cacheField>
    <cacheField name="LOCALIZAÇÃO" numFmtId="0">
      <sharedItems count="17">
        <s v="SP - PRUDENTE - SUCATA"/>
        <s v="MS - CAMPO GRANDE"/>
        <s v="MS - DOURADOS"/>
        <s v="PR - LONDRINA"/>
        <s v="PR - MARINGÁ"/>
        <s v="G3S - Filial 5"/>
        <s v="SP - PRUDENTE - RESERVA"/>
        <s v="ARCELOR - PIRACICABA"/>
        <s v="RJ - RESENDE"/>
        <s v="SP - SELETIVA (variável)"/>
        <s v="RSE"/>
        <s v="PR - MARINGÁ (CIDADE ALTA)"/>
        <s v="SC - JOINVILLE"/>
        <s v="RJ - BARRA MANSA"/>
        <s v="SP - PRUDENTE - SUCATA "/>
        <s v="SP - GERDAU"/>
        <s v="Aguardar" u="1"/>
      </sharedItems>
    </cacheField>
    <cacheField name="PRIMEIRA &quot;PERNA&quot;" numFmtId="0">
      <sharedItems count="7">
        <s v="RSE para G3S correspondente"/>
        <s v="RSE para G3S 5"/>
        <s v="RSE para G&amp;S correspondente"/>
        <s v="RSE para G&amp;S Barueri"/>
        <s v="USADA NA EMPRESA (G3S)"/>
        <s v="VERIFICAR G3S PARA G&amp;S "/>
        <s v="RSE direto para cliente"/>
      </sharedItems>
    </cacheField>
    <cacheField name="SEGUNDA &quot;PERNA&quot;" numFmtId="0">
      <sharedItems count="3">
        <s v="N/A"/>
        <s v="G&amp;S para G3S correspondente"/>
        <s v="G&amp;S para cliente"/>
      </sharedItems>
    </cacheField>
    <cacheField name="TERCEIRA &quot;PERNA&quot;" numFmtId="0">
      <sharedItems/>
    </cacheField>
    <cacheField name="PROPRIETÁRIO" numFmtId="0">
      <sharedItems/>
    </cacheField>
    <cacheField name="N.º CONTRATO" numFmtId="0">
      <sharedItems containsMixedTypes="1" containsNumber="1" containsInteger="1" minValue="147" maxValue="458"/>
    </cacheField>
    <cacheField name="LOCAÇÃO OU SERVIÇO" numFmtId="0">
      <sharedItems count="2">
        <s v="LOCAÇÃO"/>
        <s v="SERVIÇO"/>
      </sharedItems>
    </cacheField>
    <cacheField name="PLACA" numFmtId="0">
      <sharedItems/>
    </cacheField>
    <cacheField name="TIPO" numFmtId="0">
      <sharedItems count="2">
        <s v="MÁQUINA"/>
        <s v="VEÍCULO"/>
      </sharedItems>
    </cacheField>
    <cacheField name="MARCA" numFmtId="0">
      <sharedItems/>
    </cacheField>
    <cacheField name="MODELO" numFmtId="0">
      <sharedItems/>
    </cacheField>
    <cacheField name="IMPLEMENTO" numFmtId="0">
      <sharedItems count="42">
        <s v="BALANÇA RODOVIARIA - CONCRETO - 21 METROS"/>
        <s v="BALANÇA RODOVIARIA - METALICA - 21 METROS"/>
        <s v="CAMINHÃO / 3/4 - CARROCERIA ABERTA"/>
        <s v="CAMINHÃO / CACAMBA BASCULANTE / GARRA PALFINGER C 80Z"/>
        <s v="CAMINHÃO / CACAMBA BASCULANTENTE - GARRA PALFINGER C 80Z"/>
        <s v="CAMINHÃO / CACAMBA BASCULANTENTE - GARRA PALFINGER M 100L"/>
        <s v="CAMINHÃO / CACAMBA NÃO BASCULANTE INDUSPLAN - GARRA TRASEIRO PALFINGER M 100L"/>
        <s v="CAMINHÃO / CACAMBA NÃO BASCULANTE INDUSPLAN - GARRA TRASEIRO PALFINGER M 100L / ELETROIMA ZOLOAR"/>
        <s v="CAMINHÃO / ROLLON ROLLOF G25 IMAVI"/>
        <s v="CAMINHÃO / ROLLON ROLLOFF - BUSA G25 - GARRA PALFINGER C 80Z"/>
        <s v="CAMINHÃO / ROLLON ROLLOFF - BUSA G25 - GARRA PALFINGER M 120Z - 4º EIXO"/>
        <s v="CAMINHÃO / ROLLON ROLLOFF - IMAVI G25"/>
        <s v="CAMINHÃO / ROLLON ROLLOFF - IMAVI G25 - GARRA PALFINGER C 80Z"/>
        <s v="CAMINHÃO / TOCO - POLI DUPLO"/>
        <s v="CAMINHÃO / TRUCK - CARROCERIA ABERTA"/>
        <s v="CAMINHÃO TRACADO / REBOCADOR"/>
        <s v="CORTE E DOBRA - EURA 13"/>
        <s v="ESCAVADEIRA / GARRA"/>
        <s v="ESCAVADEIRA / GARRA CHB"/>
        <s v="ESCAVADEIRA / GARRA CHB / ELETROIMA ZOLOAR"/>
        <s v="ESCAVADEIRA / GARRA DINAMAC"/>
        <s v="ESCAVADEIRA / GARRA DINAMAC / ELETROIMA ZOLOAR"/>
        <s v="ESCAVADEIRA / GARRA LIEBHERR"/>
        <s v="ESCAVADEIRA / GARRA LIEBHERR / ELETROIMA ZOLOAR"/>
        <s v="ESCAVADEIRA / PENEIRA ITALIANA MB S16"/>
        <s v="ESCAVADEIRA / PENEIRA MB S18"/>
        <s v="ESCAVADEIRA / TESOURA ARDEN"/>
        <s v="ESCAVADEIRA / TESOURA VTN"/>
        <s v="ESCAVADEIRA LIEBHERR LH30M COM 1 GARRA - MAIS 2 GARRAS ADICIONAIS"/>
        <s v="JULIETA ROLLON ROLLOFF - 3 EIXOS"/>
        <s v="MANIPULADOR / GARRA LIEBHERR"/>
        <s v="MÁQUINA CORTADEIRA - C4"/>
        <s v="MÁQUINA DOBRADEIRA - P3 2V-2D"/>
        <s v="MÁQUINA ESTRIBADEIRA ACO 8"/>
        <s v="PRENSA 30X30"/>
        <s v="PRENSA 40X40"/>
        <s v="PRENSA 60X60"/>
        <s v="PRENSA FIXA JCG800"/>
        <s v="PRENSA MÓVEL JCH200M"/>
        <s v="PRENSA SEMIFIXA JCG600"/>
        <s v="TILTER"/>
        <s v="ESCAVADEIRA " u="1"/>
      </sharedItems>
    </cacheField>
    <cacheField name="Preço Compra Equipamento 0 fev/2025" numFmtId="44">
      <sharedItems containsSemiMixedTypes="0" containsString="0" containsNumber="1" containsInteger="1" minValue="0" maxValue="8343750"/>
    </cacheField>
    <cacheField name="Preço Compra Veículo 0 fev/2025" numFmtId="44">
      <sharedItems containsSemiMixedTypes="0" containsString="0" containsNumber="1" containsInteger="1" minValue="0" maxValue="3375000"/>
    </cacheField>
    <cacheField name="Preço Rollon+Caçamba 0 fev/2025" numFmtId="44">
      <sharedItems containsSemiMixedTypes="0" containsString="0" containsNumber="1" containsInteger="1" minValue="0" maxValue="125000"/>
    </cacheField>
    <cacheField name="Preço Implemento 0 Garra 0 fev/2025" numFmtId="44">
      <sharedItems containsSemiMixedTypes="0" containsString="0" containsNumber="1" containsInteger="1" minValue="0" maxValue="582000"/>
    </cacheField>
    <cacheField name="Preço Implemento 0 Eletroima 0 fev/2025" numFmtId="44">
      <sharedItems containsSemiMixedTypes="0" containsString="0" containsNumber="1" containsInteger="1" minValue="0" maxValue="70000"/>
    </cacheField>
    <cacheField name="Preço Implemento 0 Tesoura 0 fev/2025" numFmtId="44">
      <sharedItems containsSemiMixedTypes="0" containsString="0" containsNumber="1" containsInteger="1" minValue="0" maxValue="1000000"/>
    </cacheField>
    <cacheField name="Preço Implemento 0 Peneira 0 fev/2025" numFmtId="44">
      <sharedItems containsSemiMixedTypes="0" containsString="0" containsNumber="1" containsInteger="1" minValue="0" maxValue="127000"/>
    </cacheField>
    <cacheField name="∑ Conjunto (Base)" numFmtId="44">
      <sharedItems containsSemiMixedTypes="0" containsString="0" containsNumber="1" minValue="100000" maxValue="8343750"/>
    </cacheField>
    <cacheField name="VIDA ÚTIL" numFmtId="1">
      <sharedItems containsMixedTypes="1" containsNumber="1" containsInteger="1" minValue="5" maxValue="5"/>
    </cacheField>
    <cacheField name="PAYBACK_x000a_(ANOS)" numFmtId="1">
      <sharedItems containsMixedTypes="1" containsNumber="1" containsInteger="1" minValue="5" maxValue="5"/>
    </cacheField>
    <cacheField name="PAYBACK (MESES)" numFmtId="1">
      <sharedItems containsMixedTypes="1" containsNumber="1" containsInteger="1" minValue="60" maxValue="60"/>
    </cacheField>
    <cacheField name="VALOR DA LOCAÇÃO (DEPRECIAÇÃO)" numFmtId="44">
      <sharedItems containsSemiMixedTypes="0" containsString="0" containsNumber="1" minValue="833.33333333333348" maxValue="69531.25"/>
    </cacheField>
    <cacheField name="FATURA RSE MARÇO 2026" numFmtId="0">
      <sharedItems/>
    </cacheField>
    <cacheField name="FATURA RSE ABRIL 2026 (1°)" numFmtId="0">
      <sharedItems containsBlank="1"/>
    </cacheField>
    <cacheField name="2° PERNA EMISSAO NFS 04/2026" numFmtId="0">
      <sharedItems containsBlank="1"/>
    </cacheField>
    <cacheField name="VALOR DE MEDIÇÕES 04/2026 (NFS)" numFmtId="0">
      <sharedItems containsBlank="1" containsMixedTypes="1" containsNumber="1" minValue="3367.4" maxValue="189125"/>
    </cacheField>
    <cacheField name="FATURA RSE MAIO 2026 (1°)" numFmtId="0">
      <sharedItems containsBlank="1"/>
    </cacheField>
    <cacheField name="2° PERNA EMISSAO NFS 05/2026" numFmtId="0">
      <sharedItems containsBlank="1"/>
    </cacheField>
    <cacheField name="VALOR DE MEDIÇÕES 05/2026 (NFS)" numFmtId="0">
      <sharedItems containsBlank="1"/>
    </cacheField>
    <cacheField name="OBSERVAÇÕES CONTROLADORIA" numFmtId="0">
      <sharedItems count="13">
        <s v="CONTRATO OK"/>
        <s v="AGUARDAR"/>
        <s v="CONTRATO OK "/>
        <s v="NAO EMITIR - USADA NA PROPRIA G3S"/>
        <s v="AGUARDAR - IRÁ EMITIR FATURA ?"/>
        <s v="AGUARDAR - R$ 38.000,00"/>
        <s v="CONTRATO OK - R$ 38.000,00" u="1"/>
        <s v="CONTRATO OK - R$ 10.000,00" u="1"/>
        <s v="CONTRATO OK - JUNTO C/ GDY0H74" u="1"/>
        <s v="VERIFICAR - SEM CADASTRO SAGI" u="1"/>
        <s v="VERIFICAR - SEM PLACA" u="1"/>
        <s v="VERIFICAR - AGUARDAR" u="1"/>
        <s v="VERIFICAR - IRÁ EMITIR FATURA ?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1"/>
    <x v="0"/>
    <x v="0"/>
    <x v="0"/>
    <x v="0"/>
    <s v="N/A"/>
    <s v="RSE"/>
    <n v="417"/>
    <x v="0"/>
    <s v="BAL0004"/>
    <x v="0"/>
    <s v="CAPITAL"/>
    <s v="PRESIDENTE PRUDENTE"/>
    <x v="0"/>
    <n v="250000"/>
    <n v="0"/>
    <n v="0"/>
    <n v="0"/>
    <n v="0"/>
    <n v="0"/>
    <n v="0"/>
    <n v="250000"/>
    <n v="5"/>
    <n v="5"/>
    <n v="60"/>
    <n v="2083.3333333333335"/>
    <s v="NÃO"/>
    <s v="OK"/>
    <s v="N/A"/>
    <s v="N/A"/>
    <s v="OK"/>
    <s v="N/A"/>
    <s v="N/A"/>
    <x v="0"/>
  </r>
  <r>
    <n v="2"/>
    <x v="0"/>
    <x v="1"/>
    <x v="0"/>
    <x v="0"/>
    <s v="N/A"/>
    <s v="RSE"/>
    <n v="418"/>
    <x v="0"/>
    <s v="BAL0007"/>
    <x v="0"/>
    <s v="PADRÃO"/>
    <s v="TRÊS LAGOAS"/>
    <x v="1"/>
    <n v="250000"/>
    <n v="0"/>
    <n v="0"/>
    <n v="0"/>
    <n v="0"/>
    <n v="0"/>
    <n v="0"/>
    <n v="250000"/>
    <n v="5"/>
    <n v="5"/>
    <n v="60"/>
    <n v="2083.3333333333335"/>
    <s v="NÃO"/>
    <s v="OK"/>
    <s v="N/A"/>
    <s v="N/A"/>
    <s v="OK"/>
    <s v="N/A"/>
    <s v="N/A"/>
    <x v="0"/>
  </r>
  <r>
    <n v="3"/>
    <x v="0"/>
    <x v="2"/>
    <x v="0"/>
    <x v="0"/>
    <s v="N/A"/>
    <s v="RSE"/>
    <n v="419"/>
    <x v="0"/>
    <s v="BAL0006"/>
    <x v="0"/>
    <s v="PADRÃO"/>
    <s v="DOURADOS"/>
    <x v="1"/>
    <n v="250000"/>
    <n v="0"/>
    <n v="0"/>
    <n v="0"/>
    <n v="0"/>
    <n v="0"/>
    <n v="0"/>
    <n v="250000"/>
    <n v="5"/>
    <n v="5"/>
    <n v="60"/>
    <n v="2083.3333333333335"/>
    <s v="NÃO"/>
    <s v="OK"/>
    <s v="N/A"/>
    <s v="N/A"/>
    <s v="OK"/>
    <s v="N/A"/>
    <s v="N/A"/>
    <x v="0"/>
  </r>
  <r>
    <n v="4"/>
    <x v="0"/>
    <x v="3"/>
    <x v="0"/>
    <x v="0"/>
    <s v="N/A"/>
    <s v="RSE"/>
    <n v="420"/>
    <x v="0"/>
    <s v="BAL0003"/>
    <x v="0"/>
    <s v="CAPITAL"/>
    <s v="LONDRINA"/>
    <x v="1"/>
    <n v="250000"/>
    <n v="0"/>
    <n v="0"/>
    <n v="0"/>
    <n v="0"/>
    <n v="0"/>
    <n v="0"/>
    <n v="250000"/>
    <n v="5"/>
    <n v="5"/>
    <n v="60"/>
    <n v="2083.3333333333335"/>
    <s v="NÃO"/>
    <s v="OK"/>
    <s v="N/A"/>
    <s v="N/A"/>
    <s v="OK"/>
    <s v="N/A"/>
    <s v="N/A"/>
    <x v="0"/>
  </r>
  <r>
    <n v="5"/>
    <x v="0"/>
    <x v="4"/>
    <x v="0"/>
    <x v="0"/>
    <s v="N/A"/>
    <s v="RSE"/>
    <n v="421"/>
    <x v="0"/>
    <s v="BAL0001"/>
    <x v="0"/>
    <s v="CAPITAL"/>
    <s v="MARINGÁ"/>
    <x v="1"/>
    <n v="250000"/>
    <n v="0"/>
    <n v="0"/>
    <n v="0"/>
    <n v="0"/>
    <n v="0"/>
    <n v="0"/>
    <n v="250000"/>
    <n v="5"/>
    <n v="5"/>
    <n v="60"/>
    <n v="2083.3333333333335"/>
    <s v="NÃO"/>
    <s v="OK"/>
    <s v="N/A"/>
    <s v="N/A"/>
    <s v="OK"/>
    <s v="N/A"/>
    <s v="N/A"/>
    <x v="0"/>
  </r>
  <r>
    <n v="6"/>
    <x v="0"/>
    <x v="5"/>
    <x v="1"/>
    <x v="0"/>
    <s v="N/A"/>
    <s v="RSE"/>
    <n v="422"/>
    <x v="0"/>
    <s v="EJZ7495"/>
    <x v="1"/>
    <s v="FORD"/>
    <s v="CARGO 815 E"/>
    <x v="2"/>
    <n v="0"/>
    <n v="480000"/>
    <n v="30000"/>
    <n v="0"/>
    <n v="0"/>
    <n v="0"/>
    <n v="0"/>
    <n v="510000"/>
    <n v="5"/>
    <n v="5"/>
    <n v="60"/>
    <n v="8500"/>
    <s v="OK"/>
    <s v="OK"/>
    <s v="N/A"/>
    <s v="N/A"/>
    <s v="OK"/>
    <s v="N/A"/>
    <s v="N/A"/>
    <x v="0"/>
  </r>
  <r>
    <n v="7"/>
    <x v="0"/>
    <x v="5"/>
    <x v="1"/>
    <x v="0"/>
    <s v="N/A"/>
    <s v="RSE"/>
    <n v="423"/>
    <x v="0"/>
    <s v="EJZ7496"/>
    <x v="1"/>
    <s v="FORD"/>
    <s v="CARGO 815 E"/>
    <x v="2"/>
    <n v="0"/>
    <n v="480000"/>
    <n v="30000"/>
    <n v="0"/>
    <n v="0"/>
    <n v="0"/>
    <n v="0"/>
    <n v="510000"/>
    <n v="5"/>
    <n v="5"/>
    <n v="60"/>
    <n v="8500"/>
    <s v="OK"/>
    <s v="OK"/>
    <s v="N/A"/>
    <s v="N/A"/>
    <s v="OK"/>
    <s v="N/A"/>
    <s v="N/A"/>
    <x v="0"/>
  </r>
  <r>
    <n v="8"/>
    <x v="0"/>
    <x v="6"/>
    <x v="2"/>
    <x v="1"/>
    <s v="CTE"/>
    <s v="RSE"/>
    <n v="289"/>
    <x v="1"/>
    <s v="NRQ7727"/>
    <x v="1"/>
    <s v="MERCEDES-BENZ"/>
    <s v="ATEGO 2425"/>
    <x v="3"/>
    <n v="0"/>
    <n v="500000"/>
    <n v="80000"/>
    <n v="397000"/>
    <n v="0"/>
    <n v="0"/>
    <n v="0"/>
    <n v="977000"/>
    <n v="5"/>
    <n v="5"/>
    <n v="60"/>
    <n v="16283.333333333336"/>
    <s v="OK"/>
    <s v="OK"/>
    <s v="N/A"/>
    <s v="-"/>
    <s v="OK"/>
    <s v="N/A"/>
    <s v="-"/>
    <x v="0"/>
  </r>
  <r>
    <n v="9"/>
    <x v="0"/>
    <x v="6"/>
    <x v="2"/>
    <x v="1"/>
    <s v="CTE"/>
    <s v="RSE"/>
    <n v="290"/>
    <x v="1"/>
    <s v="NRV7727"/>
    <x v="1"/>
    <s v="MERCEDES-BENZ"/>
    <s v="ATEGO 2425"/>
    <x v="4"/>
    <n v="0"/>
    <n v="500000"/>
    <n v="80000"/>
    <n v="397000"/>
    <n v="0"/>
    <n v="0"/>
    <n v="0"/>
    <n v="977000"/>
    <n v="5"/>
    <n v="5"/>
    <n v="60"/>
    <n v="16283.333333333336"/>
    <s v="OK"/>
    <s v="OK"/>
    <s v="N/A"/>
    <s v="-"/>
    <s v="OK"/>
    <s v="N/A"/>
    <s v="-"/>
    <x v="0"/>
  </r>
  <r>
    <n v="10"/>
    <x v="0"/>
    <x v="6"/>
    <x v="2"/>
    <x v="1"/>
    <s v="CTE"/>
    <s v="RSE"/>
    <n v="434"/>
    <x v="1"/>
    <s v="OON3B85"/>
    <x v="1"/>
    <s v="VOLVO"/>
    <s v="VM 270 6X2R"/>
    <x v="5"/>
    <n v="0"/>
    <n v="500000"/>
    <n v="80000"/>
    <n v="404500"/>
    <n v="0"/>
    <n v="0"/>
    <n v="0"/>
    <n v="984500"/>
    <n v="5"/>
    <n v="5"/>
    <n v="60"/>
    <n v="16408.333333333336"/>
    <s v="OK"/>
    <s v="OK"/>
    <s v="N/A"/>
    <s v="-"/>
    <s v="OK"/>
    <s v="N/A"/>
    <s v="-"/>
    <x v="0"/>
  </r>
  <r>
    <n v="11"/>
    <x v="0"/>
    <x v="6"/>
    <x v="2"/>
    <x v="1"/>
    <s v="CTE"/>
    <s v="RSE"/>
    <n v="435"/>
    <x v="1"/>
    <s v="FBU7329"/>
    <x v="1"/>
    <s v="VOLVO"/>
    <s v="VM 330 6X2R"/>
    <x v="6"/>
    <n v="0"/>
    <n v="540000"/>
    <n v="40000"/>
    <n v="582000"/>
    <n v="0"/>
    <n v="0"/>
    <n v="0"/>
    <n v="1162000"/>
    <n v="5"/>
    <n v="5"/>
    <n v="60"/>
    <n v="19366.666666666668"/>
    <s v="OK"/>
    <s v="OK"/>
    <s v="N/A"/>
    <s v="-"/>
    <s v="OK"/>
    <s v="N/A"/>
    <s v="-"/>
    <x v="0"/>
  </r>
  <r>
    <n v="12"/>
    <x v="0"/>
    <x v="6"/>
    <x v="2"/>
    <x v="1"/>
    <s v="CTE"/>
    <s v="RSE"/>
    <n v="295"/>
    <x v="1"/>
    <s v="FJQ5A08"/>
    <x v="1"/>
    <s v="FORD"/>
    <s v="CARGO 2431 L"/>
    <x v="6"/>
    <n v="0"/>
    <n v="500000"/>
    <n v="40000"/>
    <n v="582000"/>
    <n v="0"/>
    <n v="0"/>
    <n v="0"/>
    <n v="1122000"/>
    <n v="5"/>
    <n v="5"/>
    <n v="60"/>
    <n v="18700"/>
    <s v="OK"/>
    <s v="OK"/>
    <s v="N/A"/>
    <s v="-"/>
    <s v="OK"/>
    <s v="N/A"/>
    <s v="-"/>
    <x v="0"/>
  </r>
  <r>
    <n v="13"/>
    <x v="0"/>
    <x v="1"/>
    <x v="2"/>
    <x v="1"/>
    <s v="CTE"/>
    <s v="RSE"/>
    <n v="411"/>
    <x v="1"/>
    <s v="GHI3A74"/>
    <x v="1"/>
    <s v="VOLVO"/>
    <s v="VM 330 6X2R"/>
    <x v="7"/>
    <n v="0"/>
    <n v="540000"/>
    <n v="40000"/>
    <n v="582000"/>
    <n v="0"/>
    <n v="0"/>
    <n v="0"/>
    <n v="1162000"/>
    <n v="5"/>
    <n v="5"/>
    <n v="60"/>
    <n v="19366.666666666668"/>
    <s v="NÃO"/>
    <s v="OK"/>
    <s v="N/A"/>
    <s v="-"/>
    <s v="OK"/>
    <s v="N/A"/>
    <s v="-"/>
    <x v="0"/>
  </r>
  <r>
    <n v="14"/>
    <x v="0"/>
    <x v="4"/>
    <x v="2"/>
    <x v="1"/>
    <s v="CTE"/>
    <s v="RSE"/>
    <n v="308"/>
    <x v="1"/>
    <s v="GGE5059"/>
    <x v="1"/>
    <s v="FORD"/>
    <s v="CARGO 2431 L"/>
    <x v="7"/>
    <n v="0"/>
    <n v="500000"/>
    <n v="40000"/>
    <n v="582000"/>
    <n v="0"/>
    <n v="0"/>
    <n v="0"/>
    <n v="1122000"/>
    <n v="5"/>
    <n v="5"/>
    <n v="60"/>
    <n v="18700"/>
    <s v="OK"/>
    <s v="OK"/>
    <s v="N/A"/>
    <s v="-"/>
    <s v="OK"/>
    <s v="N/A"/>
    <s v="-"/>
    <x v="0"/>
  </r>
  <r>
    <n v="15"/>
    <x v="0"/>
    <x v="2"/>
    <x v="2"/>
    <x v="1"/>
    <s v="CTE"/>
    <s v="RSE"/>
    <n v="281"/>
    <x v="1"/>
    <s v="TKI2E74"/>
    <x v="1"/>
    <s v="VOLVO"/>
    <s v="VM 330 6X2R"/>
    <x v="8"/>
    <n v="0"/>
    <n v="0"/>
    <n v="0"/>
    <n v="0"/>
    <n v="0"/>
    <n v="0"/>
    <n v="0"/>
    <n v="550000"/>
    <s v="-"/>
    <s v="-"/>
    <s v="-"/>
    <n v="9166.6666666666679"/>
    <s v="OK"/>
    <s v="OK"/>
    <s v="N/A"/>
    <s v="-"/>
    <s v="OK"/>
    <s v="N/A"/>
    <s v="-"/>
    <x v="0"/>
  </r>
  <r>
    <n v="16"/>
    <x v="0"/>
    <x v="1"/>
    <x v="2"/>
    <x v="1"/>
    <s v="CTE"/>
    <s v="RSE"/>
    <n v="303"/>
    <x v="1"/>
    <s v="GDG8E75"/>
    <x v="1"/>
    <s v="VOLVO"/>
    <s v="VM 330 6X2R"/>
    <x v="9"/>
    <n v="0"/>
    <n v="540000"/>
    <n v="125000"/>
    <n v="397000"/>
    <n v="0"/>
    <n v="0"/>
    <n v="0"/>
    <n v="1062000"/>
    <n v="5"/>
    <n v="5"/>
    <n v="60"/>
    <n v="17700"/>
    <s v="OK"/>
    <s v="OK"/>
    <s v="N/A"/>
    <s v="-"/>
    <s v="OK"/>
    <s v="N/A"/>
    <s v="-"/>
    <x v="0"/>
  </r>
  <r>
    <n v="17"/>
    <x v="0"/>
    <x v="2"/>
    <x v="2"/>
    <x v="1"/>
    <s v="CTE"/>
    <s v="RSE"/>
    <n v="279"/>
    <x v="1"/>
    <s v="BKW9I57"/>
    <x v="1"/>
    <s v="VOLVO"/>
    <s v="VM 330 6X2R"/>
    <x v="9"/>
    <n v="0"/>
    <n v="540000"/>
    <n v="125000"/>
    <n v="397000"/>
    <n v="0"/>
    <n v="0"/>
    <n v="0"/>
    <n v="1062000"/>
    <n v="5"/>
    <n v="5"/>
    <n v="60"/>
    <n v="17700"/>
    <s v="OK"/>
    <s v="OK"/>
    <s v="N/A"/>
    <s v="-"/>
    <s v="OK"/>
    <s v="N/A"/>
    <s v="-"/>
    <x v="0"/>
  </r>
  <r>
    <n v="18"/>
    <x v="0"/>
    <x v="3"/>
    <x v="2"/>
    <x v="1"/>
    <s v="CTE"/>
    <s v="RSE"/>
    <n v="306"/>
    <x v="1"/>
    <s v="GDA9J63"/>
    <x v="1"/>
    <s v="VOLVO"/>
    <s v="VM 330 6X2R"/>
    <x v="9"/>
    <n v="0"/>
    <n v="540000"/>
    <n v="125000"/>
    <n v="397000"/>
    <n v="0"/>
    <n v="0"/>
    <n v="0"/>
    <n v="1062000"/>
    <n v="5"/>
    <n v="5"/>
    <n v="60"/>
    <n v="17700"/>
    <s v="OK"/>
    <s v="OK"/>
    <s v="N/A"/>
    <s v="-"/>
    <s v="OK"/>
    <s v="N/A"/>
    <s v="-"/>
    <x v="0"/>
  </r>
  <r>
    <n v="19"/>
    <x v="0"/>
    <x v="4"/>
    <x v="2"/>
    <x v="1"/>
    <s v="CTE"/>
    <s v="RSE"/>
    <n v="294"/>
    <x v="1"/>
    <s v="BZL7H95"/>
    <x v="1"/>
    <s v="VOLVO"/>
    <s v="VM 330 6X2R"/>
    <x v="9"/>
    <n v="0"/>
    <n v="540000"/>
    <n v="125000"/>
    <n v="397000"/>
    <n v="0"/>
    <n v="0"/>
    <n v="0"/>
    <n v="1062000"/>
    <n v="5"/>
    <n v="5"/>
    <n v="60"/>
    <n v="17700"/>
    <s v="OK"/>
    <s v="OK"/>
    <s v="N/A"/>
    <s v="-"/>
    <s v="OK"/>
    <s v="N/A"/>
    <s v="-"/>
    <x v="0"/>
  </r>
  <r>
    <n v="20"/>
    <x v="0"/>
    <x v="1"/>
    <x v="2"/>
    <x v="1"/>
    <s v="CTE"/>
    <s v="RSE"/>
    <n v="349"/>
    <x v="1"/>
    <s v="BTZ8D36"/>
    <x v="1"/>
    <s v="VOLVO"/>
    <s v="VM 330 6X2R"/>
    <x v="9"/>
    <n v="0"/>
    <n v="540000"/>
    <n v="125000"/>
    <n v="397000"/>
    <n v="0"/>
    <n v="0"/>
    <n v="0"/>
    <n v="1062000"/>
    <n v="5"/>
    <n v="5"/>
    <n v="60"/>
    <n v="17700"/>
    <s v="OK"/>
    <s v="OK"/>
    <s v="N/A"/>
    <s v="-"/>
    <s v="OK"/>
    <s v="N/A"/>
    <s v="-"/>
    <x v="0"/>
  </r>
  <r>
    <n v="21"/>
    <x v="0"/>
    <x v="0"/>
    <x v="2"/>
    <x v="1"/>
    <s v="CTE"/>
    <s v="RSE"/>
    <n v="288"/>
    <x v="1"/>
    <s v="BZG6A91"/>
    <x v="1"/>
    <s v="VOLVO"/>
    <s v="VM 330 6X2R"/>
    <x v="9"/>
    <n v="0"/>
    <n v="540000"/>
    <n v="125000"/>
    <n v="397000"/>
    <n v="0"/>
    <n v="0"/>
    <n v="0"/>
    <n v="1062000"/>
    <n v="5"/>
    <n v="5"/>
    <n v="60"/>
    <n v="17700"/>
    <s v="OK"/>
    <s v="OK"/>
    <s v="N/A"/>
    <s v="-"/>
    <s v="OK"/>
    <s v="N/A"/>
    <s v="-"/>
    <x v="0"/>
  </r>
  <r>
    <n v="22"/>
    <x v="0"/>
    <x v="0"/>
    <x v="2"/>
    <x v="1"/>
    <s v="CTE"/>
    <s v="RSE"/>
    <n v="322"/>
    <x v="1"/>
    <s v="SUY4F83"/>
    <x v="1"/>
    <s v="VOLVO"/>
    <s v="VM 330 6X2R"/>
    <x v="9"/>
    <n v="0"/>
    <n v="550000"/>
    <n v="125000"/>
    <n v="397000"/>
    <n v="0"/>
    <n v="0"/>
    <n v="0"/>
    <n v="1072000"/>
    <s v="-"/>
    <s v="-"/>
    <s v="-"/>
    <n v="17866.666666666668"/>
    <s v="OK"/>
    <s v="OK"/>
    <s v="N/A"/>
    <s v="-"/>
    <s v="OK"/>
    <s v="N/A"/>
    <s v="-"/>
    <x v="0"/>
  </r>
  <r>
    <n v="23"/>
    <x v="0"/>
    <x v="0"/>
    <x v="2"/>
    <x v="1"/>
    <s v="CTE"/>
    <s v="RSE"/>
    <n v="361"/>
    <x v="1"/>
    <s v="QAO4A53"/>
    <x v="1"/>
    <s v="VOLVO"/>
    <s v="VM 330 8X2R"/>
    <x v="10"/>
    <n v="0"/>
    <n v="640000"/>
    <n v="125000"/>
    <n v="275000"/>
    <n v="0"/>
    <n v="0"/>
    <n v="0"/>
    <n v="1040000"/>
    <n v="5"/>
    <n v="5"/>
    <n v="60"/>
    <n v="17333.333333333336"/>
    <s v="OK - G&amp;S 06*"/>
    <s v="OK"/>
    <s v="N/A"/>
    <s v="-"/>
    <s v="OK"/>
    <s v="N/A"/>
    <s v="-"/>
    <x v="0"/>
  </r>
  <r>
    <n v="24"/>
    <x v="0"/>
    <x v="4"/>
    <x v="2"/>
    <x v="1"/>
    <s v="CTE"/>
    <s v="RSE"/>
    <n v="299"/>
    <x v="1"/>
    <s v="EWU6A85"/>
    <x v="1"/>
    <s v="VOLVO"/>
    <s v="VM 330 6X2R"/>
    <x v="11"/>
    <n v="0"/>
    <n v="665000"/>
    <n v="125000"/>
    <n v="0"/>
    <n v="0"/>
    <n v="0"/>
    <n v="0"/>
    <n v="790000"/>
    <n v="5"/>
    <n v="5"/>
    <n v="60"/>
    <n v="13166.666666666668"/>
    <s v="OK"/>
    <s v="OK"/>
    <s v="N/A"/>
    <s v="-"/>
    <s v="OK"/>
    <s v="N/A"/>
    <s v="-"/>
    <x v="0"/>
  </r>
  <r>
    <n v="25"/>
    <x v="0"/>
    <x v="4"/>
    <x v="2"/>
    <x v="1"/>
    <s v="CTE"/>
    <s v="RSE"/>
    <n v="297"/>
    <x v="1"/>
    <s v="FRT7548"/>
    <x v="1"/>
    <s v="VOLVO"/>
    <s v="VM 330 6X2R"/>
    <x v="12"/>
    <n v="0"/>
    <n v="540000"/>
    <n v="40000"/>
    <n v="582000"/>
    <n v="0"/>
    <n v="0"/>
    <n v="0"/>
    <n v="1162000"/>
    <n v="5"/>
    <n v="5"/>
    <n v="60"/>
    <n v="19366.666666666668"/>
    <s v="OK"/>
    <s v="OK"/>
    <s v="N/A"/>
    <s v="-"/>
    <s v="OK"/>
    <s v="N/A"/>
    <s v="-"/>
    <x v="0"/>
  </r>
  <r>
    <n v="26"/>
    <x v="0"/>
    <x v="0"/>
    <x v="2"/>
    <x v="1"/>
    <s v="CTE"/>
    <s v="RSE"/>
    <n v="311"/>
    <x v="1"/>
    <s v="EJZ7J97"/>
    <x v="1"/>
    <s v="FORD"/>
    <s v="CARGO 1317 E"/>
    <x v="13"/>
    <n v="0"/>
    <n v="460000"/>
    <n v="125000"/>
    <n v="0"/>
    <n v="0"/>
    <n v="0"/>
    <n v="0"/>
    <n v="585000"/>
    <n v="5"/>
    <n v="5"/>
    <n v="60"/>
    <n v="9750"/>
    <s v="OK"/>
    <s v="OK"/>
    <s v="N/A"/>
    <s v="-"/>
    <s v="OK"/>
    <s v="N/A"/>
    <s v="-"/>
    <x v="0"/>
  </r>
  <r>
    <n v="27"/>
    <x v="0"/>
    <x v="5"/>
    <x v="1"/>
    <x v="0"/>
    <s v="N/A"/>
    <s v="RSE"/>
    <n v="343"/>
    <x v="0"/>
    <s v="CZB9H07"/>
    <x v="1"/>
    <s v="FORD"/>
    <s v="CARGO 2422 T"/>
    <x v="14"/>
    <n v="0"/>
    <n v="480000"/>
    <n v="30000"/>
    <n v="0"/>
    <n v="0"/>
    <n v="0"/>
    <n v="0"/>
    <n v="510000"/>
    <n v="5"/>
    <n v="5"/>
    <n v="60"/>
    <n v="8500"/>
    <s v="OK"/>
    <s v="OK"/>
    <s v="N/A"/>
    <s v="N/A"/>
    <s v="OK"/>
    <s v="N/A"/>
    <s v="N/A"/>
    <x v="0"/>
  </r>
  <r>
    <n v="28"/>
    <x v="0"/>
    <x v="5"/>
    <x v="1"/>
    <x v="0"/>
    <s v="N/A"/>
    <s v="RSE"/>
    <n v="344"/>
    <x v="0"/>
    <s v="HAR1F82"/>
    <x v="1"/>
    <s v="FORD"/>
    <s v="CARGO 2422 T"/>
    <x v="14"/>
    <n v="0"/>
    <n v="480000"/>
    <n v="30000"/>
    <n v="0"/>
    <n v="0"/>
    <n v="0"/>
    <n v="0"/>
    <n v="510000"/>
    <n v="5"/>
    <n v="5"/>
    <n v="60"/>
    <n v="8500"/>
    <s v="OK"/>
    <s v="OK"/>
    <s v="N/A"/>
    <s v="N/A"/>
    <s v="OK"/>
    <s v="N/A"/>
    <s v="N/A"/>
    <x v="0"/>
  </r>
  <r>
    <n v="29"/>
    <x v="0"/>
    <x v="7"/>
    <x v="3"/>
    <x v="2"/>
    <s v="NFS"/>
    <s v="RSE"/>
    <n v="381"/>
    <x v="1"/>
    <s v="EWU6A79"/>
    <x v="1"/>
    <s v="VOLVO"/>
    <s v="VM 330 6X4R"/>
    <x v="15"/>
    <n v="0"/>
    <n v="540000"/>
    <n v="0"/>
    <n v="0"/>
    <n v="0"/>
    <n v="0"/>
    <n v="0"/>
    <n v="540000"/>
    <n v="5"/>
    <n v="5"/>
    <n v="60"/>
    <n v="9000"/>
    <s v="NÃO"/>
    <s v="OK"/>
    <s v="N/A"/>
    <s v="-"/>
    <s v="OK"/>
    <s v="N/A"/>
    <s v="-"/>
    <x v="0"/>
  </r>
  <r>
    <n v="30"/>
    <x v="0"/>
    <x v="8"/>
    <x v="3"/>
    <x v="2"/>
    <s v="NFS"/>
    <s v="RSE"/>
    <n v="385"/>
    <x v="1"/>
    <s v="EWU5857"/>
    <x v="1"/>
    <s v="VOLVO"/>
    <s v="VM 330 6X4R"/>
    <x v="15"/>
    <n v="0"/>
    <n v="540000"/>
    <n v="0"/>
    <n v="0"/>
    <n v="0"/>
    <n v="0"/>
    <n v="0"/>
    <n v="540000"/>
    <n v="5"/>
    <n v="5"/>
    <n v="60"/>
    <n v="9000"/>
    <s v="NÃO"/>
    <s v="OK"/>
    <s v="N/A"/>
    <s v="-"/>
    <s v="OK"/>
    <s v="N/A"/>
    <s v="-"/>
    <x v="0"/>
  </r>
  <r>
    <n v="31"/>
    <x v="0"/>
    <x v="9"/>
    <x v="3"/>
    <x v="0"/>
    <s v="N/A"/>
    <s v="RSE"/>
    <n v="347"/>
    <x v="1"/>
    <s v="GDY0H74"/>
    <x v="1"/>
    <s v="VOLVO"/>
    <s v="FH 540 6X4T"/>
    <x v="15"/>
    <n v="0"/>
    <n v="940000"/>
    <n v="0"/>
    <n v="0"/>
    <n v="0"/>
    <n v="0"/>
    <n v="0"/>
    <n v="940000"/>
    <n v="5"/>
    <n v="5"/>
    <n v="60"/>
    <n v="15666.666666666668"/>
    <s v="OK"/>
    <s v="OK"/>
    <s v="N/A"/>
    <s v="N/A"/>
    <s v="OK"/>
    <s v="N/A"/>
    <s v="N/A"/>
    <x v="0"/>
  </r>
  <r>
    <n v="32"/>
    <x v="0"/>
    <x v="9"/>
    <x v="3"/>
    <x v="0"/>
    <s v="N/A"/>
    <s v="RSE"/>
    <n v="348"/>
    <x v="1"/>
    <s v="GDB3A42"/>
    <x v="1"/>
    <s v="VOLVO"/>
    <s v="FH 540 6X4T"/>
    <x v="15"/>
    <n v="0"/>
    <n v="940000"/>
    <n v="0"/>
    <n v="0"/>
    <n v="0"/>
    <n v="0"/>
    <n v="0"/>
    <n v="940000"/>
    <n v="5"/>
    <n v="5"/>
    <n v="60"/>
    <n v="15666.666666666668"/>
    <s v="OK"/>
    <s v="OK"/>
    <s v="N/A"/>
    <s v="N/A"/>
    <s v="OK"/>
    <s v="N/A"/>
    <s v="N/A"/>
    <x v="0"/>
  </r>
  <r>
    <n v="33"/>
    <x v="0"/>
    <x v="5"/>
    <x v="1"/>
    <x v="0"/>
    <s v="N/A"/>
    <s v="RSE"/>
    <n v="363"/>
    <x v="0"/>
    <s v="EUS0048"/>
    <x v="0"/>
    <s v="SCHNELL"/>
    <s v="CORTE E DOBRA"/>
    <x v="16"/>
    <n v="1300000"/>
    <n v="0"/>
    <n v="0"/>
    <n v="0"/>
    <n v="0"/>
    <n v="0"/>
    <n v="0"/>
    <n v="1300000"/>
    <n v="5"/>
    <n v="5"/>
    <n v="60"/>
    <n v="10833.333333333336"/>
    <s v="NÃO"/>
    <s v="OK"/>
    <s v="N/A"/>
    <s v="N/A"/>
    <s v="OK"/>
    <s v="N/A"/>
    <s v="N/A"/>
    <x v="0"/>
  </r>
  <r>
    <n v="35"/>
    <x v="0"/>
    <x v="1"/>
    <x v="2"/>
    <x v="1"/>
    <s v="VER HORA"/>
    <s v="RSE"/>
    <n v="388"/>
    <x v="1"/>
    <s v="EHH0019"/>
    <x v="0"/>
    <s v="HYUNDAI"/>
    <s v="ROBEX 220LC-9SBT3"/>
    <x v="17"/>
    <n v="765000"/>
    <n v="0"/>
    <n v="0"/>
    <n v="0"/>
    <n v="0"/>
    <n v="0"/>
    <n v="127000"/>
    <n v="892000"/>
    <n v="5"/>
    <n v="5"/>
    <n v="60"/>
    <n v="7433.3333333333339"/>
    <s v="NÃO"/>
    <s v="OK"/>
    <s v="OK"/>
    <n v="29440"/>
    <s v="OK"/>
    <m/>
    <m/>
    <x v="0"/>
  </r>
  <r>
    <n v="34"/>
    <x v="0"/>
    <x v="4"/>
    <x v="2"/>
    <x v="1"/>
    <s v="VER HORA"/>
    <s v="RSE"/>
    <n v="397"/>
    <x v="0"/>
    <s v="EHH0006"/>
    <x v="0"/>
    <s v="HYUNDAI"/>
    <s v="ROBEX 210LC-7"/>
    <x v="18"/>
    <n v="765000"/>
    <n v="0"/>
    <n v="0"/>
    <n v="0"/>
    <n v="0"/>
    <n v="0"/>
    <n v="127000"/>
    <n v="892000"/>
    <n v="5"/>
    <n v="5"/>
    <n v="60"/>
    <n v="7433.3333333333339"/>
    <s v="NÃO"/>
    <s v="OK"/>
    <s v="OK"/>
    <n v="32960"/>
    <s v="OK"/>
    <m/>
    <m/>
    <x v="0"/>
  </r>
  <r>
    <n v="36"/>
    <x v="0"/>
    <x v="3"/>
    <x v="2"/>
    <x v="1"/>
    <s v="VER HORA"/>
    <s v="RSE"/>
    <n v="392"/>
    <x v="1"/>
    <s v="EHH0008"/>
    <x v="0"/>
    <s v="HYUNDAI"/>
    <s v="ROBEX 210LC-7"/>
    <x v="19"/>
    <n v="765000"/>
    <n v="0"/>
    <n v="0"/>
    <n v="84000"/>
    <n v="70000"/>
    <n v="0"/>
    <n v="0"/>
    <n v="919000"/>
    <n v="5"/>
    <n v="5"/>
    <n v="60"/>
    <n v="7658.3333333333339"/>
    <s v="NÃO"/>
    <s v="OK"/>
    <s v="OK"/>
    <n v="11600"/>
    <s v="OK"/>
    <m/>
    <m/>
    <x v="0"/>
  </r>
  <r>
    <n v="37"/>
    <x v="0"/>
    <x v="10"/>
    <x v="2"/>
    <x v="1"/>
    <s v="AGUARDAR"/>
    <s v="RSE"/>
    <s v="?"/>
    <x v="1"/>
    <s v="EHH0009"/>
    <x v="0"/>
    <s v="HYUNDAI"/>
    <s v="ROBEX 210LC-7"/>
    <x v="20"/>
    <n v="765000"/>
    <n v="0"/>
    <n v="0"/>
    <n v="84000"/>
    <n v="0"/>
    <n v="0"/>
    <n v="0"/>
    <n v="849000"/>
    <n v="5"/>
    <n v="5"/>
    <n v="60"/>
    <n v="7075"/>
    <s v="NÃO"/>
    <m/>
    <m/>
    <m/>
    <m/>
    <m/>
    <m/>
    <x v="1"/>
  </r>
  <r>
    <n v="38"/>
    <x v="0"/>
    <x v="0"/>
    <x v="2"/>
    <x v="1"/>
    <s v="VER HORA"/>
    <s v="RSE"/>
    <n v="401"/>
    <x v="1"/>
    <s v="EHH0007"/>
    <x v="0"/>
    <s v="HYUNDAI"/>
    <s v="ROBEX 140LC-9SB"/>
    <x v="20"/>
    <n v="645000"/>
    <n v="0"/>
    <n v="0"/>
    <n v="84000"/>
    <n v="0"/>
    <n v="0"/>
    <n v="0"/>
    <n v="729000"/>
    <n v="5"/>
    <n v="5"/>
    <n v="60"/>
    <n v="6075"/>
    <s v="NÃO"/>
    <s v="OK"/>
    <s v="OK"/>
    <n v="24000"/>
    <s v="OK"/>
    <m/>
    <m/>
    <x v="0"/>
  </r>
  <r>
    <n v="39"/>
    <x v="0"/>
    <x v="11"/>
    <x v="2"/>
    <x v="1"/>
    <s v="VER HORA"/>
    <s v="RSE"/>
    <n v="446"/>
    <x v="1"/>
    <s v="EHH0004"/>
    <x v="0"/>
    <s v="HYUNDAI"/>
    <s v="ROBEX 140LC-9SB"/>
    <x v="21"/>
    <n v="645000"/>
    <n v="0"/>
    <n v="0"/>
    <n v="84000"/>
    <n v="70000"/>
    <n v="0"/>
    <n v="0"/>
    <n v="799000"/>
    <n v="5"/>
    <n v="5"/>
    <n v="60"/>
    <n v="6658.3333333333339"/>
    <s v="NÃO"/>
    <s v="OK"/>
    <s v="OK"/>
    <n v="42560"/>
    <s v="OK"/>
    <m/>
    <m/>
    <x v="0"/>
  </r>
  <r>
    <n v="40"/>
    <x v="0"/>
    <x v="6"/>
    <x v="2"/>
    <x v="1"/>
    <s v="MARCONDES VALIDAR"/>
    <s v="RSE"/>
    <n v="402"/>
    <x v="1"/>
    <s v="EHH0005"/>
    <x v="0"/>
    <s v="HYUNDAI"/>
    <s v="ROBEX 140LC-9SB"/>
    <x v="21"/>
    <n v="645000"/>
    <n v="0"/>
    <n v="0"/>
    <n v="84000"/>
    <n v="70000"/>
    <n v="0"/>
    <n v="0"/>
    <n v="799000"/>
    <n v="5"/>
    <n v="5"/>
    <n v="60"/>
    <n v="6658.3333333333339"/>
    <s v="NÃO"/>
    <s v="OK"/>
    <s v="N/A"/>
    <s v="-"/>
    <s v="OK"/>
    <s v="N/A"/>
    <s v="-"/>
    <x v="2"/>
  </r>
  <r>
    <n v="41"/>
    <x v="0"/>
    <x v="10"/>
    <x v="2"/>
    <x v="1"/>
    <s v="AGUARDAR"/>
    <s v="RSE"/>
    <s v="?"/>
    <x v="1"/>
    <s v="EHL0013"/>
    <x v="0"/>
    <s v="LIEBHERR"/>
    <s v="A924C"/>
    <x v="22"/>
    <n v="2000000"/>
    <n v="0"/>
    <n v="0"/>
    <n v="250000"/>
    <n v="0"/>
    <n v="0"/>
    <n v="0"/>
    <n v="2250000"/>
    <n v="5"/>
    <n v="5"/>
    <n v="60"/>
    <n v="18750"/>
    <s v="NÃO"/>
    <m/>
    <m/>
    <m/>
    <m/>
    <m/>
    <m/>
    <x v="1"/>
  </r>
  <r>
    <n v="42"/>
    <x v="0"/>
    <x v="4"/>
    <x v="2"/>
    <x v="1"/>
    <s v="VER HORA"/>
    <s v="RSE"/>
    <n v="398"/>
    <x v="1"/>
    <s v="EHL0014"/>
    <x v="0"/>
    <s v="LIEBHERR"/>
    <s v="A924C"/>
    <x v="22"/>
    <n v="2000000"/>
    <n v="0"/>
    <n v="0"/>
    <n v="250000"/>
    <n v="0"/>
    <n v="0"/>
    <n v="0"/>
    <n v="2250000"/>
    <n v="5"/>
    <n v="5"/>
    <n v="60"/>
    <n v="18750"/>
    <s v="NÃO"/>
    <s v="OK"/>
    <s v="OK"/>
    <n v="77568"/>
    <s v="OK"/>
    <m/>
    <m/>
    <x v="0"/>
  </r>
  <r>
    <n v="43"/>
    <x v="0"/>
    <x v="4"/>
    <x v="2"/>
    <x v="1"/>
    <s v="VER HORA"/>
    <s v="RSE"/>
    <n v="408"/>
    <x v="1"/>
    <s v="EHL0043"/>
    <x v="0"/>
    <s v="LIEBHERR"/>
    <s v="LH30M"/>
    <x v="22"/>
    <n v="2250000"/>
    <n v="0"/>
    <n v="0"/>
    <n v="250000"/>
    <n v="0"/>
    <n v="0"/>
    <n v="0"/>
    <n v="2500000"/>
    <n v="5"/>
    <n v="5"/>
    <n v="60"/>
    <n v="20833.333333333336"/>
    <s v="NÃO"/>
    <s v="OK"/>
    <s v="OK "/>
    <n v="61440"/>
    <s v="OK"/>
    <m/>
    <m/>
    <x v="2"/>
  </r>
  <r>
    <n v="44"/>
    <x v="0"/>
    <x v="12"/>
    <x v="3"/>
    <x v="2"/>
    <s v="NFS"/>
    <s v="RSE"/>
    <n v="386"/>
    <x v="1"/>
    <s v="EHL0041"/>
    <x v="0"/>
    <s v="LIEBHERR"/>
    <s v="LH30M"/>
    <x v="22"/>
    <n v="2250000"/>
    <n v="0"/>
    <n v="0"/>
    <n v="250000"/>
    <n v="0"/>
    <n v="0"/>
    <n v="0"/>
    <n v="2500000"/>
    <n v="5"/>
    <n v="5"/>
    <n v="60"/>
    <n v="20833.333333333336"/>
    <s v="NÃO"/>
    <s v="OK"/>
    <s v="N/A"/>
    <s v="-"/>
    <s v="OK"/>
    <s v="N/A"/>
    <s v="-"/>
    <x v="2"/>
  </r>
  <r>
    <n v="45"/>
    <x v="0"/>
    <x v="0"/>
    <x v="4"/>
    <x v="0"/>
    <s v="N/A"/>
    <s v="G3S 01"/>
    <s v="?"/>
    <x v="1"/>
    <s v="EHL0028"/>
    <x v="0"/>
    <s v="LIEBHERR"/>
    <s v="LH30M"/>
    <x v="22"/>
    <n v="2250000"/>
    <n v="0"/>
    <n v="0"/>
    <n v="250000"/>
    <n v="0"/>
    <n v="0"/>
    <n v="0"/>
    <n v="2500000"/>
    <n v="5"/>
    <n v="5"/>
    <n v="60"/>
    <n v="20833.333333333336"/>
    <s v="NÃO"/>
    <m/>
    <m/>
    <m/>
    <m/>
    <m/>
    <m/>
    <x v="3"/>
  </r>
  <r>
    <n v="46"/>
    <x v="0"/>
    <x v="1"/>
    <x v="2"/>
    <x v="1"/>
    <s v="VER HORA"/>
    <s v="RSE"/>
    <n v="387"/>
    <x v="1"/>
    <s v="EHH0038"/>
    <x v="0"/>
    <s v="HYUNDAI"/>
    <s v="R220 LONG REACH"/>
    <x v="23"/>
    <n v="930000"/>
    <n v="0"/>
    <n v="0"/>
    <n v="250000"/>
    <n v="70000"/>
    <n v="0"/>
    <n v="0"/>
    <n v="1250000"/>
    <n v="5"/>
    <n v="5"/>
    <n v="60"/>
    <n v="10416.666666666668"/>
    <s v="NÃO"/>
    <s v="OK"/>
    <s v="OK"/>
    <n v="75161.600000000006"/>
    <s v="OK"/>
    <m/>
    <m/>
    <x v="0"/>
  </r>
  <r>
    <n v="47"/>
    <x v="0"/>
    <x v="2"/>
    <x v="2"/>
    <x v="1"/>
    <s v="VER HORA"/>
    <s v="RSE"/>
    <n v="390"/>
    <x v="1"/>
    <s v="EHH0036"/>
    <x v="0"/>
    <s v="HYUNDAI"/>
    <s v="R220 LONG REACH"/>
    <x v="23"/>
    <n v="930000"/>
    <n v="0"/>
    <n v="0"/>
    <n v="250000"/>
    <n v="70000"/>
    <n v="0"/>
    <n v="0"/>
    <n v="1250000"/>
    <n v="5"/>
    <n v="5"/>
    <n v="60"/>
    <n v="10416.666666666668"/>
    <s v="NÃO"/>
    <s v="OK"/>
    <s v="OK"/>
    <n v="60928"/>
    <s v="OK"/>
    <m/>
    <m/>
    <x v="0"/>
  </r>
  <r>
    <n v="48"/>
    <x v="0"/>
    <x v="3"/>
    <x v="2"/>
    <x v="1"/>
    <s v="VER HORA"/>
    <s v="RSE"/>
    <n v="393"/>
    <x v="1"/>
    <s v="EHH0040"/>
    <x v="0"/>
    <s v="HYUNDAI"/>
    <s v="R220 LONG REACH"/>
    <x v="23"/>
    <n v="930000"/>
    <n v="0"/>
    <n v="0"/>
    <n v="250000"/>
    <n v="70000"/>
    <n v="0"/>
    <n v="0"/>
    <n v="1250000"/>
    <n v="5"/>
    <n v="5"/>
    <n v="60"/>
    <n v="10416.666666666668"/>
    <s v="NÃO"/>
    <s v="OK"/>
    <s v="OK"/>
    <n v="56166.400000000001"/>
    <s v="OK"/>
    <m/>
    <m/>
    <x v="0"/>
  </r>
  <r>
    <n v="49"/>
    <x v="0"/>
    <x v="4"/>
    <x v="2"/>
    <x v="1"/>
    <s v="VER HORA"/>
    <s v="RSE"/>
    <n v="399"/>
    <x v="1"/>
    <s v="EHH0039"/>
    <x v="0"/>
    <s v="HYUNDAI"/>
    <s v="R220 LONG REACH"/>
    <x v="23"/>
    <n v="930000"/>
    <n v="0"/>
    <n v="0"/>
    <n v="250000"/>
    <n v="70000"/>
    <n v="0"/>
    <n v="0"/>
    <n v="1250000"/>
    <n v="5"/>
    <n v="5"/>
    <n v="60"/>
    <n v="10416.666666666668"/>
    <s v="NÃO"/>
    <s v="OK"/>
    <s v="OK "/>
    <n v="88729.600000000006"/>
    <s v="OK"/>
    <m/>
    <m/>
    <x v="0"/>
  </r>
  <r>
    <n v="50"/>
    <x v="0"/>
    <x v="13"/>
    <x v="3"/>
    <x v="2"/>
    <s v="NFS"/>
    <s v="RSE"/>
    <n v="383"/>
    <x v="1"/>
    <s v="EHH0037"/>
    <x v="0"/>
    <s v="HYUNDAI"/>
    <s v="R220 LONG REACH"/>
    <x v="23"/>
    <n v="930000"/>
    <n v="0"/>
    <n v="0"/>
    <n v="250000"/>
    <n v="70000"/>
    <n v="0"/>
    <n v="0"/>
    <n v="1250000"/>
    <n v="5"/>
    <n v="5"/>
    <n v="60"/>
    <n v="10416.666666666701"/>
    <s v="NÃO"/>
    <s v="OK"/>
    <s v="N/A"/>
    <s v="-"/>
    <s v="OK"/>
    <s v="N/A"/>
    <s v="-"/>
    <x v="2"/>
  </r>
  <r>
    <n v="51"/>
    <x v="0"/>
    <x v="3"/>
    <x v="2"/>
    <x v="1"/>
    <s v="VER HORA"/>
    <s v="RSE"/>
    <n v="394"/>
    <x v="1"/>
    <s v="EHH0002"/>
    <x v="0"/>
    <s v="HYUNDAI"/>
    <s v="ROBEX 140LC-9SB"/>
    <x v="24"/>
    <n v="645000"/>
    <n v="0"/>
    <n v="0"/>
    <n v="0"/>
    <n v="0"/>
    <n v="0"/>
    <n v="110000"/>
    <n v="755000"/>
    <n v="5"/>
    <n v="5"/>
    <n v="60"/>
    <n v="6291.6666666666679"/>
    <s v="NÃO"/>
    <s v="OK"/>
    <s v="OK"/>
    <n v="3367.4"/>
    <s v="OK"/>
    <m/>
    <m/>
    <x v="0"/>
  </r>
  <r>
    <n v="52"/>
    <x v="0"/>
    <x v="0"/>
    <x v="2"/>
    <x v="1"/>
    <s v="FATURAR MAIO"/>
    <s v="RSE"/>
    <n v="457"/>
    <x v="1"/>
    <s v="EHH0046"/>
    <x v="0"/>
    <s v="HYUNDAI"/>
    <s v="ROBEX 220LC-9S"/>
    <x v="25"/>
    <n v="765000"/>
    <n v="0"/>
    <n v="0"/>
    <n v="0"/>
    <n v="70000"/>
    <n v="0"/>
    <n v="127000"/>
    <n v="962000"/>
    <n v="5"/>
    <n v="5"/>
    <n v="60"/>
    <n v="8016.6666666666679"/>
    <s v="NÃO"/>
    <m/>
    <m/>
    <m/>
    <s v="OK"/>
    <m/>
    <m/>
    <x v="0"/>
  </r>
  <r>
    <n v="53"/>
    <x v="0"/>
    <x v="13"/>
    <x v="3"/>
    <x v="2"/>
    <s v="NFS"/>
    <s v="RSE"/>
    <n v="384"/>
    <x v="1"/>
    <s v="EHH0015"/>
    <x v="0"/>
    <s v="HYUNDAI"/>
    <s v="ROBEX 220LC -9SB"/>
    <x v="25"/>
    <n v="765000"/>
    <n v="0"/>
    <n v="0"/>
    <n v="0"/>
    <n v="0"/>
    <n v="0"/>
    <n v="127000"/>
    <n v="892000"/>
    <n v="5"/>
    <n v="5"/>
    <n v="60"/>
    <n v="7433.3333333333339"/>
    <s v="NÃO"/>
    <s v="OK"/>
    <s v="N/A"/>
    <s v="-"/>
    <s v="OK"/>
    <s v="N/A"/>
    <s v="-"/>
    <x v="0"/>
  </r>
  <r>
    <n v="54"/>
    <x v="0"/>
    <x v="12"/>
    <x v="5"/>
    <x v="2"/>
    <s v="AGUARDAR"/>
    <s v="G3S 01"/>
    <s v="?"/>
    <x v="1"/>
    <s v="EHH0044"/>
    <x v="0"/>
    <s v="N/A"/>
    <s v="N/A"/>
    <x v="26"/>
    <n v="765000"/>
    <n v="0"/>
    <n v="0"/>
    <n v="0"/>
    <n v="0"/>
    <n v="1000000"/>
    <n v="0"/>
    <n v="1765000"/>
    <n v="5"/>
    <n v="5"/>
    <n v="60"/>
    <n v="14708.333333333336"/>
    <s v="NÃO"/>
    <m/>
    <m/>
    <m/>
    <m/>
    <m/>
    <m/>
    <x v="4"/>
  </r>
  <r>
    <n v="55"/>
    <x v="0"/>
    <x v="2"/>
    <x v="2"/>
    <x v="1"/>
    <s v="VER HORA"/>
    <s v="RSE"/>
    <n v="391"/>
    <x v="1"/>
    <s v="EHH0003"/>
    <x v="0"/>
    <s v="HYUNDAI"/>
    <s v="ROBEX 220LC-9SB"/>
    <x v="27"/>
    <n v="765000"/>
    <n v="0"/>
    <n v="0"/>
    <n v="0"/>
    <n v="0"/>
    <n v="400000"/>
    <n v="0"/>
    <n v="1165000"/>
    <n v="5"/>
    <n v="5"/>
    <n v="60"/>
    <n v="9708.3333333333339"/>
    <s v="NÃO"/>
    <s v="OK"/>
    <s v="OK"/>
    <n v="7474.78"/>
    <s v="OK"/>
    <m/>
    <m/>
    <x v="0"/>
  </r>
  <r>
    <n v="56"/>
    <x v="0"/>
    <x v="0"/>
    <x v="2"/>
    <x v="1"/>
    <s v="FATURAR MAIO"/>
    <s v="RSE"/>
    <n v="458"/>
    <x v="1"/>
    <s v="EHL0070"/>
    <x v="0"/>
    <s v="LIEBHERR"/>
    <s v="LH30M"/>
    <x v="28"/>
    <n v="0"/>
    <n v="0"/>
    <n v="0"/>
    <n v="0"/>
    <n v="0"/>
    <n v="0"/>
    <n v="0"/>
    <n v="2400000"/>
    <s v="-"/>
    <s v="-"/>
    <s v="-"/>
    <n v="20000"/>
    <s v="NÃO"/>
    <m/>
    <m/>
    <m/>
    <s v="OK"/>
    <m/>
    <m/>
    <x v="0"/>
  </r>
  <r>
    <n v="57"/>
    <x v="0"/>
    <x v="1"/>
    <x v="2"/>
    <x v="1"/>
    <s v="CTE"/>
    <s v="RSE"/>
    <n v="424"/>
    <x v="1"/>
    <s v="EWU6341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0"/>
  </r>
  <r>
    <n v="58"/>
    <x v="0"/>
    <x v="1"/>
    <x v="2"/>
    <x v="1"/>
    <s v="CTE"/>
    <s v="RSE"/>
    <n v="425"/>
    <x v="1"/>
    <s v="EWU6294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0"/>
  </r>
  <r>
    <n v="59"/>
    <x v="0"/>
    <x v="2"/>
    <x v="0"/>
    <x v="0"/>
    <s v="N/A"/>
    <s v="RSE"/>
    <n v="355"/>
    <x v="1"/>
    <s v="FJU8F67"/>
    <x v="1"/>
    <s v="BUSA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N/A"/>
    <s v="OK"/>
    <s v="N/A"/>
    <s v="N/A"/>
    <x v="2"/>
  </r>
  <r>
    <n v="60"/>
    <x v="0"/>
    <x v="2"/>
    <x v="0"/>
    <x v="0"/>
    <s v="N/A"/>
    <s v="RSE"/>
    <n v="354"/>
    <x v="1"/>
    <s v="FUF1E28"/>
    <x v="1"/>
    <s v="BUSA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 - G&amp;S **"/>
    <s v="OK"/>
    <s v="N/A"/>
    <s v="N/A"/>
    <s v="OK"/>
    <s v="N/A"/>
    <s v="N/A"/>
    <x v="0"/>
  </r>
  <r>
    <n v="61"/>
    <x v="0"/>
    <x v="3"/>
    <x v="2"/>
    <x v="1"/>
    <s v="CTE"/>
    <s v="RSE"/>
    <n v="362"/>
    <x v="1"/>
    <s v="FTP7D76"/>
    <x v="1"/>
    <s v="BUSA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2"/>
  </r>
  <r>
    <n v="62"/>
    <x v="0"/>
    <x v="4"/>
    <x v="2"/>
    <x v="1"/>
    <s v="CTE"/>
    <s v="RSE"/>
    <n v="428"/>
    <x v="1"/>
    <s v="EWU6154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"/>
    <s v="OK"/>
    <s v="N/A"/>
    <s v="-"/>
    <s v="OK"/>
    <s v="N/A"/>
    <s v="-"/>
    <x v="0"/>
  </r>
  <r>
    <n v="63"/>
    <x v="0"/>
    <x v="4"/>
    <x v="2"/>
    <x v="1"/>
    <s v="CTE"/>
    <s v="RSE"/>
    <n v="429"/>
    <x v="1"/>
    <s v="EWU6204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2"/>
  </r>
  <r>
    <n v="64"/>
    <x v="0"/>
    <x v="4"/>
    <x v="2"/>
    <x v="1"/>
    <s v="CTE"/>
    <s v="RSE"/>
    <n v="430"/>
    <x v="1"/>
    <s v="EWU6343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2"/>
  </r>
  <r>
    <n v="65"/>
    <x v="0"/>
    <x v="4"/>
    <x v="2"/>
    <x v="1"/>
    <s v="CTE"/>
    <s v="RSE"/>
    <n v="431"/>
    <x v="1"/>
    <s v="EWU6B52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?"/>
    <s v="OK"/>
    <s v="N/A"/>
    <s v="-"/>
    <s v="OK"/>
    <s v="N/A"/>
    <s v="-"/>
    <x v="0"/>
  </r>
  <r>
    <n v="66"/>
    <x v="0"/>
    <x v="14"/>
    <x v="2"/>
    <x v="1"/>
    <s v="CTE"/>
    <s v="RSE"/>
    <n v="445"/>
    <x v="1"/>
    <s v="QAU6E20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2"/>
  </r>
  <r>
    <n v="67"/>
    <x v="0"/>
    <x v="6"/>
    <x v="0"/>
    <x v="0"/>
    <s v="MARCONDES VALIDAR"/>
    <s v="RSE"/>
    <n v="405"/>
    <x v="1"/>
    <s v="EWU6342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NÃO"/>
    <s v="OK"/>
    <s v="N/A"/>
    <s v="N/A"/>
    <s v="OK"/>
    <s v="N/A"/>
    <s v="N/A"/>
    <x v="0"/>
  </r>
  <r>
    <n v="68"/>
    <x v="0"/>
    <x v="6"/>
    <x v="0"/>
    <x v="0"/>
    <s v="MARCONDES VALIDAR"/>
    <s v="RSE"/>
    <n v="406"/>
    <x v="1"/>
    <s v="EWU6143"/>
    <x v="1"/>
    <s v="IMAVI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NÃO"/>
    <s v="OK"/>
    <s v="N/A"/>
    <s v="N/A"/>
    <s v="OK"/>
    <s v="N/A"/>
    <s v="N/A"/>
    <x v="0"/>
  </r>
  <r>
    <n v="69"/>
    <x v="0"/>
    <x v="6"/>
    <x v="0"/>
    <x v="0"/>
    <s v="MARCONDES VALIDAR"/>
    <s v="RSE"/>
    <n v="356"/>
    <x v="1"/>
    <s v="FZF3J28"/>
    <x v="1"/>
    <s v="BUSA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N/A"/>
    <s v="OK"/>
    <s v="N/A"/>
    <s v="N/A"/>
    <x v="0"/>
  </r>
  <r>
    <n v="70"/>
    <x v="0"/>
    <x v="0"/>
    <x v="2"/>
    <x v="1"/>
    <s v="CTE"/>
    <s v="RSE"/>
    <n v="432"/>
    <x v="1"/>
    <s v="FUP3G76"/>
    <x v="1"/>
    <s v="BUSA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0"/>
  </r>
  <r>
    <n v="71"/>
    <x v="0"/>
    <x v="0"/>
    <x v="2"/>
    <x v="1"/>
    <s v="CTE"/>
    <s v="RSE"/>
    <n v="433"/>
    <x v="1"/>
    <s v="FVQ3B78"/>
    <x v="1"/>
    <s v="BUSA"/>
    <s v="REBOQUE 03 EIXOS ROLLON ROLLOFF"/>
    <x v="29"/>
    <n v="0"/>
    <n v="130000"/>
    <n v="0"/>
    <n v="0"/>
    <n v="0"/>
    <n v="0"/>
    <n v="0"/>
    <n v="130000"/>
    <n v="5"/>
    <n v="5"/>
    <n v="60"/>
    <n v="2166.666666666667"/>
    <s v="OK - G&amp;S **"/>
    <s v="OK"/>
    <s v="N/A"/>
    <s v="-"/>
    <s v="OK"/>
    <s v="N/A"/>
    <s v="-"/>
    <x v="0"/>
  </r>
  <r>
    <n v="72"/>
    <x v="0"/>
    <x v="2"/>
    <x v="2"/>
    <x v="1"/>
    <s v="VER HORA"/>
    <s v="RSE"/>
    <n v="389"/>
    <x v="1"/>
    <s v="EHL0042"/>
    <x v="0"/>
    <s v="LIEBHERR"/>
    <s v="LH30M"/>
    <x v="30"/>
    <n v="2250000"/>
    <n v="0"/>
    <n v="0"/>
    <n v="250000"/>
    <n v="0"/>
    <n v="0"/>
    <n v="0"/>
    <n v="2500000"/>
    <n v="5"/>
    <n v="5"/>
    <n v="60"/>
    <n v="20833.333333333336"/>
    <s v="NÃO"/>
    <s v="OK"/>
    <s v="OK"/>
    <n v="50688"/>
    <s v="OK"/>
    <m/>
    <m/>
    <x v="0"/>
  </r>
  <r>
    <n v="73"/>
    <x v="0"/>
    <x v="5"/>
    <x v="1"/>
    <x v="0"/>
    <s v="N/A"/>
    <s v="RSE"/>
    <n v="364"/>
    <x v="0"/>
    <s v="CCS0052"/>
    <x v="0"/>
    <s v="SCHNELL"/>
    <s v="MÁQUINA CORTADEIRA"/>
    <x v="31"/>
    <n v="100000"/>
    <n v="0"/>
    <n v="0"/>
    <n v="0"/>
    <n v="0"/>
    <n v="0"/>
    <n v="0"/>
    <n v="100000"/>
    <n v="5"/>
    <n v="5"/>
    <n v="60"/>
    <n v="833.33333333333348"/>
    <s v="NÃO"/>
    <s v="OK"/>
    <s v="N/A"/>
    <s v="N/A"/>
    <s v="OK"/>
    <s v="N/A"/>
    <s v="N/A"/>
    <x v="0"/>
  </r>
  <r>
    <n v="74"/>
    <x v="0"/>
    <x v="5"/>
    <x v="1"/>
    <x v="0"/>
    <s v="N/A"/>
    <s v="RSE"/>
    <n v="365"/>
    <x v="0"/>
    <s v="DPS0050"/>
    <x v="0"/>
    <s v="SCHNELL"/>
    <s v="MÁQUINA DOBRADEIRA"/>
    <x v="32"/>
    <n v="100000"/>
    <n v="0"/>
    <n v="0"/>
    <n v="0"/>
    <n v="0"/>
    <n v="0"/>
    <n v="0"/>
    <n v="100000"/>
    <n v="5"/>
    <n v="5"/>
    <n v="60"/>
    <n v="833.33333333333348"/>
    <s v="NÃO"/>
    <s v="OK"/>
    <s v="N/A"/>
    <s v="N/A"/>
    <s v="OK"/>
    <s v="N/A"/>
    <s v="N/A"/>
    <x v="0"/>
  </r>
  <r>
    <n v="75"/>
    <x v="0"/>
    <x v="5"/>
    <x v="1"/>
    <x v="0"/>
    <s v="N/A"/>
    <s v="RSE"/>
    <n v="366"/>
    <x v="0"/>
    <s v="DPS0051"/>
    <x v="0"/>
    <s v="SCHNELL"/>
    <s v="MÁQUINA DOBRADEIRA"/>
    <x v="32"/>
    <n v="100000"/>
    <n v="0"/>
    <n v="0"/>
    <n v="0"/>
    <n v="0"/>
    <n v="0"/>
    <n v="0"/>
    <n v="100000"/>
    <n v="5"/>
    <n v="5"/>
    <n v="60"/>
    <n v="833.33333333333348"/>
    <s v="NÃO"/>
    <s v="OK"/>
    <s v="N/A"/>
    <s v="N/A"/>
    <s v="OK"/>
    <s v="N/A"/>
    <s v="N/A"/>
    <x v="0"/>
  </r>
  <r>
    <n v="76"/>
    <x v="0"/>
    <x v="5"/>
    <x v="1"/>
    <x v="0"/>
    <s v="N/A"/>
    <s v="RSE"/>
    <n v="367"/>
    <x v="0"/>
    <s v="ACS0049"/>
    <x v="0"/>
    <s v="SCHNELL"/>
    <s v="MÁQUINA ESTRIBADEIRA"/>
    <x v="33"/>
    <n v="780000"/>
    <n v="0"/>
    <n v="0"/>
    <n v="0"/>
    <n v="0"/>
    <n v="0"/>
    <n v="0"/>
    <n v="780000"/>
    <n v="5"/>
    <n v="5"/>
    <n v="60"/>
    <n v="6500"/>
    <s v="NÃO"/>
    <s v="OK"/>
    <s v="N/A"/>
    <s v="N/A"/>
    <s v="OK"/>
    <s v="N/A"/>
    <s v="N/A"/>
    <x v="0"/>
  </r>
  <r>
    <n v="77"/>
    <x v="0"/>
    <x v="0"/>
    <x v="0"/>
    <x v="0"/>
    <s v="N/A"/>
    <s v="RSE"/>
    <n v="438"/>
    <x v="0"/>
    <s v="PHJ0054"/>
    <x v="0"/>
    <s v="HARRIS"/>
    <s v="TGS60"/>
    <x v="34"/>
    <n v="3500000"/>
    <n v="0"/>
    <n v="0"/>
    <n v="0"/>
    <n v="0"/>
    <n v="0"/>
    <n v="0"/>
    <n v="3500000"/>
    <n v="5"/>
    <n v="5"/>
    <n v="60"/>
    <n v="29166.666666666672"/>
    <s v="NÃO"/>
    <s v="OK"/>
    <s v="N/A"/>
    <s v="N/A"/>
    <s v="OK"/>
    <s v="N/A"/>
    <s v="N/A"/>
    <x v="0"/>
  </r>
  <r>
    <n v="78"/>
    <x v="0"/>
    <x v="0"/>
    <x v="0"/>
    <x v="0"/>
    <s v="N/A"/>
    <s v="RSE"/>
    <n v="439"/>
    <x v="0"/>
    <s v="PHH0031"/>
    <x v="0"/>
    <s v="HARRIS"/>
    <s v="TGS200"/>
    <x v="35"/>
    <n v="5800000"/>
    <n v="0"/>
    <n v="0"/>
    <n v="0"/>
    <n v="0"/>
    <n v="0"/>
    <n v="0"/>
    <n v="5800000"/>
    <n v="5"/>
    <n v="5"/>
    <n v="60"/>
    <n v="48333.333333333343"/>
    <s v="NÃO"/>
    <s v="OK"/>
    <s v="N/A"/>
    <s v="N/A"/>
    <s v="OK"/>
    <s v="N/A"/>
    <s v="N/A"/>
    <x v="0"/>
  </r>
  <r>
    <n v="79"/>
    <x v="0"/>
    <x v="10"/>
    <x v="0"/>
    <x v="1"/>
    <s v="AGUARDAR"/>
    <s v="RSE"/>
    <s v="?"/>
    <x v="0"/>
    <s v="PHT0025"/>
    <x v="0"/>
    <s v="PREMER"/>
    <s v="PC60 4000"/>
    <x v="36"/>
    <n v="1000000"/>
    <n v="0"/>
    <n v="0"/>
    <n v="0"/>
    <n v="0"/>
    <n v="0"/>
    <n v="0"/>
    <n v="1000000"/>
    <n v="5"/>
    <n v="5"/>
    <n v="60"/>
    <n v="8333.3333333333339"/>
    <s v="NÃO"/>
    <m/>
    <m/>
    <m/>
    <m/>
    <m/>
    <m/>
    <x v="1"/>
  </r>
  <r>
    <n v="80"/>
    <x v="0"/>
    <x v="4"/>
    <x v="0"/>
    <x v="0"/>
    <s v="N/A"/>
    <s v="RSE"/>
    <n v="442"/>
    <x v="0"/>
    <s v="PHH0061"/>
    <x v="0"/>
    <s v="HIDROEUROPA"/>
    <s v="JCG 800"/>
    <x v="37"/>
    <n v="0"/>
    <n v="0"/>
    <n v="0"/>
    <n v="0"/>
    <n v="0"/>
    <n v="0"/>
    <n v="0"/>
    <n v="8343750"/>
    <n v="5"/>
    <n v="5"/>
    <n v="60"/>
    <n v="69531.25"/>
    <s v="NÃO"/>
    <s v="OK"/>
    <s v="N/A"/>
    <s v="N/A"/>
    <s v="OK"/>
    <s v="N/A"/>
    <s v="N/A"/>
    <x v="2"/>
  </r>
  <r>
    <n v="81"/>
    <x v="0"/>
    <x v="0"/>
    <x v="0"/>
    <x v="0"/>
    <s v="N/A"/>
    <s v="RSE"/>
    <n v="440"/>
    <x v="0"/>
    <s v="PHH0045"/>
    <x v="0"/>
    <s v="HIDROEUROPA"/>
    <s v="JCG800 LB"/>
    <x v="37"/>
    <n v="8343750"/>
    <n v="0"/>
    <n v="0"/>
    <n v="0"/>
    <n v="0"/>
    <n v="0"/>
    <n v="0"/>
    <n v="8343750"/>
    <n v="5"/>
    <n v="5"/>
    <n v="60"/>
    <n v="69531.25"/>
    <s v="NÃO"/>
    <s v="OK"/>
    <s v="N/A"/>
    <s v="N/A"/>
    <s v="OK"/>
    <s v="N/A"/>
    <s v="N/A"/>
    <x v="0"/>
  </r>
  <r>
    <n v="82"/>
    <x v="0"/>
    <x v="7"/>
    <x v="3"/>
    <x v="2"/>
    <s v="NFS"/>
    <s v="RSE"/>
    <n v="382"/>
    <x v="1"/>
    <s v="SWQ2C15 / PHH0049"/>
    <x v="0"/>
    <s v="HIDROEUROPA"/>
    <s v="JCH200M"/>
    <x v="38"/>
    <n v="0"/>
    <n v="3375000"/>
    <n v="0"/>
    <n v="0"/>
    <n v="0"/>
    <n v="0"/>
    <n v="0"/>
    <n v="3375000"/>
    <n v="5"/>
    <n v="5"/>
    <n v="60"/>
    <n v="38000"/>
    <s v="NÃO"/>
    <s v="OK"/>
    <s v="N/A"/>
    <s v="-"/>
    <s v="OK"/>
    <s v="N/A"/>
    <s v="-"/>
    <x v="2"/>
  </r>
  <r>
    <n v="83"/>
    <x v="0"/>
    <x v="8"/>
    <x v="3"/>
    <x v="2"/>
    <s v="NFS"/>
    <s v="RSE"/>
    <n v="409"/>
    <x v="1"/>
    <s v="GBL8H44"/>
    <x v="0"/>
    <s v="HIDROEUROPA"/>
    <s v="JCH200M"/>
    <x v="38"/>
    <n v="0"/>
    <n v="3375000"/>
    <n v="0"/>
    <n v="0"/>
    <n v="0"/>
    <n v="0"/>
    <n v="0"/>
    <n v="3375000"/>
    <n v="5"/>
    <n v="5"/>
    <n v="60"/>
    <n v="38000"/>
    <s v="NÃO"/>
    <s v="OK"/>
    <s v="N/A"/>
    <s v="-"/>
    <s v="OK"/>
    <s v="N/A"/>
    <s v="-"/>
    <x v="2"/>
  </r>
  <r>
    <n v="84"/>
    <x v="0"/>
    <x v="15"/>
    <x v="6"/>
    <x v="0"/>
    <s v="N/A"/>
    <s v="RSE"/>
    <n v="147"/>
    <x v="1"/>
    <s v="EQO6E99"/>
    <x v="0"/>
    <s v="HIDROEUROPA"/>
    <s v="JCH200M"/>
    <x v="38"/>
    <n v="0"/>
    <n v="3375000"/>
    <n v="0"/>
    <n v="0"/>
    <n v="0"/>
    <n v="0"/>
    <n v="0"/>
    <n v="3375000"/>
    <n v="5"/>
    <n v="5"/>
    <n v="60"/>
    <n v="38000"/>
    <s v="NÃO"/>
    <s v="OK"/>
    <s v="N/A"/>
    <s v="N/A"/>
    <s v="OK"/>
    <s v="N/A"/>
    <s v="N/A"/>
    <x v="2"/>
  </r>
  <r>
    <n v="85"/>
    <x v="0"/>
    <x v="15"/>
    <x v="6"/>
    <x v="0"/>
    <s v="N/A"/>
    <s v="RSE"/>
    <n v="147"/>
    <x v="1"/>
    <s v="EWU6041"/>
    <x v="0"/>
    <s v="HIDROEUROPA"/>
    <s v="JCH200M"/>
    <x v="38"/>
    <n v="0"/>
    <n v="3375000"/>
    <n v="0"/>
    <n v="0"/>
    <n v="0"/>
    <n v="0"/>
    <n v="0"/>
    <n v="3375000"/>
    <n v="5"/>
    <n v="5"/>
    <n v="60"/>
    <n v="38000"/>
    <s v="NÃO"/>
    <s v="OK"/>
    <s v="N/A"/>
    <s v="N/A"/>
    <s v="OK"/>
    <s v="N/A"/>
    <s v="N/A"/>
    <x v="2"/>
  </r>
  <r>
    <n v="86"/>
    <x v="0"/>
    <x v="9"/>
    <x v="3"/>
    <x v="1"/>
    <s v="POR TONELADA"/>
    <s v="RSE"/>
    <n v="415"/>
    <x v="1"/>
    <s v="QXH2G14"/>
    <x v="0"/>
    <s v="HIDROEUROPA"/>
    <s v="JCH200M"/>
    <x v="38"/>
    <n v="0"/>
    <n v="3375000"/>
    <n v="0"/>
    <n v="0"/>
    <n v="0"/>
    <n v="0"/>
    <n v="0"/>
    <n v="3375000"/>
    <n v="5"/>
    <n v="5"/>
    <n v="60"/>
    <n v="38000"/>
    <s v="NÃO"/>
    <s v="OK"/>
    <s v="OK"/>
    <n v="27540"/>
    <s v="OK"/>
    <m/>
    <m/>
    <x v="2"/>
  </r>
  <r>
    <n v="87"/>
    <x v="0"/>
    <x v="10"/>
    <x v="2"/>
    <x v="2"/>
    <s v="AGUARDAR"/>
    <s v="RSE"/>
    <s v="?"/>
    <x v="1"/>
    <s v="GDU0275"/>
    <x v="0"/>
    <s v="HIDROEUROPA"/>
    <s v="JCH200M"/>
    <x v="38"/>
    <n v="0"/>
    <n v="3375000"/>
    <n v="0"/>
    <n v="0"/>
    <n v="0"/>
    <n v="0"/>
    <n v="0"/>
    <n v="3375000"/>
    <n v="5"/>
    <n v="5"/>
    <n v="60"/>
    <n v="38000"/>
    <s v="NÃO"/>
    <m/>
    <m/>
    <m/>
    <m/>
    <m/>
    <m/>
    <x v="5"/>
  </r>
  <r>
    <n v="88"/>
    <x v="0"/>
    <x v="9"/>
    <x v="3"/>
    <x v="1"/>
    <s v="POR TONELADA"/>
    <s v="RSE"/>
    <n v="351"/>
    <x v="1"/>
    <s v="PHH0062"/>
    <x v="0"/>
    <s v="HIDROEUROPA"/>
    <s v="JCH200M"/>
    <x v="38"/>
    <n v="0"/>
    <n v="0"/>
    <n v="0"/>
    <n v="0"/>
    <n v="0"/>
    <n v="0"/>
    <n v="0"/>
    <n v="2877805.93"/>
    <s v="-"/>
    <s v="-"/>
    <s v="-"/>
    <n v="38000"/>
    <s v="NÃO"/>
    <s v="OK"/>
    <s v="OK"/>
    <n v="189125"/>
    <s v="OK"/>
    <m/>
    <m/>
    <x v="0"/>
  </r>
  <r>
    <n v="89"/>
    <x v="0"/>
    <x v="2"/>
    <x v="0"/>
    <x v="0"/>
    <s v="N/A"/>
    <s v="RSE"/>
    <n v="426"/>
    <x v="0"/>
    <s v="PHT0018/PHH0018"/>
    <x v="0"/>
    <s v="HIDROEUROPA"/>
    <s v="JCG600 SF"/>
    <x v="39"/>
    <n v="4687000"/>
    <n v="0"/>
    <n v="0"/>
    <n v="0"/>
    <n v="0"/>
    <n v="0"/>
    <n v="0"/>
    <n v="4687000"/>
    <n v="5"/>
    <n v="5"/>
    <n v="60"/>
    <n v="39058.333333333336"/>
    <s v="NÃO"/>
    <s v="OK"/>
    <s v="N/A"/>
    <s v="N/A"/>
    <s v="OK"/>
    <s v="N/A"/>
    <s v="N/A"/>
    <x v="0"/>
  </r>
  <r>
    <n v="90"/>
    <x v="0"/>
    <x v="4"/>
    <x v="0"/>
    <x v="0"/>
    <s v="N/A"/>
    <s v="RSE"/>
    <n v="395"/>
    <x v="0"/>
    <s v="BHM0047"/>
    <x v="0"/>
    <s v="MOROSHIMA"/>
    <s v="BASCULANTENTE HIDRÁULICO DE CONTEINER"/>
    <x v="40"/>
    <n v="900000"/>
    <n v="0"/>
    <n v="0"/>
    <n v="0"/>
    <n v="0"/>
    <n v="0"/>
    <n v="0"/>
    <n v="900000"/>
    <n v="5"/>
    <n v="5"/>
    <n v="60"/>
    <n v="10000"/>
    <s v="NÃO"/>
    <s v="OK"/>
    <s v="N/A"/>
    <s v="N/A"/>
    <s v="OK"/>
    <s v="N/A"/>
    <s v="N/A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38395-A1BD-46B6-BD08-5BFF4B2FFBA0}" name="Tabela dinâmica1" cacheId="49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Unidade Operacional &gt; Ativo">
  <location ref="A5:B47" firstHeaderRow="1" firstDataRow="1" firstDataCol="1" rowPageCount="3" colPageCount="1"/>
  <pivotFields count="34">
    <pivotField numFmtId="164" showAll="0"/>
    <pivotField axis="axisPage" showAll="0">
      <items count="3">
        <item m="1" x="1"/>
        <item x="0"/>
        <item t="default"/>
      </items>
    </pivotField>
    <pivotField axis="axisRow" showAll="0">
      <items count="18">
        <item m="1" x="16"/>
        <item x="7"/>
        <item x="5"/>
        <item x="1"/>
        <item x="2"/>
        <item x="3"/>
        <item x="4"/>
        <item x="11"/>
        <item x="13"/>
        <item x="8"/>
        <item x="12"/>
        <item x="15"/>
        <item x="6"/>
        <item x="0"/>
        <item x="9"/>
        <item x="10"/>
        <item x="14"/>
        <item t="default"/>
      </items>
    </pivotField>
    <pivotField axis="axisRow" showAll="0">
      <items count="8">
        <item sd="0" x="6"/>
        <item sd="0" x="3"/>
        <item sd="0" x="2"/>
        <item sd="0" x="1"/>
        <item sd="0" x="0"/>
        <item sd="0" x="4"/>
        <item sd="0" x="5"/>
        <item t="default" sd="0"/>
      </items>
    </pivotField>
    <pivotField axis="axisRow" showAll="0">
      <items count="4">
        <item sd="0" x="2"/>
        <item sd="0" x="1"/>
        <item sd="0" x="0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axis="axisRow" showAll="0">
      <items count="4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m="1" x="41"/>
        <item sd="0" x="17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18"/>
        <item t="default"/>
      </items>
    </pivotField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numFmtId="44" showAll="0"/>
    <pivotField showAll="0"/>
    <pivotField showAll="0"/>
    <pivotField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2"/>
        <item m="1" x="8"/>
        <item m="1" x="7"/>
        <item m="1" x="6"/>
        <item x="3"/>
        <item m="1" x="11"/>
        <item m="1" x="12"/>
        <item m="1" x="9"/>
        <item m="1" x="10"/>
        <item x="1"/>
        <item x="4"/>
        <item x="5"/>
        <item t="default"/>
      </items>
    </pivotField>
  </pivotFields>
  <rowFields count="5">
    <field x="2"/>
    <field x="3"/>
    <field x="4"/>
    <field x="13"/>
    <field x="33"/>
  </rowFields>
  <rowItems count="42">
    <i>
      <x v="1"/>
    </i>
    <i r="1">
      <x v="1"/>
    </i>
    <i>
      <x v="2"/>
    </i>
    <i r="1">
      <x v="3"/>
    </i>
    <i>
      <x v="3"/>
    </i>
    <i r="1">
      <x v="2"/>
    </i>
    <i r="1">
      <x v="4"/>
    </i>
    <i>
      <x v="4"/>
    </i>
    <i r="1">
      <x v="2"/>
    </i>
    <i r="1">
      <x v="4"/>
    </i>
    <i>
      <x v="5"/>
    </i>
    <i r="1">
      <x v="2"/>
    </i>
    <i r="1">
      <x v="4"/>
    </i>
    <i>
      <x v="6"/>
    </i>
    <i r="1">
      <x v="2"/>
    </i>
    <i r="1">
      <x v="4"/>
    </i>
    <i>
      <x v="7"/>
    </i>
    <i r="1">
      <x v="2"/>
    </i>
    <i>
      <x v="8"/>
    </i>
    <i r="1">
      <x v="1"/>
    </i>
    <i>
      <x v="9"/>
    </i>
    <i r="1">
      <x v="1"/>
    </i>
    <i>
      <x v="10"/>
    </i>
    <i r="1">
      <x v="1"/>
    </i>
    <i r="1">
      <x v="6"/>
    </i>
    <i>
      <x v="11"/>
    </i>
    <i r="1">
      <x/>
    </i>
    <i>
      <x v="12"/>
    </i>
    <i r="1">
      <x v="2"/>
    </i>
    <i r="1">
      <x v="4"/>
    </i>
    <i>
      <x v="13"/>
    </i>
    <i r="1">
      <x v="2"/>
    </i>
    <i r="1">
      <x v="4"/>
    </i>
    <i r="1">
      <x v="5"/>
    </i>
    <i>
      <x v="14"/>
    </i>
    <i r="1">
      <x v="1"/>
    </i>
    <i>
      <x v="15"/>
    </i>
    <i r="1">
      <x v="2"/>
    </i>
    <i r="1">
      <x v="4"/>
    </i>
    <i>
      <x v="16"/>
    </i>
    <i r="1">
      <x v="2"/>
    </i>
    <i t="grand">
      <x/>
    </i>
  </rowItems>
  <colItems count="1">
    <i/>
  </colItems>
  <pageFields count="3">
    <pageField fld="1" hier="-1"/>
    <pageField fld="10" hier="-1"/>
    <pageField fld="8" hier="-1"/>
  </pageFields>
  <dataFields count="1">
    <dataField name=" VALOR DA LOCAÇÃO (DEPRECIAÇÃO)" fld="25" baseField="0" baseItem="0" numFmtId="44"/>
  </dataFields>
  <formats count="110">
    <format dxfId="109">
      <pivotArea outline="0" collapsedLevelsAreSubtotals="1" fieldPosition="0"/>
    </format>
    <format dxfId="108">
      <pivotArea field="2" type="button" dataOnly="0" labelOnly="1" outline="0" axis="axisRow" fieldPosition="0"/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collapsedLevelsAreSubtotals="1" fieldPosition="0">
        <references count="1">
          <reference field="2" count="1">
            <x v="6"/>
          </reference>
        </references>
      </pivotArea>
    </format>
    <format dxfId="104">
      <pivotArea collapsedLevelsAreSubtotals="1" fieldPosition="0">
        <references count="1">
          <reference field="2" count="1">
            <x v="12"/>
          </reference>
        </references>
      </pivotArea>
    </format>
    <format dxfId="103">
      <pivotArea collapsedLevelsAreSubtotals="1" fieldPosition="0">
        <references count="1">
          <reference field="2" count="1">
            <x v="4"/>
          </reference>
        </references>
      </pivotArea>
    </format>
    <format dxfId="102">
      <pivotArea collapsedLevelsAreSubtotals="1" fieldPosition="0">
        <references count="1">
          <reference field="2" count="1">
            <x v="14"/>
          </reference>
        </references>
      </pivotArea>
    </format>
    <format dxfId="101">
      <pivotArea collapsedLevelsAreSubtotals="1" fieldPosition="0">
        <references count="1">
          <reference field="2" count="1">
            <x v="3"/>
          </reference>
        </references>
      </pivotArea>
    </format>
    <format dxfId="100">
      <pivotArea collapsedLevelsAreSubtotals="1" fieldPosition="0">
        <references count="1">
          <reference field="2" count="1">
            <x v="11"/>
          </reference>
        </references>
      </pivotArea>
    </format>
    <format dxfId="99">
      <pivotArea collapsedLevelsAreSubtotals="1" fieldPosition="0">
        <references count="1">
          <reference field="2" count="1">
            <x v="0"/>
          </reference>
        </references>
      </pivotArea>
    </format>
    <format dxfId="98">
      <pivotArea collapsedLevelsAreSubtotals="1" fieldPosition="0">
        <references count="1">
          <reference field="2" count="1">
            <x v="2"/>
          </reference>
        </references>
      </pivotArea>
    </format>
    <format dxfId="97">
      <pivotArea collapsedLevelsAreSubtotals="1" fieldPosition="0">
        <references count="1">
          <reference field="2" count="1">
            <x v="5"/>
          </reference>
        </references>
      </pivotArea>
    </format>
    <format dxfId="96">
      <pivotArea collapsedLevelsAreSubtotals="1" fieldPosition="0">
        <references count="1">
          <reference field="2" count="1">
            <x v="1"/>
          </reference>
        </references>
      </pivotArea>
    </format>
    <format dxfId="95">
      <pivotArea collapsedLevelsAreSubtotals="1" fieldPosition="0">
        <references count="1">
          <reference field="2" count="1">
            <x v="9"/>
          </reference>
        </references>
      </pivotArea>
    </format>
    <format dxfId="94">
      <pivotArea collapsedLevelsAreSubtotals="1" fieldPosition="0">
        <references count="1">
          <reference field="2" count="1">
            <x v="10"/>
          </reference>
        </references>
      </pivotArea>
    </format>
    <format dxfId="93">
      <pivotArea collapsedLevelsAreSubtotals="1" fieldPosition="0">
        <references count="1">
          <reference field="2" count="1">
            <x v="8"/>
          </reference>
        </references>
      </pivotArea>
    </format>
    <format dxfId="92">
      <pivotArea collapsedLevelsAreSubtotals="1" fieldPosition="0">
        <references count="1">
          <reference field="2" count="1">
            <x v="7"/>
          </reference>
        </references>
      </pivotArea>
    </format>
    <format dxfId="91">
      <pivotArea dataOnly="0" labelOnly="1" fieldPosition="0">
        <references count="1">
          <reference field="2" count="0"/>
        </references>
      </pivotArea>
    </format>
    <format dxfId="90">
      <pivotArea field="2" type="button" dataOnly="0" labelOnly="1" outline="0" axis="axisRow" fieldPosition="0"/>
    </format>
    <format dxfId="89">
      <pivotArea grandRow="1" outline="0" collapsedLevelsAreSubtotals="1" fieldPosition="0"/>
    </format>
    <format dxfId="88">
      <pivotArea dataOnly="0" labelOnly="1" grandRow="1" outline="0" fieldPosition="0"/>
    </format>
    <format dxfId="87">
      <pivotArea collapsedLevelsAreSubtotals="1" fieldPosition="0">
        <references count="2">
          <reference field="2" count="1" selected="0">
            <x v="13"/>
          </reference>
          <reference field="13" count="1">
            <x v="37"/>
          </reference>
        </references>
      </pivotArea>
    </format>
    <format dxfId="86">
      <pivotArea collapsedLevelsAreSubtotals="1" fieldPosition="0">
        <references count="2">
          <reference field="2" count="1" selected="0">
            <x v="13"/>
          </reference>
          <reference field="13" count="1">
            <x v="35"/>
          </reference>
        </references>
      </pivotArea>
    </format>
    <format dxfId="85">
      <pivotArea collapsedLevelsAreSubtotals="1" fieldPosition="0">
        <references count="2">
          <reference field="2" count="1" selected="0">
            <x v="13"/>
          </reference>
          <reference field="13" count="1">
            <x v="9"/>
          </reference>
        </references>
      </pivotArea>
    </format>
    <format dxfId="84">
      <pivotArea collapsedLevelsAreSubtotals="1" fieldPosition="0">
        <references count="2">
          <reference field="2" count="1" selected="0">
            <x v="13"/>
          </reference>
          <reference field="13" count="1">
            <x v="34"/>
          </reference>
        </references>
      </pivotArea>
    </format>
    <format dxfId="83">
      <pivotArea collapsedLevelsAreSubtotals="1" fieldPosition="0">
        <references count="2">
          <reference field="2" count="1" selected="0">
            <x v="13"/>
          </reference>
          <reference field="13" count="1">
            <x v="22"/>
          </reference>
        </references>
      </pivotArea>
    </format>
    <format dxfId="82">
      <pivotArea collapsedLevelsAreSubtotals="1" fieldPosition="0">
        <references count="2">
          <reference field="2" count="1" selected="0">
            <x v="13"/>
          </reference>
          <reference field="13" count="1">
            <x v="13"/>
          </reference>
        </references>
      </pivotArea>
    </format>
    <format dxfId="81">
      <pivotArea collapsedLevelsAreSubtotals="1" fieldPosition="0">
        <references count="2">
          <reference field="2" count="1" selected="0">
            <x v="13"/>
          </reference>
          <reference field="13" count="1">
            <x v="20"/>
          </reference>
        </references>
      </pivotArea>
    </format>
    <format dxfId="80">
      <pivotArea collapsedLevelsAreSubtotals="1" fieldPosition="0">
        <references count="2">
          <reference field="2" count="1" selected="0">
            <x v="13"/>
          </reference>
          <reference field="13" count="1">
            <x v="29"/>
          </reference>
        </references>
      </pivotArea>
    </format>
    <format dxfId="79">
      <pivotArea collapsedLevelsAreSubtotals="1" fieldPosition="0">
        <references count="2">
          <reference field="2" count="1" selected="0">
            <x v="13"/>
          </reference>
          <reference field="13" count="1">
            <x v="0"/>
          </reference>
        </references>
      </pivotArea>
    </format>
    <format dxfId="78">
      <pivotArea dataOnly="0" labelOnly="1" fieldPosition="0">
        <references count="2">
          <reference field="2" count="1" selected="0">
            <x v="13"/>
          </reference>
          <reference field="13" count="9">
            <x v="0"/>
            <x v="9"/>
            <x v="13"/>
            <x v="20"/>
            <x v="22"/>
            <x v="29"/>
            <x v="34"/>
            <x v="35"/>
            <x v="37"/>
          </reference>
        </references>
      </pivotArea>
    </format>
    <format dxfId="77">
      <pivotArea collapsedLevelsAreSubtotals="1" fieldPosition="0">
        <references count="1">
          <reference field="2" count="1">
            <x v="13"/>
          </reference>
        </references>
      </pivotArea>
    </format>
    <format dxfId="76">
      <pivotArea dataOnly="0" labelOnly="1" fieldPosition="0">
        <references count="1">
          <reference field="2" count="1">
            <x v="13"/>
          </reference>
        </references>
      </pivotArea>
    </format>
    <format dxfId="75">
      <pivotArea type="all" dataOnly="0" outline="0" fieldPosition="0"/>
    </format>
    <format dxfId="74">
      <pivotArea field="2" type="button" dataOnly="0" labelOnly="1" outline="0" axis="axisRow" fieldPosition="0"/>
    </format>
    <format dxfId="73">
      <pivotArea dataOnly="0" labelOnly="1" grandRow="1" outline="0" fieldPosition="0"/>
    </format>
    <format dxfId="72">
      <pivotArea dataOnly="0" labelOnly="1" fieldPosition="0">
        <references count="2">
          <reference field="2" count="1" selected="0">
            <x v="13"/>
          </reference>
          <reference field="13" count="9">
            <x v="0"/>
            <x v="9"/>
            <x v="13"/>
            <x v="20"/>
            <x v="22"/>
            <x v="29"/>
            <x v="34"/>
            <x v="35"/>
            <x v="37"/>
          </reference>
        </references>
      </pivotArea>
    </format>
    <format dxfId="71">
      <pivotArea dataOnly="0" labelOnly="1" fieldPosition="0">
        <references count="2">
          <reference field="2" count="1" selected="0">
            <x v="6"/>
          </reference>
          <reference field="13" count="12">
            <x v="1"/>
            <x v="6"/>
            <x v="7"/>
            <x v="9"/>
            <x v="11"/>
            <x v="12"/>
            <x v="17"/>
            <x v="22"/>
            <x v="23"/>
            <x v="29"/>
            <x v="37"/>
            <x v="40"/>
          </reference>
        </references>
      </pivotArea>
    </format>
    <format dxfId="70">
      <pivotArea dataOnly="0" labelOnly="1" fieldPosition="0">
        <references count="2">
          <reference field="2" count="1" selected="0">
            <x v="12"/>
          </reference>
          <reference field="13" count="9">
            <x v="3"/>
            <x v="4"/>
            <x v="5"/>
            <x v="6"/>
            <x v="9"/>
            <x v="10"/>
            <x v="21"/>
            <x v="29"/>
            <x v="36"/>
          </reference>
        </references>
      </pivotArea>
    </format>
    <format dxfId="69">
      <pivotArea dataOnly="0" labelOnly="1" fieldPosition="0">
        <references count="2">
          <reference field="2" count="1" selected="0">
            <x v="4"/>
          </reference>
          <reference field="13" count="8">
            <x v="1"/>
            <x v="8"/>
            <x v="9"/>
            <x v="23"/>
            <x v="27"/>
            <x v="29"/>
            <x v="30"/>
            <x v="39"/>
          </reference>
        </references>
      </pivotArea>
    </format>
    <format dxfId="68">
      <pivotArea dataOnly="0" labelOnly="1" fieldPosition="0">
        <references count="2">
          <reference field="2" count="1" selected="0">
            <x v="14"/>
          </reference>
          <reference field="13" count="2">
            <x v="15"/>
            <x v="38"/>
          </reference>
        </references>
      </pivotArea>
    </format>
    <format dxfId="67">
      <pivotArea dataOnly="0" labelOnly="1" fieldPosition="0">
        <references count="2">
          <reference field="2" count="1" selected="0">
            <x v="3"/>
          </reference>
          <reference field="13" count="6">
            <x v="1"/>
            <x v="7"/>
            <x v="9"/>
            <x v="18"/>
            <x v="23"/>
            <x v="29"/>
          </reference>
        </references>
      </pivotArea>
    </format>
    <format dxfId="66">
      <pivotArea dataOnly="0" labelOnly="1" fieldPosition="0">
        <references count="2">
          <reference field="2" count="1" selected="0">
            <x v="11"/>
          </reference>
          <reference field="13" count="1">
            <x v="38"/>
          </reference>
        </references>
      </pivotArea>
    </format>
    <format dxfId="65">
      <pivotArea dataOnly="0" labelOnly="1" fieldPosition="0">
        <references count="2">
          <reference field="2" count="1" selected="0">
            <x v="0"/>
          </reference>
          <reference field="13" count="4">
            <x v="20"/>
            <x v="22"/>
            <x v="25"/>
            <x v="28"/>
          </reference>
        </references>
      </pivotArea>
    </format>
    <format dxfId="64">
      <pivotArea dataOnly="0" labelOnly="1" fieldPosition="0">
        <references count="2">
          <reference field="2" count="1" selected="0">
            <x v="2"/>
          </reference>
          <reference field="13" count="6">
            <x v="2"/>
            <x v="14"/>
            <x v="16"/>
            <x v="31"/>
            <x v="32"/>
            <x v="33"/>
          </reference>
        </references>
      </pivotArea>
    </format>
    <format dxfId="63">
      <pivotArea dataOnly="0" labelOnly="1" fieldPosition="0">
        <references count="2">
          <reference field="2" count="1" selected="0">
            <x v="5"/>
          </reference>
          <reference field="13" count="6">
            <x v="1"/>
            <x v="9"/>
            <x v="19"/>
            <x v="23"/>
            <x v="24"/>
            <x v="29"/>
          </reference>
        </references>
      </pivotArea>
    </format>
    <format dxfId="62">
      <pivotArea dataOnly="0" labelOnly="1" fieldPosition="0">
        <references count="2">
          <reference field="2" count="1" selected="0">
            <x v="1"/>
          </reference>
          <reference field="13" count="2">
            <x v="15"/>
            <x v="38"/>
          </reference>
        </references>
      </pivotArea>
    </format>
    <format dxfId="61">
      <pivotArea dataOnly="0" labelOnly="1" fieldPosition="0">
        <references count="2">
          <reference field="2" count="1" selected="0">
            <x v="9"/>
          </reference>
          <reference field="13" count="2">
            <x v="15"/>
            <x v="38"/>
          </reference>
        </references>
      </pivotArea>
    </format>
    <format dxfId="60">
      <pivotArea dataOnly="0" labelOnly="1" fieldPosition="0">
        <references count="2">
          <reference field="2" count="1" selected="0">
            <x v="10"/>
          </reference>
          <reference field="13" count="2">
            <x v="22"/>
            <x v="26"/>
          </reference>
        </references>
      </pivotArea>
    </format>
    <format dxfId="59">
      <pivotArea dataOnly="0" labelOnly="1" fieldPosition="0">
        <references count="2">
          <reference field="2" count="1" selected="0">
            <x v="8"/>
          </reference>
          <reference field="13" count="2">
            <x v="23"/>
            <x v="25"/>
          </reference>
        </references>
      </pivotArea>
    </format>
    <format dxfId="58">
      <pivotArea dataOnly="0" labelOnly="1" fieldPosition="0">
        <references count="2">
          <reference field="2" count="1" selected="0">
            <x v="7"/>
          </reference>
          <reference field="13" count="2">
            <x v="21"/>
            <x v="29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">
      <pivotArea field="2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field="2" type="button" dataOnly="0" labelOnly="1" outline="0" axis="axisRow" fieldPosition="0"/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field="2" type="button" dataOnly="0" labelOnly="1" outline="0" axis="axisRow" fieldPosition="0"/>
    </format>
    <format dxfId="4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2" count="1" selected="0">
            <x v="6"/>
          </reference>
          <reference field="3" count="2">
            <x v="2"/>
            <x v="4"/>
          </reference>
        </references>
      </pivotArea>
    </format>
    <format dxfId="39">
      <pivotArea dataOnly="0" labelOnly="1" fieldPosition="0">
        <references count="2">
          <reference field="2" count="1" selected="0">
            <x v="13"/>
          </reference>
          <reference field="3" count="3">
            <x v="2"/>
            <x v="4"/>
            <x v="5"/>
          </reference>
        </references>
      </pivotArea>
    </format>
    <format dxfId="38">
      <pivotArea dataOnly="0" labelOnly="1" fieldPosition="0">
        <references count="2">
          <reference field="2" count="1" selected="0">
            <x v="12"/>
          </reference>
          <reference field="3" count="2">
            <x v="2"/>
            <x v="4"/>
          </reference>
        </references>
      </pivotArea>
    </format>
    <format dxfId="37">
      <pivotArea dataOnly="0" labelOnly="1" fieldPosition="0">
        <references count="2">
          <reference field="2" count="1" selected="0">
            <x v="2"/>
          </reference>
          <reference field="3" count="1">
            <x v="3"/>
          </reference>
        </references>
      </pivotArea>
    </format>
    <format dxfId="36">
      <pivotArea dataOnly="0" labelOnly="1" fieldPosition="0">
        <references count="2">
          <reference field="2" count="1" selected="0">
            <x v="4"/>
          </reference>
          <reference field="3" count="2">
            <x v="2"/>
            <x v="4"/>
          </reference>
        </references>
      </pivotArea>
    </format>
    <format dxfId="35">
      <pivotArea dataOnly="0" labelOnly="1" fieldPosition="0">
        <references count="2">
          <reference field="2" count="1" selected="0">
            <x v="5"/>
          </reference>
          <reference field="3" count="2">
            <x v="2"/>
            <x v="4"/>
          </reference>
        </references>
      </pivotArea>
    </format>
    <format dxfId="34">
      <pivotArea dataOnly="0" labelOnly="1" fieldPosition="0">
        <references count="2">
          <reference field="2" count="1" selected="0">
            <x v="3"/>
          </reference>
          <reference field="3" count="2">
            <x v="2"/>
            <x v="4"/>
          </reference>
        </references>
      </pivotArea>
    </format>
    <format dxfId="33">
      <pivotArea dataOnly="0" labelOnly="1" fieldPosition="0">
        <references count="2">
          <reference field="2" count="1" selected="0">
            <x v="15"/>
          </reference>
          <reference field="3" count="1">
            <x v="2"/>
          </reference>
        </references>
      </pivotArea>
    </format>
    <format dxfId="32">
      <pivotArea dataOnly="0" labelOnly="1" fieldPosition="0">
        <references count="2">
          <reference field="2" count="1" selected="0">
            <x v="14"/>
          </reference>
          <reference field="3" count="1">
            <x v="1"/>
          </reference>
        </references>
      </pivotArea>
    </format>
    <format dxfId="31">
      <pivotArea dataOnly="0" labelOnly="1" fieldPosition="0">
        <references count="2">
          <reference field="2" count="1" selected="0">
            <x v="9"/>
          </reference>
          <reference field="3" count="1">
            <x v="1"/>
          </reference>
        </references>
      </pivotArea>
    </format>
    <format dxfId="30">
      <pivotArea dataOnly="0" labelOnly="1" fieldPosition="0">
        <references count="2">
          <reference field="2" count="1" selected="0">
            <x v="10"/>
          </reference>
          <reference field="3" count="2">
            <x v="1"/>
            <x v="6"/>
          </reference>
        </references>
      </pivotArea>
    </format>
    <format dxfId="29">
      <pivotArea dataOnly="0" labelOnly="1" fieldPosition="0">
        <references count="2">
          <reference field="2" count="1" selected="0">
            <x v="11"/>
          </reference>
          <reference field="3" count="1">
            <x v="0"/>
          </reference>
        </references>
      </pivotArea>
    </format>
    <format dxfId="28">
      <pivotArea dataOnly="0" labelOnly="1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7">
      <pivotArea dataOnly="0" labelOnly="1" fieldPosition="0">
        <references count="2">
          <reference field="2" count="1" selected="0">
            <x v="8"/>
          </reference>
          <reference field="3" count="1">
            <x v="1"/>
          </reference>
        </references>
      </pivotArea>
    </format>
    <format dxfId="26">
      <pivotArea dataOnly="0" labelOnly="1" fieldPosition="0">
        <references count="2">
          <reference field="2" count="1" selected="0">
            <x v="16"/>
          </reference>
          <reference field="3" count="1">
            <x v="2"/>
          </reference>
        </references>
      </pivotArea>
    </format>
    <format dxfId="25">
      <pivotArea dataOnly="0" labelOnly="1" fieldPosition="0">
        <references count="2">
          <reference field="2" count="1" selected="0">
            <x v="7"/>
          </reference>
          <reference field="3" count="1">
            <x v="2"/>
          </reference>
        </references>
      </pivotArea>
    </format>
    <format dxfId="24">
      <pivotArea dataOnly="0" labelOnly="1" fieldPosition="0">
        <references count="3">
          <reference field="2" count="1" selected="0">
            <x v="6"/>
          </reference>
          <reference field="3" count="1" selected="0">
            <x v="2"/>
          </reference>
          <reference field="13" count="8">
            <x v="7"/>
            <x v="9"/>
            <x v="11"/>
            <x v="12"/>
            <x v="22"/>
            <x v="23"/>
            <x v="29"/>
            <x v="41"/>
          </reference>
        </references>
      </pivotArea>
    </format>
    <format dxfId="23">
      <pivotArea dataOnly="0" labelOnly="1" fieldPosition="0">
        <references count="3">
          <reference field="2" count="1" selected="0">
            <x v="6"/>
          </reference>
          <reference field="3" count="1" selected="0">
            <x v="4"/>
          </reference>
          <reference field="13" count="3">
            <x v="1"/>
            <x v="37"/>
            <x v="40"/>
          </reference>
        </references>
      </pivotArea>
    </format>
    <format dxfId="22">
      <pivotArea dataOnly="0" labelOnly="1" fieldPosition="0">
        <references count="3">
          <reference field="2" count="1" selected="0">
            <x v="13"/>
          </reference>
          <reference field="3" count="1" selected="0">
            <x v="2"/>
          </reference>
          <reference field="13" count="5">
            <x v="9"/>
            <x v="10"/>
            <x v="13"/>
            <x v="20"/>
            <x v="29"/>
          </reference>
        </references>
      </pivotArea>
    </format>
    <format dxfId="21">
      <pivotArea dataOnly="0" labelOnly="1" fieldPosition="0">
        <references count="3">
          <reference field="2" count="1" selected="0">
            <x v="13"/>
          </reference>
          <reference field="3" count="1" selected="0">
            <x v="4"/>
          </reference>
          <reference field="13" count="4">
            <x v="0"/>
            <x v="34"/>
            <x v="35"/>
            <x v="37"/>
          </reference>
        </references>
      </pivotArea>
    </format>
    <format dxfId="20">
      <pivotArea dataOnly="0" labelOnly="1" fieldPosition="0">
        <references count="3">
          <reference field="2" count="1" selected="0">
            <x v="13"/>
          </reference>
          <reference field="3" count="1" selected="0">
            <x v="5"/>
          </reference>
          <reference field="13" count="1">
            <x v="22"/>
          </reference>
        </references>
      </pivotArea>
    </format>
    <format dxfId="19">
      <pivotArea dataOnly="0" labelOnly="1" fieldPosition="0">
        <references count="3">
          <reference field="2" count="1" selected="0">
            <x v="12"/>
          </reference>
          <reference field="3" count="1" selected="0">
            <x v="2"/>
          </reference>
          <reference field="13" count="6">
            <x v="3"/>
            <x v="4"/>
            <x v="5"/>
            <x v="6"/>
            <x v="9"/>
            <x v="21"/>
          </reference>
        </references>
      </pivotArea>
    </format>
    <format dxfId="18">
      <pivotArea dataOnly="0" labelOnly="1" fieldPosition="0">
        <references count="3">
          <reference field="2" count="1" selected="0">
            <x v="12"/>
          </reference>
          <reference field="3" count="1" selected="0">
            <x v="4"/>
          </reference>
          <reference field="13" count="1">
            <x v="29"/>
          </reference>
        </references>
      </pivotArea>
    </format>
    <format dxfId="17">
      <pivotArea dataOnly="0" labelOnly="1" fieldPosition="0">
        <references count="3">
          <reference field="2" count="1" selected="0">
            <x v="2"/>
          </reference>
          <reference field="3" count="1" selected="0">
            <x v="3"/>
          </reference>
          <reference field="13" count="6">
            <x v="2"/>
            <x v="14"/>
            <x v="16"/>
            <x v="31"/>
            <x v="32"/>
            <x v="33"/>
          </reference>
        </references>
      </pivotArea>
    </format>
    <format dxfId="16">
      <pivotArea dataOnly="0" labelOnly="1" fieldPosition="0">
        <references count="3">
          <reference field="2" count="1" selected="0">
            <x v="4"/>
          </reference>
          <reference field="3" count="1" selected="0">
            <x v="2"/>
          </reference>
          <reference field="13" count="5">
            <x v="8"/>
            <x v="9"/>
            <x v="23"/>
            <x v="27"/>
            <x v="30"/>
          </reference>
        </references>
      </pivotArea>
    </format>
    <format dxfId="15">
      <pivotArea dataOnly="0" labelOnly="1" fieldPosition="0">
        <references count="3">
          <reference field="2" count="1" selected="0">
            <x v="4"/>
          </reference>
          <reference field="3" count="1" selected="0">
            <x v="4"/>
          </reference>
          <reference field="13" count="3">
            <x v="1"/>
            <x v="29"/>
            <x v="39"/>
          </reference>
        </references>
      </pivotArea>
    </format>
    <format dxfId="14">
      <pivotArea dataOnly="0" labelOnly="1" fieldPosition="0">
        <references count="3">
          <reference field="2" count="1" selected="0">
            <x v="5"/>
          </reference>
          <reference field="3" count="1" selected="0">
            <x v="2"/>
          </reference>
          <reference field="13" count="4">
            <x v="9"/>
            <x v="19"/>
            <x v="23"/>
            <x v="24"/>
          </reference>
        </references>
      </pivotArea>
    </format>
    <format dxfId="13">
      <pivotArea dataOnly="0" labelOnly="1" fieldPosition="0">
        <references count="3">
          <reference field="2" count="1" selected="0">
            <x v="5"/>
          </reference>
          <reference field="3" count="1" selected="0">
            <x v="4"/>
          </reference>
          <reference field="13" count="2">
            <x v="1"/>
            <x v="29"/>
          </reference>
        </references>
      </pivotArea>
    </format>
    <format dxfId="12">
      <pivotArea dataOnly="0" labelOnly="1" fieldPosition="0">
        <references count="3">
          <reference field="2" count="1" selected="0">
            <x v="3"/>
          </reference>
          <reference field="3" count="1" selected="0">
            <x v="2"/>
          </reference>
          <reference field="13" count="4">
            <x v="7"/>
            <x v="18"/>
            <x v="23"/>
            <x v="29"/>
          </reference>
        </references>
      </pivotArea>
    </format>
    <format dxfId="11">
      <pivotArea dataOnly="0" labelOnly="1" fieldPosition="0">
        <references count="3">
          <reference field="2" count="1" selected="0">
            <x v="3"/>
          </reference>
          <reference field="3" count="1" selected="0">
            <x v="4"/>
          </reference>
          <reference field="13" count="1">
            <x v="1"/>
          </reference>
        </references>
      </pivotArea>
    </format>
    <format dxfId="10">
      <pivotArea dataOnly="0" labelOnly="1" fieldPosition="0">
        <references count="3">
          <reference field="2" count="1" selected="0">
            <x v="15"/>
          </reference>
          <reference field="3" count="1" selected="0">
            <x v="2"/>
          </reference>
          <reference field="13" count="6">
            <x v="20"/>
            <x v="22"/>
            <x v="25"/>
            <x v="28"/>
            <x v="36"/>
            <x v="38"/>
          </reference>
        </references>
      </pivotArea>
    </format>
    <format dxfId="9">
      <pivotArea dataOnly="0" labelOnly="1" fieldPosition="0">
        <references count="3">
          <reference field="2" count="1" selected="0">
            <x v="14"/>
          </reference>
          <reference field="3" count="1" selected="0">
            <x v="1"/>
          </reference>
          <reference field="13" count="2">
            <x v="15"/>
            <x v="38"/>
          </reference>
        </references>
      </pivotArea>
    </format>
    <format dxfId="8">
      <pivotArea dataOnly="0" labelOnly="1" fieldPosition="0">
        <references count="3">
          <reference field="2" count="1" selected="0">
            <x v="9"/>
          </reference>
          <reference field="3" count="1" selected="0">
            <x v="1"/>
          </reference>
          <reference field="13" count="2">
            <x v="15"/>
            <x v="38"/>
          </reference>
        </references>
      </pivotArea>
    </format>
    <format dxfId="7">
      <pivotArea dataOnly="0" labelOnly="1" fieldPosition="0">
        <references count="3">
          <reference field="2" count="1" selected="0">
            <x v="10"/>
          </reference>
          <reference field="3" count="1" selected="0">
            <x v="6"/>
          </reference>
          <reference field="13" count="1">
            <x v="26"/>
          </reference>
        </references>
      </pivotArea>
    </format>
    <format dxfId="6">
      <pivotArea dataOnly="0" labelOnly="1" fieldPosition="0">
        <references count="3">
          <reference field="2" count="1" selected="0">
            <x v="10"/>
          </reference>
          <reference field="3" count="1" selected="0">
            <x v="1"/>
          </reference>
          <reference field="13" count="1">
            <x v="22"/>
          </reference>
        </references>
      </pivotArea>
    </format>
    <format dxfId="5">
      <pivotArea dataOnly="0" labelOnly="1" fieldPosition="0">
        <references count="3">
          <reference field="2" count="1" selected="0">
            <x v="11"/>
          </reference>
          <reference field="3" count="1" selected="0">
            <x v="0"/>
          </reference>
          <reference field="13" count="1">
            <x v="38"/>
          </reference>
        </references>
      </pivotArea>
    </format>
    <format dxfId="4">
      <pivotArea dataOnly="0" labelOnly="1" fieldPosition="0">
        <references count="3">
          <reference field="2" count="1" selected="0">
            <x v="1"/>
          </reference>
          <reference field="3" count="1" selected="0">
            <x v="1"/>
          </reference>
          <reference field="13" count="2">
            <x v="15"/>
            <x v="38"/>
          </reference>
        </references>
      </pivotArea>
    </format>
    <format dxfId="3">
      <pivotArea dataOnly="0" labelOnly="1" fieldPosition="0">
        <references count="3">
          <reference field="2" count="1" selected="0">
            <x v="8"/>
          </reference>
          <reference field="3" count="1" selected="0">
            <x v="1"/>
          </reference>
          <reference field="13" count="2">
            <x v="23"/>
            <x v="25"/>
          </reference>
        </references>
      </pivotArea>
    </format>
    <format dxfId="2">
      <pivotArea dataOnly="0" labelOnly="1" fieldPosition="0">
        <references count="3">
          <reference field="2" count="1" selected="0">
            <x v="16"/>
          </reference>
          <reference field="3" count="1" selected="0">
            <x v="2"/>
          </reference>
          <reference field="13" count="1">
            <x v="29"/>
          </reference>
        </references>
      </pivotArea>
    </format>
    <format dxfId="1">
      <pivotArea dataOnly="0" labelOnly="1" fieldPosition="0">
        <references count="3">
          <reference field="2" count="1" selected="0">
            <x v="7"/>
          </reference>
          <reference field="3" count="1" selected="0">
            <x v="2"/>
          </reference>
          <reference field="13" count="1">
            <x v="2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5-07-28T15:31:01.79" personId="{33FC0132-7C17-4E6E-B9B1-4E08E75FBF91}" id="{5A464182-6C7C-4337-AE45-F61894D470DD}">
    <text>Braçofer - Júlio 28/07/2025</text>
  </threadedComment>
  <threadedComment ref="J8" dT="2025-01-16T19:00:57.81" personId="{33FC0132-7C17-4E6E-B9B1-4E08E75FBF91}" id="{CAE88DC1-B98F-496B-AEBF-98A21A185487}">
    <text>Braçofer - Júlio 28/07/2025
Braçofer - Júlio 16/01</text>
  </threadedComment>
  <threadedComment ref="B9" dT="2026-04-28T17:41:26.62" personId="{33485ADF-D4A4-42BD-A726-DEE0B1CF374B}" id="{B2F15F07-8BCC-43AB-9599-ECD1684406A8}">
    <text>Estava com status "PARA VENDA"</text>
  </threadedComment>
  <threadedComment ref="J9" dT="2025-01-16T18:50:37.20" personId="{33FC0132-7C17-4E6E-B9B1-4E08E75FBF91}" id="{81ECBB1C-6C34-40D7-B9B0-7446A2A34530}">
    <text>unidade Prudente - Júlio 24/07/2025
unidade Campo Grande - Júlio 16/01</text>
  </threadedComment>
  <threadedComment ref="N9" dT="2026-04-20T19:40:11.89" personId="{33485ADF-D4A4-42BD-A726-DEE0B1CF374B}" id="{627205C9-DCA7-42D9-935D-29FF84403719}">
    <text>Esta sem Palfinger</text>
  </threadedComment>
  <threadedComment ref="B10" dT="2026-04-28T17:42:17.02" personId="{33485ADF-D4A4-42BD-A726-DEE0B1CF374B}" id="{8FD2D1B7-BC74-4C07-9507-D5810AEDA86B}">
    <text>Estava com status "PARA VENDA"</text>
  </threadedComment>
  <threadedComment ref="J10" dT="2025-01-16T18:50:59.28" personId="{33FC0132-7C17-4E6E-B9B1-4E08E75FBF91}" id="{A0D0A272-AC00-49C9-BC62-F58A7752C42C}">
    <text xml:space="preserve">unidade Campo Grande - Júlio 24/07/2025
unidade Prudente - Júlio 16/01/2025 </text>
  </threadedComment>
  <threadedComment ref="J10" dT="2025-12-03T18:07:29.93" personId="{33FC0132-7C17-4E6E-B9B1-4E08E75FBF91}" id="{78C38BE3-85E4-43D4-A934-F4C2FA1ABF51}" parentId="{A0D0A272-AC00-49C9-BC62-F58A7752C42C}">
    <text>Sinistro conforme chamado 792636.002 Alfa Seguradora - Vinícius está tratando 
diretamente com a seguradora</text>
  </threadedComment>
  <threadedComment ref="J10" dT="2026-02-11T17:05:35.80" personId="{F3DE14A1-5CA5-4524-8F43-F4454F24D6C3}" id="{2B8D59EC-21B9-4E32-8EDB-0401F1EA924E}" parentId="{A0D0A272-AC00-49C9-BC62-F58A7752C42C}">
    <text>Informado pelo Julio (10/02/26) - Alterado de Dourados para Presidente Prudente.</text>
  </threadedComment>
  <threadedComment ref="N10" dT="2026-04-20T19:39:13.16" personId="{33485ADF-D4A4-42BD-A726-DEE0B1CF374B}" id="{24A32989-89F9-4A61-BC8E-1C618BD906DD}">
    <text>Será retirado a Garra.</text>
  </threadedComment>
  <threadedComment ref="F11" dT="2026-04-28T17:44:16.86" personId="{33485ADF-D4A4-42BD-A726-DEE0B1CF374B}" id="{A86423A8-1AEB-4B60-A165-2A42F7193E53}">
    <text>Validado Marcondes!</text>
  </threadedComment>
  <threadedComment ref="J11" dT="2025-07-25T18:51:41.67" personId="{33FC0132-7C17-4E6E-B9B1-4E08E75FBF91}" id="{07FAE8A4-BCFB-42DC-8426-039C944A60F2}">
    <text>unidade Maringá - Júlio 24/07/2025</text>
  </threadedComment>
  <threadedComment ref="J11" dT="2026-02-25T12:15:47.04" personId="{F3DE14A1-5CA5-4524-8F43-F4454F24D6C3}" id="{27646E60-C115-44F2-9835-87D8A92710F6}" parentId="{07FAE8A4-BCFB-42DC-8426-039C944A60F2}">
    <text>Unidade Presidente Prudente - 25/02/2026</text>
  </threadedComment>
  <threadedComment ref="J11" dT="2026-02-26T14:02:36.27" personId="{F3DE14A1-5CA5-4524-8F43-F4454F24D6C3}" id="{8E4713E7-7087-4F50-B828-0816ECDFAF33}" parentId="{07FAE8A4-BCFB-42DC-8426-039C944A60F2}">
    <text>CORREÇÃO - UNIDADE MARINGÁ</text>
  </threadedComment>
  <threadedComment ref="F12" dT="2026-04-28T17:43:17.78" personId="{33485ADF-D4A4-42BD-A726-DEE0B1CF374B}" id="{0D00E560-535A-496D-8EEE-B198273A36F0}">
    <text>Marcondes validar ?</text>
  </threadedComment>
  <threadedComment ref="J12" dT="2025-01-16T18:52:48.51" personId="{33FC0132-7C17-4E6E-B9B1-4E08E75FBF91}" id="{1C6FDF68-EE66-4954-908E-F27864EB0805}">
    <text>OFINA PARA INSERIR EQUIPAMENTOS - JULIO 28/07/2025
unidade Prudente - Júlio 16/01</text>
  </threadedComment>
  <threadedComment ref="J12" dT="2026-02-11T16:58:02.24" personId="{F3DE14A1-5CA5-4524-8F43-F4454F24D6C3}" id="{9D0E2402-75F1-4781-B255-FEC462902B60}" parentId="{1C6FDF68-EE66-4954-908E-F27864EB0805}">
    <text>Informado pelo Julio (10/02/26) que o caminhão foi alterado de P.Pte e irá operar em Maringá.</text>
  </threadedComment>
  <threadedComment ref="N12" dT="2026-04-20T19:23:37.26" personId="{33485ADF-D4A4-42BD-A726-DEE0B1CF374B}" id="{720A0DD7-5CEF-4A9C-B25A-1B92BCA5A252}">
    <text xml:space="preserve">Está em manutenção (câmbio)
</text>
  </threadedComment>
  <threadedComment ref="F13" dT="2026-04-28T17:42:49.74" personId="{33485ADF-D4A4-42BD-A726-DEE0B1CF374B}" id="{FE242C09-FA34-477F-9A0C-64B2C32262BD}">
    <text>Marcondes validar?</text>
  </threadedComment>
  <threadedComment ref="J13" dT="2025-01-16T18:51:46.45" personId="{33FC0132-7C17-4E6E-B9B1-4E08E75FBF91}" id="{8532DF44-A7B5-4835-A013-4ECD0278280B}">
    <text>MARINGÁ - JULIO 28/07/2025 
unidade Prudente - Júlio 16/01</text>
  </threadedComment>
  <threadedComment ref="J14" dT="2025-07-28T15:27:24.33" personId="{33FC0132-7C17-4E6E-B9B1-4E08E75FBF91}" id="{DB9578B8-CD45-4395-9228-7959E93B5FD0}">
    <text>UNIDADE PRUDENTE - JULIO 28/07/2025</text>
  </threadedComment>
  <threadedComment ref="N14" dT="2025-02-13T12:01:30.23" personId="{33FC0132-7C17-4E6E-B9B1-4E08E75FBF91}" id="{C9D36973-910A-4235-B1E3-2F73A42F3551}">
    <text>CAÇAMBA ADAPTADA PELA INDUSPLAN</text>
  </threadedComment>
  <threadedComment ref="J15" dT="2025-01-16T18:52:08.96" personId="{33FC0132-7C17-4E6E-B9B1-4E08E75FBF91}" id="{2CBE4784-CDA4-48AB-8FCF-D3C6DD0838A1}">
    <text>unidade Prudente - Júlio 28/07/2025
unidade Prudente - Júlio 16/01</text>
  </threadedComment>
  <threadedComment ref="N15" dT="2026-04-20T19:44:41.51" personId="{33485ADF-D4A4-42BD-A726-DEE0B1CF374B}" id="{D58DAC69-8D3A-4389-95F1-4365C22A692A}">
    <text>Está em Maringá</text>
  </threadedComment>
  <threadedComment ref="C16" dT="2026-02-03T17:40:37.29" personId="{F3DE14A1-5CA5-4524-8F43-F4454F24D6C3}" id="{8F970117-19C9-4682-817F-6A16511391CF}">
    <text>Informado pelo Julio hoje (03/02/2026) que o caminhão irá operar na unidade de Dourados.</text>
  </threadedComment>
  <threadedComment ref="N16" dT="2026-04-20T19:08:06.75" personId="{33485ADF-D4A4-42BD-A726-DEE0B1CF374B}" id="{1E6F5FBD-91EF-459C-8A51-83AE4B837C82}">
    <text xml:space="preserve">Verificar se essa placa está correta </text>
  </threadedComment>
  <threadedComment ref="F17" dT="2026-04-28T17:40:01.81" personId="{33485ADF-D4A4-42BD-A726-DEE0B1CF374B}" id="{C1141219-8FCA-4F28-9D31-9EA2AC7977C4}">
    <text xml:space="preserve">Validação do Marcondes? </text>
  </threadedComment>
  <threadedComment ref="J17" dT="2025-07-28T15:24:00.81" personId="{33FC0132-7C17-4E6E-B9B1-4E08E75FBF91}" id="{6B8831AF-E6F2-40CA-A5C7-357FB486865E}">
    <text>CAMPO GRANDE - JULIO 28/07/25</text>
  </threadedComment>
  <threadedComment ref="J17" dT="2026-04-20T18:49:00.47" personId="{33485ADF-D4A4-42BD-A726-DEE0B1CF374B}" id="{4BD55C07-E94D-4F51-A412-7829040CF7EB}" parentId="{6B8831AF-E6F2-40CA-A5C7-357FB486865E}">
    <text xml:space="preserve">Caminhão do acidente (Tombou) 
</text>
  </threadedComment>
  <threadedComment ref="J17" dT="2026-04-20T18:49:54.89" personId="{33485ADF-D4A4-42BD-A726-DEE0B1CF374B}" id="{5850E95D-7EAE-48EB-A140-65F7EE7F1D50}" parentId="{6B8831AF-E6F2-40CA-A5C7-357FB486865E}">
    <text>Verificar com @Hugo Bossolani a placa que irá substitui-lo - Reuniao com Marcondes e Gisele onde ja foi informado.</text>
    <mentions>
      <mention mentionpersonId="{AFA03842-B33C-46D1-BBD8-72C009CF7A5A}" mentionId="{77F69F56-7AB8-4EC6-8D4A-B8A007B5A4B1}" startIndex="14" length="15"/>
    </mentions>
  </threadedComment>
  <threadedComment ref="J18" dT="2025-01-16T18:50:10.07" personId="{33FC0132-7C17-4E6E-B9B1-4E08E75FBF91}" id="{7B59DF8E-61E7-405A-8486-C64E7AC6E81D}">
    <text>unidade Dourados - Júlio 24/07/2025
unidade Dourados - Júlio 16/01/2025</text>
  </threadedComment>
  <threadedComment ref="J19" dT="2025-07-25T20:25:22.91" personId="{33FC0132-7C17-4E6E-B9B1-4E08E75FBF91}" id="{CB5C51DB-7B0B-406E-B746-FFC69AC1A107}">
    <text>unidade Prudente - Júlio 24/07/2025</text>
  </threadedComment>
  <threadedComment ref="J19" dT="2025-08-25T14:36:42.29" personId="{33FC0132-7C17-4E6E-B9B1-4E08E75FBF91}" id="{4015B581-954F-4785-A71F-D7061C3EC702}" parentId="{CB5C51DB-7B0B-406E-B746-FFC69AC1A107}">
    <text>unidade Londrina PR - Júlio 25/08/2025</text>
  </threadedComment>
  <threadedComment ref="J20" dT="2025-07-25T20:19:19.61" personId="{33FC0132-7C17-4E6E-B9B1-4E08E75FBF91}" id="{74CF1914-1B4D-4D9A-8F73-E380A6FA2D82}">
    <text>unidade Dourados - Júlio 24/07/2025</text>
  </threadedComment>
  <threadedComment ref="J20" dT="2026-02-03T17:43:30.14" personId="{F3DE14A1-5CA5-4524-8F43-F4454F24D6C3}" id="{A979BE3A-C145-4ACE-B2D8-97F22B119DA9}" parentId="{74CF1914-1B4D-4D9A-8F73-E380A6FA2D82}">
    <text>Informado pelo Julio (03/02/2026) que o caminhão saiu de Dourados e operará na unidade de Londrina.</text>
  </threadedComment>
  <threadedComment ref="J20" dT="2026-02-11T17:03:23.58" personId="{F3DE14A1-5CA5-4524-8F43-F4454F24D6C3}" id="{062DFFA2-5D08-4313-A0D0-5EE9D7DDC460}" parentId="{74CF1914-1B4D-4D9A-8F73-E380A6FA2D82}">
    <text>Informado pelo Julio (10/02) - Alterado de Londrina para operar em Maringá.</text>
  </threadedComment>
  <threadedComment ref="F21" dT="2026-04-28T17:44:29.65" personId="{33485ADF-D4A4-42BD-A726-DEE0B1CF374B}" id="{3A2B5591-6127-403B-9969-EA2DCEE856D5}">
    <text>Validado Marcondes!</text>
  </threadedComment>
  <threadedComment ref="J21" dT="2025-01-16T18:50:23.03" personId="{33FC0132-7C17-4E6E-B9B1-4E08E75FBF91}" id="{2ABD1173-5086-422C-83F2-1E64E7D8DF2A}">
    <text>unidade Dourados - Júlio 24/07/2025
unidade Dourados - Júlio 16/01/2025</text>
  </threadedComment>
  <threadedComment ref="J21" dT="2026-03-27T14:27:49.75" personId="{F3DE14A1-5CA5-4524-8F43-F4454F24D6C3}" id="{F99B6728-DA2B-4144-8A3C-69D99C70C8C3}" parentId="{2ABD1173-5086-422C-83F2-1E64E7D8DF2A}">
    <text>Informado pelo Julio (26/03) - Caminhão operará em Campo Grande</text>
  </threadedComment>
  <threadedComment ref="J22" dT="2025-07-25T20:25:00.67" personId="{33FC0132-7C17-4E6E-B9B1-4E08E75FBF91}" id="{77562075-F342-4E9C-89A3-34007D0A0392}">
    <text>unidade Prudente - Júlio 24/07/2025</text>
  </threadedComment>
  <threadedComment ref="J23" dT="2025-08-25T14:40:04.74" personId="{33FC0132-7C17-4E6E-B9B1-4E08E75FBF91}" id="{8FA0D43D-E4A2-4D9D-B0ED-19557A4B0E6D}">
    <text>Unidade Prudente/Sucata - Júlio 25/08/2025</text>
  </threadedComment>
  <threadedComment ref="J24" dT="2025-07-25T20:20:23.72" personId="{33FC0132-7C17-4E6E-B9B1-4E08E75FBF91}" id="{BBA48ACC-2012-4765-9674-A5540C0E397F}">
    <text>unidade Campo Grande - Júlio 24/07/2025</text>
  </threadedComment>
  <threadedComment ref="J24" dT="2026-03-27T14:28:23.38" personId="{F3DE14A1-5CA5-4524-8F43-F4454F24D6C3}" id="{2AE5BB12-31A5-4032-8F4D-F2E321B43D14}" parentId="{BBA48ACC-2012-4765-9674-A5540C0E397F}">
    <text>Informado pelo Julio (26/03) - Operará em Presidente Prudente</text>
  </threadedComment>
  <threadedComment ref="N24" dT="2025-02-13T13:27:48.22" personId="{33FC0132-7C17-4E6E-B9B1-4E08E75FBF91}" id="{F7659571-731B-49B0-9C6A-02BD7ED92647}">
    <text>ORIGINALMENTE O VEICULO ERA ROLLON ROLLOFF - GRIMALDI GR25 - GARRA GRIMALDI GRS 15000Z  E ESTÁ DISPONÍVEL NA OFICINA</text>
  </threadedComment>
  <threadedComment ref="J25" dT="2025-07-25T20:25:47.39" personId="{33FC0132-7C17-4E6E-B9B1-4E08E75FBF91}" id="{2F3DA91B-8630-4553-B6FC-AEB1FF13B2FE}">
    <text>unidade Prudente - Júlio 24/07/2025</text>
  </threadedComment>
  <threadedComment ref="J25" dT="2026-02-06T17:09:30.16" personId="{F3DE14A1-5CA5-4524-8F43-F4454F24D6C3}" id="{47EA5CB1-554A-4D6A-A7E6-DB289BC1E506}" parentId="{2F3DA91B-8630-4553-B6FC-AEB1FF13B2FE}">
    <text>Confirmado pelo Julio, caminhão operando em Maringá (06/02/26)</text>
  </threadedComment>
  <threadedComment ref="J26" dT="2025-01-16T18:53:11.57" personId="{33FC0132-7C17-4E6E-B9B1-4E08E75FBF91}" id="{3E94A22B-1B33-4229-BA61-65692AFB7F30}">
    <text>unidade Maringá - Julio 25/07/25
unidade Prudente - Júlio 16/01/25</text>
  </threadedComment>
  <threadedComment ref="J27" dT="2025-01-16T19:00:12.87" personId="{33FC0132-7C17-4E6E-B9B1-4E08E75FBF91}" id="{6152DA4F-3CE2-4850-BFD5-F708490EB429}">
    <text>unidade PRUDENTE - Júlio 28/07/2025
unidade Prudente - Júlio 16/01</text>
  </threadedComment>
  <threadedComment ref="J28" dT="2025-01-16T19:00:38.58" personId="{33FC0132-7C17-4E6E-B9B1-4E08E75FBF91}" id="{DB55CD62-FFC1-40E6-97AC-B736C21B2028}">
    <text>Braçofer - Júlio 28/07/2025
Braçofer - Júlio 16/01</text>
  </threadedComment>
  <threadedComment ref="J29" dT="2025-07-28T15:30:56.54" personId="{33FC0132-7C17-4E6E-B9B1-4E08E75FBF91}" id="{EA31FDBA-7142-4E0F-A46F-54FE13962C4A}">
    <text>Braçofer - Júlio 28/07/2025</text>
  </threadedComment>
  <threadedComment ref="J30" dT="2025-01-16T19:01:30.14" personId="{33FC0132-7C17-4E6E-B9B1-4E08E75FBF91}" id="{B9DC56B5-F494-40FC-9D7E-EAA4EE7400AB}">
    <text>Arcelor IRACEMÁPOLIS - Júlio 28/07/2025
Arcelor Piracicaba - Júlio 16/01</text>
  </threadedComment>
  <threadedComment ref="J30" dT="2026-02-11T17:01:05.87" personId="{F3DE14A1-5CA5-4524-8F43-F4454F24D6C3}" id="{0ADAB6F0-A4C5-42D5-9FB8-8B68FA71C026}" parentId="{B9DC56B5-F494-40FC-9D7E-EAA4EE7400AB}">
    <text>Informado pelo Julio (10/02) - Alterado de Iracemápolis para Piracicaba (Arcelor)</text>
  </threadedComment>
  <threadedComment ref="J31" dT="2025-01-16T19:01:46.33" personId="{33FC0132-7C17-4E6E-B9B1-4E08E75FBF91}" id="{BDFBB2F6-BFA8-454E-B820-7C9F6E7F6883}">
    <text>Arcelor RESENDE RJ - Júlio 28/07/25
Arcelor Piracicaba - Júlio 16/01</text>
  </threadedComment>
  <threadedComment ref="J32" dT="2025-07-28T15:34:16.26" personId="{33FC0132-7C17-4E6E-B9B1-4E08E75FBF91}" id="{AE11AD3C-0234-4589-88D1-A2C4520554D6}">
    <text>LOCALIZAÇÃO VARIÁVEL - 28/07/2025 ACOPLADO NA PRENSA GDU0275 - JULIO 28/07/2025</text>
  </threadedComment>
  <threadedComment ref="N32" dT="2026-04-20T20:26:34.41" personId="{33485ADF-D4A4-42BD-A726-DEE0B1CF374B}" id="{F48EA356-E1EF-4082-A566-00B89BB11BDD}">
    <text>Rebocador - a Prensa utiliza (parado)</text>
  </threadedComment>
  <threadedComment ref="J33" dT="2025-07-28T15:33:25.08" personId="{33FC0132-7C17-4E6E-B9B1-4E08E75FBF91}" id="{A7E9E269-B99E-47B4-81E5-4EE980B77C0F}">
    <text>LOCALIZAÇÃO VARIÁVEL - 28/07/2025 ACOPLADO NA PRENSA QXH2G14</text>
  </threadedComment>
  <threadedComment ref="C35" dT="2026-02-02T14:15:29.75" personId="{F3DE14A1-5CA5-4524-8F43-F4454F24D6C3}" id="{62CE0C03-3018-4788-84CE-E57150DF153A}">
    <text>Máquina irá operar em Campo Grande, será transferida hoje (02/02/2026).</text>
  </threadedComment>
  <threadedComment ref="E35" dT="2026-04-24T13:46:04.09" personId="{5DB99779-7BC0-4ADB-916C-8F432A85EEB5}" id="{CE20F948-2E7E-4C91-BC3C-507641BE0B96}">
    <text>CC G3S C. GRANDE &gt; CC G&amp;S 1.7.9.33</text>
  </threadedComment>
  <threadedComment ref="J35" dT="2025-11-07T12:21:06.30" personId="{33FC0132-7C17-4E6E-B9B1-4E08E75FBF91}" id="{4D3259E1-8BA5-4EFD-B062-1B46C9314E20}">
    <text>Junior - 18/09/2025</text>
  </threadedComment>
  <threadedComment ref="E36" dT="2026-04-24T13:39:37.52" personId="{5DB99779-7BC0-4ADB-916C-8F432A85EEB5}" id="{FB4003FA-4C61-4E7F-A7C3-762162FBA9FD}">
    <text>CC da G3S PRUDENTE &gt; CC da G&amp;S (1.7.9.32</text>
  </threadedComment>
  <threadedComment ref="J36" dT="2025-11-07T12:20:46.87" personId="{33FC0132-7C17-4E6E-B9B1-4E08E75FBF91}" id="{281F98AC-800D-427A-A7E2-B10BDF49C561}">
    <text>Junior - 18/09/2025</text>
  </threadedComment>
  <threadedComment ref="E37" dT="2026-04-24T14:45:01.03" personId="{5DB99779-7BC0-4ADB-916C-8F432A85EEB5}" id="{5D1A02AE-6BE6-4DB7-8B6E-5ADE3027749D}">
    <text>CC G3S LDN &gt; CC G&amp;S 1.7.9.34</text>
  </threadedComment>
  <threadedComment ref="J37" dT="2025-11-07T12:20:51.73" personId="{33FC0132-7C17-4E6E-B9B1-4E08E75FBF91}" id="{7DFA86B8-34B5-4468-81B8-708CD55B37B1}">
    <text>Junior - 18/09/2025</text>
  </threadedComment>
  <threadedComment ref="J38" dT="2026-06-02T17:43:42.90" personId="{33485ADF-D4A4-42BD-A726-DEE0B1CF374B}" id="{A8238F91-3AC0-4369-A0A4-863AAC220E1F}">
    <text>Dia 02/06/2026 Maquina enviada para S&amp;G Resíduos para prestar serviços em um espaço na cidade de  Pirapozinho/SP, para quebra de concretos, a pedido do Mateus Grosso.</text>
  </threadedComment>
  <threadedComment ref="J39" dT="2025-11-07T12:20:25.55" personId="{33FC0132-7C17-4E6E-B9B1-4E08E75FBF91}" id="{41218EE9-501B-4EF6-A7B2-5E47F08483C0}">
    <text>Junior - 18/09/2025</text>
  </threadedComment>
  <threadedComment ref="J39" dT="2026-02-25T12:18:41.41" personId="{F3DE14A1-5CA5-4524-8F43-F4454F24D6C3}" id="{8E40D638-E203-4A0F-BEAD-649B47CCCCF8}" parentId="{41218EE9-501B-4EF6-A7B2-5E47F08483C0}">
    <text>Informado pelo Junior (23/02/2026) - operando em Presidente Prudente</text>
  </threadedComment>
  <threadedComment ref="C40" dT="2026-04-29T18:22:32.93" personId="{33485ADF-D4A4-42BD-A726-DEE0B1CF374B}" id="{362FF8E8-6EA8-47A4-9B0F-6D7EE149A9F6}">
    <text>Contrato emitido para G&amp;S 06 - Maringá Distrito - Cidade Alta não tem G&amp;S.</text>
  </threadedComment>
  <threadedComment ref="J40" dT="2025-11-07T12:20:10.33" personId="{33FC0132-7C17-4E6E-B9B1-4E08E75FBF91}" id="{8C641B08-6EBB-40C4-BDB6-5514A63CB5C1}">
    <text>Junior - 18/09/2025</text>
  </threadedComment>
  <threadedComment ref="C41" dT="2026-05-11T14:11:55.31" personId="{33485ADF-D4A4-42BD-A726-DEE0B1CF374B}" id="{4BC84F0D-8B79-4208-BA4C-6D1DD8545A04}">
    <text>Está na Oficina</text>
  </threadedComment>
  <threadedComment ref="J41" dT="2025-11-07T12:20:15.05" personId="{33FC0132-7C17-4E6E-B9B1-4E08E75FBF91}" id="{E41E05DD-186D-4E6D-89E0-65F71F977AAA}">
    <text>Junior - 18/09/2025</text>
  </threadedComment>
  <threadedComment ref="J42" dT="2026-04-27T14:58:58.95" personId="{33485ADF-D4A4-42BD-A726-DEE0B1CF374B}" id="{0B2B447E-9EC7-40F1-A3EB-058F99602CA9}">
    <text>Liebher parada (RSE)</text>
  </threadedComment>
  <threadedComment ref="C43" dT="2026-01-19T14:15:45.28" personId="{F3DE14A1-5CA5-4524-8F43-F4454F24D6C3}" id="{9F6B5067-B2CC-4D46-82EF-A08039D7FB3C}">
    <text xml:space="preserve">Informado pelo Edmilson que a máquina foi alterada de Presidente Prudente, e irá operar em Maringá.
</text>
  </threadedComment>
  <threadedComment ref="C52" dT="2026-01-19T14:13:08.22" personId="{F3DE14A1-5CA5-4524-8F43-F4454F24D6C3}" id="{05593025-6275-411D-A9DD-0D357369D29D}">
    <text>Informado pelo Edmilson que a máquina foi transferida de Maringá para Londrina, e já está operando.</text>
  </threadedComment>
  <threadedComment ref="J53" dT="2026-05-28T14:25:12.82" personId="{33485ADF-D4A4-42BD-A726-DEE0B1CF374B}" id="{B1320E81-B573-424F-A4A9-03509140D501}">
    <text xml:space="preserve">Disponibilizada para uso final de 05/2026 - Prudente </text>
  </threadedComment>
  <threadedComment ref="N53" dT="2026-04-20T20:53:01.54" personId="{33485ADF-D4A4-42BD-A726-DEE0B1CF374B}" id="{EB6617C0-EF7E-4E3E-A24B-4870111F5972}">
    <text xml:space="preserve">Montada para locação (Inclusao da Garra Arden) Vai para MS
</text>
  </threadedComment>
  <threadedComment ref="J54" dT="2025-11-07T12:21:00.62" personId="{33FC0132-7C17-4E6E-B9B1-4E08E75FBF91}" id="{2F39D127-49DF-48BB-8BD1-095CDC2C5483}">
    <text>Junior - 18/09/2025</text>
  </threadedComment>
  <threadedComment ref="D55" dT="2026-04-23T12:24:59.16" personId="{33485ADF-D4A4-42BD-A726-DEE0B1CF374B}" id="{5E473503-616B-41A4-9D37-05CACD963D56}">
    <text>Verificar se será colocado uma Maquina da Ekipa (RSE) substituindo ela para poder gerar fatura.</text>
  </threadedComment>
  <threadedComment ref="D55" dT="2026-04-23T12:25:14.61" personId="{33485ADF-D4A4-42BD-A726-DEE0B1CF374B}" id="{E19EC5DF-DA2C-45E5-A542-90344A8E3AA7}" parentId="{5E473503-616B-41A4-9D37-05CACD963D56}">
    <text xml:space="preserve">Conversado com a Cris em 23/04/2026
</text>
  </threadedComment>
  <threadedComment ref="J55" dT="2025-11-07T12:21:16.57" personId="{33FC0132-7C17-4E6E-B9B1-4E08E75FBF91}" id="{C28704F5-EBFA-4152-8D69-857FD4465E05}">
    <text>Junior - 18/09/2025</text>
  </threadedComment>
  <threadedComment ref="J56" dT="2025-11-07T12:20:56.27" personId="{33FC0132-7C17-4E6E-B9B1-4E08E75FBF91}" id="{598BBD1B-FFDB-4337-910B-132A6230A17B}">
    <text>Junior - 18/09/2025</text>
  </threadedComment>
  <threadedComment ref="J57" dT="2026-04-27T14:59:53.18" personId="{33485ADF-D4A4-42BD-A726-DEE0B1CF374B}" id="{BCE59297-79CE-4FAC-B8B6-BBB5C6A77427}">
    <text>Está no barracão da Braçofer (sem uso)</text>
  </threadedComment>
  <threadedComment ref="J57" dT="2026-05-12T14:25:57.77" personId="{33485ADF-D4A4-42BD-A726-DEE0B1CF374B}" id="{8A8096A5-B008-42DC-A35A-B9594CF2173C}" parentId="{BCE59297-79CE-4FAC-B8B6-BBB5C6A77427}">
    <text>12/05/2026 Disponibilizada para Operar na G&amp;S Prudente</text>
  </threadedComment>
  <threadedComment ref="J58" dT="2025-01-16T19:49:38.56" personId="{33FC0132-7C17-4E6E-B9B1-4E08E75FBF91}" id="{D20BF602-D6BD-4E51-89F4-98E664B776F0}">
    <text>unidade Campo Grande - Júlio 16/01</text>
  </threadedComment>
  <threadedComment ref="J59" dT="2025-01-16T19:50:00.08" personId="{33FC0132-7C17-4E6E-B9B1-4E08E75FBF91}" id="{C7ADF273-6AD7-44EC-B6DB-5385F2E976C2}">
    <text>unidade Campo Grande - Júlio 16/01</text>
  </threadedComment>
  <threadedComment ref="J60" dT="2025-01-16T19:09:04.69" personId="{33FC0132-7C17-4E6E-B9B1-4E08E75FBF91}" id="{AFDB2E4A-ED09-49D7-98A1-74E87D2AF696}">
    <text>unidade Dourados - Júlio 28/07/2025
unidade Dourados - Júlio 16/01</text>
  </threadedComment>
  <threadedComment ref="J61" dT="2025-01-16T19:10:34.72" personId="{33FC0132-7C17-4E6E-B9B1-4E08E75FBF91}" id="{CE0C7DC1-5631-43DD-A8BE-E08A4B44EF02}">
    <text>unidade Dourados - Júlio 16/01</text>
  </threadedComment>
  <threadedComment ref="J62" dT="2025-01-16T19:09:22.94" personId="{33FC0132-7C17-4E6E-B9B1-4E08E75FBF91}" id="{06673133-2585-40B4-B5DD-F5326162E947}">
    <text>unidade Londrina - Júlio 16/01</text>
  </threadedComment>
  <threadedComment ref="J63" dT="2025-01-16T19:49:28.15" personId="{33FC0132-7C17-4E6E-B9B1-4E08E75FBF91}" id="{5B1312DB-DE16-4E1C-B2F3-C75FEDA87515}">
    <text>unidade Maringá - Júlio 16/01</text>
  </threadedComment>
  <threadedComment ref="J64" dT="2025-01-16T19:49:33.40" personId="{33FC0132-7C17-4E6E-B9B1-4E08E75FBF91}" id="{D75AC096-0972-48E9-A625-B057F4B00D34}">
    <text>unidade Maringá - Júlio 16/01</text>
  </threadedComment>
  <threadedComment ref="J65" dT="2025-01-16T19:49:49.37" personId="{33FC0132-7C17-4E6E-B9B1-4E08E75FBF91}" id="{1F215DDF-AABD-48E6-91EE-172FF3D106F6}">
    <text>unidade Maringá - Júlio 16/01</text>
  </threadedComment>
  <threadedComment ref="J66" dT="2025-01-16T19:49:55.76" personId="{33FC0132-7C17-4E6E-B9B1-4E08E75FBF91}" id="{520B5ADD-DB87-4F61-A626-C1CA4BCD5B41}">
    <text>unidade Prudente - Júlio 16/01</text>
  </threadedComment>
  <threadedComment ref="J67" dT="2025-01-16T19:49:16.26" personId="{33FC0132-7C17-4E6E-B9B1-4E08E75FBF91}" id="{62277339-A212-4ACC-A118-25115ADEED96}">
    <text>unidade Dourados - Júlio 16/01</text>
  </threadedComment>
  <threadedComment ref="J67" dT="2026-02-03T17:44:45.25" personId="{F3DE14A1-5CA5-4524-8F43-F4454F24D6C3}" id="{D413CAB1-6946-451C-940E-CE1189D7FC6A}" parentId="{62277339-A212-4ACC-A118-25115ADEED96}">
    <text>Informado pelo Julio (03/02/2026) que foi alterado de unidade, de Dourados para Maringá.</text>
  </threadedComment>
  <threadedComment ref="J67" dT="2026-02-11T17:08:00.35" personId="{F3DE14A1-5CA5-4524-8F43-F4454F24D6C3}" id="{4EE6140A-53A6-4F3B-9569-E92293A121BE}" parentId="{62277339-A212-4ACC-A118-25115ADEED96}">
    <text>Informado pelo Julio (10/02) - Alterado de unidade, de Maringá para Presidente Prudente.</text>
  </threadedComment>
  <threadedComment ref="N67" dT="2026-04-20T19:19:54.92" personId="{33485ADF-D4A4-42BD-A726-DEE0B1CF374B}" id="{B4B8ADA8-BAEB-4955-9F10-44F33133521C}">
    <text>Vai ser retirada Cidade Alta para Prudente.</text>
  </threadedComment>
  <threadedComment ref="J68" dT="2025-01-16T19:49:43.91" personId="{33FC0132-7C17-4E6E-B9B1-4E08E75FBF91}" id="{9618D8B5-4574-4992-A214-0822A8DDB506}">
    <text>unidade Prudente - Júlio 16/01</text>
  </threadedComment>
  <threadedComment ref="J69" dT="2025-01-16T19:49:21.97" personId="{33FC0132-7C17-4E6E-B9B1-4E08E75FBF91}" id="{86F27BFA-A2F4-443E-8A9D-418B77B3D17C}">
    <text>unidade Prudente - Júlio 16/01</text>
  </threadedComment>
  <threadedComment ref="J70" dT="2025-01-16T19:12:03.94" personId="{33FC0132-7C17-4E6E-B9B1-4E08E75FBF91}" id="{B2148E89-EAC3-4ED0-B682-BA38B9B02DF1}">
    <text>unidade Dourados - Júlio 16/01</text>
  </threadedComment>
  <threadedComment ref="J71" dT="2025-01-16T19:11:11.96" personId="{33FC0132-7C17-4E6E-B9B1-4E08E75FBF91}" id="{77152674-72D7-4BA9-9132-1AB01B4C497A}">
    <text>unidade Prudente - Júlio 16/01</text>
  </threadedComment>
  <threadedComment ref="J72" dT="2025-01-16T19:11:48.19" personId="{33FC0132-7C17-4E6E-B9B1-4E08E75FBF91}" id="{C89594D1-9629-49FC-8069-BD25B6A02EED}">
    <text>unidade Prudente - Júlio 16/01</text>
  </threadedComment>
  <threadedComment ref="J73" dT="2025-11-07T12:21:38.66" personId="{33FC0132-7C17-4E6E-B9B1-4E08E75FBF91}" id="{2C18E563-5305-4836-ABF4-CCC4E58FC63C}">
    <text>Junior - 18/09/2025</text>
  </threadedComment>
  <threadedComment ref="J78" dT="2025-11-07T12:21:51.34" personId="{33FC0132-7C17-4E6E-B9B1-4E08E75FBF91}" id="{AAFF9208-F1B8-471A-B2AB-49DBC487C96D}">
    <text>Junior - 18/09/2025</text>
  </threadedComment>
  <threadedComment ref="J79" dT="2025-11-07T12:21:55.52" personId="{33FC0132-7C17-4E6E-B9B1-4E08E75FBF91}" id="{EEBA5848-E3F9-42DE-96EB-9B44D4413BDD}">
    <text>Junior - 18/09/2025</text>
  </threadedComment>
  <threadedComment ref="J80" dT="2025-11-07T12:21:59.99" personId="{33FC0132-7C17-4E6E-B9B1-4E08E75FBF91}" id="{548B5FF0-8BC5-4398-A8BB-F9CDD1C103BB}">
    <text>Junior - 18/09/2025</text>
  </threadedComment>
  <threadedComment ref="N80" dT="2026-04-22T11:29:30.52" personId="{33485ADF-D4A4-42BD-A726-DEE0B1CF374B}" id="{FB9EAC67-EF01-4550-BB21-BA8CA781CE83}">
    <text>Está na oficina - Premer</text>
  </threadedComment>
  <threadedComment ref="J82" dT="2025-02-27T19:58:37.10" personId="{33FC0132-7C17-4E6E-B9B1-4E08E75FBF91}" id="{BFBE8156-DC91-460D-8E01-2BD6FA57E952}">
    <text>VERIFICAR A PLCA INTERNA PHH0045 OU PHT0045???</text>
  </threadedComment>
  <threadedComment ref="J82" dT="2025-02-27T20:03:37.23" personId="{166FD8A9-4A67-4034-8C13-38ED12D169CB}" id="{732FEB1D-6807-4437-B8B3-EE69B036D1BF}" parentId="{BFBE8156-DC91-460D-8E01-2BD6FA57E952}">
    <text>Correto é PHH0045 = Prensa Hidraulica Hidroeuropa
As PHT estão erradas, pois quando chegaram o comprador que cadastrava colocou essa placa entendendo que deveria ser PHT = Prensa Hidraulica Tesoura.
Manteremos errada, pois o pessoal ja se habituou com a placa.</text>
  </threadedComment>
  <threadedComment ref="J83" dT="2024-07-13T12:35:59.15" personId="{377F824C-F5C3-4F2B-9A96-AB6BA9C3D2A8}" id="{8ACD80BE-139D-48BC-B7CC-C9831E217203}">
    <text>EMPLACAMENTO COM CONCLUSAO PREVISTA PARA DAQUI A 6 MESES - A PARTIR DE 07/2024</text>
  </threadedComment>
  <threadedComment ref="J83" dT="2025-06-17T14:36:42.64" personId="{166FD8A9-4A67-4034-8C13-38ED12D169CB}" id="{28AE68EF-A042-4639-BCA9-5B5FB091C5BF}" parentId="{8ACD80BE-139D-48BC-B7CC-C9831E217203}">
    <text>@Michelle Camphora Staquecini sabe me dizer a placa CRLV desta prensa?</text>
    <mentions>
      <mention mentionpersonId="{492B29D2-2D9A-4638-983D-AC7B21D7F29B}" mentionId="{3653877E-7D25-4CB6-B8A1-1A8306D4E858}" startIndex="0" length="29"/>
    </mentions>
  </threadedComment>
  <threadedComment ref="J83" dT="2025-06-17T15:17:48.54" personId="{33FC0132-7C17-4E6E-B9B1-4E08E75FBF91}" id="{D04E3A42-54C0-49E2-9727-685E56460A38}" parentId="{8ACD80BE-139D-48BC-B7CC-C9831E217203}">
    <text>Está em processo de emplacamento e sem previsão até o momento</text>
  </threadedComment>
  <threadedComment ref="J83" dT="2025-08-12T14:22:53.59" personId="{33FC0132-7C17-4E6E-B9B1-4E08E75FBF91}" id="{C7C88DA3-402B-49BD-9F9F-98018BFD9244}" parentId="{8ACD80BE-139D-48BC-B7CC-C9831E217203}">
    <text>Liberada documentação em 11/08/2025 - PHH0049 para SWQ2C15</text>
  </threadedComment>
  <threadedComment ref="J83" dT="2026-02-25T12:20:43.04" personId="{F3DE14A1-5CA5-4524-8F43-F4454F24D6C3}" id="{425C897F-802E-4429-8B6C-D39CFB8B7D73}" parentId="{8ACD80BE-139D-48BC-B7CC-C9831E217203}">
    <text>Informado pelo Junior (23/02/2026) - Operando em Piracicaba.</text>
  </threadedComment>
  <threadedComment ref="Z83" dT="2026-04-28T18:24:21.04" personId="{33485ADF-D4A4-42BD-A726-DEE0B1CF374B}" id="{BCA58911-4A55-48E5-845E-D7F257CBB410}">
    <text>Valor anterior R$ 28.125,00</text>
  </threadedComment>
  <threadedComment ref="J84" dT="2025-01-16T18:39:09.82" personId="{33FC0132-7C17-4E6E-B9B1-4E08E75FBF91}" id="{69B1F8F4-46E5-4636-9D08-023FFF00E52E}">
    <text>resende rj - JULIO 28/07/2025
locada para Arcelor em Piracicaba - Julio 16/01
16 de janeiro de 2025 às 15:38</text>
  </threadedComment>
  <threadedComment ref="J84" dT="2025-07-15T11:49:19.78" personId="{33FC0132-7C17-4E6E-B9B1-4E08E75FBF91}" id="{5AAD7EDE-E1A4-4F8E-9AE2-0F16852A51B1}" parentId="{69B1F8F4-46E5-4636-9D08-023FFF00E52E}">
    <text>PHH0044 PLACA INTERNA</text>
  </threadedComment>
  <threadedComment ref="Z84" dT="2026-04-28T18:24:16.71" personId="{33485ADF-D4A4-42BD-A726-DEE0B1CF374B}" id="{34DBDD86-9027-4608-948B-311210AFE806}">
    <text>Valor anterior R$ 28.125,00</text>
  </threadedComment>
  <threadedComment ref="C85" dT="2026-05-27T20:25:45.84" personId="{33485ADF-D4A4-42BD-A726-DEE0B1CF374B}" id="{D2DE279D-72FC-45DC-9C65-1C309A34A388}">
    <text>Emitir sempre no último dia do mês e enviar ao João Pualo/Andressa Francine</text>
  </threadedComment>
  <threadedComment ref="J85" dT="2025-01-16T18:38:29.37" personId="{33FC0132-7C17-4E6E-B9B1-4E08E75FBF91}" id="{74357B41-D266-45FD-8425-DA110C21BBC2}">
    <text>locada para Gerdau, Jaragua do Sul - Julio 28/07/2025
locada para Gerdau, Jaragua do Sul - Julio 16/01</text>
  </threadedComment>
  <threadedComment ref="J85" dT="2025-06-27T14:14:19.80" personId="{33FC0132-7C17-4E6E-B9B1-4E08E75FBF91}" id="{87D2E409-C54E-47CB-885E-3FBE289CAB0D}" parentId="{74357B41-D266-45FD-8425-DA110C21BBC2}">
    <text>placa interna PHH0033 - substituida pela oficial EQO6E99</text>
  </threadedComment>
  <threadedComment ref="Z85" dT="2026-04-29T14:22:15.52" personId="{33485ADF-D4A4-42BD-A726-DEE0B1CF374B}" id="{882D64DB-7ECF-4132-BABB-9F1835EE8050}">
    <text>Valor anterior R$ 28.125,00</text>
  </threadedComment>
  <threadedComment ref="C86" dT="2026-05-27T20:26:05.14" personId="{33485ADF-D4A4-42BD-A726-DEE0B1CF374B}" id="{3FAAF395-7E95-44C3-A70A-90B2ECFE068C}">
    <text>Emitir sempre no último dia do mês e enviar ao João Pualo/Andressa Francine</text>
  </threadedComment>
  <threadedComment ref="J86" dT="2025-01-16T18:47:40.89" personId="{33FC0132-7C17-4E6E-B9B1-4E08E75FBF91}" id="{40E61A35-5F53-4BCE-A9A9-83F7C232F170}">
    <text>locada para Gerdau  - Julio 28/07/2025
locada para Gerdau  - Julio 16/01</text>
  </threadedComment>
  <threadedComment ref="J86" dT="2025-07-15T12:26:27.53" personId="{33FC0132-7C17-4E6E-B9B1-4E08E75FBF91}" id="{57C5B03D-EF76-4397-BCFD-707C49DDADE3}" parentId="{40E61A35-5F53-4BCE-A9A9-83F7C232F170}">
    <text>PHH 0021 PLACA INTERNA</text>
  </threadedComment>
  <threadedComment ref="Z86" dT="2026-04-29T14:22:19.85" personId="{33485ADF-D4A4-42BD-A726-DEE0B1CF374B}" id="{6B7EB9DE-8903-4252-9412-D19A876BF450}">
    <text>Valor anterior R$ 28.125,00</text>
  </threadedComment>
  <threadedComment ref="J87" dT="2024-08-28T19:14:20.81" personId="{377F824C-F5C3-4F2B-9A96-AB6BA9C3D2A8}" id="{E7FADA7F-D2CC-47B6-BFF0-F0D13126EE8A}">
    <text>Placa Interna PHH-0061</text>
  </threadedComment>
  <threadedComment ref="J87" dT="2025-01-16T19:27:06.91" personId="{33FC0132-7C17-4E6E-B9B1-4E08E75FBF91}" id="{8F83CBD9-3037-416D-BD8A-EBA4708FC8E5}" parentId="{E7FADA7F-D2CC-47B6-BFF0-F0D13126EE8A}">
    <text>Prensa em Paraná - Júlio 16/01</text>
  </threadedComment>
  <threadedComment ref="J87" dT="2025-12-26T18:00:13.49" personId="{33FC0132-7C17-4E6E-B9B1-4E08E75FBF91}" id="{F55C148D-6829-4B66-8BC4-896F09488D01}" parentId="{E7FADA7F-D2CC-47B6-BFF0-F0D13126EE8A}">
    <text>Prensa regularizada, 22/12/2025 (Jairo seguiu com regularização)</text>
  </threadedComment>
  <threadedComment ref="J87" dT="2026-02-25T12:23:48.36" personId="{F3DE14A1-5CA5-4524-8F43-F4454F24D6C3}" id="{4B559EAD-444D-4323-ACAA-C683333B7EB7}" parentId="{E7FADA7F-D2CC-47B6-BFF0-F0D13126EE8A}">
    <text>Informado pelo Junior (23/02/2026) - Máquina está em manutenção na unidade de Presidente Prudente, porém operará na Gerdau.</text>
  </threadedComment>
  <threadedComment ref="Z87" dT="2026-04-28T18:24:06.85" personId="{33485ADF-D4A4-42BD-A726-DEE0B1CF374B}" id="{3301B586-F407-44EC-B650-C99AF9ECAD1F}">
    <text>Valor anterior R$ 28.125,00</text>
  </threadedComment>
  <threadedComment ref="AC87" dT="2026-04-29T20:44:47.76" personId="{33485ADF-D4A4-42BD-A726-DEE0B1CF374B}" id="{7584AC51-D71E-477D-AAA6-9A2DB686698B}">
    <text>NFS de abril emitida para G3S Maringá - conforme informação da Andressa.</text>
  </threadedComment>
  <threadedComment ref="AF87" dT="2026-04-29T20:44:47.76" personId="{33485ADF-D4A4-42BD-A726-DEE0B1CF374B}" id="{2285B428-EB34-45A9-BBC1-F5243B346BBD}">
    <text>NFS de abril emitida para G3S Maringá - conforme informação da Andressa.</text>
  </threadedComment>
  <threadedComment ref="F88" dT="2026-04-22T11:54:14.96" personId="{33485ADF-D4A4-42BD-A726-DEE0B1CF374B}" id="{2ADF76D6-AA84-469D-AF84-8D485BA1AB4D}">
    <text>Será por Medição</text>
  </threadedComment>
  <threadedComment ref="J88" dT="2025-01-16T18:39:31.54" personId="{33FC0132-7C17-4E6E-B9B1-4E08E75FBF91}" id="{70EE899F-6820-4D1F-A70C-9397ADCD3D9D}">
    <text>LOCALIZAÇÃO VARIÁVEL - 28/07/2025
Em Manutenção - Prudente - Julkio 16/01</text>
  </threadedComment>
  <threadedComment ref="J88" dT="2025-07-15T12:38:59.42" personId="{33FC0132-7C17-4E6E-B9B1-4E08E75FBF91}" id="{B00D65E8-50B1-4F82-9A8E-12D89121BF8D}" parentId="{70EE899F-6820-4D1F-A70C-9397ADCD3D9D}">
    <text xml:space="preserve">PHH0022 PLACA INTERNA
</text>
  </threadedComment>
  <threadedComment ref="N88" dT="2026-04-22T11:30:46.74" personId="{33485ADF-D4A4-42BD-A726-DEE0B1CF374B}" id="{71379F88-5737-413E-88AD-C6F176D79068}">
    <text>Devolvida pela Gerdau</text>
  </threadedComment>
  <threadedComment ref="Z88" dT="2026-04-30T12:47:52.24" personId="{33485ADF-D4A4-42BD-A726-DEE0B1CF374B}" id="{916074D4-52E2-49D2-881C-01A1AAD816C2}">
    <text>Valor anterior R$ 28.125,00</text>
  </threadedComment>
  <threadedComment ref="J89" dT="2025-12-02T14:48:38.52" personId="{33FC0132-7C17-4E6E-B9B1-4E08E75FBF91}" id="{7F9DF5AA-0D00-4923-92FF-023D37CE9BCF}">
    <text>Placa interna da prensa JCH200M - criada antes da chegada do bem para lançamentos dos custos de aquisição.</text>
  </threadedComment>
  <threadedComment ref="J89" dT="2025-12-02T16:48:42.82" personId="{166FD8A9-4A67-4034-8C13-38ED12D169CB}" id="{7BC2B6E7-FAC1-496C-A717-A45470C98879}" parentId="{7F9DF5AA-0D00-4923-92FF-023D37CE9BCF}">
    <text>MIchelle, boa tarde!
Grata pela informação.
Solicito informar o Luciano para criação de um centro de custo.</text>
  </threadedComment>
  <threadedComment ref="J89" dT="2026-02-25T12:17:10.33" personId="{F3DE14A1-5CA5-4524-8F43-F4454F24D6C3}" id="{DB29FDD5-330D-4871-AEB4-B11091B8F3E7}" parentId="{7F9DF5AA-0D00-4923-92FF-023D37CE9BCF}">
    <text>Prensa definida como SP- SELETIVA (variável).</text>
  </threadedComment>
  <threadedComment ref="Z89" dT="2026-04-28T18:28:33.21" personId="{33485ADF-D4A4-42BD-A726-DEE0B1CF374B}" id="{0D5F4C74-49BA-45BC-A3BD-7FAD70105E59}">
    <text>Valor anterior R$ 23.981,72</text>
  </threadedComment>
  <threadedComment ref="J90" dT="2025-11-07T12:22:41.74" personId="{33FC0132-7C17-4E6E-B9B1-4E08E75FBF91}" id="{331F50C8-6321-482A-950E-33331685B92D}">
    <text>Junior - 18/09/2025</text>
  </threadedComment>
  <threadedComment ref="J91" dT="2025-11-07T12:29:11.53" personId="{33FC0132-7C17-4E6E-B9B1-4E08E75FBF91}" id="{CDD5F058-55C8-4C12-90ED-4F1973DBD71D}">
    <text>Junior - 18/09/2025</text>
  </threadedComment>
  <threadedComment ref="Z91" dT="2026-04-28T20:17:43.38" personId="{33485ADF-D4A4-42BD-A726-DEE0B1CF374B}" id="{347DEACC-0639-4B39-A40E-4D0C1B035A4A}">
    <text>Valor anterior R$ 7.500,00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6-04-20T19:11:32.86" personId="{33485ADF-D4A4-42BD-A726-DEE0B1CF374B}" id="{01F0D0DE-8A74-46F4-8780-E4E607EEB469}">
    <text>Está em manutenção em Prudente e após será enviada para Dourados</text>
  </threadedComment>
  <threadedComment ref="B28" dT="2025-02-13T13:27:48.22" personId="{33FC0132-7C17-4E6E-B9B1-4E08E75FBF91}" id="{DD11C28A-B172-4E87-BE00-914C8F960359}">
    <text>ORIGINALMENTE O VEICULO ERA ROLLON ROLLOFF - GRIMALDI GR25 - GARRA GRIMALDI GRS 15000Z  E ESTÁ DISPONÍVEL NA OFICINA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" dT="2026-04-27T14:29:53.22" personId="{1BCA5606-2EB3-4CA4-8EF7-B57D313E88DB}" id="{47156AF2-F5CC-40F2-8B55-5CA8635E7683}">
    <text>Dia 26 do mês anterior</text>
  </threadedComment>
  <threadedComment ref="L1" dT="2026-04-27T14:30:20.27" personId="{1BCA5606-2EB3-4CA4-8EF7-B57D313E88DB}" id="{8408DA6A-1F3C-4685-8236-A5979AAB24D2}">
    <text>25 do mês corrente</text>
  </threadedComment>
  <threadedComment ref="L3" dT="2026-04-27T18:30:35.42" personId="{1BCA5606-2EB3-4CA4-8EF7-B57D313E88DB}" id="{D31FF9FE-CFAB-4181-9DAB-1F8F806F9822}">
    <text>Horímetro travado, feito contato com o Edmilson que ficou de verificar, considerado 3 h/dias</text>
  </threadedComment>
  <threadedComment ref="K4" dT="2026-04-27T14:55:28.99" personId="{1BCA5606-2EB3-4CA4-8EF7-B57D313E88DB}" id="{50D7507D-6479-472B-A707-3575867F904F}">
    <text>Não tinha o cheklist do dia 26/03 considerei o horímetro 9420 (passado pelo Neno em 22/04) dividi por 4 dias e multipliquei por 20</text>
  </threadedComment>
  <threadedComment ref="K4" dT="2026-04-27T18:58:39.53" personId="{1F3226E1-370A-42E0-B96B-1F89BF653D7D}" id="{E1B75181-E331-4ADC-98DB-0DDA888101A7}" parentId="{50D7507D-6479-472B-A707-3575867F904F}">
    <text>Achamos o horímetro no CTA/Abastecimento no dia 26-03-26. Consideramos esse (9314,2)</text>
  </threadedComment>
  <threadedComment ref="K5" dT="2026-04-27T14:59:25.35" personId="{1BCA5606-2EB3-4CA4-8EF7-B57D313E88DB}" id="{2969521C-149F-45DB-A8E8-93183D99CF20}">
    <text>Não tinha o cheklist do dia 26/03 considerei o horímetro 16227 (passado pelo Valter em 22/04) dividi por 4 dias e multipliquei por 20</text>
  </threadedComment>
  <threadedComment ref="K5" dT="2026-04-27T18:59:26.31" personId="{1F3226E1-370A-42E0-B96B-1F89BF653D7D}" id="{F55ECAA9-9EB8-448F-AD0D-C8D2FFEE603A}" parentId="{2969521C-149F-45DB-A8E8-93183D99CF20}">
    <text>Achamos o horímetro no CTA/Abastecimento no dia 25-03-26. Consideramos esse (16086,5)</text>
  </threadedComment>
  <threadedComment ref="K6" dT="2026-04-27T16:38:46.47" personId="{1BCA5606-2EB3-4CA4-8EF7-B57D313E88DB}" id="{E747AA27-C536-48E1-A551-964FDFCA708D}">
    <text>Não tinha o cheklist do dia 26/03 considerei o horímetro 10737 (passado pelo Valter em 22/04) dividi por 4 dias e multipliquei por 20</text>
  </threadedComment>
  <threadedComment ref="C13" dT="2026-04-22T13:18:48.73" personId="{33485ADF-D4A4-42BD-A726-DEE0B1CF374B}" id="{E067500F-7AE7-4814-BC69-D20B2E998F09}">
    <text>PHH0061</text>
  </threadedComment>
  <threadedComment ref="P13" dT="2026-04-28T15:18:38.23" personId="{1F3226E1-370A-42E0-B96B-1F89BF653D7D}" id="{1FD9990C-EFAD-4B7F-971D-EF97FD87D78B}">
    <text>Cobrar G3S de MARINGÁ-PR. Prensagem em Paranavai, Lobato e Industrial</text>
  </threadedComment>
  <threadedComment ref="P14" dT="2026-04-28T15:30:39.69" personId="{1F3226E1-370A-42E0-B96B-1F89BF653D7D}" id="{0EB6AB02-1815-4C59-8008-37FB442BD4FC}">
    <text>Cid Alta R$ 47.600/ Industrial R$ 70.210/ Dourados R$ 19.975,00/ Londrina R$ 51.340,00</text>
  </threadedComment>
  <threadedComment ref="L19" dT="2026-04-27T18:30:35.42" personId="{1BCA5606-2EB3-4CA4-8EF7-B57D313E88DB}" id="{E08FADD0-C912-4421-BA34-CC7D60EFB0C2}">
    <text>Horímetro travado, feito contato com o Edmilson que ficou de verificar, considerado 3 h/dias</text>
  </threadedComment>
  <threadedComment ref="P20" dT="2026-05-27T20:47:53.03" personId="{33485ADF-D4A4-42BD-A726-DEE0B1CF374B}" id="{FAB7D8B2-ECF4-4DA6-8F47-897B3EFEA94E}">
    <text>Unidade Fechada (Paralisada por Fiscalização)</text>
  </threadedComment>
  <threadedComment ref="C31" dT="2026-04-22T13:18:48.73" personId="{33485ADF-D4A4-42BD-A726-DEE0B1CF374B}" id="{9447CC22-9431-41D3-95B6-B124869E09D2}">
    <text>PHH0061</text>
  </threadedComment>
  <threadedComment ref="O31" dT="2026-05-28T12:48:39.43" personId="{1F3226E1-370A-42E0-B96B-1F89BF653D7D}" id="{08C9BFA4-EC13-43E8-B82F-664FBF3F93F5}">
    <text>235 pctes *850kg cada</text>
  </threadedComment>
  <threadedComment ref="P31" dT="2026-04-28T15:18:38.23" personId="{1F3226E1-370A-42E0-B96B-1F89BF653D7D}" id="{61417390-958E-47C9-B607-03A5B1454C9C}">
    <text>Cobrar G3S de MARINGÁ-PR. Prensagem em Maringa 150pctes e Campo Mourão 85 pctes</text>
  </threadedComment>
  <threadedComment ref="O32" dT="2026-05-28T12:48:26.15" personId="{1F3226E1-370A-42E0-B96B-1F89BF653D7D}" id="{9E4AF114-0C29-4EFF-9CEE-5F7F7A996294}">
    <text>2769 pacotes *850kg cada</text>
  </threadedComment>
  <threadedComment ref="P32" dT="2026-04-28T15:30:39.69" personId="{1F3226E1-370A-42E0-B96B-1F89BF653D7D}" id="{67FCEAE0-6226-41E2-A722-8CEAB8A2A281}">
    <text>Dourados R$ 67.490,00 / CGrande R$ 66.470,00 / Prudente R$ 94.520,00/ Londrina R$ 6.885,00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41" dT="2026-05-28T14:01:52.10" personId="{33485ADF-D4A4-42BD-A726-DEE0B1CF374B}" id="{12619B20-139A-4323-B5E1-60B497BA49B9}">
    <text>Unidade Sem Operação no Mês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8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6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34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cWHppt" TargetMode="External"/><Relationship Id="rId42" Type="http://schemas.microsoft.com/office/2019/04/relationships/documenttask" Target="../documenttasks/documenttask1.xml"/><Relationship Id="rId7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2" Type="http://schemas.openxmlformats.org/officeDocument/2006/relationships/hyperlink" Target="https://seletivaindbr-my.sharepoint.com/:v:/g/personal/cristina_sugui_seletiva_ind_br/EaSuVgH593VLgx4VrH-_xWYBC_QkkFFDJhPx7kKo1M03Dw?nav=eyJyZWZlcnJhbEluZm8iOnsicmVmZXJyYWxBcHAiOiJPbmVEcml2ZUZvckJ1c2luZXNzIiwicmVmZXJyYWxBcHBQbGF0Zm9ybSI6IldlYiIsInJlZmVycmFsTW9kZSI6InZpZXciLCJyZWZlcnJhbFZpZXciOiJNeUZpbGVzTGlua0RpcmVjdCJ9fQ&amp;e=AQC1k9" TargetMode="External"/><Relationship Id="rId16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0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9" Type="http://schemas.openxmlformats.org/officeDocument/2006/relationships/hyperlink" Target="https://seletivaindbr-my.sharepoint.com/:v:/g/personal/cristina_sugui_seletiva_ind_br/EfREh-3_c11LqpP_AoVJ8PoBg_kaBK2UZt_Ed6j_YX-9Uw?nav=eyJyZWZlcnJhbEluZm8iOnsicmVmZXJyYWxBcHAiOiJPbmVEcml2ZUZvckJ1c2luZXNzIiwicmVmZXJyYWxBcHBQbGF0Zm9ybSI6IldlYiIsInJlZmVycmFsTW9kZSI6InZpZXciLCJyZWZlcnJhbFZpZXciOiJNeUZpbGVzTGlua0RpcmVjdCJ9fQ&amp;e=EAafVc" TargetMode="External"/><Relationship Id="rId41" Type="http://schemas.microsoft.com/office/2017/10/relationships/threadedComment" Target="../threadedComments/threadedComment1.xml"/><Relationship Id="rId1" Type="http://schemas.openxmlformats.org/officeDocument/2006/relationships/hyperlink" Target="https://seletivaindbr-my.sharepoint.com/:v:/g/personal/cristina_sugui_seletiva_ind_br/EbovfEks0N5Mn6BQc-H8nHIBObud4_kl5M2_hrrVuDkEBg?nav=eyJyZWZlcnJhbEluZm8iOnsicmVmZXJyYWxBcHAiOiJPbmVEcml2ZUZvckJ1c2luZXNzIiwicmVmZXJyYWxBcHBQbGF0Zm9ybSI6IldlYiIsInJlZmVycmFsTW9kZSI6InZpZXciLCJyZWZlcnJhbFZpZXciOiJNeUZpbGVzTGlua0RpcmVjdCJ9fQ&amp;e=l7Ledn" TargetMode="External"/><Relationship Id="rId6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1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4" Type="http://schemas.openxmlformats.org/officeDocument/2006/relationships/hyperlink" Target="https://seletivaindbr-my.sharepoint.com/:v:/g/personal/cristina_sugui_seletiva_ind_br/Ed3KaneUI1BKieZJm6y5FNcB4RTaknKup8UhZHyD6pe8-g?nav=eyJyZWZlcnJhbEluZm8iOnsicmVmZXJyYWxBcHAiOiJPbmVEcml2ZUZvckJ1c2luZXNzIiwicmVmZXJyYWxBcHBQbGF0Zm9ybSI6IldlYiIsInJlZmVycmFsTW9kZSI6InZpZXciLCJyZWZlcnJhbFZpZXciOiJNeUZpbGVzTGlua0RpcmVjdCJ9fQ&amp;e=uGforQ" TargetMode="External"/><Relationship Id="rId32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37" Type="http://schemas.openxmlformats.org/officeDocument/2006/relationships/hyperlink" Target="https://seletivaindbr-my.sharepoint.com/:f:/r/personal/cristina_sugui_seletiva_ind_br/Documents/Controladoria/Bens/M%C3%B3veis/Hidroeuropa/PHH0061%20-%20JCG800%20Maring%C3%A1?csf=1&amp;web=1&amp;e=VvR9yb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5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3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28" Type="http://schemas.openxmlformats.org/officeDocument/2006/relationships/hyperlink" Target="https://seletivaindbr-my.sharepoint.com/:b:/r/personal/cristina_sugui_seletiva_ind_br/Documents/Controladoria/Bens/M%C3%B3veis/Liebherr/EHL0070%20-%20LH30M/DANFE_36166_Liebherr%20Brasil_2025_10_15.pdf?csf=1&amp;web=1&amp;e=3LOatL" TargetMode="External"/><Relationship Id="rId36" Type="http://schemas.openxmlformats.org/officeDocument/2006/relationships/hyperlink" Target="https://seletivaindbr-my.sharepoint.com/:v:/g/personal/cristina_sugui_seletiva_ind_br/EcCR_OrPOkdKqjOB498ixLABQNDs5KP4byzf-vVYBvEikQ?nav=eyJyZWZlcnJhbEluZm8iOnsicmVmZXJyYWxBcHAiOiJPbmVEcml2ZUZvckJ1c2luZXNzIiwicmVmZXJyYWxBcHBQbGF0Zm9ybSI6IldlYiIsInJlZmVycmFsTW9kZSI6InZpZXciLCJyZWZlcnJhbFZpZXciOiJNeUZpbGVzTGlua0RpcmVjdCJ9fQ&amp;e=47iDUl" TargetMode="External"/><Relationship Id="rId10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9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31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4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9" Type="http://schemas.openxmlformats.org/officeDocument/2006/relationships/hyperlink" Target="https://seletivaindbr-my.sharepoint.com/:f:/r/personal/cristina_sugui_seletiva_ind_br/Documents/Controladoria/Bens/M%C3%B3veis/Ve%C3%ADculos/4.CONTROLE%20DA%20FROTA/SUY4F83?csf=1&amp;web=1&amp;e=tZOILR" TargetMode="External"/><Relationship Id="rId14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22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27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30" Type="http://schemas.openxmlformats.org/officeDocument/2006/relationships/hyperlink" Target="https://seletivaindbr-my.sharepoint.com/:i:/g/personal/cristina_sugui_seletiva_ind_br/ETIAlR-IATFBrEEpt2BztIsB9wdNGLAGa9v8F4Ueo0UIjA?e=3huLEo" TargetMode="External"/><Relationship Id="rId35" Type="http://schemas.openxmlformats.org/officeDocument/2006/relationships/hyperlink" Target="https://seletivaindbr-my.sharepoint.com/:v:/g/personal/cristina_sugui_seletiva_ind_br/ES_jyqveErlGkwWcD0Ni_IsB8tIaeDh3nB_WyvcMth8cWw?nav=eyJyZWZlcnJhbEluZm8iOnsicmVmZXJyYWxBcHAiOiJPbmVEcml2ZUZvckJ1c2luZXNzIiwicmVmZXJyYWxBcHBQbGF0Zm9ybSI6IldlYiIsInJlZmVycmFsTW9kZSI6InZpZXciLCJyZWZlcnJhbFZpZXciOiJNeUZpbGVzTGlua0RpcmVjdCJ9fQ&amp;e=py4gDC" TargetMode="External"/><Relationship Id="rId8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3" Type="http://schemas.openxmlformats.org/officeDocument/2006/relationships/hyperlink" Target="https://seletivaindbr-my.sharepoint.com/:i:/g/personal/cristina_sugui_seletiva_ind_br/Efpw2QzRdsNCusG9M7H5RHsBvaDnfMXBAY-uaKnxgU45yA?e=UiIm9b" TargetMode="External"/><Relationship Id="rId12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7" Type="http://schemas.openxmlformats.org/officeDocument/2006/relationships/hyperlink" Target="https://seletivaindbr-my.sharepoint.com/:v:/g/personal/cristina_sugui_seletiva_ind_br/Eb5Azz4BSIVOpxYmcjroPQ8BuX5OJjj_hM1DcyJzzN8p9w?nav=eyJyZWZlcnJhbEluZm8iOnsicmVmZXJyYWxBcHAiOiJPbmVEcml2ZUZvckJ1c2luZXNzIiwicmVmZXJyYWxBcHBQbGF0Zm9ybSI6IldlYiIsInJlZmVycmFsTW9kZSI6InZpZXciLCJyZWZlcnJhbFZpZXciOiJNeUZpbGVzTGlua0RpcmVjdCJ9fQ&amp;e=ZNnwN5" TargetMode="External"/><Relationship Id="rId25" Type="http://schemas.openxmlformats.org/officeDocument/2006/relationships/hyperlink" Target="https://seletivaindbr-my.sharepoint.com/:i:/g/personal/cristina_sugui_seletiva_ind_br/Efpw2QzRdsNCusG9M7H5RHsBvaDnfMXBAY-uaKnxgU45yA?e=UiIm9b" TargetMode="External"/><Relationship Id="rId33" Type="http://schemas.openxmlformats.org/officeDocument/2006/relationships/hyperlink" Target="https://seletivaindbr-my.sharepoint.com/:v:/g/personal/cristina_sugui_seletiva_ind_br/Eep8BCf1wBxMjoUkDuXIvyoBUdEGrgj6OS-EDKe8x6yuxA?nav=eyJyZWZlcnJhbEluZm8iOnsicmVmZXJyYWxBcHAiOiJPbmVEcml2ZUZvckJ1c2luZXNzIiwicmVmZXJyYWxBcHBQbGF0Zm9ybSI6IldlYiIsInJlZmVycmFsTW9kZSI6InZpZXciLCJyZWZlcnJhbFZpZXciOiJNeUZpbGVzTGlua0RpcmVjdCJ9fQ&amp;e=fRPgwp" TargetMode="External"/><Relationship Id="rId38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3" Type="http://schemas.microsoft.com/office/2017/10/relationships/threadedComment" Target="../threadedComments/threadedComment2.xml"/><Relationship Id="rId3" Type="http://schemas.openxmlformats.org/officeDocument/2006/relationships/hyperlink" Target="https://seletivaindbr-my.sharepoint.com/:i:/g/personal/cristina_sugui_seletiva_ind_br/Efpw2QzRdsNCusG9M7H5RHsBvaDnfMXBAY-uaKnxgU45yA?e=UiIm9b" TargetMode="External"/><Relationship Id="rId7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12" Type="http://schemas.openxmlformats.org/officeDocument/2006/relationships/comments" Target="../comments2.xml"/><Relationship Id="rId2" Type="http://schemas.openxmlformats.org/officeDocument/2006/relationships/hyperlink" Target="https://seletivaindbr-my.sharepoint.com/:v:/g/personal/cristina_sugui_seletiva_ind_br/EaSuVgH593VLgx4VrH-_xWYBC_QkkFFDJhPx7kKo1M03Dw?nav=eyJyZWZlcnJhbEluZm8iOnsicmVmZXJyYWxBcHAiOiJPbmVEcml2ZUZvckJ1c2luZXNzIiwicmVmZXJyYWxBcHBQbGF0Zm9ybSI6IldlYiIsInJlZmVycmFsTW9kZSI6InZpZXciLCJyZWZlcnJhbFZpZXciOiJNeUZpbGVzTGlua0RpcmVjdCJ9fQ&amp;e=AQC1k9" TargetMode="External"/><Relationship Id="rId1" Type="http://schemas.openxmlformats.org/officeDocument/2006/relationships/hyperlink" Target="https://seletivaindbr-my.sharepoint.com/:v:/g/personal/cristina_sugui_seletiva_ind_br/EbovfEks0N5Mn6BQc-H8nHIBObud4_kl5M2_hrrVuDkEBg?nav=eyJyZWZlcnJhbEluZm8iOnsicmVmZXJyYWxBcHAiOiJPbmVEcml2ZUZvckJ1c2luZXNzIiwicmVmZXJyYWxBcHBQbGF0Zm9ybSI6IldlYiIsInJlZmVycmFsTW9kZSI6InZpZXciLCJyZWZlcnJhbFZpZXciOiJNeUZpbGVzTGlua0RpcmVjdCJ9fQ&amp;e=l7Ledn" TargetMode="External"/><Relationship Id="rId6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1" Type="http://schemas.openxmlformats.org/officeDocument/2006/relationships/vmlDrawing" Target="../drawings/vmlDrawing2.vml"/><Relationship Id="rId5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10" Type="http://schemas.openxmlformats.org/officeDocument/2006/relationships/hyperlink" Target="https://seletivaindbr-my.sharepoint.com/:f:/r/personal/cristina_sugui_seletiva_ind_br/Documents/Controladoria/Bens/M%C3%B3veis/Hidroeuropa/PHH0061%20-%20JCG800%20Maring%C3%A1?csf=1&amp;web=1&amp;e=VvR9yb" TargetMode="External"/><Relationship Id="rId4" Type="http://schemas.openxmlformats.org/officeDocument/2006/relationships/hyperlink" Target="https://seletivaindbr-my.sharepoint.com/:v:/g/personal/cristina_sugui_seletiva_ind_br/EZH_ZEVjXWNPpiwYNGva6U8BLugs2QP3HNdn-i1EDUl0QA?nav=eyJyZWZlcnJhbEluZm8iOnsicmVmZXJyYWxBcHAiOiJPbmVEcml2ZUZvckJ1c2luZXNzIiwicmVmZXJyYWxBcHBQbGF0Zm9ybSI6IldlYiIsInJlZmVycmFsTW9kZSI6InZpZXciLCJyZWZlcnJhbFZpZXciOiJNeUZpbGVzTGlua0RpcmVjdCJ9fQ&amp;e=GdlowH" TargetMode="External"/><Relationship Id="rId9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7" Type="http://schemas.openxmlformats.org/officeDocument/2006/relationships/hyperlink" Target="https://seletivaindbr-my.sharepoint.com/:b:/r/personal/cristina_sugui_seletiva_ind_br/Documents/Controladoria/Bens/M%C3%B3veis/Liebherr/EHL0070%20-%20LH30M/DANFE_36166_Liebherr%20Brasil_2025_10_15.pdf?csf=1&amp;web=1&amp;e=3LOatL" TargetMode="External"/><Relationship Id="rId2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6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1" Type="http://schemas.microsoft.com/office/2017/10/relationships/threadedComment" Target="../threadedComments/threadedComment3.xml"/><Relationship Id="rId5" Type="http://schemas.openxmlformats.org/officeDocument/2006/relationships/hyperlink" Target="https://seletivaindbr-my.sharepoint.com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TargetMode="External"/><Relationship Id="rId10" Type="http://schemas.openxmlformats.org/officeDocument/2006/relationships/comments" Target="../comments3.xml"/><Relationship Id="rId4" Type="http://schemas.openxmlformats.org/officeDocument/2006/relationships/hyperlink" Target="https://seletivaindbr-my.sharepoint.com/:v:/g/personal/cristina_sugui_seletiva_ind_br/Ef_yJeHL0kZNsH-soovyXzABLrDlBP5sLG5yK9myVjM8rA?nav=eyJyZWZlcnJhbEluZm8iOnsicmVmZXJyYWxBcHAiOiJPbmVEcml2ZUZvckJ1c2luZXNzIiwicmVmZXJyYWxBcHBQbGF0Zm9ybSI6IldlYiIsInJlZmVycmFsTW9kZSI6InZpZXciLCJyZWZlcnJhbFZpZXciOiJNeUZpbGVzTGlua0RpcmVjdCJ9fQ&amp;e=aczkO9" TargetMode="External"/><Relationship Id="rId9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3EB1-1E6E-4605-84AE-4267908C1E83}">
  <sheetPr>
    <pageSetUpPr fitToPage="1"/>
  </sheetPr>
  <dimension ref="A1:AH102"/>
  <sheetViews>
    <sheetView showGridLines="0" tabSelected="1" zoomScaleNormal="8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ColWidth="9.140625" defaultRowHeight="15" customHeight="1" outlineLevelCol="1" x14ac:dyDescent="0.25"/>
  <cols>
    <col min="1" max="1" width="6.7109375" style="2" customWidth="1"/>
    <col min="2" max="2" width="12.42578125" style="2" customWidth="1"/>
    <col min="3" max="3" width="30.28515625" style="14" customWidth="1"/>
    <col min="4" max="4" width="28" style="14" customWidth="1" outlineLevel="1"/>
    <col min="5" max="5" width="28.5703125" style="14" customWidth="1" outlineLevel="1"/>
    <col min="6" max="6" width="14.140625" style="14" customWidth="1" outlineLevel="1"/>
    <col min="7" max="7" width="15.7109375" style="2" customWidth="1"/>
    <col min="8" max="8" width="12.28515625" style="2" bestFit="1" customWidth="1"/>
    <col min="9" max="9" width="13.28515625" style="2" customWidth="1"/>
    <col min="10" max="10" width="18" style="2" customWidth="1"/>
    <col min="11" max="11" width="19" style="2" customWidth="1"/>
    <col min="12" max="12" width="15.5703125" style="5" customWidth="1" outlineLevel="1"/>
    <col min="13" max="13" width="17.28515625" style="5" customWidth="1" outlineLevel="1"/>
    <col min="14" max="14" width="50.140625" style="14" customWidth="1"/>
    <col min="15" max="16" width="15" style="23" hidden="1" customWidth="1" outlineLevel="1"/>
    <col min="17" max="18" width="13.5703125" style="23" hidden="1" customWidth="1" outlineLevel="1"/>
    <col min="19" max="19" width="12.42578125" style="23" hidden="1" customWidth="1" outlineLevel="1"/>
    <col min="20" max="20" width="15" style="23" hidden="1" customWidth="1" outlineLevel="1"/>
    <col min="21" max="21" width="13.5703125" style="23" hidden="1" customWidth="1" outlineLevel="1"/>
    <col min="22" max="22" width="15" style="6" customWidth="1" collapsed="1"/>
    <col min="23" max="25" width="10" style="24" hidden="1" customWidth="1" outlineLevel="1"/>
    <col min="26" max="26" width="18.42578125" style="6" customWidth="1" collapsed="1"/>
    <col min="27" max="27" width="14.42578125" style="2" customWidth="1"/>
    <col min="28" max="29" width="11.28515625" style="2" customWidth="1"/>
    <col min="30" max="30" width="13" style="2" customWidth="1"/>
    <col min="31" max="31" width="13.7109375" style="2" customWidth="1"/>
    <col min="32" max="32" width="11.28515625" style="2" customWidth="1"/>
    <col min="33" max="33" width="13" style="2" customWidth="1"/>
    <col min="34" max="34" width="32.85546875" style="17" customWidth="1"/>
    <col min="35" max="16384" width="9.140625" style="2"/>
  </cols>
  <sheetData>
    <row r="1" spans="1:34" s="20" customFormat="1" ht="69.599999999999994" customHeight="1" x14ac:dyDescent="0.25">
      <c r="A1" s="1" t="s">
        <v>0</v>
      </c>
      <c r="B1" s="1" t="s">
        <v>1</v>
      </c>
      <c r="C1" s="1" t="s">
        <v>2</v>
      </c>
      <c r="D1" s="15" t="s">
        <v>3</v>
      </c>
      <c r="E1" s="15" t="s">
        <v>4</v>
      </c>
      <c r="F1" s="1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5" t="s">
        <v>11</v>
      </c>
      <c r="M1" s="15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2" t="s">
        <v>22</v>
      </c>
      <c r="X1" s="12" t="s">
        <v>23</v>
      </c>
      <c r="Y1" s="12" t="s">
        <v>24</v>
      </c>
      <c r="Z1" s="3" t="s">
        <v>25</v>
      </c>
      <c r="AA1" s="98" t="s">
        <v>26</v>
      </c>
      <c r="AB1" s="88" t="s">
        <v>27</v>
      </c>
      <c r="AC1" s="88" t="s">
        <v>28</v>
      </c>
      <c r="AD1" s="88" t="s">
        <v>29</v>
      </c>
      <c r="AE1" s="97" t="s">
        <v>30</v>
      </c>
      <c r="AF1" s="97" t="s">
        <v>31</v>
      </c>
      <c r="AG1" s="97" t="s">
        <v>32</v>
      </c>
      <c r="AH1" s="3" t="s">
        <v>33</v>
      </c>
    </row>
    <row r="2" spans="1:34" s="5" customFormat="1" ht="15" customHeight="1" x14ac:dyDescent="0.25">
      <c r="A2" s="7">
        <v>1</v>
      </c>
      <c r="B2" s="4" t="s">
        <v>34</v>
      </c>
      <c r="C2" s="13" t="s">
        <v>35</v>
      </c>
      <c r="D2" s="13" t="s">
        <v>36</v>
      </c>
      <c r="E2" s="13" t="s">
        <v>37</v>
      </c>
      <c r="F2" s="13" t="s">
        <v>37</v>
      </c>
      <c r="G2" s="4" t="s">
        <v>38</v>
      </c>
      <c r="H2" s="4">
        <v>417</v>
      </c>
      <c r="I2" s="4" t="s">
        <v>39</v>
      </c>
      <c r="J2" s="4" t="s">
        <v>40</v>
      </c>
      <c r="K2" s="4" t="s">
        <v>41</v>
      </c>
      <c r="L2" s="4" t="str">
        <f>IFERROR(VLOOKUP(J2,'[1]2026'!$AG$3:$AL$233,5,FALSE),"N/A")</f>
        <v>CAPITAL</v>
      </c>
      <c r="M2" s="4" t="str">
        <f>IFERROR(VLOOKUP(J2,'[1]2026'!$AG$3:$AL$233,6,FALSE),"N/A")</f>
        <v>PRESIDENTE PRUDENTE</v>
      </c>
      <c r="N2" s="13" t="s">
        <v>42</v>
      </c>
      <c r="O2" s="8">
        <v>250000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250000</v>
      </c>
      <c r="W2" s="19">
        <v>5</v>
      </c>
      <c r="X2" s="19">
        <v>5</v>
      </c>
      <c r="Y2" s="19">
        <v>60</v>
      </c>
      <c r="Z2" s="8">
        <v>2083.3333333333335</v>
      </c>
      <c r="AA2" s="4" t="s">
        <v>43</v>
      </c>
      <c r="AB2" s="89" t="s">
        <v>44</v>
      </c>
      <c r="AC2" s="92" t="s">
        <v>37</v>
      </c>
      <c r="AD2" s="92" t="s">
        <v>37</v>
      </c>
      <c r="AE2" s="89" t="s">
        <v>44</v>
      </c>
      <c r="AF2" s="92" t="s">
        <v>37</v>
      </c>
      <c r="AG2" s="92" t="s">
        <v>37</v>
      </c>
      <c r="AH2" s="18" t="s">
        <v>45</v>
      </c>
    </row>
    <row r="3" spans="1:34" s="5" customFormat="1" ht="15" customHeight="1" x14ac:dyDescent="0.25">
      <c r="A3" s="7">
        <v>2</v>
      </c>
      <c r="B3" s="4" t="s">
        <v>34</v>
      </c>
      <c r="C3" s="13" t="s">
        <v>46</v>
      </c>
      <c r="D3" s="13" t="s">
        <v>36</v>
      </c>
      <c r="E3" s="13" t="s">
        <v>37</v>
      </c>
      <c r="F3" s="13" t="s">
        <v>37</v>
      </c>
      <c r="G3" s="4" t="s">
        <v>38</v>
      </c>
      <c r="H3" s="4">
        <v>418</v>
      </c>
      <c r="I3" s="4" t="s">
        <v>39</v>
      </c>
      <c r="J3" s="4" t="s">
        <v>47</v>
      </c>
      <c r="K3" s="4" t="s">
        <v>41</v>
      </c>
      <c r="L3" s="4" t="str">
        <f>IFERROR(VLOOKUP(J3,'[1]2026'!$AG$3:$AL$233,5,FALSE),"N/A")</f>
        <v>PADRÃO</v>
      </c>
      <c r="M3" s="4" t="str">
        <f>IFERROR(VLOOKUP(J3,'[1]2026'!$AG$3:$AL$233,6,FALSE),"N/A")</f>
        <v>TRÊS LAGOAS</v>
      </c>
      <c r="N3" s="13" t="s">
        <v>48</v>
      </c>
      <c r="O3" s="8">
        <v>250000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250000</v>
      </c>
      <c r="W3" s="19">
        <v>5</v>
      </c>
      <c r="X3" s="19">
        <v>5</v>
      </c>
      <c r="Y3" s="19">
        <v>60</v>
      </c>
      <c r="Z3" s="8">
        <v>2083.3333333333335</v>
      </c>
      <c r="AA3" s="4" t="s">
        <v>43</v>
      </c>
      <c r="AB3" s="89" t="s">
        <v>44</v>
      </c>
      <c r="AC3" s="92" t="s">
        <v>37</v>
      </c>
      <c r="AD3" s="92" t="s">
        <v>37</v>
      </c>
      <c r="AE3" s="89" t="s">
        <v>44</v>
      </c>
      <c r="AF3" s="92" t="s">
        <v>37</v>
      </c>
      <c r="AG3" s="92" t="s">
        <v>37</v>
      </c>
      <c r="AH3" s="18" t="s">
        <v>45</v>
      </c>
    </row>
    <row r="4" spans="1:34" s="5" customFormat="1" ht="15" customHeight="1" x14ac:dyDescent="0.25">
      <c r="A4" s="7">
        <v>3</v>
      </c>
      <c r="B4" s="4" t="s">
        <v>34</v>
      </c>
      <c r="C4" s="13" t="s">
        <v>49</v>
      </c>
      <c r="D4" s="13" t="s">
        <v>36</v>
      </c>
      <c r="E4" s="13" t="s">
        <v>37</v>
      </c>
      <c r="F4" s="13" t="s">
        <v>37</v>
      </c>
      <c r="G4" s="4" t="s">
        <v>38</v>
      </c>
      <c r="H4" s="4">
        <v>419</v>
      </c>
      <c r="I4" s="4" t="s">
        <v>39</v>
      </c>
      <c r="J4" s="4" t="s">
        <v>50</v>
      </c>
      <c r="K4" s="4" t="s">
        <v>41</v>
      </c>
      <c r="L4" s="4" t="str">
        <f>IFERROR(VLOOKUP(J4,'[1]2026'!$AG$3:$AL$233,5,FALSE),"N/A")</f>
        <v>PADRÃO</v>
      </c>
      <c r="M4" s="4" t="str">
        <f>IFERROR(VLOOKUP(J4,'[1]2026'!$AG$3:$AL$233,6,FALSE),"N/A")</f>
        <v>DOURADOS</v>
      </c>
      <c r="N4" s="13" t="s">
        <v>48</v>
      </c>
      <c r="O4" s="8">
        <v>250000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250000</v>
      </c>
      <c r="W4" s="19">
        <v>5</v>
      </c>
      <c r="X4" s="19">
        <v>5</v>
      </c>
      <c r="Y4" s="19">
        <v>60</v>
      </c>
      <c r="Z4" s="8">
        <v>2083.3333333333335</v>
      </c>
      <c r="AA4" s="4" t="s">
        <v>43</v>
      </c>
      <c r="AB4" s="89" t="s">
        <v>44</v>
      </c>
      <c r="AC4" s="92" t="s">
        <v>37</v>
      </c>
      <c r="AD4" s="92" t="s">
        <v>37</v>
      </c>
      <c r="AE4" s="89" t="s">
        <v>44</v>
      </c>
      <c r="AF4" s="92" t="s">
        <v>37</v>
      </c>
      <c r="AG4" s="92" t="s">
        <v>37</v>
      </c>
      <c r="AH4" s="18" t="s">
        <v>45</v>
      </c>
    </row>
    <row r="5" spans="1:34" s="5" customFormat="1" ht="15" customHeight="1" x14ac:dyDescent="0.25">
      <c r="A5" s="7">
        <v>4</v>
      </c>
      <c r="B5" s="4" t="s">
        <v>34</v>
      </c>
      <c r="C5" s="13" t="s">
        <v>51</v>
      </c>
      <c r="D5" s="13" t="s">
        <v>36</v>
      </c>
      <c r="E5" s="13" t="s">
        <v>37</v>
      </c>
      <c r="F5" s="13" t="s">
        <v>37</v>
      </c>
      <c r="G5" s="4" t="s">
        <v>38</v>
      </c>
      <c r="H5" s="4">
        <v>420</v>
      </c>
      <c r="I5" s="4" t="s">
        <v>39</v>
      </c>
      <c r="J5" s="4" t="s">
        <v>52</v>
      </c>
      <c r="K5" s="4" t="s">
        <v>41</v>
      </c>
      <c r="L5" s="4" t="str">
        <f>IFERROR(VLOOKUP(J5,'[1]2026'!$AG$3:$AL$233,5,FALSE),"N/A")</f>
        <v>CAPITAL</v>
      </c>
      <c r="M5" s="4" t="str">
        <f>IFERROR(VLOOKUP(J5,'[1]2026'!$AG$3:$AL$233,6,FALSE),"N/A")</f>
        <v>LONDRINA</v>
      </c>
      <c r="N5" s="13" t="s">
        <v>48</v>
      </c>
      <c r="O5" s="8">
        <v>250000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250000</v>
      </c>
      <c r="W5" s="19">
        <v>5</v>
      </c>
      <c r="X5" s="19">
        <v>5</v>
      </c>
      <c r="Y5" s="19">
        <v>60</v>
      </c>
      <c r="Z5" s="8">
        <v>2083.3333333333335</v>
      </c>
      <c r="AA5" s="4" t="s">
        <v>43</v>
      </c>
      <c r="AB5" s="89" t="s">
        <v>44</v>
      </c>
      <c r="AC5" s="92" t="s">
        <v>37</v>
      </c>
      <c r="AD5" s="92" t="s">
        <v>37</v>
      </c>
      <c r="AE5" s="89" t="s">
        <v>44</v>
      </c>
      <c r="AF5" s="92" t="s">
        <v>37</v>
      </c>
      <c r="AG5" s="92" t="s">
        <v>37</v>
      </c>
      <c r="AH5" s="18" t="s">
        <v>45</v>
      </c>
    </row>
    <row r="6" spans="1:34" s="5" customFormat="1" ht="15" customHeight="1" x14ac:dyDescent="0.25">
      <c r="A6" s="7">
        <v>5</v>
      </c>
      <c r="B6" s="4" t="s">
        <v>34</v>
      </c>
      <c r="C6" s="13" t="s">
        <v>53</v>
      </c>
      <c r="D6" s="13" t="s">
        <v>36</v>
      </c>
      <c r="E6" s="13" t="s">
        <v>37</v>
      </c>
      <c r="F6" s="13" t="s">
        <v>37</v>
      </c>
      <c r="G6" s="4" t="s">
        <v>38</v>
      </c>
      <c r="H6" s="4">
        <v>421</v>
      </c>
      <c r="I6" s="4" t="s">
        <v>39</v>
      </c>
      <c r="J6" s="4" t="s">
        <v>54</v>
      </c>
      <c r="K6" s="4" t="s">
        <v>41</v>
      </c>
      <c r="L6" s="4" t="str">
        <f>IFERROR(VLOOKUP(J6,'[1]2026'!$AG$3:$AL$233,5,FALSE),"N/A")</f>
        <v>CAPITAL</v>
      </c>
      <c r="M6" s="4" t="str">
        <f>IFERROR(VLOOKUP(J6,'[1]2026'!$AG$3:$AL$233,6,FALSE),"N/A")</f>
        <v>MARINGÁ</v>
      </c>
      <c r="N6" s="13" t="s">
        <v>48</v>
      </c>
      <c r="O6" s="8">
        <v>250000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250000</v>
      </c>
      <c r="W6" s="19">
        <v>5</v>
      </c>
      <c r="X6" s="19">
        <v>5</v>
      </c>
      <c r="Y6" s="19">
        <v>60</v>
      </c>
      <c r="Z6" s="8">
        <v>2083.3333333333335</v>
      </c>
      <c r="AA6" s="4" t="s">
        <v>43</v>
      </c>
      <c r="AB6" s="89" t="s">
        <v>44</v>
      </c>
      <c r="AC6" s="92" t="s">
        <v>37</v>
      </c>
      <c r="AD6" s="92" t="s">
        <v>37</v>
      </c>
      <c r="AE6" s="89" t="s">
        <v>44</v>
      </c>
      <c r="AF6" s="92" t="s">
        <v>37</v>
      </c>
      <c r="AG6" s="92" t="s">
        <v>37</v>
      </c>
      <c r="AH6" s="18" t="s">
        <v>45</v>
      </c>
    </row>
    <row r="7" spans="1:34" s="5" customFormat="1" ht="15" customHeight="1" x14ac:dyDescent="0.25">
      <c r="A7" s="7">
        <v>6</v>
      </c>
      <c r="B7" s="4" t="s">
        <v>34</v>
      </c>
      <c r="C7" s="13" t="s">
        <v>55</v>
      </c>
      <c r="D7" s="13" t="s">
        <v>56</v>
      </c>
      <c r="E7" s="13" t="s">
        <v>37</v>
      </c>
      <c r="F7" s="13" t="s">
        <v>37</v>
      </c>
      <c r="G7" s="4" t="s">
        <v>38</v>
      </c>
      <c r="H7" s="4">
        <v>422</v>
      </c>
      <c r="I7" s="4" t="s">
        <v>39</v>
      </c>
      <c r="J7" s="4" t="s">
        <v>57</v>
      </c>
      <c r="K7" s="4" t="s">
        <v>58</v>
      </c>
      <c r="L7" s="4" t="str">
        <f>IFERROR(VLOOKUP(J7,'[1]2026'!$AG$3:$AL$233,5,FALSE),"N/A")</f>
        <v>FORD</v>
      </c>
      <c r="M7" s="4" t="str">
        <f>IFERROR(VLOOKUP(J7,'[1]2026'!$AG$3:$AL$233,6,FALSE),"N/A")</f>
        <v>CARGO 815 E</v>
      </c>
      <c r="N7" s="13" t="s">
        <v>59</v>
      </c>
      <c r="O7" s="8">
        <v>0</v>
      </c>
      <c r="P7" s="8">
        <v>480000</v>
      </c>
      <c r="Q7" s="8">
        <v>30000</v>
      </c>
      <c r="R7" s="8">
        <v>0</v>
      </c>
      <c r="S7" s="8">
        <v>0</v>
      </c>
      <c r="T7" s="8">
        <v>0</v>
      </c>
      <c r="U7" s="8">
        <v>0</v>
      </c>
      <c r="V7" s="8">
        <v>510000</v>
      </c>
      <c r="W7" s="19">
        <v>5</v>
      </c>
      <c r="X7" s="19">
        <v>5</v>
      </c>
      <c r="Y7" s="19">
        <v>60</v>
      </c>
      <c r="Z7" s="8">
        <v>8500</v>
      </c>
      <c r="AA7" s="4" t="s">
        <v>44</v>
      </c>
      <c r="AB7" s="89" t="s">
        <v>44</v>
      </c>
      <c r="AC7" s="92" t="s">
        <v>37</v>
      </c>
      <c r="AD7" s="92" t="s">
        <v>37</v>
      </c>
      <c r="AE7" s="89" t="s">
        <v>44</v>
      </c>
      <c r="AF7" s="92" t="s">
        <v>37</v>
      </c>
      <c r="AG7" s="92" t="s">
        <v>37</v>
      </c>
      <c r="AH7" s="18" t="s">
        <v>45</v>
      </c>
    </row>
    <row r="8" spans="1:34" s="5" customFormat="1" ht="15" customHeight="1" x14ac:dyDescent="0.25">
      <c r="A8" s="7">
        <v>7</v>
      </c>
      <c r="B8" s="4" t="s">
        <v>34</v>
      </c>
      <c r="C8" s="13" t="s">
        <v>55</v>
      </c>
      <c r="D8" s="13" t="s">
        <v>56</v>
      </c>
      <c r="E8" s="13" t="s">
        <v>37</v>
      </c>
      <c r="F8" s="13" t="s">
        <v>37</v>
      </c>
      <c r="G8" s="4" t="s">
        <v>38</v>
      </c>
      <c r="H8" s="4">
        <v>423</v>
      </c>
      <c r="I8" s="4" t="s">
        <v>39</v>
      </c>
      <c r="J8" s="4" t="s">
        <v>60</v>
      </c>
      <c r="K8" s="4" t="s">
        <v>58</v>
      </c>
      <c r="L8" s="4" t="str">
        <f>IFERROR(VLOOKUP(J8,'[1]2026'!$AG$3:$AL$233,5,FALSE),"N/A")</f>
        <v>FORD</v>
      </c>
      <c r="M8" s="4" t="str">
        <f>IFERROR(VLOOKUP(J8,'[1]2026'!$AG$3:$AL$233,6,FALSE),"N/A")</f>
        <v>CARGO 815 E</v>
      </c>
      <c r="N8" s="13" t="s">
        <v>59</v>
      </c>
      <c r="O8" s="8">
        <v>0</v>
      </c>
      <c r="P8" s="8">
        <v>480000</v>
      </c>
      <c r="Q8" s="8">
        <v>30000</v>
      </c>
      <c r="R8" s="8">
        <v>0</v>
      </c>
      <c r="S8" s="8">
        <v>0</v>
      </c>
      <c r="T8" s="8">
        <v>0</v>
      </c>
      <c r="U8" s="8">
        <v>0</v>
      </c>
      <c r="V8" s="8">
        <v>510000</v>
      </c>
      <c r="W8" s="19">
        <v>5</v>
      </c>
      <c r="X8" s="19">
        <v>5</v>
      </c>
      <c r="Y8" s="19">
        <v>60</v>
      </c>
      <c r="Z8" s="8">
        <v>8500</v>
      </c>
      <c r="AA8" s="4" t="s">
        <v>44</v>
      </c>
      <c r="AB8" s="89" t="s">
        <v>44</v>
      </c>
      <c r="AC8" s="92" t="s">
        <v>37</v>
      </c>
      <c r="AD8" s="92" t="s">
        <v>37</v>
      </c>
      <c r="AE8" s="89" t="s">
        <v>44</v>
      </c>
      <c r="AF8" s="92" t="s">
        <v>37</v>
      </c>
      <c r="AG8" s="92" t="s">
        <v>37</v>
      </c>
      <c r="AH8" s="18" t="s">
        <v>45</v>
      </c>
    </row>
    <row r="9" spans="1:34" s="5" customFormat="1" ht="15" customHeight="1" x14ac:dyDescent="0.25">
      <c r="A9" s="7">
        <v>8</v>
      </c>
      <c r="B9" s="28" t="s">
        <v>34</v>
      </c>
      <c r="C9" s="13" t="s">
        <v>61</v>
      </c>
      <c r="D9" s="13" t="s">
        <v>62</v>
      </c>
      <c r="E9" s="13" t="s">
        <v>63</v>
      </c>
      <c r="F9" s="48" t="s">
        <v>64</v>
      </c>
      <c r="G9" s="4" t="s">
        <v>38</v>
      </c>
      <c r="H9" s="4">
        <v>289</v>
      </c>
      <c r="I9" s="4" t="s">
        <v>65</v>
      </c>
      <c r="J9" s="28" t="s">
        <v>66</v>
      </c>
      <c r="K9" s="4" t="s">
        <v>58</v>
      </c>
      <c r="L9" s="4" t="str">
        <f>IFERROR(VLOOKUP(J9,'[1]2026'!$AG$3:$AL$233,5,FALSE),"N/A")</f>
        <v>MERCEDES-BENZ</v>
      </c>
      <c r="M9" s="4" t="str">
        <f>IFERROR(VLOOKUP(J9,'[1]2026'!$AG$3:$AL$233,6,FALSE),"N/A")</f>
        <v>ATEGO 2425</v>
      </c>
      <c r="N9" s="13" t="s">
        <v>67</v>
      </c>
      <c r="O9" s="8">
        <v>0</v>
      </c>
      <c r="P9" s="8">
        <v>500000</v>
      </c>
      <c r="Q9" s="8">
        <v>80000</v>
      </c>
      <c r="R9" s="8">
        <v>397000</v>
      </c>
      <c r="S9" s="8">
        <v>0</v>
      </c>
      <c r="T9" s="8">
        <v>0</v>
      </c>
      <c r="U9" s="8">
        <v>0</v>
      </c>
      <c r="V9" s="8">
        <v>977000</v>
      </c>
      <c r="W9" s="19">
        <v>5</v>
      </c>
      <c r="X9" s="19">
        <v>5</v>
      </c>
      <c r="Y9" s="19">
        <v>60</v>
      </c>
      <c r="Z9" s="8">
        <v>16283.333333333336</v>
      </c>
      <c r="AA9" s="4" t="s">
        <v>44</v>
      </c>
      <c r="AB9" s="89" t="s">
        <v>44</v>
      </c>
      <c r="AC9" s="89" t="s">
        <v>37</v>
      </c>
      <c r="AD9" s="89" t="s">
        <v>68</v>
      </c>
      <c r="AE9" s="89" t="s">
        <v>44</v>
      </c>
      <c r="AF9" s="89" t="s">
        <v>37</v>
      </c>
      <c r="AG9" s="89" t="s">
        <v>68</v>
      </c>
      <c r="AH9" s="18" t="s">
        <v>45</v>
      </c>
    </row>
    <row r="10" spans="1:34" s="5" customFormat="1" ht="15" customHeight="1" x14ac:dyDescent="0.25">
      <c r="A10" s="7">
        <v>9</v>
      </c>
      <c r="B10" s="28" t="s">
        <v>34</v>
      </c>
      <c r="C10" s="13" t="s">
        <v>61</v>
      </c>
      <c r="D10" s="13" t="s">
        <v>62</v>
      </c>
      <c r="E10" s="13" t="s">
        <v>63</v>
      </c>
      <c r="F10" s="48" t="s">
        <v>64</v>
      </c>
      <c r="G10" s="4" t="s">
        <v>38</v>
      </c>
      <c r="H10" s="4">
        <v>290</v>
      </c>
      <c r="I10" s="4" t="s">
        <v>65</v>
      </c>
      <c r="J10" s="28" t="s">
        <v>69</v>
      </c>
      <c r="K10" s="4" t="s">
        <v>58</v>
      </c>
      <c r="L10" s="4" t="str">
        <f>IFERROR(VLOOKUP(J10,'[1]2026'!$AG$3:$AL$233,5,FALSE),"N/A")</f>
        <v>MERCEDES-BENZ</v>
      </c>
      <c r="M10" s="4" t="str">
        <f>IFERROR(VLOOKUP(J10,'[1]2026'!$AG$3:$AL$233,6,FALSE),"N/A")</f>
        <v>ATEGO 2425</v>
      </c>
      <c r="N10" s="13" t="s">
        <v>70</v>
      </c>
      <c r="O10" s="8">
        <v>0</v>
      </c>
      <c r="P10" s="8">
        <v>500000</v>
      </c>
      <c r="Q10" s="8">
        <v>80000</v>
      </c>
      <c r="R10" s="8">
        <v>397000</v>
      </c>
      <c r="S10" s="8">
        <v>0</v>
      </c>
      <c r="T10" s="8">
        <v>0</v>
      </c>
      <c r="U10" s="8">
        <v>0</v>
      </c>
      <c r="V10" s="8">
        <v>977000</v>
      </c>
      <c r="W10" s="19">
        <v>5</v>
      </c>
      <c r="X10" s="19">
        <v>5</v>
      </c>
      <c r="Y10" s="19">
        <v>60</v>
      </c>
      <c r="Z10" s="8">
        <v>16283.333333333336</v>
      </c>
      <c r="AA10" s="4" t="s">
        <v>44</v>
      </c>
      <c r="AB10" s="89" t="s">
        <v>44</v>
      </c>
      <c r="AC10" s="89" t="s">
        <v>37</v>
      </c>
      <c r="AD10" s="89" t="s">
        <v>68</v>
      </c>
      <c r="AE10" s="89" t="s">
        <v>44</v>
      </c>
      <c r="AF10" s="89" t="s">
        <v>37</v>
      </c>
      <c r="AG10" s="89" t="s">
        <v>68</v>
      </c>
      <c r="AH10" s="18" t="s">
        <v>45</v>
      </c>
    </row>
    <row r="11" spans="1:34" s="5" customFormat="1" ht="15" customHeight="1" x14ac:dyDescent="0.25">
      <c r="A11" s="7">
        <v>10</v>
      </c>
      <c r="B11" s="4" t="s">
        <v>34</v>
      </c>
      <c r="C11" s="13" t="s">
        <v>61</v>
      </c>
      <c r="D11" s="13" t="s">
        <v>62</v>
      </c>
      <c r="E11" s="13" t="s">
        <v>63</v>
      </c>
      <c r="F11" s="13" t="s">
        <v>64</v>
      </c>
      <c r="G11" s="4" t="s">
        <v>38</v>
      </c>
      <c r="H11" s="4">
        <v>434</v>
      </c>
      <c r="I11" s="4" t="s">
        <v>65</v>
      </c>
      <c r="J11" s="4" t="s">
        <v>71</v>
      </c>
      <c r="K11" s="4" t="s">
        <v>58</v>
      </c>
      <c r="L11" s="4" t="str">
        <f>IFERROR(VLOOKUP(J11,'[1]2026'!$AG$3:$AL$233,5,FALSE),"N/A")</f>
        <v>VOLVO</v>
      </c>
      <c r="M11" s="4" t="str">
        <f>IFERROR(VLOOKUP(J11,'[1]2026'!$AG$3:$AL$233,6,FALSE),"N/A")</f>
        <v>VM 270 6X2R</v>
      </c>
      <c r="N11" s="29" t="s">
        <v>72</v>
      </c>
      <c r="O11" s="8">
        <v>0</v>
      </c>
      <c r="P11" s="8">
        <v>500000</v>
      </c>
      <c r="Q11" s="8">
        <v>80000</v>
      </c>
      <c r="R11" s="8">
        <v>404500</v>
      </c>
      <c r="S11" s="8">
        <v>0</v>
      </c>
      <c r="T11" s="8">
        <v>0</v>
      </c>
      <c r="U11" s="8">
        <v>0</v>
      </c>
      <c r="V11" s="8">
        <v>984500</v>
      </c>
      <c r="W11" s="19">
        <v>5</v>
      </c>
      <c r="X11" s="19">
        <v>5</v>
      </c>
      <c r="Y11" s="19">
        <v>60</v>
      </c>
      <c r="Z11" s="8">
        <v>16408.333333333336</v>
      </c>
      <c r="AA11" s="4" t="s">
        <v>44</v>
      </c>
      <c r="AB11" s="89" t="s">
        <v>44</v>
      </c>
      <c r="AC11" s="89" t="s">
        <v>37</v>
      </c>
      <c r="AD11" s="89" t="s">
        <v>68</v>
      </c>
      <c r="AE11" s="89" t="s">
        <v>44</v>
      </c>
      <c r="AF11" s="89" t="s">
        <v>37</v>
      </c>
      <c r="AG11" s="89" t="s">
        <v>68</v>
      </c>
      <c r="AH11" s="18" t="s">
        <v>45</v>
      </c>
    </row>
    <row r="12" spans="1:34" s="5" customFormat="1" ht="15" customHeight="1" x14ac:dyDescent="0.25">
      <c r="A12" s="7">
        <v>11</v>
      </c>
      <c r="B12" s="4" t="s">
        <v>34</v>
      </c>
      <c r="C12" s="13" t="s">
        <v>61</v>
      </c>
      <c r="D12" s="13" t="s">
        <v>62</v>
      </c>
      <c r="E12" s="13" t="s">
        <v>63</v>
      </c>
      <c r="F12" s="13" t="s">
        <v>64</v>
      </c>
      <c r="G12" s="4" t="s">
        <v>38</v>
      </c>
      <c r="H12" s="4">
        <v>435</v>
      </c>
      <c r="I12" s="4" t="s">
        <v>65</v>
      </c>
      <c r="J12" s="4" t="s">
        <v>73</v>
      </c>
      <c r="K12" s="4" t="s">
        <v>58</v>
      </c>
      <c r="L12" s="4" t="str">
        <f>IFERROR(VLOOKUP(J12,'[1]2026'!$AG$3:$AL$233,5,FALSE),"N/A")</f>
        <v>VOLVO</v>
      </c>
      <c r="M12" s="4" t="str">
        <f>IFERROR(VLOOKUP(J12,'[1]2026'!$AG$3:$AL$233,6,FALSE),"N/A")</f>
        <v>VM 330 6X2R</v>
      </c>
      <c r="N12" s="11" t="s">
        <v>74</v>
      </c>
      <c r="O12" s="8">
        <v>0</v>
      </c>
      <c r="P12" s="8">
        <v>540000</v>
      </c>
      <c r="Q12" s="8">
        <v>40000</v>
      </c>
      <c r="R12" s="8">
        <v>582000</v>
      </c>
      <c r="S12" s="8">
        <v>0</v>
      </c>
      <c r="T12" s="8">
        <v>0</v>
      </c>
      <c r="U12" s="8">
        <v>0</v>
      </c>
      <c r="V12" s="8">
        <v>1162000</v>
      </c>
      <c r="W12" s="19">
        <v>5</v>
      </c>
      <c r="X12" s="19">
        <v>5</v>
      </c>
      <c r="Y12" s="19">
        <v>60</v>
      </c>
      <c r="Z12" s="8">
        <v>19366.666666666668</v>
      </c>
      <c r="AA12" s="4" t="s">
        <v>44</v>
      </c>
      <c r="AB12" s="89" t="s">
        <v>44</v>
      </c>
      <c r="AC12" s="89" t="s">
        <v>37</v>
      </c>
      <c r="AD12" s="89" t="s">
        <v>68</v>
      </c>
      <c r="AE12" s="89" t="s">
        <v>44</v>
      </c>
      <c r="AF12" s="89" t="s">
        <v>37</v>
      </c>
      <c r="AG12" s="89" t="s">
        <v>68</v>
      </c>
      <c r="AH12" s="18" t="s">
        <v>45</v>
      </c>
    </row>
    <row r="13" spans="1:34" s="5" customFormat="1" ht="15" customHeight="1" x14ac:dyDescent="0.25">
      <c r="A13" s="7">
        <v>12</v>
      </c>
      <c r="B13" s="4" t="s">
        <v>34</v>
      </c>
      <c r="C13" s="13" t="s">
        <v>61</v>
      </c>
      <c r="D13" s="13" t="s">
        <v>62</v>
      </c>
      <c r="E13" s="13" t="s">
        <v>63</v>
      </c>
      <c r="F13" s="13" t="s">
        <v>64</v>
      </c>
      <c r="G13" s="4" t="s">
        <v>38</v>
      </c>
      <c r="H13" s="4">
        <v>295</v>
      </c>
      <c r="I13" s="4" t="s">
        <v>65</v>
      </c>
      <c r="J13" s="4" t="s">
        <v>75</v>
      </c>
      <c r="K13" s="4" t="s">
        <v>58</v>
      </c>
      <c r="L13" s="4" t="str">
        <f>IFERROR(VLOOKUP(J13,'[1]2026'!$AG$3:$AL$233,5,FALSE),"N/A")</f>
        <v>FORD</v>
      </c>
      <c r="M13" s="4" t="str">
        <f>IFERROR(VLOOKUP(J13,'[1]2026'!$AG$3:$AL$233,6,FALSE),"N/A")</f>
        <v>CARGO 2431 L</v>
      </c>
      <c r="N13" s="11" t="s">
        <v>74</v>
      </c>
      <c r="O13" s="8">
        <v>0</v>
      </c>
      <c r="P13" s="8">
        <v>500000</v>
      </c>
      <c r="Q13" s="8">
        <v>40000</v>
      </c>
      <c r="R13" s="8">
        <v>582000</v>
      </c>
      <c r="S13" s="8">
        <v>0</v>
      </c>
      <c r="T13" s="8">
        <v>0</v>
      </c>
      <c r="U13" s="8">
        <v>0</v>
      </c>
      <c r="V13" s="8">
        <v>1122000</v>
      </c>
      <c r="W13" s="19">
        <v>5</v>
      </c>
      <c r="X13" s="19">
        <v>5</v>
      </c>
      <c r="Y13" s="19">
        <v>60</v>
      </c>
      <c r="Z13" s="8">
        <v>18700</v>
      </c>
      <c r="AA13" s="4" t="s">
        <v>44</v>
      </c>
      <c r="AB13" s="89" t="s">
        <v>44</v>
      </c>
      <c r="AC13" s="89" t="s">
        <v>37</v>
      </c>
      <c r="AD13" s="89" t="s">
        <v>68</v>
      </c>
      <c r="AE13" s="89" t="s">
        <v>44</v>
      </c>
      <c r="AF13" s="89" t="s">
        <v>37</v>
      </c>
      <c r="AG13" s="89" t="s">
        <v>68</v>
      </c>
      <c r="AH13" s="18" t="s">
        <v>45</v>
      </c>
    </row>
    <row r="14" spans="1:34" s="5" customFormat="1" ht="15" customHeight="1" x14ac:dyDescent="0.25">
      <c r="A14" s="7">
        <v>13</v>
      </c>
      <c r="B14" s="4" t="s">
        <v>34</v>
      </c>
      <c r="C14" s="13" t="s">
        <v>46</v>
      </c>
      <c r="D14" s="13" t="s">
        <v>62</v>
      </c>
      <c r="E14" s="13" t="s">
        <v>63</v>
      </c>
      <c r="F14" s="13" t="s">
        <v>64</v>
      </c>
      <c r="G14" s="4" t="s">
        <v>38</v>
      </c>
      <c r="H14" s="4">
        <v>411</v>
      </c>
      <c r="I14" s="4" t="s">
        <v>65</v>
      </c>
      <c r="J14" s="4" t="s">
        <v>76</v>
      </c>
      <c r="K14" s="4" t="s">
        <v>58</v>
      </c>
      <c r="L14" s="4" t="str">
        <f>IFERROR(VLOOKUP(J14,'[1]2026'!$AG$3:$AL$233,5,FALSE),"N/A")</f>
        <v>VOLVO</v>
      </c>
      <c r="M14" s="4" t="str">
        <f>IFERROR(VLOOKUP(J14,'[1]2026'!$AG$3:$AL$233,6,FALSE),"N/A")</f>
        <v>VM 330 6X2R</v>
      </c>
      <c r="N14" s="11" t="s">
        <v>77</v>
      </c>
      <c r="O14" s="8">
        <v>0</v>
      </c>
      <c r="P14" s="8">
        <v>540000</v>
      </c>
      <c r="Q14" s="8">
        <v>40000</v>
      </c>
      <c r="R14" s="8">
        <v>582000</v>
      </c>
      <c r="S14" s="8">
        <v>0</v>
      </c>
      <c r="T14" s="8">
        <v>0</v>
      </c>
      <c r="U14" s="8">
        <v>0</v>
      </c>
      <c r="V14" s="8">
        <v>1162000</v>
      </c>
      <c r="W14" s="19">
        <v>5</v>
      </c>
      <c r="X14" s="19">
        <v>5</v>
      </c>
      <c r="Y14" s="19">
        <v>60</v>
      </c>
      <c r="Z14" s="8">
        <v>19366.666666666668</v>
      </c>
      <c r="AA14" s="4" t="s">
        <v>43</v>
      </c>
      <c r="AB14" s="89" t="s">
        <v>44</v>
      </c>
      <c r="AC14" s="89" t="s">
        <v>37</v>
      </c>
      <c r="AD14" s="89" t="s">
        <v>68</v>
      </c>
      <c r="AE14" s="89" t="s">
        <v>44</v>
      </c>
      <c r="AF14" s="89" t="s">
        <v>37</v>
      </c>
      <c r="AG14" s="89" t="s">
        <v>68</v>
      </c>
      <c r="AH14" s="18" t="s">
        <v>45</v>
      </c>
    </row>
    <row r="15" spans="1:34" s="5" customFormat="1" ht="15" customHeight="1" x14ac:dyDescent="0.25">
      <c r="A15" s="7">
        <v>14</v>
      </c>
      <c r="B15" s="4" t="s">
        <v>34</v>
      </c>
      <c r="C15" s="13" t="s">
        <v>53</v>
      </c>
      <c r="D15" s="13" t="s">
        <v>62</v>
      </c>
      <c r="E15" s="13" t="s">
        <v>63</v>
      </c>
      <c r="F15" s="13" t="s">
        <v>64</v>
      </c>
      <c r="G15" s="4" t="s">
        <v>38</v>
      </c>
      <c r="H15" s="4">
        <v>308</v>
      </c>
      <c r="I15" s="4" t="s">
        <v>65</v>
      </c>
      <c r="J15" s="4" t="s">
        <v>78</v>
      </c>
      <c r="K15" s="4" t="s">
        <v>58</v>
      </c>
      <c r="L15" s="4" t="str">
        <f>IFERROR(VLOOKUP(J15,'[1]2026'!$AG$3:$AL$233,5,FALSE),"N/A")</f>
        <v>FORD</v>
      </c>
      <c r="M15" s="4" t="str">
        <f>IFERROR(VLOOKUP(J15,'[1]2026'!$AG$3:$AL$233,6,FALSE),"N/A")</f>
        <v>CARGO 2431 L</v>
      </c>
      <c r="N15" s="26" t="s">
        <v>77</v>
      </c>
      <c r="O15" s="8">
        <v>0</v>
      </c>
      <c r="P15" s="8">
        <v>500000</v>
      </c>
      <c r="Q15" s="8">
        <v>40000</v>
      </c>
      <c r="R15" s="8">
        <v>582000</v>
      </c>
      <c r="S15" s="8">
        <v>0</v>
      </c>
      <c r="T15" s="8">
        <v>0</v>
      </c>
      <c r="U15" s="8">
        <v>0</v>
      </c>
      <c r="V15" s="8">
        <v>1122000</v>
      </c>
      <c r="W15" s="19">
        <v>5</v>
      </c>
      <c r="X15" s="19">
        <v>5</v>
      </c>
      <c r="Y15" s="19">
        <v>60</v>
      </c>
      <c r="Z15" s="8">
        <v>18700</v>
      </c>
      <c r="AA15" s="4" t="s">
        <v>44</v>
      </c>
      <c r="AB15" s="89" t="s">
        <v>44</v>
      </c>
      <c r="AC15" s="89" t="s">
        <v>37</v>
      </c>
      <c r="AD15" s="89" t="s">
        <v>68</v>
      </c>
      <c r="AE15" s="89" t="s">
        <v>44</v>
      </c>
      <c r="AF15" s="89" t="s">
        <v>37</v>
      </c>
      <c r="AG15" s="89" t="s">
        <v>68</v>
      </c>
      <c r="AH15" s="18" t="s">
        <v>45</v>
      </c>
    </row>
    <row r="16" spans="1:34" s="5" customFormat="1" ht="15" customHeight="1" x14ac:dyDescent="0.25">
      <c r="A16" s="7">
        <v>15</v>
      </c>
      <c r="B16" s="4" t="s">
        <v>34</v>
      </c>
      <c r="C16" s="13" t="s">
        <v>49</v>
      </c>
      <c r="D16" s="13" t="s">
        <v>62</v>
      </c>
      <c r="E16" s="13" t="s">
        <v>63</v>
      </c>
      <c r="F16" s="13" t="s">
        <v>64</v>
      </c>
      <c r="G16" s="4" t="s">
        <v>38</v>
      </c>
      <c r="H16" s="4">
        <v>281</v>
      </c>
      <c r="I16" s="4" t="s">
        <v>65</v>
      </c>
      <c r="J16" s="4" t="s">
        <v>79</v>
      </c>
      <c r="K16" s="4" t="s">
        <v>58</v>
      </c>
      <c r="L16" s="4" t="str">
        <f>IFERROR(VLOOKUP(J16,'[1]2026'!$AG$3:$AL$233,5,FALSE),"N/A")</f>
        <v>VOLVO</v>
      </c>
      <c r="M16" s="4" t="str">
        <f>IFERROR(VLOOKUP(J16,'[1]2026'!$AG$3:$AL$233,6,FALSE),"N/A")</f>
        <v>VM 330 6X2R</v>
      </c>
      <c r="N16" s="13" t="s">
        <v>80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550000</v>
      </c>
      <c r="W16" s="19" t="s">
        <v>68</v>
      </c>
      <c r="X16" s="19" t="s">
        <v>68</v>
      </c>
      <c r="Y16" s="19" t="s">
        <v>68</v>
      </c>
      <c r="Z16" s="8">
        <v>9166.6666666666679</v>
      </c>
      <c r="AA16" s="4" t="s">
        <v>44</v>
      </c>
      <c r="AB16" s="89" t="s">
        <v>44</v>
      </c>
      <c r="AC16" s="89" t="s">
        <v>37</v>
      </c>
      <c r="AD16" s="89" t="s">
        <v>68</v>
      </c>
      <c r="AE16" s="89" t="s">
        <v>44</v>
      </c>
      <c r="AF16" s="89" t="s">
        <v>37</v>
      </c>
      <c r="AG16" s="89" t="s">
        <v>68</v>
      </c>
      <c r="AH16" s="18" t="s">
        <v>45</v>
      </c>
    </row>
    <row r="17" spans="1:34" s="5" customFormat="1" ht="15" customHeight="1" x14ac:dyDescent="0.25">
      <c r="A17" s="7">
        <v>16</v>
      </c>
      <c r="B17" s="4" t="s">
        <v>34</v>
      </c>
      <c r="C17" s="13" t="s">
        <v>46</v>
      </c>
      <c r="D17" s="13" t="s">
        <v>62</v>
      </c>
      <c r="E17" s="13" t="s">
        <v>63</v>
      </c>
      <c r="F17" s="13" t="s">
        <v>64</v>
      </c>
      <c r="G17" s="4" t="s">
        <v>38</v>
      </c>
      <c r="H17" s="4">
        <v>303</v>
      </c>
      <c r="I17" s="4" t="s">
        <v>65</v>
      </c>
      <c r="J17" s="90" t="s">
        <v>81</v>
      </c>
      <c r="K17" s="4" t="s">
        <v>58</v>
      </c>
      <c r="L17" s="4" t="str">
        <f>IFERROR(VLOOKUP(J17,'[1]2026'!$AG$3:$AL$233,5,FALSE),"N/A")</f>
        <v>VOLVO</v>
      </c>
      <c r="M17" s="4" t="str">
        <f>IFERROR(VLOOKUP(J17,'[1]2026'!$AG$3:$AL$233,6,FALSE),"N/A")</f>
        <v>VM 330 6X2R</v>
      </c>
      <c r="N17" s="13" t="s">
        <v>82</v>
      </c>
      <c r="O17" s="8">
        <v>0</v>
      </c>
      <c r="P17" s="8">
        <v>540000</v>
      </c>
      <c r="Q17" s="8">
        <v>125000</v>
      </c>
      <c r="R17" s="8">
        <v>397000</v>
      </c>
      <c r="S17" s="8">
        <v>0</v>
      </c>
      <c r="T17" s="8">
        <v>0</v>
      </c>
      <c r="U17" s="8">
        <v>0</v>
      </c>
      <c r="V17" s="8">
        <v>1062000</v>
      </c>
      <c r="W17" s="19">
        <v>5</v>
      </c>
      <c r="X17" s="19">
        <v>5</v>
      </c>
      <c r="Y17" s="19">
        <v>60</v>
      </c>
      <c r="Z17" s="8">
        <v>17700</v>
      </c>
      <c r="AA17" s="4" t="s">
        <v>44</v>
      </c>
      <c r="AB17" s="89" t="s">
        <v>44</v>
      </c>
      <c r="AC17" s="89" t="s">
        <v>37</v>
      </c>
      <c r="AD17" s="89" t="s">
        <v>68</v>
      </c>
      <c r="AE17" s="89" t="s">
        <v>44</v>
      </c>
      <c r="AF17" s="89" t="s">
        <v>37</v>
      </c>
      <c r="AG17" s="89" t="s">
        <v>68</v>
      </c>
      <c r="AH17" s="18" t="s">
        <v>45</v>
      </c>
    </row>
    <row r="18" spans="1:34" s="5" customFormat="1" ht="15" customHeight="1" x14ac:dyDescent="0.25">
      <c r="A18" s="7">
        <v>17</v>
      </c>
      <c r="B18" s="4" t="s">
        <v>34</v>
      </c>
      <c r="C18" s="13" t="s">
        <v>49</v>
      </c>
      <c r="D18" s="13" t="s">
        <v>62</v>
      </c>
      <c r="E18" s="13" t="s">
        <v>63</v>
      </c>
      <c r="F18" s="13" t="s">
        <v>64</v>
      </c>
      <c r="G18" s="4" t="s">
        <v>38</v>
      </c>
      <c r="H18" s="4">
        <v>279</v>
      </c>
      <c r="I18" s="4" t="s">
        <v>65</v>
      </c>
      <c r="J18" s="4" t="s">
        <v>83</v>
      </c>
      <c r="K18" s="4" t="s">
        <v>58</v>
      </c>
      <c r="L18" s="4" t="str">
        <f>IFERROR(VLOOKUP(J18,'[1]2026'!$AG$3:$AL$233,5,FALSE),"N/A")</f>
        <v>VOLVO</v>
      </c>
      <c r="M18" s="4" t="str">
        <f>IFERROR(VLOOKUP(J18,'[1]2026'!$AG$3:$AL$233,6,FALSE),"N/A")</f>
        <v>VM 330 6X2R</v>
      </c>
      <c r="N18" s="13" t="s">
        <v>82</v>
      </c>
      <c r="O18" s="8">
        <v>0</v>
      </c>
      <c r="P18" s="8">
        <v>540000</v>
      </c>
      <c r="Q18" s="8">
        <v>125000</v>
      </c>
      <c r="R18" s="8">
        <v>397000</v>
      </c>
      <c r="S18" s="8">
        <v>0</v>
      </c>
      <c r="T18" s="8">
        <v>0</v>
      </c>
      <c r="U18" s="8">
        <v>0</v>
      </c>
      <c r="V18" s="8">
        <v>1062000</v>
      </c>
      <c r="W18" s="19">
        <v>5</v>
      </c>
      <c r="X18" s="19">
        <v>5</v>
      </c>
      <c r="Y18" s="19">
        <v>60</v>
      </c>
      <c r="Z18" s="8">
        <v>17700</v>
      </c>
      <c r="AA18" s="4" t="s">
        <v>44</v>
      </c>
      <c r="AB18" s="89" t="s">
        <v>44</v>
      </c>
      <c r="AC18" s="89" t="s">
        <v>37</v>
      </c>
      <c r="AD18" s="89" t="s">
        <v>68</v>
      </c>
      <c r="AE18" s="89" t="s">
        <v>44</v>
      </c>
      <c r="AF18" s="89" t="s">
        <v>37</v>
      </c>
      <c r="AG18" s="89" t="s">
        <v>68</v>
      </c>
      <c r="AH18" s="18" t="s">
        <v>45</v>
      </c>
    </row>
    <row r="19" spans="1:34" s="5" customFormat="1" ht="15" customHeight="1" x14ac:dyDescent="0.25">
      <c r="A19" s="7">
        <v>18</v>
      </c>
      <c r="B19" s="4" t="s">
        <v>34</v>
      </c>
      <c r="C19" s="13" t="s">
        <v>51</v>
      </c>
      <c r="D19" s="13" t="s">
        <v>62</v>
      </c>
      <c r="E19" s="13" t="s">
        <v>63</v>
      </c>
      <c r="F19" s="13" t="s">
        <v>64</v>
      </c>
      <c r="G19" s="4" t="s">
        <v>38</v>
      </c>
      <c r="H19" s="4">
        <v>306</v>
      </c>
      <c r="I19" s="4" t="s">
        <v>65</v>
      </c>
      <c r="J19" s="4" t="s">
        <v>84</v>
      </c>
      <c r="K19" s="4" t="s">
        <v>58</v>
      </c>
      <c r="L19" s="4" t="str">
        <f>IFERROR(VLOOKUP(J19,'[1]2026'!$AG$3:$AL$233,5,FALSE),"N/A")</f>
        <v>VOLVO</v>
      </c>
      <c r="M19" s="4" t="str">
        <f>IFERROR(VLOOKUP(J19,'[1]2026'!$AG$3:$AL$233,6,FALSE),"N/A")</f>
        <v>VM 330 6X2R</v>
      </c>
      <c r="N19" s="13" t="s">
        <v>82</v>
      </c>
      <c r="O19" s="8">
        <v>0</v>
      </c>
      <c r="P19" s="8">
        <v>540000</v>
      </c>
      <c r="Q19" s="8">
        <v>125000</v>
      </c>
      <c r="R19" s="8">
        <v>397000</v>
      </c>
      <c r="S19" s="8">
        <v>0</v>
      </c>
      <c r="T19" s="8">
        <v>0</v>
      </c>
      <c r="U19" s="8">
        <v>0</v>
      </c>
      <c r="V19" s="8">
        <v>1062000</v>
      </c>
      <c r="W19" s="19">
        <v>5</v>
      </c>
      <c r="X19" s="19">
        <v>5</v>
      </c>
      <c r="Y19" s="19">
        <v>60</v>
      </c>
      <c r="Z19" s="8">
        <v>17700</v>
      </c>
      <c r="AA19" s="4" t="s">
        <v>44</v>
      </c>
      <c r="AB19" s="89" t="s">
        <v>44</v>
      </c>
      <c r="AC19" s="89" t="s">
        <v>37</v>
      </c>
      <c r="AD19" s="89" t="s">
        <v>68</v>
      </c>
      <c r="AE19" s="89" t="s">
        <v>44</v>
      </c>
      <c r="AF19" s="89" t="s">
        <v>37</v>
      </c>
      <c r="AG19" s="89" t="s">
        <v>68</v>
      </c>
      <c r="AH19" s="18" t="s">
        <v>45</v>
      </c>
    </row>
    <row r="20" spans="1:34" s="5" customFormat="1" ht="15" customHeight="1" x14ac:dyDescent="0.25">
      <c r="A20" s="7">
        <v>19</v>
      </c>
      <c r="B20" s="4" t="s">
        <v>34</v>
      </c>
      <c r="C20" s="13" t="s">
        <v>53</v>
      </c>
      <c r="D20" s="13" t="s">
        <v>62</v>
      </c>
      <c r="E20" s="13" t="s">
        <v>63</v>
      </c>
      <c r="F20" s="13" t="s">
        <v>64</v>
      </c>
      <c r="G20" s="4" t="s">
        <v>38</v>
      </c>
      <c r="H20" s="4">
        <v>294</v>
      </c>
      <c r="I20" s="4" t="s">
        <v>65</v>
      </c>
      <c r="J20" s="4" t="s">
        <v>85</v>
      </c>
      <c r="K20" s="4" t="s">
        <v>58</v>
      </c>
      <c r="L20" s="4" t="str">
        <f>IFERROR(VLOOKUP(J20,'[1]2026'!$AG$3:$AL$233,5,FALSE),"N/A")</f>
        <v>VOLVO</v>
      </c>
      <c r="M20" s="4" t="str">
        <f>IFERROR(VLOOKUP(J20,'[1]2026'!$AG$3:$AL$233,6,FALSE),"N/A")</f>
        <v>VM 330 6X2R</v>
      </c>
      <c r="N20" s="13" t="s">
        <v>82</v>
      </c>
      <c r="O20" s="8">
        <v>0</v>
      </c>
      <c r="P20" s="8">
        <v>540000</v>
      </c>
      <c r="Q20" s="8">
        <v>125000</v>
      </c>
      <c r="R20" s="8">
        <v>397000</v>
      </c>
      <c r="S20" s="8">
        <v>0</v>
      </c>
      <c r="T20" s="8">
        <v>0</v>
      </c>
      <c r="U20" s="8">
        <v>0</v>
      </c>
      <c r="V20" s="8">
        <v>1062000</v>
      </c>
      <c r="W20" s="19">
        <v>5</v>
      </c>
      <c r="X20" s="19">
        <v>5</v>
      </c>
      <c r="Y20" s="19">
        <v>60</v>
      </c>
      <c r="Z20" s="8">
        <v>17700</v>
      </c>
      <c r="AA20" s="4" t="s">
        <v>44</v>
      </c>
      <c r="AB20" s="89" t="s">
        <v>44</v>
      </c>
      <c r="AC20" s="89" t="s">
        <v>37</v>
      </c>
      <c r="AD20" s="89" t="s">
        <v>68</v>
      </c>
      <c r="AE20" s="89" t="s">
        <v>44</v>
      </c>
      <c r="AF20" s="89" t="s">
        <v>37</v>
      </c>
      <c r="AG20" s="89" t="s">
        <v>68</v>
      </c>
      <c r="AH20" s="18" t="s">
        <v>45</v>
      </c>
    </row>
    <row r="21" spans="1:34" s="5" customFormat="1" ht="15" customHeight="1" x14ac:dyDescent="0.25">
      <c r="A21" s="7">
        <v>20</v>
      </c>
      <c r="B21" s="4" t="s">
        <v>34</v>
      </c>
      <c r="C21" s="13" t="s">
        <v>46</v>
      </c>
      <c r="D21" s="13" t="s">
        <v>62</v>
      </c>
      <c r="E21" s="13" t="s">
        <v>63</v>
      </c>
      <c r="F21" s="13" t="s">
        <v>64</v>
      </c>
      <c r="G21" s="4" t="s">
        <v>38</v>
      </c>
      <c r="H21" s="4">
        <v>349</v>
      </c>
      <c r="I21" s="4" t="s">
        <v>65</v>
      </c>
      <c r="J21" s="4" t="s">
        <v>86</v>
      </c>
      <c r="K21" s="4" t="s">
        <v>58</v>
      </c>
      <c r="L21" s="4" t="str">
        <f>IFERROR(VLOOKUP(J21,'[1]2026'!$AG$3:$AL$233,5,FALSE),"N/A")</f>
        <v>VOLVO</v>
      </c>
      <c r="M21" s="4" t="str">
        <f>IFERROR(VLOOKUP(J21,'[1]2026'!$AG$3:$AL$233,6,FALSE),"N/A")</f>
        <v>VM 330 6X2R</v>
      </c>
      <c r="N21" s="29" t="s">
        <v>82</v>
      </c>
      <c r="O21" s="8">
        <v>0</v>
      </c>
      <c r="P21" s="8">
        <v>540000</v>
      </c>
      <c r="Q21" s="8">
        <v>125000</v>
      </c>
      <c r="R21" s="8">
        <v>397000</v>
      </c>
      <c r="S21" s="8">
        <v>0</v>
      </c>
      <c r="T21" s="8">
        <v>0</v>
      </c>
      <c r="U21" s="8">
        <v>0</v>
      </c>
      <c r="V21" s="8">
        <v>1062000</v>
      </c>
      <c r="W21" s="19">
        <v>5</v>
      </c>
      <c r="X21" s="19">
        <v>5</v>
      </c>
      <c r="Y21" s="19">
        <v>60</v>
      </c>
      <c r="Z21" s="8">
        <v>17700</v>
      </c>
      <c r="AA21" s="4" t="s">
        <v>44</v>
      </c>
      <c r="AB21" s="89" t="s">
        <v>44</v>
      </c>
      <c r="AC21" s="89" t="s">
        <v>37</v>
      </c>
      <c r="AD21" s="89" t="s">
        <v>68</v>
      </c>
      <c r="AE21" s="89" t="s">
        <v>44</v>
      </c>
      <c r="AF21" s="89" t="s">
        <v>37</v>
      </c>
      <c r="AG21" s="89" t="s">
        <v>68</v>
      </c>
      <c r="AH21" s="18" t="s">
        <v>45</v>
      </c>
    </row>
    <row r="22" spans="1:34" s="5" customFormat="1" ht="15" customHeight="1" x14ac:dyDescent="0.25">
      <c r="A22" s="7">
        <v>21</v>
      </c>
      <c r="B22" s="4" t="s">
        <v>34</v>
      </c>
      <c r="C22" s="13" t="s">
        <v>35</v>
      </c>
      <c r="D22" s="13" t="s">
        <v>62</v>
      </c>
      <c r="E22" s="13" t="s">
        <v>63</v>
      </c>
      <c r="F22" s="13" t="s">
        <v>64</v>
      </c>
      <c r="G22" s="4" t="s">
        <v>38</v>
      </c>
      <c r="H22" s="4">
        <v>288</v>
      </c>
      <c r="I22" s="4" t="s">
        <v>65</v>
      </c>
      <c r="J22" s="4" t="s">
        <v>87</v>
      </c>
      <c r="K22" s="4" t="s">
        <v>58</v>
      </c>
      <c r="L22" s="4" t="str">
        <f>IFERROR(VLOOKUP(J22,'[1]2026'!$AG$3:$AL$233,5,FALSE),"N/A")</f>
        <v>VOLVO</v>
      </c>
      <c r="M22" s="4" t="str">
        <f>IFERROR(VLOOKUP(J22,'[1]2026'!$AG$3:$AL$233,6,FALSE),"N/A")</f>
        <v>VM 330 6X2R</v>
      </c>
      <c r="N22" s="13" t="s">
        <v>82</v>
      </c>
      <c r="O22" s="8">
        <v>0</v>
      </c>
      <c r="P22" s="8">
        <v>540000</v>
      </c>
      <c r="Q22" s="8">
        <v>125000</v>
      </c>
      <c r="R22" s="8">
        <v>397000</v>
      </c>
      <c r="S22" s="8">
        <v>0</v>
      </c>
      <c r="T22" s="8">
        <v>0</v>
      </c>
      <c r="U22" s="8">
        <v>0</v>
      </c>
      <c r="V22" s="8">
        <v>1062000</v>
      </c>
      <c r="W22" s="19">
        <v>5</v>
      </c>
      <c r="X22" s="19">
        <v>5</v>
      </c>
      <c r="Y22" s="19">
        <v>60</v>
      </c>
      <c r="Z22" s="8">
        <v>17700</v>
      </c>
      <c r="AA22" s="4" t="s">
        <v>44</v>
      </c>
      <c r="AB22" s="89" t="s">
        <v>44</v>
      </c>
      <c r="AC22" s="89" t="s">
        <v>37</v>
      </c>
      <c r="AD22" s="89" t="s">
        <v>68</v>
      </c>
      <c r="AE22" s="89" t="s">
        <v>44</v>
      </c>
      <c r="AF22" s="89" t="s">
        <v>37</v>
      </c>
      <c r="AG22" s="89" t="s">
        <v>68</v>
      </c>
      <c r="AH22" s="18" t="s">
        <v>45</v>
      </c>
    </row>
    <row r="23" spans="1:34" s="5" customFormat="1" ht="15" customHeight="1" x14ac:dyDescent="0.25">
      <c r="A23" s="7">
        <v>22</v>
      </c>
      <c r="B23" s="4" t="s">
        <v>34</v>
      </c>
      <c r="C23" s="13" t="s">
        <v>35</v>
      </c>
      <c r="D23" s="13" t="s">
        <v>62</v>
      </c>
      <c r="E23" s="13" t="s">
        <v>63</v>
      </c>
      <c r="F23" s="13" t="s">
        <v>64</v>
      </c>
      <c r="G23" s="4" t="s">
        <v>38</v>
      </c>
      <c r="H23" s="4">
        <v>322</v>
      </c>
      <c r="I23" s="4" t="s">
        <v>65</v>
      </c>
      <c r="J23" s="4" t="s">
        <v>88</v>
      </c>
      <c r="K23" s="4" t="s">
        <v>58</v>
      </c>
      <c r="L23" s="4" t="str">
        <f>IFERROR(VLOOKUP(J23,'[1]2026'!$AG$3:$AL$233,5,FALSE),"N/A")</f>
        <v>VOLVO</v>
      </c>
      <c r="M23" s="4" t="str">
        <f>IFERROR(VLOOKUP(J23,'[1]2026'!$AG$3:$AL$233,6,FALSE),"N/A")</f>
        <v>VM 330 6X2R</v>
      </c>
      <c r="N23" s="11" t="s">
        <v>82</v>
      </c>
      <c r="O23" s="8">
        <v>0</v>
      </c>
      <c r="P23" s="8">
        <v>550000</v>
      </c>
      <c r="Q23" s="8">
        <v>125000</v>
      </c>
      <c r="R23" s="8">
        <v>397000</v>
      </c>
      <c r="S23" s="8">
        <v>0</v>
      </c>
      <c r="T23" s="8">
        <v>0</v>
      </c>
      <c r="U23" s="8">
        <v>0</v>
      </c>
      <c r="V23" s="8">
        <v>1072000</v>
      </c>
      <c r="W23" s="19" t="s">
        <v>68</v>
      </c>
      <c r="X23" s="19" t="s">
        <v>68</v>
      </c>
      <c r="Y23" s="19" t="s">
        <v>68</v>
      </c>
      <c r="Z23" s="8">
        <v>17866.666666666668</v>
      </c>
      <c r="AA23" s="4" t="s">
        <v>44</v>
      </c>
      <c r="AB23" s="89" t="s">
        <v>44</v>
      </c>
      <c r="AC23" s="89" t="s">
        <v>37</v>
      </c>
      <c r="AD23" s="89" t="s">
        <v>68</v>
      </c>
      <c r="AE23" s="89" t="s">
        <v>44</v>
      </c>
      <c r="AF23" s="89" t="s">
        <v>37</v>
      </c>
      <c r="AG23" s="89" t="s">
        <v>68</v>
      </c>
      <c r="AH23" s="18" t="s">
        <v>45</v>
      </c>
    </row>
    <row r="24" spans="1:34" s="5" customFormat="1" ht="15" customHeight="1" x14ac:dyDescent="0.25">
      <c r="A24" s="7">
        <v>23</v>
      </c>
      <c r="B24" s="4" t="s">
        <v>34</v>
      </c>
      <c r="C24" s="13" t="s">
        <v>35</v>
      </c>
      <c r="D24" s="13" t="s">
        <v>62</v>
      </c>
      <c r="E24" s="13" t="s">
        <v>63</v>
      </c>
      <c r="F24" s="13" t="s">
        <v>64</v>
      </c>
      <c r="G24" s="4" t="s">
        <v>38</v>
      </c>
      <c r="H24" s="4">
        <v>361</v>
      </c>
      <c r="I24" s="4" t="s">
        <v>65</v>
      </c>
      <c r="J24" s="4" t="s">
        <v>89</v>
      </c>
      <c r="K24" s="4" t="s">
        <v>58</v>
      </c>
      <c r="L24" s="4" t="str">
        <f>IFERROR(VLOOKUP(J24,'[1]2026'!$AG$3:$AL$233,5,FALSE),"N/A")</f>
        <v>VOLVO</v>
      </c>
      <c r="M24" s="4" t="str">
        <f>IFERROR(VLOOKUP(J24,'[1]2026'!$AG$3:$AL$233,6,FALSE),"N/A")</f>
        <v>VM 330 8X2R</v>
      </c>
      <c r="N24" s="13" t="s">
        <v>90</v>
      </c>
      <c r="O24" s="8">
        <v>0</v>
      </c>
      <c r="P24" s="8">
        <v>640000</v>
      </c>
      <c r="Q24" s="8">
        <v>125000</v>
      </c>
      <c r="R24" s="8">
        <v>275000</v>
      </c>
      <c r="S24" s="8">
        <v>0</v>
      </c>
      <c r="T24" s="8">
        <v>0</v>
      </c>
      <c r="U24" s="8">
        <v>0</v>
      </c>
      <c r="V24" s="8">
        <v>1040000</v>
      </c>
      <c r="W24" s="19">
        <v>5</v>
      </c>
      <c r="X24" s="19">
        <v>5</v>
      </c>
      <c r="Y24" s="19">
        <v>60</v>
      </c>
      <c r="Z24" s="8">
        <v>17333.333333333336</v>
      </c>
      <c r="AA24" s="4" t="s">
        <v>91</v>
      </c>
      <c r="AB24" s="89" t="s">
        <v>44</v>
      </c>
      <c r="AC24" s="89" t="s">
        <v>37</v>
      </c>
      <c r="AD24" s="89" t="s">
        <v>68</v>
      </c>
      <c r="AE24" s="89" t="s">
        <v>44</v>
      </c>
      <c r="AF24" s="89" t="s">
        <v>37</v>
      </c>
      <c r="AG24" s="89" t="s">
        <v>68</v>
      </c>
      <c r="AH24" s="18" t="s">
        <v>45</v>
      </c>
    </row>
    <row r="25" spans="1:34" s="5" customFormat="1" ht="15" customHeight="1" x14ac:dyDescent="0.25">
      <c r="A25" s="7">
        <v>24</v>
      </c>
      <c r="B25" s="4" t="s">
        <v>34</v>
      </c>
      <c r="C25" s="13" t="s">
        <v>53</v>
      </c>
      <c r="D25" s="13" t="s">
        <v>62</v>
      </c>
      <c r="E25" s="13" t="s">
        <v>63</v>
      </c>
      <c r="F25" s="13" t="s">
        <v>64</v>
      </c>
      <c r="G25" s="4" t="s">
        <v>38</v>
      </c>
      <c r="H25" s="4">
        <v>299</v>
      </c>
      <c r="I25" s="4" t="s">
        <v>65</v>
      </c>
      <c r="J25" s="4" t="s">
        <v>92</v>
      </c>
      <c r="K25" s="4" t="s">
        <v>58</v>
      </c>
      <c r="L25" s="4" t="str">
        <f>IFERROR(VLOOKUP(J25,'[1]2026'!$AG$3:$AL$233,5,FALSE),"N/A")</f>
        <v>VOLVO</v>
      </c>
      <c r="M25" s="4" t="str">
        <f>IFERROR(VLOOKUP(J25,'[1]2026'!$AG$3:$AL$233,6,FALSE),"N/A")</f>
        <v>VM 330 6X2R</v>
      </c>
      <c r="N25" s="13" t="s">
        <v>93</v>
      </c>
      <c r="O25" s="8">
        <v>0</v>
      </c>
      <c r="P25" s="8">
        <v>665000</v>
      </c>
      <c r="Q25" s="8">
        <v>125000</v>
      </c>
      <c r="R25" s="8">
        <v>0</v>
      </c>
      <c r="S25" s="8">
        <v>0</v>
      </c>
      <c r="T25" s="8">
        <v>0</v>
      </c>
      <c r="U25" s="8">
        <v>0</v>
      </c>
      <c r="V25" s="8">
        <v>790000</v>
      </c>
      <c r="W25" s="19">
        <v>5</v>
      </c>
      <c r="X25" s="19">
        <v>5</v>
      </c>
      <c r="Y25" s="19">
        <v>60</v>
      </c>
      <c r="Z25" s="8">
        <v>13166.666666666668</v>
      </c>
      <c r="AA25" s="4" t="s">
        <v>44</v>
      </c>
      <c r="AB25" s="89" t="s">
        <v>44</v>
      </c>
      <c r="AC25" s="89" t="s">
        <v>37</v>
      </c>
      <c r="AD25" s="89" t="s">
        <v>68</v>
      </c>
      <c r="AE25" s="89" t="s">
        <v>44</v>
      </c>
      <c r="AF25" s="89" t="s">
        <v>37</v>
      </c>
      <c r="AG25" s="89" t="s">
        <v>68</v>
      </c>
      <c r="AH25" s="18" t="s">
        <v>45</v>
      </c>
    </row>
    <row r="26" spans="1:34" s="5" customFormat="1" ht="15" customHeight="1" x14ac:dyDescent="0.25">
      <c r="A26" s="7">
        <v>25</v>
      </c>
      <c r="B26" s="4" t="s">
        <v>34</v>
      </c>
      <c r="C26" s="13" t="s">
        <v>53</v>
      </c>
      <c r="D26" s="13" t="s">
        <v>62</v>
      </c>
      <c r="E26" s="13" t="s">
        <v>63</v>
      </c>
      <c r="F26" s="13" t="s">
        <v>64</v>
      </c>
      <c r="G26" s="4" t="s">
        <v>38</v>
      </c>
      <c r="H26" s="4">
        <v>297</v>
      </c>
      <c r="I26" s="4" t="s">
        <v>65</v>
      </c>
      <c r="J26" s="4" t="s">
        <v>94</v>
      </c>
      <c r="K26" s="4" t="s">
        <v>58</v>
      </c>
      <c r="L26" s="4" t="str">
        <f>IFERROR(VLOOKUP(J26,'[1]2026'!$AG$3:$AL$233,5,FALSE),"N/A")</f>
        <v>VOLVO</v>
      </c>
      <c r="M26" s="4" t="str">
        <f>IFERROR(VLOOKUP(J26,'[1]2026'!$AG$3:$AL$233,6,FALSE),"N/A")</f>
        <v>VM 330 6X2R</v>
      </c>
      <c r="N26" s="11" t="s">
        <v>95</v>
      </c>
      <c r="O26" s="8">
        <v>0</v>
      </c>
      <c r="P26" s="8">
        <v>540000</v>
      </c>
      <c r="Q26" s="8">
        <v>40000</v>
      </c>
      <c r="R26" s="8">
        <v>582000</v>
      </c>
      <c r="S26" s="8">
        <v>0</v>
      </c>
      <c r="T26" s="8">
        <v>0</v>
      </c>
      <c r="U26" s="8">
        <v>0</v>
      </c>
      <c r="V26" s="8">
        <v>1162000</v>
      </c>
      <c r="W26" s="19">
        <v>5</v>
      </c>
      <c r="X26" s="19">
        <v>5</v>
      </c>
      <c r="Y26" s="19">
        <v>60</v>
      </c>
      <c r="Z26" s="8">
        <v>19366.666666666668</v>
      </c>
      <c r="AA26" s="4" t="s">
        <v>44</v>
      </c>
      <c r="AB26" s="89" t="s">
        <v>44</v>
      </c>
      <c r="AC26" s="89" t="s">
        <v>37</v>
      </c>
      <c r="AD26" s="89" t="s">
        <v>68</v>
      </c>
      <c r="AE26" s="89" t="s">
        <v>44</v>
      </c>
      <c r="AF26" s="89" t="s">
        <v>37</v>
      </c>
      <c r="AG26" s="89" t="s">
        <v>68</v>
      </c>
      <c r="AH26" s="18" t="s">
        <v>45</v>
      </c>
    </row>
    <row r="27" spans="1:34" s="5" customFormat="1" ht="15" customHeight="1" x14ac:dyDescent="0.25">
      <c r="A27" s="7">
        <v>26</v>
      </c>
      <c r="B27" s="4" t="s">
        <v>34</v>
      </c>
      <c r="C27" s="13" t="s">
        <v>35</v>
      </c>
      <c r="D27" s="13" t="s">
        <v>62</v>
      </c>
      <c r="E27" s="13" t="s">
        <v>63</v>
      </c>
      <c r="F27" s="13" t="s">
        <v>64</v>
      </c>
      <c r="G27" s="4" t="s">
        <v>38</v>
      </c>
      <c r="H27" s="4">
        <v>311</v>
      </c>
      <c r="I27" s="4" t="s">
        <v>65</v>
      </c>
      <c r="J27" s="4" t="s">
        <v>96</v>
      </c>
      <c r="K27" s="4" t="s">
        <v>58</v>
      </c>
      <c r="L27" s="4" t="str">
        <f>IFERROR(VLOOKUP(J27,'[1]2026'!$AG$3:$AL$233,5,FALSE),"N/A")</f>
        <v>FORD</v>
      </c>
      <c r="M27" s="4" t="str">
        <f>IFERROR(VLOOKUP(J27,'[1]2026'!$AG$3:$AL$233,6,FALSE),"N/A")</f>
        <v>CARGO 1317 E</v>
      </c>
      <c r="N27" s="13" t="s">
        <v>97</v>
      </c>
      <c r="O27" s="8">
        <v>0</v>
      </c>
      <c r="P27" s="8">
        <v>460000</v>
      </c>
      <c r="Q27" s="8">
        <v>125000</v>
      </c>
      <c r="R27" s="8">
        <v>0</v>
      </c>
      <c r="S27" s="8">
        <v>0</v>
      </c>
      <c r="T27" s="8">
        <v>0</v>
      </c>
      <c r="U27" s="8">
        <v>0</v>
      </c>
      <c r="V27" s="8">
        <v>585000</v>
      </c>
      <c r="W27" s="19">
        <v>5</v>
      </c>
      <c r="X27" s="19">
        <v>5</v>
      </c>
      <c r="Y27" s="19">
        <v>60</v>
      </c>
      <c r="Z27" s="8">
        <v>9750</v>
      </c>
      <c r="AA27" s="4" t="s">
        <v>44</v>
      </c>
      <c r="AB27" s="89" t="s">
        <v>44</v>
      </c>
      <c r="AC27" s="89" t="s">
        <v>37</v>
      </c>
      <c r="AD27" s="89" t="s">
        <v>68</v>
      </c>
      <c r="AE27" s="89" t="s">
        <v>44</v>
      </c>
      <c r="AF27" s="89" t="s">
        <v>37</v>
      </c>
      <c r="AG27" s="89" t="s">
        <v>68</v>
      </c>
      <c r="AH27" s="18" t="s">
        <v>45</v>
      </c>
    </row>
    <row r="28" spans="1:34" s="5" customFormat="1" ht="15" customHeight="1" x14ac:dyDescent="0.25">
      <c r="A28" s="7">
        <v>27</v>
      </c>
      <c r="B28" s="4" t="s">
        <v>34</v>
      </c>
      <c r="C28" s="13" t="s">
        <v>55</v>
      </c>
      <c r="D28" s="13" t="s">
        <v>56</v>
      </c>
      <c r="E28" s="13" t="s">
        <v>37</v>
      </c>
      <c r="F28" s="13" t="s">
        <v>37</v>
      </c>
      <c r="G28" s="4" t="s">
        <v>38</v>
      </c>
      <c r="H28" s="4">
        <v>343</v>
      </c>
      <c r="I28" s="4" t="s">
        <v>39</v>
      </c>
      <c r="J28" s="4" t="s">
        <v>98</v>
      </c>
      <c r="K28" s="4" t="s">
        <v>58</v>
      </c>
      <c r="L28" s="4" t="str">
        <f>IFERROR(VLOOKUP(J28,'[1]2026'!$AG$3:$AL$233,5,FALSE),"N/A")</f>
        <v>FORD</v>
      </c>
      <c r="M28" s="4" t="str">
        <f>IFERROR(VLOOKUP(J28,'[1]2026'!$AG$3:$AL$233,6,FALSE),"N/A")</f>
        <v>CARGO 2422 T</v>
      </c>
      <c r="N28" s="13" t="s">
        <v>99</v>
      </c>
      <c r="O28" s="8">
        <v>0</v>
      </c>
      <c r="P28" s="8">
        <v>480000</v>
      </c>
      <c r="Q28" s="8">
        <v>30000</v>
      </c>
      <c r="R28" s="8">
        <v>0</v>
      </c>
      <c r="S28" s="8">
        <v>0</v>
      </c>
      <c r="T28" s="8">
        <v>0</v>
      </c>
      <c r="U28" s="8">
        <v>0</v>
      </c>
      <c r="V28" s="8">
        <v>510000</v>
      </c>
      <c r="W28" s="19">
        <v>5</v>
      </c>
      <c r="X28" s="19">
        <v>5</v>
      </c>
      <c r="Y28" s="19">
        <v>60</v>
      </c>
      <c r="Z28" s="8">
        <v>8500</v>
      </c>
      <c r="AA28" s="4" t="s">
        <v>44</v>
      </c>
      <c r="AB28" s="89" t="s">
        <v>44</v>
      </c>
      <c r="AC28" s="92" t="s">
        <v>37</v>
      </c>
      <c r="AD28" s="92" t="s">
        <v>37</v>
      </c>
      <c r="AE28" s="89" t="s">
        <v>44</v>
      </c>
      <c r="AF28" s="92" t="s">
        <v>37</v>
      </c>
      <c r="AG28" s="92" t="s">
        <v>37</v>
      </c>
      <c r="AH28" s="18" t="s">
        <v>45</v>
      </c>
    </row>
    <row r="29" spans="1:34" s="5" customFormat="1" ht="15" customHeight="1" x14ac:dyDescent="0.25">
      <c r="A29" s="7">
        <v>28</v>
      </c>
      <c r="B29" s="4" t="s">
        <v>34</v>
      </c>
      <c r="C29" s="13" t="s">
        <v>55</v>
      </c>
      <c r="D29" s="13" t="s">
        <v>56</v>
      </c>
      <c r="E29" s="13" t="s">
        <v>37</v>
      </c>
      <c r="F29" s="13" t="s">
        <v>37</v>
      </c>
      <c r="G29" s="4" t="s">
        <v>38</v>
      </c>
      <c r="H29" s="4">
        <v>344</v>
      </c>
      <c r="I29" s="4" t="s">
        <v>39</v>
      </c>
      <c r="J29" s="4" t="s">
        <v>100</v>
      </c>
      <c r="K29" s="4" t="s">
        <v>58</v>
      </c>
      <c r="L29" s="4" t="str">
        <f>IFERROR(VLOOKUP(J29,'[1]2026'!$AG$3:$AL$233,5,FALSE),"N/A")</f>
        <v>FORD</v>
      </c>
      <c r="M29" s="4" t="str">
        <f>IFERROR(VLOOKUP(J29,'[1]2026'!$AG$3:$AL$233,6,FALSE),"N/A")</f>
        <v>CARGO 2422 T</v>
      </c>
      <c r="N29" s="13" t="s">
        <v>99</v>
      </c>
      <c r="O29" s="8">
        <v>0</v>
      </c>
      <c r="P29" s="8">
        <v>480000</v>
      </c>
      <c r="Q29" s="8">
        <v>30000</v>
      </c>
      <c r="R29" s="8">
        <v>0</v>
      </c>
      <c r="S29" s="8">
        <v>0</v>
      </c>
      <c r="T29" s="8">
        <v>0</v>
      </c>
      <c r="U29" s="8">
        <v>0</v>
      </c>
      <c r="V29" s="8">
        <v>510000</v>
      </c>
      <c r="W29" s="19">
        <v>5</v>
      </c>
      <c r="X29" s="19">
        <v>5</v>
      </c>
      <c r="Y29" s="19">
        <v>60</v>
      </c>
      <c r="Z29" s="8">
        <v>8500</v>
      </c>
      <c r="AA29" s="4" t="s">
        <v>44</v>
      </c>
      <c r="AB29" s="89" t="s">
        <v>44</v>
      </c>
      <c r="AC29" s="92" t="s">
        <v>37</v>
      </c>
      <c r="AD29" s="92" t="s">
        <v>37</v>
      </c>
      <c r="AE29" s="89" t="s">
        <v>44</v>
      </c>
      <c r="AF29" s="92" t="s">
        <v>37</v>
      </c>
      <c r="AG29" s="92" t="s">
        <v>37</v>
      </c>
      <c r="AH29" s="18" t="s">
        <v>45</v>
      </c>
    </row>
    <row r="30" spans="1:34" s="5" customFormat="1" ht="15" customHeight="1" x14ac:dyDescent="0.25">
      <c r="A30" s="7">
        <v>29</v>
      </c>
      <c r="B30" s="4" t="s">
        <v>34</v>
      </c>
      <c r="C30" s="13" t="s">
        <v>101</v>
      </c>
      <c r="D30" s="13" t="s">
        <v>102</v>
      </c>
      <c r="E30" s="13" t="s">
        <v>103</v>
      </c>
      <c r="F30" s="13" t="s">
        <v>104</v>
      </c>
      <c r="G30" s="4" t="s">
        <v>38</v>
      </c>
      <c r="H30" s="4">
        <v>381</v>
      </c>
      <c r="I30" s="4" t="s">
        <v>65</v>
      </c>
      <c r="J30" s="4" t="s">
        <v>105</v>
      </c>
      <c r="K30" s="4" t="s">
        <v>58</v>
      </c>
      <c r="L30" s="4" t="str">
        <f>IFERROR(VLOOKUP(J30,'[1]2026'!$AG$3:$AL$233,5,FALSE),"N/A")</f>
        <v>VOLVO</v>
      </c>
      <c r="M30" s="4" t="str">
        <f>IFERROR(VLOOKUP(J30,'[1]2026'!$AG$3:$AL$233,6,FALSE),"N/A")</f>
        <v>VM 330 6X4R</v>
      </c>
      <c r="N30" s="13" t="s">
        <v>106</v>
      </c>
      <c r="O30" s="8">
        <v>0</v>
      </c>
      <c r="P30" s="8">
        <v>540000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540000</v>
      </c>
      <c r="W30" s="19">
        <v>5</v>
      </c>
      <c r="X30" s="19">
        <v>5</v>
      </c>
      <c r="Y30" s="19">
        <v>60</v>
      </c>
      <c r="Z30" s="8">
        <v>9000</v>
      </c>
      <c r="AA30" s="4" t="s">
        <v>43</v>
      </c>
      <c r="AB30" s="89" t="s">
        <v>44</v>
      </c>
      <c r="AC30" s="89" t="s">
        <v>37</v>
      </c>
      <c r="AD30" s="89" t="s">
        <v>68</v>
      </c>
      <c r="AE30" s="89" t="s">
        <v>44</v>
      </c>
      <c r="AF30" s="89" t="s">
        <v>37</v>
      </c>
      <c r="AG30" s="89" t="s">
        <v>68</v>
      </c>
      <c r="AH30" s="18" t="s">
        <v>45</v>
      </c>
    </row>
    <row r="31" spans="1:34" s="5" customFormat="1" ht="15" customHeight="1" x14ac:dyDescent="0.25">
      <c r="A31" s="7">
        <v>30</v>
      </c>
      <c r="B31" s="4" t="s">
        <v>34</v>
      </c>
      <c r="C31" s="13" t="s">
        <v>107</v>
      </c>
      <c r="D31" s="13" t="s">
        <v>102</v>
      </c>
      <c r="E31" s="13" t="s">
        <v>103</v>
      </c>
      <c r="F31" s="13" t="s">
        <v>104</v>
      </c>
      <c r="G31" s="4" t="s">
        <v>38</v>
      </c>
      <c r="H31" s="4">
        <v>385</v>
      </c>
      <c r="I31" s="4" t="s">
        <v>65</v>
      </c>
      <c r="J31" s="4" t="s">
        <v>108</v>
      </c>
      <c r="K31" s="4" t="s">
        <v>58</v>
      </c>
      <c r="L31" s="4" t="str">
        <f>IFERROR(VLOOKUP(J31,'[1]2026'!$AG$3:$AL$233,5,FALSE),"N/A")</f>
        <v>VOLVO</v>
      </c>
      <c r="M31" s="4" t="str">
        <f>IFERROR(VLOOKUP(J31,'[1]2026'!$AG$3:$AL$233,6,FALSE),"N/A")</f>
        <v>VM 330 6X4R</v>
      </c>
      <c r="N31" s="13" t="s">
        <v>106</v>
      </c>
      <c r="O31" s="8">
        <v>0</v>
      </c>
      <c r="P31" s="8">
        <v>540000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540000</v>
      </c>
      <c r="W31" s="19">
        <v>5</v>
      </c>
      <c r="X31" s="19">
        <v>5</v>
      </c>
      <c r="Y31" s="19">
        <v>60</v>
      </c>
      <c r="Z31" s="8">
        <v>9000</v>
      </c>
      <c r="AA31" s="4" t="s">
        <v>43</v>
      </c>
      <c r="AB31" s="89" t="s">
        <v>44</v>
      </c>
      <c r="AC31" s="89" t="s">
        <v>37</v>
      </c>
      <c r="AD31" s="89" t="s">
        <v>68</v>
      </c>
      <c r="AE31" s="89" t="s">
        <v>44</v>
      </c>
      <c r="AF31" s="89" t="s">
        <v>37</v>
      </c>
      <c r="AG31" s="89" t="s">
        <v>68</v>
      </c>
      <c r="AH31" s="18" t="s">
        <v>45</v>
      </c>
    </row>
    <row r="32" spans="1:34" s="5" customFormat="1" ht="15" customHeight="1" x14ac:dyDescent="0.25">
      <c r="A32" s="7">
        <v>31</v>
      </c>
      <c r="B32" s="4" t="s">
        <v>34</v>
      </c>
      <c r="C32" s="13" t="s">
        <v>109</v>
      </c>
      <c r="D32" s="13" t="s">
        <v>102</v>
      </c>
      <c r="E32" s="13" t="s">
        <v>37</v>
      </c>
      <c r="F32" s="13" t="s">
        <v>37</v>
      </c>
      <c r="G32" s="4" t="s">
        <v>38</v>
      </c>
      <c r="H32" s="4">
        <v>347</v>
      </c>
      <c r="I32" s="4" t="s">
        <v>65</v>
      </c>
      <c r="J32" s="4" t="s">
        <v>110</v>
      </c>
      <c r="K32" s="4" t="s">
        <v>58</v>
      </c>
      <c r="L32" s="4" t="str">
        <f>IFERROR(VLOOKUP(J32,'[1]2026'!$AG$3:$AL$233,5,FALSE),"N/A")</f>
        <v>VOLVO</v>
      </c>
      <c r="M32" s="4" t="str">
        <f>IFERROR(VLOOKUP(J32,'[1]2026'!$AG$3:$AL$233,6,FALSE),"N/A")</f>
        <v>FH 540 6X4T</v>
      </c>
      <c r="N32" s="13" t="s">
        <v>106</v>
      </c>
      <c r="O32" s="8">
        <v>0</v>
      </c>
      <c r="P32" s="8">
        <v>940000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940000</v>
      </c>
      <c r="W32" s="19">
        <v>5</v>
      </c>
      <c r="X32" s="19">
        <v>5</v>
      </c>
      <c r="Y32" s="19">
        <v>60</v>
      </c>
      <c r="Z32" s="8">
        <v>15666.666666666668</v>
      </c>
      <c r="AA32" s="4" t="s">
        <v>44</v>
      </c>
      <c r="AB32" s="89" t="s">
        <v>44</v>
      </c>
      <c r="AC32" s="92" t="s">
        <v>37</v>
      </c>
      <c r="AD32" s="92" t="s">
        <v>37</v>
      </c>
      <c r="AE32" s="89" t="s">
        <v>44</v>
      </c>
      <c r="AF32" s="92" t="s">
        <v>37</v>
      </c>
      <c r="AG32" s="92" t="s">
        <v>37</v>
      </c>
      <c r="AH32" s="18" t="s">
        <v>45</v>
      </c>
    </row>
    <row r="33" spans="1:34" s="5" customFormat="1" ht="15" customHeight="1" x14ac:dyDescent="0.25">
      <c r="A33" s="7">
        <v>32</v>
      </c>
      <c r="B33" s="4" t="s">
        <v>34</v>
      </c>
      <c r="C33" s="13" t="s">
        <v>109</v>
      </c>
      <c r="D33" s="13" t="s">
        <v>102</v>
      </c>
      <c r="E33" s="13" t="s">
        <v>37</v>
      </c>
      <c r="F33" s="13" t="s">
        <v>37</v>
      </c>
      <c r="G33" s="4" t="s">
        <v>38</v>
      </c>
      <c r="H33" s="4">
        <v>348</v>
      </c>
      <c r="I33" s="4" t="s">
        <v>65</v>
      </c>
      <c r="J33" s="4" t="s">
        <v>111</v>
      </c>
      <c r="K33" s="4" t="s">
        <v>58</v>
      </c>
      <c r="L33" s="4" t="str">
        <f>IFERROR(VLOOKUP(J33,'[1]2026'!$AG$3:$AL$233,5,FALSE),"N/A")</f>
        <v>VOLVO</v>
      </c>
      <c r="M33" s="4" t="str">
        <f>IFERROR(VLOOKUP(J33,'[1]2026'!$AG$3:$AL$233,6,FALSE),"N/A")</f>
        <v>FH 540 6X4T</v>
      </c>
      <c r="N33" s="13" t="s">
        <v>106</v>
      </c>
      <c r="O33" s="8">
        <v>0</v>
      </c>
      <c r="P33" s="8">
        <v>940000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940000</v>
      </c>
      <c r="W33" s="19">
        <v>5</v>
      </c>
      <c r="X33" s="19">
        <v>5</v>
      </c>
      <c r="Y33" s="19">
        <v>60</v>
      </c>
      <c r="Z33" s="8">
        <v>15666.666666666668</v>
      </c>
      <c r="AA33" s="4" t="s">
        <v>44</v>
      </c>
      <c r="AB33" s="89" t="s">
        <v>44</v>
      </c>
      <c r="AC33" s="92" t="s">
        <v>37</v>
      </c>
      <c r="AD33" s="92" t="s">
        <v>37</v>
      </c>
      <c r="AE33" s="89" t="s">
        <v>44</v>
      </c>
      <c r="AF33" s="92" t="s">
        <v>37</v>
      </c>
      <c r="AG33" s="92" t="s">
        <v>37</v>
      </c>
      <c r="AH33" s="18" t="s">
        <v>45</v>
      </c>
    </row>
    <row r="34" spans="1:34" s="5" customFormat="1" ht="15" customHeight="1" x14ac:dyDescent="0.25">
      <c r="A34" s="7">
        <v>33</v>
      </c>
      <c r="B34" s="4" t="s">
        <v>34</v>
      </c>
      <c r="C34" s="13" t="s">
        <v>55</v>
      </c>
      <c r="D34" s="13" t="s">
        <v>56</v>
      </c>
      <c r="E34" s="13" t="s">
        <v>37</v>
      </c>
      <c r="F34" s="13" t="s">
        <v>37</v>
      </c>
      <c r="G34" s="4" t="s">
        <v>38</v>
      </c>
      <c r="H34" s="4">
        <v>363</v>
      </c>
      <c r="I34" s="4" t="s">
        <v>39</v>
      </c>
      <c r="J34" s="4" t="s">
        <v>112</v>
      </c>
      <c r="K34" s="4" t="s">
        <v>41</v>
      </c>
      <c r="L34" s="4" t="str">
        <f>IFERROR(VLOOKUP(J34,'[1]2026'!$AG$3:$AL$233,5,FALSE),"N/A")</f>
        <v>SCHNELL</v>
      </c>
      <c r="M34" s="4" t="str">
        <f>IFERROR(VLOOKUP(J34,'[1]2026'!$AG$3:$AL$233,6,FALSE),"N/A")</f>
        <v>CORTE E DOBRA</v>
      </c>
      <c r="N34" s="9" t="s">
        <v>113</v>
      </c>
      <c r="O34" s="8">
        <v>1300000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1300000</v>
      </c>
      <c r="W34" s="19">
        <v>5</v>
      </c>
      <c r="X34" s="19">
        <v>5</v>
      </c>
      <c r="Y34" s="19">
        <v>60</v>
      </c>
      <c r="Z34" s="8">
        <v>10833.333333333336</v>
      </c>
      <c r="AA34" s="4" t="s">
        <v>43</v>
      </c>
      <c r="AB34" s="89" t="s">
        <v>44</v>
      </c>
      <c r="AC34" s="92" t="s">
        <v>37</v>
      </c>
      <c r="AD34" s="92" t="s">
        <v>37</v>
      </c>
      <c r="AE34" s="89" t="s">
        <v>44</v>
      </c>
      <c r="AF34" s="92" t="s">
        <v>37</v>
      </c>
      <c r="AG34" s="92" t="s">
        <v>37</v>
      </c>
      <c r="AH34" s="18" t="s">
        <v>45</v>
      </c>
    </row>
    <row r="35" spans="1:34" s="5" customFormat="1" ht="15" customHeight="1" x14ac:dyDescent="0.25">
      <c r="A35" s="7">
        <v>35</v>
      </c>
      <c r="B35" s="4" t="s">
        <v>34</v>
      </c>
      <c r="C35" s="13" t="s">
        <v>46</v>
      </c>
      <c r="D35" s="13" t="s">
        <v>62</v>
      </c>
      <c r="E35" s="50" t="s">
        <v>63</v>
      </c>
      <c r="F35" s="13" t="s">
        <v>114</v>
      </c>
      <c r="G35" s="4" t="s">
        <v>38</v>
      </c>
      <c r="H35" s="4">
        <v>388</v>
      </c>
      <c r="I35" s="4" t="s">
        <v>65</v>
      </c>
      <c r="J35" s="27" t="s">
        <v>115</v>
      </c>
      <c r="K35" s="4" t="s">
        <v>41</v>
      </c>
      <c r="L35" s="4" t="str">
        <f>IFERROR(VLOOKUP(J35,'[1]2026'!$AG$3:$AL$233,5,FALSE),"N/A")</f>
        <v>HYUNDAI</v>
      </c>
      <c r="M35" s="4" t="str">
        <f>IFERROR(VLOOKUP(J35,'[1]2026'!$AG$3:$AL$233,6,FALSE),"N/A")</f>
        <v>ROBEX 220LC-9SBT3</v>
      </c>
      <c r="N35" s="9" t="s">
        <v>116</v>
      </c>
      <c r="O35" s="8">
        <v>765000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127000</v>
      </c>
      <c r="V35" s="8">
        <v>892000</v>
      </c>
      <c r="W35" s="19">
        <v>5</v>
      </c>
      <c r="X35" s="19">
        <v>5</v>
      </c>
      <c r="Y35" s="19">
        <v>60</v>
      </c>
      <c r="Z35" s="8">
        <v>7433.3333333333339</v>
      </c>
      <c r="AA35" s="4" t="s">
        <v>43</v>
      </c>
      <c r="AB35" s="89" t="s">
        <v>44</v>
      </c>
      <c r="AC35" s="89" t="s">
        <v>44</v>
      </c>
      <c r="AD35" s="93">
        <v>29440</v>
      </c>
      <c r="AE35" s="89" t="s">
        <v>44</v>
      </c>
      <c r="AF35" s="89"/>
      <c r="AG35" s="93"/>
      <c r="AH35" s="18" t="s">
        <v>45</v>
      </c>
    </row>
    <row r="36" spans="1:34" s="5" customFormat="1" ht="15" customHeight="1" x14ac:dyDescent="0.25">
      <c r="A36" s="7">
        <v>34</v>
      </c>
      <c r="B36" s="4" t="s">
        <v>34</v>
      </c>
      <c r="C36" s="13" t="s">
        <v>53</v>
      </c>
      <c r="D36" s="13" t="s">
        <v>62</v>
      </c>
      <c r="E36" s="50" t="s">
        <v>63</v>
      </c>
      <c r="F36" s="13" t="s">
        <v>114</v>
      </c>
      <c r="G36" s="4" t="s">
        <v>38</v>
      </c>
      <c r="H36" s="4">
        <v>397</v>
      </c>
      <c r="I36" s="4" t="s">
        <v>39</v>
      </c>
      <c r="J36" s="27" t="s">
        <v>117</v>
      </c>
      <c r="K36" s="4" t="s">
        <v>41</v>
      </c>
      <c r="L36" s="4" t="str">
        <f>IFERROR(VLOOKUP(J36,'[1]2026'!$AG$3:$AL$233,5,FALSE),"N/A")</f>
        <v>HYUNDAI</v>
      </c>
      <c r="M36" s="4" t="str">
        <f>IFERROR(VLOOKUP(J36,'[1]2026'!$AG$3:$AL$233,6,FALSE),"N/A")</f>
        <v>ROBEX 210LC-7</v>
      </c>
      <c r="N36" s="9" t="s">
        <v>118</v>
      </c>
      <c r="O36" s="8">
        <v>765000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127000</v>
      </c>
      <c r="V36" s="8">
        <v>892000</v>
      </c>
      <c r="W36" s="19">
        <v>5</v>
      </c>
      <c r="X36" s="19">
        <v>5</v>
      </c>
      <c r="Y36" s="19">
        <v>60</v>
      </c>
      <c r="Z36" s="8">
        <v>7433.3333333333339</v>
      </c>
      <c r="AA36" s="4" t="s">
        <v>43</v>
      </c>
      <c r="AB36" s="89" t="s">
        <v>44</v>
      </c>
      <c r="AC36" s="89" t="s">
        <v>44</v>
      </c>
      <c r="AD36" s="93">
        <v>32960</v>
      </c>
      <c r="AE36" s="89" t="s">
        <v>44</v>
      </c>
      <c r="AF36" s="89"/>
      <c r="AG36" s="93"/>
      <c r="AH36" s="18" t="s">
        <v>45</v>
      </c>
    </row>
    <row r="37" spans="1:34" s="5" customFormat="1" ht="15" customHeight="1" x14ac:dyDescent="0.25">
      <c r="A37" s="7">
        <v>36</v>
      </c>
      <c r="B37" s="4" t="s">
        <v>34</v>
      </c>
      <c r="C37" s="13" t="s">
        <v>51</v>
      </c>
      <c r="D37" s="13" t="s">
        <v>62</v>
      </c>
      <c r="E37" s="50" t="s">
        <v>63</v>
      </c>
      <c r="F37" s="13" t="s">
        <v>114</v>
      </c>
      <c r="G37" s="4" t="s">
        <v>38</v>
      </c>
      <c r="H37" s="4">
        <v>392</v>
      </c>
      <c r="I37" s="4" t="s">
        <v>65</v>
      </c>
      <c r="J37" s="27" t="s">
        <v>119</v>
      </c>
      <c r="K37" s="4" t="s">
        <v>41</v>
      </c>
      <c r="L37" s="4" t="str">
        <f>IFERROR(VLOOKUP(J37,'[1]2026'!$AG$3:$AL$233,5,FALSE),"N/A")</f>
        <v>HYUNDAI</v>
      </c>
      <c r="M37" s="4" t="str">
        <f>IFERROR(VLOOKUP(J37,'[1]2026'!$AG$3:$AL$233,6,FALSE),"N/A")</f>
        <v>ROBEX 210LC-7</v>
      </c>
      <c r="N37" s="9" t="s">
        <v>120</v>
      </c>
      <c r="O37" s="8">
        <v>765000</v>
      </c>
      <c r="P37" s="8">
        <v>0</v>
      </c>
      <c r="Q37" s="8">
        <v>0</v>
      </c>
      <c r="R37" s="8">
        <v>84000</v>
      </c>
      <c r="S37" s="8">
        <v>70000</v>
      </c>
      <c r="T37" s="8">
        <v>0</v>
      </c>
      <c r="U37" s="8">
        <v>0</v>
      </c>
      <c r="V37" s="8">
        <v>919000</v>
      </c>
      <c r="W37" s="19">
        <v>5</v>
      </c>
      <c r="X37" s="19">
        <v>5</v>
      </c>
      <c r="Y37" s="19">
        <v>60</v>
      </c>
      <c r="Z37" s="8">
        <v>7658.3333333333339</v>
      </c>
      <c r="AA37" s="4" t="s">
        <v>43</v>
      </c>
      <c r="AB37" s="89" t="s">
        <v>44</v>
      </c>
      <c r="AC37" s="89" t="s">
        <v>44</v>
      </c>
      <c r="AD37" s="93">
        <v>11600</v>
      </c>
      <c r="AE37" s="89" t="s">
        <v>44</v>
      </c>
      <c r="AF37" s="89"/>
      <c r="AG37" s="93"/>
      <c r="AH37" s="18" t="s">
        <v>45</v>
      </c>
    </row>
    <row r="38" spans="1:34" s="5" customFormat="1" ht="15" customHeight="1" x14ac:dyDescent="0.25">
      <c r="A38" s="7">
        <v>37</v>
      </c>
      <c r="B38" s="4" t="s">
        <v>34</v>
      </c>
      <c r="C38" s="13" t="s">
        <v>38</v>
      </c>
      <c r="D38" s="13" t="s">
        <v>62</v>
      </c>
      <c r="E38" s="13" t="s">
        <v>63</v>
      </c>
      <c r="F38" s="29" t="s">
        <v>121</v>
      </c>
      <c r="G38" s="4" t="s">
        <v>38</v>
      </c>
      <c r="H38" s="4" t="s">
        <v>122</v>
      </c>
      <c r="I38" s="4" t="s">
        <v>65</v>
      </c>
      <c r="J38" s="4" t="s">
        <v>123</v>
      </c>
      <c r="K38" s="4" t="s">
        <v>41</v>
      </c>
      <c r="L38" s="4" t="str">
        <f>IFERROR(VLOOKUP(J38,'[1]2026'!$AG$3:$AL$233,5,FALSE),"N/A")</f>
        <v>HYUNDAI</v>
      </c>
      <c r="M38" s="4" t="str">
        <f>IFERROR(VLOOKUP(J38,'[1]2026'!$AG$3:$AL$233,6,FALSE),"N/A")</f>
        <v>ROBEX 210LC-7</v>
      </c>
      <c r="N38" s="9" t="s">
        <v>124</v>
      </c>
      <c r="O38" s="8">
        <v>765000</v>
      </c>
      <c r="P38" s="8">
        <v>0</v>
      </c>
      <c r="Q38" s="8">
        <v>0</v>
      </c>
      <c r="R38" s="8">
        <v>84000</v>
      </c>
      <c r="S38" s="8">
        <v>0</v>
      </c>
      <c r="T38" s="8">
        <v>0</v>
      </c>
      <c r="U38" s="8">
        <v>0</v>
      </c>
      <c r="V38" s="8">
        <v>849000</v>
      </c>
      <c r="W38" s="19">
        <v>5</v>
      </c>
      <c r="X38" s="19">
        <v>5</v>
      </c>
      <c r="Y38" s="19">
        <v>60</v>
      </c>
      <c r="Z38" s="8">
        <v>7075</v>
      </c>
      <c r="AA38" s="4" t="s">
        <v>43</v>
      </c>
      <c r="AB38" s="4"/>
      <c r="AC38" s="4"/>
      <c r="AD38" s="4"/>
      <c r="AE38" s="4"/>
      <c r="AF38" s="4"/>
      <c r="AG38" s="4"/>
      <c r="AH38" s="18" t="s">
        <v>121</v>
      </c>
    </row>
    <row r="39" spans="1:34" s="5" customFormat="1" ht="15" customHeight="1" x14ac:dyDescent="0.25">
      <c r="A39" s="7">
        <v>38</v>
      </c>
      <c r="B39" s="4" t="s">
        <v>34</v>
      </c>
      <c r="C39" s="13" t="s">
        <v>35</v>
      </c>
      <c r="D39" s="13" t="s">
        <v>62</v>
      </c>
      <c r="E39" s="50" t="s">
        <v>63</v>
      </c>
      <c r="F39" s="13" t="s">
        <v>114</v>
      </c>
      <c r="G39" s="4" t="s">
        <v>38</v>
      </c>
      <c r="H39" s="4">
        <v>401</v>
      </c>
      <c r="I39" s="4" t="s">
        <v>65</v>
      </c>
      <c r="J39" s="27" t="s">
        <v>125</v>
      </c>
      <c r="K39" s="4" t="s">
        <v>41</v>
      </c>
      <c r="L39" s="4" t="str">
        <f>IFERROR(VLOOKUP(J39,'[1]2026'!$AG$3:$AL$233,5,FALSE),"N/A")</f>
        <v>HYUNDAI</v>
      </c>
      <c r="M39" s="4" t="str">
        <f>IFERROR(VLOOKUP(J39,'[1]2026'!$AG$3:$AL$233,6,FALSE),"N/A")</f>
        <v>ROBEX 140LC-9SB</v>
      </c>
      <c r="N39" s="9" t="s">
        <v>124</v>
      </c>
      <c r="O39" s="8">
        <v>645000</v>
      </c>
      <c r="P39" s="8">
        <v>0</v>
      </c>
      <c r="Q39" s="8">
        <v>0</v>
      </c>
      <c r="R39" s="8">
        <v>84000</v>
      </c>
      <c r="S39" s="8">
        <v>0</v>
      </c>
      <c r="T39" s="8">
        <v>0</v>
      </c>
      <c r="U39" s="8">
        <v>0</v>
      </c>
      <c r="V39" s="8">
        <v>729000</v>
      </c>
      <c r="W39" s="19">
        <v>5</v>
      </c>
      <c r="X39" s="19">
        <v>5</v>
      </c>
      <c r="Y39" s="19">
        <v>60</v>
      </c>
      <c r="Z39" s="8">
        <v>6075</v>
      </c>
      <c r="AA39" s="4" t="s">
        <v>43</v>
      </c>
      <c r="AB39" s="89" t="s">
        <v>44</v>
      </c>
      <c r="AC39" s="89" t="s">
        <v>44</v>
      </c>
      <c r="AD39" s="93">
        <v>24000</v>
      </c>
      <c r="AE39" s="89" t="s">
        <v>44</v>
      </c>
      <c r="AF39" s="89"/>
      <c r="AG39" s="93"/>
      <c r="AH39" s="18" t="s">
        <v>45</v>
      </c>
    </row>
    <row r="40" spans="1:34" s="5" customFormat="1" ht="15" customHeight="1" x14ac:dyDescent="0.25">
      <c r="A40" s="7">
        <v>39</v>
      </c>
      <c r="B40" s="4" t="s">
        <v>34</v>
      </c>
      <c r="C40" s="13" t="s">
        <v>126</v>
      </c>
      <c r="D40" s="13" t="s">
        <v>62</v>
      </c>
      <c r="E40" s="13" t="s">
        <v>63</v>
      </c>
      <c r="F40" s="13" t="s">
        <v>114</v>
      </c>
      <c r="G40" s="4" t="s">
        <v>38</v>
      </c>
      <c r="H40" s="4">
        <v>446</v>
      </c>
      <c r="I40" s="4" t="s">
        <v>65</v>
      </c>
      <c r="J40" s="27" t="s">
        <v>127</v>
      </c>
      <c r="K40" s="4" t="s">
        <v>41</v>
      </c>
      <c r="L40" s="4" t="str">
        <f>IFERROR(VLOOKUP(J40,'[1]2026'!$AG$3:$AL$233,5,FALSE),"N/A")</f>
        <v>HYUNDAI</v>
      </c>
      <c r="M40" s="4" t="str">
        <f>IFERROR(VLOOKUP(J40,'[1]2026'!$AG$3:$AL$233,6,FALSE),"N/A")</f>
        <v>ROBEX 140LC-9SB</v>
      </c>
      <c r="N40" s="9" t="s">
        <v>128</v>
      </c>
      <c r="O40" s="8">
        <v>645000</v>
      </c>
      <c r="P40" s="8">
        <v>0</v>
      </c>
      <c r="Q40" s="8">
        <v>0</v>
      </c>
      <c r="R40" s="8">
        <v>84000</v>
      </c>
      <c r="S40" s="8">
        <v>70000</v>
      </c>
      <c r="T40" s="8">
        <v>0</v>
      </c>
      <c r="U40" s="8">
        <v>0</v>
      </c>
      <c r="V40" s="8">
        <v>799000</v>
      </c>
      <c r="W40" s="19">
        <v>5</v>
      </c>
      <c r="X40" s="19">
        <v>5</v>
      </c>
      <c r="Y40" s="19">
        <v>60</v>
      </c>
      <c r="Z40" s="8">
        <v>6658.3333333333339</v>
      </c>
      <c r="AA40" s="4" t="s">
        <v>43</v>
      </c>
      <c r="AB40" s="89" t="s">
        <v>44</v>
      </c>
      <c r="AC40" s="89" t="s">
        <v>44</v>
      </c>
      <c r="AD40" s="93">
        <v>42560</v>
      </c>
      <c r="AE40" s="89" t="s">
        <v>44</v>
      </c>
      <c r="AF40" s="89"/>
      <c r="AG40" s="93"/>
      <c r="AH40" s="18" t="s">
        <v>45</v>
      </c>
    </row>
    <row r="41" spans="1:34" s="5" customFormat="1" ht="15" customHeight="1" x14ac:dyDescent="0.25">
      <c r="A41" s="7">
        <v>40</v>
      </c>
      <c r="B41" s="4" t="s">
        <v>34</v>
      </c>
      <c r="C41" s="13" t="s">
        <v>61</v>
      </c>
      <c r="D41" s="13" t="s">
        <v>62</v>
      </c>
      <c r="E41" s="13" t="s">
        <v>63</v>
      </c>
      <c r="F41" s="29" t="s">
        <v>129</v>
      </c>
      <c r="G41" s="4" t="s">
        <v>38</v>
      </c>
      <c r="H41" s="4">
        <v>402</v>
      </c>
      <c r="I41" s="4" t="s">
        <v>65</v>
      </c>
      <c r="J41" s="4" t="s">
        <v>130</v>
      </c>
      <c r="K41" s="4" t="s">
        <v>41</v>
      </c>
      <c r="L41" s="4" t="str">
        <f>IFERROR(VLOOKUP(J41,'[1]2026'!$AG$3:$AL$233,5,FALSE),"N/A")</f>
        <v>HYUNDAI</v>
      </c>
      <c r="M41" s="4" t="str">
        <f>IFERROR(VLOOKUP(J41,'[1]2026'!$AG$3:$AL$233,6,FALSE),"N/A")</f>
        <v>ROBEX 140LC-9SB</v>
      </c>
      <c r="N41" s="9" t="s">
        <v>128</v>
      </c>
      <c r="O41" s="8">
        <v>645000</v>
      </c>
      <c r="P41" s="8">
        <v>0</v>
      </c>
      <c r="Q41" s="8">
        <v>0</v>
      </c>
      <c r="R41" s="8">
        <v>84000</v>
      </c>
      <c r="S41" s="8">
        <v>70000</v>
      </c>
      <c r="T41" s="8">
        <v>0</v>
      </c>
      <c r="U41" s="8">
        <v>0</v>
      </c>
      <c r="V41" s="8">
        <v>799000</v>
      </c>
      <c r="W41" s="19">
        <v>5</v>
      </c>
      <c r="X41" s="19">
        <v>5</v>
      </c>
      <c r="Y41" s="19">
        <v>60</v>
      </c>
      <c r="Z41" s="8">
        <v>6658.3333333333339</v>
      </c>
      <c r="AA41" s="4" t="s">
        <v>43</v>
      </c>
      <c r="AB41" s="89" t="s">
        <v>44</v>
      </c>
      <c r="AC41" s="89" t="s">
        <v>37</v>
      </c>
      <c r="AD41" s="89" t="s">
        <v>68</v>
      </c>
      <c r="AE41" s="89" t="s">
        <v>44</v>
      </c>
      <c r="AF41" s="89" t="s">
        <v>37</v>
      </c>
      <c r="AG41" s="89" t="s">
        <v>68</v>
      </c>
      <c r="AH41" s="18" t="s">
        <v>131</v>
      </c>
    </row>
    <row r="42" spans="1:34" s="5" customFormat="1" ht="15" customHeight="1" x14ac:dyDescent="0.25">
      <c r="A42" s="7">
        <v>41</v>
      </c>
      <c r="B42" s="4" t="s">
        <v>34</v>
      </c>
      <c r="C42" s="13" t="s">
        <v>38</v>
      </c>
      <c r="D42" s="13" t="s">
        <v>62</v>
      </c>
      <c r="E42" s="13" t="s">
        <v>63</v>
      </c>
      <c r="F42" s="29" t="s">
        <v>121</v>
      </c>
      <c r="G42" s="4" t="s">
        <v>38</v>
      </c>
      <c r="H42" s="4" t="s">
        <v>122</v>
      </c>
      <c r="I42" s="4" t="s">
        <v>65</v>
      </c>
      <c r="J42" s="4" t="s">
        <v>132</v>
      </c>
      <c r="K42" s="4" t="s">
        <v>41</v>
      </c>
      <c r="L42" s="4" t="str">
        <f>IFERROR(VLOOKUP(J42,'[1]2026'!$AG$3:$AL$233,5,FALSE),"N/A")</f>
        <v>LIEBHERR</v>
      </c>
      <c r="M42" s="4" t="str">
        <f>IFERROR(VLOOKUP(J42,'[1]2026'!$AG$3:$AL$233,6,FALSE),"N/A")</f>
        <v>A924C</v>
      </c>
      <c r="N42" s="9" t="s">
        <v>133</v>
      </c>
      <c r="O42" s="8">
        <v>2000000</v>
      </c>
      <c r="P42" s="8">
        <v>0</v>
      </c>
      <c r="Q42" s="8">
        <v>0</v>
      </c>
      <c r="R42" s="8">
        <v>250000</v>
      </c>
      <c r="S42" s="8">
        <v>0</v>
      </c>
      <c r="T42" s="8">
        <v>0</v>
      </c>
      <c r="U42" s="8">
        <v>0</v>
      </c>
      <c r="V42" s="8">
        <v>2250000</v>
      </c>
      <c r="W42" s="19">
        <v>5</v>
      </c>
      <c r="X42" s="19">
        <v>5</v>
      </c>
      <c r="Y42" s="19">
        <v>60</v>
      </c>
      <c r="Z42" s="8">
        <v>18750</v>
      </c>
      <c r="AA42" s="4" t="s">
        <v>43</v>
      </c>
      <c r="AB42" s="4"/>
      <c r="AC42" s="4"/>
      <c r="AD42" s="4"/>
      <c r="AE42" s="4"/>
      <c r="AF42" s="4"/>
      <c r="AG42" s="4"/>
      <c r="AH42" s="18" t="s">
        <v>121</v>
      </c>
    </row>
    <row r="43" spans="1:34" s="5" customFormat="1" ht="15" customHeight="1" x14ac:dyDescent="0.25">
      <c r="A43" s="7">
        <v>42</v>
      </c>
      <c r="B43" s="4" t="s">
        <v>34</v>
      </c>
      <c r="C43" s="13" t="s">
        <v>53</v>
      </c>
      <c r="D43" s="13" t="s">
        <v>62</v>
      </c>
      <c r="E43" s="13" t="s">
        <v>63</v>
      </c>
      <c r="F43" s="13" t="s">
        <v>114</v>
      </c>
      <c r="G43" s="4" t="s">
        <v>38</v>
      </c>
      <c r="H43" s="4">
        <v>398</v>
      </c>
      <c r="I43" s="4" t="s">
        <v>65</v>
      </c>
      <c r="J43" s="27" t="s">
        <v>134</v>
      </c>
      <c r="K43" s="4" t="s">
        <v>41</v>
      </c>
      <c r="L43" s="4" t="str">
        <f>IFERROR(VLOOKUP(J43,'[1]2026'!$AG$3:$AL$233,5,FALSE),"N/A")</f>
        <v>LIEBHERR</v>
      </c>
      <c r="M43" s="4" t="str">
        <f>IFERROR(VLOOKUP(J43,'[1]2026'!$AG$3:$AL$233,6,FALSE),"N/A")</f>
        <v>A924C</v>
      </c>
      <c r="N43" s="9" t="s">
        <v>133</v>
      </c>
      <c r="O43" s="8">
        <v>2000000</v>
      </c>
      <c r="P43" s="8">
        <v>0</v>
      </c>
      <c r="Q43" s="8">
        <v>0</v>
      </c>
      <c r="R43" s="8">
        <v>250000</v>
      </c>
      <c r="S43" s="8">
        <v>0</v>
      </c>
      <c r="T43" s="8">
        <v>0</v>
      </c>
      <c r="U43" s="8">
        <v>0</v>
      </c>
      <c r="V43" s="8">
        <v>2250000</v>
      </c>
      <c r="W43" s="19">
        <v>5</v>
      </c>
      <c r="X43" s="19">
        <v>5</v>
      </c>
      <c r="Y43" s="19">
        <v>60</v>
      </c>
      <c r="Z43" s="8">
        <v>18750</v>
      </c>
      <c r="AA43" s="4" t="s">
        <v>43</v>
      </c>
      <c r="AB43" s="89" t="s">
        <v>44</v>
      </c>
      <c r="AC43" s="89" t="s">
        <v>44</v>
      </c>
      <c r="AD43" s="93">
        <v>77568</v>
      </c>
      <c r="AE43" s="89" t="s">
        <v>44</v>
      </c>
      <c r="AF43" s="89"/>
      <c r="AG43" s="93"/>
      <c r="AH43" s="18" t="s">
        <v>45</v>
      </c>
    </row>
    <row r="44" spans="1:34" s="5" customFormat="1" ht="15" customHeight="1" x14ac:dyDescent="0.25">
      <c r="A44" s="7">
        <v>43</v>
      </c>
      <c r="B44" s="4" t="s">
        <v>34</v>
      </c>
      <c r="C44" s="13" t="s">
        <v>53</v>
      </c>
      <c r="D44" s="13" t="s">
        <v>62</v>
      </c>
      <c r="E44" s="13" t="s">
        <v>63</v>
      </c>
      <c r="F44" s="13" t="s">
        <v>114</v>
      </c>
      <c r="G44" s="4" t="s">
        <v>38</v>
      </c>
      <c r="H44" s="4">
        <v>408</v>
      </c>
      <c r="I44" s="4" t="s">
        <v>65</v>
      </c>
      <c r="J44" s="27" t="s">
        <v>135</v>
      </c>
      <c r="K44" s="4" t="s">
        <v>41</v>
      </c>
      <c r="L44" s="4" t="str">
        <f>IFERROR(VLOOKUP(J44,'[1]2026'!$AG$3:$AL$233,5,FALSE),"N/A")</f>
        <v>LIEBHERR</v>
      </c>
      <c r="M44" s="4" t="str">
        <f>IFERROR(VLOOKUP(J44,'[1]2026'!$AG$3:$AL$233,6,FALSE),"N/A")</f>
        <v>LH30M</v>
      </c>
      <c r="N44" s="9" t="s">
        <v>133</v>
      </c>
      <c r="O44" s="8">
        <v>2250000</v>
      </c>
      <c r="P44" s="8">
        <v>0</v>
      </c>
      <c r="Q44" s="8">
        <v>0</v>
      </c>
      <c r="R44" s="8">
        <v>250000</v>
      </c>
      <c r="S44" s="8">
        <v>0</v>
      </c>
      <c r="T44" s="8">
        <v>0</v>
      </c>
      <c r="U44" s="8">
        <v>0</v>
      </c>
      <c r="V44" s="8">
        <v>2500000</v>
      </c>
      <c r="W44" s="19">
        <v>5</v>
      </c>
      <c r="X44" s="19">
        <v>5</v>
      </c>
      <c r="Y44" s="19">
        <v>60</v>
      </c>
      <c r="Z44" s="8">
        <v>20833.333333333336</v>
      </c>
      <c r="AA44" s="4" t="s">
        <v>43</v>
      </c>
      <c r="AB44" s="89" t="s">
        <v>44</v>
      </c>
      <c r="AC44" s="89" t="s">
        <v>136</v>
      </c>
      <c r="AD44" s="93">
        <v>61440</v>
      </c>
      <c r="AE44" s="89" t="s">
        <v>44</v>
      </c>
      <c r="AF44" s="89"/>
      <c r="AG44" s="93"/>
      <c r="AH44" s="18" t="s">
        <v>131</v>
      </c>
    </row>
    <row r="45" spans="1:34" s="5" customFormat="1" ht="15" customHeight="1" x14ac:dyDescent="0.25">
      <c r="A45" s="7">
        <v>44</v>
      </c>
      <c r="B45" s="4" t="s">
        <v>34</v>
      </c>
      <c r="C45" s="13" t="s">
        <v>137</v>
      </c>
      <c r="D45" s="13" t="s">
        <v>102</v>
      </c>
      <c r="E45" s="13" t="s">
        <v>103</v>
      </c>
      <c r="F45" s="13" t="s">
        <v>104</v>
      </c>
      <c r="G45" s="4" t="s">
        <v>38</v>
      </c>
      <c r="H45" s="4">
        <v>386</v>
      </c>
      <c r="I45" s="4" t="s">
        <v>65</v>
      </c>
      <c r="J45" s="4" t="s">
        <v>138</v>
      </c>
      <c r="K45" s="4" t="s">
        <v>41</v>
      </c>
      <c r="L45" s="4" t="str">
        <f>IFERROR(VLOOKUP(J45,'[1]2026'!$AG$3:$AL$233,5,FALSE),"N/A")</f>
        <v>LIEBHERR</v>
      </c>
      <c r="M45" s="4" t="str">
        <f>IFERROR(VLOOKUP(J45,'[1]2026'!$AG$3:$AL$233,6,FALSE),"N/A")</f>
        <v>LH30M</v>
      </c>
      <c r="N45" s="9" t="s">
        <v>133</v>
      </c>
      <c r="O45" s="8">
        <v>2250000</v>
      </c>
      <c r="P45" s="8">
        <v>0</v>
      </c>
      <c r="Q45" s="8">
        <v>0</v>
      </c>
      <c r="R45" s="8">
        <v>250000</v>
      </c>
      <c r="S45" s="8">
        <v>0</v>
      </c>
      <c r="T45" s="8">
        <v>0</v>
      </c>
      <c r="U45" s="8">
        <v>0</v>
      </c>
      <c r="V45" s="8">
        <v>2500000</v>
      </c>
      <c r="W45" s="19">
        <v>5</v>
      </c>
      <c r="X45" s="19">
        <v>5</v>
      </c>
      <c r="Y45" s="19">
        <v>60</v>
      </c>
      <c r="Z45" s="8">
        <v>20833.333333333336</v>
      </c>
      <c r="AA45" s="4" t="s">
        <v>43</v>
      </c>
      <c r="AB45" s="89" t="s">
        <v>44</v>
      </c>
      <c r="AC45" s="89" t="s">
        <v>37</v>
      </c>
      <c r="AD45" s="89" t="s">
        <v>68</v>
      </c>
      <c r="AE45" s="89" t="s">
        <v>44</v>
      </c>
      <c r="AF45" s="89" t="s">
        <v>37</v>
      </c>
      <c r="AG45" s="89" t="s">
        <v>68</v>
      </c>
      <c r="AH45" s="18" t="s">
        <v>131</v>
      </c>
    </row>
    <row r="46" spans="1:34" s="5" customFormat="1" ht="15" customHeight="1" x14ac:dyDescent="0.25">
      <c r="A46" s="7">
        <v>45</v>
      </c>
      <c r="B46" s="4" t="s">
        <v>34</v>
      </c>
      <c r="C46" s="13" t="s">
        <v>35</v>
      </c>
      <c r="D46" s="29" t="s">
        <v>139</v>
      </c>
      <c r="E46" s="13" t="s">
        <v>37</v>
      </c>
      <c r="F46" s="13" t="s">
        <v>37</v>
      </c>
      <c r="G46" s="4" t="s">
        <v>140</v>
      </c>
      <c r="H46" s="4" t="s">
        <v>122</v>
      </c>
      <c r="I46" s="4" t="s">
        <v>65</v>
      </c>
      <c r="J46" s="4" t="s">
        <v>141</v>
      </c>
      <c r="K46" s="4" t="s">
        <v>41</v>
      </c>
      <c r="L46" s="4" t="str">
        <f>IFERROR(VLOOKUP(J46,'[1]2026'!$AG$3:$AL$233,5,FALSE),"N/A")</f>
        <v>LIEBHERR</v>
      </c>
      <c r="M46" s="4" t="str">
        <f>IFERROR(VLOOKUP(J46,'[1]2026'!$AG$3:$AL$233,6,FALSE),"N/A")</f>
        <v>LH30M</v>
      </c>
      <c r="N46" s="9" t="s">
        <v>133</v>
      </c>
      <c r="O46" s="8">
        <v>2250000</v>
      </c>
      <c r="P46" s="8">
        <v>0</v>
      </c>
      <c r="Q46" s="8">
        <v>0</v>
      </c>
      <c r="R46" s="8">
        <v>250000</v>
      </c>
      <c r="S46" s="8">
        <v>0</v>
      </c>
      <c r="T46" s="8">
        <v>0</v>
      </c>
      <c r="U46" s="8">
        <v>0</v>
      </c>
      <c r="V46" s="8">
        <v>2500000</v>
      </c>
      <c r="W46" s="19">
        <v>5</v>
      </c>
      <c r="X46" s="19">
        <v>5</v>
      </c>
      <c r="Y46" s="19">
        <v>60</v>
      </c>
      <c r="Z46" s="8">
        <v>20833.333333333336</v>
      </c>
      <c r="AA46" s="4" t="s">
        <v>43</v>
      </c>
      <c r="AB46" s="4"/>
      <c r="AC46" s="92"/>
      <c r="AD46" s="92"/>
      <c r="AE46" s="4"/>
      <c r="AF46" s="92"/>
      <c r="AG46" s="92"/>
      <c r="AH46" s="13" t="s">
        <v>142</v>
      </c>
    </row>
    <row r="47" spans="1:34" s="5" customFormat="1" ht="15" customHeight="1" x14ac:dyDescent="0.25">
      <c r="A47" s="7">
        <v>46</v>
      </c>
      <c r="B47" s="4" t="s">
        <v>34</v>
      </c>
      <c r="C47" s="13" t="s">
        <v>46</v>
      </c>
      <c r="D47" s="13" t="s">
        <v>62</v>
      </c>
      <c r="E47" s="13" t="s">
        <v>63</v>
      </c>
      <c r="F47" s="13" t="s">
        <v>114</v>
      </c>
      <c r="G47" s="4" t="s">
        <v>38</v>
      </c>
      <c r="H47" s="4">
        <v>387</v>
      </c>
      <c r="I47" s="4" t="s">
        <v>65</v>
      </c>
      <c r="J47" s="27" t="s">
        <v>143</v>
      </c>
      <c r="K47" s="4" t="s">
        <v>41</v>
      </c>
      <c r="L47" s="4" t="str">
        <f>IFERROR(VLOOKUP(J47,'[1]2026'!$AG$3:$AL$233,5,FALSE),"N/A")</f>
        <v>HYUNDAI</v>
      </c>
      <c r="M47" s="4" t="str">
        <f>IFERROR(VLOOKUP(J47,'[1]2026'!$AG$3:$AL$233,6,FALSE),"N/A")</f>
        <v>R220 LONG REACH</v>
      </c>
      <c r="N47" s="9" t="s">
        <v>144</v>
      </c>
      <c r="O47" s="8">
        <v>930000</v>
      </c>
      <c r="P47" s="8">
        <v>0</v>
      </c>
      <c r="Q47" s="8">
        <v>0</v>
      </c>
      <c r="R47" s="8">
        <v>250000</v>
      </c>
      <c r="S47" s="8">
        <v>70000</v>
      </c>
      <c r="T47" s="8">
        <v>0</v>
      </c>
      <c r="U47" s="8">
        <v>0</v>
      </c>
      <c r="V47" s="8">
        <v>1250000</v>
      </c>
      <c r="W47" s="19">
        <v>5</v>
      </c>
      <c r="X47" s="19">
        <v>5</v>
      </c>
      <c r="Y47" s="19">
        <v>60</v>
      </c>
      <c r="Z47" s="8">
        <v>10416.666666666668</v>
      </c>
      <c r="AA47" s="4" t="s">
        <v>43</v>
      </c>
      <c r="AB47" s="89" t="s">
        <v>44</v>
      </c>
      <c r="AC47" s="89" t="s">
        <v>44</v>
      </c>
      <c r="AD47" s="93">
        <v>75161.600000000006</v>
      </c>
      <c r="AE47" s="89" t="s">
        <v>44</v>
      </c>
      <c r="AF47" s="89"/>
      <c r="AG47" s="93"/>
      <c r="AH47" s="18" t="s">
        <v>45</v>
      </c>
    </row>
    <row r="48" spans="1:34" s="5" customFormat="1" ht="15" customHeight="1" x14ac:dyDescent="0.25">
      <c r="A48" s="7">
        <v>47</v>
      </c>
      <c r="B48" s="4" t="s">
        <v>34</v>
      </c>
      <c r="C48" s="13" t="s">
        <v>49</v>
      </c>
      <c r="D48" s="13" t="s">
        <v>62</v>
      </c>
      <c r="E48" s="13" t="s">
        <v>63</v>
      </c>
      <c r="F48" s="13" t="s">
        <v>114</v>
      </c>
      <c r="G48" s="4" t="s">
        <v>38</v>
      </c>
      <c r="H48" s="4">
        <v>390</v>
      </c>
      <c r="I48" s="4" t="s">
        <v>65</v>
      </c>
      <c r="J48" s="27" t="s">
        <v>145</v>
      </c>
      <c r="K48" s="4" t="s">
        <v>41</v>
      </c>
      <c r="L48" s="4" t="str">
        <f>IFERROR(VLOOKUP(J48,'[1]2026'!$AG$3:$AL$233,5,FALSE),"N/A")</f>
        <v>HYUNDAI</v>
      </c>
      <c r="M48" s="4" t="str">
        <f>IFERROR(VLOOKUP(J48,'[1]2026'!$AG$3:$AL$233,6,FALSE),"N/A")</f>
        <v>R220 LONG REACH</v>
      </c>
      <c r="N48" s="9" t="s">
        <v>144</v>
      </c>
      <c r="O48" s="8">
        <v>930000</v>
      </c>
      <c r="P48" s="8">
        <v>0</v>
      </c>
      <c r="Q48" s="8">
        <v>0</v>
      </c>
      <c r="R48" s="8">
        <v>250000</v>
      </c>
      <c r="S48" s="8">
        <v>70000</v>
      </c>
      <c r="T48" s="8">
        <v>0</v>
      </c>
      <c r="U48" s="8">
        <v>0</v>
      </c>
      <c r="V48" s="8">
        <v>1250000</v>
      </c>
      <c r="W48" s="19">
        <v>5</v>
      </c>
      <c r="X48" s="19">
        <v>5</v>
      </c>
      <c r="Y48" s="19">
        <v>60</v>
      </c>
      <c r="Z48" s="8">
        <v>10416.666666666668</v>
      </c>
      <c r="AA48" s="4" t="s">
        <v>43</v>
      </c>
      <c r="AB48" s="89" t="s">
        <v>44</v>
      </c>
      <c r="AC48" s="89" t="s">
        <v>44</v>
      </c>
      <c r="AD48" s="93">
        <v>60928</v>
      </c>
      <c r="AE48" s="89" t="s">
        <v>44</v>
      </c>
      <c r="AF48" s="89"/>
      <c r="AG48" s="93"/>
      <c r="AH48" s="18" t="s">
        <v>45</v>
      </c>
    </row>
    <row r="49" spans="1:34" s="5" customFormat="1" ht="15" customHeight="1" x14ac:dyDescent="0.25">
      <c r="A49" s="7">
        <v>48</v>
      </c>
      <c r="B49" s="4" t="s">
        <v>34</v>
      </c>
      <c r="C49" s="13" t="s">
        <v>51</v>
      </c>
      <c r="D49" s="13" t="s">
        <v>62</v>
      </c>
      <c r="E49" s="13" t="s">
        <v>63</v>
      </c>
      <c r="F49" s="13" t="s">
        <v>114</v>
      </c>
      <c r="G49" s="4" t="s">
        <v>38</v>
      </c>
      <c r="H49" s="4">
        <v>393</v>
      </c>
      <c r="I49" s="4" t="s">
        <v>65</v>
      </c>
      <c r="J49" s="27" t="s">
        <v>146</v>
      </c>
      <c r="K49" s="4" t="s">
        <v>41</v>
      </c>
      <c r="L49" s="4" t="str">
        <f>IFERROR(VLOOKUP(J49,'[1]2026'!$AG$3:$AL$233,5,FALSE),"N/A")</f>
        <v>HYUNDAI</v>
      </c>
      <c r="M49" s="4" t="str">
        <f>IFERROR(VLOOKUP(J49,'[1]2026'!$AG$3:$AL$233,6,FALSE),"N/A")</f>
        <v>R220 LONG REACH</v>
      </c>
      <c r="N49" s="16" t="s">
        <v>144</v>
      </c>
      <c r="O49" s="8">
        <v>930000</v>
      </c>
      <c r="P49" s="8">
        <v>0</v>
      </c>
      <c r="Q49" s="8">
        <v>0</v>
      </c>
      <c r="R49" s="8">
        <v>250000</v>
      </c>
      <c r="S49" s="8">
        <v>70000</v>
      </c>
      <c r="T49" s="8">
        <v>0</v>
      </c>
      <c r="U49" s="8">
        <v>0</v>
      </c>
      <c r="V49" s="8">
        <v>1250000</v>
      </c>
      <c r="W49" s="19">
        <v>5</v>
      </c>
      <c r="X49" s="19">
        <v>5</v>
      </c>
      <c r="Y49" s="19">
        <v>60</v>
      </c>
      <c r="Z49" s="8">
        <v>10416.666666666668</v>
      </c>
      <c r="AA49" s="4" t="s">
        <v>43</v>
      </c>
      <c r="AB49" s="89" t="s">
        <v>44</v>
      </c>
      <c r="AC49" s="89" t="s">
        <v>44</v>
      </c>
      <c r="AD49" s="93">
        <v>56166.400000000001</v>
      </c>
      <c r="AE49" s="89" t="s">
        <v>44</v>
      </c>
      <c r="AF49" s="89"/>
      <c r="AG49" s="93"/>
      <c r="AH49" s="18" t="s">
        <v>45</v>
      </c>
    </row>
    <row r="50" spans="1:34" s="5" customFormat="1" ht="15" customHeight="1" x14ac:dyDescent="0.25">
      <c r="A50" s="7">
        <v>49</v>
      </c>
      <c r="B50" s="4" t="s">
        <v>34</v>
      </c>
      <c r="C50" s="13" t="s">
        <v>53</v>
      </c>
      <c r="D50" s="13" t="s">
        <v>62</v>
      </c>
      <c r="E50" s="13" t="s">
        <v>63</v>
      </c>
      <c r="F50" s="13" t="s">
        <v>114</v>
      </c>
      <c r="G50" s="4" t="s">
        <v>38</v>
      </c>
      <c r="H50" s="4">
        <v>399</v>
      </c>
      <c r="I50" s="4" t="s">
        <v>65</v>
      </c>
      <c r="J50" s="27" t="s">
        <v>147</v>
      </c>
      <c r="K50" s="4" t="s">
        <v>41</v>
      </c>
      <c r="L50" s="4" t="str">
        <f>IFERROR(VLOOKUP(J50,'[1]2026'!$AG$3:$AL$233,5,FALSE),"N/A")</f>
        <v>HYUNDAI</v>
      </c>
      <c r="M50" s="4" t="str">
        <f>IFERROR(VLOOKUP(J50,'[1]2026'!$AG$3:$AL$233,6,FALSE),"N/A")</f>
        <v>R220 LONG REACH</v>
      </c>
      <c r="N50" s="9" t="s">
        <v>144</v>
      </c>
      <c r="O50" s="8">
        <v>930000</v>
      </c>
      <c r="P50" s="8">
        <v>0</v>
      </c>
      <c r="Q50" s="8">
        <v>0</v>
      </c>
      <c r="R50" s="8">
        <v>250000</v>
      </c>
      <c r="S50" s="8">
        <v>70000</v>
      </c>
      <c r="T50" s="8">
        <v>0</v>
      </c>
      <c r="U50" s="8">
        <v>0</v>
      </c>
      <c r="V50" s="8">
        <v>1250000</v>
      </c>
      <c r="W50" s="19">
        <v>5</v>
      </c>
      <c r="X50" s="19">
        <v>5</v>
      </c>
      <c r="Y50" s="19">
        <v>60</v>
      </c>
      <c r="Z50" s="8">
        <v>10416.666666666668</v>
      </c>
      <c r="AA50" s="4" t="s">
        <v>43</v>
      </c>
      <c r="AB50" s="89" t="s">
        <v>44</v>
      </c>
      <c r="AC50" s="89" t="s">
        <v>136</v>
      </c>
      <c r="AD50" s="93">
        <v>88729.600000000006</v>
      </c>
      <c r="AE50" s="89" t="s">
        <v>44</v>
      </c>
      <c r="AF50" s="89"/>
      <c r="AG50" s="93"/>
      <c r="AH50" s="18" t="s">
        <v>45</v>
      </c>
    </row>
    <row r="51" spans="1:34" s="5" customFormat="1" ht="15" customHeight="1" x14ac:dyDescent="0.25">
      <c r="A51" s="7">
        <v>50</v>
      </c>
      <c r="B51" s="4" t="s">
        <v>34</v>
      </c>
      <c r="C51" s="13" t="s">
        <v>148</v>
      </c>
      <c r="D51" s="13" t="s">
        <v>102</v>
      </c>
      <c r="E51" s="13" t="s">
        <v>103</v>
      </c>
      <c r="F51" s="13" t="s">
        <v>104</v>
      </c>
      <c r="G51" s="4" t="s">
        <v>38</v>
      </c>
      <c r="H51" s="4">
        <v>383</v>
      </c>
      <c r="I51" s="4" t="s">
        <v>65</v>
      </c>
      <c r="J51" s="4" t="s">
        <v>149</v>
      </c>
      <c r="K51" s="4" t="s">
        <v>41</v>
      </c>
      <c r="L51" s="4" t="str">
        <f>IFERROR(VLOOKUP(J51,'[1]2026'!$AG$3:$AL$233,5,FALSE),"N/A")</f>
        <v>HYUNDAI</v>
      </c>
      <c r="M51" s="4" t="str">
        <f>IFERROR(VLOOKUP(J51,'[1]2026'!$AG$3:$AL$233,6,FALSE),"N/A")</f>
        <v>R220 LONG REACH</v>
      </c>
      <c r="N51" s="9" t="s">
        <v>144</v>
      </c>
      <c r="O51" s="8">
        <v>930000</v>
      </c>
      <c r="P51" s="8">
        <v>0</v>
      </c>
      <c r="Q51" s="8">
        <v>0</v>
      </c>
      <c r="R51" s="8">
        <v>250000</v>
      </c>
      <c r="S51" s="8">
        <v>70000</v>
      </c>
      <c r="T51" s="8">
        <v>0</v>
      </c>
      <c r="U51" s="8">
        <v>0</v>
      </c>
      <c r="V51" s="8">
        <v>1250000</v>
      </c>
      <c r="W51" s="19">
        <v>5</v>
      </c>
      <c r="X51" s="19">
        <v>5</v>
      </c>
      <c r="Y51" s="19">
        <v>60</v>
      </c>
      <c r="Z51" s="8">
        <v>10416.666666666701</v>
      </c>
      <c r="AA51" s="4" t="s">
        <v>43</v>
      </c>
      <c r="AB51" s="89" t="s">
        <v>44</v>
      </c>
      <c r="AC51" s="89" t="s">
        <v>37</v>
      </c>
      <c r="AD51" s="89" t="s">
        <v>68</v>
      </c>
      <c r="AE51" s="89" t="s">
        <v>44</v>
      </c>
      <c r="AF51" s="89" t="s">
        <v>37</v>
      </c>
      <c r="AG51" s="89" t="s">
        <v>68</v>
      </c>
      <c r="AH51" s="18" t="s">
        <v>131</v>
      </c>
    </row>
    <row r="52" spans="1:34" s="5" customFormat="1" ht="15" customHeight="1" x14ac:dyDescent="0.25">
      <c r="A52" s="7">
        <v>51</v>
      </c>
      <c r="B52" s="4" t="s">
        <v>34</v>
      </c>
      <c r="C52" s="13" t="s">
        <v>51</v>
      </c>
      <c r="D52" s="13" t="s">
        <v>62</v>
      </c>
      <c r="E52" s="13" t="s">
        <v>63</v>
      </c>
      <c r="F52" s="13" t="s">
        <v>114</v>
      </c>
      <c r="G52" s="4" t="s">
        <v>38</v>
      </c>
      <c r="H52" s="4">
        <v>394</v>
      </c>
      <c r="I52" s="4" t="s">
        <v>65</v>
      </c>
      <c r="J52" s="27" t="s">
        <v>150</v>
      </c>
      <c r="K52" s="4" t="s">
        <v>41</v>
      </c>
      <c r="L52" s="4" t="str">
        <f>IFERROR(VLOOKUP(J52,'[1]2026'!$AG$3:$AL$233,5,FALSE),"N/A")</f>
        <v>HYUNDAI</v>
      </c>
      <c r="M52" s="4" t="str">
        <f>IFERROR(VLOOKUP(J52,'[1]2026'!$AG$3:$AL$233,6,FALSE),"N/A")</f>
        <v>ROBEX 140LC-9SB</v>
      </c>
      <c r="N52" s="9" t="s">
        <v>151</v>
      </c>
      <c r="O52" s="8">
        <v>645000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110000</v>
      </c>
      <c r="V52" s="8">
        <v>755000</v>
      </c>
      <c r="W52" s="19">
        <v>5</v>
      </c>
      <c r="X52" s="19">
        <v>5</v>
      </c>
      <c r="Y52" s="19">
        <v>60</v>
      </c>
      <c r="Z52" s="8">
        <v>6291.6666666666679</v>
      </c>
      <c r="AA52" s="4" t="s">
        <v>43</v>
      </c>
      <c r="AB52" s="89" t="s">
        <v>44</v>
      </c>
      <c r="AC52" s="89" t="s">
        <v>44</v>
      </c>
      <c r="AD52" s="93">
        <v>3367.4</v>
      </c>
      <c r="AE52" s="89" t="s">
        <v>44</v>
      </c>
      <c r="AF52" s="89"/>
      <c r="AG52" s="93"/>
      <c r="AH52" s="18" t="s">
        <v>45</v>
      </c>
    </row>
    <row r="53" spans="1:34" s="5" customFormat="1" ht="15" customHeight="1" x14ac:dyDescent="0.25">
      <c r="A53" s="7">
        <v>52</v>
      </c>
      <c r="B53" s="4" t="s">
        <v>34</v>
      </c>
      <c r="C53" s="13" t="s">
        <v>35</v>
      </c>
      <c r="D53" s="13" t="s">
        <v>62</v>
      </c>
      <c r="E53" s="13" t="s">
        <v>63</v>
      </c>
      <c r="F53" s="48" t="s">
        <v>152</v>
      </c>
      <c r="G53" s="4" t="s">
        <v>38</v>
      </c>
      <c r="H53" s="4">
        <v>457</v>
      </c>
      <c r="I53" s="4" t="s">
        <v>65</v>
      </c>
      <c r="J53" s="4" t="s">
        <v>153</v>
      </c>
      <c r="K53" s="4" t="s">
        <v>41</v>
      </c>
      <c r="L53" s="4" t="str">
        <f>IFERROR(VLOOKUP(J53,'[1]2026'!$AG$3:$AL$233,5,FALSE),"N/A")</f>
        <v>HYUNDAI</v>
      </c>
      <c r="M53" s="4" t="str">
        <f>IFERROR(VLOOKUP(J53,'[1]2026'!$AG$3:$AL$233,6,FALSE),"N/A")</f>
        <v>ROBEX 220LC-9S</v>
      </c>
      <c r="N53" s="9" t="s">
        <v>154</v>
      </c>
      <c r="O53" s="8">
        <v>765000</v>
      </c>
      <c r="P53" s="8">
        <v>0</v>
      </c>
      <c r="Q53" s="8">
        <v>0</v>
      </c>
      <c r="R53" s="8">
        <v>0</v>
      </c>
      <c r="S53" s="8">
        <v>70000</v>
      </c>
      <c r="T53" s="8">
        <v>0</v>
      </c>
      <c r="U53" s="8">
        <v>127000</v>
      </c>
      <c r="V53" s="8">
        <v>962000</v>
      </c>
      <c r="W53" s="19">
        <v>5</v>
      </c>
      <c r="X53" s="19">
        <v>5</v>
      </c>
      <c r="Y53" s="19">
        <v>60</v>
      </c>
      <c r="Z53" s="8">
        <v>8016.6666666666679</v>
      </c>
      <c r="AA53" s="4" t="s">
        <v>43</v>
      </c>
      <c r="AB53" s="4"/>
      <c r="AC53" s="4"/>
      <c r="AD53" s="4"/>
      <c r="AE53" s="114" t="s">
        <v>44</v>
      </c>
      <c r="AF53" s="4"/>
      <c r="AG53" s="4"/>
      <c r="AH53" s="18" t="s">
        <v>45</v>
      </c>
    </row>
    <row r="54" spans="1:34" s="5" customFormat="1" ht="15" customHeight="1" x14ac:dyDescent="0.25">
      <c r="A54" s="7">
        <v>53</v>
      </c>
      <c r="B54" s="4" t="s">
        <v>34</v>
      </c>
      <c r="C54" s="13" t="s">
        <v>148</v>
      </c>
      <c r="D54" s="13" t="s">
        <v>102</v>
      </c>
      <c r="E54" s="13" t="s">
        <v>103</v>
      </c>
      <c r="F54" s="13" t="s">
        <v>104</v>
      </c>
      <c r="G54" s="4" t="s">
        <v>38</v>
      </c>
      <c r="H54" s="4">
        <v>384</v>
      </c>
      <c r="I54" s="4" t="s">
        <v>65</v>
      </c>
      <c r="J54" s="4" t="s">
        <v>155</v>
      </c>
      <c r="K54" s="4" t="s">
        <v>41</v>
      </c>
      <c r="L54" s="4" t="str">
        <f>IFERROR(VLOOKUP(J54,'[1]2026'!$AG$3:$AL$233,5,FALSE),"N/A")</f>
        <v>HYUNDAI</v>
      </c>
      <c r="M54" s="4" t="str">
        <f>IFERROR(VLOOKUP(J54,'[1]2026'!$AG$3:$AL$233,6,FALSE),"N/A")</f>
        <v>ROBEX 220LC -9SB</v>
      </c>
      <c r="N54" s="9" t="s">
        <v>154</v>
      </c>
      <c r="O54" s="8">
        <v>765000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127000</v>
      </c>
      <c r="V54" s="8">
        <v>892000</v>
      </c>
      <c r="W54" s="19">
        <v>5</v>
      </c>
      <c r="X54" s="19">
        <v>5</v>
      </c>
      <c r="Y54" s="19">
        <v>60</v>
      </c>
      <c r="Z54" s="8">
        <v>7433.3333333333339</v>
      </c>
      <c r="AA54" s="4" t="s">
        <v>43</v>
      </c>
      <c r="AB54" s="89" t="s">
        <v>44</v>
      </c>
      <c r="AC54" s="89" t="s">
        <v>37</v>
      </c>
      <c r="AD54" s="89" t="s">
        <v>68</v>
      </c>
      <c r="AE54" s="89" t="s">
        <v>44</v>
      </c>
      <c r="AF54" s="89" t="s">
        <v>37</v>
      </c>
      <c r="AG54" s="89" t="s">
        <v>68</v>
      </c>
      <c r="AH54" s="18" t="s">
        <v>45</v>
      </c>
    </row>
    <row r="55" spans="1:34" s="5" customFormat="1" ht="15" customHeight="1" x14ac:dyDescent="0.25">
      <c r="A55" s="7">
        <v>54</v>
      </c>
      <c r="B55" s="4" t="s">
        <v>34</v>
      </c>
      <c r="C55" s="13" t="s">
        <v>137</v>
      </c>
      <c r="D55" s="48" t="s">
        <v>156</v>
      </c>
      <c r="E55" s="13" t="s">
        <v>103</v>
      </c>
      <c r="F55" s="29" t="s">
        <v>121</v>
      </c>
      <c r="G55" s="4" t="s">
        <v>140</v>
      </c>
      <c r="H55" s="4" t="s">
        <v>122</v>
      </c>
      <c r="I55" s="4" t="s">
        <v>65</v>
      </c>
      <c r="J55" s="28" t="s">
        <v>157</v>
      </c>
      <c r="K55" s="4" t="s">
        <v>41</v>
      </c>
      <c r="L55" s="4" t="str">
        <f>IFERROR(VLOOKUP(J55,'[1]2026'!$AG$3:$AL$233,5,FALSE),"N/A")</f>
        <v>N/A</v>
      </c>
      <c r="M55" s="4" t="str">
        <f>IFERROR(VLOOKUP(J55,'[1]2026'!$AG$3:$AL$233,6,FALSE),"N/A")</f>
        <v>N/A</v>
      </c>
      <c r="N55" s="13" t="s">
        <v>158</v>
      </c>
      <c r="O55" s="8">
        <v>765000</v>
      </c>
      <c r="P55" s="8">
        <v>0</v>
      </c>
      <c r="Q55" s="8">
        <v>0</v>
      </c>
      <c r="R55" s="8">
        <v>0</v>
      </c>
      <c r="S55" s="8">
        <v>0</v>
      </c>
      <c r="T55" s="8">
        <v>1000000</v>
      </c>
      <c r="U55" s="8">
        <v>0</v>
      </c>
      <c r="V55" s="8">
        <v>1765000</v>
      </c>
      <c r="W55" s="19">
        <v>5</v>
      </c>
      <c r="X55" s="19">
        <v>5</v>
      </c>
      <c r="Y55" s="19">
        <v>60</v>
      </c>
      <c r="Z55" s="8">
        <v>14708.333333333336</v>
      </c>
      <c r="AA55" s="4" t="s">
        <v>43</v>
      </c>
      <c r="AB55" s="4"/>
      <c r="AC55" s="4"/>
      <c r="AD55" s="4"/>
      <c r="AE55" s="4"/>
      <c r="AF55" s="4"/>
      <c r="AG55" s="4"/>
      <c r="AH55" s="18" t="s">
        <v>159</v>
      </c>
    </row>
    <row r="56" spans="1:34" s="5" customFormat="1" ht="15" customHeight="1" x14ac:dyDescent="0.25">
      <c r="A56" s="7">
        <v>55</v>
      </c>
      <c r="B56" s="4" t="s">
        <v>34</v>
      </c>
      <c r="C56" s="13" t="s">
        <v>49</v>
      </c>
      <c r="D56" s="13" t="s">
        <v>62</v>
      </c>
      <c r="E56" s="13" t="s">
        <v>63</v>
      </c>
      <c r="F56" s="13" t="s">
        <v>114</v>
      </c>
      <c r="G56" s="4" t="s">
        <v>38</v>
      </c>
      <c r="H56" s="4">
        <v>391</v>
      </c>
      <c r="I56" s="4" t="s">
        <v>65</v>
      </c>
      <c r="J56" s="27" t="s">
        <v>160</v>
      </c>
      <c r="K56" s="4" t="s">
        <v>41</v>
      </c>
      <c r="L56" s="4" t="str">
        <f>IFERROR(VLOOKUP(J56,'[1]2026'!$AG$3:$AL$233,5,FALSE),"N/A")</f>
        <v>HYUNDAI</v>
      </c>
      <c r="M56" s="4" t="str">
        <f>IFERROR(VLOOKUP(J56,'[1]2026'!$AG$3:$AL$233,6,FALSE),"N/A")</f>
        <v>ROBEX 220LC-9SB</v>
      </c>
      <c r="N56" s="9" t="s">
        <v>161</v>
      </c>
      <c r="O56" s="8">
        <v>765000</v>
      </c>
      <c r="P56" s="8">
        <v>0</v>
      </c>
      <c r="Q56" s="8">
        <v>0</v>
      </c>
      <c r="R56" s="8">
        <v>0</v>
      </c>
      <c r="S56" s="8">
        <v>0</v>
      </c>
      <c r="T56" s="8">
        <v>400000</v>
      </c>
      <c r="U56" s="8">
        <v>0</v>
      </c>
      <c r="V56" s="8">
        <v>1165000</v>
      </c>
      <c r="W56" s="19">
        <v>5</v>
      </c>
      <c r="X56" s="19">
        <v>5</v>
      </c>
      <c r="Y56" s="19">
        <v>60</v>
      </c>
      <c r="Z56" s="8">
        <v>9708.3333333333339</v>
      </c>
      <c r="AA56" s="4" t="s">
        <v>43</v>
      </c>
      <c r="AB56" s="89" t="s">
        <v>44</v>
      </c>
      <c r="AC56" s="89" t="s">
        <v>44</v>
      </c>
      <c r="AD56" s="93">
        <v>7474.78</v>
      </c>
      <c r="AE56" s="89" t="s">
        <v>44</v>
      </c>
      <c r="AF56" s="89"/>
      <c r="AG56" s="93"/>
      <c r="AH56" s="18" t="s">
        <v>45</v>
      </c>
    </row>
    <row r="57" spans="1:34" s="5" customFormat="1" ht="15" customHeight="1" x14ac:dyDescent="0.25">
      <c r="A57" s="7">
        <v>56</v>
      </c>
      <c r="B57" s="4" t="s">
        <v>34</v>
      </c>
      <c r="C57" s="13" t="s">
        <v>35</v>
      </c>
      <c r="D57" s="13" t="s">
        <v>62</v>
      </c>
      <c r="E57" s="13" t="s">
        <v>63</v>
      </c>
      <c r="F57" s="48" t="s">
        <v>152</v>
      </c>
      <c r="G57" s="4" t="s">
        <v>38</v>
      </c>
      <c r="H57" s="4">
        <v>458</v>
      </c>
      <c r="I57" s="4" t="s">
        <v>65</v>
      </c>
      <c r="J57" s="4" t="s">
        <v>162</v>
      </c>
      <c r="K57" s="4" t="s">
        <v>41</v>
      </c>
      <c r="L57" s="4" t="str">
        <f>IFERROR(VLOOKUP(J57,'[1]2026'!$AG$3:$AL$233,5,FALSE),"N/A")</f>
        <v>LIEBHERR</v>
      </c>
      <c r="M57" s="4" t="str">
        <f>IFERROR(VLOOKUP(J57,'[1]2026'!$AG$3:$AL$233,6,FALSE),"N/A")</f>
        <v>LH30M</v>
      </c>
      <c r="N57" s="10" t="s">
        <v>163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2400000</v>
      </c>
      <c r="W57" s="19" t="s">
        <v>68</v>
      </c>
      <c r="X57" s="19" t="s">
        <v>68</v>
      </c>
      <c r="Y57" s="19" t="s">
        <v>68</v>
      </c>
      <c r="Z57" s="8">
        <v>20000</v>
      </c>
      <c r="AA57" s="4" t="s">
        <v>43</v>
      </c>
      <c r="AB57" s="4"/>
      <c r="AC57" s="4"/>
      <c r="AD57" s="4"/>
      <c r="AE57" s="92" t="s">
        <v>44</v>
      </c>
      <c r="AF57" s="4"/>
      <c r="AG57" s="4"/>
      <c r="AH57" s="18" t="s">
        <v>45</v>
      </c>
    </row>
    <row r="58" spans="1:34" s="5" customFormat="1" ht="15" customHeight="1" x14ac:dyDescent="0.25">
      <c r="A58" s="7">
        <v>57</v>
      </c>
      <c r="B58" s="4" t="s">
        <v>34</v>
      </c>
      <c r="C58" s="13" t="s">
        <v>46</v>
      </c>
      <c r="D58" s="13" t="s">
        <v>62</v>
      </c>
      <c r="E58" s="13" t="s">
        <v>63</v>
      </c>
      <c r="F58" s="13" t="s">
        <v>64</v>
      </c>
      <c r="G58" s="4" t="s">
        <v>38</v>
      </c>
      <c r="H58" s="4">
        <v>424</v>
      </c>
      <c r="I58" s="4" t="s">
        <v>65</v>
      </c>
      <c r="J58" s="4" t="s">
        <v>164</v>
      </c>
      <c r="K58" s="4" t="s">
        <v>58</v>
      </c>
      <c r="L58" s="4" t="str">
        <f>IFERROR(VLOOKUP(J58,'[1]2026'!$AG$3:$AL$233,5,FALSE),"N/A")</f>
        <v>IMAVI</v>
      </c>
      <c r="M58" s="4" t="str">
        <f>IFERROR(VLOOKUP(J58,'[1]2026'!$AG$3:$AL$233,6,FALSE),"N/A")</f>
        <v>REBOQUE 03 EIXOS ROLLON ROLLOFF</v>
      </c>
      <c r="N58" s="13" t="s">
        <v>165</v>
      </c>
      <c r="O58" s="8">
        <v>0</v>
      </c>
      <c r="P58" s="8">
        <v>130000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130000</v>
      </c>
      <c r="W58" s="19">
        <v>5</v>
      </c>
      <c r="X58" s="19">
        <v>5</v>
      </c>
      <c r="Y58" s="19">
        <v>60</v>
      </c>
      <c r="Z58" s="8">
        <v>2166.666666666667</v>
      </c>
      <c r="AA58" s="4" t="s">
        <v>166</v>
      </c>
      <c r="AB58" s="89" t="s">
        <v>44</v>
      </c>
      <c r="AC58" s="89" t="s">
        <v>37</v>
      </c>
      <c r="AD58" s="89" t="s">
        <v>68</v>
      </c>
      <c r="AE58" s="89" t="s">
        <v>44</v>
      </c>
      <c r="AF58" s="89" t="s">
        <v>37</v>
      </c>
      <c r="AG58" s="89" t="s">
        <v>68</v>
      </c>
      <c r="AH58" s="18" t="s">
        <v>45</v>
      </c>
    </row>
    <row r="59" spans="1:34" s="5" customFormat="1" ht="15" customHeight="1" x14ac:dyDescent="0.25">
      <c r="A59" s="7">
        <v>58</v>
      </c>
      <c r="B59" s="4" t="s">
        <v>34</v>
      </c>
      <c r="C59" s="13" t="s">
        <v>46</v>
      </c>
      <c r="D59" s="13" t="s">
        <v>62</v>
      </c>
      <c r="E59" s="13" t="s">
        <v>63</v>
      </c>
      <c r="F59" s="13" t="s">
        <v>64</v>
      </c>
      <c r="G59" s="4" t="s">
        <v>38</v>
      </c>
      <c r="H59" s="4">
        <v>425</v>
      </c>
      <c r="I59" s="4" t="s">
        <v>65</v>
      </c>
      <c r="J59" s="4" t="s">
        <v>167</v>
      </c>
      <c r="K59" s="4" t="s">
        <v>58</v>
      </c>
      <c r="L59" s="4" t="str">
        <f>IFERROR(VLOOKUP(J59,'[1]2026'!$AG$3:$AL$233,5,FALSE),"N/A")</f>
        <v>IMAVI</v>
      </c>
      <c r="M59" s="4" t="str">
        <f>IFERROR(VLOOKUP(J59,'[1]2026'!$AG$3:$AL$233,6,FALSE),"N/A")</f>
        <v>REBOQUE 03 EIXOS ROLLON ROLLOFF</v>
      </c>
      <c r="N59" s="13" t="s">
        <v>165</v>
      </c>
      <c r="O59" s="8">
        <v>0</v>
      </c>
      <c r="P59" s="8">
        <v>130000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130000</v>
      </c>
      <c r="W59" s="19">
        <v>5</v>
      </c>
      <c r="X59" s="19">
        <v>5</v>
      </c>
      <c r="Y59" s="19">
        <v>60</v>
      </c>
      <c r="Z59" s="8">
        <v>2166.666666666667</v>
      </c>
      <c r="AA59" s="4" t="s">
        <v>166</v>
      </c>
      <c r="AB59" s="89" t="s">
        <v>44</v>
      </c>
      <c r="AC59" s="89" t="s">
        <v>37</v>
      </c>
      <c r="AD59" s="89" t="s">
        <v>68</v>
      </c>
      <c r="AE59" s="89" t="s">
        <v>44</v>
      </c>
      <c r="AF59" s="89" t="s">
        <v>37</v>
      </c>
      <c r="AG59" s="89" t="s">
        <v>68</v>
      </c>
      <c r="AH59" s="18" t="s">
        <v>45</v>
      </c>
    </row>
    <row r="60" spans="1:34" s="5" customFormat="1" ht="15" customHeight="1" x14ac:dyDescent="0.25">
      <c r="A60" s="7">
        <v>59</v>
      </c>
      <c r="B60" s="4" t="s">
        <v>34</v>
      </c>
      <c r="C60" s="13" t="s">
        <v>49</v>
      </c>
      <c r="D60" s="13" t="s">
        <v>36</v>
      </c>
      <c r="E60" s="13" t="s">
        <v>37</v>
      </c>
      <c r="F60" s="13" t="s">
        <v>37</v>
      </c>
      <c r="G60" s="4" t="s">
        <v>38</v>
      </c>
      <c r="H60" s="4">
        <v>355</v>
      </c>
      <c r="I60" s="4" t="s">
        <v>65</v>
      </c>
      <c r="J60" s="4" t="s">
        <v>168</v>
      </c>
      <c r="K60" s="4" t="s">
        <v>58</v>
      </c>
      <c r="L60" s="4" t="str">
        <f>IFERROR(VLOOKUP(J60,'[1]2026'!$AG$3:$AL$233,5,FALSE),"N/A")</f>
        <v>BUSA</v>
      </c>
      <c r="M60" s="4" t="str">
        <f>IFERROR(VLOOKUP(J60,'[1]2026'!$AG$3:$AL$233,6,FALSE),"N/A")</f>
        <v>REBOQUE 03 EIXOS ROLLON ROLLOFF</v>
      </c>
      <c r="N60" s="13" t="s">
        <v>165</v>
      </c>
      <c r="O60" s="8">
        <v>0</v>
      </c>
      <c r="P60" s="8">
        <v>130000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130000</v>
      </c>
      <c r="W60" s="19">
        <v>5</v>
      </c>
      <c r="X60" s="19">
        <v>5</v>
      </c>
      <c r="Y60" s="19">
        <v>60</v>
      </c>
      <c r="Z60" s="8">
        <v>2166.666666666667</v>
      </c>
      <c r="AA60" s="4" t="s">
        <v>166</v>
      </c>
      <c r="AB60" s="89" t="s">
        <v>44</v>
      </c>
      <c r="AC60" s="92" t="s">
        <v>37</v>
      </c>
      <c r="AD60" s="92" t="s">
        <v>37</v>
      </c>
      <c r="AE60" s="89" t="s">
        <v>44</v>
      </c>
      <c r="AF60" s="92" t="s">
        <v>37</v>
      </c>
      <c r="AG60" s="92" t="s">
        <v>37</v>
      </c>
      <c r="AH60" s="18" t="s">
        <v>131</v>
      </c>
    </row>
    <row r="61" spans="1:34" s="5" customFormat="1" ht="15" customHeight="1" x14ac:dyDescent="0.25">
      <c r="A61" s="7">
        <v>60</v>
      </c>
      <c r="B61" s="4" t="s">
        <v>34</v>
      </c>
      <c r="C61" s="13" t="s">
        <v>49</v>
      </c>
      <c r="D61" s="13" t="s">
        <v>36</v>
      </c>
      <c r="E61" s="13" t="s">
        <v>37</v>
      </c>
      <c r="F61" s="13" t="s">
        <v>37</v>
      </c>
      <c r="G61" s="4" t="s">
        <v>38</v>
      </c>
      <c r="H61" s="4">
        <v>354</v>
      </c>
      <c r="I61" s="4" t="s">
        <v>65</v>
      </c>
      <c r="J61" s="4" t="s">
        <v>169</v>
      </c>
      <c r="K61" s="4" t="s">
        <v>58</v>
      </c>
      <c r="L61" s="4" t="str">
        <f>IFERROR(VLOOKUP(J61,'[1]2026'!$AG$3:$AL$233,5,FALSE),"N/A")</f>
        <v>BUSA</v>
      </c>
      <c r="M61" s="4" t="str">
        <f>IFERROR(VLOOKUP(J61,'[1]2026'!$AG$3:$AL$233,6,FALSE),"N/A")</f>
        <v>REBOQUE 03 EIXOS ROLLON ROLLOFF</v>
      </c>
      <c r="N61" s="13" t="s">
        <v>165</v>
      </c>
      <c r="O61" s="8">
        <v>0</v>
      </c>
      <c r="P61" s="8">
        <v>130000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130000</v>
      </c>
      <c r="W61" s="19">
        <v>5</v>
      </c>
      <c r="X61" s="19">
        <v>5</v>
      </c>
      <c r="Y61" s="19">
        <v>60</v>
      </c>
      <c r="Z61" s="8">
        <v>2166.666666666667</v>
      </c>
      <c r="AA61" s="4" t="s">
        <v>170</v>
      </c>
      <c r="AB61" s="89" t="s">
        <v>44</v>
      </c>
      <c r="AC61" s="92" t="s">
        <v>37</v>
      </c>
      <c r="AD61" s="92" t="s">
        <v>37</v>
      </c>
      <c r="AE61" s="89" t="s">
        <v>44</v>
      </c>
      <c r="AF61" s="92" t="s">
        <v>37</v>
      </c>
      <c r="AG61" s="92" t="s">
        <v>37</v>
      </c>
      <c r="AH61" s="18" t="s">
        <v>45</v>
      </c>
    </row>
    <row r="62" spans="1:34" s="5" customFormat="1" ht="15" customHeight="1" x14ac:dyDescent="0.25">
      <c r="A62" s="7">
        <v>61</v>
      </c>
      <c r="B62" s="4" t="s">
        <v>34</v>
      </c>
      <c r="C62" s="13" t="s">
        <v>51</v>
      </c>
      <c r="D62" s="13" t="s">
        <v>62</v>
      </c>
      <c r="E62" s="13" t="s">
        <v>63</v>
      </c>
      <c r="F62" s="13" t="s">
        <v>64</v>
      </c>
      <c r="G62" s="4" t="s">
        <v>38</v>
      </c>
      <c r="H62" s="4">
        <v>362</v>
      </c>
      <c r="I62" s="4" t="s">
        <v>65</v>
      </c>
      <c r="J62" s="4" t="s">
        <v>171</v>
      </c>
      <c r="K62" s="4" t="s">
        <v>58</v>
      </c>
      <c r="L62" s="4" t="str">
        <f>IFERROR(VLOOKUP(J62,'[1]2026'!$AG$3:$AL$233,5,FALSE),"N/A")</f>
        <v>BUSA</v>
      </c>
      <c r="M62" s="4" t="str">
        <f>IFERROR(VLOOKUP(J62,'[1]2026'!$AG$3:$AL$233,6,FALSE),"N/A")</f>
        <v>REBOQUE 03 EIXOS ROLLON ROLLOFF</v>
      </c>
      <c r="N62" s="13" t="s">
        <v>165</v>
      </c>
      <c r="O62" s="8">
        <v>0</v>
      </c>
      <c r="P62" s="8">
        <v>130000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130000</v>
      </c>
      <c r="W62" s="19">
        <v>5</v>
      </c>
      <c r="X62" s="19">
        <v>5</v>
      </c>
      <c r="Y62" s="19">
        <v>60</v>
      </c>
      <c r="Z62" s="8">
        <v>2166.666666666667</v>
      </c>
      <c r="AA62" s="4" t="s">
        <v>166</v>
      </c>
      <c r="AB62" s="89" t="s">
        <v>44</v>
      </c>
      <c r="AC62" s="89" t="s">
        <v>37</v>
      </c>
      <c r="AD62" s="89" t="s">
        <v>68</v>
      </c>
      <c r="AE62" s="89" t="s">
        <v>44</v>
      </c>
      <c r="AF62" s="89" t="s">
        <v>37</v>
      </c>
      <c r="AG62" s="89" t="s">
        <v>68</v>
      </c>
      <c r="AH62" s="18" t="s">
        <v>131</v>
      </c>
    </row>
    <row r="63" spans="1:34" s="5" customFormat="1" ht="15" customHeight="1" x14ac:dyDescent="0.25">
      <c r="A63" s="7">
        <v>62</v>
      </c>
      <c r="B63" s="4" t="s">
        <v>34</v>
      </c>
      <c r="C63" s="13" t="s">
        <v>53</v>
      </c>
      <c r="D63" s="13" t="s">
        <v>62</v>
      </c>
      <c r="E63" s="13" t="s">
        <v>63</v>
      </c>
      <c r="F63" s="13" t="s">
        <v>64</v>
      </c>
      <c r="G63" s="4" t="s">
        <v>38</v>
      </c>
      <c r="H63" s="4">
        <v>428</v>
      </c>
      <c r="I63" s="4" t="s">
        <v>65</v>
      </c>
      <c r="J63" s="4" t="s">
        <v>172</v>
      </c>
      <c r="K63" s="4" t="s">
        <v>58</v>
      </c>
      <c r="L63" s="4" t="str">
        <f>IFERROR(VLOOKUP(J63,'[1]2026'!$AG$3:$AL$233,5,FALSE),"N/A")</f>
        <v>IMAVI</v>
      </c>
      <c r="M63" s="4" t="str">
        <f>IFERROR(VLOOKUP(J63,'[1]2026'!$AG$3:$AL$233,6,FALSE),"N/A")</f>
        <v>REBOQUE 03 EIXOS ROLLON ROLLOFF</v>
      </c>
      <c r="N63" s="13" t="s">
        <v>165</v>
      </c>
      <c r="O63" s="8">
        <v>0</v>
      </c>
      <c r="P63" s="8">
        <v>130000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130000</v>
      </c>
      <c r="W63" s="19">
        <v>5</v>
      </c>
      <c r="X63" s="19">
        <v>5</v>
      </c>
      <c r="Y63" s="19">
        <v>60</v>
      </c>
      <c r="Z63" s="8">
        <v>2166.666666666667</v>
      </c>
      <c r="AA63" s="4" t="s">
        <v>44</v>
      </c>
      <c r="AB63" s="89" t="s">
        <v>44</v>
      </c>
      <c r="AC63" s="89" t="s">
        <v>37</v>
      </c>
      <c r="AD63" s="89" t="s">
        <v>68</v>
      </c>
      <c r="AE63" s="89" t="s">
        <v>44</v>
      </c>
      <c r="AF63" s="89" t="s">
        <v>37</v>
      </c>
      <c r="AG63" s="89" t="s">
        <v>68</v>
      </c>
      <c r="AH63" s="18" t="s">
        <v>45</v>
      </c>
    </row>
    <row r="64" spans="1:34" s="5" customFormat="1" ht="15" customHeight="1" x14ac:dyDescent="0.25">
      <c r="A64" s="7">
        <v>63</v>
      </c>
      <c r="B64" s="4" t="s">
        <v>34</v>
      </c>
      <c r="C64" s="13" t="s">
        <v>53</v>
      </c>
      <c r="D64" s="13" t="s">
        <v>62</v>
      </c>
      <c r="E64" s="13" t="s">
        <v>63</v>
      </c>
      <c r="F64" s="13" t="s">
        <v>64</v>
      </c>
      <c r="G64" s="4" t="s">
        <v>38</v>
      </c>
      <c r="H64" s="4">
        <v>429</v>
      </c>
      <c r="I64" s="4" t="s">
        <v>65</v>
      </c>
      <c r="J64" s="4" t="s">
        <v>173</v>
      </c>
      <c r="K64" s="4" t="s">
        <v>58</v>
      </c>
      <c r="L64" s="4" t="str">
        <f>IFERROR(VLOOKUP(J64,'[1]2026'!$AG$3:$AL$233,5,FALSE),"N/A")</f>
        <v>IMAVI</v>
      </c>
      <c r="M64" s="4" t="str">
        <f>IFERROR(VLOOKUP(J64,'[1]2026'!$AG$3:$AL$233,6,FALSE),"N/A")</f>
        <v>REBOQUE 03 EIXOS ROLLON ROLLOFF</v>
      </c>
      <c r="N64" s="13" t="s">
        <v>165</v>
      </c>
      <c r="O64" s="8">
        <v>0</v>
      </c>
      <c r="P64" s="8">
        <v>130000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130000</v>
      </c>
      <c r="W64" s="19">
        <v>5</v>
      </c>
      <c r="X64" s="19">
        <v>5</v>
      </c>
      <c r="Y64" s="19">
        <v>60</v>
      </c>
      <c r="Z64" s="8">
        <v>2166.666666666667</v>
      </c>
      <c r="AA64" s="4" t="s">
        <v>166</v>
      </c>
      <c r="AB64" s="89" t="s">
        <v>44</v>
      </c>
      <c r="AC64" s="89" t="s">
        <v>37</v>
      </c>
      <c r="AD64" s="89" t="s">
        <v>68</v>
      </c>
      <c r="AE64" s="89" t="s">
        <v>44</v>
      </c>
      <c r="AF64" s="89" t="s">
        <v>37</v>
      </c>
      <c r="AG64" s="89" t="s">
        <v>68</v>
      </c>
      <c r="AH64" s="18" t="s">
        <v>131</v>
      </c>
    </row>
    <row r="65" spans="1:34" s="5" customFormat="1" ht="15" customHeight="1" x14ac:dyDescent="0.25">
      <c r="A65" s="7">
        <v>64</v>
      </c>
      <c r="B65" s="4" t="s">
        <v>34</v>
      </c>
      <c r="C65" s="13" t="s">
        <v>53</v>
      </c>
      <c r="D65" s="13" t="s">
        <v>62</v>
      </c>
      <c r="E65" s="13" t="s">
        <v>63</v>
      </c>
      <c r="F65" s="13" t="s">
        <v>64</v>
      </c>
      <c r="G65" s="4" t="s">
        <v>38</v>
      </c>
      <c r="H65" s="4">
        <v>430</v>
      </c>
      <c r="I65" s="4" t="s">
        <v>65</v>
      </c>
      <c r="J65" s="4" t="s">
        <v>174</v>
      </c>
      <c r="K65" s="4" t="s">
        <v>58</v>
      </c>
      <c r="L65" s="4" t="str">
        <f>IFERROR(VLOOKUP(J65,'[1]2026'!$AG$3:$AL$233,5,FALSE),"N/A")</f>
        <v>IMAVI</v>
      </c>
      <c r="M65" s="4" t="str">
        <f>IFERROR(VLOOKUP(J65,'[1]2026'!$AG$3:$AL$233,6,FALSE),"N/A")</f>
        <v>REBOQUE 03 EIXOS ROLLON ROLLOFF</v>
      </c>
      <c r="N65" s="13" t="s">
        <v>165</v>
      </c>
      <c r="O65" s="8">
        <v>0</v>
      </c>
      <c r="P65" s="8">
        <v>130000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130000</v>
      </c>
      <c r="W65" s="19">
        <v>5</v>
      </c>
      <c r="X65" s="19">
        <v>5</v>
      </c>
      <c r="Y65" s="19">
        <v>60</v>
      </c>
      <c r="Z65" s="8">
        <v>2166.666666666667</v>
      </c>
      <c r="AA65" s="4" t="s">
        <v>166</v>
      </c>
      <c r="AB65" s="89" t="s">
        <v>44</v>
      </c>
      <c r="AC65" s="89" t="s">
        <v>37</v>
      </c>
      <c r="AD65" s="89" t="s">
        <v>68</v>
      </c>
      <c r="AE65" s="89" t="s">
        <v>44</v>
      </c>
      <c r="AF65" s="89" t="s">
        <v>37</v>
      </c>
      <c r="AG65" s="89" t="s">
        <v>68</v>
      </c>
      <c r="AH65" s="18" t="s">
        <v>131</v>
      </c>
    </row>
    <row r="66" spans="1:34" s="5" customFormat="1" ht="15" customHeight="1" x14ac:dyDescent="0.25">
      <c r="A66" s="7">
        <v>65</v>
      </c>
      <c r="B66" s="4" t="s">
        <v>34</v>
      </c>
      <c r="C66" s="13" t="s">
        <v>53</v>
      </c>
      <c r="D66" s="13" t="s">
        <v>62</v>
      </c>
      <c r="E66" s="13" t="s">
        <v>63</v>
      </c>
      <c r="F66" s="13" t="s">
        <v>64</v>
      </c>
      <c r="G66" s="4" t="s">
        <v>38</v>
      </c>
      <c r="H66" s="4">
        <v>431</v>
      </c>
      <c r="I66" s="4" t="s">
        <v>65</v>
      </c>
      <c r="J66" s="4" t="s">
        <v>175</v>
      </c>
      <c r="K66" s="4" t="s">
        <v>58</v>
      </c>
      <c r="L66" s="4" t="str">
        <f>IFERROR(VLOOKUP(J66,'[1]2026'!$AG$3:$AL$233,5,FALSE),"N/A")</f>
        <v>IMAVI</v>
      </c>
      <c r="M66" s="4" t="str">
        <f>IFERROR(VLOOKUP(J66,'[1]2026'!$AG$3:$AL$233,6,FALSE),"N/A")</f>
        <v>REBOQUE 03 EIXOS ROLLON ROLLOFF</v>
      </c>
      <c r="N66" s="13" t="s">
        <v>165</v>
      </c>
      <c r="O66" s="8">
        <v>0</v>
      </c>
      <c r="P66" s="8">
        <v>130000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130000</v>
      </c>
      <c r="W66" s="19">
        <v>5</v>
      </c>
      <c r="X66" s="19">
        <v>5</v>
      </c>
      <c r="Y66" s="19">
        <v>60</v>
      </c>
      <c r="Z66" s="8">
        <v>2166.666666666667</v>
      </c>
      <c r="AA66" s="4" t="s">
        <v>122</v>
      </c>
      <c r="AB66" s="89" t="s">
        <v>44</v>
      </c>
      <c r="AC66" s="89" t="s">
        <v>37</v>
      </c>
      <c r="AD66" s="89" t="s">
        <v>68</v>
      </c>
      <c r="AE66" s="89" t="s">
        <v>44</v>
      </c>
      <c r="AF66" s="89" t="s">
        <v>37</v>
      </c>
      <c r="AG66" s="89" t="s">
        <v>68</v>
      </c>
      <c r="AH66" s="18" t="s">
        <v>45</v>
      </c>
    </row>
    <row r="67" spans="1:34" ht="15" customHeight="1" x14ac:dyDescent="0.25">
      <c r="A67" s="7">
        <v>66</v>
      </c>
      <c r="B67" s="4" t="s">
        <v>34</v>
      </c>
      <c r="C67" s="13" t="s">
        <v>176</v>
      </c>
      <c r="D67" s="13" t="s">
        <v>62</v>
      </c>
      <c r="E67" s="13" t="s">
        <v>63</v>
      </c>
      <c r="F67" s="13" t="s">
        <v>64</v>
      </c>
      <c r="G67" s="4" t="s">
        <v>38</v>
      </c>
      <c r="H67" s="4">
        <v>445</v>
      </c>
      <c r="I67" s="4" t="s">
        <v>65</v>
      </c>
      <c r="J67" s="4" t="s">
        <v>177</v>
      </c>
      <c r="K67" s="4" t="s">
        <v>58</v>
      </c>
      <c r="L67" s="4" t="str">
        <f>IFERROR(VLOOKUP(J67,'[1]2026'!$AG$3:$AL$233,5,FALSE),"N/A")</f>
        <v>IMAVI</v>
      </c>
      <c r="M67" s="4" t="str">
        <f>IFERROR(VLOOKUP(J67,'[1]2026'!$AG$3:$AL$233,6,FALSE),"N/A")</f>
        <v>REBOQUE 03 EIXOS ROLLON ROLLOFF</v>
      </c>
      <c r="N67" s="13" t="s">
        <v>165</v>
      </c>
      <c r="O67" s="8">
        <v>0</v>
      </c>
      <c r="P67" s="8">
        <v>130000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130000</v>
      </c>
      <c r="W67" s="19">
        <v>5</v>
      </c>
      <c r="X67" s="19">
        <v>5</v>
      </c>
      <c r="Y67" s="19">
        <v>60</v>
      </c>
      <c r="Z67" s="8">
        <v>2166.666666666667</v>
      </c>
      <c r="AA67" s="4" t="s">
        <v>166</v>
      </c>
      <c r="AB67" s="89" t="s">
        <v>44</v>
      </c>
      <c r="AC67" s="89" t="s">
        <v>37</v>
      </c>
      <c r="AD67" s="89" t="s">
        <v>68</v>
      </c>
      <c r="AE67" s="89" t="s">
        <v>44</v>
      </c>
      <c r="AF67" s="89" t="s">
        <v>37</v>
      </c>
      <c r="AG67" s="89" t="s">
        <v>68</v>
      </c>
      <c r="AH67" s="18" t="s">
        <v>131</v>
      </c>
    </row>
    <row r="68" spans="1:34" ht="15" customHeight="1" x14ac:dyDescent="0.25">
      <c r="A68" s="7">
        <v>67</v>
      </c>
      <c r="B68" s="4" t="s">
        <v>34</v>
      </c>
      <c r="C68" s="13" t="s">
        <v>61</v>
      </c>
      <c r="D68" s="13" t="s">
        <v>36</v>
      </c>
      <c r="E68" s="13" t="s">
        <v>37</v>
      </c>
      <c r="F68" s="13" t="s">
        <v>129</v>
      </c>
      <c r="G68" s="4" t="s">
        <v>38</v>
      </c>
      <c r="H68" s="4">
        <v>405</v>
      </c>
      <c r="I68" s="4" t="s">
        <v>65</v>
      </c>
      <c r="J68" s="4" t="s">
        <v>178</v>
      </c>
      <c r="K68" s="4" t="s">
        <v>58</v>
      </c>
      <c r="L68" s="4" t="str">
        <f>IFERROR(VLOOKUP(J68,'[1]2026'!$AG$3:$AL$233,5,FALSE),"N/A")</f>
        <v>IMAVI</v>
      </c>
      <c r="M68" s="4" t="str">
        <f>IFERROR(VLOOKUP(J68,'[1]2026'!$AG$3:$AL$233,6,FALSE),"N/A")</f>
        <v>REBOQUE 03 EIXOS ROLLON ROLLOFF</v>
      </c>
      <c r="N68" s="13" t="s">
        <v>165</v>
      </c>
      <c r="O68" s="8">
        <v>0</v>
      </c>
      <c r="P68" s="8">
        <v>130000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130000</v>
      </c>
      <c r="W68" s="19">
        <v>5</v>
      </c>
      <c r="X68" s="19">
        <v>5</v>
      </c>
      <c r="Y68" s="19">
        <v>60</v>
      </c>
      <c r="Z68" s="8">
        <v>2166.666666666667</v>
      </c>
      <c r="AA68" s="4" t="s">
        <v>43</v>
      </c>
      <c r="AB68" s="89" t="s">
        <v>44</v>
      </c>
      <c r="AC68" s="92" t="s">
        <v>37</v>
      </c>
      <c r="AD68" s="92" t="s">
        <v>37</v>
      </c>
      <c r="AE68" s="89" t="s">
        <v>44</v>
      </c>
      <c r="AF68" s="92" t="s">
        <v>37</v>
      </c>
      <c r="AG68" s="92" t="s">
        <v>37</v>
      </c>
      <c r="AH68" s="18" t="s">
        <v>45</v>
      </c>
    </row>
    <row r="69" spans="1:34" s="5" customFormat="1" ht="15" customHeight="1" x14ac:dyDescent="0.25">
      <c r="A69" s="7">
        <v>68</v>
      </c>
      <c r="B69" s="4" t="s">
        <v>34</v>
      </c>
      <c r="C69" s="13" t="s">
        <v>61</v>
      </c>
      <c r="D69" s="13" t="s">
        <v>36</v>
      </c>
      <c r="E69" s="13" t="s">
        <v>37</v>
      </c>
      <c r="F69" s="13" t="s">
        <v>129</v>
      </c>
      <c r="G69" s="4" t="s">
        <v>38</v>
      </c>
      <c r="H69" s="4">
        <v>406</v>
      </c>
      <c r="I69" s="4" t="s">
        <v>65</v>
      </c>
      <c r="J69" s="4" t="s">
        <v>179</v>
      </c>
      <c r="K69" s="4" t="s">
        <v>58</v>
      </c>
      <c r="L69" s="4" t="str">
        <f>IFERROR(VLOOKUP(J69,'[1]2026'!$AG$3:$AL$233,5,FALSE),"N/A")</f>
        <v>IMAVI</v>
      </c>
      <c r="M69" s="4" t="str">
        <f>IFERROR(VLOOKUP(J69,'[1]2026'!$AG$3:$AL$233,6,FALSE),"N/A")</f>
        <v>REBOQUE 03 EIXOS ROLLON ROLLOFF</v>
      </c>
      <c r="N69" s="13" t="s">
        <v>165</v>
      </c>
      <c r="O69" s="8">
        <v>0</v>
      </c>
      <c r="P69" s="8">
        <v>130000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130000</v>
      </c>
      <c r="W69" s="19">
        <v>5</v>
      </c>
      <c r="X69" s="19">
        <v>5</v>
      </c>
      <c r="Y69" s="19">
        <v>60</v>
      </c>
      <c r="Z69" s="8">
        <v>2166.666666666667</v>
      </c>
      <c r="AA69" s="4" t="s">
        <v>43</v>
      </c>
      <c r="AB69" s="89" t="s">
        <v>44</v>
      </c>
      <c r="AC69" s="92" t="s">
        <v>37</v>
      </c>
      <c r="AD69" s="92" t="s">
        <v>37</v>
      </c>
      <c r="AE69" s="89" t="s">
        <v>44</v>
      </c>
      <c r="AF69" s="92" t="s">
        <v>37</v>
      </c>
      <c r="AG69" s="92" t="s">
        <v>37</v>
      </c>
      <c r="AH69" s="18" t="s">
        <v>45</v>
      </c>
    </row>
    <row r="70" spans="1:34" s="5" customFormat="1" ht="15" customHeight="1" x14ac:dyDescent="0.25">
      <c r="A70" s="7">
        <v>69</v>
      </c>
      <c r="B70" s="4" t="s">
        <v>34</v>
      </c>
      <c r="C70" s="13" t="s">
        <v>61</v>
      </c>
      <c r="D70" s="13" t="s">
        <v>36</v>
      </c>
      <c r="E70" s="13" t="s">
        <v>37</v>
      </c>
      <c r="F70" s="13" t="s">
        <v>129</v>
      </c>
      <c r="G70" s="4" t="s">
        <v>38</v>
      </c>
      <c r="H70" s="4">
        <v>356</v>
      </c>
      <c r="I70" s="4" t="s">
        <v>65</v>
      </c>
      <c r="J70" s="4" t="s">
        <v>180</v>
      </c>
      <c r="K70" s="4" t="s">
        <v>58</v>
      </c>
      <c r="L70" s="4" t="str">
        <f>IFERROR(VLOOKUP(J70,'[1]2026'!$AG$3:$AL$233,5,FALSE),"N/A")</f>
        <v>BUSA</v>
      </c>
      <c r="M70" s="4" t="str">
        <f>IFERROR(VLOOKUP(J70,'[1]2026'!$AG$3:$AL$233,6,FALSE),"N/A")</f>
        <v>REBOQUE 03 EIXOS ROLLON ROLLOFF</v>
      </c>
      <c r="N70" s="13" t="s">
        <v>165</v>
      </c>
      <c r="O70" s="8">
        <v>0</v>
      </c>
      <c r="P70" s="8">
        <v>130000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130000</v>
      </c>
      <c r="W70" s="19">
        <v>5</v>
      </c>
      <c r="X70" s="19">
        <v>5</v>
      </c>
      <c r="Y70" s="19">
        <v>60</v>
      </c>
      <c r="Z70" s="8">
        <v>2166.666666666667</v>
      </c>
      <c r="AA70" s="4" t="s">
        <v>166</v>
      </c>
      <c r="AB70" s="89" t="s">
        <v>44</v>
      </c>
      <c r="AC70" s="92" t="s">
        <v>37</v>
      </c>
      <c r="AD70" s="92" t="s">
        <v>37</v>
      </c>
      <c r="AE70" s="89" t="s">
        <v>44</v>
      </c>
      <c r="AF70" s="92" t="s">
        <v>37</v>
      </c>
      <c r="AG70" s="92" t="s">
        <v>37</v>
      </c>
      <c r="AH70" s="18" t="s">
        <v>45</v>
      </c>
    </row>
    <row r="71" spans="1:34" ht="15" customHeight="1" x14ac:dyDescent="0.25">
      <c r="A71" s="7">
        <v>70</v>
      </c>
      <c r="B71" s="4" t="s">
        <v>34</v>
      </c>
      <c r="C71" s="13" t="s">
        <v>35</v>
      </c>
      <c r="D71" s="13" t="s">
        <v>62</v>
      </c>
      <c r="E71" s="13" t="s">
        <v>63</v>
      </c>
      <c r="F71" s="13" t="s">
        <v>64</v>
      </c>
      <c r="G71" s="4" t="s">
        <v>38</v>
      </c>
      <c r="H71" s="4">
        <v>432</v>
      </c>
      <c r="I71" s="4" t="s">
        <v>65</v>
      </c>
      <c r="J71" s="4" t="s">
        <v>181</v>
      </c>
      <c r="K71" s="4" t="s">
        <v>58</v>
      </c>
      <c r="L71" s="4" t="str">
        <f>IFERROR(VLOOKUP(J71,'[1]2026'!$AG$3:$AL$233,5,FALSE),"N/A")</f>
        <v>BUSA</v>
      </c>
      <c r="M71" s="4" t="str">
        <f>IFERROR(VLOOKUP(J71,'[1]2026'!$AG$3:$AL$233,6,FALSE),"N/A")</f>
        <v>REBOQUE 03 EIXOS ROLLON ROLLOFF</v>
      </c>
      <c r="N71" s="13" t="s">
        <v>165</v>
      </c>
      <c r="O71" s="8">
        <v>0</v>
      </c>
      <c r="P71" s="8">
        <v>130000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130000</v>
      </c>
      <c r="W71" s="19">
        <v>5</v>
      </c>
      <c r="X71" s="19">
        <v>5</v>
      </c>
      <c r="Y71" s="19">
        <v>60</v>
      </c>
      <c r="Z71" s="8">
        <v>2166.666666666667</v>
      </c>
      <c r="AA71" s="4" t="s">
        <v>166</v>
      </c>
      <c r="AB71" s="89" t="s">
        <v>44</v>
      </c>
      <c r="AC71" s="89" t="s">
        <v>37</v>
      </c>
      <c r="AD71" s="89" t="s">
        <v>68</v>
      </c>
      <c r="AE71" s="89" t="s">
        <v>44</v>
      </c>
      <c r="AF71" s="89" t="s">
        <v>37</v>
      </c>
      <c r="AG71" s="89" t="s">
        <v>68</v>
      </c>
      <c r="AH71" s="18" t="s">
        <v>45</v>
      </c>
    </row>
    <row r="72" spans="1:34" s="5" customFormat="1" ht="15" customHeight="1" x14ac:dyDescent="0.25">
      <c r="A72" s="7">
        <v>71</v>
      </c>
      <c r="B72" s="4" t="s">
        <v>34</v>
      </c>
      <c r="C72" s="13" t="s">
        <v>35</v>
      </c>
      <c r="D72" s="13" t="s">
        <v>62</v>
      </c>
      <c r="E72" s="13" t="s">
        <v>63</v>
      </c>
      <c r="F72" s="13" t="s">
        <v>64</v>
      </c>
      <c r="G72" s="4" t="s">
        <v>38</v>
      </c>
      <c r="H72" s="4">
        <v>433</v>
      </c>
      <c r="I72" s="4" t="s">
        <v>65</v>
      </c>
      <c r="J72" s="4" t="s">
        <v>182</v>
      </c>
      <c r="K72" s="4" t="s">
        <v>58</v>
      </c>
      <c r="L72" s="4" t="str">
        <f>IFERROR(VLOOKUP(J72,'[1]2026'!$AG$3:$AL$233,5,FALSE),"N/A")</f>
        <v>BUSA</v>
      </c>
      <c r="M72" s="4" t="str">
        <f>IFERROR(VLOOKUP(J72,'[1]2026'!$AG$3:$AL$233,6,FALSE),"N/A")</f>
        <v>REBOQUE 03 EIXOS ROLLON ROLLOFF</v>
      </c>
      <c r="N72" s="13" t="s">
        <v>165</v>
      </c>
      <c r="O72" s="8">
        <v>0</v>
      </c>
      <c r="P72" s="8">
        <v>130000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130000</v>
      </c>
      <c r="W72" s="19">
        <v>5</v>
      </c>
      <c r="X72" s="19">
        <v>5</v>
      </c>
      <c r="Y72" s="19">
        <v>60</v>
      </c>
      <c r="Z72" s="8">
        <v>2166.666666666667</v>
      </c>
      <c r="AA72" s="4" t="s">
        <v>166</v>
      </c>
      <c r="AB72" s="89" t="s">
        <v>44</v>
      </c>
      <c r="AC72" s="89" t="s">
        <v>37</v>
      </c>
      <c r="AD72" s="89" t="s">
        <v>68</v>
      </c>
      <c r="AE72" s="89" t="s">
        <v>44</v>
      </c>
      <c r="AF72" s="89" t="s">
        <v>37</v>
      </c>
      <c r="AG72" s="89" t="s">
        <v>68</v>
      </c>
      <c r="AH72" s="18" t="s">
        <v>45</v>
      </c>
    </row>
    <row r="73" spans="1:34" ht="15" customHeight="1" x14ac:dyDescent="0.25">
      <c r="A73" s="7">
        <v>72</v>
      </c>
      <c r="B73" s="4" t="s">
        <v>34</v>
      </c>
      <c r="C73" s="13" t="s">
        <v>49</v>
      </c>
      <c r="D73" s="13" t="s">
        <v>62</v>
      </c>
      <c r="E73" s="13" t="s">
        <v>63</v>
      </c>
      <c r="F73" s="13" t="s">
        <v>114</v>
      </c>
      <c r="G73" s="4" t="s">
        <v>38</v>
      </c>
      <c r="H73" s="4">
        <v>389</v>
      </c>
      <c r="I73" s="4" t="s">
        <v>65</v>
      </c>
      <c r="J73" s="27" t="s">
        <v>183</v>
      </c>
      <c r="K73" s="4" t="s">
        <v>41</v>
      </c>
      <c r="L73" s="4" t="str">
        <f>IFERROR(VLOOKUP(J73,'[1]2026'!$AG$3:$AL$233,5,FALSE),"N/A")</f>
        <v>LIEBHERR</v>
      </c>
      <c r="M73" s="4" t="str">
        <f>IFERROR(VLOOKUP(J73,'[1]2026'!$AG$3:$AL$233,6,FALSE),"N/A")</f>
        <v>LH30M</v>
      </c>
      <c r="N73" s="9" t="s">
        <v>184</v>
      </c>
      <c r="O73" s="8">
        <v>2250000</v>
      </c>
      <c r="P73" s="8">
        <v>0</v>
      </c>
      <c r="Q73" s="8">
        <v>0</v>
      </c>
      <c r="R73" s="8">
        <v>250000</v>
      </c>
      <c r="S73" s="8">
        <v>0</v>
      </c>
      <c r="T73" s="8">
        <v>0</v>
      </c>
      <c r="U73" s="8">
        <v>0</v>
      </c>
      <c r="V73" s="8">
        <v>2500000</v>
      </c>
      <c r="W73" s="19">
        <v>5</v>
      </c>
      <c r="X73" s="19">
        <v>5</v>
      </c>
      <c r="Y73" s="19">
        <v>60</v>
      </c>
      <c r="Z73" s="8">
        <v>20833.333333333336</v>
      </c>
      <c r="AA73" s="4" t="s">
        <v>43</v>
      </c>
      <c r="AB73" s="89" t="s">
        <v>44</v>
      </c>
      <c r="AC73" s="89" t="s">
        <v>44</v>
      </c>
      <c r="AD73" s="93">
        <v>50688</v>
      </c>
      <c r="AE73" s="89" t="s">
        <v>44</v>
      </c>
      <c r="AF73" s="89"/>
      <c r="AG73" s="93"/>
      <c r="AH73" s="18" t="s">
        <v>45</v>
      </c>
    </row>
    <row r="74" spans="1:34" s="5" customFormat="1" ht="15" customHeight="1" x14ac:dyDescent="0.25">
      <c r="A74" s="7">
        <v>73</v>
      </c>
      <c r="B74" s="4" t="s">
        <v>34</v>
      </c>
      <c r="C74" s="13" t="s">
        <v>55</v>
      </c>
      <c r="D74" s="13" t="s">
        <v>56</v>
      </c>
      <c r="E74" s="13" t="s">
        <v>37</v>
      </c>
      <c r="F74" s="13" t="s">
        <v>37</v>
      </c>
      <c r="G74" s="4" t="s">
        <v>38</v>
      </c>
      <c r="H74" s="4">
        <v>364</v>
      </c>
      <c r="I74" s="4" t="s">
        <v>39</v>
      </c>
      <c r="J74" s="4" t="s">
        <v>185</v>
      </c>
      <c r="K74" s="4" t="s">
        <v>41</v>
      </c>
      <c r="L74" s="4" t="str">
        <f>IFERROR(VLOOKUP(J74,'[1]2026'!$AG$3:$AL$233,5,FALSE),"N/A")</f>
        <v>SCHNELL</v>
      </c>
      <c r="M74" s="4" t="str">
        <f>IFERROR(VLOOKUP(J74,'[1]2026'!$AG$3:$AL$233,6,FALSE),"N/A")</f>
        <v>MÁQUINA CORTADEIRA</v>
      </c>
      <c r="N74" s="13" t="s">
        <v>186</v>
      </c>
      <c r="O74" s="8">
        <v>100000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100000</v>
      </c>
      <c r="W74" s="19">
        <v>5</v>
      </c>
      <c r="X74" s="19">
        <v>5</v>
      </c>
      <c r="Y74" s="19">
        <v>60</v>
      </c>
      <c r="Z74" s="8">
        <v>833.33333333333348</v>
      </c>
      <c r="AA74" s="4" t="s">
        <v>43</v>
      </c>
      <c r="AB74" s="89" t="s">
        <v>44</v>
      </c>
      <c r="AC74" s="92" t="s">
        <v>37</v>
      </c>
      <c r="AD74" s="92" t="s">
        <v>37</v>
      </c>
      <c r="AE74" s="89" t="s">
        <v>44</v>
      </c>
      <c r="AF74" s="92" t="s">
        <v>37</v>
      </c>
      <c r="AG74" s="92" t="s">
        <v>37</v>
      </c>
      <c r="AH74" s="18" t="s">
        <v>45</v>
      </c>
    </row>
    <row r="75" spans="1:34" s="5" customFormat="1" ht="15" customHeight="1" x14ac:dyDescent="0.25">
      <c r="A75" s="7">
        <v>74</v>
      </c>
      <c r="B75" s="4" t="s">
        <v>34</v>
      </c>
      <c r="C75" s="13" t="s">
        <v>55</v>
      </c>
      <c r="D75" s="13" t="s">
        <v>56</v>
      </c>
      <c r="E75" s="13" t="s">
        <v>37</v>
      </c>
      <c r="F75" s="13" t="s">
        <v>37</v>
      </c>
      <c r="G75" s="4" t="s">
        <v>38</v>
      </c>
      <c r="H75" s="4">
        <v>365</v>
      </c>
      <c r="I75" s="4" t="s">
        <v>39</v>
      </c>
      <c r="J75" s="4" t="s">
        <v>187</v>
      </c>
      <c r="K75" s="4" t="s">
        <v>41</v>
      </c>
      <c r="L75" s="4" t="str">
        <f>IFERROR(VLOOKUP(J75,'[1]2026'!$AG$3:$AL$233,5,FALSE),"N/A")</f>
        <v>SCHNELL</v>
      </c>
      <c r="M75" s="4" t="str">
        <f>IFERROR(VLOOKUP(J75,'[1]2026'!$AG$3:$AL$233,6,FALSE),"N/A")</f>
        <v>MÁQUINA DOBRADEIRA</v>
      </c>
      <c r="N75" s="13" t="s">
        <v>188</v>
      </c>
      <c r="O75" s="8">
        <v>100000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100000</v>
      </c>
      <c r="W75" s="19">
        <v>5</v>
      </c>
      <c r="X75" s="19">
        <v>5</v>
      </c>
      <c r="Y75" s="19">
        <v>60</v>
      </c>
      <c r="Z75" s="8">
        <v>833.33333333333348</v>
      </c>
      <c r="AA75" s="4" t="s">
        <v>43</v>
      </c>
      <c r="AB75" s="89" t="s">
        <v>44</v>
      </c>
      <c r="AC75" s="92" t="s">
        <v>37</v>
      </c>
      <c r="AD75" s="92" t="s">
        <v>37</v>
      </c>
      <c r="AE75" s="89" t="s">
        <v>44</v>
      </c>
      <c r="AF75" s="92" t="s">
        <v>37</v>
      </c>
      <c r="AG75" s="92" t="s">
        <v>37</v>
      </c>
      <c r="AH75" s="18" t="s">
        <v>45</v>
      </c>
    </row>
    <row r="76" spans="1:34" s="5" customFormat="1" ht="15" customHeight="1" x14ac:dyDescent="0.25">
      <c r="A76" s="7">
        <v>75</v>
      </c>
      <c r="B76" s="4" t="s">
        <v>34</v>
      </c>
      <c r="C76" s="13" t="s">
        <v>55</v>
      </c>
      <c r="D76" s="13" t="s">
        <v>56</v>
      </c>
      <c r="E76" s="13" t="s">
        <v>37</v>
      </c>
      <c r="F76" s="13" t="s">
        <v>37</v>
      </c>
      <c r="G76" s="4" t="s">
        <v>38</v>
      </c>
      <c r="H76" s="4">
        <v>366</v>
      </c>
      <c r="I76" s="4" t="s">
        <v>39</v>
      </c>
      <c r="J76" s="4" t="s">
        <v>189</v>
      </c>
      <c r="K76" s="4" t="s">
        <v>41</v>
      </c>
      <c r="L76" s="4" t="str">
        <f>IFERROR(VLOOKUP(J76,'[1]2026'!$AG$3:$AL$233,5,FALSE),"N/A")</f>
        <v>SCHNELL</v>
      </c>
      <c r="M76" s="4" t="str">
        <f>IFERROR(VLOOKUP(J76,'[1]2026'!$AG$3:$AL$233,6,FALSE),"N/A")</f>
        <v>MÁQUINA DOBRADEIRA</v>
      </c>
      <c r="N76" s="13" t="s">
        <v>188</v>
      </c>
      <c r="O76" s="8">
        <v>100000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100000</v>
      </c>
      <c r="W76" s="19">
        <v>5</v>
      </c>
      <c r="X76" s="19">
        <v>5</v>
      </c>
      <c r="Y76" s="19">
        <v>60</v>
      </c>
      <c r="Z76" s="8">
        <v>833.33333333333348</v>
      </c>
      <c r="AA76" s="4" t="s">
        <v>43</v>
      </c>
      <c r="AB76" s="89" t="s">
        <v>44</v>
      </c>
      <c r="AC76" s="92" t="s">
        <v>37</v>
      </c>
      <c r="AD76" s="92" t="s">
        <v>37</v>
      </c>
      <c r="AE76" s="89" t="s">
        <v>44</v>
      </c>
      <c r="AF76" s="92" t="s">
        <v>37</v>
      </c>
      <c r="AG76" s="92" t="s">
        <v>37</v>
      </c>
      <c r="AH76" s="18" t="s">
        <v>45</v>
      </c>
    </row>
    <row r="77" spans="1:34" s="5" customFormat="1" ht="15" customHeight="1" x14ac:dyDescent="0.25">
      <c r="A77" s="7">
        <v>76</v>
      </c>
      <c r="B77" s="4" t="s">
        <v>34</v>
      </c>
      <c r="C77" s="13" t="s">
        <v>55</v>
      </c>
      <c r="D77" s="13" t="s">
        <v>56</v>
      </c>
      <c r="E77" s="13" t="s">
        <v>37</v>
      </c>
      <c r="F77" s="13" t="s">
        <v>37</v>
      </c>
      <c r="G77" s="4" t="s">
        <v>38</v>
      </c>
      <c r="H77" s="4">
        <v>367</v>
      </c>
      <c r="I77" s="4" t="s">
        <v>39</v>
      </c>
      <c r="J77" s="4" t="s">
        <v>190</v>
      </c>
      <c r="K77" s="4" t="s">
        <v>41</v>
      </c>
      <c r="L77" s="4" t="str">
        <f>IFERROR(VLOOKUP(J77,'[1]2026'!$AG$3:$AL$233,5,FALSE),"N/A")</f>
        <v>SCHNELL</v>
      </c>
      <c r="M77" s="4" t="str">
        <f>IFERROR(VLOOKUP(J77,'[1]2026'!$AG$3:$AL$233,6,FALSE),"N/A")</f>
        <v>MÁQUINA ESTRIBADEIRA</v>
      </c>
      <c r="N77" s="9" t="s">
        <v>191</v>
      </c>
      <c r="O77" s="8">
        <v>780000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780000</v>
      </c>
      <c r="W77" s="19">
        <v>5</v>
      </c>
      <c r="X77" s="19">
        <v>5</v>
      </c>
      <c r="Y77" s="19">
        <v>60</v>
      </c>
      <c r="Z77" s="8">
        <v>6500</v>
      </c>
      <c r="AA77" s="4" t="s">
        <v>43</v>
      </c>
      <c r="AB77" s="89" t="s">
        <v>44</v>
      </c>
      <c r="AC77" s="92" t="s">
        <v>37</v>
      </c>
      <c r="AD77" s="92" t="s">
        <v>37</v>
      </c>
      <c r="AE77" s="89" t="s">
        <v>44</v>
      </c>
      <c r="AF77" s="92" t="s">
        <v>37</v>
      </c>
      <c r="AG77" s="92" t="s">
        <v>37</v>
      </c>
      <c r="AH77" s="18" t="s">
        <v>45</v>
      </c>
    </row>
    <row r="78" spans="1:34" s="5" customFormat="1" ht="15" customHeight="1" x14ac:dyDescent="0.25">
      <c r="A78" s="7">
        <v>77</v>
      </c>
      <c r="B78" s="4" t="s">
        <v>34</v>
      </c>
      <c r="C78" s="13" t="s">
        <v>35</v>
      </c>
      <c r="D78" s="13" t="s">
        <v>36</v>
      </c>
      <c r="E78" s="13" t="s">
        <v>37</v>
      </c>
      <c r="F78" s="13" t="s">
        <v>37</v>
      </c>
      <c r="G78" s="4" t="s">
        <v>38</v>
      </c>
      <c r="H78" s="4">
        <v>438</v>
      </c>
      <c r="I78" s="4" t="s">
        <v>39</v>
      </c>
      <c r="J78" s="4" t="s">
        <v>192</v>
      </c>
      <c r="K78" s="4" t="s">
        <v>41</v>
      </c>
      <c r="L78" s="4" t="str">
        <f>IFERROR(VLOOKUP(J78,'[1]2026'!$AG$3:$AL$233,5,FALSE),"N/A")</f>
        <v>HARRIS</v>
      </c>
      <c r="M78" s="4" t="str">
        <f>IFERROR(VLOOKUP(J78,'[1]2026'!$AG$3:$AL$233,6,FALSE),"N/A")</f>
        <v>TGS60</v>
      </c>
      <c r="N78" s="9" t="s">
        <v>193</v>
      </c>
      <c r="O78" s="8">
        <v>3500000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3500000</v>
      </c>
      <c r="W78" s="19">
        <v>5</v>
      </c>
      <c r="X78" s="19">
        <v>5</v>
      </c>
      <c r="Y78" s="19">
        <v>60</v>
      </c>
      <c r="Z78" s="8">
        <v>29166.666666666672</v>
      </c>
      <c r="AA78" s="4" t="s">
        <v>43</v>
      </c>
      <c r="AB78" s="89" t="s">
        <v>44</v>
      </c>
      <c r="AC78" s="92" t="s">
        <v>37</v>
      </c>
      <c r="AD78" s="92" t="s">
        <v>37</v>
      </c>
      <c r="AE78" s="89" t="s">
        <v>44</v>
      </c>
      <c r="AF78" s="92" t="s">
        <v>37</v>
      </c>
      <c r="AG78" s="92" t="s">
        <v>37</v>
      </c>
      <c r="AH78" s="18" t="s">
        <v>45</v>
      </c>
    </row>
    <row r="79" spans="1:34" ht="15" customHeight="1" x14ac:dyDescent="0.25">
      <c r="A79" s="7">
        <v>78</v>
      </c>
      <c r="B79" s="4" t="s">
        <v>34</v>
      </c>
      <c r="C79" s="13" t="s">
        <v>35</v>
      </c>
      <c r="D79" s="13" t="s">
        <v>36</v>
      </c>
      <c r="E79" s="13" t="s">
        <v>37</v>
      </c>
      <c r="F79" s="13" t="s">
        <v>37</v>
      </c>
      <c r="G79" s="4" t="s">
        <v>38</v>
      </c>
      <c r="H79" s="4">
        <v>439</v>
      </c>
      <c r="I79" s="4" t="s">
        <v>39</v>
      </c>
      <c r="J79" s="4" t="s">
        <v>194</v>
      </c>
      <c r="K79" s="4" t="s">
        <v>41</v>
      </c>
      <c r="L79" s="4" t="str">
        <f>IFERROR(VLOOKUP(J79,'[1]2026'!$AG$3:$AL$233,5,FALSE),"N/A")</f>
        <v>HARRIS</v>
      </c>
      <c r="M79" s="4" t="str">
        <f>IFERROR(VLOOKUP(J79,'[1]2026'!$AG$3:$AL$233,6,FALSE),"N/A")</f>
        <v>TGS200</v>
      </c>
      <c r="N79" s="13" t="s">
        <v>195</v>
      </c>
      <c r="O79" s="8">
        <v>5800000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5800000</v>
      </c>
      <c r="W79" s="19">
        <v>5</v>
      </c>
      <c r="X79" s="19">
        <v>5</v>
      </c>
      <c r="Y79" s="19">
        <v>60</v>
      </c>
      <c r="Z79" s="8">
        <v>48333.333333333343</v>
      </c>
      <c r="AA79" s="4" t="s">
        <v>43</v>
      </c>
      <c r="AB79" s="89" t="s">
        <v>44</v>
      </c>
      <c r="AC79" s="92" t="s">
        <v>37</v>
      </c>
      <c r="AD79" s="92" t="s">
        <v>37</v>
      </c>
      <c r="AE79" s="89" t="s">
        <v>44</v>
      </c>
      <c r="AF79" s="92" t="s">
        <v>37</v>
      </c>
      <c r="AG79" s="92" t="s">
        <v>37</v>
      </c>
      <c r="AH79" s="18" t="s">
        <v>45</v>
      </c>
    </row>
    <row r="80" spans="1:34" ht="15" customHeight="1" x14ac:dyDescent="0.25">
      <c r="A80" s="7">
        <v>79</v>
      </c>
      <c r="B80" s="4" t="s">
        <v>34</v>
      </c>
      <c r="C80" s="13" t="s">
        <v>38</v>
      </c>
      <c r="D80" s="13" t="s">
        <v>36</v>
      </c>
      <c r="E80" s="13" t="s">
        <v>63</v>
      </c>
      <c r="F80" s="29" t="s">
        <v>121</v>
      </c>
      <c r="G80" s="4" t="s">
        <v>38</v>
      </c>
      <c r="H80" s="4" t="s">
        <v>122</v>
      </c>
      <c r="I80" s="4" t="s">
        <v>39</v>
      </c>
      <c r="J80" s="4" t="s">
        <v>196</v>
      </c>
      <c r="K80" s="4" t="s">
        <v>41</v>
      </c>
      <c r="L80" s="4" t="str">
        <f>IFERROR(VLOOKUP(J80,'[1]2026'!$AG$3:$AL$233,5,FALSE),"N/A")</f>
        <v>PREMER</v>
      </c>
      <c r="M80" s="4" t="str">
        <f>IFERROR(VLOOKUP(J80,'[1]2026'!$AG$3:$AL$233,6,FALSE),"N/A")</f>
        <v>PC60 4000</v>
      </c>
      <c r="N80" s="9" t="s">
        <v>197</v>
      </c>
      <c r="O80" s="8">
        <v>1000000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1000000</v>
      </c>
      <c r="W80" s="19">
        <v>5</v>
      </c>
      <c r="X80" s="19">
        <v>5</v>
      </c>
      <c r="Y80" s="19">
        <v>60</v>
      </c>
      <c r="Z80" s="8">
        <v>8333.3333333333339</v>
      </c>
      <c r="AA80" s="4" t="s">
        <v>43</v>
      </c>
      <c r="AB80" s="4"/>
      <c r="AC80" s="4"/>
      <c r="AD80" s="4"/>
      <c r="AE80" s="4"/>
      <c r="AF80" s="4"/>
      <c r="AG80" s="4"/>
      <c r="AH80" s="18" t="s">
        <v>121</v>
      </c>
    </row>
    <row r="81" spans="1:34" ht="15" customHeight="1" x14ac:dyDescent="0.25">
      <c r="A81" s="7">
        <v>80</v>
      </c>
      <c r="B81" s="4" t="s">
        <v>34</v>
      </c>
      <c r="C81" s="13" t="s">
        <v>53</v>
      </c>
      <c r="D81" s="13" t="s">
        <v>36</v>
      </c>
      <c r="E81" s="13" t="s">
        <v>37</v>
      </c>
      <c r="F81" s="13" t="s">
        <v>37</v>
      </c>
      <c r="G81" s="4" t="s">
        <v>38</v>
      </c>
      <c r="H81" s="4">
        <v>442</v>
      </c>
      <c r="I81" s="4" t="s">
        <v>39</v>
      </c>
      <c r="J81" s="4" t="s">
        <v>198</v>
      </c>
      <c r="K81" s="4" t="s">
        <v>41</v>
      </c>
      <c r="L81" s="4" t="str">
        <f>IFERROR(VLOOKUP(J81,'[1]2026'!$AG$3:$AL$233,5,FALSE),"N/A")</f>
        <v>HIDROEUROPA</v>
      </c>
      <c r="M81" s="4" t="str">
        <f>IFERROR(VLOOKUP(J81,'[1]2026'!$AG$3:$AL$233,6,FALSE),"N/A")</f>
        <v>JCG 800</v>
      </c>
      <c r="N81" s="10" t="s">
        <v>199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8343750</v>
      </c>
      <c r="W81" s="19">
        <v>5</v>
      </c>
      <c r="X81" s="19">
        <v>5</v>
      </c>
      <c r="Y81" s="19">
        <v>60</v>
      </c>
      <c r="Z81" s="8">
        <v>69531.25</v>
      </c>
      <c r="AA81" s="4" t="s">
        <v>43</v>
      </c>
      <c r="AB81" s="89" t="s">
        <v>44</v>
      </c>
      <c r="AC81" s="92" t="s">
        <v>37</v>
      </c>
      <c r="AD81" s="92" t="s">
        <v>37</v>
      </c>
      <c r="AE81" s="89" t="s">
        <v>44</v>
      </c>
      <c r="AF81" s="92" t="s">
        <v>37</v>
      </c>
      <c r="AG81" s="92" t="s">
        <v>37</v>
      </c>
      <c r="AH81" s="18" t="s">
        <v>131</v>
      </c>
    </row>
    <row r="82" spans="1:34" s="5" customFormat="1" ht="15" customHeight="1" x14ac:dyDescent="0.25">
      <c r="A82" s="7">
        <v>81</v>
      </c>
      <c r="B82" s="4" t="s">
        <v>34</v>
      </c>
      <c r="C82" s="13" t="s">
        <v>35</v>
      </c>
      <c r="D82" s="13" t="s">
        <v>36</v>
      </c>
      <c r="E82" s="13" t="s">
        <v>37</v>
      </c>
      <c r="F82" s="13" t="s">
        <v>37</v>
      </c>
      <c r="G82" s="4" t="s">
        <v>38</v>
      </c>
      <c r="H82" s="4">
        <v>440</v>
      </c>
      <c r="I82" s="4" t="s">
        <v>39</v>
      </c>
      <c r="J82" s="4" t="s">
        <v>200</v>
      </c>
      <c r="K82" s="4" t="s">
        <v>41</v>
      </c>
      <c r="L82" s="4" t="str">
        <f>IFERROR(VLOOKUP(J82,'[1]2026'!$AG$3:$AL$233,5,FALSE),"N/A")</f>
        <v>HIDROEUROPA</v>
      </c>
      <c r="M82" s="4" t="str">
        <f>IFERROR(VLOOKUP(J82,'[1]2026'!$AG$3:$AL$233,6,FALSE),"N/A")</f>
        <v>JCG800 LB</v>
      </c>
      <c r="N82" s="9" t="s">
        <v>199</v>
      </c>
      <c r="O82" s="8">
        <v>8343750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8343750</v>
      </c>
      <c r="W82" s="19">
        <v>5</v>
      </c>
      <c r="X82" s="19">
        <v>5</v>
      </c>
      <c r="Y82" s="19">
        <v>60</v>
      </c>
      <c r="Z82" s="8">
        <v>69531.25</v>
      </c>
      <c r="AA82" s="4" t="s">
        <v>43</v>
      </c>
      <c r="AB82" s="89" t="s">
        <v>44</v>
      </c>
      <c r="AC82" s="92" t="s">
        <v>37</v>
      </c>
      <c r="AD82" s="92" t="s">
        <v>37</v>
      </c>
      <c r="AE82" s="89" t="s">
        <v>44</v>
      </c>
      <c r="AF82" s="92" t="s">
        <v>37</v>
      </c>
      <c r="AG82" s="92" t="s">
        <v>37</v>
      </c>
      <c r="AH82" s="18" t="s">
        <v>45</v>
      </c>
    </row>
    <row r="83" spans="1:34" ht="15" customHeight="1" x14ac:dyDescent="0.25">
      <c r="A83" s="7">
        <v>82</v>
      </c>
      <c r="B83" s="4" t="s">
        <v>34</v>
      </c>
      <c r="C83" s="13" t="s">
        <v>101</v>
      </c>
      <c r="D83" s="13" t="s">
        <v>102</v>
      </c>
      <c r="E83" s="13" t="s">
        <v>103</v>
      </c>
      <c r="F83" s="13" t="s">
        <v>104</v>
      </c>
      <c r="G83" s="4" t="s">
        <v>38</v>
      </c>
      <c r="H83" s="4">
        <v>382</v>
      </c>
      <c r="I83" s="4" t="s">
        <v>65</v>
      </c>
      <c r="J83" s="4" t="s">
        <v>201</v>
      </c>
      <c r="K83" s="4" t="s">
        <v>41</v>
      </c>
      <c r="L83" s="4" t="str">
        <f>IFERROR(VLOOKUP(J83,'[1]2026'!$AG$3:$AL$233,5,FALSE),"N/A")</f>
        <v>HIDROEUROPA</v>
      </c>
      <c r="M83" s="4" t="str">
        <f>IFERROR(VLOOKUP(J83,'[1]2026'!$AG$3:$AL$233,6,FALSE),"N/A")</f>
        <v>JCH200M</v>
      </c>
      <c r="N83" s="13" t="s">
        <v>202</v>
      </c>
      <c r="O83" s="8">
        <v>0</v>
      </c>
      <c r="P83" s="8">
        <v>3375000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3375000</v>
      </c>
      <c r="W83" s="19">
        <v>5</v>
      </c>
      <c r="X83" s="19">
        <v>5</v>
      </c>
      <c r="Y83" s="19">
        <v>60</v>
      </c>
      <c r="Z83" s="8">
        <v>38000</v>
      </c>
      <c r="AA83" s="4" t="s">
        <v>43</v>
      </c>
      <c r="AB83" s="89" t="s">
        <v>44</v>
      </c>
      <c r="AC83" s="89" t="s">
        <v>37</v>
      </c>
      <c r="AD83" s="89" t="s">
        <v>68</v>
      </c>
      <c r="AE83" s="89" t="s">
        <v>44</v>
      </c>
      <c r="AF83" s="89" t="s">
        <v>37</v>
      </c>
      <c r="AG83" s="89" t="s">
        <v>68</v>
      </c>
      <c r="AH83" s="18" t="s">
        <v>131</v>
      </c>
    </row>
    <row r="84" spans="1:34" ht="15" customHeight="1" x14ac:dyDescent="0.25">
      <c r="A84" s="7">
        <v>83</v>
      </c>
      <c r="B84" s="4" t="s">
        <v>34</v>
      </c>
      <c r="C84" s="13" t="s">
        <v>107</v>
      </c>
      <c r="D84" s="13" t="s">
        <v>102</v>
      </c>
      <c r="E84" s="13" t="s">
        <v>103</v>
      </c>
      <c r="F84" s="13" t="s">
        <v>104</v>
      </c>
      <c r="G84" s="4" t="s">
        <v>38</v>
      </c>
      <c r="H84" s="4">
        <v>409</v>
      </c>
      <c r="I84" s="4" t="s">
        <v>65</v>
      </c>
      <c r="J84" s="4" t="s">
        <v>203</v>
      </c>
      <c r="K84" s="4" t="s">
        <v>41</v>
      </c>
      <c r="L84" s="4" t="str">
        <f>IFERROR(VLOOKUP(J84,'[1]2026'!$AG$3:$AL$233,5,FALSE),"N/A")</f>
        <v>HIDROEUROPA</v>
      </c>
      <c r="M84" s="4" t="str">
        <f>IFERROR(VLOOKUP(J84,'[1]2026'!$AG$3:$AL$233,6,FALSE),"N/A")</f>
        <v>JCH200M</v>
      </c>
      <c r="N84" s="9" t="s">
        <v>202</v>
      </c>
      <c r="O84" s="8">
        <v>0</v>
      </c>
      <c r="P84" s="8">
        <v>3375000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3375000</v>
      </c>
      <c r="W84" s="19">
        <v>5</v>
      </c>
      <c r="X84" s="19">
        <v>5</v>
      </c>
      <c r="Y84" s="19">
        <v>60</v>
      </c>
      <c r="Z84" s="8">
        <v>38000</v>
      </c>
      <c r="AA84" s="4" t="s">
        <v>43</v>
      </c>
      <c r="AB84" s="89" t="s">
        <v>44</v>
      </c>
      <c r="AC84" s="89" t="s">
        <v>37</v>
      </c>
      <c r="AD84" s="89" t="s">
        <v>68</v>
      </c>
      <c r="AE84" s="89" t="s">
        <v>44</v>
      </c>
      <c r="AF84" s="89" t="s">
        <v>37</v>
      </c>
      <c r="AG84" s="89" t="s">
        <v>68</v>
      </c>
      <c r="AH84" s="18" t="s">
        <v>131</v>
      </c>
    </row>
    <row r="85" spans="1:34" ht="15" customHeight="1" x14ac:dyDescent="0.25">
      <c r="A85" s="7">
        <v>84</v>
      </c>
      <c r="B85" s="4" t="s">
        <v>34</v>
      </c>
      <c r="C85" s="13" t="s">
        <v>204</v>
      </c>
      <c r="D85" s="13" t="s">
        <v>205</v>
      </c>
      <c r="E85" s="13" t="s">
        <v>37</v>
      </c>
      <c r="F85" s="13" t="s">
        <v>37</v>
      </c>
      <c r="G85" s="4" t="s">
        <v>38</v>
      </c>
      <c r="H85" s="4">
        <v>147</v>
      </c>
      <c r="I85" s="4" t="s">
        <v>65</v>
      </c>
      <c r="J85" s="4" t="s">
        <v>206</v>
      </c>
      <c r="K85" s="4" t="s">
        <v>41</v>
      </c>
      <c r="L85" s="4" t="str">
        <f>IFERROR(VLOOKUP(J85,'[1]2026'!$AG$3:$AL$233,5,FALSE),"N/A")</f>
        <v>HIDROEUROPA</v>
      </c>
      <c r="M85" s="4" t="str">
        <f>IFERROR(VLOOKUP(J85,'[1]2026'!$AG$3:$AL$233,6,FALSE),"N/A")</f>
        <v>JCH200M</v>
      </c>
      <c r="N85" s="9" t="s">
        <v>202</v>
      </c>
      <c r="O85" s="8">
        <v>0</v>
      </c>
      <c r="P85" s="8">
        <v>3375000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3375000</v>
      </c>
      <c r="W85" s="19">
        <v>5</v>
      </c>
      <c r="X85" s="19">
        <v>5</v>
      </c>
      <c r="Y85" s="19">
        <v>60</v>
      </c>
      <c r="Z85" s="8">
        <v>38000</v>
      </c>
      <c r="AA85" s="4" t="s">
        <v>43</v>
      </c>
      <c r="AB85" s="91" t="s">
        <v>44</v>
      </c>
      <c r="AC85" s="91" t="s">
        <v>37</v>
      </c>
      <c r="AD85" s="91" t="s">
        <v>37</v>
      </c>
      <c r="AE85" s="91" t="s">
        <v>44</v>
      </c>
      <c r="AF85" s="91" t="s">
        <v>37</v>
      </c>
      <c r="AG85" s="91" t="s">
        <v>37</v>
      </c>
      <c r="AH85" s="18" t="s">
        <v>131</v>
      </c>
    </row>
    <row r="86" spans="1:34" s="5" customFormat="1" ht="15" customHeight="1" x14ac:dyDescent="0.25">
      <c r="A86" s="7">
        <v>85</v>
      </c>
      <c r="B86" s="4" t="s">
        <v>34</v>
      </c>
      <c r="C86" s="13" t="s">
        <v>204</v>
      </c>
      <c r="D86" s="13" t="s">
        <v>205</v>
      </c>
      <c r="E86" s="13" t="s">
        <v>37</v>
      </c>
      <c r="F86" s="13" t="s">
        <v>37</v>
      </c>
      <c r="G86" s="4" t="s">
        <v>38</v>
      </c>
      <c r="H86" s="4">
        <v>147</v>
      </c>
      <c r="I86" s="4" t="s">
        <v>65</v>
      </c>
      <c r="J86" s="4" t="s">
        <v>207</v>
      </c>
      <c r="K86" s="4" t="s">
        <v>41</v>
      </c>
      <c r="L86" s="4" t="str">
        <f>IFERROR(VLOOKUP(J86,'[1]2026'!$AG$3:$AL$233,5,FALSE),"N/A")</f>
        <v>HIDROEUROPA</v>
      </c>
      <c r="M86" s="4" t="str">
        <f>IFERROR(VLOOKUP(J86,'[1]2026'!$AG$3:$AL$233,6,FALSE),"N/A")</f>
        <v>JCH200M</v>
      </c>
      <c r="N86" s="9" t="s">
        <v>202</v>
      </c>
      <c r="O86" s="8">
        <v>0</v>
      </c>
      <c r="P86" s="8">
        <v>3375000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3375000</v>
      </c>
      <c r="W86" s="19">
        <v>5</v>
      </c>
      <c r="X86" s="19">
        <v>5</v>
      </c>
      <c r="Y86" s="19">
        <v>60</v>
      </c>
      <c r="Z86" s="8">
        <v>38000</v>
      </c>
      <c r="AA86" s="4" t="s">
        <v>43</v>
      </c>
      <c r="AB86" s="91" t="s">
        <v>44</v>
      </c>
      <c r="AC86" s="91" t="s">
        <v>37</v>
      </c>
      <c r="AD86" s="91" t="s">
        <v>37</v>
      </c>
      <c r="AE86" s="91" t="s">
        <v>44</v>
      </c>
      <c r="AF86" s="91" t="s">
        <v>37</v>
      </c>
      <c r="AG86" s="91" t="s">
        <v>37</v>
      </c>
      <c r="AH86" s="18" t="s">
        <v>131</v>
      </c>
    </row>
    <row r="87" spans="1:34" ht="15" customHeight="1" x14ac:dyDescent="0.25">
      <c r="A87" s="7">
        <v>86</v>
      </c>
      <c r="B87" s="4" t="s">
        <v>34</v>
      </c>
      <c r="C87" s="13" t="s">
        <v>109</v>
      </c>
      <c r="D87" s="13" t="s">
        <v>102</v>
      </c>
      <c r="E87" s="13" t="s">
        <v>63</v>
      </c>
      <c r="F87" s="13" t="s">
        <v>208</v>
      </c>
      <c r="G87" s="4" t="s">
        <v>38</v>
      </c>
      <c r="H87" s="4">
        <v>415</v>
      </c>
      <c r="I87" s="4" t="s">
        <v>65</v>
      </c>
      <c r="J87" s="28" t="s">
        <v>209</v>
      </c>
      <c r="K87" s="4" t="s">
        <v>41</v>
      </c>
      <c r="L87" s="4" t="str">
        <f>IFERROR(VLOOKUP(J87,'[1]2026'!$AG$3:$AL$233,5,FALSE),"N/A")</f>
        <v>HIDROEUROPA</v>
      </c>
      <c r="M87" s="4" t="str">
        <f>IFERROR(VLOOKUP(J87,'[1]2026'!$AG$3:$AL$233,6,FALSE),"N/A")</f>
        <v>JCH200M</v>
      </c>
      <c r="N87" s="13" t="s">
        <v>202</v>
      </c>
      <c r="O87" s="8">
        <v>0</v>
      </c>
      <c r="P87" s="8">
        <v>3375000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3375000</v>
      </c>
      <c r="W87" s="19">
        <v>5</v>
      </c>
      <c r="X87" s="19">
        <v>5</v>
      </c>
      <c r="Y87" s="19">
        <v>60</v>
      </c>
      <c r="Z87" s="8">
        <v>38000</v>
      </c>
      <c r="AA87" s="4" t="s">
        <v>43</v>
      </c>
      <c r="AB87" s="89" t="s">
        <v>44</v>
      </c>
      <c r="AC87" s="89" t="s">
        <v>44</v>
      </c>
      <c r="AD87" s="93">
        <v>27540</v>
      </c>
      <c r="AE87" s="89" t="s">
        <v>44</v>
      </c>
      <c r="AF87" s="89"/>
      <c r="AG87" s="93"/>
      <c r="AH87" s="18" t="s">
        <v>131</v>
      </c>
    </row>
    <row r="88" spans="1:34" s="5" customFormat="1" ht="15" customHeight="1" x14ac:dyDescent="0.25">
      <c r="A88" s="7">
        <v>87</v>
      </c>
      <c r="B88" s="4" t="s">
        <v>34</v>
      </c>
      <c r="C88" s="13" t="s">
        <v>38</v>
      </c>
      <c r="D88" s="13" t="s">
        <v>62</v>
      </c>
      <c r="E88" s="13" t="s">
        <v>210</v>
      </c>
      <c r="F88" s="29" t="s">
        <v>121</v>
      </c>
      <c r="G88" s="4" t="s">
        <v>38</v>
      </c>
      <c r="H88" s="4" t="s">
        <v>122</v>
      </c>
      <c r="I88" s="4" t="s">
        <v>65</v>
      </c>
      <c r="J88" s="4" t="s">
        <v>211</v>
      </c>
      <c r="K88" s="4" t="s">
        <v>41</v>
      </c>
      <c r="L88" s="4" t="str">
        <f>IFERROR(VLOOKUP(J88,'[1]2026'!$AG$3:$AL$233,5,FALSE),"N/A")</f>
        <v>HIDROEUROPA</v>
      </c>
      <c r="M88" s="4" t="str">
        <f>IFERROR(VLOOKUP(J88,'[1]2026'!$AG$3:$AL$233,6,FALSE),"N/A")</f>
        <v>JCH200M</v>
      </c>
      <c r="N88" s="9" t="s">
        <v>202</v>
      </c>
      <c r="O88" s="8">
        <v>0</v>
      </c>
      <c r="P88" s="8">
        <v>3375000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3375000</v>
      </c>
      <c r="W88" s="19">
        <v>5</v>
      </c>
      <c r="X88" s="19">
        <v>5</v>
      </c>
      <c r="Y88" s="19">
        <v>60</v>
      </c>
      <c r="Z88" s="8">
        <v>38000</v>
      </c>
      <c r="AA88" s="4" t="s">
        <v>43</v>
      </c>
      <c r="AB88" s="4"/>
      <c r="AC88" s="4"/>
      <c r="AD88" s="4"/>
      <c r="AE88" s="4"/>
      <c r="AF88" s="4"/>
      <c r="AG88" s="4"/>
      <c r="AH88" s="18" t="s">
        <v>212</v>
      </c>
    </row>
    <row r="89" spans="1:34" s="5" customFormat="1" ht="15" customHeight="1" x14ac:dyDescent="0.25">
      <c r="A89" s="7">
        <v>88</v>
      </c>
      <c r="B89" s="4" t="s">
        <v>34</v>
      </c>
      <c r="C89" s="13" t="s">
        <v>109</v>
      </c>
      <c r="D89" s="13" t="s">
        <v>102</v>
      </c>
      <c r="E89" s="13" t="s">
        <v>63</v>
      </c>
      <c r="F89" s="13" t="s">
        <v>208</v>
      </c>
      <c r="G89" s="4" t="s">
        <v>38</v>
      </c>
      <c r="H89" s="4">
        <v>351</v>
      </c>
      <c r="I89" s="4" t="s">
        <v>65</v>
      </c>
      <c r="J89" s="28" t="s">
        <v>213</v>
      </c>
      <c r="K89" s="4" t="s">
        <v>41</v>
      </c>
      <c r="L89" s="4" t="str">
        <f>IFERROR(VLOOKUP(J89,'[1]2026'!$AG$3:$AL$233,5,FALSE),"N/A")</f>
        <v>HIDROEUROPA</v>
      </c>
      <c r="M89" s="4" t="str">
        <f>IFERROR(VLOOKUP(J89,'[1]2026'!$AG$3:$AL$233,6,FALSE),"N/A")</f>
        <v>JCH200M</v>
      </c>
      <c r="N89" s="13" t="s">
        <v>202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2877805.93</v>
      </c>
      <c r="W89" s="19" t="s">
        <v>68</v>
      </c>
      <c r="X89" s="19" t="s">
        <v>68</v>
      </c>
      <c r="Y89" s="19" t="s">
        <v>68</v>
      </c>
      <c r="Z89" s="8">
        <v>38000</v>
      </c>
      <c r="AA89" s="4" t="s">
        <v>43</v>
      </c>
      <c r="AB89" s="89" t="s">
        <v>44</v>
      </c>
      <c r="AC89" s="89" t="s">
        <v>44</v>
      </c>
      <c r="AD89" s="93">
        <v>189125</v>
      </c>
      <c r="AE89" s="89" t="s">
        <v>44</v>
      </c>
      <c r="AF89" s="89"/>
      <c r="AG89" s="93"/>
      <c r="AH89" s="18" t="s">
        <v>45</v>
      </c>
    </row>
    <row r="90" spans="1:34" s="5" customFormat="1" ht="15" customHeight="1" x14ac:dyDescent="0.25">
      <c r="A90" s="7">
        <v>89</v>
      </c>
      <c r="B90" s="4" t="s">
        <v>34</v>
      </c>
      <c r="C90" s="13" t="s">
        <v>49</v>
      </c>
      <c r="D90" s="13" t="s">
        <v>36</v>
      </c>
      <c r="E90" s="13" t="s">
        <v>37</v>
      </c>
      <c r="F90" s="13" t="s">
        <v>37</v>
      </c>
      <c r="G90" s="4" t="s">
        <v>38</v>
      </c>
      <c r="H90" s="4">
        <v>426</v>
      </c>
      <c r="I90" s="4" t="s">
        <v>39</v>
      </c>
      <c r="J90" s="4" t="s">
        <v>214</v>
      </c>
      <c r="K90" s="4" t="s">
        <v>41</v>
      </c>
      <c r="L90" s="4" t="str">
        <f>IFERROR(VLOOKUP(J90,'[1]2026'!$AG$3:$AL$233,5,FALSE),"N/A")</f>
        <v>HIDROEUROPA</v>
      </c>
      <c r="M90" s="4" t="str">
        <f>IFERROR(VLOOKUP(J90,'[1]2026'!$AG$3:$AL$233,6,FALSE),"N/A")</f>
        <v>JCG600 SF</v>
      </c>
      <c r="N90" s="9" t="s">
        <v>215</v>
      </c>
      <c r="O90" s="8">
        <v>4687000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4687000</v>
      </c>
      <c r="W90" s="19">
        <v>5</v>
      </c>
      <c r="X90" s="19">
        <v>5</v>
      </c>
      <c r="Y90" s="19">
        <v>60</v>
      </c>
      <c r="Z90" s="8">
        <v>39058.333333333336</v>
      </c>
      <c r="AA90" s="4" t="s">
        <v>43</v>
      </c>
      <c r="AB90" s="89" t="s">
        <v>44</v>
      </c>
      <c r="AC90" s="92" t="s">
        <v>37</v>
      </c>
      <c r="AD90" s="92" t="s">
        <v>37</v>
      </c>
      <c r="AE90" s="89" t="s">
        <v>44</v>
      </c>
      <c r="AF90" s="92" t="s">
        <v>37</v>
      </c>
      <c r="AG90" s="92" t="s">
        <v>37</v>
      </c>
      <c r="AH90" s="18" t="s">
        <v>45</v>
      </c>
    </row>
    <row r="91" spans="1:34" s="5" customFormat="1" ht="15" customHeight="1" x14ac:dyDescent="0.25">
      <c r="A91" s="7">
        <v>90</v>
      </c>
      <c r="B91" s="4" t="s">
        <v>34</v>
      </c>
      <c r="C91" s="13" t="s">
        <v>53</v>
      </c>
      <c r="D91" s="13" t="s">
        <v>36</v>
      </c>
      <c r="E91" s="13" t="s">
        <v>37</v>
      </c>
      <c r="F91" s="13" t="s">
        <v>37</v>
      </c>
      <c r="G91" s="4" t="s">
        <v>38</v>
      </c>
      <c r="H91" s="4">
        <v>395</v>
      </c>
      <c r="I91" s="4" t="s">
        <v>39</v>
      </c>
      <c r="J91" s="4" t="s">
        <v>216</v>
      </c>
      <c r="K91" s="4" t="s">
        <v>41</v>
      </c>
      <c r="L91" s="4" t="str">
        <f>IFERROR(VLOOKUP(J91,'[1]2026'!$AG$3:$AL$233,5,FALSE),"N/A")</f>
        <v>MOROSHIMA</v>
      </c>
      <c r="M91" s="4" t="str">
        <f>IFERROR(VLOOKUP(J91,'[1]2026'!$AG$3:$AL$233,6,FALSE),"N/A")</f>
        <v>BASCULANTENTE HIDRÁULICO DE CONTEINER</v>
      </c>
      <c r="N91" s="13" t="s">
        <v>217</v>
      </c>
      <c r="O91" s="8">
        <v>900000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900000</v>
      </c>
      <c r="W91" s="19">
        <v>5</v>
      </c>
      <c r="X91" s="19">
        <v>5</v>
      </c>
      <c r="Y91" s="19">
        <v>60</v>
      </c>
      <c r="Z91" s="8">
        <v>10000</v>
      </c>
      <c r="AA91" s="4" t="s">
        <v>43</v>
      </c>
      <c r="AB91" s="89" t="s">
        <v>44</v>
      </c>
      <c r="AC91" s="92" t="s">
        <v>37</v>
      </c>
      <c r="AD91" s="92" t="s">
        <v>37</v>
      </c>
      <c r="AE91" s="89" t="s">
        <v>44</v>
      </c>
      <c r="AF91" s="92" t="s">
        <v>37</v>
      </c>
      <c r="AG91" s="92" t="s">
        <v>37</v>
      </c>
      <c r="AH91" s="18" t="s">
        <v>131</v>
      </c>
    </row>
    <row r="92" spans="1:34" ht="15" customHeight="1" x14ac:dyDescent="0.25">
      <c r="Z92" s="49">
        <f>SUBTOTAL(9,Z2:Z91)</f>
        <v>1292062.4999999995</v>
      </c>
      <c r="AD92" s="49">
        <f>SUBTOTAL(9,AD35:AD91)</f>
        <v>838748.78</v>
      </c>
      <c r="AG92" s="49">
        <f>SUBTOTAL(9,AG35:AG91)</f>
        <v>0</v>
      </c>
    </row>
    <row r="102" spans="34:34" ht="15" customHeight="1" x14ac:dyDescent="0.25">
      <c r="AH102" s="17">
        <v>0</v>
      </c>
    </row>
  </sheetData>
  <autoFilter ref="A1:AH91" xr:uid="{AB933EB1-1E6E-4605-84AE-4267908C1E83}"/>
  <dataValidations count="1">
    <dataValidation type="list" allowBlank="1" showInputMessage="1" showErrorMessage="1" sqref="I2:I91" xr:uid="{30DE743C-0CB6-4D8F-903C-E08AF064B250}">
      <formula1>"LOCAÇÃO, SERVIÇO, N/A"</formula1>
    </dataValidation>
  </dataValidations>
  <hyperlinks>
    <hyperlink ref="N34" r:id="rId1" display="EURA 13" xr:uid="{DF49838C-4096-433A-B36B-686DFA768A94}"/>
    <hyperlink ref="N77" r:id="rId2" display="ACO 8" xr:uid="{6985D30A-49D1-46F3-8920-8817E94832BF}"/>
    <hyperlink ref="N6:N8" r:id="rId3" display="ESCAVADEIRA / GARRA LIEBHERR" xr:uid="{D72C00BF-AB5B-4C78-A774-50CE0876EA14}"/>
    <hyperlink ref="N13" r:id="rId4" display="CAMINHAO / CACAMBA NÃO BASCULANTE - GARRA TRASEIRO PALFINGER M 100L" xr:uid="{DE73202F-706C-4C94-ABED-5E78FEF14C84}"/>
    <hyperlink ref="N15" r:id="rId5" display="CAMINHAO / CACAMBA NÃO BASCULANTE - GARRA TRASEIRO PALFINGER M 100L" xr:uid="{F9FF63ED-1A67-4B72-84D5-4C90ADDC32E7}"/>
    <hyperlink ref="N12" r:id="rId6" display="CAMINHAO / CACAMBA NÃO BASCULANTE - GARRA TRASEIRO PALFINGER M 100L" xr:uid="{033A2933-B095-48F7-A06E-0E54D5445C17}"/>
    <hyperlink ref="N26" r:id="rId7" display="CAMINHAO / CACAMBA NÃO BASCULANTE - GARRA TRASEIRO PALFINGER M 100L" xr:uid="{AE29A3C0-3391-43F2-BB06-CF075AF7402D}"/>
    <hyperlink ref="N14" r:id="rId8" display="CAMINHAO / CACAMBA NÃO BASCULANTE - GARRA TRASEIRO PALFINGER M 100L" xr:uid="{F4C01F77-F21A-41B6-8DEB-8AA53A48D7BE}"/>
    <hyperlink ref="N23" r:id="rId9" xr:uid="{B03BF010-27DC-40C5-8732-808AC1884D0F}"/>
    <hyperlink ref="N43" r:id="rId10" xr:uid="{344EE094-69E4-41F3-A020-6B88796E9423}"/>
    <hyperlink ref="N46" r:id="rId11" xr:uid="{1038903D-95AA-40FB-ADC4-133FFA51CA15}"/>
    <hyperlink ref="N45" r:id="rId12" xr:uid="{322840E7-71AB-4AE9-94C5-A4484AED96A3}"/>
    <hyperlink ref="N73" r:id="rId13" xr:uid="{23C3960C-3A48-4CE1-8900-BBD587929307}"/>
    <hyperlink ref="N44" r:id="rId14" xr:uid="{3D22C691-A420-4C4C-9121-AE63FADA4C2A}"/>
    <hyperlink ref="N40" r:id="rId15" display="ESCAVADEIRA / GARRA DINAMAC / ELETROIMA" xr:uid="{BD86597F-2907-4687-9CAF-C08052E70300}"/>
    <hyperlink ref="N41" r:id="rId16" display="ESCAVADEIRA / GARRA DINAMAC / ELETROIMA" xr:uid="{C92979EC-389C-4EFE-B9F8-9D0D57D7B9E6}"/>
    <hyperlink ref="N39" r:id="rId17" display="ESCAVADEIRA / GARRA DINAMAC / ELETROIMA" xr:uid="{9172F6B6-2873-408A-95FD-6DF7E4FDFB21}"/>
    <hyperlink ref="N38" r:id="rId18" display="ESCAVADEIRA / GARRA DINAMAC / ELETROIMA" xr:uid="{10B2708D-A566-47FF-BA56-5712411513A1}"/>
    <hyperlink ref="N37" r:id="rId19" display="ESCAVADEIRA / GARRA CHB / ELETROIMA" xr:uid="{EF7128D8-5DE1-45FB-9803-781603C99DB5}"/>
    <hyperlink ref="N56" r:id="rId20" xr:uid="{B10449A2-3FA9-4894-88C9-88DD9FFEFA98}"/>
    <hyperlink ref="N36" r:id="rId21" xr:uid="{3B45BCD9-D8C1-49A2-8C12-D67C34A7B2C0}"/>
    <hyperlink ref="N54" r:id="rId22" xr:uid="{4D617D1C-91B7-460B-88B7-AF8680E6D07A}"/>
    <hyperlink ref="N35" r:id="rId23" xr:uid="{E508A355-ED8F-4F1F-BC77-3AC66EE453FA}"/>
    <hyperlink ref="N52" r:id="rId24" xr:uid="{FFDF4CE1-CAA0-4298-9AF1-97A6AA610D57}"/>
    <hyperlink ref="N48" r:id="rId25" display="ESCAVADEIRA / GARRA LIEBHERR" xr:uid="{6754777A-407A-4026-A09F-354937AADC97}"/>
    <hyperlink ref="N53" r:id="rId26" display="../../../../../../:v:/g/personal/cristina_sugui_seletiva_ind_br/EeNquRkI4Z9NrIMSBnTkn8wB0Fwje6npIlLftUiglrOdMg?nav=eyJyZWZlcnJhbEluZm8iOnsicmVmZXJyYWxBcHAiOiJPbmVEcml2ZUZvckJ1c2luZXNzIiwicmVmZXJyYWxBcHBQbGF0Zm9ybSI6IldlYiIsInJlZmVycmFsTW9kZSI6InZpZXciLCJyZWZlcnJhbFZpZXciOiJNeUZpbGVzTGlua0RpcmVjdCJ9fQ&amp;e=v8rbDb" xr:uid="{020B7C83-DFB7-4523-AD85-BA1EBABFAF31}"/>
    <hyperlink ref="N42" r:id="rId27" xr:uid="{7EF4317A-0E4F-4357-AC4D-470A215194EA}"/>
    <hyperlink ref="N57" r:id="rId28" xr:uid="{3F607064-BEC6-4233-A2A8-F39110479D74}"/>
    <hyperlink ref="N80" r:id="rId29" xr:uid="{B2A6AB95-31EA-411C-B7C1-F67DBC94404A}"/>
    <hyperlink ref="N78" r:id="rId30" xr:uid="{338B113C-F530-44E3-9FFD-6CE361169BAE}"/>
    <hyperlink ref="N85" r:id="rId31" display="PRENSA MOVEL" xr:uid="{9B1690C5-18B5-47F0-98ED-CB9C305F651B}"/>
    <hyperlink ref="N84" r:id="rId32" display="PRENSA MOVEL" xr:uid="{57B0BB55-2917-437D-AA29-3B44474C06B9}"/>
    <hyperlink ref="N88" r:id="rId33" display="PRENSA MOVEL" xr:uid="{28FB13BD-9DD9-4383-9CDF-76D162A92A73}"/>
    <hyperlink ref="N86" r:id="rId34" display="PRENSA MOVEL - 2012" xr:uid="{BD5A6EB5-2B25-48DE-8BC1-4659CFC92C7F}"/>
    <hyperlink ref="N90" r:id="rId35" display="PRENSA SEMI FIXA" xr:uid="{A67D33FA-04FF-47A5-8BE0-74281DF5B2E4}"/>
    <hyperlink ref="N82" r:id="rId36" display="PRENSA FIXA" xr:uid="{49A57D43-4CA2-4535-BDC6-F0B329F79ED7}"/>
    <hyperlink ref="N81" r:id="rId37" display="PRENSA TESOURA HIDRÁULICA JCG800/7000L" xr:uid="{2E80B824-0D81-492B-B9E4-0B519A7E15FF}"/>
  </hyperlinks>
  <printOptions horizontalCentered="1"/>
  <pageMargins left="0.19685039370078741" right="0.19685039370078741" top="0.19685039370078741" bottom="0.19685039370078741" header="0" footer="0"/>
  <pageSetup paperSize="9" scale="27" fitToHeight="0" orientation="landscape" r:id="rId38"/>
  <legacy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9BC5-A26B-4E85-891A-C57C785D32F2}">
  <sheetPr>
    <pageSetUpPr fitToPage="1"/>
  </sheetPr>
  <dimension ref="A1:J43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85546875" defaultRowHeight="13.5" x14ac:dyDescent="0.25"/>
  <cols>
    <col min="1" max="1" width="5.7109375" style="35" customWidth="1"/>
    <col min="2" max="2" width="71.28515625" style="34" customWidth="1"/>
    <col min="3" max="3" width="12.7109375" style="34" customWidth="1"/>
    <col min="4" max="4" width="14.7109375" style="34" customWidth="1"/>
    <col min="5" max="6" width="14.7109375" style="36" customWidth="1"/>
    <col min="7" max="9" width="7.7109375" style="39" customWidth="1"/>
    <col min="10" max="10" width="17.7109375" style="39" customWidth="1"/>
    <col min="11" max="16384" width="8.85546875" style="39"/>
  </cols>
  <sheetData>
    <row r="1" spans="1:10" s="40" customFormat="1" ht="40.5" customHeight="1" x14ac:dyDescent="0.25">
      <c r="A1" s="63" t="s">
        <v>218</v>
      </c>
      <c r="B1" s="64" t="s">
        <v>219</v>
      </c>
      <c r="C1" s="64" t="s">
        <v>8</v>
      </c>
      <c r="D1" s="64" t="s">
        <v>220</v>
      </c>
      <c r="E1" s="65" t="s">
        <v>221</v>
      </c>
      <c r="F1" s="65" t="s">
        <v>222</v>
      </c>
      <c r="G1" s="64" t="s">
        <v>223</v>
      </c>
      <c r="H1" s="64" t="s">
        <v>224</v>
      </c>
      <c r="I1" s="66" t="s">
        <v>225</v>
      </c>
      <c r="J1" s="68" t="s">
        <v>226</v>
      </c>
    </row>
    <row r="2" spans="1:10" ht="15" customHeight="1" x14ac:dyDescent="0.25">
      <c r="A2" s="7">
        <v>1</v>
      </c>
      <c r="B2" s="13" t="s">
        <v>120</v>
      </c>
      <c r="C2" s="13" t="s">
        <v>65</v>
      </c>
      <c r="D2" s="69" t="s">
        <v>68</v>
      </c>
      <c r="E2" s="69">
        <v>400</v>
      </c>
      <c r="F2" s="69" t="s">
        <v>68</v>
      </c>
      <c r="G2" s="70">
        <v>22</v>
      </c>
      <c r="H2" s="70">
        <v>7</v>
      </c>
      <c r="I2" s="4">
        <f t="shared" ref="I2:I15" si="0">G2*H2</f>
        <v>154</v>
      </c>
      <c r="J2" s="8">
        <f t="shared" ref="J2:J15" si="1">E2*I2</f>
        <v>61600</v>
      </c>
    </row>
    <row r="3" spans="1:10" ht="15" customHeight="1" x14ac:dyDescent="0.25">
      <c r="A3" s="7">
        <v>2</v>
      </c>
      <c r="B3" s="13" t="s">
        <v>124</v>
      </c>
      <c r="C3" s="13" t="s">
        <v>65</v>
      </c>
      <c r="D3" s="69" t="s">
        <v>68</v>
      </c>
      <c r="E3" s="69">
        <v>400</v>
      </c>
      <c r="F3" s="69" t="s">
        <v>68</v>
      </c>
      <c r="G3" s="70">
        <v>22</v>
      </c>
      <c r="H3" s="70">
        <v>7</v>
      </c>
      <c r="I3" s="4">
        <f t="shared" si="0"/>
        <v>154</v>
      </c>
      <c r="J3" s="8">
        <f t="shared" si="1"/>
        <v>61600</v>
      </c>
    </row>
    <row r="4" spans="1:10" ht="15" customHeight="1" x14ac:dyDescent="0.25">
      <c r="A4" s="7">
        <v>3</v>
      </c>
      <c r="B4" s="13" t="s">
        <v>128</v>
      </c>
      <c r="C4" s="13" t="s">
        <v>65</v>
      </c>
      <c r="D4" s="69" t="s">
        <v>68</v>
      </c>
      <c r="E4" s="69">
        <v>400</v>
      </c>
      <c r="F4" s="69" t="s">
        <v>68</v>
      </c>
      <c r="G4" s="70">
        <v>22</v>
      </c>
      <c r="H4" s="70">
        <v>7</v>
      </c>
      <c r="I4" s="4">
        <f t="shared" si="0"/>
        <v>154</v>
      </c>
      <c r="J4" s="8">
        <f t="shared" si="1"/>
        <v>61600</v>
      </c>
    </row>
    <row r="5" spans="1:10" ht="15" customHeight="1" x14ac:dyDescent="0.25">
      <c r="A5" s="7">
        <v>4</v>
      </c>
      <c r="B5" s="13" t="s">
        <v>133</v>
      </c>
      <c r="C5" s="13" t="s">
        <v>65</v>
      </c>
      <c r="D5" s="69" t="s">
        <v>68</v>
      </c>
      <c r="E5" s="69">
        <v>512</v>
      </c>
      <c r="F5" s="69" t="s">
        <v>68</v>
      </c>
      <c r="G5" s="70">
        <v>22</v>
      </c>
      <c r="H5" s="70">
        <v>7</v>
      </c>
      <c r="I5" s="4">
        <f t="shared" si="0"/>
        <v>154</v>
      </c>
      <c r="J5" s="8">
        <f t="shared" si="1"/>
        <v>78848</v>
      </c>
    </row>
    <row r="6" spans="1:10" ht="15" customHeight="1" x14ac:dyDescent="0.25">
      <c r="A6" s="7">
        <v>5</v>
      </c>
      <c r="B6" s="13" t="s">
        <v>144</v>
      </c>
      <c r="C6" s="13" t="s">
        <v>65</v>
      </c>
      <c r="D6" s="69" t="s">
        <v>68</v>
      </c>
      <c r="E6" s="69">
        <v>512</v>
      </c>
      <c r="F6" s="69" t="s">
        <v>68</v>
      </c>
      <c r="G6" s="70">
        <v>22</v>
      </c>
      <c r="H6" s="70">
        <v>7</v>
      </c>
      <c r="I6" s="4">
        <f t="shared" si="0"/>
        <v>154</v>
      </c>
      <c r="J6" s="8">
        <f t="shared" si="1"/>
        <v>78848</v>
      </c>
    </row>
    <row r="7" spans="1:10" ht="15" customHeight="1" x14ac:dyDescent="0.25">
      <c r="A7" s="7">
        <v>6</v>
      </c>
      <c r="B7" s="13" t="s">
        <v>151</v>
      </c>
      <c r="C7" s="13" t="s">
        <v>65</v>
      </c>
      <c r="D7" s="69" t="s">
        <v>68</v>
      </c>
      <c r="E7" s="69">
        <v>298</v>
      </c>
      <c r="F7" s="69" t="s">
        <v>68</v>
      </c>
      <c r="G7" s="70">
        <v>22</v>
      </c>
      <c r="H7" s="70">
        <v>7</v>
      </c>
      <c r="I7" s="4">
        <f t="shared" si="0"/>
        <v>154</v>
      </c>
      <c r="J7" s="8">
        <f t="shared" si="1"/>
        <v>45892</v>
      </c>
    </row>
    <row r="8" spans="1:10" ht="15" customHeight="1" x14ac:dyDescent="0.25">
      <c r="A8" s="7">
        <v>7</v>
      </c>
      <c r="B8" s="13" t="s">
        <v>154</v>
      </c>
      <c r="C8" s="13" t="s">
        <v>65</v>
      </c>
      <c r="D8" s="69" t="s">
        <v>68</v>
      </c>
      <c r="E8" s="69">
        <v>298</v>
      </c>
      <c r="F8" s="69" t="s">
        <v>68</v>
      </c>
      <c r="G8" s="70">
        <v>22</v>
      </c>
      <c r="H8" s="70">
        <v>7</v>
      </c>
      <c r="I8" s="4">
        <f t="shared" si="0"/>
        <v>154</v>
      </c>
      <c r="J8" s="8">
        <f t="shared" si="1"/>
        <v>45892</v>
      </c>
    </row>
    <row r="9" spans="1:10" ht="15" customHeight="1" x14ac:dyDescent="0.25">
      <c r="A9" s="7">
        <v>8</v>
      </c>
      <c r="B9" s="13" t="s">
        <v>158</v>
      </c>
      <c r="C9" s="13" t="s">
        <v>65</v>
      </c>
      <c r="D9" s="69" t="s">
        <v>68</v>
      </c>
      <c r="E9" s="69">
        <v>342.88</v>
      </c>
      <c r="F9" s="69" t="s">
        <v>68</v>
      </c>
      <c r="G9" s="70">
        <v>22</v>
      </c>
      <c r="H9" s="70">
        <v>7</v>
      </c>
      <c r="I9" s="4">
        <f t="shared" si="0"/>
        <v>154</v>
      </c>
      <c r="J9" s="8">
        <f t="shared" si="1"/>
        <v>52803.519999999997</v>
      </c>
    </row>
    <row r="10" spans="1:10" ht="15" customHeight="1" x14ac:dyDescent="0.25">
      <c r="A10" s="7">
        <v>9</v>
      </c>
      <c r="B10" s="13" t="s">
        <v>161</v>
      </c>
      <c r="C10" s="13" t="s">
        <v>65</v>
      </c>
      <c r="D10" s="69" t="s">
        <v>68</v>
      </c>
      <c r="E10" s="69">
        <v>342.88</v>
      </c>
      <c r="F10" s="69" t="s">
        <v>68</v>
      </c>
      <c r="G10" s="70">
        <v>22</v>
      </c>
      <c r="H10" s="70">
        <v>7</v>
      </c>
      <c r="I10" s="4">
        <f t="shared" si="0"/>
        <v>154</v>
      </c>
      <c r="J10" s="8">
        <f t="shared" si="1"/>
        <v>52803.519999999997</v>
      </c>
    </row>
    <row r="11" spans="1:10" ht="15" customHeight="1" x14ac:dyDescent="0.25">
      <c r="A11" s="7">
        <v>10</v>
      </c>
      <c r="B11" s="13" t="s">
        <v>163</v>
      </c>
      <c r="C11" s="13" t="s">
        <v>65</v>
      </c>
      <c r="D11" s="69" t="s">
        <v>68</v>
      </c>
      <c r="E11" s="69">
        <v>512.63</v>
      </c>
      <c r="F11" s="69" t="s">
        <v>68</v>
      </c>
      <c r="G11" s="70">
        <v>22</v>
      </c>
      <c r="H11" s="70">
        <v>7</v>
      </c>
      <c r="I11" s="4">
        <f t="shared" si="0"/>
        <v>154</v>
      </c>
      <c r="J11" s="8">
        <f t="shared" si="1"/>
        <v>78945.02</v>
      </c>
    </row>
    <row r="12" spans="1:10" ht="15" hidden="1" customHeight="1" x14ac:dyDescent="0.25">
      <c r="A12" s="7">
        <v>11</v>
      </c>
      <c r="B12" s="13" t="s">
        <v>193</v>
      </c>
      <c r="C12" s="13" t="s">
        <v>39</v>
      </c>
      <c r="D12" s="69" t="s">
        <v>68</v>
      </c>
      <c r="E12" s="69">
        <v>760</v>
      </c>
      <c r="F12" s="69" t="s">
        <v>68</v>
      </c>
      <c r="G12" s="70">
        <v>22</v>
      </c>
      <c r="H12" s="70">
        <v>7</v>
      </c>
      <c r="I12" s="4">
        <f t="shared" si="0"/>
        <v>154</v>
      </c>
      <c r="J12" s="8">
        <f t="shared" si="1"/>
        <v>117040</v>
      </c>
    </row>
    <row r="13" spans="1:10" ht="15" hidden="1" customHeight="1" x14ac:dyDescent="0.25">
      <c r="A13" s="7">
        <v>12</v>
      </c>
      <c r="B13" s="13" t="s">
        <v>195</v>
      </c>
      <c r="C13" s="13" t="s">
        <v>39</v>
      </c>
      <c r="D13" s="69" t="s">
        <v>68</v>
      </c>
      <c r="E13" s="69">
        <v>760</v>
      </c>
      <c r="F13" s="69" t="s">
        <v>68</v>
      </c>
      <c r="G13" s="70">
        <v>22</v>
      </c>
      <c r="H13" s="70">
        <v>7</v>
      </c>
      <c r="I13" s="4">
        <f t="shared" si="0"/>
        <v>154</v>
      </c>
      <c r="J13" s="8">
        <f t="shared" si="1"/>
        <v>117040</v>
      </c>
    </row>
    <row r="14" spans="1:10" ht="15" hidden="1" customHeight="1" x14ac:dyDescent="0.25">
      <c r="A14" s="7">
        <v>13</v>
      </c>
      <c r="B14" s="13" t="s">
        <v>197</v>
      </c>
      <c r="C14" s="13" t="s">
        <v>39</v>
      </c>
      <c r="D14" s="69" t="s">
        <v>68</v>
      </c>
      <c r="E14" s="69">
        <v>760</v>
      </c>
      <c r="F14" s="69" t="s">
        <v>68</v>
      </c>
      <c r="G14" s="70">
        <v>22</v>
      </c>
      <c r="H14" s="70">
        <v>7</v>
      </c>
      <c r="I14" s="4">
        <f t="shared" si="0"/>
        <v>154</v>
      </c>
      <c r="J14" s="8">
        <f t="shared" si="1"/>
        <v>117040</v>
      </c>
    </row>
    <row r="15" spans="1:10" ht="15" customHeight="1" x14ac:dyDescent="0.25">
      <c r="A15" s="7">
        <v>14</v>
      </c>
      <c r="B15" s="13" t="s">
        <v>202</v>
      </c>
      <c r="C15" s="13" t="s">
        <v>65</v>
      </c>
      <c r="D15" s="69" t="s">
        <v>68</v>
      </c>
      <c r="E15" s="69">
        <v>760</v>
      </c>
      <c r="F15" s="69" t="s">
        <v>68</v>
      </c>
      <c r="G15" s="70">
        <v>22</v>
      </c>
      <c r="H15" s="70">
        <v>7</v>
      </c>
      <c r="I15" s="4">
        <f t="shared" si="0"/>
        <v>154</v>
      </c>
      <c r="J15" s="8">
        <f t="shared" si="1"/>
        <v>117040</v>
      </c>
    </row>
    <row r="16" spans="1:10" ht="15" customHeight="1" x14ac:dyDescent="0.25">
      <c r="A16" s="7">
        <v>15</v>
      </c>
      <c r="B16" s="13" t="s">
        <v>215</v>
      </c>
      <c r="C16" s="13" t="s">
        <v>39</v>
      </c>
      <c r="D16" s="69">
        <v>39058.333333333336</v>
      </c>
      <c r="E16" s="69">
        <v>0</v>
      </c>
      <c r="F16" s="69" t="s">
        <v>68</v>
      </c>
      <c r="G16" s="70" t="s">
        <v>68</v>
      </c>
      <c r="H16" s="70" t="s">
        <v>68</v>
      </c>
      <c r="I16" s="4" t="s">
        <v>68</v>
      </c>
      <c r="J16" s="8">
        <f t="shared" ref="J16:J43" si="2">D16</f>
        <v>39058.333333333336</v>
      </c>
    </row>
    <row r="17" spans="1:10" ht="15" customHeight="1" x14ac:dyDescent="0.25">
      <c r="A17" s="7">
        <v>16</v>
      </c>
      <c r="B17" s="13" t="s">
        <v>199</v>
      </c>
      <c r="C17" s="13" t="s">
        <v>39</v>
      </c>
      <c r="D17" s="69">
        <v>69531.25</v>
      </c>
      <c r="E17" s="69" t="s">
        <v>68</v>
      </c>
      <c r="F17" s="69" t="s">
        <v>68</v>
      </c>
      <c r="G17" s="70" t="s">
        <v>68</v>
      </c>
      <c r="H17" s="70" t="s">
        <v>68</v>
      </c>
      <c r="I17" s="4" t="s">
        <v>68</v>
      </c>
      <c r="J17" s="8">
        <f t="shared" si="2"/>
        <v>69531.25</v>
      </c>
    </row>
    <row r="18" spans="1:10" ht="15" customHeight="1" x14ac:dyDescent="0.25">
      <c r="A18" s="7">
        <v>17</v>
      </c>
      <c r="B18" s="13" t="s">
        <v>42</v>
      </c>
      <c r="C18" s="13" t="s">
        <v>39</v>
      </c>
      <c r="D18" s="69">
        <v>2083.3333333333335</v>
      </c>
      <c r="E18" s="69" t="s">
        <v>68</v>
      </c>
      <c r="F18" s="69" t="s">
        <v>68</v>
      </c>
      <c r="G18" s="70" t="s">
        <v>68</v>
      </c>
      <c r="H18" s="70" t="s">
        <v>68</v>
      </c>
      <c r="I18" s="4" t="s">
        <v>68</v>
      </c>
      <c r="J18" s="8">
        <f t="shared" si="2"/>
        <v>2083.3333333333335</v>
      </c>
    </row>
    <row r="19" spans="1:10" ht="15" customHeight="1" x14ac:dyDescent="0.25">
      <c r="A19" s="7">
        <v>18</v>
      </c>
      <c r="B19" s="13" t="s">
        <v>48</v>
      </c>
      <c r="C19" s="13" t="s">
        <v>39</v>
      </c>
      <c r="D19" s="69">
        <v>2083.3333333333335</v>
      </c>
      <c r="E19" s="69" t="s">
        <v>68</v>
      </c>
      <c r="F19" s="69" t="s">
        <v>68</v>
      </c>
      <c r="G19" s="70" t="s">
        <v>68</v>
      </c>
      <c r="H19" s="70" t="s">
        <v>68</v>
      </c>
      <c r="I19" s="4" t="s">
        <v>68</v>
      </c>
      <c r="J19" s="8">
        <f t="shared" si="2"/>
        <v>2083.3333333333335</v>
      </c>
    </row>
    <row r="20" spans="1:10" ht="15" hidden="1" customHeight="1" x14ac:dyDescent="0.25">
      <c r="A20" s="7">
        <v>19</v>
      </c>
      <c r="B20" s="13" t="s">
        <v>59</v>
      </c>
      <c r="C20" s="13" t="s">
        <v>39</v>
      </c>
      <c r="D20" s="69">
        <v>8500</v>
      </c>
      <c r="E20" s="69" t="s">
        <v>68</v>
      </c>
      <c r="F20" s="69" t="s">
        <v>68</v>
      </c>
      <c r="G20" s="70" t="s">
        <v>68</v>
      </c>
      <c r="H20" s="70" t="s">
        <v>68</v>
      </c>
      <c r="I20" s="4" t="s">
        <v>68</v>
      </c>
      <c r="J20" s="8">
        <f t="shared" si="2"/>
        <v>8500</v>
      </c>
    </row>
    <row r="21" spans="1:10" ht="15" hidden="1" customHeight="1" x14ac:dyDescent="0.25">
      <c r="A21" s="7">
        <v>20</v>
      </c>
      <c r="B21" s="13" t="s">
        <v>67</v>
      </c>
      <c r="C21" s="13" t="s">
        <v>65</v>
      </c>
      <c r="D21" s="69">
        <v>16283.333333333336</v>
      </c>
      <c r="E21" s="69" t="s">
        <v>68</v>
      </c>
      <c r="F21" s="69" t="s">
        <v>68</v>
      </c>
      <c r="G21" s="70" t="s">
        <v>68</v>
      </c>
      <c r="H21" s="70" t="s">
        <v>68</v>
      </c>
      <c r="I21" s="4" t="s">
        <v>68</v>
      </c>
      <c r="J21" s="8">
        <f t="shared" si="2"/>
        <v>16283.333333333336</v>
      </c>
    </row>
    <row r="22" spans="1:10" ht="15" hidden="1" customHeight="1" x14ac:dyDescent="0.25">
      <c r="A22" s="7">
        <v>21</v>
      </c>
      <c r="B22" s="13" t="s">
        <v>70</v>
      </c>
      <c r="C22" s="13" t="s">
        <v>65</v>
      </c>
      <c r="D22" s="69">
        <v>16283.333333333336</v>
      </c>
      <c r="E22" s="69" t="s">
        <v>68</v>
      </c>
      <c r="F22" s="69" t="s">
        <v>68</v>
      </c>
      <c r="G22" s="70" t="s">
        <v>68</v>
      </c>
      <c r="H22" s="70" t="s">
        <v>68</v>
      </c>
      <c r="I22" s="4" t="s">
        <v>68</v>
      </c>
      <c r="J22" s="8">
        <f t="shared" si="2"/>
        <v>16283.333333333336</v>
      </c>
    </row>
    <row r="23" spans="1:10" ht="15" hidden="1" customHeight="1" x14ac:dyDescent="0.25">
      <c r="A23" s="7">
        <v>22</v>
      </c>
      <c r="B23" s="13" t="s">
        <v>72</v>
      </c>
      <c r="C23" s="13" t="s">
        <v>65</v>
      </c>
      <c r="D23" s="69">
        <v>16408.333333333336</v>
      </c>
      <c r="E23" s="69" t="s">
        <v>68</v>
      </c>
      <c r="F23" s="69" t="s">
        <v>68</v>
      </c>
      <c r="G23" s="70" t="s">
        <v>68</v>
      </c>
      <c r="H23" s="70" t="s">
        <v>68</v>
      </c>
      <c r="I23" s="4" t="s">
        <v>68</v>
      </c>
      <c r="J23" s="8">
        <f t="shared" si="2"/>
        <v>16408.333333333336</v>
      </c>
    </row>
    <row r="24" spans="1:10" s="40" customFormat="1" ht="30" hidden="1" customHeight="1" x14ac:dyDescent="0.25">
      <c r="A24" s="7">
        <v>23</v>
      </c>
      <c r="B24" s="71" t="s">
        <v>74</v>
      </c>
      <c r="C24" s="13" t="s">
        <v>65</v>
      </c>
      <c r="D24" s="72">
        <v>18700</v>
      </c>
      <c r="E24" s="69" t="s">
        <v>68</v>
      </c>
      <c r="F24" s="72" t="s">
        <v>68</v>
      </c>
      <c r="G24" s="70" t="s">
        <v>68</v>
      </c>
      <c r="H24" s="70" t="s">
        <v>68</v>
      </c>
      <c r="I24" s="4" t="s">
        <v>68</v>
      </c>
      <c r="J24" s="8">
        <f t="shared" si="2"/>
        <v>18700</v>
      </c>
    </row>
    <row r="25" spans="1:10" s="40" customFormat="1" ht="30" hidden="1" customHeight="1" x14ac:dyDescent="0.25">
      <c r="A25" s="7">
        <v>24</v>
      </c>
      <c r="B25" s="71" t="s">
        <v>77</v>
      </c>
      <c r="C25" s="13" t="s">
        <v>65</v>
      </c>
      <c r="D25" s="72">
        <v>18700</v>
      </c>
      <c r="E25" s="69" t="s">
        <v>68</v>
      </c>
      <c r="F25" s="72" t="s">
        <v>68</v>
      </c>
      <c r="G25" s="70" t="s">
        <v>68</v>
      </c>
      <c r="H25" s="70" t="s">
        <v>68</v>
      </c>
      <c r="I25" s="4" t="s">
        <v>68</v>
      </c>
      <c r="J25" s="8">
        <f t="shared" si="2"/>
        <v>18700</v>
      </c>
    </row>
    <row r="26" spans="1:10" ht="15" hidden="1" customHeight="1" x14ac:dyDescent="0.25">
      <c r="A26" s="7">
        <v>25</v>
      </c>
      <c r="B26" s="13" t="s">
        <v>80</v>
      </c>
      <c r="C26" s="13" t="s">
        <v>65</v>
      </c>
      <c r="D26" s="69">
        <v>9166.6666666666679</v>
      </c>
      <c r="E26" s="69" t="s">
        <v>68</v>
      </c>
      <c r="F26" s="69" t="s">
        <v>68</v>
      </c>
      <c r="G26" s="70" t="s">
        <v>68</v>
      </c>
      <c r="H26" s="70" t="s">
        <v>68</v>
      </c>
      <c r="I26" s="4" t="s">
        <v>68</v>
      </c>
      <c r="J26" s="8">
        <f t="shared" si="2"/>
        <v>9166.6666666666679</v>
      </c>
    </row>
    <row r="27" spans="1:10" ht="15" hidden="1" customHeight="1" x14ac:dyDescent="0.25">
      <c r="A27" s="7">
        <v>26</v>
      </c>
      <c r="B27" s="13" t="s">
        <v>82</v>
      </c>
      <c r="C27" s="13" t="s">
        <v>65</v>
      </c>
      <c r="D27" s="69">
        <v>17700</v>
      </c>
      <c r="E27" s="69" t="s">
        <v>68</v>
      </c>
      <c r="F27" s="69" t="s">
        <v>68</v>
      </c>
      <c r="G27" s="70" t="s">
        <v>68</v>
      </c>
      <c r="H27" s="70" t="s">
        <v>68</v>
      </c>
      <c r="I27" s="4" t="s">
        <v>68</v>
      </c>
      <c r="J27" s="8">
        <f t="shared" si="2"/>
        <v>17700</v>
      </c>
    </row>
    <row r="28" spans="1:10" ht="15" hidden="1" customHeight="1" x14ac:dyDescent="0.25">
      <c r="A28" s="7">
        <v>27</v>
      </c>
      <c r="B28" s="13" t="s">
        <v>90</v>
      </c>
      <c r="C28" s="13" t="s">
        <v>65</v>
      </c>
      <c r="D28" s="69">
        <v>17333.333333333336</v>
      </c>
      <c r="E28" s="69" t="s">
        <v>68</v>
      </c>
      <c r="F28" s="69" t="s">
        <v>68</v>
      </c>
      <c r="G28" s="70" t="s">
        <v>68</v>
      </c>
      <c r="H28" s="70" t="s">
        <v>68</v>
      </c>
      <c r="I28" s="4" t="s">
        <v>68</v>
      </c>
      <c r="J28" s="8">
        <f t="shared" si="2"/>
        <v>17333.333333333336</v>
      </c>
    </row>
    <row r="29" spans="1:10" ht="15" hidden="1" customHeight="1" x14ac:dyDescent="0.25">
      <c r="A29" s="7">
        <v>28</v>
      </c>
      <c r="B29" s="13" t="s">
        <v>93</v>
      </c>
      <c r="C29" s="13" t="s">
        <v>65</v>
      </c>
      <c r="D29" s="69">
        <v>13166.666666666668</v>
      </c>
      <c r="E29" s="69" t="s">
        <v>68</v>
      </c>
      <c r="F29" s="69" t="s">
        <v>68</v>
      </c>
      <c r="G29" s="70" t="s">
        <v>68</v>
      </c>
      <c r="H29" s="70" t="s">
        <v>68</v>
      </c>
      <c r="I29" s="4" t="s">
        <v>68</v>
      </c>
      <c r="J29" s="8">
        <f t="shared" si="2"/>
        <v>13166.666666666668</v>
      </c>
    </row>
    <row r="30" spans="1:10" ht="15" hidden="1" customHeight="1" x14ac:dyDescent="0.25">
      <c r="A30" s="7">
        <v>29</v>
      </c>
      <c r="B30" s="13" t="s">
        <v>95</v>
      </c>
      <c r="C30" s="13" t="s">
        <v>65</v>
      </c>
      <c r="D30" s="69">
        <v>19366.666666666668</v>
      </c>
      <c r="E30" s="69" t="s">
        <v>68</v>
      </c>
      <c r="F30" s="69" t="s">
        <v>68</v>
      </c>
      <c r="G30" s="70" t="s">
        <v>68</v>
      </c>
      <c r="H30" s="70" t="s">
        <v>68</v>
      </c>
      <c r="I30" s="4" t="s">
        <v>68</v>
      </c>
      <c r="J30" s="8">
        <f t="shared" si="2"/>
        <v>19366.666666666668</v>
      </c>
    </row>
    <row r="31" spans="1:10" ht="15" hidden="1" customHeight="1" x14ac:dyDescent="0.25">
      <c r="A31" s="7">
        <v>30</v>
      </c>
      <c r="B31" s="13" t="s">
        <v>97</v>
      </c>
      <c r="C31" s="13" t="s">
        <v>65</v>
      </c>
      <c r="D31" s="69">
        <v>9750</v>
      </c>
      <c r="E31" s="69" t="s">
        <v>68</v>
      </c>
      <c r="F31" s="69" t="s">
        <v>68</v>
      </c>
      <c r="G31" s="70" t="s">
        <v>68</v>
      </c>
      <c r="H31" s="70" t="s">
        <v>68</v>
      </c>
      <c r="I31" s="4" t="s">
        <v>68</v>
      </c>
      <c r="J31" s="8">
        <f t="shared" si="2"/>
        <v>9750</v>
      </c>
    </row>
    <row r="32" spans="1:10" ht="15" hidden="1" customHeight="1" x14ac:dyDescent="0.25">
      <c r="A32" s="7">
        <v>31</v>
      </c>
      <c r="B32" s="13" t="s">
        <v>99</v>
      </c>
      <c r="C32" s="13" t="s">
        <v>39</v>
      </c>
      <c r="D32" s="69">
        <v>8500</v>
      </c>
      <c r="E32" s="69" t="s">
        <v>68</v>
      </c>
      <c r="F32" s="69" t="s">
        <v>68</v>
      </c>
      <c r="G32" s="70" t="s">
        <v>68</v>
      </c>
      <c r="H32" s="70" t="s">
        <v>68</v>
      </c>
      <c r="I32" s="4" t="s">
        <v>68</v>
      </c>
      <c r="J32" s="8">
        <f t="shared" si="2"/>
        <v>8500</v>
      </c>
    </row>
    <row r="33" spans="1:10" ht="15" hidden="1" customHeight="1" x14ac:dyDescent="0.25">
      <c r="A33" s="7">
        <v>32</v>
      </c>
      <c r="B33" s="13" t="s">
        <v>106</v>
      </c>
      <c r="C33" s="13" t="s">
        <v>65</v>
      </c>
      <c r="D33" s="69">
        <v>9000</v>
      </c>
      <c r="E33" s="69" t="s">
        <v>68</v>
      </c>
      <c r="F33" s="69" t="s">
        <v>68</v>
      </c>
      <c r="G33" s="70" t="s">
        <v>68</v>
      </c>
      <c r="H33" s="70" t="s">
        <v>68</v>
      </c>
      <c r="I33" s="4" t="s">
        <v>68</v>
      </c>
      <c r="J33" s="8">
        <f t="shared" si="2"/>
        <v>9000</v>
      </c>
    </row>
    <row r="34" spans="1:10" ht="15" customHeight="1" x14ac:dyDescent="0.25">
      <c r="A34" s="7">
        <v>33</v>
      </c>
      <c r="B34" s="13" t="s">
        <v>113</v>
      </c>
      <c r="C34" s="13" t="s">
        <v>39</v>
      </c>
      <c r="D34" s="69">
        <v>10833.333333333336</v>
      </c>
      <c r="E34" s="69" t="s">
        <v>68</v>
      </c>
      <c r="F34" s="69" t="s">
        <v>68</v>
      </c>
      <c r="G34" s="70" t="s">
        <v>68</v>
      </c>
      <c r="H34" s="70" t="s">
        <v>68</v>
      </c>
      <c r="I34" s="4" t="s">
        <v>68</v>
      </c>
      <c r="J34" s="8">
        <f t="shared" si="2"/>
        <v>10833.333333333336</v>
      </c>
    </row>
    <row r="35" spans="1:10" ht="15" customHeight="1" x14ac:dyDescent="0.25">
      <c r="A35" s="7">
        <v>34</v>
      </c>
      <c r="B35" s="13" t="s">
        <v>227</v>
      </c>
      <c r="C35" s="13" t="s">
        <v>39</v>
      </c>
      <c r="D35" s="69">
        <v>7433.3333333333339</v>
      </c>
      <c r="E35" s="69" t="s">
        <v>68</v>
      </c>
      <c r="F35" s="69" t="s">
        <v>68</v>
      </c>
      <c r="G35" s="70" t="s">
        <v>68</v>
      </c>
      <c r="H35" s="70" t="s">
        <v>68</v>
      </c>
      <c r="I35" s="4" t="s">
        <v>68</v>
      </c>
      <c r="J35" s="8">
        <f t="shared" si="2"/>
        <v>7433.3333333333339</v>
      </c>
    </row>
    <row r="36" spans="1:10" ht="15" customHeight="1" x14ac:dyDescent="0.25">
      <c r="A36" s="7">
        <v>35</v>
      </c>
      <c r="B36" s="13" t="s">
        <v>116</v>
      </c>
      <c r="C36" s="13" t="s">
        <v>65</v>
      </c>
      <c r="D36" s="69">
        <v>7433.3333333333339</v>
      </c>
      <c r="E36" s="69" t="s">
        <v>68</v>
      </c>
      <c r="F36" s="69" t="s">
        <v>68</v>
      </c>
      <c r="G36" s="70" t="s">
        <v>68</v>
      </c>
      <c r="H36" s="70" t="s">
        <v>68</v>
      </c>
      <c r="I36" s="4" t="s">
        <v>68</v>
      </c>
      <c r="J36" s="8">
        <f t="shared" si="2"/>
        <v>7433.3333333333339</v>
      </c>
    </row>
    <row r="37" spans="1:10" ht="15" hidden="1" customHeight="1" x14ac:dyDescent="0.25">
      <c r="A37" s="7">
        <v>36</v>
      </c>
      <c r="B37" s="13" t="s">
        <v>165</v>
      </c>
      <c r="C37" s="13" t="s">
        <v>65</v>
      </c>
      <c r="D37" s="69">
        <v>2166.666666666667</v>
      </c>
      <c r="E37" s="69" t="s">
        <v>68</v>
      </c>
      <c r="F37" s="69" t="s">
        <v>68</v>
      </c>
      <c r="G37" s="70" t="s">
        <v>68</v>
      </c>
      <c r="H37" s="70" t="s">
        <v>68</v>
      </c>
      <c r="I37" s="4" t="s">
        <v>68</v>
      </c>
      <c r="J37" s="8">
        <f t="shared" si="2"/>
        <v>2166.666666666667</v>
      </c>
    </row>
    <row r="38" spans="1:10" ht="15" customHeight="1" x14ac:dyDescent="0.25">
      <c r="A38" s="7">
        <v>37</v>
      </c>
      <c r="B38" s="13" t="s">
        <v>184</v>
      </c>
      <c r="C38" s="13" t="s">
        <v>65</v>
      </c>
      <c r="D38" s="69">
        <v>20833.333333333336</v>
      </c>
      <c r="E38" s="69" t="s">
        <v>68</v>
      </c>
      <c r="F38" s="69" t="s">
        <v>68</v>
      </c>
      <c r="G38" s="70" t="s">
        <v>68</v>
      </c>
      <c r="H38" s="70" t="s">
        <v>68</v>
      </c>
      <c r="I38" s="4" t="s">
        <v>68</v>
      </c>
      <c r="J38" s="8">
        <f t="shared" si="2"/>
        <v>20833.333333333336</v>
      </c>
    </row>
    <row r="39" spans="1:10" ht="15" customHeight="1" x14ac:dyDescent="0.25">
      <c r="A39" s="7">
        <v>38</v>
      </c>
      <c r="B39" s="13" t="s">
        <v>186</v>
      </c>
      <c r="C39" s="13" t="s">
        <v>39</v>
      </c>
      <c r="D39" s="69">
        <v>833.33333333333348</v>
      </c>
      <c r="E39" s="69" t="s">
        <v>68</v>
      </c>
      <c r="F39" s="69" t="s">
        <v>68</v>
      </c>
      <c r="G39" s="70" t="s">
        <v>68</v>
      </c>
      <c r="H39" s="70" t="s">
        <v>68</v>
      </c>
      <c r="I39" s="4" t="s">
        <v>68</v>
      </c>
      <c r="J39" s="8">
        <f t="shared" si="2"/>
        <v>833.33333333333348</v>
      </c>
    </row>
    <row r="40" spans="1:10" ht="15" customHeight="1" x14ac:dyDescent="0.25">
      <c r="A40" s="7">
        <v>39</v>
      </c>
      <c r="B40" s="13" t="s">
        <v>188</v>
      </c>
      <c r="C40" s="13" t="s">
        <v>39</v>
      </c>
      <c r="D40" s="69">
        <v>833.33333333333348</v>
      </c>
      <c r="E40" s="69" t="s">
        <v>68</v>
      </c>
      <c r="F40" s="69" t="s">
        <v>68</v>
      </c>
      <c r="G40" s="70" t="s">
        <v>68</v>
      </c>
      <c r="H40" s="70" t="s">
        <v>68</v>
      </c>
      <c r="I40" s="4" t="s">
        <v>68</v>
      </c>
      <c r="J40" s="8">
        <f t="shared" si="2"/>
        <v>833.33333333333348</v>
      </c>
    </row>
    <row r="41" spans="1:10" ht="15" customHeight="1" x14ac:dyDescent="0.25">
      <c r="A41" s="7">
        <v>40</v>
      </c>
      <c r="B41" s="13" t="s">
        <v>191</v>
      </c>
      <c r="C41" s="13" t="s">
        <v>39</v>
      </c>
      <c r="D41" s="69">
        <v>6500</v>
      </c>
      <c r="E41" s="69" t="s">
        <v>68</v>
      </c>
      <c r="F41" s="69" t="s">
        <v>68</v>
      </c>
      <c r="G41" s="70" t="s">
        <v>68</v>
      </c>
      <c r="H41" s="70" t="s">
        <v>68</v>
      </c>
      <c r="I41" s="4" t="s">
        <v>68</v>
      </c>
      <c r="J41" s="8">
        <f t="shared" si="2"/>
        <v>6500</v>
      </c>
    </row>
    <row r="42" spans="1:10" ht="15" customHeight="1" x14ac:dyDescent="0.25">
      <c r="A42" s="7">
        <v>41</v>
      </c>
      <c r="B42" s="13" t="s">
        <v>199</v>
      </c>
      <c r="C42" s="13" t="s">
        <v>39</v>
      </c>
      <c r="D42" s="69">
        <v>69531.25</v>
      </c>
      <c r="E42" s="69" t="s">
        <v>68</v>
      </c>
      <c r="F42" s="69" t="s">
        <v>68</v>
      </c>
      <c r="G42" s="70" t="s">
        <v>68</v>
      </c>
      <c r="H42" s="70" t="s">
        <v>68</v>
      </c>
      <c r="I42" s="4" t="s">
        <v>68</v>
      </c>
      <c r="J42" s="8">
        <f t="shared" si="2"/>
        <v>69531.25</v>
      </c>
    </row>
    <row r="43" spans="1:10" ht="15" customHeight="1" x14ac:dyDescent="0.25">
      <c r="A43" s="7">
        <v>42</v>
      </c>
      <c r="B43" s="13" t="s">
        <v>217</v>
      </c>
      <c r="C43" s="13" t="s">
        <v>39</v>
      </c>
      <c r="D43" s="69">
        <v>7500</v>
      </c>
      <c r="E43" s="69" t="s">
        <v>68</v>
      </c>
      <c r="F43" s="69" t="s">
        <v>68</v>
      </c>
      <c r="G43" s="70" t="s">
        <v>68</v>
      </c>
      <c r="H43" s="70" t="s">
        <v>68</v>
      </c>
      <c r="I43" s="4" t="s">
        <v>68</v>
      </c>
      <c r="J43" s="8">
        <f t="shared" si="2"/>
        <v>7500</v>
      </c>
    </row>
  </sheetData>
  <autoFilter ref="A1:J43" xr:uid="{7B98756B-3F81-467F-8461-AC1E6D34CB68}"/>
  <hyperlinks>
    <hyperlink ref="B34" r:id="rId1" display="EURA 13" xr:uid="{E9A96826-6D01-4673-9594-74D82866DDBC}"/>
    <hyperlink ref="B41" r:id="rId2" display="ACO 8" xr:uid="{361C2AFF-5ECF-40ED-ABCA-D29BAA679A78}"/>
    <hyperlink ref="B22:B24" r:id="rId3" display="ESCAVADEIRA / GARRA LIEBHERR" xr:uid="{3D069331-537D-4FE4-B701-CB8E19F1F744}"/>
    <hyperlink ref="B24" r:id="rId4" display="CAMINHAO / CACAMBA NÃO BASCULANTE - GARRA TRASEIRO PALFINGER M 100L" xr:uid="{FD98E566-B89A-4651-8FAF-901A0D78C51F}"/>
    <hyperlink ref="B25" r:id="rId5" display="CAMINHAO / CACAMBA NÃO BASCULANTE - GARRA TRASEIRO PALFINGER M 100L" xr:uid="{6D634D93-FCBD-4ADD-8884-E64AA6EC54FF}"/>
    <hyperlink ref="B30" r:id="rId6" display="CAMINHAO / CACAMBA NÃO BASCULANTE - GARRA TRASEIRO PALFINGER M 100L" xr:uid="{09EA389B-057A-429A-B906-49A1B6DCA43D}"/>
    <hyperlink ref="B38" r:id="rId7" xr:uid="{919B2FE4-6C09-4247-ADDB-B219774E61C3}"/>
    <hyperlink ref="B35" r:id="rId8" xr:uid="{CDC5F631-84B5-4979-B7E3-4AE413C6CF30}"/>
    <hyperlink ref="B36" r:id="rId9" xr:uid="{1D0B6B4E-476E-46D2-A1C6-C3EBBDFE99C1}"/>
    <hyperlink ref="B42" r:id="rId10" display="PRENSA TESOURA HIDRÁULICA JCG800/7000L" xr:uid="{F6E846BD-88F5-4BBF-825F-80E92107FB66}"/>
  </hyperlinks>
  <printOptions horizontalCentered="1"/>
  <pageMargins left="0.19685039370078741" right="0.19685039370078741" top="0.19685039370078741" bottom="0.19685039370078741" header="0" footer="0"/>
  <pageSetup paperSize="9" orientation="landscape"/>
  <legacy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E0A8-D862-4A63-9681-93579215C243}">
  <sheetPr filterMode="1">
    <pageSetUpPr fitToPage="1"/>
  </sheetPr>
  <dimension ref="A1:Q47"/>
  <sheetViews>
    <sheetView showGridLines="0" topLeftCell="B1" workbookViewId="0">
      <pane ySplit="1" topLeftCell="A18" activePane="bottomLeft" state="frozen"/>
      <selection pane="bottomLeft" activeCell="H47" sqref="H47"/>
    </sheetView>
  </sheetViews>
  <sheetFormatPr defaultRowHeight="15" x14ac:dyDescent="0.25"/>
  <cols>
    <col min="1" max="1" width="6.85546875" customWidth="1"/>
    <col min="2" max="2" width="46.140625" customWidth="1"/>
    <col min="3" max="3" width="15.5703125" bestFit="1" customWidth="1"/>
    <col min="4" max="4" width="24.140625" customWidth="1"/>
    <col min="5" max="5" width="15.85546875" customWidth="1"/>
    <col min="6" max="6" width="13.7109375" customWidth="1"/>
    <col min="7" max="7" width="15.5703125" customWidth="1"/>
    <col min="8" max="8" width="13.5703125" customWidth="1"/>
    <col min="9" max="9" width="9.140625" customWidth="1"/>
    <col min="10" max="10" width="14.28515625" style="52" customWidth="1"/>
    <col min="11" max="11" width="11" customWidth="1"/>
    <col min="12" max="12" width="11.7109375" customWidth="1"/>
    <col min="13" max="13" width="10.7109375" customWidth="1"/>
    <col min="15" max="15" width="16" customWidth="1"/>
    <col min="16" max="16" width="15.85546875" bestFit="1" customWidth="1"/>
  </cols>
  <sheetData>
    <row r="1" spans="1:16" ht="30" customHeight="1" x14ac:dyDescent="0.25">
      <c r="A1" s="63" t="s">
        <v>218</v>
      </c>
      <c r="B1" s="64" t="s">
        <v>219</v>
      </c>
      <c r="C1" s="64" t="s">
        <v>9</v>
      </c>
      <c r="D1" s="64" t="s">
        <v>2</v>
      </c>
      <c r="E1" s="64" t="s">
        <v>8</v>
      </c>
      <c r="F1" s="64" t="s">
        <v>220</v>
      </c>
      <c r="G1" s="65" t="s">
        <v>221</v>
      </c>
      <c r="H1" s="65" t="s">
        <v>222</v>
      </c>
      <c r="I1" s="64" t="s">
        <v>223</v>
      </c>
      <c r="J1" s="73" t="s">
        <v>228</v>
      </c>
      <c r="K1" s="74" t="s">
        <v>229</v>
      </c>
      <c r="L1" s="74" t="s">
        <v>230</v>
      </c>
      <c r="M1" s="64" t="s">
        <v>224</v>
      </c>
      <c r="N1" s="66" t="s">
        <v>225</v>
      </c>
      <c r="O1" s="67" t="s">
        <v>222</v>
      </c>
      <c r="P1" s="68" t="s">
        <v>231</v>
      </c>
    </row>
    <row r="2" spans="1:16" hidden="1" x14ac:dyDescent="0.25">
      <c r="A2" s="7">
        <v>1</v>
      </c>
      <c r="B2" s="13" t="s">
        <v>120</v>
      </c>
      <c r="C2" s="13" t="s">
        <v>119</v>
      </c>
      <c r="D2" s="13" t="s">
        <v>51</v>
      </c>
      <c r="E2" s="13" t="s">
        <v>65</v>
      </c>
      <c r="F2" s="69" t="s">
        <v>68</v>
      </c>
      <c r="G2" s="69">
        <v>400</v>
      </c>
      <c r="H2" s="69" t="s">
        <v>68</v>
      </c>
      <c r="I2" s="70">
        <v>20</v>
      </c>
      <c r="J2" s="75">
        <v>46142</v>
      </c>
      <c r="K2" s="4">
        <v>4502.3999999999996</v>
      </c>
      <c r="L2" s="4">
        <v>4531.3999999999996</v>
      </c>
      <c r="M2" s="70">
        <v>3</v>
      </c>
      <c r="N2" s="4">
        <f>L2-K2</f>
        <v>29</v>
      </c>
      <c r="O2" s="4" t="s">
        <v>68</v>
      </c>
      <c r="P2" s="8">
        <f>G2*N2</f>
        <v>11600</v>
      </c>
    </row>
    <row r="3" spans="1:16" hidden="1" x14ac:dyDescent="0.25">
      <c r="A3" s="7">
        <v>2</v>
      </c>
      <c r="B3" s="13" t="s">
        <v>124</v>
      </c>
      <c r="C3" s="13" t="s">
        <v>125</v>
      </c>
      <c r="D3" s="13" t="s">
        <v>35</v>
      </c>
      <c r="E3" s="13" t="s">
        <v>65</v>
      </c>
      <c r="F3" s="69" t="s">
        <v>68</v>
      </c>
      <c r="G3" s="69">
        <v>400</v>
      </c>
      <c r="H3" s="69" t="s">
        <v>68</v>
      </c>
      <c r="I3" s="70">
        <v>20</v>
      </c>
      <c r="J3" s="75">
        <v>46142</v>
      </c>
      <c r="K3" s="4"/>
      <c r="L3" s="4">
        <v>51.8</v>
      </c>
      <c r="M3" s="70">
        <v>3</v>
      </c>
      <c r="N3" s="4">
        <f>I3*M3</f>
        <v>60</v>
      </c>
      <c r="O3" s="4" t="s">
        <v>68</v>
      </c>
      <c r="P3" s="8">
        <f t="shared" ref="P3:P12" si="0">G3*N3</f>
        <v>24000</v>
      </c>
    </row>
    <row r="4" spans="1:16" s="61" customFormat="1" hidden="1" x14ac:dyDescent="0.25">
      <c r="A4" s="54">
        <v>3</v>
      </c>
      <c r="B4" s="55" t="s">
        <v>128</v>
      </c>
      <c r="C4" s="55" t="s">
        <v>127</v>
      </c>
      <c r="D4" s="55" t="s">
        <v>232</v>
      </c>
      <c r="E4" s="55" t="s">
        <v>65</v>
      </c>
      <c r="F4" s="56" t="s">
        <v>68</v>
      </c>
      <c r="G4" s="56">
        <v>400</v>
      </c>
      <c r="H4" s="56" t="s">
        <v>68</v>
      </c>
      <c r="I4" s="57">
        <v>20</v>
      </c>
      <c r="J4" s="58">
        <v>46142</v>
      </c>
      <c r="K4" s="59">
        <v>9314.2000000000007</v>
      </c>
      <c r="L4" s="59">
        <v>9420.6</v>
      </c>
      <c r="M4" s="57">
        <v>3</v>
      </c>
      <c r="N4" s="59">
        <f t="shared" ref="N4:N12" si="1">L4-K4</f>
        <v>106.39999999999964</v>
      </c>
      <c r="O4" s="59" t="s">
        <v>68</v>
      </c>
      <c r="P4" s="60">
        <f t="shared" si="0"/>
        <v>42559.999999999854</v>
      </c>
    </row>
    <row r="5" spans="1:16" s="61" customFormat="1" hidden="1" x14ac:dyDescent="0.25">
      <c r="A5" s="54">
        <v>4</v>
      </c>
      <c r="B5" s="55" t="s">
        <v>133</v>
      </c>
      <c r="C5" s="55" t="s">
        <v>134</v>
      </c>
      <c r="D5" s="55" t="s">
        <v>53</v>
      </c>
      <c r="E5" s="55" t="s">
        <v>65</v>
      </c>
      <c r="F5" s="56" t="s">
        <v>68</v>
      </c>
      <c r="G5" s="56">
        <v>512</v>
      </c>
      <c r="H5" s="56" t="s">
        <v>68</v>
      </c>
      <c r="I5" s="57">
        <v>20</v>
      </c>
      <c r="J5" s="58">
        <v>46142</v>
      </c>
      <c r="K5" s="59">
        <v>16086.5</v>
      </c>
      <c r="L5" s="59">
        <v>16238</v>
      </c>
      <c r="M5" s="57">
        <v>3</v>
      </c>
      <c r="N5" s="59">
        <f t="shared" si="1"/>
        <v>151.5</v>
      </c>
      <c r="O5" s="59" t="s">
        <v>68</v>
      </c>
      <c r="P5" s="60">
        <f t="shared" si="0"/>
        <v>77568</v>
      </c>
    </row>
    <row r="6" spans="1:16" s="61" customFormat="1" hidden="1" x14ac:dyDescent="0.25">
      <c r="A6" s="54">
        <v>5</v>
      </c>
      <c r="B6" s="55" t="s">
        <v>144</v>
      </c>
      <c r="C6" s="55" t="s">
        <v>135</v>
      </c>
      <c r="D6" s="55" t="s">
        <v>53</v>
      </c>
      <c r="E6" s="55" t="s">
        <v>65</v>
      </c>
      <c r="F6" s="56" t="s">
        <v>68</v>
      </c>
      <c r="G6" s="56">
        <v>512</v>
      </c>
      <c r="H6" s="56" t="s">
        <v>68</v>
      </c>
      <c r="I6" s="57">
        <v>20</v>
      </c>
      <c r="J6" s="58">
        <v>46142</v>
      </c>
      <c r="K6" s="59">
        <v>10641</v>
      </c>
      <c r="L6" s="59">
        <v>10761</v>
      </c>
      <c r="M6" s="57">
        <v>3</v>
      </c>
      <c r="N6" s="59">
        <f>L6-K6</f>
        <v>120</v>
      </c>
      <c r="O6" s="59" t="s">
        <v>68</v>
      </c>
      <c r="P6" s="60">
        <f t="shared" si="0"/>
        <v>61440</v>
      </c>
    </row>
    <row r="7" spans="1:16" hidden="1" x14ac:dyDescent="0.25">
      <c r="A7" s="7">
        <v>6</v>
      </c>
      <c r="B7" s="13" t="s">
        <v>144</v>
      </c>
      <c r="C7" s="13" t="s">
        <v>143</v>
      </c>
      <c r="D7" s="13" t="s">
        <v>46</v>
      </c>
      <c r="E7" s="13" t="s">
        <v>65</v>
      </c>
      <c r="F7" s="69" t="s">
        <v>68</v>
      </c>
      <c r="G7" s="69">
        <v>512</v>
      </c>
      <c r="H7" s="69" t="s">
        <v>68</v>
      </c>
      <c r="I7" s="70">
        <v>20</v>
      </c>
      <c r="J7" s="75">
        <v>46142</v>
      </c>
      <c r="K7" s="4">
        <v>5334.4</v>
      </c>
      <c r="L7" s="4">
        <v>5481.2</v>
      </c>
      <c r="M7" s="70">
        <v>3</v>
      </c>
      <c r="N7" s="4">
        <f t="shared" si="1"/>
        <v>146.80000000000018</v>
      </c>
      <c r="O7" s="4" t="s">
        <v>68</v>
      </c>
      <c r="P7" s="8">
        <f>G7*N7</f>
        <v>75161.600000000093</v>
      </c>
    </row>
    <row r="8" spans="1:16" hidden="1" x14ac:dyDescent="0.25">
      <c r="A8" s="7">
        <v>7</v>
      </c>
      <c r="B8" s="13" t="s">
        <v>144</v>
      </c>
      <c r="C8" s="13" t="s">
        <v>145</v>
      </c>
      <c r="D8" s="13" t="s">
        <v>49</v>
      </c>
      <c r="E8" s="13" t="s">
        <v>65</v>
      </c>
      <c r="F8" s="69" t="s">
        <v>68</v>
      </c>
      <c r="G8" s="69">
        <v>512</v>
      </c>
      <c r="H8" s="69" t="s">
        <v>68</v>
      </c>
      <c r="I8" s="70">
        <v>20</v>
      </c>
      <c r="J8" s="75">
        <v>46122</v>
      </c>
      <c r="K8" s="4">
        <v>5513</v>
      </c>
      <c r="L8" s="4">
        <v>5632</v>
      </c>
      <c r="M8" s="70">
        <v>3</v>
      </c>
      <c r="N8" s="4">
        <f t="shared" si="1"/>
        <v>119</v>
      </c>
      <c r="O8" s="4" t="s">
        <v>68</v>
      </c>
      <c r="P8" s="8">
        <f t="shared" si="0"/>
        <v>60928</v>
      </c>
    </row>
    <row r="9" spans="1:16" hidden="1" x14ac:dyDescent="0.25">
      <c r="A9" s="7">
        <v>8</v>
      </c>
      <c r="B9" s="13" t="s">
        <v>144</v>
      </c>
      <c r="C9" s="13" t="s">
        <v>146</v>
      </c>
      <c r="D9" s="13" t="s">
        <v>51</v>
      </c>
      <c r="E9" s="13" t="s">
        <v>65</v>
      </c>
      <c r="F9" s="69" t="s">
        <v>68</v>
      </c>
      <c r="G9" s="69">
        <v>512</v>
      </c>
      <c r="H9" s="69" t="s">
        <v>68</v>
      </c>
      <c r="I9" s="70">
        <v>20</v>
      </c>
      <c r="J9" s="75">
        <v>46123</v>
      </c>
      <c r="K9" s="4">
        <v>6099.5</v>
      </c>
      <c r="L9" s="4">
        <v>6209.2</v>
      </c>
      <c r="M9" s="70">
        <v>3</v>
      </c>
      <c r="N9" s="4">
        <f t="shared" si="1"/>
        <v>109.69999999999982</v>
      </c>
      <c r="O9" s="4" t="s">
        <v>68</v>
      </c>
      <c r="P9" s="8">
        <f t="shared" si="0"/>
        <v>56166.399999999907</v>
      </c>
    </row>
    <row r="10" spans="1:16" hidden="1" x14ac:dyDescent="0.25">
      <c r="A10" s="7">
        <v>9</v>
      </c>
      <c r="B10" s="13" t="s">
        <v>144</v>
      </c>
      <c r="C10" s="13" t="s">
        <v>147</v>
      </c>
      <c r="D10" s="13" t="s">
        <v>53</v>
      </c>
      <c r="E10" s="13" t="s">
        <v>65</v>
      </c>
      <c r="F10" s="69" t="s">
        <v>68</v>
      </c>
      <c r="G10" s="69">
        <v>512</v>
      </c>
      <c r="H10" s="69" t="s">
        <v>68</v>
      </c>
      <c r="I10" s="70">
        <v>20</v>
      </c>
      <c r="J10" s="75">
        <v>46124</v>
      </c>
      <c r="K10" s="4">
        <v>1589.8</v>
      </c>
      <c r="L10" s="4">
        <v>1763.1</v>
      </c>
      <c r="M10" s="70">
        <v>3</v>
      </c>
      <c r="N10" s="4">
        <f t="shared" si="1"/>
        <v>173.29999999999995</v>
      </c>
      <c r="O10" s="4" t="s">
        <v>68</v>
      </c>
      <c r="P10" s="8">
        <f t="shared" si="0"/>
        <v>88729.599999999977</v>
      </c>
    </row>
    <row r="11" spans="1:16" hidden="1" x14ac:dyDescent="0.25">
      <c r="A11" s="7">
        <v>10</v>
      </c>
      <c r="B11" s="13" t="s">
        <v>151</v>
      </c>
      <c r="C11" s="13" t="s">
        <v>150</v>
      </c>
      <c r="D11" s="13" t="s">
        <v>51</v>
      </c>
      <c r="E11" s="13" t="s">
        <v>65</v>
      </c>
      <c r="F11" s="69" t="s">
        <v>68</v>
      </c>
      <c r="G11" s="69">
        <v>298</v>
      </c>
      <c r="H11" s="69" t="s">
        <v>68</v>
      </c>
      <c r="I11" s="70">
        <v>20</v>
      </c>
      <c r="J11" s="75">
        <v>46125</v>
      </c>
      <c r="K11" s="4">
        <v>10407</v>
      </c>
      <c r="L11" s="4">
        <v>10418.299999999999</v>
      </c>
      <c r="M11" s="70">
        <v>3</v>
      </c>
      <c r="N11" s="4">
        <f t="shared" si="1"/>
        <v>11.299999999999272</v>
      </c>
      <c r="O11" s="4" t="s">
        <v>68</v>
      </c>
      <c r="P11" s="8">
        <f t="shared" si="0"/>
        <v>3367.3999999997832</v>
      </c>
    </row>
    <row r="12" spans="1:16" hidden="1" x14ac:dyDescent="0.25">
      <c r="A12" s="7">
        <v>11</v>
      </c>
      <c r="B12" s="13" t="s">
        <v>161</v>
      </c>
      <c r="C12" s="13" t="s">
        <v>160</v>
      </c>
      <c r="D12" s="13" t="s">
        <v>49</v>
      </c>
      <c r="E12" s="13" t="s">
        <v>65</v>
      </c>
      <c r="F12" s="69" t="s">
        <v>68</v>
      </c>
      <c r="G12" s="69">
        <v>342.88</v>
      </c>
      <c r="H12" s="69" t="s">
        <v>68</v>
      </c>
      <c r="I12" s="70">
        <v>22</v>
      </c>
      <c r="J12" s="75">
        <v>46126</v>
      </c>
      <c r="K12" s="4">
        <v>13540.7</v>
      </c>
      <c r="L12" s="4">
        <v>13562.5</v>
      </c>
      <c r="M12" s="70">
        <v>7</v>
      </c>
      <c r="N12" s="4">
        <f t="shared" si="1"/>
        <v>21.799999999999272</v>
      </c>
      <c r="O12" s="4" t="s">
        <v>68</v>
      </c>
      <c r="P12" s="8">
        <f t="shared" si="0"/>
        <v>7474.7839999997504</v>
      </c>
    </row>
    <row r="13" spans="1:16" hidden="1" x14ac:dyDescent="0.25">
      <c r="A13" s="7">
        <v>12</v>
      </c>
      <c r="B13" s="13" t="s">
        <v>202</v>
      </c>
      <c r="C13" s="13" t="s">
        <v>209</v>
      </c>
      <c r="D13" s="13" t="s">
        <v>233</v>
      </c>
      <c r="E13" s="13" t="s">
        <v>65</v>
      </c>
      <c r="F13" s="69" t="s">
        <v>68</v>
      </c>
      <c r="G13" s="69" t="s">
        <v>68</v>
      </c>
      <c r="H13" s="69">
        <v>100</v>
      </c>
      <c r="I13" s="70" t="s">
        <v>68</v>
      </c>
      <c r="J13" s="75">
        <v>46127</v>
      </c>
      <c r="K13" s="4"/>
      <c r="L13" s="4"/>
      <c r="M13" s="70" t="s">
        <v>68</v>
      </c>
      <c r="N13" s="4" t="s">
        <v>68</v>
      </c>
      <c r="O13" s="28">
        <v>275.39999999999998</v>
      </c>
      <c r="P13" s="8">
        <f>O13*H13</f>
        <v>27539.999999999996</v>
      </c>
    </row>
    <row r="14" spans="1:16" hidden="1" x14ac:dyDescent="0.25">
      <c r="A14" s="7">
        <v>13</v>
      </c>
      <c r="B14" s="13" t="s">
        <v>202</v>
      </c>
      <c r="C14" s="13" t="s">
        <v>213</v>
      </c>
      <c r="D14" s="13" t="s">
        <v>233</v>
      </c>
      <c r="E14" s="13" t="s">
        <v>65</v>
      </c>
      <c r="F14" s="69" t="s">
        <v>68</v>
      </c>
      <c r="G14" s="69" t="s">
        <v>68</v>
      </c>
      <c r="H14" s="69">
        <v>100</v>
      </c>
      <c r="I14" s="70" t="s">
        <v>68</v>
      </c>
      <c r="J14" s="75">
        <v>46128</v>
      </c>
      <c r="K14" s="4"/>
      <c r="L14" s="4"/>
      <c r="M14" s="70" t="s">
        <v>68</v>
      </c>
      <c r="N14" s="4" t="s">
        <v>68</v>
      </c>
      <c r="O14" s="28">
        <v>1891.25</v>
      </c>
      <c r="P14" s="8">
        <f>O14*H14</f>
        <v>189125</v>
      </c>
    </row>
    <row r="15" spans="1:16" hidden="1" x14ac:dyDescent="0.25">
      <c r="A15" s="7">
        <v>14</v>
      </c>
      <c r="B15" s="13" t="s">
        <v>234</v>
      </c>
      <c r="C15" s="13" t="s">
        <v>117</v>
      </c>
      <c r="D15" s="13" t="s">
        <v>53</v>
      </c>
      <c r="E15" s="13" t="s">
        <v>65</v>
      </c>
      <c r="F15" s="69" t="s">
        <v>68</v>
      </c>
      <c r="G15" s="69">
        <v>400</v>
      </c>
      <c r="H15" s="69" t="s">
        <v>68</v>
      </c>
      <c r="I15" s="70">
        <v>20</v>
      </c>
      <c r="J15" s="75">
        <v>46129</v>
      </c>
      <c r="K15" s="4">
        <v>9468.9</v>
      </c>
      <c r="L15" s="4">
        <v>9551.2999999999993</v>
      </c>
      <c r="M15" s="70">
        <v>3</v>
      </c>
      <c r="N15" s="4">
        <f>L15-K15</f>
        <v>82.399999999999636</v>
      </c>
      <c r="O15" s="4" t="s">
        <v>68</v>
      </c>
      <c r="P15" s="8">
        <f>G15*N15</f>
        <v>32959.999999999854</v>
      </c>
    </row>
    <row r="16" spans="1:16" hidden="1" x14ac:dyDescent="0.25">
      <c r="A16" s="7">
        <v>15</v>
      </c>
      <c r="B16" s="13" t="s">
        <v>116</v>
      </c>
      <c r="C16" s="13" t="s">
        <v>115</v>
      </c>
      <c r="D16" s="13" t="s">
        <v>46</v>
      </c>
      <c r="E16" s="13" t="s">
        <v>65</v>
      </c>
      <c r="F16" s="69" t="s">
        <v>68</v>
      </c>
      <c r="G16" s="69">
        <v>400</v>
      </c>
      <c r="H16" s="69" t="s">
        <v>68</v>
      </c>
      <c r="I16" s="70">
        <v>20</v>
      </c>
      <c r="J16" s="75">
        <v>46130</v>
      </c>
      <c r="K16" s="4">
        <v>13132.3</v>
      </c>
      <c r="L16" s="4">
        <v>13205.9</v>
      </c>
      <c r="M16" s="70">
        <v>3</v>
      </c>
      <c r="N16" s="4">
        <f>L16-K16</f>
        <v>73.600000000000364</v>
      </c>
      <c r="O16" s="4" t="s">
        <v>68</v>
      </c>
      <c r="P16" s="8">
        <f>G16*N16</f>
        <v>29440.000000000146</v>
      </c>
    </row>
    <row r="17" spans="1:16" hidden="1" x14ac:dyDescent="0.25">
      <c r="A17" s="7">
        <v>16</v>
      </c>
      <c r="B17" s="13" t="s">
        <v>184</v>
      </c>
      <c r="C17" s="13" t="s">
        <v>183</v>
      </c>
      <c r="D17" s="13" t="s">
        <v>49</v>
      </c>
      <c r="E17" s="13" t="s">
        <v>65</v>
      </c>
      <c r="F17" s="69" t="s">
        <v>68</v>
      </c>
      <c r="G17" s="69">
        <v>512</v>
      </c>
      <c r="H17" s="69" t="s">
        <v>68</v>
      </c>
      <c r="I17" s="70">
        <v>20</v>
      </c>
      <c r="J17" s="75">
        <v>46131</v>
      </c>
      <c r="K17" s="4">
        <v>4999</v>
      </c>
      <c r="L17" s="4">
        <v>5098</v>
      </c>
      <c r="M17" s="70">
        <v>3</v>
      </c>
      <c r="N17" s="4">
        <f>L17-K17</f>
        <v>99</v>
      </c>
      <c r="O17" s="4" t="s">
        <v>68</v>
      </c>
      <c r="P17" s="8">
        <f>G17*N17</f>
        <v>50688</v>
      </c>
    </row>
    <row r="18" spans="1:16" x14ac:dyDescent="0.25">
      <c r="A18" s="7"/>
      <c r="B18" s="13" t="s">
        <v>120</v>
      </c>
      <c r="C18" s="13" t="s">
        <v>119</v>
      </c>
      <c r="D18" s="13" t="s">
        <v>51</v>
      </c>
      <c r="E18" s="13" t="s">
        <v>65</v>
      </c>
      <c r="F18" s="69" t="s">
        <v>68</v>
      </c>
      <c r="G18" s="69">
        <v>400</v>
      </c>
      <c r="H18" s="69" t="s">
        <v>68</v>
      </c>
      <c r="I18" s="70">
        <v>20</v>
      </c>
      <c r="J18" s="75">
        <v>46143</v>
      </c>
      <c r="K18" s="4">
        <v>4531.3999999999996</v>
      </c>
      <c r="L18" s="4">
        <v>4568.8</v>
      </c>
      <c r="M18" s="70">
        <v>3</v>
      </c>
      <c r="N18" s="4">
        <f>L18-K18</f>
        <v>37.400000000000546</v>
      </c>
      <c r="O18" s="4" t="s">
        <v>68</v>
      </c>
      <c r="P18" s="8">
        <f>G18*N18</f>
        <v>14960.000000000218</v>
      </c>
    </row>
    <row r="19" spans="1:16" x14ac:dyDescent="0.25">
      <c r="A19" s="7"/>
      <c r="B19" s="13" t="s">
        <v>124</v>
      </c>
      <c r="C19" s="13" t="s">
        <v>125</v>
      </c>
      <c r="D19" s="13" t="s">
        <v>35</v>
      </c>
      <c r="E19" s="13" t="s">
        <v>65</v>
      </c>
      <c r="F19" s="69" t="s">
        <v>68</v>
      </c>
      <c r="G19" s="69">
        <v>400</v>
      </c>
      <c r="H19" s="69" t="s">
        <v>68</v>
      </c>
      <c r="I19" s="70">
        <v>20</v>
      </c>
      <c r="J19" s="75">
        <v>46144</v>
      </c>
      <c r="K19" s="4">
        <v>51.8</v>
      </c>
      <c r="L19" s="4">
        <v>74</v>
      </c>
      <c r="M19" s="70">
        <v>3</v>
      </c>
      <c r="N19" s="4">
        <f>L19-K19</f>
        <v>22.200000000000003</v>
      </c>
      <c r="O19" s="4" t="s">
        <v>68</v>
      </c>
      <c r="P19" s="8">
        <f t="shared" ref="P19:P22" si="2">G19*N19</f>
        <v>8880.0000000000018</v>
      </c>
    </row>
    <row r="20" spans="1:16" x14ac:dyDescent="0.25">
      <c r="A20" s="54"/>
      <c r="B20" s="55" t="s">
        <v>128</v>
      </c>
      <c r="C20" s="55" t="s">
        <v>127</v>
      </c>
      <c r="D20" s="55" t="s">
        <v>232</v>
      </c>
      <c r="E20" s="55" t="s">
        <v>65</v>
      </c>
      <c r="F20" s="56" t="s">
        <v>68</v>
      </c>
      <c r="G20" s="56">
        <v>400</v>
      </c>
      <c r="H20" s="56" t="s">
        <v>68</v>
      </c>
      <c r="I20" s="57">
        <v>20</v>
      </c>
      <c r="J20" s="75">
        <v>46145</v>
      </c>
      <c r="K20" s="99">
        <v>9420.6</v>
      </c>
      <c r="L20" s="59">
        <v>9420.6</v>
      </c>
      <c r="M20" s="57">
        <v>3</v>
      </c>
      <c r="N20" s="59">
        <f t="shared" ref="N20:N29" si="3">L20-K20</f>
        <v>0</v>
      </c>
      <c r="O20" s="59" t="s">
        <v>68</v>
      </c>
      <c r="P20" s="60">
        <f t="shared" si="2"/>
        <v>0</v>
      </c>
    </row>
    <row r="21" spans="1:16" x14ac:dyDescent="0.25">
      <c r="A21" s="54"/>
      <c r="B21" s="55" t="s">
        <v>133</v>
      </c>
      <c r="C21" s="55" t="s">
        <v>134</v>
      </c>
      <c r="D21" s="55" t="s">
        <v>53</v>
      </c>
      <c r="E21" s="55" t="s">
        <v>65</v>
      </c>
      <c r="F21" s="56" t="s">
        <v>68</v>
      </c>
      <c r="G21" s="56">
        <v>512</v>
      </c>
      <c r="H21" s="56" t="s">
        <v>68</v>
      </c>
      <c r="I21" s="57">
        <v>20</v>
      </c>
      <c r="J21" s="75">
        <v>46146</v>
      </c>
      <c r="K21" s="59">
        <v>16238</v>
      </c>
      <c r="L21" s="59">
        <v>16383</v>
      </c>
      <c r="M21" s="57">
        <v>3</v>
      </c>
      <c r="N21" s="59">
        <f t="shared" si="3"/>
        <v>145</v>
      </c>
      <c r="O21" s="59" t="s">
        <v>68</v>
      </c>
      <c r="P21" s="60">
        <f t="shared" si="2"/>
        <v>74240</v>
      </c>
    </row>
    <row r="22" spans="1:16" x14ac:dyDescent="0.25">
      <c r="A22" s="54"/>
      <c r="B22" s="55" t="s">
        <v>144</v>
      </c>
      <c r="C22" s="55" t="s">
        <v>135</v>
      </c>
      <c r="D22" s="55" t="s">
        <v>53</v>
      </c>
      <c r="E22" s="55" t="s">
        <v>65</v>
      </c>
      <c r="F22" s="56" t="s">
        <v>68</v>
      </c>
      <c r="G22" s="56">
        <v>512</v>
      </c>
      <c r="H22" s="56" t="s">
        <v>68</v>
      </c>
      <c r="I22" s="57">
        <v>20</v>
      </c>
      <c r="J22" s="75">
        <v>46147</v>
      </c>
      <c r="K22" s="59">
        <v>10761</v>
      </c>
      <c r="L22" s="59">
        <v>10890</v>
      </c>
      <c r="M22" s="57">
        <v>3</v>
      </c>
      <c r="N22" s="59">
        <f t="shared" si="3"/>
        <v>129</v>
      </c>
      <c r="O22" s="59" t="s">
        <v>68</v>
      </c>
      <c r="P22" s="60">
        <f t="shared" si="2"/>
        <v>66048</v>
      </c>
    </row>
    <row r="23" spans="1:16" x14ac:dyDescent="0.25">
      <c r="A23" s="7"/>
      <c r="B23" s="13" t="s">
        <v>144</v>
      </c>
      <c r="C23" s="13" t="s">
        <v>143</v>
      </c>
      <c r="D23" s="13" t="s">
        <v>46</v>
      </c>
      <c r="E23" s="13" t="s">
        <v>65</v>
      </c>
      <c r="F23" s="69" t="s">
        <v>68</v>
      </c>
      <c r="G23" s="69">
        <v>512</v>
      </c>
      <c r="H23" s="69" t="s">
        <v>68</v>
      </c>
      <c r="I23" s="70">
        <v>20</v>
      </c>
      <c r="J23" s="75">
        <v>46148</v>
      </c>
      <c r="K23" s="4">
        <v>5481.2</v>
      </c>
      <c r="L23" s="4">
        <v>5608</v>
      </c>
      <c r="M23" s="70">
        <v>3</v>
      </c>
      <c r="N23" s="4">
        <f t="shared" si="3"/>
        <v>126.80000000000018</v>
      </c>
      <c r="O23" s="4" t="s">
        <v>68</v>
      </c>
      <c r="P23" s="8">
        <f>G23*N23</f>
        <v>64921.600000000093</v>
      </c>
    </row>
    <row r="24" spans="1:16" x14ac:dyDescent="0.25">
      <c r="A24" s="7"/>
      <c r="B24" s="13" t="s">
        <v>144</v>
      </c>
      <c r="C24" s="29" t="s">
        <v>145</v>
      </c>
      <c r="D24" s="13" t="s">
        <v>49</v>
      </c>
      <c r="E24" s="13" t="s">
        <v>65</v>
      </c>
      <c r="F24" s="69" t="s">
        <v>68</v>
      </c>
      <c r="G24" s="69">
        <v>512</v>
      </c>
      <c r="H24" s="69" t="s">
        <v>68</v>
      </c>
      <c r="I24" s="70">
        <v>20</v>
      </c>
      <c r="J24" s="75">
        <v>46149</v>
      </c>
      <c r="K24" s="4">
        <v>5632</v>
      </c>
      <c r="L24" s="4">
        <v>5753.3</v>
      </c>
      <c r="M24" s="70">
        <v>3</v>
      </c>
      <c r="N24" s="4">
        <f t="shared" si="3"/>
        <v>121.30000000000018</v>
      </c>
      <c r="O24" s="4" t="s">
        <v>68</v>
      </c>
      <c r="P24" s="8">
        <f t="shared" ref="P24:P30" si="4">G24*N24</f>
        <v>62105.600000000093</v>
      </c>
    </row>
    <row r="25" spans="1:16" x14ac:dyDescent="0.25">
      <c r="A25" s="7"/>
      <c r="B25" s="13" t="s">
        <v>144</v>
      </c>
      <c r="C25" s="13" t="s">
        <v>146</v>
      </c>
      <c r="D25" s="13" t="s">
        <v>51</v>
      </c>
      <c r="E25" s="13" t="s">
        <v>65</v>
      </c>
      <c r="F25" s="69" t="s">
        <v>68</v>
      </c>
      <c r="G25" s="69">
        <v>512</v>
      </c>
      <c r="H25" s="69" t="s">
        <v>68</v>
      </c>
      <c r="I25" s="70">
        <v>20</v>
      </c>
      <c r="J25" s="75">
        <v>46150</v>
      </c>
      <c r="K25" s="4">
        <v>6209.2</v>
      </c>
      <c r="L25" s="4">
        <v>6321.4</v>
      </c>
      <c r="M25" s="70">
        <v>3</v>
      </c>
      <c r="N25" s="4">
        <f t="shared" si="3"/>
        <v>112.19999999999982</v>
      </c>
      <c r="O25" s="4" t="s">
        <v>68</v>
      </c>
      <c r="P25" s="8">
        <f t="shared" si="4"/>
        <v>57446.399999999907</v>
      </c>
    </row>
    <row r="26" spans="1:16" x14ac:dyDescent="0.25">
      <c r="A26" s="7"/>
      <c r="B26" s="13" t="s">
        <v>144</v>
      </c>
      <c r="C26" s="13" t="s">
        <v>147</v>
      </c>
      <c r="D26" s="13" t="s">
        <v>53</v>
      </c>
      <c r="E26" s="13" t="s">
        <v>65</v>
      </c>
      <c r="F26" s="69" t="s">
        <v>68</v>
      </c>
      <c r="G26" s="69">
        <v>512</v>
      </c>
      <c r="H26" s="69" t="s">
        <v>68</v>
      </c>
      <c r="I26" s="70">
        <v>20</v>
      </c>
      <c r="J26" s="75">
        <v>46151</v>
      </c>
      <c r="K26" s="4">
        <v>1763.1</v>
      </c>
      <c r="L26" s="4">
        <v>1888.9</v>
      </c>
      <c r="M26" s="70">
        <v>3</v>
      </c>
      <c r="N26" s="4">
        <f t="shared" si="3"/>
        <v>125.80000000000018</v>
      </c>
      <c r="O26" s="4" t="s">
        <v>68</v>
      </c>
      <c r="P26" s="8">
        <f t="shared" si="4"/>
        <v>64409.600000000093</v>
      </c>
    </row>
    <row r="27" spans="1:16" x14ac:dyDescent="0.25">
      <c r="A27" s="7"/>
      <c r="B27" s="13" t="s">
        <v>151</v>
      </c>
      <c r="C27" s="13" t="s">
        <v>150</v>
      </c>
      <c r="D27" s="13" t="s">
        <v>51</v>
      </c>
      <c r="E27" s="13" t="s">
        <v>65</v>
      </c>
      <c r="F27" s="69" t="s">
        <v>68</v>
      </c>
      <c r="G27" s="69">
        <v>298</v>
      </c>
      <c r="H27" s="69" t="s">
        <v>68</v>
      </c>
      <c r="I27" s="70">
        <v>20</v>
      </c>
      <c r="J27" s="75">
        <v>46152</v>
      </c>
      <c r="K27" s="4">
        <v>10418.299999999999</v>
      </c>
      <c r="L27" s="4">
        <v>10428.9</v>
      </c>
      <c r="M27" s="70">
        <v>3</v>
      </c>
      <c r="N27" s="4">
        <f t="shared" si="3"/>
        <v>10.600000000000364</v>
      </c>
      <c r="O27" s="4" t="s">
        <v>68</v>
      </c>
      <c r="P27" s="8">
        <f t="shared" si="4"/>
        <v>3158.8000000001084</v>
      </c>
    </row>
    <row r="28" spans="1:16" x14ac:dyDescent="0.25">
      <c r="A28" s="7"/>
      <c r="B28" s="13" t="s">
        <v>161</v>
      </c>
      <c r="C28" s="29" t="s">
        <v>160</v>
      </c>
      <c r="D28" s="13" t="s">
        <v>49</v>
      </c>
      <c r="E28" s="13" t="s">
        <v>65</v>
      </c>
      <c r="F28" s="69" t="s">
        <v>68</v>
      </c>
      <c r="G28" s="69">
        <v>342.88</v>
      </c>
      <c r="H28" s="69" t="s">
        <v>68</v>
      </c>
      <c r="I28" s="70">
        <v>22</v>
      </c>
      <c r="J28" s="75">
        <v>46153</v>
      </c>
      <c r="K28" s="4">
        <v>13562.5</v>
      </c>
      <c r="L28" s="4">
        <v>13569.1</v>
      </c>
      <c r="M28" s="70">
        <v>7</v>
      </c>
      <c r="N28" s="4">
        <f t="shared" si="3"/>
        <v>6.6000000000003638</v>
      </c>
      <c r="O28" s="4" t="s">
        <v>68</v>
      </c>
      <c r="P28" s="8">
        <f t="shared" si="4"/>
        <v>2263.0080000001249</v>
      </c>
    </row>
    <row r="29" spans="1:16" x14ac:dyDescent="0.25">
      <c r="A29" s="7"/>
      <c r="B29" s="10" t="s">
        <v>163</v>
      </c>
      <c r="C29" s="13" t="s">
        <v>162</v>
      </c>
      <c r="D29" s="13" t="s">
        <v>35</v>
      </c>
      <c r="E29" s="13" t="s">
        <v>65</v>
      </c>
      <c r="F29" s="69" t="s">
        <v>68</v>
      </c>
      <c r="G29" s="69">
        <v>512</v>
      </c>
      <c r="H29" s="69" t="s">
        <v>68</v>
      </c>
      <c r="I29" s="70">
        <v>0</v>
      </c>
      <c r="J29" s="75">
        <v>46154</v>
      </c>
      <c r="K29" s="4">
        <v>0</v>
      </c>
      <c r="L29" s="4">
        <v>113</v>
      </c>
      <c r="M29" s="70">
        <v>7</v>
      </c>
      <c r="N29" s="4">
        <f t="shared" si="3"/>
        <v>113</v>
      </c>
      <c r="O29" s="4" t="s">
        <v>68</v>
      </c>
      <c r="P29" s="8">
        <f>N29*G29</f>
        <v>57856</v>
      </c>
    </row>
    <row r="30" spans="1:16" x14ac:dyDescent="0.25">
      <c r="A30" s="7"/>
      <c r="B30" s="100" t="s">
        <v>154</v>
      </c>
      <c r="C30" s="13" t="s">
        <v>153</v>
      </c>
      <c r="D30" s="13" t="s">
        <v>35</v>
      </c>
      <c r="E30" s="13" t="s">
        <v>65</v>
      </c>
      <c r="F30" s="69" t="s">
        <v>68</v>
      </c>
      <c r="G30" s="69">
        <v>298</v>
      </c>
      <c r="H30" s="69" t="s">
        <v>68</v>
      </c>
      <c r="I30" s="70">
        <v>0</v>
      </c>
      <c r="J30" s="75">
        <v>46155</v>
      </c>
      <c r="K30" s="4">
        <v>0</v>
      </c>
      <c r="L30" s="4">
        <v>26.4</v>
      </c>
      <c r="M30" s="70">
        <v>7</v>
      </c>
      <c r="N30" s="4">
        <f t="shared" ref="N30" si="5">L30-K30</f>
        <v>26.4</v>
      </c>
      <c r="O30" s="4" t="s">
        <v>68</v>
      </c>
      <c r="P30" s="8">
        <f t="shared" si="4"/>
        <v>7867.2</v>
      </c>
    </row>
    <row r="31" spans="1:16" x14ac:dyDescent="0.25">
      <c r="A31" s="7"/>
      <c r="B31" s="13" t="s">
        <v>202</v>
      </c>
      <c r="C31" s="13" t="s">
        <v>209</v>
      </c>
      <c r="D31" s="13" t="s">
        <v>233</v>
      </c>
      <c r="E31" s="13" t="s">
        <v>65</v>
      </c>
      <c r="F31" s="69" t="s">
        <v>68</v>
      </c>
      <c r="G31" s="69" t="s">
        <v>68</v>
      </c>
      <c r="H31" s="69">
        <v>100</v>
      </c>
      <c r="I31" s="70" t="s">
        <v>68</v>
      </c>
      <c r="J31" s="75">
        <v>46154</v>
      </c>
      <c r="K31" s="4">
        <v>5223</v>
      </c>
      <c r="L31" s="4">
        <v>5229</v>
      </c>
      <c r="M31" s="70" t="s">
        <v>68</v>
      </c>
      <c r="N31" s="4">
        <f>L31-K31</f>
        <v>6</v>
      </c>
      <c r="O31" s="28">
        <f>235*0.85</f>
        <v>199.75</v>
      </c>
      <c r="P31" s="8">
        <f>O31*H31</f>
        <v>19975</v>
      </c>
    </row>
    <row r="32" spans="1:16" x14ac:dyDescent="0.25">
      <c r="A32" s="7"/>
      <c r="B32" s="13" t="s">
        <v>202</v>
      </c>
      <c r="C32" s="13" t="s">
        <v>213</v>
      </c>
      <c r="D32" s="13" t="s">
        <v>233</v>
      </c>
      <c r="E32" s="13" t="s">
        <v>65</v>
      </c>
      <c r="F32" s="69" t="s">
        <v>68</v>
      </c>
      <c r="G32" s="69" t="s">
        <v>68</v>
      </c>
      <c r="H32" s="69">
        <v>100</v>
      </c>
      <c r="I32" s="70" t="s">
        <v>68</v>
      </c>
      <c r="J32" s="75">
        <v>46155</v>
      </c>
      <c r="K32" s="4">
        <v>507</v>
      </c>
      <c r="L32" s="4">
        <v>638</v>
      </c>
      <c r="M32" s="70" t="s">
        <v>68</v>
      </c>
      <c r="N32" s="4">
        <f>L32-K32</f>
        <v>131</v>
      </c>
      <c r="O32" s="28">
        <f>2769*0.85</f>
        <v>2353.65</v>
      </c>
      <c r="P32" s="8">
        <f>O32*H32</f>
        <v>235365</v>
      </c>
    </row>
    <row r="33" spans="1:17" x14ac:dyDescent="0.25">
      <c r="A33" s="7"/>
      <c r="B33" s="13" t="s">
        <v>234</v>
      </c>
      <c r="C33" s="13" t="s">
        <v>117</v>
      </c>
      <c r="D33" s="13" t="s">
        <v>53</v>
      </c>
      <c r="E33" s="13" t="s">
        <v>65</v>
      </c>
      <c r="F33" s="69" t="s">
        <v>68</v>
      </c>
      <c r="G33" s="69">
        <v>400</v>
      </c>
      <c r="H33" s="69" t="s">
        <v>68</v>
      </c>
      <c r="I33" s="70">
        <v>20</v>
      </c>
      <c r="J33" s="75">
        <v>46156</v>
      </c>
      <c r="K33" s="4">
        <v>9551.2999999999993</v>
      </c>
      <c r="L33" s="4">
        <v>9574.9</v>
      </c>
      <c r="M33" s="70">
        <v>3</v>
      </c>
      <c r="N33" s="4">
        <f>L33-K33</f>
        <v>23.600000000000364</v>
      </c>
      <c r="O33" s="4" t="s">
        <v>68</v>
      </c>
      <c r="P33" s="8">
        <f>G33*N33</f>
        <v>9440.0000000001455</v>
      </c>
    </row>
    <row r="34" spans="1:17" x14ac:dyDescent="0.25">
      <c r="A34" s="76"/>
      <c r="B34" s="13" t="s">
        <v>116</v>
      </c>
      <c r="C34" s="13" t="s">
        <v>115</v>
      </c>
      <c r="D34" s="13" t="s">
        <v>46</v>
      </c>
      <c r="E34" s="13" t="s">
        <v>65</v>
      </c>
      <c r="F34" s="69" t="s">
        <v>68</v>
      </c>
      <c r="G34" s="69">
        <v>400</v>
      </c>
      <c r="H34" s="69" t="s">
        <v>68</v>
      </c>
      <c r="I34" s="70">
        <v>20</v>
      </c>
      <c r="J34" s="75">
        <v>46157</v>
      </c>
      <c r="K34" s="4">
        <v>13205.9</v>
      </c>
      <c r="L34" s="4">
        <v>13242.9</v>
      </c>
      <c r="M34" s="70">
        <v>3</v>
      </c>
      <c r="N34" s="4">
        <f>L34-K34</f>
        <v>37</v>
      </c>
      <c r="O34" s="4" t="s">
        <v>68</v>
      </c>
      <c r="P34" s="8">
        <f>G34*N34</f>
        <v>14800</v>
      </c>
    </row>
    <row r="35" spans="1:17" x14ac:dyDescent="0.25">
      <c r="A35" s="76"/>
      <c r="B35" s="13" t="s">
        <v>184</v>
      </c>
      <c r="C35" s="29" t="s">
        <v>183</v>
      </c>
      <c r="D35" s="13" t="s">
        <v>49</v>
      </c>
      <c r="E35" s="13" t="s">
        <v>65</v>
      </c>
      <c r="F35" s="69" t="s">
        <v>68</v>
      </c>
      <c r="G35" s="69">
        <v>512</v>
      </c>
      <c r="H35" s="69" t="s">
        <v>68</v>
      </c>
      <c r="I35" s="70">
        <v>20</v>
      </c>
      <c r="J35" s="75">
        <v>46158</v>
      </c>
      <c r="K35" s="4">
        <v>5098</v>
      </c>
      <c r="L35" s="4">
        <v>5158</v>
      </c>
      <c r="M35" s="70">
        <v>3</v>
      </c>
      <c r="N35" s="4">
        <f>L35-K35</f>
        <v>60</v>
      </c>
      <c r="O35" s="4" t="s">
        <v>68</v>
      </c>
      <c r="P35" s="112">
        <f>G35*N35</f>
        <v>30720</v>
      </c>
    </row>
    <row r="36" spans="1:17" x14ac:dyDescent="0.25">
      <c r="A36" s="76"/>
      <c r="B36" s="14"/>
      <c r="C36" s="14"/>
      <c r="D36" s="14"/>
      <c r="E36" s="14"/>
      <c r="F36" s="6"/>
      <c r="G36" s="6"/>
      <c r="H36" s="6"/>
      <c r="I36" s="2"/>
      <c r="J36" s="78"/>
      <c r="K36" s="2"/>
      <c r="L36" s="2"/>
      <c r="M36" s="2"/>
      <c r="N36" s="2"/>
      <c r="O36" s="2"/>
      <c r="P36" s="111">
        <f>SUBTOTAL(9,P2:P35)</f>
        <v>794456.2080000008</v>
      </c>
    </row>
    <row r="37" spans="1:17" x14ac:dyDescent="0.25">
      <c r="A37" s="76"/>
      <c r="B37" s="14"/>
      <c r="C37" s="14"/>
      <c r="D37" s="14"/>
      <c r="E37" s="14"/>
      <c r="F37" s="6"/>
      <c r="G37" s="6"/>
      <c r="H37" s="6"/>
      <c r="I37" s="2"/>
      <c r="J37" s="78"/>
      <c r="K37" s="2"/>
      <c r="L37" s="2"/>
      <c r="M37" s="2"/>
      <c r="N37" s="2"/>
      <c r="O37" s="2"/>
      <c r="P37" s="6"/>
    </row>
    <row r="38" spans="1:17" x14ac:dyDescent="0.25">
      <c r="A38" s="76"/>
      <c r="B38" s="14"/>
      <c r="C38" s="14"/>
      <c r="D38" s="14"/>
      <c r="E38" s="14"/>
      <c r="F38" s="14"/>
      <c r="G38" s="14"/>
      <c r="H38" s="14"/>
      <c r="I38" s="14"/>
      <c r="J38" s="77"/>
      <c r="K38" s="14"/>
      <c r="L38" s="14"/>
      <c r="M38" s="14"/>
      <c r="N38" s="2"/>
      <c r="O38" s="115" t="s">
        <v>235</v>
      </c>
      <c r="P38" s="115"/>
      <c r="Q38" s="2"/>
    </row>
    <row r="39" spans="1:17" hidden="1" x14ac:dyDescent="0.25">
      <c r="A39" s="76"/>
      <c r="C39" s="14"/>
      <c r="D39" s="14"/>
      <c r="E39" s="14"/>
      <c r="F39" s="6"/>
      <c r="G39" s="6"/>
      <c r="H39" s="6"/>
      <c r="I39" s="2"/>
      <c r="J39" s="78"/>
      <c r="K39" s="2"/>
      <c r="L39" s="2"/>
      <c r="M39" s="2"/>
      <c r="N39" s="2"/>
      <c r="O39" s="2"/>
      <c r="P39" s="79">
        <f>SUM(P2:P17)</f>
        <v>838748.7839999994</v>
      </c>
    </row>
    <row r="40" spans="1:17" hidden="1" x14ac:dyDescent="0.25">
      <c r="A40" s="76"/>
      <c r="B40" s="25" t="s">
        <v>236</v>
      </c>
      <c r="C40" s="14" t="s">
        <v>237</v>
      </c>
      <c r="D40" s="14"/>
      <c r="E40" s="14"/>
      <c r="F40" s="6"/>
      <c r="G40" s="6"/>
      <c r="H40" s="6"/>
      <c r="I40" s="2"/>
      <c r="J40" s="78"/>
      <c r="K40" s="2"/>
      <c r="L40" s="2"/>
      <c r="M40" s="2"/>
      <c r="N40" s="2"/>
      <c r="O40" s="2" t="s">
        <v>238</v>
      </c>
      <c r="P40" s="6">
        <v>82610.8</v>
      </c>
      <c r="Q40" s="25" t="s">
        <v>239</v>
      </c>
    </row>
    <row r="41" spans="1:17" hidden="1" x14ac:dyDescent="0.25">
      <c r="B41" t="s">
        <v>236</v>
      </c>
      <c r="C41" s="14" t="s">
        <v>240</v>
      </c>
      <c r="D41" s="14"/>
      <c r="E41" s="14"/>
      <c r="F41" s="6"/>
      <c r="G41" s="6"/>
      <c r="H41" s="6"/>
      <c r="I41" s="2"/>
      <c r="J41" s="78"/>
      <c r="K41" s="2"/>
      <c r="L41" s="2"/>
      <c r="M41" s="2"/>
      <c r="N41" s="2"/>
      <c r="O41" s="2" t="s">
        <v>241</v>
      </c>
      <c r="P41" s="6">
        <v>110585</v>
      </c>
    </row>
    <row r="42" spans="1:17" hidden="1" x14ac:dyDescent="0.25">
      <c r="B42" t="s">
        <v>236</v>
      </c>
      <c r="C42" t="s">
        <v>242</v>
      </c>
      <c r="O42" s="31">
        <v>0</v>
      </c>
      <c r="P42" s="30">
        <v>0</v>
      </c>
    </row>
    <row r="43" spans="1:17" hidden="1" x14ac:dyDescent="0.25">
      <c r="B43" t="s">
        <v>236</v>
      </c>
      <c r="C43" t="s">
        <v>243</v>
      </c>
      <c r="O43" s="31" t="s">
        <v>244</v>
      </c>
      <c r="P43" s="30">
        <v>87531.199999999997</v>
      </c>
    </row>
    <row r="44" spans="1:17" x14ac:dyDescent="0.25">
      <c r="O44" s="31"/>
      <c r="P44" s="32"/>
    </row>
    <row r="45" spans="1:17" x14ac:dyDescent="0.25">
      <c r="C45" s="30"/>
    </row>
    <row r="47" spans="1:17" x14ac:dyDescent="0.25">
      <c r="I47" t="s">
        <v>245</v>
      </c>
    </row>
  </sheetData>
  <autoFilter ref="A1:P35" xr:uid="{A9F9E0A8-D862-4A63-9681-93579215C243}">
    <filterColumn colId="9">
      <filters>
        <dateGroupItem year="2026" month="5" dateTimeGrouping="month"/>
      </filters>
    </filterColumn>
  </autoFilter>
  <mergeCells count="1">
    <mergeCell ref="O38:P38"/>
  </mergeCells>
  <hyperlinks>
    <hyperlink ref="B17" r:id="rId1" xr:uid="{0A3C6410-A9E0-4961-9E31-3CE204DDD09E}"/>
    <hyperlink ref="B15" r:id="rId2" xr:uid="{028D5AD1-B737-48CF-9054-73FA52D2D299}"/>
    <hyperlink ref="B16" r:id="rId3" xr:uid="{86A13502-7C85-4FAD-B423-8D95A086B6A4}"/>
    <hyperlink ref="B35" r:id="rId4" xr:uid="{8FC8A4A8-3763-4303-826B-9CC6DDB5278A}"/>
    <hyperlink ref="B33" r:id="rId5" xr:uid="{9869C6E5-7A81-428B-9DCC-515847F7FAA8}"/>
    <hyperlink ref="B34" r:id="rId6" xr:uid="{0C44FD83-49BD-4E92-8935-5684A3850AF1}"/>
    <hyperlink ref="B29" r:id="rId7" xr:uid="{04C24D11-0DB6-47D1-BE32-EA6840C0AA25}"/>
  </hyperlinks>
  <printOptions horizontalCentered="1"/>
  <pageMargins left="0.19685039370078741" right="0.19685039370078741" top="0.19685039370078741" bottom="0.19685039370078741" header="0" footer="0"/>
  <pageSetup paperSize="9" orientation="landscape" r:id="rId8"/>
  <colBreaks count="1" manualBreakCount="1">
    <brk id="16" max="1048575" man="1"/>
  </colBreaks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DBDB-DDEC-458E-B995-431B6AA7DA04}">
  <sheetPr>
    <tabColor theme="1"/>
    <pageSetUpPr fitToPage="1"/>
  </sheetPr>
  <dimension ref="A1:C17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5" sqref="A5"/>
    </sheetView>
  </sheetViews>
  <sheetFormatPr defaultColWidth="8.85546875" defaultRowHeight="15" x14ac:dyDescent="0.25"/>
  <cols>
    <col min="1" max="1" width="35.28515625" style="21" customWidth="1"/>
    <col min="2" max="2" width="38.5703125" style="22" bestFit="1" customWidth="1"/>
    <col min="3" max="3" width="21.28515625" style="22" customWidth="1"/>
    <col min="4" max="16384" width="8.85546875" style="21"/>
  </cols>
  <sheetData>
    <row r="1" spans="1:3" ht="15" customHeight="1" x14ac:dyDescent="0.25">
      <c r="A1" s="80" t="s">
        <v>1</v>
      </c>
      <c r="B1" s="21" t="s">
        <v>246</v>
      </c>
    </row>
    <row r="2" spans="1:3" ht="15" customHeight="1" x14ac:dyDescent="0.25">
      <c r="A2" s="80" t="s">
        <v>10</v>
      </c>
      <c r="B2" s="21" t="s">
        <v>246</v>
      </c>
    </row>
    <row r="3" spans="1:3" ht="15" customHeight="1" x14ac:dyDescent="0.25">
      <c r="A3" s="80" t="s">
        <v>8</v>
      </c>
      <c r="B3" s="21" t="s">
        <v>246</v>
      </c>
    </row>
    <row r="4" spans="1:3" s="51" customFormat="1" ht="14.45" customHeight="1" x14ac:dyDescent="0.25">
      <c r="A4" s="21"/>
      <c r="B4" s="21"/>
      <c r="C4" s="21"/>
    </row>
    <row r="5" spans="1:3" ht="15" customHeight="1" x14ac:dyDescent="0.25">
      <c r="A5" s="81" t="s">
        <v>247</v>
      </c>
      <c r="B5" s="21" t="s">
        <v>248</v>
      </c>
      <c r="C5"/>
    </row>
    <row r="6" spans="1:3" ht="15" customHeight="1" x14ac:dyDescent="0.25">
      <c r="A6" s="82" t="s">
        <v>101</v>
      </c>
      <c r="B6" s="83">
        <v>47000</v>
      </c>
      <c r="C6"/>
    </row>
    <row r="7" spans="1:3" ht="15" customHeight="1" x14ac:dyDescent="0.25">
      <c r="A7" s="84" t="s">
        <v>102</v>
      </c>
      <c r="B7" s="85">
        <v>47000</v>
      </c>
      <c r="C7"/>
    </row>
    <row r="8" spans="1:3" ht="15" customHeight="1" x14ac:dyDescent="0.25">
      <c r="A8" s="82" t="s">
        <v>55</v>
      </c>
      <c r="B8" s="83">
        <v>53833.333333333343</v>
      </c>
      <c r="C8"/>
    </row>
    <row r="9" spans="1:3" ht="15" customHeight="1" x14ac:dyDescent="0.25">
      <c r="A9" s="84" t="s">
        <v>56</v>
      </c>
      <c r="B9" s="85">
        <v>53833.333333333343</v>
      </c>
      <c r="C9"/>
    </row>
    <row r="10" spans="1:3" ht="15" customHeight="1" x14ac:dyDescent="0.25">
      <c r="A10" s="82" t="s">
        <v>46</v>
      </c>
      <c r="B10" s="83">
        <v>79033.333333333343</v>
      </c>
      <c r="C10"/>
    </row>
    <row r="11" spans="1:3" ht="15" customHeight="1" x14ac:dyDescent="0.25">
      <c r="A11" s="84" t="s">
        <v>62</v>
      </c>
      <c r="B11" s="85">
        <v>76950.000000000015</v>
      </c>
      <c r="C11"/>
    </row>
    <row r="12" spans="1:3" ht="15" customHeight="1" x14ac:dyDescent="0.25">
      <c r="A12" s="84" t="s">
        <v>36</v>
      </c>
      <c r="B12" s="85">
        <v>2083.3333333333335</v>
      </c>
      <c r="C12"/>
    </row>
    <row r="13" spans="1:3" ht="15" customHeight="1" x14ac:dyDescent="0.25">
      <c r="A13" s="82" t="s">
        <v>49</v>
      </c>
      <c r="B13" s="83">
        <v>113300</v>
      </c>
      <c r="C13"/>
    </row>
    <row r="14" spans="1:3" ht="15" customHeight="1" x14ac:dyDescent="0.25">
      <c r="A14" s="84" t="s">
        <v>62</v>
      </c>
      <c r="B14" s="85">
        <v>67825</v>
      </c>
      <c r="C14"/>
    </row>
    <row r="15" spans="1:3" ht="15" customHeight="1" x14ac:dyDescent="0.25">
      <c r="A15" s="84" t="s">
        <v>36</v>
      </c>
      <c r="B15" s="85">
        <v>45475</v>
      </c>
      <c r="C15"/>
    </row>
    <row r="16" spans="1:3" ht="15" customHeight="1" x14ac:dyDescent="0.25">
      <c r="A16" s="82" t="s">
        <v>51</v>
      </c>
      <c r="B16" s="83">
        <v>46316.666666666672</v>
      </c>
      <c r="C16"/>
    </row>
    <row r="17" spans="1:3" ht="15" customHeight="1" x14ac:dyDescent="0.25">
      <c r="A17" s="84" t="s">
        <v>62</v>
      </c>
      <c r="B17" s="85">
        <v>44233.333333333336</v>
      </c>
      <c r="C17"/>
    </row>
    <row r="18" spans="1:3" ht="15" customHeight="1" x14ac:dyDescent="0.25">
      <c r="A18" s="84" t="s">
        <v>36</v>
      </c>
      <c r="B18" s="85">
        <v>2083.3333333333335</v>
      </c>
      <c r="C18"/>
    </row>
    <row r="19" spans="1:3" ht="15" customHeight="1" x14ac:dyDescent="0.25">
      <c r="A19" s="82" t="s">
        <v>53</v>
      </c>
      <c r="B19" s="83">
        <v>216647.91666666669</v>
      </c>
      <c r="C19"/>
    </row>
    <row r="20" spans="1:3" ht="15" customHeight="1" x14ac:dyDescent="0.25">
      <c r="A20" s="84" t="s">
        <v>62</v>
      </c>
      <c r="B20" s="85">
        <v>135033.33333333334</v>
      </c>
      <c r="C20"/>
    </row>
    <row r="21" spans="1:3" ht="15" customHeight="1" x14ac:dyDescent="0.25">
      <c r="A21" s="84" t="s">
        <v>36</v>
      </c>
      <c r="B21" s="85">
        <v>81614.583333333328</v>
      </c>
      <c r="C21"/>
    </row>
    <row r="22" spans="1:3" ht="15" customHeight="1" x14ac:dyDescent="0.25">
      <c r="A22" s="82" t="s">
        <v>126</v>
      </c>
      <c r="B22" s="83">
        <v>6658.3333333333339</v>
      </c>
      <c r="C22"/>
    </row>
    <row r="23" spans="1:3" ht="15" customHeight="1" x14ac:dyDescent="0.25">
      <c r="A23" s="84" t="s">
        <v>62</v>
      </c>
      <c r="B23" s="85">
        <v>6658.3333333333339</v>
      </c>
      <c r="C23"/>
    </row>
    <row r="24" spans="1:3" ht="15" customHeight="1" x14ac:dyDescent="0.25">
      <c r="A24" s="82" t="s">
        <v>148</v>
      </c>
      <c r="B24" s="83">
        <v>17850.000000000036</v>
      </c>
      <c r="C24"/>
    </row>
    <row r="25" spans="1:3" ht="15" customHeight="1" x14ac:dyDescent="0.25">
      <c r="A25" s="84" t="s">
        <v>102</v>
      </c>
      <c r="B25" s="85">
        <v>17850.000000000036</v>
      </c>
      <c r="C25"/>
    </row>
    <row r="26" spans="1:3" ht="15" customHeight="1" x14ac:dyDescent="0.25">
      <c r="A26" s="82" t="s">
        <v>107</v>
      </c>
      <c r="B26" s="83">
        <v>47000</v>
      </c>
      <c r="C26"/>
    </row>
    <row r="27" spans="1:3" ht="15" customHeight="1" x14ac:dyDescent="0.25">
      <c r="A27" s="84" t="s">
        <v>102</v>
      </c>
      <c r="B27" s="85">
        <v>47000</v>
      </c>
      <c r="C27"/>
    </row>
    <row r="28" spans="1:3" ht="15" customHeight="1" x14ac:dyDescent="0.25">
      <c r="A28" s="82" t="s">
        <v>137</v>
      </c>
      <c r="B28" s="83">
        <v>35541.666666666672</v>
      </c>
      <c r="C28"/>
    </row>
    <row r="29" spans="1:3" ht="15" customHeight="1" x14ac:dyDescent="0.25">
      <c r="A29" s="84" t="s">
        <v>102</v>
      </c>
      <c r="B29" s="85">
        <v>20833.333333333336</v>
      </c>
      <c r="C29"/>
    </row>
    <row r="30" spans="1:3" ht="15" customHeight="1" x14ac:dyDescent="0.25">
      <c r="A30" s="84" t="s">
        <v>156</v>
      </c>
      <c r="B30" s="85">
        <v>14708.333333333336</v>
      </c>
      <c r="C30"/>
    </row>
    <row r="31" spans="1:3" ht="15" customHeight="1" x14ac:dyDescent="0.25">
      <c r="A31" s="82" t="s">
        <v>204</v>
      </c>
      <c r="B31" s="83">
        <v>76000</v>
      </c>
      <c r="C31"/>
    </row>
    <row r="32" spans="1:3" ht="15" customHeight="1" x14ac:dyDescent="0.25">
      <c r="A32" s="84" t="s">
        <v>205</v>
      </c>
      <c r="B32" s="85">
        <v>76000</v>
      </c>
      <c r="C32"/>
    </row>
    <row r="33" spans="1:3" ht="15" customHeight="1" x14ac:dyDescent="0.25">
      <c r="A33" s="82" t="s">
        <v>61</v>
      </c>
      <c r="B33" s="83">
        <v>100200</v>
      </c>
      <c r="C33"/>
    </row>
    <row r="34" spans="1:3" ht="15" customHeight="1" x14ac:dyDescent="0.25">
      <c r="A34" s="84" t="s">
        <v>62</v>
      </c>
      <c r="B34" s="85">
        <v>93700</v>
      </c>
      <c r="C34"/>
    </row>
    <row r="35" spans="1:3" ht="15" customHeight="1" x14ac:dyDescent="0.25">
      <c r="A35" s="84" t="s">
        <v>36</v>
      </c>
      <c r="B35" s="85">
        <v>6500.0000000000009</v>
      </c>
      <c r="C35"/>
    </row>
    <row r="36" spans="1:3" ht="15" customHeight="1" x14ac:dyDescent="0.25">
      <c r="A36" s="82" t="s">
        <v>35</v>
      </c>
      <c r="B36" s="83">
        <v>271022.91666666669</v>
      </c>
      <c r="C36"/>
    </row>
    <row r="37" spans="1:3" ht="15" customHeight="1" x14ac:dyDescent="0.25">
      <c r="A37" s="84" t="s">
        <v>62</v>
      </c>
      <c r="B37" s="85">
        <v>101075.00000000001</v>
      </c>
      <c r="C37"/>
    </row>
    <row r="38" spans="1:3" ht="15" customHeight="1" x14ac:dyDescent="0.25">
      <c r="A38" s="84" t="s">
        <v>36</v>
      </c>
      <c r="B38" s="85">
        <v>149114.58333333334</v>
      </c>
      <c r="C38"/>
    </row>
    <row r="39" spans="1:3" ht="15" customHeight="1" x14ac:dyDescent="0.25">
      <c r="A39" s="84" t="s">
        <v>139</v>
      </c>
      <c r="B39" s="85">
        <v>20833.333333333336</v>
      </c>
      <c r="C39"/>
    </row>
    <row r="40" spans="1:3" ht="15" customHeight="1" x14ac:dyDescent="0.25">
      <c r="A40" s="82" t="s">
        <v>109</v>
      </c>
      <c r="B40" s="83">
        <v>107333.33333333334</v>
      </c>
      <c r="C40"/>
    </row>
    <row r="41" spans="1:3" ht="15" customHeight="1" x14ac:dyDescent="0.25">
      <c r="A41" s="84" t="s">
        <v>102</v>
      </c>
      <c r="B41" s="85">
        <v>107333.33333333334</v>
      </c>
      <c r="C41"/>
    </row>
    <row r="42" spans="1:3" ht="15" customHeight="1" x14ac:dyDescent="0.25">
      <c r="A42" s="82" t="s">
        <v>38</v>
      </c>
      <c r="B42" s="85">
        <v>72158.333333333328</v>
      </c>
      <c r="C42"/>
    </row>
    <row r="43" spans="1:3" ht="15" customHeight="1" x14ac:dyDescent="0.25">
      <c r="A43" s="84" t="s">
        <v>62</v>
      </c>
      <c r="B43" s="85">
        <v>63825</v>
      </c>
      <c r="C43"/>
    </row>
    <row r="44" spans="1:3" ht="15" customHeight="1" x14ac:dyDescent="0.25">
      <c r="A44" s="84" t="s">
        <v>36</v>
      </c>
      <c r="B44" s="85">
        <v>8333.3333333333339</v>
      </c>
      <c r="C44"/>
    </row>
    <row r="45" spans="1:3" ht="15" customHeight="1" x14ac:dyDescent="0.25">
      <c r="A45" s="82" t="s">
        <v>176</v>
      </c>
      <c r="B45" s="85">
        <v>2166.666666666667</v>
      </c>
      <c r="C45"/>
    </row>
    <row r="46" spans="1:3" ht="15" customHeight="1" x14ac:dyDescent="0.25">
      <c r="A46" s="84" t="s">
        <v>62</v>
      </c>
      <c r="B46" s="85">
        <v>2166.666666666667</v>
      </c>
      <c r="C46"/>
    </row>
    <row r="47" spans="1:3" ht="15" customHeight="1" x14ac:dyDescent="0.25">
      <c r="A47" s="86" t="s">
        <v>249</v>
      </c>
      <c r="B47" s="87">
        <v>1292062.5</v>
      </c>
      <c r="C47"/>
    </row>
    <row r="48" spans="1:3" ht="14.45" customHeight="1" x14ac:dyDescent="0.25">
      <c r="A48"/>
      <c r="B48"/>
      <c r="C48"/>
    </row>
    <row r="49" spans="1:3" ht="14.45" customHeight="1" x14ac:dyDescent="0.25">
      <c r="A49"/>
      <c r="B49"/>
      <c r="C49"/>
    </row>
    <row r="50" spans="1:3" ht="14.45" customHeight="1" x14ac:dyDescent="0.25">
      <c r="A50"/>
      <c r="B50"/>
      <c r="C50"/>
    </row>
    <row r="51" spans="1:3" ht="14.45" customHeight="1" x14ac:dyDescent="0.25">
      <c r="A51"/>
      <c r="B51"/>
      <c r="C51"/>
    </row>
    <row r="52" spans="1:3" ht="14.45" customHeight="1" x14ac:dyDescent="0.25">
      <c r="A52"/>
      <c r="B52"/>
      <c r="C52"/>
    </row>
    <row r="53" spans="1:3" ht="14.45" customHeight="1" x14ac:dyDescent="0.25">
      <c r="A53"/>
      <c r="B53"/>
      <c r="C53"/>
    </row>
    <row r="54" spans="1:3" ht="14.45" customHeight="1" x14ac:dyDescent="0.25">
      <c r="A54"/>
      <c r="B54"/>
      <c r="C54"/>
    </row>
    <row r="55" spans="1:3" ht="14.45" customHeight="1" x14ac:dyDescent="0.25">
      <c r="A55"/>
      <c r="B55"/>
      <c r="C55"/>
    </row>
    <row r="56" spans="1:3" ht="14.45" customHeight="1" x14ac:dyDescent="0.25">
      <c r="A56"/>
      <c r="B56"/>
      <c r="C56"/>
    </row>
    <row r="57" spans="1:3" ht="14.45" customHeight="1" x14ac:dyDescent="0.25">
      <c r="A57"/>
      <c r="B57"/>
      <c r="C57"/>
    </row>
    <row r="58" spans="1:3" ht="14.45" customHeight="1" x14ac:dyDescent="0.25">
      <c r="A58"/>
      <c r="B58"/>
      <c r="C58"/>
    </row>
    <row r="59" spans="1:3" ht="14.45" customHeight="1" x14ac:dyDescent="0.25">
      <c r="A59"/>
      <c r="B59"/>
      <c r="C59"/>
    </row>
    <row r="60" spans="1:3" ht="14.45" customHeight="1" x14ac:dyDescent="0.25">
      <c r="A60"/>
      <c r="B60"/>
      <c r="C60"/>
    </row>
    <row r="61" spans="1:3" ht="14.45" customHeight="1" x14ac:dyDescent="0.25">
      <c r="A61"/>
      <c r="B61"/>
      <c r="C61"/>
    </row>
    <row r="62" spans="1:3" ht="14.45" customHeight="1" x14ac:dyDescent="0.25">
      <c r="A62"/>
      <c r="B62"/>
      <c r="C62"/>
    </row>
    <row r="63" spans="1:3" ht="14.45" customHeight="1" x14ac:dyDescent="0.25">
      <c r="A63"/>
      <c r="B63"/>
      <c r="C63"/>
    </row>
    <row r="64" spans="1:3" ht="14.45" customHeight="1" x14ac:dyDescent="0.25">
      <c r="A64"/>
      <c r="B64"/>
      <c r="C64"/>
    </row>
    <row r="65" spans="1:3" ht="14.45" customHeight="1" x14ac:dyDescent="0.25">
      <c r="A65"/>
      <c r="B65"/>
      <c r="C65"/>
    </row>
    <row r="66" spans="1:3" ht="14.45" customHeight="1" x14ac:dyDescent="0.25">
      <c r="A66"/>
      <c r="B66"/>
      <c r="C66"/>
    </row>
    <row r="67" spans="1:3" ht="14.45" customHeight="1" x14ac:dyDescent="0.25">
      <c r="A67"/>
      <c r="B67"/>
      <c r="C67"/>
    </row>
    <row r="68" spans="1:3" ht="14.45" customHeight="1" x14ac:dyDescent="0.25">
      <c r="A68"/>
      <c r="B68"/>
      <c r="C68"/>
    </row>
    <row r="69" spans="1:3" ht="14.45" customHeight="1" x14ac:dyDescent="0.25">
      <c r="A69"/>
      <c r="B69"/>
      <c r="C69"/>
    </row>
    <row r="70" spans="1:3" ht="14.45" customHeight="1" x14ac:dyDescent="0.25">
      <c r="A70"/>
      <c r="B70"/>
      <c r="C70"/>
    </row>
    <row r="71" spans="1:3" ht="14.45" customHeight="1" x14ac:dyDescent="0.25">
      <c r="A71"/>
      <c r="B71"/>
      <c r="C71"/>
    </row>
    <row r="72" spans="1:3" ht="14.45" customHeight="1" x14ac:dyDescent="0.25">
      <c r="A72"/>
      <c r="B72"/>
      <c r="C72"/>
    </row>
    <row r="73" spans="1:3" ht="14.45" customHeight="1" x14ac:dyDescent="0.25">
      <c r="A73"/>
      <c r="B73"/>
      <c r="C73"/>
    </row>
    <row r="74" spans="1:3" ht="14.45" customHeight="1" x14ac:dyDescent="0.25">
      <c r="A74"/>
      <c r="B74"/>
      <c r="C74"/>
    </row>
    <row r="75" spans="1:3" ht="14.45" customHeight="1" x14ac:dyDescent="0.25">
      <c r="A75"/>
      <c r="B75"/>
      <c r="C75"/>
    </row>
    <row r="76" spans="1:3" ht="14.45" customHeight="1" x14ac:dyDescent="0.25">
      <c r="A76"/>
      <c r="B76"/>
      <c r="C76"/>
    </row>
    <row r="77" spans="1:3" ht="14.45" customHeight="1" x14ac:dyDescent="0.25">
      <c r="A77"/>
      <c r="B77"/>
      <c r="C77"/>
    </row>
    <row r="78" spans="1:3" ht="14.45" customHeight="1" x14ac:dyDescent="0.25">
      <c r="A78"/>
      <c r="B78"/>
      <c r="C78"/>
    </row>
    <row r="79" spans="1:3" ht="14.45" customHeight="1" x14ac:dyDescent="0.25">
      <c r="A79"/>
      <c r="B79"/>
      <c r="C79"/>
    </row>
    <row r="80" spans="1:3" ht="14.45" customHeight="1" x14ac:dyDescent="0.25">
      <c r="A80"/>
      <c r="B80"/>
      <c r="C80"/>
    </row>
    <row r="81" spans="1:3" ht="14.45" customHeight="1" x14ac:dyDescent="0.25">
      <c r="A81"/>
      <c r="B81"/>
      <c r="C81"/>
    </row>
    <row r="82" spans="1:3" ht="14.45" customHeight="1" x14ac:dyDescent="0.25">
      <c r="A82"/>
      <c r="B82"/>
      <c r="C82"/>
    </row>
    <row r="83" spans="1:3" ht="14.45" customHeight="1" x14ac:dyDescent="0.25">
      <c r="A83"/>
      <c r="B83"/>
      <c r="C83"/>
    </row>
    <row r="84" spans="1:3" ht="14.45" customHeight="1" x14ac:dyDescent="0.25">
      <c r="A84"/>
      <c r="B84"/>
      <c r="C84"/>
    </row>
    <row r="85" spans="1:3" ht="14.45" customHeight="1" x14ac:dyDescent="0.25">
      <c r="A85"/>
      <c r="B85"/>
      <c r="C85"/>
    </row>
    <row r="86" spans="1:3" ht="14.45" customHeight="1" x14ac:dyDescent="0.25">
      <c r="A86"/>
      <c r="B86"/>
      <c r="C86"/>
    </row>
    <row r="87" spans="1:3" ht="14.45" customHeight="1" x14ac:dyDescent="0.25">
      <c r="A87"/>
      <c r="B87"/>
      <c r="C87"/>
    </row>
    <row r="88" spans="1:3" ht="14.45" customHeight="1" x14ac:dyDescent="0.25">
      <c r="A88"/>
      <c r="B88"/>
      <c r="C88"/>
    </row>
    <row r="89" spans="1:3" ht="14.45" customHeight="1" x14ac:dyDescent="0.25">
      <c r="A89"/>
      <c r="B89"/>
      <c r="C89"/>
    </row>
    <row r="90" spans="1:3" ht="14.45" customHeight="1" x14ac:dyDescent="0.25">
      <c r="A90"/>
      <c r="B90"/>
      <c r="C90"/>
    </row>
    <row r="91" spans="1:3" ht="14.45" customHeight="1" x14ac:dyDescent="0.25">
      <c r="A91"/>
      <c r="B91"/>
      <c r="C91"/>
    </row>
    <row r="92" spans="1:3" ht="14.45" customHeight="1" x14ac:dyDescent="0.25">
      <c r="A92"/>
      <c r="B92"/>
      <c r="C92"/>
    </row>
    <row r="93" spans="1:3" ht="14.45" customHeight="1" x14ac:dyDescent="0.25">
      <c r="A93"/>
      <c r="B93"/>
      <c r="C93"/>
    </row>
    <row r="94" spans="1:3" ht="14.45" customHeight="1" x14ac:dyDescent="0.25">
      <c r="A94"/>
      <c r="B94"/>
      <c r="C94"/>
    </row>
    <row r="95" spans="1:3" ht="14.45" customHeight="1" x14ac:dyDescent="0.25">
      <c r="A95"/>
      <c r="B95"/>
      <c r="C95"/>
    </row>
    <row r="96" spans="1:3" ht="14.45" customHeight="1" x14ac:dyDescent="0.25">
      <c r="A96"/>
      <c r="B96"/>
      <c r="C96"/>
    </row>
    <row r="97" spans="1:3" ht="14.45" customHeight="1" x14ac:dyDescent="0.25">
      <c r="A97"/>
      <c r="B97"/>
      <c r="C97"/>
    </row>
    <row r="98" spans="1:3" ht="14.45" customHeight="1" x14ac:dyDescent="0.25">
      <c r="A98"/>
      <c r="B98"/>
      <c r="C98"/>
    </row>
    <row r="99" spans="1:3" ht="14.45" customHeight="1" x14ac:dyDescent="0.25">
      <c r="A99"/>
      <c r="B99"/>
      <c r="C99"/>
    </row>
    <row r="100" spans="1:3" ht="14.45" customHeight="1" x14ac:dyDescent="0.25">
      <c r="A100"/>
      <c r="B100"/>
      <c r="C100"/>
    </row>
    <row r="101" spans="1:3" x14ac:dyDescent="0.25">
      <c r="A101"/>
      <c r="B101"/>
      <c r="C101"/>
    </row>
    <row r="102" spans="1:3" x14ac:dyDescent="0.25">
      <c r="A102"/>
      <c r="B102"/>
      <c r="C102"/>
    </row>
    <row r="103" spans="1:3" x14ac:dyDescent="0.25">
      <c r="A103"/>
      <c r="B103"/>
      <c r="C103"/>
    </row>
    <row r="104" spans="1:3" x14ac:dyDescent="0.25">
      <c r="A104"/>
      <c r="B104"/>
      <c r="C104"/>
    </row>
    <row r="105" spans="1:3" x14ac:dyDescent="0.25">
      <c r="A105"/>
      <c r="B105"/>
      <c r="C105"/>
    </row>
    <row r="106" spans="1:3" x14ac:dyDescent="0.25">
      <c r="A106"/>
      <c r="B106"/>
      <c r="C106"/>
    </row>
    <row r="107" spans="1:3" x14ac:dyDescent="0.25">
      <c r="A107"/>
      <c r="B107"/>
      <c r="C107"/>
    </row>
    <row r="108" spans="1:3" x14ac:dyDescent="0.25">
      <c r="A108"/>
      <c r="B108"/>
      <c r="C108"/>
    </row>
    <row r="109" spans="1:3" x14ac:dyDescent="0.25">
      <c r="A109"/>
      <c r="B109"/>
      <c r="C109"/>
    </row>
    <row r="110" spans="1:3" x14ac:dyDescent="0.25">
      <c r="A110"/>
      <c r="B110"/>
      <c r="C110"/>
    </row>
    <row r="111" spans="1:3" x14ac:dyDescent="0.25">
      <c r="A111"/>
      <c r="B111"/>
      <c r="C111"/>
    </row>
    <row r="112" spans="1:3" x14ac:dyDescent="0.25">
      <c r="A112"/>
      <c r="B112"/>
      <c r="C112"/>
    </row>
    <row r="113" spans="1:3" x14ac:dyDescent="0.25">
      <c r="A113"/>
      <c r="B113"/>
      <c r="C113"/>
    </row>
    <row r="114" spans="1:3" x14ac:dyDescent="0.25">
      <c r="A114"/>
      <c r="B114"/>
      <c r="C114"/>
    </row>
    <row r="115" spans="1:3" x14ac:dyDescent="0.25">
      <c r="A115"/>
      <c r="B115"/>
      <c r="C115"/>
    </row>
    <row r="116" spans="1:3" x14ac:dyDescent="0.25">
      <c r="A116"/>
      <c r="B116"/>
      <c r="C116"/>
    </row>
    <row r="117" spans="1:3" x14ac:dyDescent="0.25">
      <c r="A117"/>
      <c r="B117"/>
      <c r="C117"/>
    </row>
    <row r="118" spans="1:3" x14ac:dyDescent="0.25">
      <c r="A118"/>
      <c r="B118"/>
      <c r="C118"/>
    </row>
    <row r="119" spans="1:3" x14ac:dyDescent="0.25">
      <c r="A119"/>
      <c r="B119"/>
      <c r="C119"/>
    </row>
    <row r="120" spans="1:3" x14ac:dyDescent="0.25">
      <c r="A120"/>
      <c r="B120"/>
      <c r="C120"/>
    </row>
    <row r="121" spans="1:3" x14ac:dyDescent="0.25">
      <c r="A121"/>
      <c r="B121"/>
      <c r="C121"/>
    </row>
    <row r="122" spans="1:3" x14ac:dyDescent="0.25">
      <c r="A122"/>
      <c r="B122"/>
      <c r="C122"/>
    </row>
    <row r="123" spans="1:3" x14ac:dyDescent="0.25">
      <c r="A123"/>
      <c r="B123"/>
      <c r="C123"/>
    </row>
    <row r="124" spans="1:3" x14ac:dyDescent="0.25">
      <c r="A124"/>
      <c r="B124"/>
      <c r="C124"/>
    </row>
    <row r="125" spans="1:3" x14ac:dyDescent="0.25">
      <c r="A125"/>
      <c r="B125"/>
      <c r="C125"/>
    </row>
    <row r="126" spans="1:3" x14ac:dyDescent="0.25">
      <c r="A126"/>
      <c r="B126"/>
      <c r="C126"/>
    </row>
    <row r="127" spans="1:3" x14ac:dyDescent="0.25">
      <c r="A127"/>
      <c r="B127"/>
      <c r="C127"/>
    </row>
    <row r="128" spans="1:3" x14ac:dyDescent="0.25">
      <c r="A128"/>
      <c r="B128"/>
      <c r="C128"/>
    </row>
    <row r="129" spans="1:3" x14ac:dyDescent="0.25">
      <c r="A129"/>
      <c r="B129"/>
      <c r="C129"/>
    </row>
    <row r="130" spans="1:3" x14ac:dyDescent="0.25">
      <c r="A130"/>
      <c r="B130"/>
      <c r="C130"/>
    </row>
    <row r="131" spans="1:3" x14ac:dyDescent="0.25">
      <c r="A131"/>
      <c r="B131"/>
      <c r="C131"/>
    </row>
    <row r="132" spans="1:3" x14ac:dyDescent="0.25">
      <c r="A132"/>
      <c r="B132"/>
      <c r="C132"/>
    </row>
    <row r="133" spans="1:3" x14ac:dyDescent="0.25">
      <c r="A133"/>
      <c r="B133"/>
      <c r="C133"/>
    </row>
    <row r="134" spans="1:3" x14ac:dyDescent="0.25">
      <c r="A134"/>
      <c r="B134"/>
      <c r="C134"/>
    </row>
    <row r="135" spans="1:3" x14ac:dyDescent="0.25">
      <c r="A135"/>
      <c r="B135"/>
      <c r="C135"/>
    </row>
    <row r="136" spans="1:3" x14ac:dyDescent="0.25">
      <c r="A136"/>
      <c r="B136"/>
      <c r="C136"/>
    </row>
    <row r="137" spans="1:3" x14ac:dyDescent="0.25">
      <c r="A137"/>
      <c r="B137"/>
      <c r="C137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spans="2:2" x14ac:dyDescent="0.25">
      <c r="B145" s="21"/>
    </row>
    <row r="146" spans="2:2" x14ac:dyDescent="0.25">
      <c r="B146" s="21"/>
    </row>
    <row r="147" spans="2:2" x14ac:dyDescent="0.25">
      <c r="B147" s="21"/>
    </row>
    <row r="148" spans="2:2" x14ac:dyDescent="0.25">
      <c r="B148" s="21"/>
    </row>
    <row r="149" spans="2:2" x14ac:dyDescent="0.25">
      <c r="B149" s="21"/>
    </row>
    <row r="150" spans="2:2" x14ac:dyDescent="0.25">
      <c r="B150" s="21"/>
    </row>
    <row r="151" spans="2:2" x14ac:dyDescent="0.25">
      <c r="B151" s="21"/>
    </row>
    <row r="152" spans="2:2" x14ac:dyDescent="0.25">
      <c r="B152" s="21"/>
    </row>
    <row r="153" spans="2:2" x14ac:dyDescent="0.25">
      <c r="B153" s="21"/>
    </row>
    <row r="154" spans="2:2" x14ac:dyDescent="0.25">
      <c r="B154" s="21"/>
    </row>
    <row r="155" spans="2:2" x14ac:dyDescent="0.25">
      <c r="B155" s="21"/>
    </row>
    <row r="156" spans="2:2" x14ac:dyDescent="0.25">
      <c r="B156" s="21"/>
    </row>
    <row r="157" spans="2:2" x14ac:dyDescent="0.25">
      <c r="B157" s="21"/>
    </row>
    <row r="158" spans="2:2" x14ac:dyDescent="0.25">
      <c r="B158" s="21"/>
    </row>
    <row r="159" spans="2:2" x14ac:dyDescent="0.25">
      <c r="B159" s="21"/>
    </row>
    <row r="160" spans="2:2" x14ac:dyDescent="0.25">
      <c r="B160" s="21"/>
    </row>
    <row r="161" spans="2:2" x14ac:dyDescent="0.25">
      <c r="B161" s="21"/>
    </row>
    <row r="162" spans="2:2" x14ac:dyDescent="0.25">
      <c r="B162" s="21"/>
    </row>
    <row r="163" spans="2:2" x14ac:dyDescent="0.25">
      <c r="B163" s="21"/>
    </row>
    <row r="164" spans="2:2" x14ac:dyDescent="0.25">
      <c r="B164" s="21"/>
    </row>
    <row r="165" spans="2:2" x14ac:dyDescent="0.25">
      <c r="B165" s="21"/>
    </row>
    <row r="166" spans="2:2" x14ac:dyDescent="0.25">
      <c r="B166" s="21"/>
    </row>
    <row r="167" spans="2:2" x14ac:dyDescent="0.25">
      <c r="B167" s="21"/>
    </row>
    <row r="168" spans="2:2" x14ac:dyDescent="0.25">
      <c r="B168" s="21"/>
    </row>
    <row r="169" spans="2:2" x14ac:dyDescent="0.25">
      <c r="B169" s="21"/>
    </row>
    <row r="170" spans="2:2" x14ac:dyDescent="0.25">
      <c r="B170" s="21"/>
    </row>
  </sheetData>
  <printOptions horizontalCentered="1"/>
  <pageMargins left="0.19685039370078741" right="0.19685039370078741" top="0.19685039370078741" bottom="0.19685039370078741" header="0" footer="0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E4C7-5372-4E41-8339-312456591067}">
  <dimension ref="A2:H43"/>
  <sheetViews>
    <sheetView topLeftCell="A21" workbookViewId="0">
      <selection activeCell="K40" sqref="K40"/>
    </sheetView>
  </sheetViews>
  <sheetFormatPr defaultRowHeight="15" x14ac:dyDescent="0.25"/>
  <cols>
    <col min="1" max="1" width="26.140625" customWidth="1"/>
    <col min="2" max="2" width="13.85546875" customWidth="1"/>
    <col min="3" max="6" width="14.5703125" bestFit="1" customWidth="1"/>
    <col min="7" max="7" width="13.42578125" bestFit="1" customWidth="1"/>
    <col min="8" max="8" width="16.140625" bestFit="1" customWidth="1"/>
  </cols>
  <sheetData>
    <row r="2" spans="1:8" x14ac:dyDescent="0.25">
      <c r="A2" s="116">
        <v>46113</v>
      </c>
      <c r="B2" s="117"/>
      <c r="C2" s="117"/>
      <c r="D2" s="117"/>
      <c r="E2" s="117"/>
      <c r="F2" s="117"/>
      <c r="G2" s="117"/>
      <c r="H2" s="118"/>
    </row>
    <row r="4" spans="1:8" x14ac:dyDescent="0.25">
      <c r="A4" s="103" t="s">
        <v>250</v>
      </c>
      <c r="B4" s="108" t="s">
        <v>140</v>
      </c>
      <c r="C4" s="102" t="s">
        <v>251</v>
      </c>
      <c r="D4" s="102" t="s">
        <v>252</v>
      </c>
      <c r="E4" s="102" t="s">
        <v>253</v>
      </c>
      <c r="F4" s="102" t="s">
        <v>254</v>
      </c>
      <c r="G4" s="102" t="s">
        <v>255</v>
      </c>
      <c r="H4" s="101" t="s">
        <v>256</v>
      </c>
    </row>
    <row r="5" spans="1:8" x14ac:dyDescent="0.25">
      <c r="A5" s="109"/>
      <c r="B5" s="104">
        <v>2083.33</v>
      </c>
      <c r="C5" s="107">
        <v>45475</v>
      </c>
      <c r="D5" s="104">
        <v>155614.59</v>
      </c>
      <c r="E5" s="104">
        <v>53833.32</v>
      </c>
      <c r="F5" s="104">
        <v>81614.58</v>
      </c>
      <c r="G5" s="104">
        <v>2083.33</v>
      </c>
      <c r="H5" s="105">
        <f>SUM(B5:G5)</f>
        <v>340704.15</v>
      </c>
    </row>
    <row r="7" spans="1:8" x14ac:dyDescent="0.25">
      <c r="A7" s="106" t="s">
        <v>257</v>
      </c>
      <c r="B7" s="108" t="s">
        <v>258</v>
      </c>
      <c r="C7" s="102" t="s">
        <v>259</v>
      </c>
      <c r="D7" s="102" t="s">
        <v>260</v>
      </c>
      <c r="E7" s="102" t="s">
        <v>261</v>
      </c>
      <c r="F7" s="102" t="s">
        <v>262</v>
      </c>
      <c r="G7" s="102" t="s">
        <v>263</v>
      </c>
      <c r="H7" s="101" t="s">
        <v>256</v>
      </c>
    </row>
    <row r="8" spans="1:8" x14ac:dyDescent="0.25">
      <c r="B8" s="104">
        <v>168925</v>
      </c>
      <c r="C8" s="107">
        <v>67825</v>
      </c>
      <c r="D8" s="104">
        <v>141691.68</v>
      </c>
      <c r="E8" s="104">
        <v>240016.67</v>
      </c>
      <c r="F8" s="104">
        <v>76950.009999999995</v>
      </c>
      <c r="G8" s="104">
        <v>44233.34</v>
      </c>
      <c r="H8" s="105">
        <f>SUM(B8:G8)</f>
        <v>739641.7</v>
      </c>
    </row>
    <row r="10" spans="1:8" x14ac:dyDescent="0.25">
      <c r="A10" s="110" t="s">
        <v>264</v>
      </c>
      <c r="B10" s="119" t="s">
        <v>265</v>
      </c>
      <c r="C10" s="119"/>
      <c r="D10" s="119"/>
      <c r="E10" s="119"/>
      <c r="F10" s="119"/>
      <c r="G10" s="120"/>
      <c r="H10" s="105">
        <v>38000</v>
      </c>
    </row>
    <row r="11" spans="1:8" x14ac:dyDescent="0.25">
      <c r="B11" s="121" t="s">
        <v>266</v>
      </c>
      <c r="C11" s="121"/>
      <c r="D11" s="121"/>
      <c r="E11" s="121"/>
      <c r="F11" s="121"/>
      <c r="G11" s="122"/>
      <c r="H11" s="105">
        <v>38000</v>
      </c>
    </row>
    <row r="13" spans="1:8" x14ac:dyDescent="0.25">
      <c r="E13" s="123" t="s">
        <v>267</v>
      </c>
      <c r="F13" s="123"/>
      <c r="G13" s="124"/>
      <c r="H13" s="105">
        <f>SUM(H5+H8+H10+H11)</f>
        <v>1156345.8500000001</v>
      </c>
    </row>
    <row r="17" spans="1:8" x14ac:dyDescent="0.25">
      <c r="A17" s="103" t="s">
        <v>268</v>
      </c>
      <c r="B17" s="108" t="s">
        <v>140</v>
      </c>
      <c r="C17" s="102" t="s">
        <v>251</v>
      </c>
      <c r="D17" s="102" t="s">
        <v>252</v>
      </c>
      <c r="E17" s="102" t="s">
        <v>254</v>
      </c>
      <c r="F17" s="102" t="s">
        <v>255</v>
      </c>
      <c r="G17" s="102" t="s">
        <v>269</v>
      </c>
      <c r="H17" s="101" t="s">
        <v>256</v>
      </c>
    </row>
    <row r="18" spans="1:8" x14ac:dyDescent="0.25">
      <c r="B18" s="104">
        <v>104601.60000000001</v>
      </c>
      <c r="C18" s="107">
        <f>119090.78+19975</f>
        <v>139065.78</v>
      </c>
      <c r="D18" s="104">
        <f>24000</f>
        <v>24000</v>
      </c>
      <c r="E18" s="104">
        <f>260697.6+27540+70210</f>
        <v>358447.6</v>
      </c>
      <c r="F18" s="104">
        <f>71133.8+51340</f>
        <v>122473.8</v>
      </c>
      <c r="G18" s="104">
        <f>42560+47600</f>
        <v>90160</v>
      </c>
      <c r="H18" s="105">
        <f>SUM(B18:G18)</f>
        <v>838748.78</v>
      </c>
    </row>
    <row r="20" spans="1:8" x14ac:dyDescent="0.25">
      <c r="E20" s="123" t="s">
        <v>270</v>
      </c>
      <c r="F20" s="123"/>
      <c r="G20" s="124"/>
      <c r="H20" s="105">
        <f>H18</f>
        <v>838748.78</v>
      </c>
    </row>
    <row r="25" spans="1:8" x14ac:dyDescent="0.25">
      <c r="A25" s="116">
        <v>46143</v>
      </c>
      <c r="B25" s="117"/>
      <c r="C25" s="117"/>
      <c r="D25" s="117"/>
      <c r="E25" s="117"/>
      <c r="F25" s="117"/>
      <c r="G25" s="117"/>
      <c r="H25" s="118"/>
    </row>
    <row r="27" spans="1:8" x14ac:dyDescent="0.25">
      <c r="A27" s="103" t="s">
        <v>250</v>
      </c>
      <c r="B27" s="108" t="s">
        <v>140</v>
      </c>
      <c r="C27" s="102" t="s">
        <v>251</v>
      </c>
      <c r="D27" s="102" t="s">
        <v>252</v>
      </c>
      <c r="E27" s="102" t="s">
        <v>253</v>
      </c>
      <c r="F27" s="102" t="s">
        <v>254</v>
      </c>
      <c r="G27" s="102" t="s">
        <v>255</v>
      </c>
      <c r="H27" s="101" t="s">
        <v>256</v>
      </c>
    </row>
    <row r="28" spans="1:8" x14ac:dyDescent="0.25">
      <c r="A28" s="109"/>
      <c r="B28" s="104">
        <v>2083.33</v>
      </c>
      <c r="C28" s="107">
        <v>45475</v>
      </c>
      <c r="D28" s="104">
        <v>155614.59</v>
      </c>
      <c r="E28" s="104">
        <v>53833.32</v>
      </c>
      <c r="F28" s="104">
        <v>81614.58</v>
      </c>
      <c r="G28" s="104">
        <v>2083.33</v>
      </c>
      <c r="H28" s="105">
        <f>SUM(B28:G28)</f>
        <v>340704.15</v>
      </c>
    </row>
    <row r="30" spans="1:8" x14ac:dyDescent="0.25">
      <c r="A30" s="106" t="s">
        <v>257</v>
      </c>
      <c r="B30" s="108" t="s">
        <v>258</v>
      </c>
      <c r="C30" s="102" t="s">
        <v>259</v>
      </c>
      <c r="D30" s="102" t="s">
        <v>260</v>
      </c>
      <c r="E30" s="102" t="s">
        <v>261</v>
      </c>
      <c r="F30" s="102" t="s">
        <v>262</v>
      </c>
      <c r="G30" s="102" t="s">
        <v>263</v>
      </c>
      <c r="H30" s="101" t="s">
        <v>256</v>
      </c>
    </row>
    <row r="31" spans="1:8" x14ac:dyDescent="0.25">
      <c r="B31" s="104">
        <f>168925+20000+8016.67</f>
        <v>196941.67</v>
      </c>
      <c r="C31" s="107">
        <v>67825</v>
      </c>
      <c r="D31" s="104">
        <v>141691.68</v>
      </c>
      <c r="E31" s="104">
        <v>240016.67</v>
      </c>
      <c r="F31" s="104">
        <v>76950.009999999995</v>
      </c>
      <c r="G31" s="104">
        <v>44233.34</v>
      </c>
      <c r="H31" s="105">
        <f>SUM(B31:G31)</f>
        <v>767658.37</v>
      </c>
    </row>
    <row r="33" spans="1:8" x14ac:dyDescent="0.25">
      <c r="A33" s="110" t="s">
        <v>264</v>
      </c>
      <c r="B33" s="119" t="s">
        <v>265</v>
      </c>
      <c r="C33" s="119"/>
      <c r="D33" s="119"/>
      <c r="E33" s="119"/>
      <c r="F33" s="119"/>
      <c r="G33" s="120"/>
      <c r="H33" s="105">
        <v>38000</v>
      </c>
    </row>
    <row r="34" spans="1:8" x14ac:dyDescent="0.25">
      <c r="B34" s="121" t="s">
        <v>266</v>
      </c>
      <c r="C34" s="121"/>
      <c r="D34" s="121"/>
      <c r="E34" s="121"/>
      <c r="F34" s="121"/>
      <c r="G34" s="122"/>
      <c r="H34" s="105">
        <v>38000</v>
      </c>
    </row>
    <row r="36" spans="1:8" x14ac:dyDescent="0.25">
      <c r="E36" s="123" t="s">
        <v>267</v>
      </c>
      <c r="F36" s="123"/>
      <c r="G36" s="124"/>
      <c r="H36" s="105">
        <f>SUM(H28+H31+H33+H34)</f>
        <v>1184362.52</v>
      </c>
    </row>
    <row r="40" spans="1:8" x14ac:dyDescent="0.25">
      <c r="A40" s="103" t="s">
        <v>268</v>
      </c>
      <c r="B40" s="108" t="s">
        <v>140</v>
      </c>
      <c r="C40" s="102" t="s">
        <v>251</v>
      </c>
      <c r="D40" s="102" t="s">
        <v>252</v>
      </c>
      <c r="E40" s="102" t="s">
        <v>254</v>
      </c>
      <c r="F40" s="102" t="s">
        <v>255</v>
      </c>
      <c r="G40" s="102" t="s">
        <v>269</v>
      </c>
      <c r="H40" s="101" t="s">
        <v>256</v>
      </c>
    </row>
    <row r="41" spans="1:8" x14ac:dyDescent="0.25">
      <c r="B41" s="104">
        <f>79721.6+66470</f>
        <v>146191.6</v>
      </c>
      <c r="C41" s="107">
        <f>95088.61+67490</f>
        <v>162578.60999999999</v>
      </c>
      <c r="D41" s="104">
        <f>74603.2+94520</f>
        <v>169123.20000000001</v>
      </c>
      <c r="E41" s="104">
        <f>214137.6+19975</f>
        <v>234112.6</v>
      </c>
      <c r="F41" s="104">
        <f>75565.2+6885</f>
        <v>82450.2</v>
      </c>
      <c r="G41" s="104">
        <v>0</v>
      </c>
      <c r="H41" s="105">
        <f>SUM(B41:G41)</f>
        <v>794456.21</v>
      </c>
    </row>
    <row r="43" spans="1:8" x14ac:dyDescent="0.25">
      <c r="E43" s="123" t="s">
        <v>270</v>
      </c>
      <c r="F43" s="123"/>
      <c r="G43" s="124"/>
      <c r="H43" s="105">
        <f>H41</f>
        <v>794456.21</v>
      </c>
    </row>
  </sheetData>
  <mergeCells count="10">
    <mergeCell ref="A2:H2"/>
    <mergeCell ref="E20:G20"/>
    <mergeCell ref="B10:G10"/>
    <mergeCell ref="B11:G11"/>
    <mergeCell ref="E13:G13"/>
    <mergeCell ref="A25:H25"/>
    <mergeCell ref="B33:G33"/>
    <mergeCell ref="B34:G34"/>
    <mergeCell ref="E36:G36"/>
    <mergeCell ref="E43:G4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342B-FE8C-4B84-B426-BA9B207ACD32}">
  <dimension ref="A1:P24"/>
  <sheetViews>
    <sheetView workbookViewId="0">
      <selection activeCell="D2" sqref="D2:D4"/>
    </sheetView>
  </sheetViews>
  <sheetFormatPr defaultRowHeight="15" x14ac:dyDescent="0.25"/>
  <cols>
    <col min="1" max="1" width="26.5703125" customWidth="1"/>
    <col min="2" max="2" width="23.28515625" customWidth="1"/>
    <col min="3" max="3" width="18.5703125" customWidth="1"/>
    <col min="4" max="4" width="14.7109375" customWidth="1"/>
    <col min="5" max="5" width="15.42578125" customWidth="1"/>
    <col min="6" max="6" width="9.140625" customWidth="1"/>
    <col min="7" max="7" width="17.5703125" customWidth="1"/>
    <col min="8" max="8" width="14.5703125" customWidth="1"/>
    <col min="9" max="9" width="7.7109375" customWidth="1"/>
    <col min="10" max="10" width="10.42578125" customWidth="1"/>
    <col min="11" max="11" width="8.7109375" customWidth="1"/>
    <col min="14" max="14" width="17.42578125" customWidth="1"/>
    <col min="15" max="15" width="19.140625" customWidth="1"/>
  </cols>
  <sheetData>
    <row r="1" spans="1:8" x14ac:dyDescent="0.25">
      <c r="A1" s="94" t="s">
        <v>271</v>
      </c>
    </row>
    <row r="2" spans="1:8" x14ac:dyDescent="0.25">
      <c r="A2" t="s">
        <v>272</v>
      </c>
      <c r="B2" t="s">
        <v>237</v>
      </c>
      <c r="C2" s="31" t="s">
        <v>64</v>
      </c>
      <c r="D2" s="96">
        <v>66621.3</v>
      </c>
    </row>
    <row r="3" spans="1:8" x14ac:dyDescent="0.25">
      <c r="A3" t="s">
        <v>272</v>
      </c>
      <c r="B3" t="s">
        <v>240</v>
      </c>
      <c r="C3" s="31" t="s">
        <v>64</v>
      </c>
      <c r="D3" s="96">
        <v>123051.1</v>
      </c>
    </row>
    <row r="4" spans="1:8" x14ac:dyDescent="0.25">
      <c r="A4" t="s">
        <v>272</v>
      </c>
      <c r="B4" t="s">
        <v>243</v>
      </c>
      <c r="C4" s="31" t="s">
        <v>64</v>
      </c>
      <c r="D4" s="96">
        <v>68239.7</v>
      </c>
    </row>
    <row r="5" spans="1:8" x14ac:dyDescent="0.25">
      <c r="F5" s="31"/>
      <c r="G5" s="41"/>
    </row>
    <row r="6" spans="1:8" x14ac:dyDescent="0.25">
      <c r="A6" s="62" t="s">
        <v>273</v>
      </c>
      <c r="B6" s="62"/>
      <c r="F6" s="31"/>
      <c r="G6" s="45">
        <f>D2+D3+D4</f>
        <v>257912.10000000003</v>
      </c>
      <c r="H6" t="s">
        <v>64</v>
      </c>
    </row>
    <row r="7" spans="1:8" x14ac:dyDescent="0.25">
      <c r="A7" s="62" t="s">
        <v>274</v>
      </c>
      <c r="B7" s="62"/>
      <c r="F7" s="31"/>
      <c r="G7" s="42">
        <v>624595.97</v>
      </c>
      <c r="H7" t="s">
        <v>275</v>
      </c>
    </row>
    <row r="8" spans="1:8" x14ac:dyDescent="0.25">
      <c r="A8" s="62" t="s">
        <v>276</v>
      </c>
      <c r="B8" s="62"/>
      <c r="G8" s="44">
        <v>838748.78</v>
      </c>
      <c r="H8" t="s">
        <v>277</v>
      </c>
    </row>
    <row r="9" spans="1:8" x14ac:dyDescent="0.25">
      <c r="D9" t="s">
        <v>278</v>
      </c>
      <c r="G9" s="43">
        <f>SUM(G6:G8)</f>
        <v>1721256.85</v>
      </c>
    </row>
    <row r="13" spans="1:8" x14ac:dyDescent="0.25">
      <c r="A13" s="94" t="s">
        <v>38</v>
      </c>
    </row>
    <row r="14" spans="1:8" x14ac:dyDescent="0.25">
      <c r="A14" s="62" t="s">
        <v>279</v>
      </c>
      <c r="B14" s="62"/>
      <c r="F14" s="31"/>
      <c r="G14" s="42">
        <v>93786.02</v>
      </c>
    </row>
    <row r="15" spans="1:8" x14ac:dyDescent="0.25">
      <c r="A15" s="62" t="s">
        <v>280</v>
      </c>
      <c r="B15" s="62"/>
      <c r="G15" s="44">
        <v>1156345.8500000001</v>
      </c>
    </row>
    <row r="16" spans="1:8" x14ac:dyDescent="0.25">
      <c r="D16" t="s">
        <v>278</v>
      </c>
      <c r="G16" s="43">
        <f>SUM(G14:G15)</f>
        <v>1250131.8700000001</v>
      </c>
    </row>
    <row r="20" spans="1:16" x14ac:dyDescent="0.25">
      <c r="A20" s="128" t="s">
        <v>281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</row>
    <row r="21" spans="1:16" x14ac:dyDescent="0.25">
      <c r="C21" s="31" t="s">
        <v>104</v>
      </c>
      <c r="D21" s="31" t="s">
        <v>64</v>
      </c>
      <c r="E21" s="31" t="s">
        <v>256</v>
      </c>
      <c r="F21" s="127" t="s">
        <v>282</v>
      </c>
      <c r="G21" s="127"/>
      <c r="H21" s="47" t="s">
        <v>283</v>
      </c>
      <c r="J21" s="52"/>
      <c r="O21" s="25"/>
      <c r="P21" s="33"/>
    </row>
    <row r="22" spans="1:16" x14ac:dyDescent="0.25">
      <c r="B22" t="s">
        <v>284</v>
      </c>
      <c r="C22" s="30">
        <v>233730.49</v>
      </c>
      <c r="D22" s="30">
        <v>0</v>
      </c>
      <c r="E22" s="32">
        <f>C22+D22</f>
        <v>233730.49</v>
      </c>
      <c r="F22" s="125">
        <v>233730.49</v>
      </c>
      <c r="G22" s="126"/>
      <c r="H22" s="46">
        <f>F22-E22</f>
        <v>0</v>
      </c>
      <c r="I22" s="25" t="s">
        <v>44</v>
      </c>
      <c r="J22" s="53"/>
      <c r="K22" s="25"/>
      <c r="L22" s="25"/>
      <c r="P22" s="33"/>
    </row>
    <row r="23" spans="1:16" x14ac:dyDescent="0.25">
      <c r="B23" t="s">
        <v>285</v>
      </c>
      <c r="C23" s="30">
        <v>1021109.05</v>
      </c>
      <c r="D23" s="30">
        <v>0</v>
      </c>
      <c r="E23" s="32">
        <f>C23+D23</f>
        <v>1021109.05</v>
      </c>
      <c r="F23" s="126">
        <v>1021109.05</v>
      </c>
      <c r="G23" s="126"/>
      <c r="H23" s="46">
        <f t="shared" ref="H23:H24" si="0">F23-E23</f>
        <v>0</v>
      </c>
      <c r="I23" s="25" t="s">
        <v>44</v>
      </c>
      <c r="J23" s="53"/>
      <c r="K23" s="25"/>
      <c r="L23" s="25"/>
    </row>
    <row r="24" spans="1:16" x14ac:dyDescent="0.25">
      <c r="B24" t="s">
        <v>286</v>
      </c>
      <c r="C24" s="30">
        <v>606258.32999999996</v>
      </c>
      <c r="D24" s="30">
        <f>110585+87531.2+82610.8</f>
        <v>280727</v>
      </c>
      <c r="E24" s="32">
        <f t="shared" ref="E24" si="1">C24+D24</f>
        <v>886985.33</v>
      </c>
      <c r="F24" s="126">
        <v>886594.33</v>
      </c>
      <c r="G24" s="126"/>
      <c r="H24" s="46">
        <f t="shared" si="0"/>
        <v>-391</v>
      </c>
      <c r="I24" s="95" t="s">
        <v>287</v>
      </c>
      <c r="J24" s="52"/>
    </row>
  </sheetData>
  <mergeCells count="5">
    <mergeCell ref="F22:G22"/>
    <mergeCell ref="F23:G23"/>
    <mergeCell ref="F24:G24"/>
    <mergeCell ref="F21:G21"/>
    <mergeCell ref="A20:M2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520C-7CC7-4923-915A-981C195F07CC}">
  <dimension ref="A1:P25"/>
  <sheetViews>
    <sheetView workbookViewId="0">
      <selection activeCell="N17" sqref="N17"/>
    </sheetView>
  </sheetViews>
  <sheetFormatPr defaultRowHeight="15" x14ac:dyDescent="0.25"/>
  <cols>
    <col min="1" max="1" width="26.5703125" customWidth="1"/>
    <col min="2" max="2" width="23.28515625" customWidth="1"/>
    <col min="3" max="3" width="18.5703125" customWidth="1"/>
    <col min="4" max="4" width="14.7109375" customWidth="1"/>
    <col min="5" max="5" width="15.42578125" customWidth="1"/>
    <col min="6" max="6" width="9.140625" customWidth="1"/>
    <col min="7" max="7" width="17.5703125" customWidth="1"/>
    <col min="8" max="8" width="20" customWidth="1"/>
    <col min="9" max="9" width="7.7109375" customWidth="1"/>
    <col min="10" max="10" width="10.42578125" customWidth="1"/>
    <col min="11" max="11" width="8.7109375" customWidth="1"/>
    <col min="14" max="14" width="17.42578125" customWidth="1"/>
    <col min="15" max="15" width="19.140625" customWidth="1"/>
  </cols>
  <sheetData>
    <row r="1" spans="1:8" x14ac:dyDescent="0.25">
      <c r="A1" s="94" t="s">
        <v>271</v>
      </c>
    </row>
    <row r="2" spans="1:8" x14ac:dyDescent="0.25">
      <c r="A2" t="s">
        <v>288</v>
      </c>
      <c r="B2" t="s">
        <v>237</v>
      </c>
      <c r="C2" s="31" t="s">
        <v>289</v>
      </c>
      <c r="D2" s="113">
        <v>96420.6</v>
      </c>
    </row>
    <row r="3" spans="1:8" x14ac:dyDescent="0.25">
      <c r="A3" t="s">
        <v>288</v>
      </c>
      <c r="B3" t="s">
        <v>240</v>
      </c>
      <c r="C3" s="31" t="s">
        <v>289</v>
      </c>
      <c r="D3" s="113">
        <v>123809.4</v>
      </c>
    </row>
    <row r="4" spans="1:8" x14ac:dyDescent="0.25">
      <c r="A4" t="s">
        <v>288</v>
      </c>
      <c r="B4" t="s">
        <v>243</v>
      </c>
      <c r="C4" s="31" t="s">
        <v>289</v>
      </c>
      <c r="D4" s="113">
        <v>118073.5</v>
      </c>
    </row>
    <row r="5" spans="1:8" x14ac:dyDescent="0.25">
      <c r="A5" t="s">
        <v>288</v>
      </c>
      <c r="B5" t="s">
        <v>242</v>
      </c>
      <c r="C5" s="31" t="s">
        <v>289</v>
      </c>
      <c r="D5" s="113">
        <v>1251</v>
      </c>
    </row>
    <row r="6" spans="1:8" x14ac:dyDescent="0.25">
      <c r="F6" s="31"/>
      <c r="G6" s="41"/>
    </row>
    <row r="7" spans="1:8" x14ac:dyDescent="0.25">
      <c r="A7" s="62" t="s">
        <v>290</v>
      </c>
      <c r="B7" s="62"/>
      <c r="F7" s="31"/>
      <c r="G7" s="45">
        <f>D2+D3+D4+D5</f>
        <v>339554.5</v>
      </c>
      <c r="H7" t="s">
        <v>64</v>
      </c>
    </row>
    <row r="8" spans="1:8" x14ac:dyDescent="0.25">
      <c r="A8" s="62" t="s">
        <v>274</v>
      </c>
      <c r="B8" s="62"/>
      <c r="F8" s="31"/>
      <c r="G8" s="42">
        <f>42735.07+150753.28+74127.74+51810.68+176370.16+83473.38</f>
        <v>579270.31000000006</v>
      </c>
      <c r="H8" t="s">
        <v>275</v>
      </c>
    </row>
    <row r="9" spans="1:8" x14ac:dyDescent="0.25">
      <c r="A9" s="62" t="s">
        <v>276</v>
      </c>
      <c r="B9" s="62"/>
      <c r="G9" s="44">
        <v>794456.21</v>
      </c>
      <c r="H9" t="s">
        <v>277</v>
      </c>
    </row>
    <row r="10" spans="1:8" x14ac:dyDescent="0.25">
      <c r="D10" t="s">
        <v>291</v>
      </c>
      <c r="G10" s="43">
        <f>SUM(G7:G9)</f>
        <v>1713281.02</v>
      </c>
    </row>
    <row r="14" spans="1:8" x14ac:dyDescent="0.25">
      <c r="A14" s="94" t="s">
        <v>38</v>
      </c>
    </row>
    <row r="15" spans="1:8" x14ac:dyDescent="0.25">
      <c r="A15" s="62" t="s">
        <v>279</v>
      </c>
      <c r="B15" s="62"/>
      <c r="F15" s="31"/>
      <c r="G15" s="42">
        <f>82541.49+38000+38000</f>
        <v>158541.49</v>
      </c>
    </row>
    <row r="16" spans="1:8" x14ac:dyDescent="0.25">
      <c r="A16" s="62" t="s">
        <v>280</v>
      </c>
      <c r="B16" s="62"/>
      <c r="G16" s="44">
        <v>1108362.5</v>
      </c>
    </row>
    <row r="17" spans="1:16" x14ac:dyDescent="0.25">
      <c r="D17" t="s">
        <v>292</v>
      </c>
      <c r="G17" s="43">
        <f>SUM(G15:G16)</f>
        <v>1266903.99</v>
      </c>
    </row>
    <row r="21" spans="1:16" x14ac:dyDescent="0.25">
      <c r="A21" s="128" t="s">
        <v>293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</row>
    <row r="22" spans="1:16" x14ac:dyDescent="0.25">
      <c r="C22" s="31" t="s">
        <v>104</v>
      </c>
      <c r="D22" s="31" t="s">
        <v>64</v>
      </c>
      <c r="E22" s="31" t="s">
        <v>256</v>
      </c>
      <c r="F22" s="127" t="s">
        <v>282</v>
      </c>
      <c r="G22" s="127"/>
      <c r="H22" s="47" t="s">
        <v>283</v>
      </c>
      <c r="J22" s="52"/>
      <c r="O22" s="25"/>
      <c r="P22" s="33"/>
    </row>
    <row r="23" spans="1:16" x14ac:dyDescent="0.25">
      <c r="B23" t="s">
        <v>294</v>
      </c>
      <c r="C23" s="30">
        <v>1463344.75</v>
      </c>
      <c r="D23" s="30">
        <v>257912.1</v>
      </c>
      <c r="E23" s="32">
        <f>C23+D23</f>
        <v>1721256.85</v>
      </c>
      <c r="F23" s="126">
        <v>0</v>
      </c>
      <c r="G23" s="126"/>
      <c r="H23" s="46">
        <f>F23-E23</f>
        <v>-1721256.85</v>
      </c>
      <c r="I23" s="25"/>
      <c r="J23" s="53"/>
      <c r="K23" s="25"/>
      <c r="L23" s="25"/>
      <c r="P23" s="33"/>
    </row>
    <row r="24" spans="1:16" x14ac:dyDescent="0.25">
      <c r="B24" t="s">
        <v>295</v>
      </c>
      <c r="C24" s="30">
        <v>0</v>
      </c>
      <c r="D24" s="30">
        <v>0</v>
      </c>
      <c r="E24" s="32">
        <f>C24+D24</f>
        <v>0</v>
      </c>
      <c r="F24" s="126">
        <v>0</v>
      </c>
      <c r="G24" s="126"/>
      <c r="H24" s="46">
        <f t="shared" ref="H24:H25" si="0">F24-E24</f>
        <v>0</v>
      </c>
      <c r="I24" s="25"/>
      <c r="J24" s="53"/>
      <c r="K24" s="25"/>
      <c r="L24" s="25"/>
    </row>
    <row r="25" spans="1:16" x14ac:dyDescent="0.25">
      <c r="B25" t="s">
        <v>296</v>
      </c>
      <c r="C25" s="30">
        <v>0</v>
      </c>
      <c r="D25" s="30">
        <v>0</v>
      </c>
      <c r="E25" s="32">
        <f t="shared" ref="E25" si="1">C25+D25</f>
        <v>0</v>
      </c>
      <c r="F25" s="126">
        <v>0</v>
      </c>
      <c r="G25" s="126"/>
      <c r="H25" s="46">
        <f t="shared" si="0"/>
        <v>0</v>
      </c>
      <c r="I25" s="95"/>
      <c r="J25" s="52"/>
    </row>
  </sheetData>
  <mergeCells count="5">
    <mergeCell ref="A21:M21"/>
    <mergeCell ref="F22:G22"/>
    <mergeCell ref="F23:G23"/>
    <mergeCell ref="F24:G24"/>
    <mergeCell ref="F25:G2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45A8-29B8-4D4D-8E84-E51A492A67DA}">
  <sheetPr>
    <pageSetUpPr fitToPage="1"/>
  </sheetPr>
  <dimension ref="A1:B28"/>
  <sheetViews>
    <sheetView showGridLines="0" workbookViewId="0">
      <selection activeCell="Q19" sqref="Q19"/>
    </sheetView>
  </sheetViews>
  <sheetFormatPr defaultRowHeight="15" x14ac:dyDescent="0.25"/>
  <sheetData>
    <row r="1" spans="1:2" x14ac:dyDescent="0.25">
      <c r="A1" s="25" t="s">
        <v>297</v>
      </c>
    </row>
    <row r="2" spans="1:2" x14ac:dyDescent="0.25">
      <c r="A2" t="s">
        <v>298</v>
      </c>
    </row>
    <row r="3" spans="1:2" x14ac:dyDescent="0.25">
      <c r="A3" t="s">
        <v>299</v>
      </c>
    </row>
    <row r="4" spans="1:2" x14ac:dyDescent="0.25">
      <c r="A4" t="s">
        <v>300</v>
      </c>
    </row>
    <row r="6" spans="1:2" x14ac:dyDescent="0.25">
      <c r="A6" s="25" t="s">
        <v>301</v>
      </c>
      <c r="B6" s="25"/>
    </row>
    <row r="7" spans="1:2" x14ac:dyDescent="0.25">
      <c r="A7" t="s">
        <v>302</v>
      </c>
    </row>
    <row r="8" spans="1:2" x14ac:dyDescent="0.25">
      <c r="A8" t="s">
        <v>303</v>
      </c>
    </row>
    <row r="9" spans="1:2" x14ac:dyDescent="0.25">
      <c r="A9" t="s">
        <v>304</v>
      </c>
    </row>
    <row r="12" spans="1:2" x14ac:dyDescent="0.25">
      <c r="A12" s="37" t="s">
        <v>305</v>
      </c>
    </row>
    <row r="13" spans="1:2" x14ac:dyDescent="0.25">
      <c r="A13" t="s">
        <v>306</v>
      </c>
    </row>
    <row r="14" spans="1:2" x14ac:dyDescent="0.25">
      <c r="A14" t="s">
        <v>307</v>
      </c>
    </row>
    <row r="16" spans="1:2" x14ac:dyDescent="0.25">
      <c r="A16" s="38" t="s">
        <v>308</v>
      </c>
    </row>
    <row r="17" spans="1:1" x14ac:dyDescent="0.25">
      <c r="A17" t="s">
        <v>309</v>
      </c>
    </row>
    <row r="18" spans="1:1" x14ac:dyDescent="0.25">
      <c r="A18" t="s">
        <v>310</v>
      </c>
    </row>
    <row r="19" spans="1:1" x14ac:dyDescent="0.25">
      <c r="A19" t="s">
        <v>311</v>
      </c>
    </row>
    <row r="20" spans="1:1" x14ac:dyDescent="0.25">
      <c r="A20" t="s">
        <v>312</v>
      </c>
    </row>
    <row r="21" spans="1:1" x14ac:dyDescent="0.25">
      <c r="A21" t="s">
        <v>313</v>
      </c>
    </row>
    <row r="22" spans="1:1" x14ac:dyDescent="0.25">
      <c r="A22" t="s">
        <v>314</v>
      </c>
    </row>
    <row r="24" spans="1:1" x14ac:dyDescent="0.25">
      <c r="A24" t="s">
        <v>315</v>
      </c>
    </row>
    <row r="25" spans="1:1" x14ac:dyDescent="0.25">
      <c r="A25" t="s">
        <v>316</v>
      </c>
    </row>
    <row r="27" spans="1:1" x14ac:dyDescent="0.25">
      <c r="A27" t="s">
        <v>317</v>
      </c>
    </row>
    <row r="28" spans="1:1" x14ac:dyDescent="0.25">
      <c r="A28" t="s">
        <v>318</v>
      </c>
    </row>
  </sheetData>
  <printOptions horizontalCentered="1"/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BASE DADOS</vt:lpstr>
      <vt:lpstr>PARÂMETROS</vt:lpstr>
      <vt:lpstr>MEDIÇÕES PARA NFS - G&amp;S</vt:lpstr>
      <vt:lpstr>RESUMO 1</vt:lpstr>
      <vt:lpstr>RESUMO 2</vt:lpstr>
      <vt:lpstr>VALIDACÃO RECEITAS G&amp;S  04.2026</vt:lpstr>
      <vt:lpstr>VALIDACÃO RECEITAS G&amp;S  05.2026</vt:lpstr>
      <vt:lpstr>OBSERVAÇÕES</vt:lpstr>
      <vt:lpstr>'MEDIÇÕES PARA NFS - G&amp;S'!Area_de_impressao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Cristina Sugui</dc:creator>
  <cp:keywords/>
  <dc:description/>
  <cp:lastModifiedBy>Julio Oliveira Santana | Pilares</cp:lastModifiedBy>
  <cp:revision/>
  <dcterms:created xsi:type="dcterms:W3CDTF">2026-04-13T12:24:08Z</dcterms:created>
  <dcterms:modified xsi:type="dcterms:W3CDTF">2026-06-12T14:04:42Z</dcterms:modified>
  <cp:category/>
  <cp:contentStatus/>
</cp:coreProperties>
</file>