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Custos-Maquinas\"/>
    </mc:Choice>
  </mc:AlternateContent>
  <xr:revisionPtr revIDLastSave="0" documentId="13_ncr:1_{46A4FAEB-BC03-4711-A1AD-D5DE9B5A31E0}" xr6:coauthVersionLast="47" xr6:coauthVersionMax="47" xr10:uidLastSave="{00000000-0000-0000-0000-000000000000}"/>
  <bookViews>
    <workbookView xWindow="-120" yWindow="-120" windowWidth="29040" windowHeight="16440" xr2:uid="{A921229E-083B-43C5-AA8F-73A6A157F85A}"/>
  </bookViews>
  <sheets>
    <sheet name="Base_formato_fechamento" sheetId="1" r:id="rId1"/>
    <sheet name="entre_empresas_abril" sheetId="2" r:id="rId2"/>
    <sheet name="CC_Maquinas_2026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entre_empresas_abril!$A$1:$AC$43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N234" i="3" l="1"/>
  <c r="CL234" i="3"/>
  <c r="CE234" i="3"/>
  <c r="BS234" i="3"/>
  <c r="BP234" i="3"/>
  <c r="BM234" i="3"/>
  <c r="BE234" i="3"/>
  <c r="AU234" i="3"/>
  <c r="AR234" i="3"/>
  <c r="AJ234" i="3"/>
  <c r="AI234" i="3"/>
  <c r="J234" i="3"/>
  <c r="CN233" i="3"/>
  <c r="CM233" i="3"/>
  <c r="CL233" i="3"/>
  <c r="CH233" i="3"/>
  <c r="CE233" i="3"/>
  <c r="BS233" i="3"/>
  <c r="BP233" i="3"/>
  <c r="BM233" i="3"/>
  <c r="BE233" i="3"/>
  <c r="AU233" i="3"/>
  <c r="AR233" i="3"/>
  <c r="AJ233" i="3"/>
  <c r="AI233" i="3"/>
  <c r="J233" i="3"/>
  <c r="CN232" i="3"/>
  <c r="CL232" i="3"/>
  <c r="CE232" i="3"/>
  <c r="BS232" i="3"/>
  <c r="BP232" i="3"/>
  <c r="BM232" i="3"/>
  <c r="CH232" i="3" s="1"/>
  <c r="CM232" i="3" s="1"/>
  <c r="BE232" i="3"/>
  <c r="AU232" i="3"/>
  <c r="AR232" i="3"/>
  <c r="CO232" i="3" s="1"/>
  <c r="AJ232" i="3"/>
  <c r="AI232" i="3"/>
  <c r="J232" i="3"/>
  <c r="CN231" i="3"/>
  <c r="CL231" i="3"/>
  <c r="CE231" i="3"/>
  <c r="BS231" i="3"/>
  <c r="BM231" i="3"/>
  <c r="BE231" i="3"/>
  <c r="AU231" i="3"/>
  <c r="AR231" i="3"/>
  <c r="AJ231" i="3"/>
  <c r="AI231" i="3"/>
  <c r="CN230" i="3"/>
  <c r="CM230" i="3"/>
  <c r="CL230" i="3"/>
  <c r="CH230" i="3"/>
  <c r="CE230" i="3"/>
  <c r="BS230" i="3"/>
  <c r="BM230" i="3"/>
  <c r="CO230" i="3" s="1"/>
  <c r="BE230" i="3"/>
  <c r="AU230" i="3"/>
  <c r="AR230" i="3"/>
  <c r="AJ230" i="3"/>
  <c r="AI230" i="3"/>
  <c r="CN229" i="3"/>
  <c r="CL229" i="3"/>
  <c r="CH229" i="3"/>
  <c r="CM229" i="3" s="1"/>
  <c r="CE229" i="3"/>
  <c r="BS229" i="3"/>
  <c r="BP229" i="3"/>
  <c r="BO229" i="3"/>
  <c r="BM229" i="3"/>
  <c r="BF229" i="3"/>
  <c r="BE229" i="3"/>
  <c r="AU229" i="3"/>
  <c r="AR229" i="3"/>
  <c r="CO229" i="3" s="1"/>
  <c r="AJ229" i="3"/>
  <c r="AI229" i="3"/>
  <c r="CO228" i="3"/>
  <c r="CN228" i="3"/>
  <c r="CL228" i="3"/>
  <c r="CE228" i="3"/>
  <c r="BS228" i="3"/>
  <c r="BP228" i="3"/>
  <c r="BO228" i="3"/>
  <c r="BM228" i="3"/>
  <c r="CH228" i="3" s="1"/>
  <c r="CM228" i="3" s="1"/>
  <c r="BE228" i="3"/>
  <c r="AU228" i="3"/>
  <c r="AR228" i="3"/>
  <c r="AJ228" i="3"/>
  <c r="AI228" i="3"/>
  <c r="CN227" i="3"/>
  <c r="CL227" i="3"/>
  <c r="CE227" i="3"/>
  <c r="BS227" i="3"/>
  <c r="BM227" i="3"/>
  <c r="CO227" i="3" s="1"/>
  <c r="BE227" i="3"/>
  <c r="AU227" i="3"/>
  <c r="AR227" i="3"/>
  <c r="AJ227" i="3"/>
  <c r="AI227" i="3"/>
  <c r="CN226" i="3"/>
  <c r="CL226" i="3"/>
  <c r="CE226" i="3"/>
  <c r="BS226" i="3"/>
  <c r="BM226" i="3"/>
  <c r="CH226" i="3" s="1"/>
  <c r="CM226" i="3" s="1"/>
  <c r="BE226" i="3"/>
  <c r="AU226" i="3"/>
  <c r="AR226" i="3"/>
  <c r="AJ226" i="3"/>
  <c r="AI226" i="3"/>
  <c r="CN225" i="3"/>
  <c r="CL225" i="3"/>
  <c r="CE225" i="3"/>
  <c r="BS225" i="3"/>
  <c r="BN225" i="3"/>
  <c r="BP225" i="3" s="1"/>
  <c r="BM225" i="3"/>
  <c r="CH225" i="3" s="1"/>
  <c r="CM225" i="3" s="1"/>
  <c r="BE225" i="3"/>
  <c r="AZ225" i="3"/>
  <c r="AU225" i="3"/>
  <c r="AR225" i="3"/>
  <c r="CO225" i="3" s="1"/>
  <c r="AA225" i="3"/>
  <c r="Z225" i="3"/>
  <c r="CN224" i="3"/>
  <c r="CL224" i="3"/>
  <c r="CE224" i="3"/>
  <c r="BS224" i="3"/>
  <c r="BN224" i="3"/>
  <c r="BP224" i="3" s="1"/>
  <c r="BM224" i="3"/>
  <c r="CH224" i="3" s="1"/>
  <c r="CM224" i="3" s="1"/>
  <c r="BE224" i="3"/>
  <c r="AU224" i="3"/>
  <c r="AR224" i="3"/>
  <c r="CO224" i="3" s="1"/>
  <c r="AA224" i="3"/>
  <c r="Z224" i="3"/>
  <c r="CN223" i="3"/>
  <c r="CL223" i="3"/>
  <c r="CE223" i="3"/>
  <c r="BS223" i="3"/>
  <c r="BN223" i="3"/>
  <c r="BP223" i="3" s="1"/>
  <c r="BM223" i="3"/>
  <c r="BE223" i="3"/>
  <c r="AU223" i="3"/>
  <c r="AR223" i="3"/>
  <c r="AJ223" i="3"/>
  <c r="AI223" i="3"/>
  <c r="AA223" i="3"/>
  <c r="Z223" i="3"/>
  <c r="CO222" i="3"/>
  <c r="AR222" i="3"/>
  <c r="CN221" i="3"/>
  <c r="CL221" i="3"/>
  <c r="CE221" i="3"/>
  <c r="BS221" i="3"/>
  <c r="BP221" i="3"/>
  <c r="BN221" i="3"/>
  <c r="BM221" i="3"/>
  <c r="BE221" i="3"/>
  <c r="AU221" i="3"/>
  <c r="AR221" i="3"/>
  <c r="AJ221" i="3"/>
  <c r="AI221" i="3"/>
  <c r="AA221" i="3"/>
  <c r="Z221" i="3"/>
  <c r="CN220" i="3"/>
  <c r="CL220" i="3"/>
  <c r="CE220" i="3"/>
  <c r="BS220" i="3"/>
  <c r="BN220" i="3"/>
  <c r="BP220" i="3" s="1"/>
  <c r="BM220" i="3"/>
  <c r="CH220" i="3" s="1"/>
  <c r="CM220" i="3" s="1"/>
  <c r="BE220" i="3"/>
  <c r="AU220" i="3"/>
  <c r="AR220" i="3"/>
  <c r="CO220" i="3" s="1"/>
  <c r="AJ220" i="3"/>
  <c r="AI220" i="3"/>
  <c r="AA220" i="3"/>
  <c r="Z220" i="3"/>
  <c r="CN219" i="3"/>
  <c r="CL219" i="3"/>
  <c r="CH219" i="3"/>
  <c r="CM219" i="3" s="1"/>
  <c r="CE219" i="3"/>
  <c r="BS219" i="3"/>
  <c r="BP219" i="3"/>
  <c r="BN219" i="3"/>
  <c r="BM219" i="3"/>
  <c r="BE219" i="3"/>
  <c r="AU219" i="3"/>
  <c r="AR219" i="3"/>
  <c r="CO219" i="3" s="1"/>
  <c r="AJ219" i="3"/>
  <c r="AI219" i="3"/>
  <c r="AA219" i="3"/>
  <c r="Z219" i="3"/>
  <c r="CE218" i="3"/>
  <c r="BP218" i="3"/>
  <c r="BE218" i="3"/>
  <c r="AR218" i="3"/>
  <c r="CO218" i="3" s="1"/>
  <c r="AR217" i="3"/>
  <c r="CO217" i="3" s="1"/>
  <c r="CN216" i="3"/>
  <c r="CL216" i="3"/>
  <c r="CH216" i="3"/>
  <c r="CM216" i="3" s="1"/>
  <c r="CE216" i="3"/>
  <c r="BS216" i="3"/>
  <c r="BP216" i="3"/>
  <c r="BE216" i="3"/>
  <c r="AZ216" i="3"/>
  <c r="AU216" i="3"/>
  <c r="AR216" i="3"/>
  <c r="CO216" i="3" s="1"/>
  <c r="AJ216" i="3"/>
  <c r="AI216" i="3"/>
  <c r="CN215" i="3"/>
  <c r="CM215" i="3"/>
  <c r="CL215" i="3"/>
  <c r="CH215" i="3"/>
  <c r="CE215" i="3"/>
  <c r="BS215" i="3"/>
  <c r="BP215" i="3"/>
  <c r="AZ215" i="3"/>
  <c r="BE215" i="3" s="1"/>
  <c r="AU215" i="3"/>
  <c r="AR215" i="3"/>
  <c r="CO215" i="3" s="1"/>
  <c r="AJ215" i="3"/>
  <c r="AI215" i="3"/>
  <c r="CO214" i="3"/>
  <c r="AR214" i="3"/>
  <c r="AR213" i="3"/>
  <c r="CO213" i="3" s="1"/>
  <c r="CN212" i="3"/>
  <c r="CL212" i="3"/>
  <c r="CH212" i="3"/>
  <c r="CM212" i="3" s="1"/>
  <c r="CE212" i="3"/>
  <c r="BS212" i="3"/>
  <c r="BM212" i="3"/>
  <c r="CO212" i="3" s="1"/>
  <c r="BE212" i="3"/>
  <c r="AU212" i="3"/>
  <c r="AR212" i="3"/>
  <c r="AJ212" i="3"/>
  <c r="AI212" i="3"/>
  <c r="CN211" i="3"/>
  <c r="CM211" i="3"/>
  <c r="CL211" i="3"/>
  <c r="CH211" i="3"/>
  <c r="CE211" i="3"/>
  <c r="BS211" i="3"/>
  <c r="BP211" i="3"/>
  <c r="BE211" i="3"/>
  <c r="AU211" i="3"/>
  <c r="AR211" i="3"/>
  <c r="CO211" i="3" s="1"/>
  <c r="AJ211" i="3"/>
  <c r="AI211" i="3"/>
  <c r="AA211" i="3"/>
  <c r="Z211" i="3"/>
  <c r="J211" i="3"/>
  <c r="CN210" i="3"/>
  <c r="CM210" i="3"/>
  <c r="CL210" i="3"/>
  <c r="CH210" i="3"/>
  <c r="CE210" i="3"/>
  <c r="BS210" i="3"/>
  <c r="BP210" i="3"/>
  <c r="BE210" i="3"/>
  <c r="AU210" i="3"/>
  <c r="AR210" i="3"/>
  <c r="CO210" i="3" s="1"/>
  <c r="AJ210" i="3"/>
  <c r="AI210" i="3"/>
  <c r="CN209" i="3"/>
  <c r="CM209" i="3"/>
  <c r="CL209" i="3"/>
  <c r="CH209" i="3"/>
  <c r="CE209" i="3"/>
  <c r="BS209" i="3"/>
  <c r="BP209" i="3"/>
  <c r="BM209" i="3"/>
  <c r="CO209" i="3" s="1"/>
  <c r="BE209" i="3"/>
  <c r="AU209" i="3"/>
  <c r="AR209" i="3"/>
  <c r="AJ209" i="3"/>
  <c r="AI209" i="3"/>
  <c r="J209" i="3"/>
  <c r="CN208" i="3"/>
  <c r="CL208" i="3"/>
  <c r="CH208" i="3"/>
  <c r="CE208" i="3"/>
  <c r="BS208" i="3"/>
  <c r="BP208" i="3"/>
  <c r="BM208" i="3"/>
  <c r="CO208" i="3" s="1"/>
  <c r="BE208" i="3"/>
  <c r="AU208" i="3"/>
  <c r="AR208" i="3"/>
  <c r="J208" i="3"/>
  <c r="CN207" i="3"/>
  <c r="CL207" i="3"/>
  <c r="CE207" i="3"/>
  <c r="BS207" i="3"/>
  <c r="BP207" i="3"/>
  <c r="BM207" i="3"/>
  <c r="CO207" i="3" s="1"/>
  <c r="BE207" i="3"/>
  <c r="BA207" i="3"/>
  <c r="AU207" i="3"/>
  <c r="AR207" i="3"/>
  <c r="AJ207" i="3"/>
  <c r="AI207" i="3"/>
  <c r="J207" i="3"/>
  <c r="CN206" i="3"/>
  <c r="CL206" i="3"/>
  <c r="CE206" i="3"/>
  <c r="BS206" i="3"/>
  <c r="BP206" i="3"/>
  <c r="BM206" i="3"/>
  <c r="CO206" i="3" s="1"/>
  <c r="BE206" i="3"/>
  <c r="BA206" i="3"/>
  <c r="AU206" i="3"/>
  <c r="AR206" i="3"/>
  <c r="AJ206" i="3"/>
  <c r="AI206" i="3"/>
  <c r="J206" i="3"/>
  <c r="CN205" i="3"/>
  <c r="CL205" i="3"/>
  <c r="CE205" i="3"/>
  <c r="BS205" i="3"/>
  <c r="BM205" i="3"/>
  <c r="CH205" i="3" s="1"/>
  <c r="CM205" i="3" s="1"/>
  <c r="BE205" i="3"/>
  <c r="AU205" i="3"/>
  <c r="AR205" i="3"/>
  <c r="CO205" i="3" s="1"/>
  <c r="AJ205" i="3"/>
  <c r="AI205" i="3"/>
  <c r="CN204" i="3"/>
  <c r="CL204" i="3"/>
  <c r="CH204" i="3"/>
  <c r="CM204" i="3" s="1"/>
  <c r="CE204" i="3"/>
  <c r="BS204" i="3"/>
  <c r="BP204" i="3"/>
  <c r="BM204" i="3"/>
  <c r="CO204" i="3" s="1"/>
  <c r="BE204" i="3"/>
  <c r="AU204" i="3"/>
  <c r="AR204" i="3"/>
  <c r="AJ204" i="3"/>
  <c r="AI204" i="3"/>
  <c r="AA204" i="3"/>
  <c r="Z204" i="3"/>
  <c r="J204" i="3"/>
  <c r="CN203" i="3"/>
  <c r="CL203" i="3"/>
  <c r="CE203" i="3"/>
  <c r="BS203" i="3"/>
  <c r="BM203" i="3"/>
  <c r="CH203" i="3" s="1"/>
  <c r="CM203" i="3" s="1"/>
  <c r="BE203" i="3"/>
  <c r="AU203" i="3"/>
  <c r="AR203" i="3"/>
  <c r="CO203" i="3" s="1"/>
  <c r="AJ203" i="3"/>
  <c r="AI203" i="3"/>
  <c r="CN202" i="3"/>
  <c r="CL202" i="3"/>
  <c r="CH202" i="3"/>
  <c r="CE202" i="3"/>
  <c r="BS202" i="3"/>
  <c r="BM202" i="3"/>
  <c r="BE202" i="3"/>
  <c r="AU202" i="3"/>
  <c r="AR202" i="3"/>
  <c r="CO202" i="3" s="1"/>
  <c r="AJ202" i="3"/>
  <c r="AI202" i="3"/>
  <c r="CN201" i="3"/>
  <c r="CL201" i="3"/>
  <c r="CH201" i="3"/>
  <c r="CM201" i="3" s="1"/>
  <c r="CE201" i="3"/>
  <c r="BS201" i="3"/>
  <c r="BP201" i="3"/>
  <c r="BM201" i="3"/>
  <c r="BE201" i="3"/>
  <c r="AU201" i="3"/>
  <c r="AR201" i="3"/>
  <c r="AJ201" i="3"/>
  <c r="AI201" i="3"/>
  <c r="J201" i="3"/>
  <c r="CN200" i="3"/>
  <c r="CL200" i="3"/>
  <c r="CE200" i="3"/>
  <c r="BS200" i="3"/>
  <c r="BM200" i="3"/>
  <c r="BE200" i="3"/>
  <c r="AU200" i="3"/>
  <c r="AR200" i="3"/>
  <c r="AJ200" i="3"/>
  <c r="AI200" i="3"/>
  <c r="CN199" i="3"/>
  <c r="CM199" i="3"/>
  <c r="CL199" i="3"/>
  <c r="CH199" i="3"/>
  <c r="CE199" i="3"/>
  <c r="BS199" i="3"/>
  <c r="BM199" i="3"/>
  <c r="BE199" i="3"/>
  <c r="AU199" i="3"/>
  <c r="AR199" i="3"/>
  <c r="CO199" i="3" s="1"/>
  <c r="AJ199" i="3"/>
  <c r="AI199" i="3"/>
  <c r="CN198" i="3"/>
  <c r="CL198" i="3"/>
  <c r="CE198" i="3"/>
  <c r="BS198" i="3"/>
  <c r="BP198" i="3"/>
  <c r="BM198" i="3"/>
  <c r="CO198" i="3" s="1"/>
  <c r="BE198" i="3"/>
  <c r="AU198" i="3"/>
  <c r="AR198" i="3"/>
  <c r="AJ198" i="3"/>
  <c r="AI198" i="3"/>
  <c r="AA198" i="3"/>
  <c r="Z198" i="3"/>
  <c r="J198" i="3"/>
  <c r="CN197" i="3"/>
  <c r="CM197" i="3"/>
  <c r="CL197" i="3"/>
  <c r="CH197" i="3"/>
  <c r="CE197" i="3"/>
  <c r="BS197" i="3"/>
  <c r="BP197" i="3"/>
  <c r="BM197" i="3"/>
  <c r="CO197" i="3" s="1"/>
  <c r="BE197" i="3"/>
  <c r="AU197" i="3"/>
  <c r="AR197" i="3"/>
  <c r="AJ197" i="3"/>
  <c r="AI197" i="3"/>
  <c r="AA197" i="3"/>
  <c r="Z197" i="3"/>
  <c r="J197" i="3"/>
  <c r="CM196" i="3"/>
  <c r="CL196" i="3"/>
  <c r="CH196" i="3"/>
  <c r="CE196" i="3"/>
  <c r="BS196" i="3"/>
  <c r="BM196" i="3"/>
  <c r="BE196" i="3"/>
  <c r="AU196" i="3"/>
  <c r="AR196" i="3"/>
  <c r="AJ196" i="3"/>
  <c r="AI196" i="3"/>
  <c r="CL195" i="3"/>
  <c r="CM195" i="3" s="1"/>
  <c r="CH195" i="3"/>
  <c r="CE195" i="3"/>
  <c r="BS195" i="3"/>
  <c r="BP195" i="3"/>
  <c r="BE195" i="3"/>
  <c r="AU195" i="3"/>
  <c r="AR195" i="3"/>
  <c r="CO195" i="3" s="1"/>
  <c r="AJ195" i="3"/>
  <c r="AI195" i="3"/>
  <c r="AR194" i="3"/>
  <c r="CO194" i="3" s="1"/>
  <c r="CM193" i="3"/>
  <c r="CL193" i="3"/>
  <c r="CH193" i="3"/>
  <c r="CE193" i="3"/>
  <c r="BS193" i="3"/>
  <c r="BP193" i="3"/>
  <c r="BE193" i="3"/>
  <c r="AU193" i="3"/>
  <c r="AR193" i="3"/>
  <c r="CO193" i="3" s="1"/>
  <c r="AJ193" i="3"/>
  <c r="AI193" i="3"/>
  <c r="CL192" i="3"/>
  <c r="CH192" i="3"/>
  <c r="CM192" i="3" s="1"/>
  <c r="CE192" i="3"/>
  <c r="BS192" i="3"/>
  <c r="BO192" i="3"/>
  <c r="BP192" i="3" s="1"/>
  <c r="BE192" i="3"/>
  <c r="AU192" i="3"/>
  <c r="AR192" i="3"/>
  <c r="CO192" i="3" s="1"/>
  <c r="AJ192" i="3"/>
  <c r="AI192" i="3"/>
  <c r="CO191" i="3"/>
  <c r="CL191" i="3"/>
  <c r="CE191" i="3"/>
  <c r="BS191" i="3"/>
  <c r="BP191" i="3"/>
  <c r="BO191" i="3"/>
  <c r="BM191" i="3"/>
  <c r="CH191" i="3" s="1"/>
  <c r="CM191" i="3" s="1"/>
  <c r="BE191" i="3"/>
  <c r="AU191" i="3"/>
  <c r="AR191" i="3"/>
  <c r="AJ191" i="3"/>
  <c r="AI191" i="3"/>
  <c r="CL190" i="3"/>
  <c r="CE190" i="3"/>
  <c r="BS190" i="3"/>
  <c r="BO190" i="3"/>
  <c r="BP190" i="3" s="1"/>
  <c r="BM190" i="3"/>
  <c r="CH190" i="3" s="1"/>
  <c r="BE190" i="3"/>
  <c r="AU190" i="3"/>
  <c r="AR190" i="3"/>
  <c r="CO190" i="3" s="1"/>
  <c r="AJ190" i="3"/>
  <c r="AI190" i="3"/>
  <c r="CL189" i="3"/>
  <c r="CE189" i="3"/>
  <c r="BS189" i="3"/>
  <c r="BP189" i="3"/>
  <c r="BM189" i="3"/>
  <c r="CO189" i="3" s="1"/>
  <c r="BE189" i="3"/>
  <c r="AU189" i="3"/>
  <c r="AR189" i="3"/>
  <c r="AJ189" i="3"/>
  <c r="AI189" i="3"/>
  <c r="CL188" i="3"/>
  <c r="CE188" i="3"/>
  <c r="BS188" i="3"/>
  <c r="BP188" i="3"/>
  <c r="BM188" i="3"/>
  <c r="AZ188" i="3"/>
  <c r="BE188" i="3" s="1"/>
  <c r="AU188" i="3"/>
  <c r="AR188" i="3"/>
  <c r="AJ188" i="3"/>
  <c r="AI188" i="3"/>
  <c r="CL187" i="3"/>
  <c r="CE187" i="3"/>
  <c r="BS187" i="3"/>
  <c r="BP187" i="3"/>
  <c r="BM187" i="3"/>
  <c r="BE187" i="3"/>
  <c r="AU187" i="3"/>
  <c r="AR187" i="3"/>
  <c r="AJ187" i="3"/>
  <c r="AI187" i="3"/>
  <c r="CL186" i="3"/>
  <c r="CE186" i="3"/>
  <c r="BS186" i="3"/>
  <c r="BP186" i="3"/>
  <c r="BM186" i="3"/>
  <c r="BE186" i="3"/>
  <c r="AU186" i="3"/>
  <c r="AR186" i="3"/>
  <c r="AJ186" i="3"/>
  <c r="AI186" i="3"/>
  <c r="CL185" i="3"/>
  <c r="CM185" i="3" s="1"/>
  <c r="CH185" i="3"/>
  <c r="CE185" i="3"/>
  <c r="BS185" i="3"/>
  <c r="BP185" i="3"/>
  <c r="BE185" i="3"/>
  <c r="AZ185" i="3"/>
  <c r="AU185" i="3"/>
  <c r="AR185" i="3"/>
  <c r="CO185" i="3" s="1"/>
  <c r="AJ185" i="3"/>
  <c r="AI185" i="3"/>
  <c r="CL184" i="3"/>
  <c r="CH184" i="3"/>
  <c r="CE184" i="3"/>
  <c r="BS184" i="3"/>
  <c r="BP184" i="3"/>
  <c r="BM184" i="3"/>
  <c r="BE184" i="3"/>
  <c r="AU184" i="3"/>
  <c r="AR184" i="3"/>
  <c r="CO184" i="3" s="1"/>
  <c r="AJ184" i="3"/>
  <c r="AI184" i="3"/>
  <c r="CO183" i="3"/>
  <c r="CL183" i="3"/>
  <c r="CH183" i="3"/>
  <c r="CM183" i="3" s="1"/>
  <c r="CE183" i="3"/>
  <c r="BS183" i="3"/>
  <c r="BP183" i="3"/>
  <c r="BM183" i="3"/>
  <c r="BE183" i="3"/>
  <c r="AU183" i="3"/>
  <c r="AR183" i="3"/>
  <c r="AJ183" i="3"/>
  <c r="AI183" i="3"/>
  <c r="CL182" i="3"/>
  <c r="CH182" i="3"/>
  <c r="CM182" i="3" s="1"/>
  <c r="CE182" i="3"/>
  <c r="BS182" i="3"/>
  <c r="BP182" i="3"/>
  <c r="BM182" i="3"/>
  <c r="BE182" i="3"/>
  <c r="AZ182" i="3"/>
  <c r="AU182" i="3"/>
  <c r="AR182" i="3"/>
  <c r="CO182" i="3" s="1"/>
  <c r="AJ182" i="3"/>
  <c r="AI182" i="3"/>
  <c r="CO181" i="3"/>
  <c r="CL181" i="3"/>
  <c r="CH181" i="3"/>
  <c r="CM181" i="3" s="1"/>
  <c r="CE181" i="3"/>
  <c r="BS181" i="3"/>
  <c r="BP181" i="3"/>
  <c r="BM181" i="3"/>
  <c r="BE181" i="3"/>
  <c r="AZ181" i="3"/>
  <c r="AU181" i="3"/>
  <c r="AR181" i="3"/>
  <c r="AJ181" i="3"/>
  <c r="AI181" i="3"/>
  <c r="CL180" i="3"/>
  <c r="CE180" i="3"/>
  <c r="BS180" i="3"/>
  <c r="BP180" i="3"/>
  <c r="BM180" i="3"/>
  <c r="BE180" i="3"/>
  <c r="AU180" i="3"/>
  <c r="AR180" i="3"/>
  <c r="AJ180" i="3"/>
  <c r="AI180" i="3"/>
  <c r="AR179" i="3"/>
  <c r="CO179" i="3" s="1"/>
  <c r="CN178" i="3"/>
  <c r="CE178" i="3"/>
  <c r="BP178" i="3"/>
  <c r="BM178" i="3"/>
  <c r="BE178" i="3"/>
  <c r="AR178" i="3"/>
  <c r="CO178" i="3" s="1"/>
  <c r="CN177" i="3"/>
  <c r="CE177" i="3"/>
  <c r="BP177" i="3"/>
  <c r="BE177" i="3"/>
  <c r="AR177" i="3"/>
  <c r="CO177" i="3" s="1"/>
  <c r="CO176" i="3"/>
  <c r="CL176" i="3"/>
  <c r="CH176" i="3"/>
  <c r="CM176" i="3" s="1"/>
  <c r="CE176" i="3"/>
  <c r="BS176" i="3"/>
  <c r="BP176" i="3"/>
  <c r="BM176" i="3"/>
  <c r="BE176" i="3"/>
  <c r="AU176" i="3"/>
  <c r="AR176" i="3"/>
  <c r="AJ176" i="3"/>
  <c r="AI176" i="3"/>
  <c r="CL175" i="3"/>
  <c r="CH175" i="3"/>
  <c r="CM175" i="3" s="1"/>
  <c r="CE175" i="3"/>
  <c r="BS175" i="3"/>
  <c r="BP175" i="3"/>
  <c r="BM175" i="3"/>
  <c r="BE175" i="3"/>
  <c r="AU175" i="3"/>
  <c r="AR175" i="3"/>
  <c r="CO175" i="3" s="1"/>
  <c r="AJ175" i="3"/>
  <c r="AI175" i="3"/>
  <c r="CL174" i="3"/>
  <c r="CE174" i="3"/>
  <c r="BS174" i="3"/>
  <c r="BP174" i="3"/>
  <c r="BM174" i="3"/>
  <c r="CH174" i="3" s="1"/>
  <c r="CM174" i="3" s="1"/>
  <c r="BE174" i="3"/>
  <c r="AU174" i="3"/>
  <c r="AR174" i="3"/>
  <c r="CO174" i="3" s="1"/>
  <c r="AJ174" i="3"/>
  <c r="AI174" i="3"/>
  <c r="CM173" i="3"/>
  <c r="CL173" i="3"/>
  <c r="CH173" i="3"/>
  <c r="CE173" i="3"/>
  <c r="BS173" i="3"/>
  <c r="BP173" i="3"/>
  <c r="BE173" i="3"/>
  <c r="AU173" i="3"/>
  <c r="AR173" i="3"/>
  <c r="CO173" i="3" s="1"/>
  <c r="AJ173" i="3"/>
  <c r="AI173" i="3"/>
  <c r="CL172" i="3"/>
  <c r="CH172" i="3"/>
  <c r="CM172" i="3" s="1"/>
  <c r="CE172" i="3"/>
  <c r="BS172" i="3"/>
  <c r="BM172" i="3"/>
  <c r="BE172" i="3"/>
  <c r="AU172" i="3"/>
  <c r="AR172" i="3"/>
  <c r="CO172" i="3" s="1"/>
  <c r="AJ172" i="3"/>
  <c r="AI172" i="3"/>
  <c r="CL171" i="3"/>
  <c r="CE171" i="3"/>
  <c r="BS171" i="3"/>
  <c r="BP171" i="3"/>
  <c r="BM171" i="3"/>
  <c r="BE171" i="3"/>
  <c r="AU171" i="3"/>
  <c r="AR171" i="3"/>
  <c r="AJ171" i="3"/>
  <c r="AI171" i="3"/>
  <c r="CL170" i="3"/>
  <c r="CE170" i="3"/>
  <c r="BS170" i="3"/>
  <c r="BP170" i="3"/>
  <c r="BM170" i="3"/>
  <c r="BE170" i="3"/>
  <c r="AU170" i="3"/>
  <c r="AR170" i="3"/>
  <c r="AJ170" i="3"/>
  <c r="AI170" i="3"/>
  <c r="AR169" i="3"/>
  <c r="CO169" i="3" s="1"/>
  <c r="CN168" i="3"/>
  <c r="CL168" i="3"/>
  <c r="CM168" i="3" s="1"/>
  <c r="CH168" i="3"/>
  <c r="CE168" i="3"/>
  <c r="BS168" i="3"/>
  <c r="BO168" i="3"/>
  <c r="BP168" i="3" s="1"/>
  <c r="BM168" i="3"/>
  <c r="BE168" i="3"/>
  <c r="AU168" i="3"/>
  <c r="AR168" i="3"/>
  <c r="CO168" i="3" s="1"/>
  <c r="AJ168" i="3"/>
  <c r="AI168" i="3"/>
  <c r="CN167" i="3"/>
  <c r="CL167" i="3"/>
  <c r="CH167" i="3"/>
  <c r="CM167" i="3" s="1"/>
  <c r="CE167" i="3"/>
  <c r="BS167" i="3"/>
  <c r="BM167" i="3"/>
  <c r="BE167" i="3"/>
  <c r="AU167" i="3"/>
  <c r="AR167" i="3"/>
  <c r="AJ167" i="3"/>
  <c r="AI167" i="3"/>
  <c r="CN166" i="3"/>
  <c r="CL166" i="3"/>
  <c r="CE166" i="3"/>
  <c r="BS166" i="3"/>
  <c r="BM166" i="3"/>
  <c r="CH166" i="3" s="1"/>
  <c r="CM166" i="3" s="1"/>
  <c r="BE166" i="3"/>
  <c r="AU166" i="3"/>
  <c r="AR166" i="3"/>
  <c r="AJ166" i="3"/>
  <c r="AI166" i="3"/>
  <c r="CN165" i="3"/>
  <c r="CL165" i="3"/>
  <c r="CE165" i="3"/>
  <c r="BS165" i="3"/>
  <c r="BO165" i="3"/>
  <c r="BP165" i="3" s="1"/>
  <c r="BM165" i="3"/>
  <c r="CH165" i="3" s="1"/>
  <c r="CM165" i="3" s="1"/>
  <c r="BE165" i="3"/>
  <c r="AU165" i="3"/>
  <c r="AR165" i="3"/>
  <c r="CO165" i="3" s="1"/>
  <c r="AJ165" i="3"/>
  <c r="AI165" i="3"/>
  <c r="CN164" i="3"/>
  <c r="CL164" i="3"/>
  <c r="CE164" i="3"/>
  <c r="BS164" i="3"/>
  <c r="BM164" i="3"/>
  <c r="BE164" i="3"/>
  <c r="AU164" i="3"/>
  <c r="AR164" i="3"/>
  <c r="AJ164" i="3"/>
  <c r="AI164" i="3"/>
  <c r="CN163" i="3"/>
  <c r="CM163" i="3"/>
  <c r="CL163" i="3"/>
  <c r="CH163" i="3"/>
  <c r="CE163" i="3"/>
  <c r="BS163" i="3"/>
  <c r="BO163" i="3"/>
  <c r="BP163" i="3" s="1"/>
  <c r="BM163" i="3"/>
  <c r="BE163" i="3"/>
  <c r="AU163" i="3"/>
  <c r="AR163" i="3"/>
  <c r="CO163" i="3" s="1"/>
  <c r="AJ163" i="3"/>
  <c r="AI163" i="3"/>
  <c r="CN162" i="3"/>
  <c r="CL162" i="3"/>
  <c r="CE162" i="3"/>
  <c r="BS162" i="3"/>
  <c r="BO162" i="3"/>
  <c r="BP162" i="3" s="1"/>
  <c r="BM162" i="3"/>
  <c r="BE162" i="3"/>
  <c r="AU162" i="3"/>
  <c r="AR162" i="3"/>
  <c r="AJ162" i="3"/>
  <c r="AI162" i="3"/>
  <c r="CN161" i="3"/>
  <c r="CL161" i="3"/>
  <c r="CH161" i="3"/>
  <c r="CM161" i="3" s="1"/>
  <c r="CE161" i="3"/>
  <c r="BS161" i="3"/>
  <c r="BP161" i="3"/>
  <c r="BO161" i="3"/>
  <c r="BM161" i="3"/>
  <c r="BE161" i="3"/>
  <c r="AU161" i="3"/>
  <c r="AR161" i="3"/>
  <c r="AJ161" i="3"/>
  <c r="AI161" i="3"/>
  <c r="CO160" i="3"/>
  <c r="CN160" i="3"/>
  <c r="CL160" i="3"/>
  <c r="CM160" i="3" s="1"/>
  <c r="CH160" i="3"/>
  <c r="CE160" i="3"/>
  <c r="BS160" i="3"/>
  <c r="BO160" i="3"/>
  <c r="BP160" i="3" s="1"/>
  <c r="BM160" i="3"/>
  <c r="BE160" i="3"/>
  <c r="AU160" i="3"/>
  <c r="AR160" i="3"/>
  <c r="AJ160" i="3"/>
  <c r="AI160" i="3"/>
  <c r="CN159" i="3"/>
  <c r="CL159" i="3"/>
  <c r="CH159" i="3"/>
  <c r="CM159" i="3" s="1"/>
  <c r="CE159" i="3"/>
  <c r="BS159" i="3"/>
  <c r="BM159" i="3"/>
  <c r="BE159" i="3"/>
  <c r="AU159" i="3"/>
  <c r="AR159" i="3"/>
  <c r="AJ159" i="3"/>
  <c r="AI159" i="3"/>
  <c r="CN158" i="3"/>
  <c r="CL158" i="3"/>
  <c r="CE158" i="3"/>
  <c r="BS158" i="3"/>
  <c r="BM158" i="3"/>
  <c r="CH158" i="3" s="1"/>
  <c r="CM158" i="3" s="1"/>
  <c r="BE158" i="3"/>
  <c r="AU158" i="3"/>
  <c r="AR158" i="3"/>
  <c r="AJ158" i="3"/>
  <c r="AI158" i="3"/>
  <c r="CN157" i="3"/>
  <c r="CL157" i="3"/>
  <c r="CE157" i="3"/>
  <c r="BS157" i="3"/>
  <c r="BO157" i="3"/>
  <c r="BP157" i="3" s="1"/>
  <c r="BM157" i="3"/>
  <c r="CH157" i="3" s="1"/>
  <c r="CM157" i="3" s="1"/>
  <c r="BE157" i="3"/>
  <c r="AU157" i="3"/>
  <c r="AR157" i="3"/>
  <c r="CO157" i="3" s="1"/>
  <c r="AI157" i="3"/>
  <c r="CO156" i="3"/>
  <c r="CN156" i="3"/>
  <c r="CM156" i="3"/>
  <c r="CL156" i="3"/>
  <c r="CH156" i="3"/>
  <c r="CE156" i="3"/>
  <c r="BS156" i="3"/>
  <c r="BO156" i="3"/>
  <c r="BP156" i="3" s="1"/>
  <c r="BM156" i="3"/>
  <c r="BE156" i="3"/>
  <c r="AU156" i="3"/>
  <c r="AR156" i="3"/>
  <c r="AI156" i="3"/>
  <c r="CN155" i="3"/>
  <c r="CL155" i="3"/>
  <c r="CH155" i="3"/>
  <c r="CM155" i="3" s="1"/>
  <c r="CE155" i="3"/>
  <c r="BS155" i="3"/>
  <c r="BM155" i="3"/>
  <c r="CO155" i="3" s="1"/>
  <c r="BE155" i="3"/>
  <c r="AU155" i="3"/>
  <c r="AR155" i="3"/>
  <c r="AI155" i="3"/>
  <c r="CN154" i="3"/>
  <c r="CL154" i="3"/>
  <c r="CH154" i="3"/>
  <c r="CM154" i="3" s="1"/>
  <c r="CE154" i="3"/>
  <c r="BS154" i="3"/>
  <c r="BM154" i="3"/>
  <c r="BE154" i="3"/>
  <c r="AU154" i="3"/>
  <c r="AR154" i="3"/>
  <c r="AI154" i="3"/>
  <c r="CO153" i="3"/>
  <c r="CN153" i="3"/>
  <c r="CL153" i="3"/>
  <c r="CE153" i="3"/>
  <c r="BS153" i="3"/>
  <c r="BO153" i="3"/>
  <c r="BP153" i="3" s="1"/>
  <c r="BM153" i="3"/>
  <c r="CH153" i="3" s="1"/>
  <c r="CM153" i="3" s="1"/>
  <c r="BE153" i="3"/>
  <c r="AU153" i="3"/>
  <c r="AR153" i="3"/>
  <c r="AI153" i="3"/>
  <c r="CN152" i="3"/>
  <c r="CM152" i="3"/>
  <c r="CL152" i="3"/>
  <c r="CH152" i="3"/>
  <c r="CE152" i="3"/>
  <c r="BS152" i="3"/>
  <c r="BO152" i="3"/>
  <c r="BP152" i="3" s="1"/>
  <c r="BM152" i="3"/>
  <c r="BE152" i="3"/>
  <c r="AU152" i="3"/>
  <c r="AR152" i="3"/>
  <c r="CO152" i="3" s="1"/>
  <c r="AI152" i="3"/>
  <c r="CN151" i="3"/>
  <c r="CL151" i="3"/>
  <c r="CH151" i="3"/>
  <c r="CM151" i="3" s="1"/>
  <c r="CE151" i="3"/>
  <c r="BS151" i="3"/>
  <c r="BM151" i="3"/>
  <c r="BE151" i="3"/>
  <c r="AU151" i="3"/>
  <c r="AR151" i="3"/>
  <c r="AJ151" i="3"/>
  <c r="AI151" i="3"/>
  <c r="CO150" i="3"/>
  <c r="CN150" i="3"/>
  <c r="CL150" i="3"/>
  <c r="CM150" i="3" s="1"/>
  <c r="CH150" i="3"/>
  <c r="CE150" i="3"/>
  <c r="BS150" i="3"/>
  <c r="BO150" i="3"/>
  <c r="BP150" i="3" s="1"/>
  <c r="BM150" i="3"/>
  <c r="BE150" i="3"/>
  <c r="AU150" i="3"/>
  <c r="AR150" i="3"/>
  <c r="AJ150" i="3"/>
  <c r="AI150" i="3"/>
  <c r="CN149" i="3"/>
  <c r="CL149" i="3"/>
  <c r="CE149" i="3"/>
  <c r="BS149" i="3"/>
  <c r="BM149" i="3"/>
  <c r="BE149" i="3"/>
  <c r="AU149" i="3"/>
  <c r="AR149" i="3"/>
  <c r="AJ149" i="3"/>
  <c r="AI149" i="3"/>
  <c r="CN148" i="3"/>
  <c r="CM148" i="3"/>
  <c r="CL148" i="3"/>
  <c r="CE148" i="3"/>
  <c r="BS148" i="3"/>
  <c r="BM148" i="3"/>
  <c r="CH148" i="3" s="1"/>
  <c r="BE148" i="3"/>
  <c r="AU148" i="3"/>
  <c r="AR148" i="3"/>
  <c r="AJ148" i="3"/>
  <c r="AI148" i="3"/>
  <c r="CN147" i="3"/>
  <c r="CL147" i="3"/>
  <c r="CE147" i="3"/>
  <c r="BS147" i="3"/>
  <c r="BO147" i="3"/>
  <c r="BP147" i="3" s="1"/>
  <c r="BM147" i="3"/>
  <c r="CH147" i="3" s="1"/>
  <c r="CM147" i="3" s="1"/>
  <c r="BE147" i="3"/>
  <c r="AU147" i="3"/>
  <c r="AR147" i="3"/>
  <c r="CO147" i="3" s="1"/>
  <c r="AJ147" i="3"/>
  <c r="AI147" i="3"/>
  <c r="CN146" i="3"/>
  <c r="CL146" i="3"/>
  <c r="CH146" i="3"/>
  <c r="CM146" i="3" s="1"/>
  <c r="CE146" i="3"/>
  <c r="BS146" i="3"/>
  <c r="BM146" i="3"/>
  <c r="BE146" i="3"/>
  <c r="AU146" i="3"/>
  <c r="AR146" i="3"/>
  <c r="AJ146" i="3"/>
  <c r="AI146" i="3"/>
  <c r="CL145" i="3"/>
  <c r="CH145" i="3"/>
  <c r="CE145" i="3"/>
  <c r="BS145" i="3"/>
  <c r="BP145" i="3"/>
  <c r="BM145" i="3"/>
  <c r="BE145" i="3"/>
  <c r="AU145" i="3"/>
  <c r="AR145" i="3"/>
  <c r="CO145" i="3" s="1"/>
  <c r="AJ145" i="3"/>
  <c r="AI145" i="3"/>
  <c r="CO144" i="3"/>
  <c r="CL144" i="3"/>
  <c r="CH144" i="3"/>
  <c r="CM144" i="3" s="1"/>
  <c r="CE144" i="3"/>
  <c r="BS144" i="3"/>
  <c r="BP144" i="3"/>
  <c r="BM144" i="3"/>
  <c r="BE144" i="3"/>
  <c r="AU144" i="3"/>
  <c r="AR144" i="3"/>
  <c r="AJ144" i="3"/>
  <c r="AI144" i="3"/>
  <c r="CN143" i="3"/>
  <c r="CL143" i="3"/>
  <c r="CE143" i="3"/>
  <c r="BS143" i="3"/>
  <c r="BP143" i="3"/>
  <c r="BM143" i="3"/>
  <c r="CH143" i="3" s="1"/>
  <c r="CM143" i="3" s="1"/>
  <c r="BE143" i="3"/>
  <c r="AU143" i="3"/>
  <c r="AR143" i="3"/>
  <c r="AJ143" i="3"/>
  <c r="AI143" i="3"/>
  <c r="CN142" i="3"/>
  <c r="CM142" i="3"/>
  <c r="CL142" i="3"/>
  <c r="CH142" i="3"/>
  <c r="CE142" i="3"/>
  <c r="BS142" i="3"/>
  <c r="BM142" i="3"/>
  <c r="BE142" i="3"/>
  <c r="AU142" i="3"/>
  <c r="AR142" i="3"/>
  <c r="CO142" i="3" s="1"/>
  <c r="AJ142" i="3"/>
  <c r="AI142" i="3"/>
  <c r="CN141" i="3"/>
  <c r="CL141" i="3"/>
  <c r="CH141" i="3"/>
  <c r="CM141" i="3" s="1"/>
  <c r="CE141" i="3"/>
  <c r="BS141" i="3"/>
  <c r="BE141" i="3"/>
  <c r="AU141" i="3"/>
  <c r="AR141" i="3"/>
  <c r="CO141" i="3" s="1"/>
  <c r="AJ141" i="3"/>
  <c r="AI141" i="3"/>
  <c r="CO140" i="3"/>
  <c r="CN140" i="3"/>
  <c r="CE140" i="3"/>
  <c r="BP140" i="3"/>
  <c r="BE140" i="3"/>
  <c r="AR140" i="3"/>
  <c r="CN139" i="3"/>
  <c r="CE139" i="3"/>
  <c r="BP139" i="3"/>
  <c r="BM139" i="3"/>
  <c r="CO139" i="3" s="1"/>
  <c r="BE139" i="3"/>
  <c r="AR139" i="3"/>
  <c r="CN138" i="3"/>
  <c r="CE138" i="3"/>
  <c r="BP138" i="3"/>
  <c r="BM138" i="3"/>
  <c r="BE138" i="3"/>
  <c r="AR138" i="3"/>
  <c r="CN137" i="3"/>
  <c r="CE137" i="3"/>
  <c r="BP137" i="3"/>
  <c r="BM137" i="3"/>
  <c r="BE137" i="3"/>
  <c r="AR137" i="3"/>
  <c r="CO137" i="3" s="1"/>
  <c r="CL136" i="3"/>
  <c r="CE136" i="3"/>
  <c r="BS136" i="3"/>
  <c r="BP136" i="3"/>
  <c r="BM136" i="3"/>
  <c r="AZ136" i="3"/>
  <c r="BE136" i="3" s="1"/>
  <c r="AU136" i="3"/>
  <c r="AR136" i="3"/>
  <c r="AJ136" i="3"/>
  <c r="AI136" i="3"/>
  <c r="CL135" i="3"/>
  <c r="CH135" i="3"/>
  <c r="CM135" i="3" s="1"/>
  <c r="CE135" i="3"/>
  <c r="BS135" i="3"/>
  <c r="BP135" i="3"/>
  <c r="BM135" i="3"/>
  <c r="BE135" i="3"/>
  <c r="AZ135" i="3"/>
  <c r="AU135" i="3"/>
  <c r="AR135" i="3"/>
  <c r="CO135" i="3" s="1"/>
  <c r="AJ135" i="3"/>
  <c r="AI135" i="3"/>
  <c r="CL134" i="3"/>
  <c r="CH134" i="3"/>
  <c r="CE134" i="3"/>
  <c r="BS134" i="3"/>
  <c r="BP134" i="3"/>
  <c r="BM134" i="3"/>
  <c r="BE134" i="3"/>
  <c r="AZ134" i="3"/>
  <c r="AU134" i="3"/>
  <c r="AR134" i="3"/>
  <c r="CO134" i="3" s="1"/>
  <c r="AJ134" i="3"/>
  <c r="AI134" i="3"/>
  <c r="AR133" i="3"/>
  <c r="CO133" i="3" s="1"/>
  <c r="CL132" i="3"/>
  <c r="CH132" i="3"/>
  <c r="CM132" i="3" s="1"/>
  <c r="CE132" i="3"/>
  <c r="BS132" i="3"/>
  <c r="BP132" i="3"/>
  <c r="BM132" i="3"/>
  <c r="BE132" i="3"/>
  <c r="AU132" i="3"/>
  <c r="AR132" i="3"/>
  <c r="CO132" i="3" s="1"/>
  <c r="AJ132" i="3"/>
  <c r="AI132" i="3"/>
  <c r="CL131" i="3"/>
  <c r="CH131" i="3"/>
  <c r="CM131" i="3" s="1"/>
  <c r="CE131" i="3"/>
  <c r="BP131" i="3"/>
  <c r="BO131" i="3"/>
  <c r="BM131" i="3"/>
  <c r="BE131" i="3"/>
  <c r="AR131" i="3"/>
  <c r="CO131" i="3" s="1"/>
  <c r="CO130" i="3"/>
  <c r="CL130" i="3"/>
  <c r="CH130" i="3"/>
  <c r="CM130" i="3" s="1"/>
  <c r="CE130" i="3"/>
  <c r="BP130" i="3"/>
  <c r="BE130" i="3"/>
  <c r="AR130" i="3"/>
  <c r="CN129" i="3"/>
  <c r="CL129" i="3"/>
  <c r="CH129" i="3"/>
  <c r="CE129" i="3"/>
  <c r="BS129" i="3"/>
  <c r="BM129" i="3"/>
  <c r="BE129" i="3"/>
  <c r="AU129" i="3"/>
  <c r="AR129" i="3"/>
  <c r="CO129" i="3" s="1"/>
  <c r="AJ129" i="3"/>
  <c r="AI129" i="3"/>
  <c r="CN128" i="3"/>
  <c r="CL128" i="3"/>
  <c r="CH128" i="3"/>
  <c r="CM128" i="3" s="1"/>
  <c r="CE128" i="3"/>
  <c r="BS128" i="3"/>
  <c r="BM128" i="3"/>
  <c r="CO128" i="3" s="1"/>
  <c r="BE128" i="3"/>
  <c r="AU128" i="3"/>
  <c r="AR128" i="3"/>
  <c r="AJ128" i="3"/>
  <c r="AI128" i="3"/>
  <c r="J128" i="3"/>
  <c r="CN127" i="3"/>
  <c r="CL127" i="3"/>
  <c r="CE127" i="3"/>
  <c r="BS127" i="3"/>
  <c r="BN127" i="3"/>
  <c r="BP127" i="3" s="1"/>
  <c r="BM127" i="3"/>
  <c r="CH127" i="3" s="1"/>
  <c r="CM127" i="3" s="1"/>
  <c r="BE127" i="3"/>
  <c r="AU127" i="3"/>
  <c r="AR127" i="3"/>
  <c r="CO127" i="3" s="1"/>
  <c r="AJ127" i="3"/>
  <c r="AI127" i="3"/>
  <c r="AA127" i="3"/>
  <c r="Z127" i="3"/>
  <c r="J127" i="3"/>
  <c r="CN126" i="3"/>
  <c r="CL126" i="3"/>
  <c r="CE126" i="3"/>
  <c r="BS126" i="3"/>
  <c r="BP126" i="3"/>
  <c r="BN126" i="3"/>
  <c r="BM126" i="3"/>
  <c r="BE126" i="3"/>
  <c r="AU126" i="3"/>
  <c r="AR126" i="3"/>
  <c r="AJ126" i="3"/>
  <c r="AI126" i="3"/>
  <c r="AA126" i="3"/>
  <c r="Z126" i="3"/>
  <c r="J126" i="3"/>
  <c r="CN125" i="3"/>
  <c r="CL125" i="3"/>
  <c r="CH125" i="3"/>
  <c r="CM125" i="3" s="1"/>
  <c r="CE125" i="3"/>
  <c r="BS125" i="3"/>
  <c r="BP125" i="3"/>
  <c r="BN125" i="3"/>
  <c r="BM125" i="3"/>
  <c r="BE125" i="3"/>
  <c r="AU125" i="3"/>
  <c r="AR125" i="3"/>
  <c r="AJ125" i="3"/>
  <c r="AI125" i="3"/>
  <c r="J125" i="3"/>
  <c r="CN124" i="3"/>
  <c r="CL124" i="3"/>
  <c r="CE124" i="3"/>
  <c r="BS124" i="3"/>
  <c r="BP124" i="3"/>
  <c r="BO124" i="3"/>
  <c r="BN124" i="3"/>
  <c r="BM124" i="3"/>
  <c r="BE124" i="3"/>
  <c r="AU124" i="3"/>
  <c r="AR124" i="3"/>
  <c r="AJ124" i="3"/>
  <c r="AI124" i="3"/>
  <c r="AA124" i="3"/>
  <c r="Z124" i="3"/>
  <c r="J124" i="3"/>
  <c r="CN123" i="3"/>
  <c r="CL123" i="3"/>
  <c r="CH123" i="3"/>
  <c r="CM123" i="3" s="1"/>
  <c r="CE123" i="3"/>
  <c r="BS123" i="3"/>
  <c r="BP123" i="3"/>
  <c r="BO123" i="3"/>
  <c r="BN123" i="3"/>
  <c r="BM123" i="3"/>
  <c r="CO123" i="3" s="1"/>
  <c r="BE123" i="3"/>
  <c r="AU123" i="3"/>
  <c r="AR123" i="3"/>
  <c r="AJ123" i="3"/>
  <c r="AI123" i="3"/>
  <c r="AA123" i="3"/>
  <c r="Z123" i="3"/>
  <c r="J123" i="3"/>
  <c r="CN122" i="3"/>
  <c r="CL122" i="3"/>
  <c r="CH122" i="3"/>
  <c r="CM122" i="3" s="1"/>
  <c r="CE122" i="3"/>
  <c r="BS122" i="3"/>
  <c r="BM122" i="3"/>
  <c r="BE122" i="3"/>
  <c r="AU122" i="3"/>
  <c r="AR122" i="3"/>
  <c r="AJ122" i="3"/>
  <c r="AI122" i="3"/>
  <c r="AA122" i="3"/>
  <c r="Z122" i="3"/>
  <c r="J122" i="3"/>
  <c r="CN121" i="3"/>
  <c r="CL121" i="3"/>
  <c r="CH121" i="3"/>
  <c r="CM121" i="3" s="1"/>
  <c r="CE121" i="3"/>
  <c r="BS121" i="3"/>
  <c r="BE121" i="3"/>
  <c r="AU121" i="3"/>
  <c r="AR121" i="3"/>
  <c r="CO121" i="3" s="1"/>
  <c r="AJ121" i="3"/>
  <c r="AI121" i="3"/>
  <c r="AA121" i="3"/>
  <c r="Z121" i="3"/>
  <c r="CN120" i="3"/>
  <c r="CL120" i="3"/>
  <c r="CE120" i="3"/>
  <c r="BS120" i="3"/>
  <c r="BM120" i="3"/>
  <c r="CH120" i="3" s="1"/>
  <c r="BE120" i="3"/>
  <c r="AU120" i="3"/>
  <c r="AR120" i="3"/>
  <c r="CO120" i="3" s="1"/>
  <c r="AJ120" i="3"/>
  <c r="AI120" i="3"/>
  <c r="CN119" i="3"/>
  <c r="CL119" i="3"/>
  <c r="CH119" i="3"/>
  <c r="CE119" i="3"/>
  <c r="BS119" i="3"/>
  <c r="BM119" i="3"/>
  <c r="BE119" i="3"/>
  <c r="AU119" i="3"/>
  <c r="AR119" i="3"/>
  <c r="CO119" i="3" s="1"/>
  <c r="AA119" i="3"/>
  <c r="Z119" i="3"/>
  <c r="BE118" i="3"/>
  <c r="AR118" i="3"/>
  <c r="CO118" i="3" s="1"/>
  <c r="AA118" i="3"/>
  <c r="Z118" i="3"/>
  <c r="BM117" i="3"/>
  <c r="BE117" i="3"/>
  <c r="AR117" i="3"/>
  <c r="AA117" i="3"/>
  <c r="Z117" i="3"/>
  <c r="CN116" i="3"/>
  <c r="CL116" i="3"/>
  <c r="CH116" i="3"/>
  <c r="CE116" i="3"/>
  <c r="BS116" i="3"/>
  <c r="BM116" i="3"/>
  <c r="BE116" i="3"/>
  <c r="AU116" i="3"/>
  <c r="AR116" i="3"/>
  <c r="CO116" i="3" s="1"/>
  <c r="AJ116" i="3"/>
  <c r="AI116" i="3"/>
  <c r="CN115" i="3"/>
  <c r="CL115" i="3"/>
  <c r="CH115" i="3"/>
  <c r="CM115" i="3" s="1"/>
  <c r="CE115" i="3"/>
  <c r="BS115" i="3"/>
  <c r="BM115" i="3"/>
  <c r="CO115" i="3" s="1"/>
  <c r="BE115" i="3"/>
  <c r="AU115" i="3"/>
  <c r="AR115" i="3"/>
  <c r="AJ115" i="3"/>
  <c r="AI115" i="3"/>
  <c r="CN114" i="3"/>
  <c r="CL114" i="3"/>
  <c r="CH114" i="3"/>
  <c r="CM114" i="3" s="1"/>
  <c r="CE114" i="3"/>
  <c r="BS114" i="3"/>
  <c r="BM114" i="3"/>
  <c r="CO114" i="3" s="1"/>
  <c r="BE114" i="3"/>
  <c r="AU114" i="3"/>
  <c r="AR114" i="3"/>
  <c r="AJ114" i="3"/>
  <c r="AI114" i="3"/>
  <c r="CN113" i="3"/>
  <c r="CL113" i="3"/>
  <c r="CE113" i="3"/>
  <c r="BS113" i="3"/>
  <c r="BM113" i="3"/>
  <c r="BE113" i="3"/>
  <c r="AU113" i="3"/>
  <c r="AR113" i="3"/>
  <c r="AJ113" i="3"/>
  <c r="AI113" i="3"/>
  <c r="CN112" i="3"/>
  <c r="CL112" i="3"/>
  <c r="CE112" i="3"/>
  <c r="BS112" i="3"/>
  <c r="BM112" i="3"/>
  <c r="BE112" i="3"/>
  <c r="AU112" i="3"/>
  <c r="AR112" i="3"/>
  <c r="AJ112" i="3"/>
  <c r="AI112" i="3"/>
  <c r="CN111" i="3"/>
  <c r="CM111" i="3"/>
  <c r="CL111" i="3"/>
  <c r="CH111" i="3"/>
  <c r="CE111" i="3"/>
  <c r="BS111" i="3"/>
  <c r="BM111" i="3"/>
  <c r="BE111" i="3"/>
  <c r="AY111" i="3"/>
  <c r="AU111" i="3"/>
  <c r="AR111" i="3"/>
  <c r="CO111" i="3" s="1"/>
  <c r="AJ111" i="3"/>
  <c r="AI111" i="3"/>
  <c r="CN110" i="3"/>
  <c r="CL110" i="3"/>
  <c r="CH110" i="3"/>
  <c r="CM110" i="3" s="1"/>
  <c r="CE110" i="3"/>
  <c r="BS110" i="3"/>
  <c r="BM110" i="3"/>
  <c r="CO110" i="3" s="1"/>
  <c r="BE110" i="3"/>
  <c r="AY110" i="3"/>
  <c r="AU110" i="3"/>
  <c r="AR110" i="3"/>
  <c r="AJ110" i="3"/>
  <c r="AI110" i="3"/>
  <c r="CN109" i="3"/>
  <c r="CL109" i="3"/>
  <c r="CE109" i="3"/>
  <c r="BS109" i="3"/>
  <c r="BP109" i="3"/>
  <c r="BN109" i="3"/>
  <c r="BM109" i="3"/>
  <c r="BE109" i="3"/>
  <c r="AU109" i="3"/>
  <c r="AR109" i="3"/>
  <c r="AJ109" i="3"/>
  <c r="AI109" i="3"/>
  <c r="AA109" i="3"/>
  <c r="Z109" i="3"/>
  <c r="CN108" i="3"/>
  <c r="CL108" i="3"/>
  <c r="CE108" i="3"/>
  <c r="BS108" i="3"/>
  <c r="BM108" i="3"/>
  <c r="CH108" i="3" s="1"/>
  <c r="CM108" i="3" s="1"/>
  <c r="BE108" i="3"/>
  <c r="AU108" i="3"/>
  <c r="AR108" i="3"/>
  <c r="CO108" i="3" s="1"/>
  <c r="AJ108" i="3"/>
  <c r="AI108" i="3"/>
  <c r="AA108" i="3"/>
  <c r="Z108" i="3"/>
  <c r="CN107" i="3"/>
  <c r="CL107" i="3"/>
  <c r="CH107" i="3"/>
  <c r="CM107" i="3" s="1"/>
  <c r="CE107" i="3"/>
  <c r="BS107" i="3"/>
  <c r="BM107" i="3"/>
  <c r="CO107" i="3" s="1"/>
  <c r="BE107" i="3"/>
  <c r="AU107" i="3"/>
  <c r="AR107" i="3"/>
  <c r="AJ107" i="3"/>
  <c r="AI107" i="3"/>
  <c r="CN106" i="3"/>
  <c r="CL106" i="3"/>
  <c r="CE106" i="3"/>
  <c r="BS106" i="3"/>
  <c r="BM106" i="3"/>
  <c r="CO106" i="3" s="1"/>
  <c r="BE106" i="3"/>
  <c r="AU106" i="3"/>
  <c r="AR106" i="3"/>
  <c r="AJ106" i="3"/>
  <c r="AI106" i="3"/>
  <c r="CN105" i="3"/>
  <c r="CL105" i="3"/>
  <c r="CH105" i="3"/>
  <c r="CM105" i="3" s="1"/>
  <c r="CE105" i="3"/>
  <c r="BS105" i="3"/>
  <c r="BP105" i="3"/>
  <c r="BO105" i="3"/>
  <c r="BN105" i="3"/>
  <c r="BM105" i="3"/>
  <c r="CO105" i="3" s="1"/>
  <c r="BE105" i="3"/>
  <c r="AU105" i="3"/>
  <c r="AR105" i="3"/>
  <c r="AJ105" i="3"/>
  <c r="AI105" i="3"/>
  <c r="AA105" i="3"/>
  <c r="Z105" i="3"/>
  <c r="J105" i="3"/>
  <c r="CN104" i="3"/>
  <c r="CL104" i="3"/>
  <c r="CH104" i="3"/>
  <c r="CM104" i="3" s="1"/>
  <c r="CE104" i="3"/>
  <c r="BS104" i="3"/>
  <c r="BO104" i="3"/>
  <c r="BN104" i="3"/>
  <c r="BP104" i="3" s="1"/>
  <c r="BM104" i="3"/>
  <c r="CO104" i="3" s="1"/>
  <c r="BE104" i="3"/>
  <c r="AU104" i="3"/>
  <c r="AR104" i="3"/>
  <c r="AJ104" i="3"/>
  <c r="AI104" i="3"/>
  <c r="AA104" i="3"/>
  <c r="Z104" i="3"/>
  <c r="J104" i="3"/>
  <c r="CO103" i="3"/>
  <c r="CN103" i="3"/>
  <c r="CL103" i="3"/>
  <c r="CH103" i="3"/>
  <c r="CM103" i="3" s="1"/>
  <c r="CE103" i="3"/>
  <c r="BS103" i="3"/>
  <c r="BO103" i="3"/>
  <c r="BN103" i="3"/>
  <c r="BP103" i="3" s="1"/>
  <c r="BM103" i="3"/>
  <c r="BE103" i="3"/>
  <c r="AU103" i="3"/>
  <c r="AR103" i="3"/>
  <c r="AA103" i="3"/>
  <c r="Z103" i="3"/>
  <c r="J103" i="3"/>
  <c r="CO102" i="3"/>
  <c r="CN102" i="3"/>
  <c r="CL102" i="3"/>
  <c r="CE102" i="3"/>
  <c r="BS102" i="3"/>
  <c r="BO102" i="3"/>
  <c r="BP102" i="3" s="1"/>
  <c r="BN102" i="3"/>
  <c r="BM102" i="3"/>
  <c r="CH102" i="3" s="1"/>
  <c r="BE102" i="3"/>
  <c r="AU102" i="3"/>
  <c r="AR102" i="3"/>
  <c r="AJ102" i="3"/>
  <c r="AI102" i="3"/>
  <c r="AA102" i="3"/>
  <c r="Z102" i="3"/>
  <c r="J102" i="3"/>
  <c r="CN101" i="3"/>
  <c r="CL101" i="3"/>
  <c r="CE101" i="3"/>
  <c r="BS101" i="3"/>
  <c r="BO101" i="3"/>
  <c r="BP101" i="3" s="1"/>
  <c r="BN101" i="3"/>
  <c r="BM101" i="3"/>
  <c r="CH101" i="3" s="1"/>
  <c r="CM101" i="3" s="1"/>
  <c r="BE101" i="3"/>
  <c r="AU101" i="3"/>
  <c r="AR101" i="3"/>
  <c r="AJ101" i="3"/>
  <c r="AI101" i="3"/>
  <c r="AA101" i="3"/>
  <c r="Z101" i="3"/>
  <c r="J101" i="3"/>
  <c r="CN100" i="3"/>
  <c r="CL100" i="3"/>
  <c r="CE100" i="3"/>
  <c r="BS100" i="3"/>
  <c r="BO100" i="3"/>
  <c r="BN100" i="3"/>
  <c r="BP100" i="3" s="1"/>
  <c r="BM100" i="3"/>
  <c r="BE100" i="3"/>
  <c r="AU100" i="3"/>
  <c r="AR100" i="3"/>
  <c r="AJ100" i="3"/>
  <c r="AI100" i="3"/>
  <c r="AA100" i="3"/>
  <c r="Z100" i="3"/>
  <c r="J100" i="3"/>
  <c r="CN99" i="3"/>
  <c r="CL99" i="3"/>
  <c r="CE99" i="3"/>
  <c r="BS99" i="3"/>
  <c r="BP99" i="3"/>
  <c r="BO99" i="3"/>
  <c r="BN99" i="3"/>
  <c r="BM99" i="3"/>
  <c r="BE99" i="3"/>
  <c r="AU99" i="3"/>
  <c r="AR99" i="3"/>
  <c r="AJ99" i="3"/>
  <c r="AI99" i="3"/>
  <c r="AA99" i="3"/>
  <c r="Z99" i="3"/>
  <c r="J99" i="3"/>
  <c r="CN98" i="3"/>
  <c r="CL98" i="3"/>
  <c r="CH98" i="3"/>
  <c r="CM98" i="3" s="1"/>
  <c r="CE98" i="3"/>
  <c r="BS98" i="3"/>
  <c r="BO98" i="3"/>
  <c r="BN98" i="3"/>
  <c r="BP98" i="3" s="1"/>
  <c r="BM98" i="3"/>
  <c r="BE98" i="3"/>
  <c r="AU98" i="3"/>
  <c r="AR98" i="3"/>
  <c r="AJ98" i="3"/>
  <c r="AI98" i="3"/>
  <c r="J98" i="3"/>
  <c r="CN97" i="3"/>
  <c r="CL97" i="3"/>
  <c r="CE97" i="3"/>
  <c r="BS97" i="3"/>
  <c r="BO97" i="3"/>
  <c r="BN97" i="3"/>
  <c r="BP97" i="3" s="1"/>
  <c r="BM97" i="3"/>
  <c r="CH97" i="3" s="1"/>
  <c r="CM97" i="3" s="1"/>
  <c r="BE97" i="3"/>
  <c r="AU97" i="3"/>
  <c r="AR97" i="3"/>
  <c r="AJ97" i="3"/>
  <c r="AI97" i="3"/>
  <c r="AA97" i="3"/>
  <c r="Z97" i="3"/>
  <c r="J97" i="3"/>
  <c r="CN96" i="3"/>
  <c r="CL96" i="3"/>
  <c r="CM96" i="3" s="1"/>
  <c r="CE96" i="3"/>
  <c r="BS96" i="3"/>
  <c r="BO96" i="3"/>
  <c r="BP96" i="3" s="1"/>
  <c r="BN96" i="3"/>
  <c r="BM96" i="3"/>
  <c r="CH96" i="3" s="1"/>
  <c r="BE96" i="3"/>
  <c r="AU96" i="3"/>
  <c r="AR96" i="3"/>
  <c r="CO96" i="3" s="1"/>
  <c r="AJ96" i="3"/>
  <c r="AI96" i="3"/>
  <c r="J96" i="3"/>
  <c r="CN95" i="3"/>
  <c r="CL95" i="3"/>
  <c r="CH95" i="3"/>
  <c r="CM95" i="3" s="1"/>
  <c r="CE95" i="3"/>
  <c r="BS95" i="3"/>
  <c r="BO95" i="3"/>
  <c r="BN95" i="3"/>
  <c r="BP95" i="3" s="1"/>
  <c r="BM95" i="3"/>
  <c r="BE95" i="3"/>
  <c r="AU95" i="3"/>
  <c r="AR95" i="3"/>
  <c r="AJ95" i="3"/>
  <c r="AI95" i="3"/>
  <c r="J95" i="3"/>
  <c r="CN94" i="3"/>
  <c r="CL94" i="3"/>
  <c r="CH94" i="3"/>
  <c r="CM94" i="3" s="1"/>
  <c r="CE94" i="3"/>
  <c r="BS94" i="3"/>
  <c r="BM94" i="3"/>
  <c r="BE94" i="3"/>
  <c r="AU94" i="3"/>
  <c r="AR94" i="3"/>
  <c r="CO94" i="3" s="1"/>
  <c r="CN93" i="3"/>
  <c r="CM93" i="3"/>
  <c r="CL93" i="3"/>
  <c r="CE93" i="3"/>
  <c r="BS93" i="3"/>
  <c r="BM93" i="3"/>
  <c r="CH93" i="3" s="1"/>
  <c r="BE93" i="3"/>
  <c r="AU93" i="3"/>
  <c r="AR93" i="3"/>
  <c r="CO93" i="3" s="1"/>
  <c r="AJ93" i="3"/>
  <c r="AI93" i="3"/>
  <c r="CN92" i="3"/>
  <c r="CL92" i="3"/>
  <c r="CE92" i="3"/>
  <c r="BS92" i="3"/>
  <c r="BO92" i="3"/>
  <c r="BM92" i="3"/>
  <c r="CH92" i="3" s="1"/>
  <c r="CM92" i="3" s="1"/>
  <c r="BE92" i="3"/>
  <c r="AU92" i="3"/>
  <c r="AR92" i="3"/>
  <c r="CO92" i="3" s="1"/>
  <c r="AJ92" i="3"/>
  <c r="AI92" i="3"/>
  <c r="AA92" i="3"/>
  <c r="Z92" i="3"/>
  <c r="CN91" i="3"/>
  <c r="CL91" i="3"/>
  <c r="CE91" i="3"/>
  <c r="BS91" i="3"/>
  <c r="BO91" i="3"/>
  <c r="BM91" i="3"/>
  <c r="BE91" i="3"/>
  <c r="AU91" i="3"/>
  <c r="AR91" i="3"/>
  <c r="AJ91" i="3"/>
  <c r="AI91" i="3"/>
  <c r="AA91" i="3"/>
  <c r="Z91" i="3"/>
  <c r="CN90" i="3"/>
  <c r="CL90" i="3"/>
  <c r="CH90" i="3"/>
  <c r="CM90" i="3" s="1"/>
  <c r="CE90" i="3"/>
  <c r="BS90" i="3"/>
  <c r="BE90" i="3"/>
  <c r="BM90" i="3" s="1"/>
  <c r="AU90" i="3"/>
  <c r="AR90" i="3"/>
  <c r="CO90" i="3" s="1"/>
  <c r="AJ90" i="3"/>
  <c r="AI90" i="3"/>
  <c r="CN89" i="3"/>
  <c r="CL89" i="3"/>
  <c r="CE89" i="3"/>
  <c r="BS89" i="3"/>
  <c r="BM89" i="3"/>
  <c r="CH89" i="3" s="1"/>
  <c r="CM89" i="3" s="1"/>
  <c r="BE89" i="3"/>
  <c r="AU89" i="3"/>
  <c r="AR89" i="3"/>
  <c r="CO89" i="3" s="1"/>
  <c r="AJ89" i="3"/>
  <c r="AI89" i="3"/>
  <c r="CN88" i="3"/>
  <c r="CM88" i="3"/>
  <c r="CL88" i="3"/>
  <c r="CH88" i="3"/>
  <c r="CE88" i="3"/>
  <c r="BS88" i="3"/>
  <c r="BM88" i="3"/>
  <c r="BE88" i="3"/>
  <c r="AY88" i="3"/>
  <c r="AU88" i="3"/>
  <c r="AR88" i="3"/>
  <c r="AJ88" i="3"/>
  <c r="AI88" i="3"/>
  <c r="CO87" i="3"/>
  <c r="CN87" i="3"/>
  <c r="CL87" i="3"/>
  <c r="CH87" i="3"/>
  <c r="CM87" i="3" s="1"/>
  <c r="CE87" i="3"/>
  <c r="BS87" i="3"/>
  <c r="BM87" i="3"/>
  <c r="BE87" i="3"/>
  <c r="AY87" i="3"/>
  <c r="AU87" i="3"/>
  <c r="AR87" i="3"/>
  <c r="AJ87" i="3"/>
  <c r="AI87" i="3"/>
  <c r="CN86" i="3"/>
  <c r="CM86" i="3"/>
  <c r="CL86" i="3"/>
  <c r="CE86" i="3"/>
  <c r="BS86" i="3"/>
  <c r="BO86" i="3"/>
  <c r="BP86" i="3" s="1"/>
  <c r="BN86" i="3"/>
  <c r="BM86" i="3"/>
  <c r="CH86" i="3" s="1"/>
  <c r="BE86" i="3"/>
  <c r="AY86" i="3"/>
  <c r="AU86" i="3"/>
  <c r="AR86" i="3"/>
  <c r="AJ86" i="3"/>
  <c r="AI86" i="3"/>
  <c r="AA86" i="3"/>
  <c r="Z86" i="3"/>
  <c r="J86" i="3"/>
  <c r="CN85" i="3"/>
  <c r="CL85" i="3"/>
  <c r="CH85" i="3"/>
  <c r="CM85" i="3" s="1"/>
  <c r="CE85" i="3"/>
  <c r="BS85" i="3"/>
  <c r="BO85" i="3"/>
  <c r="BN85" i="3"/>
  <c r="BP85" i="3" s="1"/>
  <c r="BM85" i="3"/>
  <c r="BE85" i="3"/>
  <c r="AY85" i="3"/>
  <c r="AU85" i="3"/>
  <c r="AR85" i="3"/>
  <c r="AJ85" i="3"/>
  <c r="AI85" i="3"/>
  <c r="AA85" i="3"/>
  <c r="Z85" i="3"/>
  <c r="J85" i="3"/>
  <c r="CN84" i="3"/>
  <c r="CL84" i="3"/>
  <c r="CE84" i="3"/>
  <c r="BS84" i="3"/>
  <c r="BO84" i="3"/>
  <c r="BP84" i="3" s="1"/>
  <c r="BN84" i="3"/>
  <c r="BM84" i="3"/>
  <c r="BE84" i="3"/>
  <c r="AU84" i="3"/>
  <c r="AR84" i="3"/>
  <c r="AJ84" i="3"/>
  <c r="AI84" i="3"/>
  <c r="AA84" i="3"/>
  <c r="Z84" i="3"/>
  <c r="J84" i="3"/>
  <c r="CN83" i="3"/>
  <c r="CL83" i="3"/>
  <c r="CE83" i="3"/>
  <c r="BS83" i="3"/>
  <c r="BP83" i="3"/>
  <c r="BO83" i="3"/>
  <c r="BN83" i="3"/>
  <c r="BM83" i="3"/>
  <c r="BE83" i="3"/>
  <c r="AU83" i="3"/>
  <c r="AR83" i="3"/>
  <c r="AJ83" i="3"/>
  <c r="AI83" i="3"/>
  <c r="AA83" i="3"/>
  <c r="Z83" i="3"/>
  <c r="J83" i="3"/>
  <c r="CN82" i="3"/>
  <c r="CL82" i="3"/>
  <c r="CH82" i="3"/>
  <c r="CM82" i="3" s="1"/>
  <c r="CE82" i="3"/>
  <c r="BS82" i="3"/>
  <c r="BO82" i="3"/>
  <c r="BP82" i="3" s="1"/>
  <c r="BN82" i="3"/>
  <c r="BM82" i="3"/>
  <c r="BE82" i="3"/>
  <c r="AU82" i="3"/>
  <c r="AR82" i="3"/>
  <c r="CO82" i="3" s="1"/>
  <c r="AJ82" i="3"/>
  <c r="AI82" i="3"/>
  <c r="AA82" i="3"/>
  <c r="Z82" i="3"/>
  <c r="J82" i="3"/>
  <c r="CN81" i="3"/>
  <c r="CL81" i="3"/>
  <c r="CE81" i="3"/>
  <c r="BS81" i="3"/>
  <c r="BO81" i="3"/>
  <c r="BN81" i="3"/>
  <c r="BP81" i="3" s="1"/>
  <c r="BM81" i="3"/>
  <c r="BE81" i="3"/>
  <c r="AU81" i="3"/>
  <c r="AR81" i="3"/>
  <c r="AJ81" i="3"/>
  <c r="AI81" i="3"/>
  <c r="AA81" i="3"/>
  <c r="Z81" i="3"/>
  <c r="J81" i="3"/>
  <c r="CN80" i="3"/>
  <c r="CL80" i="3"/>
  <c r="CH80" i="3"/>
  <c r="CE80" i="3"/>
  <c r="BS80" i="3"/>
  <c r="BP80" i="3"/>
  <c r="BO80" i="3"/>
  <c r="BN80" i="3"/>
  <c r="BM80" i="3"/>
  <c r="BE80" i="3"/>
  <c r="AU80" i="3"/>
  <c r="AR80" i="3"/>
  <c r="AJ80" i="3"/>
  <c r="AI80" i="3"/>
  <c r="AA80" i="3"/>
  <c r="Z80" i="3"/>
  <c r="J80" i="3"/>
  <c r="CO79" i="3"/>
  <c r="CN79" i="3"/>
  <c r="CL79" i="3"/>
  <c r="CH79" i="3"/>
  <c r="CE79" i="3"/>
  <c r="BS79" i="3"/>
  <c r="BO79" i="3"/>
  <c r="BN79" i="3"/>
  <c r="BP79" i="3" s="1"/>
  <c r="BM79" i="3"/>
  <c r="BE79" i="3"/>
  <c r="AU79" i="3"/>
  <c r="AR79" i="3"/>
  <c r="AJ79" i="3"/>
  <c r="AI79" i="3"/>
  <c r="AA79" i="3"/>
  <c r="Z79" i="3"/>
  <c r="J79" i="3"/>
  <c r="CN78" i="3"/>
  <c r="CL78" i="3"/>
  <c r="CH78" i="3"/>
  <c r="CM78" i="3" s="1"/>
  <c r="CE78" i="3"/>
  <c r="BS78" i="3"/>
  <c r="BO78" i="3"/>
  <c r="BN78" i="3"/>
  <c r="BP78" i="3" s="1"/>
  <c r="BM78" i="3"/>
  <c r="BE78" i="3"/>
  <c r="AU78" i="3"/>
  <c r="AR78" i="3"/>
  <c r="CO78" i="3" s="1"/>
  <c r="AJ78" i="3"/>
  <c r="AI78" i="3"/>
  <c r="AA78" i="3"/>
  <c r="Z78" i="3"/>
  <c r="J78" i="3"/>
  <c r="CN77" i="3"/>
  <c r="CM77" i="3"/>
  <c r="CL77" i="3"/>
  <c r="CE77" i="3"/>
  <c r="BS77" i="3"/>
  <c r="BO77" i="3"/>
  <c r="BN77" i="3"/>
  <c r="BM77" i="3"/>
  <c r="CH77" i="3" s="1"/>
  <c r="BE77" i="3"/>
  <c r="AU77" i="3"/>
  <c r="AR77" i="3"/>
  <c r="AJ77" i="3"/>
  <c r="AA77" i="3"/>
  <c r="Z77" i="3"/>
  <c r="J77" i="3"/>
  <c r="CO76" i="3"/>
  <c r="CN76" i="3"/>
  <c r="CL76" i="3"/>
  <c r="CH76" i="3"/>
  <c r="CE76" i="3"/>
  <c r="BS76" i="3"/>
  <c r="BP76" i="3"/>
  <c r="BO76" i="3"/>
  <c r="BN76" i="3"/>
  <c r="BM76" i="3"/>
  <c r="BE76" i="3"/>
  <c r="AU76" i="3"/>
  <c r="AR76" i="3"/>
  <c r="AJ76" i="3"/>
  <c r="AI76" i="3"/>
  <c r="AA76" i="3"/>
  <c r="Z76" i="3"/>
  <c r="J76" i="3"/>
  <c r="CN75" i="3"/>
  <c r="CL75" i="3"/>
  <c r="CH75" i="3"/>
  <c r="CM75" i="3" s="1"/>
  <c r="CE75" i="3"/>
  <c r="BS75" i="3"/>
  <c r="BO75" i="3"/>
  <c r="BN75" i="3"/>
  <c r="BM75" i="3"/>
  <c r="BE75" i="3"/>
  <c r="AU75" i="3"/>
  <c r="AR75" i="3"/>
  <c r="CO75" i="3" s="1"/>
  <c r="AJ75" i="3"/>
  <c r="AI75" i="3"/>
  <c r="AA75" i="3"/>
  <c r="Z75" i="3"/>
  <c r="J75" i="3"/>
  <c r="CN74" i="3"/>
  <c r="CM74" i="3"/>
  <c r="CL74" i="3"/>
  <c r="CE74" i="3"/>
  <c r="BS74" i="3"/>
  <c r="BO74" i="3"/>
  <c r="BN74" i="3"/>
  <c r="BP74" i="3" s="1"/>
  <c r="BM74" i="3"/>
  <c r="CH74" i="3" s="1"/>
  <c r="BE74" i="3"/>
  <c r="AU74" i="3"/>
  <c r="AR74" i="3"/>
  <c r="AJ74" i="3"/>
  <c r="AI74" i="3"/>
  <c r="AA74" i="3"/>
  <c r="Z74" i="3"/>
  <c r="J74" i="3"/>
  <c r="CN73" i="3"/>
  <c r="CL73" i="3"/>
  <c r="CE73" i="3"/>
  <c r="BS73" i="3"/>
  <c r="BP73" i="3"/>
  <c r="BO73" i="3"/>
  <c r="BN73" i="3"/>
  <c r="BM73" i="3"/>
  <c r="CH73" i="3" s="1"/>
  <c r="CM73" i="3" s="1"/>
  <c r="BE73" i="3"/>
  <c r="AU73" i="3"/>
  <c r="AR73" i="3"/>
  <c r="AJ73" i="3"/>
  <c r="AI73" i="3"/>
  <c r="AA73" i="3"/>
  <c r="Z73" i="3"/>
  <c r="J73" i="3"/>
  <c r="CN72" i="3"/>
  <c r="CL72" i="3"/>
  <c r="CH72" i="3"/>
  <c r="CM72" i="3" s="1"/>
  <c r="CE72" i="3"/>
  <c r="BS72" i="3"/>
  <c r="BO72" i="3"/>
  <c r="BP72" i="3" s="1"/>
  <c r="BN72" i="3"/>
  <c r="BM72" i="3"/>
  <c r="BE72" i="3"/>
  <c r="AU72" i="3"/>
  <c r="AR72" i="3"/>
  <c r="CO72" i="3" s="1"/>
  <c r="AJ72" i="3"/>
  <c r="AI72" i="3"/>
  <c r="AA72" i="3"/>
  <c r="Z72" i="3"/>
  <c r="J72" i="3"/>
  <c r="CN71" i="3"/>
  <c r="CL71" i="3"/>
  <c r="CH71" i="3"/>
  <c r="CE71" i="3"/>
  <c r="BS71" i="3"/>
  <c r="BO71" i="3"/>
  <c r="BN71" i="3"/>
  <c r="BP71" i="3" s="1"/>
  <c r="BM71" i="3"/>
  <c r="BE71" i="3"/>
  <c r="AU71" i="3"/>
  <c r="AR71" i="3"/>
  <c r="CO71" i="3" s="1"/>
  <c r="AJ71" i="3"/>
  <c r="AI71" i="3"/>
  <c r="AA71" i="3"/>
  <c r="Z71" i="3"/>
  <c r="J71" i="3"/>
  <c r="CN70" i="3"/>
  <c r="CM70" i="3"/>
  <c r="CL70" i="3"/>
  <c r="CE70" i="3"/>
  <c r="BS70" i="3"/>
  <c r="BO70" i="3"/>
  <c r="BN70" i="3"/>
  <c r="BM70" i="3"/>
  <c r="CH70" i="3" s="1"/>
  <c r="BE70" i="3"/>
  <c r="AU70" i="3"/>
  <c r="AR70" i="3"/>
  <c r="AJ70" i="3"/>
  <c r="AI70" i="3"/>
  <c r="AA70" i="3"/>
  <c r="Z70" i="3"/>
  <c r="CO69" i="3"/>
  <c r="CN69" i="3"/>
  <c r="CL69" i="3"/>
  <c r="CH69" i="3"/>
  <c r="CM69" i="3" s="1"/>
  <c r="CE69" i="3"/>
  <c r="BS69" i="3"/>
  <c r="BP69" i="3"/>
  <c r="BO69" i="3"/>
  <c r="BN69" i="3"/>
  <c r="BM69" i="3"/>
  <c r="BE69" i="3"/>
  <c r="AU69" i="3"/>
  <c r="AR69" i="3"/>
  <c r="AJ69" i="3"/>
  <c r="AI69" i="3"/>
  <c r="AA69" i="3"/>
  <c r="Z69" i="3"/>
  <c r="J69" i="3"/>
  <c r="CN68" i="3"/>
  <c r="CL68" i="3"/>
  <c r="CH68" i="3"/>
  <c r="CM68" i="3" s="1"/>
  <c r="CE68" i="3"/>
  <c r="BS68" i="3"/>
  <c r="BO68" i="3"/>
  <c r="BN68" i="3"/>
  <c r="BP68" i="3" s="1"/>
  <c r="BM68" i="3"/>
  <c r="BE68" i="3"/>
  <c r="AU68" i="3"/>
  <c r="AR68" i="3"/>
  <c r="CO68" i="3" s="1"/>
  <c r="AJ68" i="3"/>
  <c r="AI68" i="3"/>
  <c r="AA68" i="3"/>
  <c r="Z68" i="3"/>
  <c r="J68" i="3"/>
  <c r="CN67" i="3"/>
  <c r="CL67" i="3"/>
  <c r="CE67" i="3"/>
  <c r="BS67" i="3"/>
  <c r="BO67" i="3"/>
  <c r="BN67" i="3"/>
  <c r="BP67" i="3" s="1"/>
  <c r="BM67" i="3"/>
  <c r="CH67" i="3" s="1"/>
  <c r="CM67" i="3" s="1"/>
  <c r="BE67" i="3"/>
  <c r="AU67" i="3"/>
  <c r="AR67" i="3"/>
  <c r="AJ67" i="3"/>
  <c r="AI67" i="3"/>
  <c r="AA67" i="3"/>
  <c r="Z67" i="3"/>
  <c r="J67" i="3"/>
  <c r="CN66" i="3"/>
  <c r="CL66" i="3"/>
  <c r="CH66" i="3"/>
  <c r="CM66" i="3" s="1"/>
  <c r="CE66" i="3"/>
  <c r="BS66" i="3"/>
  <c r="BM66" i="3"/>
  <c r="CO66" i="3" s="1"/>
  <c r="BE66" i="3"/>
  <c r="AU66" i="3"/>
  <c r="AR66" i="3"/>
  <c r="AJ66" i="3"/>
  <c r="AI66" i="3"/>
  <c r="CN65" i="3"/>
  <c r="CL65" i="3"/>
  <c r="CE65" i="3"/>
  <c r="BS65" i="3"/>
  <c r="BM65" i="3"/>
  <c r="BE65" i="3"/>
  <c r="AU65" i="3"/>
  <c r="AR65" i="3"/>
  <c r="AJ65" i="3"/>
  <c r="AI65" i="3"/>
  <c r="J65" i="3"/>
  <c r="CN64" i="3"/>
  <c r="CL64" i="3"/>
  <c r="CH64" i="3"/>
  <c r="CE64" i="3"/>
  <c r="BS64" i="3"/>
  <c r="BM64" i="3"/>
  <c r="BE64" i="3"/>
  <c r="AU64" i="3"/>
  <c r="AR64" i="3"/>
  <c r="AJ64" i="3"/>
  <c r="AI64" i="3"/>
  <c r="J64" i="3"/>
  <c r="CN63" i="3"/>
  <c r="CL63" i="3"/>
  <c r="CE63" i="3"/>
  <c r="BS63" i="3"/>
  <c r="BH63" i="3"/>
  <c r="BM63" i="3" s="1"/>
  <c r="BE63" i="3"/>
  <c r="AU63" i="3"/>
  <c r="AR63" i="3"/>
  <c r="AJ63" i="3"/>
  <c r="AI63" i="3"/>
  <c r="AA63" i="3"/>
  <c r="Z63" i="3"/>
  <c r="J63" i="3"/>
  <c r="CL62" i="3"/>
  <c r="CH62" i="3"/>
  <c r="CM62" i="3" s="1"/>
  <c r="CE62" i="3"/>
  <c r="BS62" i="3"/>
  <c r="BO62" i="3"/>
  <c r="BP62" i="3" s="1"/>
  <c r="BM62" i="3"/>
  <c r="AZ62" i="3"/>
  <c r="BE62" i="3" s="1"/>
  <c r="AU62" i="3"/>
  <c r="AR62" i="3"/>
  <c r="AJ62" i="3"/>
  <c r="AI62" i="3"/>
  <c r="CL61" i="3"/>
  <c r="CE61" i="3"/>
  <c r="BS61" i="3"/>
  <c r="BP61" i="3"/>
  <c r="BO61" i="3"/>
  <c r="BM61" i="3"/>
  <c r="CH61" i="3" s="1"/>
  <c r="CM61" i="3" s="1"/>
  <c r="BE61" i="3"/>
  <c r="AZ61" i="3"/>
  <c r="AU61" i="3"/>
  <c r="AR61" i="3"/>
  <c r="AJ61" i="3"/>
  <c r="AI61" i="3"/>
  <c r="CL60" i="3"/>
  <c r="CH60" i="3"/>
  <c r="CM60" i="3" s="1"/>
  <c r="CE60" i="3"/>
  <c r="BS60" i="3"/>
  <c r="BO60" i="3"/>
  <c r="BP60" i="3" s="1"/>
  <c r="BM60" i="3"/>
  <c r="BE60" i="3"/>
  <c r="AZ60" i="3"/>
  <c r="AU60" i="3"/>
  <c r="AR60" i="3"/>
  <c r="AJ60" i="3"/>
  <c r="AI60" i="3"/>
  <c r="CO59" i="3"/>
  <c r="CL59" i="3"/>
  <c r="CH59" i="3"/>
  <c r="CM59" i="3" s="1"/>
  <c r="CE59" i="3"/>
  <c r="BS59" i="3"/>
  <c r="BO59" i="3"/>
  <c r="BP59" i="3" s="1"/>
  <c r="BM59" i="3"/>
  <c r="BF59" i="3"/>
  <c r="AZ59" i="3"/>
  <c r="BE59" i="3" s="1"/>
  <c r="AU59" i="3"/>
  <c r="AR59" i="3"/>
  <c r="AJ59" i="3"/>
  <c r="AI59" i="3"/>
  <c r="CL58" i="3"/>
  <c r="CE58" i="3"/>
  <c r="BS58" i="3"/>
  <c r="BP58" i="3"/>
  <c r="BO58" i="3"/>
  <c r="BM58" i="3"/>
  <c r="BF58" i="3"/>
  <c r="BE58" i="3"/>
  <c r="AZ58" i="3"/>
  <c r="AU58" i="3"/>
  <c r="AR58" i="3"/>
  <c r="AJ58" i="3"/>
  <c r="AI58" i="3"/>
  <c r="CL57" i="3"/>
  <c r="CH57" i="3"/>
  <c r="CM57" i="3" s="1"/>
  <c r="CE57" i="3"/>
  <c r="BS57" i="3"/>
  <c r="BP57" i="3"/>
  <c r="BO57" i="3"/>
  <c r="BM57" i="3"/>
  <c r="BF57" i="3"/>
  <c r="AZ57" i="3"/>
  <c r="BE57" i="3" s="1"/>
  <c r="AU57" i="3"/>
  <c r="AR57" i="3"/>
  <c r="CO57" i="3" s="1"/>
  <c r="AJ57" i="3"/>
  <c r="AI57" i="3"/>
  <c r="CL56" i="3"/>
  <c r="CE56" i="3"/>
  <c r="BS56" i="3"/>
  <c r="BP56" i="3"/>
  <c r="BO56" i="3"/>
  <c r="BM56" i="3"/>
  <c r="BF56" i="3"/>
  <c r="BE56" i="3"/>
  <c r="AZ56" i="3"/>
  <c r="AU56" i="3"/>
  <c r="AR56" i="3"/>
  <c r="AJ56" i="3"/>
  <c r="AI56" i="3"/>
  <c r="CL55" i="3"/>
  <c r="CE55" i="3"/>
  <c r="BS55" i="3"/>
  <c r="BO55" i="3"/>
  <c r="BP55" i="3" s="1"/>
  <c r="BM55" i="3"/>
  <c r="CH55" i="3" s="1"/>
  <c r="CM55" i="3" s="1"/>
  <c r="BF55" i="3"/>
  <c r="BE55" i="3"/>
  <c r="AU55" i="3"/>
  <c r="AR55" i="3"/>
  <c r="CO55" i="3" s="1"/>
  <c r="AJ55" i="3"/>
  <c r="AI55" i="3"/>
  <c r="CO54" i="3"/>
  <c r="CL54" i="3"/>
  <c r="CE54" i="3"/>
  <c r="BS54" i="3"/>
  <c r="BP54" i="3"/>
  <c r="BM54" i="3"/>
  <c r="CH54" i="3" s="1"/>
  <c r="CM54" i="3" s="1"/>
  <c r="BF54" i="3"/>
  <c r="BO54" i="3" s="1"/>
  <c r="AZ54" i="3"/>
  <c r="BE54" i="3" s="1"/>
  <c r="AU54" i="3"/>
  <c r="AR54" i="3"/>
  <c r="AJ54" i="3"/>
  <c r="AI54" i="3"/>
  <c r="CM53" i="3"/>
  <c r="CL53" i="3"/>
  <c r="CH53" i="3"/>
  <c r="CE53" i="3"/>
  <c r="BS53" i="3"/>
  <c r="BO53" i="3"/>
  <c r="BP53" i="3" s="1"/>
  <c r="BM53" i="3"/>
  <c r="CO53" i="3" s="1"/>
  <c r="BE53" i="3"/>
  <c r="AZ53" i="3"/>
  <c r="AU53" i="3"/>
  <c r="AR53" i="3"/>
  <c r="AJ53" i="3"/>
  <c r="AI53" i="3"/>
  <c r="CL52" i="3"/>
  <c r="CE52" i="3"/>
  <c r="BS52" i="3"/>
  <c r="BP52" i="3"/>
  <c r="BM52" i="3"/>
  <c r="CH52" i="3" s="1"/>
  <c r="AZ52" i="3"/>
  <c r="BE52" i="3" s="1"/>
  <c r="AU52" i="3"/>
  <c r="AR52" i="3"/>
  <c r="CO52" i="3" s="1"/>
  <c r="AJ52" i="3"/>
  <c r="AI52" i="3"/>
  <c r="CL51" i="3"/>
  <c r="CH51" i="3"/>
  <c r="CM51" i="3" s="1"/>
  <c r="CE51" i="3"/>
  <c r="BS51" i="3"/>
  <c r="BP51" i="3"/>
  <c r="BM51" i="3"/>
  <c r="AZ51" i="3"/>
  <c r="BE51" i="3" s="1"/>
  <c r="AU51" i="3"/>
  <c r="AR51" i="3"/>
  <c r="AJ51" i="3"/>
  <c r="AI51" i="3"/>
  <c r="CO50" i="3"/>
  <c r="CM50" i="3"/>
  <c r="CL50" i="3"/>
  <c r="CH50" i="3"/>
  <c r="CE50" i="3"/>
  <c r="BS50" i="3"/>
  <c r="BP50" i="3"/>
  <c r="BM50" i="3"/>
  <c r="BE50" i="3"/>
  <c r="AZ50" i="3"/>
  <c r="AU50" i="3"/>
  <c r="AR50" i="3"/>
  <c r="AJ50" i="3"/>
  <c r="AI50" i="3"/>
  <c r="CL49" i="3"/>
  <c r="CH49" i="3"/>
  <c r="CE49" i="3"/>
  <c r="BS49" i="3"/>
  <c r="BP49" i="3"/>
  <c r="BM49" i="3"/>
  <c r="CO49" i="3" s="1"/>
  <c r="BE49" i="3"/>
  <c r="AZ49" i="3"/>
  <c r="AU49" i="3"/>
  <c r="AR49" i="3"/>
  <c r="AJ49" i="3"/>
  <c r="AI49" i="3"/>
  <c r="CL48" i="3"/>
  <c r="CE48" i="3"/>
  <c r="BS48" i="3"/>
  <c r="BP48" i="3"/>
  <c r="BM48" i="3"/>
  <c r="AZ48" i="3"/>
  <c r="BE48" i="3" s="1"/>
  <c r="AU48" i="3"/>
  <c r="AR48" i="3"/>
  <c r="AJ48" i="3"/>
  <c r="AI48" i="3"/>
  <c r="CN47" i="3"/>
  <c r="CL47" i="3"/>
  <c r="CE47" i="3"/>
  <c r="BS47" i="3"/>
  <c r="BO47" i="3"/>
  <c r="BP47" i="3" s="1"/>
  <c r="BM47" i="3"/>
  <c r="CH47" i="3" s="1"/>
  <c r="CM47" i="3" s="1"/>
  <c r="BE47" i="3"/>
  <c r="AU47" i="3"/>
  <c r="AR47" i="3"/>
  <c r="CO47" i="3" s="1"/>
  <c r="AJ47" i="3"/>
  <c r="AI47" i="3"/>
  <c r="CO46" i="3"/>
  <c r="CE46" i="3"/>
  <c r="BP46" i="3"/>
  <c r="BM46" i="3"/>
  <c r="AR46" i="3"/>
  <c r="CE45" i="3"/>
  <c r="BP45" i="3"/>
  <c r="BM45" i="3"/>
  <c r="AR45" i="3"/>
  <c r="CL44" i="3"/>
  <c r="CE44" i="3"/>
  <c r="BO44" i="3"/>
  <c r="BP44" i="3" s="1"/>
  <c r="BM44" i="3"/>
  <c r="CH44" i="3" s="1"/>
  <c r="CM44" i="3" s="1"/>
  <c r="BE44" i="3"/>
  <c r="AR44" i="3"/>
  <c r="CN43" i="3"/>
  <c r="CL43" i="3"/>
  <c r="CH43" i="3"/>
  <c r="CE43" i="3"/>
  <c r="BP43" i="3"/>
  <c r="BE43" i="3"/>
  <c r="AR43" i="3"/>
  <c r="CO43" i="3" s="1"/>
  <c r="AA43" i="3"/>
  <c r="Z43" i="3"/>
  <c r="J43" i="3"/>
  <c r="CN42" i="3"/>
  <c r="CM42" i="3"/>
  <c r="CL42" i="3"/>
  <c r="CE42" i="3"/>
  <c r="BS42" i="3"/>
  <c r="BP42" i="3"/>
  <c r="BM42" i="3"/>
  <c r="CH42" i="3" s="1"/>
  <c r="BE42" i="3"/>
  <c r="AU42" i="3"/>
  <c r="AR42" i="3"/>
  <c r="AJ42" i="3"/>
  <c r="AI42" i="3"/>
  <c r="CN41" i="3"/>
  <c r="CL41" i="3"/>
  <c r="CH41" i="3"/>
  <c r="CM41" i="3" s="1"/>
  <c r="CE41" i="3"/>
  <c r="BS41" i="3"/>
  <c r="BP41" i="3"/>
  <c r="BM41" i="3"/>
  <c r="CO41" i="3" s="1"/>
  <c r="BE41" i="3"/>
  <c r="AU41" i="3"/>
  <c r="AR41" i="3"/>
  <c r="AJ41" i="3"/>
  <c r="AI41" i="3"/>
  <c r="CN40" i="3"/>
  <c r="CL40" i="3"/>
  <c r="CE40" i="3"/>
  <c r="BS40" i="3"/>
  <c r="BP40" i="3"/>
  <c r="BM40" i="3"/>
  <c r="CH40" i="3" s="1"/>
  <c r="CM40" i="3" s="1"/>
  <c r="BE40" i="3"/>
  <c r="AU40" i="3"/>
  <c r="AR40" i="3"/>
  <c r="AJ40" i="3"/>
  <c r="AI40" i="3"/>
  <c r="CN39" i="3"/>
  <c r="CL39" i="3"/>
  <c r="CE39" i="3"/>
  <c r="BS39" i="3"/>
  <c r="BP39" i="3"/>
  <c r="BM39" i="3"/>
  <c r="BE39" i="3"/>
  <c r="AU39" i="3"/>
  <c r="AR39" i="3"/>
  <c r="AJ39" i="3"/>
  <c r="AI39" i="3"/>
  <c r="CN38" i="3"/>
  <c r="CL38" i="3"/>
  <c r="CH38" i="3"/>
  <c r="CM38" i="3" s="1"/>
  <c r="CE38" i="3"/>
  <c r="BS38" i="3"/>
  <c r="BP38" i="3"/>
  <c r="BM38" i="3"/>
  <c r="BE38" i="3"/>
  <c r="AU38" i="3"/>
  <c r="AR38" i="3"/>
  <c r="AJ38" i="3"/>
  <c r="AI38" i="3"/>
  <c r="CN37" i="3"/>
  <c r="CL37" i="3"/>
  <c r="CE37" i="3"/>
  <c r="BS37" i="3"/>
  <c r="BM37" i="3"/>
  <c r="BE37" i="3"/>
  <c r="AU37" i="3"/>
  <c r="AR37" i="3"/>
  <c r="AJ37" i="3"/>
  <c r="AI37" i="3"/>
  <c r="CN36" i="3"/>
  <c r="CL36" i="3"/>
  <c r="CH36" i="3"/>
  <c r="CM36" i="3" s="1"/>
  <c r="CE36" i="3"/>
  <c r="BS36" i="3"/>
  <c r="BM36" i="3"/>
  <c r="BE36" i="3"/>
  <c r="AU36" i="3"/>
  <c r="AR36" i="3"/>
  <c r="CO36" i="3" s="1"/>
  <c r="AJ36" i="3"/>
  <c r="AI36" i="3"/>
  <c r="CL35" i="3"/>
  <c r="CH35" i="3"/>
  <c r="CM35" i="3" s="1"/>
  <c r="CE35" i="3"/>
  <c r="BS35" i="3"/>
  <c r="BM35" i="3"/>
  <c r="BE35" i="3"/>
  <c r="AU35" i="3"/>
  <c r="AR35" i="3"/>
  <c r="CO35" i="3" s="1"/>
  <c r="AJ35" i="3"/>
  <c r="AI35" i="3"/>
  <c r="AR34" i="3"/>
  <c r="CO34" i="3" s="1"/>
  <c r="AR33" i="3"/>
  <c r="CO33" i="3" s="1"/>
  <c r="AR32" i="3"/>
  <c r="CO32" i="3" s="1"/>
  <c r="CN31" i="3"/>
  <c r="CM31" i="3"/>
  <c r="CL31" i="3"/>
  <c r="CE31" i="3"/>
  <c r="BS31" i="3"/>
  <c r="BP31" i="3"/>
  <c r="BO31" i="3"/>
  <c r="BM31" i="3"/>
  <c r="CH31" i="3" s="1"/>
  <c r="BE31" i="3"/>
  <c r="AU31" i="3"/>
  <c r="AR31" i="3"/>
  <c r="AJ31" i="3"/>
  <c r="AI31" i="3"/>
  <c r="CN30" i="3"/>
  <c r="CL30" i="3"/>
  <c r="CH30" i="3"/>
  <c r="CM30" i="3" s="1"/>
  <c r="CE30" i="3"/>
  <c r="BS30" i="3"/>
  <c r="BO30" i="3"/>
  <c r="BP30" i="3" s="1"/>
  <c r="BM30" i="3"/>
  <c r="BE30" i="3"/>
  <c r="AZ30" i="3"/>
  <c r="AU30" i="3"/>
  <c r="AR30" i="3"/>
  <c r="CO30" i="3" s="1"/>
  <c r="AJ30" i="3"/>
  <c r="AI30" i="3"/>
  <c r="CN29" i="3"/>
  <c r="CL29" i="3"/>
  <c r="CH29" i="3"/>
  <c r="CM29" i="3" s="1"/>
  <c r="CE29" i="3"/>
  <c r="BS29" i="3"/>
  <c r="BO29" i="3"/>
  <c r="BP29" i="3" s="1"/>
  <c r="BM29" i="3"/>
  <c r="BE29" i="3"/>
  <c r="AZ29" i="3"/>
  <c r="AU29" i="3"/>
  <c r="AR29" i="3"/>
  <c r="CO29" i="3" s="1"/>
  <c r="AJ29" i="3"/>
  <c r="AI29" i="3"/>
  <c r="CO28" i="3"/>
  <c r="CN28" i="3"/>
  <c r="CL28" i="3"/>
  <c r="CH28" i="3"/>
  <c r="CM28" i="3" s="1"/>
  <c r="CE28" i="3"/>
  <c r="BS28" i="3"/>
  <c r="BP28" i="3"/>
  <c r="BO28" i="3"/>
  <c r="BM28" i="3"/>
  <c r="BE28" i="3"/>
  <c r="AU28" i="3"/>
  <c r="AR28" i="3"/>
  <c r="AJ28" i="3"/>
  <c r="AI28" i="3"/>
  <c r="CO27" i="3"/>
  <c r="CN27" i="3"/>
  <c r="CL27" i="3"/>
  <c r="CE27" i="3"/>
  <c r="BS27" i="3"/>
  <c r="BP27" i="3"/>
  <c r="BO27" i="3"/>
  <c r="BN27" i="3"/>
  <c r="BM27" i="3"/>
  <c r="CH27" i="3" s="1"/>
  <c r="CM27" i="3" s="1"/>
  <c r="BE27" i="3"/>
  <c r="AU27" i="3"/>
  <c r="AR27" i="3"/>
  <c r="AJ27" i="3"/>
  <c r="AI27" i="3"/>
  <c r="AA27" i="3"/>
  <c r="Z27" i="3"/>
  <c r="CN26" i="3"/>
  <c r="CL26" i="3"/>
  <c r="CE26" i="3"/>
  <c r="BS26" i="3"/>
  <c r="BP26" i="3"/>
  <c r="BO26" i="3"/>
  <c r="BN26" i="3"/>
  <c r="BM26" i="3"/>
  <c r="CH26" i="3" s="1"/>
  <c r="BE26" i="3"/>
  <c r="AU26" i="3"/>
  <c r="AR26" i="3"/>
  <c r="AJ26" i="3"/>
  <c r="AI26" i="3"/>
  <c r="AA26" i="3"/>
  <c r="Z26" i="3"/>
  <c r="CN25" i="3"/>
  <c r="CL25" i="3"/>
  <c r="CE25" i="3"/>
  <c r="BS25" i="3"/>
  <c r="BP25" i="3"/>
  <c r="BO25" i="3"/>
  <c r="BN25" i="3"/>
  <c r="BM25" i="3"/>
  <c r="CH25" i="3" s="1"/>
  <c r="BE25" i="3"/>
  <c r="AU25" i="3"/>
  <c r="AR25" i="3"/>
  <c r="CO25" i="3" s="1"/>
  <c r="AJ25" i="3"/>
  <c r="AI25" i="3"/>
  <c r="AA25" i="3"/>
  <c r="Z25" i="3"/>
  <c r="CN24" i="3"/>
  <c r="CL24" i="3"/>
  <c r="CH24" i="3"/>
  <c r="CM24" i="3" s="1"/>
  <c r="CE24" i="3"/>
  <c r="BS24" i="3"/>
  <c r="BO24" i="3"/>
  <c r="BN24" i="3"/>
  <c r="BP24" i="3" s="1"/>
  <c r="BM24" i="3"/>
  <c r="BE24" i="3"/>
  <c r="AU24" i="3"/>
  <c r="AR24" i="3"/>
  <c r="CO24" i="3" s="1"/>
  <c r="AJ24" i="3"/>
  <c r="AI24" i="3"/>
  <c r="AA24" i="3"/>
  <c r="Z24" i="3"/>
  <c r="I24" i="3"/>
  <c r="CN23" i="3"/>
  <c r="CM23" i="3"/>
  <c r="CL23" i="3"/>
  <c r="CE23" i="3"/>
  <c r="BS23" i="3"/>
  <c r="BO23" i="3"/>
  <c r="BN23" i="3"/>
  <c r="BM23" i="3"/>
  <c r="CH23" i="3" s="1"/>
  <c r="BE23" i="3"/>
  <c r="AU23" i="3"/>
  <c r="AR23" i="3"/>
  <c r="AJ23" i="3"/>
  <c r="AI23" i="3"/>
  <c r="AA23" i="3"/>
  <c r="Z23" i="3"/>
  <c r="CN22" i="3"/>
  <c r="CL22" i="3"/>
  <c r="CH22" i="3"/>
  <c r="CM22" i="3" s="1"/>
  <c r="CE22" i="3"/>
  <c r="BS22" i="3"/>
  <c r="BP22" i="3"/>
  <c r="BO22" i="3"/>
  <c r="BN22" i="3"/>
  <c r="BM22" i="3"/>
  <c r="BE22" i="3"/>
  <c r="AU22" i="3"/>
  <c r="AR22" i="3"/>
  <c r="CO22" i="3" s="1"/>
  <c r="AJ22" i="3"/>
  <c r="AI22" i="3"/>
  <c r="AA22" i="3"/>
  <c r="Z22" i="3"/>
  <c r="CN21" i="3"/>
  <c r="CM21" i="3"/>
  <c r="CL21" i="3"/>
  <c r="CH21" i="3"/>
  <c r="CE21" i="3"/>
  <c r="BS21" i="3"/>
  <c r="BO21" i="3"/>
  <c r="BP21" i="3" s="1"/>
  <c r="BN21" i="3"/>
  <c r="BM21" i="3"/>
  <c r="BE21" i="3"/>
  <c r="AU21" i="3"/>
  <c r="AR21" i="3"/>
  <c r="AJ21" i="3"/>
  <c r="AI21" i="3"/>
  <c r="AA21" i="3"/>
  <c r="Z21" i="3"/>
  <c r="CN20" i="3"/>
  <c r="CL20" i="3"/>
  <c r="CH20" i="3"/>
  <c r="CM20" i="3" s="1"/>
  <c r="CE20" i="3"/>
  <c r="BS20" i="3"/>
  <c r="BO20" i="3"/>
  <c r="BP20" i="3" s="1"/>
  <c r="BN20" i="3"/>
  <c r="BM20" i="3"/>
  <c r="BE20" i="3"/>
  <c r="AU20" i="3"/>
  <c r="AR20" i="3"/>
  <c r="AJ20" i="3"/>
  <c r="AI20" i="3"/>
  <c r="AA20" i="3"/>
  <c r="Z20" i="3"/>
  <c r="CN19" i="3"/>
  <c r="CL19" i="3"/>
  <c r="CE19" i="3"/>
  <c r="BS19" i="3"/>
  <c r="BO19" i="3"/>
  <c r="BN19" i="3"/>
  <c r="BM19" i="3"/>
  <c r="CH19" i="3" s="1"/>
  <c r="CM19" i="3" s="1"/>
  <c r="BE19" i="3"/>
  <c r="AU19" i="3"/>
  <c r="AR19" i="3"/>
  <c r="AJ19" i="3"/>
  <c r="AI19" i="3"/>
  <c r="AA19" i="3"/>
  <c r="Z19" i="3"/>
  <c r="CN18" i="3"/>
  <c r="CL18" i="3"/>
  <c r="CH18" i="3"/>
  <c r="CM18" i="3" s="1"/>
  <c r="CE18" i="3"/>
  <c r="BS18" i="3"/>
  <c r="BP18" i="3"/>
  <c r="BO18" i="3"/>
  <c r="BN18" i="3"/>
  <c r="BM18" i="3"/>
  <c r="BE18" i="3"/>
  <c r="AU18" i="3"/>
  <c r="AR18" i="3"/>
  <c r="CO18" i="3" s="1"/>
  <c r="AJ18" i="3"/>
  <c r="AI18" i="3"/>
  <c r="AA18" i="3"/>
  <c r="Z18" i="3"/>
  <c r="CN17" i="3"/>
  <c r="CL17" i="3"/>
  <c r="CH17" i="3"/>
  <c r="CM17" i="3" s="1"/>
  <c r="CE17" i="3"/>
  <c r="BS17" i="3"/>
  <c r="BO17" i="3"/>
  <c r="BP17" i="3" s="1"/>
  <c r="BN17" i="3"/>
  <c r="BM17" i="3"/>
  <c r="BE17" i="3"/>
  <c r="AU17" i="3"/>
  <c r="AR17" i="3"/>
  <c r="AJ17" i="3"/>
  <c r="AI17" i="3"/>
  <c r="AA17" i="3"/>
  <c r="Z17" i="3"/>
  <c r="CN16" i="3"/>
  <c r="CL16" i="3"/>
  <c r="CE16" i="3"/>
  <c r="BS16" i="3"/>
  <c r="BO16" i="3"/>
  <c r="BP16" i="3" s="1"/>
  <c r="BN16" i="3"/>
  <c r="BM16" i="3"/>
  <c r="CH16" i="3" s="1"/>
  <c r="CM16" i="3" s="1"/>
  <c r="BE16" i="3"/>
  <c r="AU16" i="3"/>
  <c r="AR16" i="3"/>
  <c r="CO16" i="3" s="1"/>
  <c r="AJ16" i="3"/>
  <c r="AI16" i="3"/>
  <c r="AA16" i="3"/>
  <c r="Z16" i="3"/>
  <c r="CN15" i="3"/>
  <c r="CM15" i="3"/>
  <c r="CL15" i="3"/>
  <c r="CE15" i="3"/>
  <c r="BS15" i="3"/>
  <c r="BO15" i="3"/>
  <c r="BN15" i="3"/>
  <c r="BP15" i="3" s="1"/>
  <c r="BM15" i="3"/>
  <c r="CH15" i="3" s="1"/>
  <c r="BE15" i="3"/>
  <c r="AU15" i="3"/>
  <c r="AR15" i="3"/>
  <c r="AJ15" i="3"/>
  <c r="AI15" i="3"/>
  <c r="AA15" i="3"/>
  <c r="Z15" i="3"/>
  <c r="CO14" i="3"/>
  <c r="CN14" i="3"/>
  <c r="CL14" i="3"/>
  <c r="CH14" i="3"/>
  <c r="CM14" i="3" s="1"/>
  <c r="CE14" i="3"/>
  <c r="BS14" i="3"/>
  <c r="BO14" i="3"/>
  <c r="BP14" i="3" s="1"/>
  <c r="BN14" i="3"/>
  <c r="BM14" i="3"/>
  <c r="BE14" i="3"/>
  <c r="AU14" i="3"/>
  <c r="AR14" i="3"/>
  <c r="AJ14" i="3"/>
  <c r="AI14" i="3"/>
  <c r="AA14" i="3"/>
  <c r="Z14" i="3"/>
  <c r="CN13" i="3"/>
  <c r="CM13" i="3"/>
  <c r="CL13" i="3"/>
  <c r="CH13" i="3"/>
  <c r="CE13" i="3"/>
  <c r="BS13" i="3"/>
  <c r="BM13" i="3"/>
  <c r="BE13" i="3"/>
  <c r="AU13" i="3"/>
  <c r="AR13" i="3"/>
  <c r="CO13" i="3" s="1"/>
  <c r="AJ13" i="3"/>
  <c r="AI13" i="3"/>
  <c r="CN12" i="3"/>
  <c r="CL12" i="3"/>
  <c r="CE12" i="3"/>
  <c r="BS12" i="3"/>
  <c r="BM12" i="3"/>
  <c r="CH12" i="3" s="1"/>
  <c r="CM12" i="3" s="1"/>
  <c r="BE12" i="3"/>
  <c r="AU12" i="3"/>
  <c r="AR12" i="3"/>
  <c r="AJ12" i="3"/>
  <c r="AI12" i="3"/>
  <c r="CN11" i="3"/>
  <c r="CM11" i="3"/>
  <c r="CL11" i="3"/>
  <c r="CH11" i="3"/>
  <c r="CE11" i="3"/>
  <c r="BS11" i="3"/>
  <c r="BM11" i="3"/>
  <c r="BE11" i="3"/>
  <c r="AU11" i="3"/>
  <c r="AR11" i="3"/>
  <c r="CO11" i="3" s="1"/>
  <c r="AJ11" i="3"/>
  <c r="AI11" i="3"/>
  <c r="CN10" i="3"/>
  <c r="CL10" i="3"/>
  <c r="CE10" i="3"/>
  <c r="BS10" i="3"/>
  <c r="BM10" i="3"/>
  <c r="BE10" i="3"/>
  <c r="AU10" i="3"/>
  <c r="AR10" i="3"/>
  <c r="AJ10" i="3"/>
  <c r="AI10" i="3"/>
  <c r="CN9" i="3"/>
  <c r="CM9" i="3"/>
  <c r="CL9" i="3"/>
  <c r="CH9" i="3"/>
  <c r="CE9" i="3"/>
  <c r="BS9" i="3"/>
  <c r="BM9" i="3"/>
  <c r="BE9" i="3"/>
  <c r="AU9" i="3"/>
  <c r="AR9" i="3"/>
  <c r="CO9" i="3" s="1"/>
  <c r="AJ9" i="3"/>
  <c r="AI9" i="3"/>
  <c r="CN8" i="3"/>
  <c r="CL8" i="3"/>
  <c r="CH8" i="3"/>
  <c r="CM8" i="3" s="1"/>
  <c r="CE8" i="3"/>
  <c r="BS8" i="3"/>
  <c r="BM8" i="3"/>
  <c r="BE8" i="3"/>
  <c r="AU8" i="3"/>
  <c r="AR8" i="3"/>
  <c r="CO8" i="3" s="1"/>
  <c r="AJ8" i="3"/>
  <c r="AI8" i="3"/>
  <c r="AA8" i="3"/>
  <c r="Z8" i="3"/>
  <c r="CN7" i="3"/>
  <c r="CM7" i="3"/>
  <c r="CL7" i="3"/>
  <c r="CH7" i="3"/>
  <c r="CE7" i="3"/>
  <c r="BS7" i="3"/>
  <c r="BO7" i="3"/>
  <c r="BP7" i="3" s="1"/>
  <c r="BM7" i="3"/>
  <c r="BE7" i="3"/>
  <c r="AU7" i="3"/>
  <c r="AR7" i="3"/>
  <c r="AJ7" i="3"/>
  <c r="AI7" i="3"/>
  <c r="AR6" i="3"/>
  <c r="CO6" i="3" s="1"/>
  <c r="AR5" i="3"/>
  <c r="CO5" i="3" s="1"/>
  <c r="CN4" i="3"/>
  <c r="CL4" i="3"/>
  <c r="CE4" i="3"/>
  <c r="BS4" i="3"/>
  <c r="BM4" i="3"/>
  <c r="BE4" i="3"/>
  <c r="AU4" i="3"/>
  <c r="AR4" i="3"/>
  <c r="AJ4" i="3"/>
  <c r="AI4" i="3"/>
  <c r="AA4" i="3"/>
  <c r="Z4" i="3"/>
  <c r="CN3" i="3"/>
  <c r="CL3" i="3"/>
  <c r="CH3" i="3"/>
  <c r="CM3" i="3" s="1"/>
  <c r="CE3" i="3"/>
  <c r="BS3" i="3"/>
  <c r="BP3" i="3"/>
  <c r="BM3" i="3"/>
  <c r="CO3" i="3" s="1"/>
  <c r="BE3" i="3"/>
  <c r="AU3" i="3"/>
  <c r="AR3" i="3"/>
  <c r="AJ3" i="3"/>
  <c r="AI3" i="3"/>
  <c r="AA3" i="3"/>
  <c r="Z3" i="3"/>
  <c r="CN2" i="3"/>
  <c r="CL2" i="3"/>
  <c r="CH2" i="3"/>
  <c r="CM2" i="3" s="1"/>
  <c r="CE2" i="3"/>
  <c r="BS2" i="3"/>
  <c r="BP2" i="3"/>
  <c r="BM2" i="3"/>
  <c r="BE2" i="3"/>
  <c r="AU2" i="3"/>
  <c r="AR2" i="3"/>
  <c r="AJ2" i="3"/>
  <c r="AI2" i="3"/>
  <c r="AA2" i="3"/>
  <c r="Z2" i="3"/>
  <c r="AR1" i="3"/>
  <c r="AQ1" i="3"/>
  <c r="CO45" i="3" l="1"/>
  <c r="CO122" i="3"/>
  <c r="CO234" i="3"/>
  <c r="CO138" i="3"/>
  <c r="CO151" i="3"/>
  <c r="CO170" i="3"/>
  <c r="CO109" i="3"/>
  <c r="CO186" i="3"/>
  <c r="CO201" i="3"/>
  <c r="CO233" i="3"/>
  <c r="CO38" i="3"/>
  <c r="CO2" i="3"/>
  <c r="CO7" i="3"/>
  <c r="CO20" i="3"/>
  <c r="CO58" i="3"/>
  <c r="CO80" i="3"/>
  <c r="CO60" i="3"/>
  <c r="CO64" i="3"/>
  <c r="CO98" i="3"/>
  <c r="CO125" i="3"/>
  <c r="CO126" i="3"/>
  <c r="CO136" i="3"/>
  <c r="CO221" i="3"/>
  <c r="CO117" i="3"/>
  <c r="CO124" i="3"/>
  <c r="CM64" i="3"/>
  <c r="CO73" i="3"/>
  <c r="CH84" i="3"/>
  <c r="CM84" i="3" s="1"/>
  <c r="CO84" i="3"/>
  <c r="CO91" i="3"/>
  <c r="CO15" i="3"/>
  <c r="CO44" i="3"/>
  <c r="CO51" i="3"/>
  <c r="CH65" i="3"/>
  <c r="CM65" i="3" s="1"/>
  <c r="CO65" i="3"/>
  <c r="CO17" i="3"/>
  <c r="CO63" i="3"/>
  <c r="CH63" i="3"/>
  <c r="CM63" i="3" s="1"/>
  <c r="CO67" i="3"/>
  <c r="CM71" i="3"/>
  <c r="CM80" i="3"/>
  <c r="CO101" i="3"/>
  <c r="CO10" i="3"/>
  <c r="CH10" i="3"/>
  <c r="CM10" i="3" s="1"/>
  <c r="CO99" i="3"/>
  <c r="CH99" i="3"/>
  <c r="CM99" i="3" s="1"/>
  <c r="CH4" i="3"/>
  <c r="CM4" i="3" s="1"/>
  <c r="CO4" i="3"/>
  <c r="CO12" i="3"/>
  <c r="BP19" i="3"/>
  <c r="CO21" i="3"/>
  <c r="CM26" i="3"/>
  <c r="CH39" i="3"/>
  <c r="CM39" i="3" s="1"/>
  <c r="CO39" i="3"/>
  <c r="CM49" i="3"/>
  <c r="CM52" i="3"/>
  <c r="CO62" i="3"/>
  <c r="CO70" i="3"/>
  <c r="CH91" i="3"/>
  <c r="CM91" i="3" s="1"/>
  <c r="CO97" i="3"/>
  <c r="CO19" i="3"/>
  <c r="CO23" i="3"/>
  <c r="CM25" i="3"/>
  <c r="CO37" i="3"/>
  <c r="CH37" i="3"/>
  <c r="CM37" i="3" s="1"/>
  <c r="CH48" i="3"/>
  <c r="CM48" i="3" s="1"/>
  <c r="CO48" i="3"/>
  <c r="BP70" i="3"/>
  <c r="CO81" i="3"/>
  <c r="CH81" i="3"/>
  <c r="CM81" i="3" s="1"/>
  <c r="BP23" i="3"/>
  <c r="CO40" i="3"/>
  <c r="CO61" i="3"/>
  <c r="CO56" i="3"/>
  <c r="CH56" i="3"/>
  <c r="CM56" i="3" s="1"/>
  <c r="CH83" i="3"/>
  <c r="CM83" i="3" s="1"/>
  <c r="CO83" i="3"/>
  <c r="CO149" i="3"/>
  <c r="BO149" i="3"/>
  <c r="BP149" i="3" s="1"/>
  <c r="CH171" i="3"/>
  <c r="CM171" i="3" s="1"/>
  <c r="CO171" i="3"/>
  <c r="CH200" i="3"/>
  <c r="CM200" i="3" s="1"/>
  <c r="CO200" i="3"/>
  <c r="CO42" i="3"/>
  <c r="CM43" i="3"/>
  <c r="CH58" i="3"/>
  <c r="CM58" i="3" s="1"/>
  <c r="CO74" i="3"/>
  <c r="CM76" i="3"/>
  <c r="CO86" i="3"/>
  <c r="CH100" i="3"/>
  <c r="CM100" i="3" s="1"/>
  <c r="CO100" i="3"/>
  <c r="CO113" i="3"/>
  <c r="CO162" i="3"/>
  <c r="CH162" i="3"/>
  <c r="CM162" i="3" s="1"/>
  <c r="CO180" i="3"/>
  <c r="CM190" i="3"/>
  <c r="CO196" i="3"/>
  <c r="CM202" i="3"/>
  <c r="BP75" i="3"/>
  <c r="CM102" i="3"/>
  <c r="CM129" i="3"/>
  <c r="CH149" i="3"/>
  <c r="CM149" i="3" s="1"/>
  <c r="CO154" i="3"/>
  <c r="CH164" i="3"/>
  <c r="CM164" i="3" s="1"/>
  <c r="CO164" i="3"/>
  <c r="BO164" i="3"/>
  <c r="BP164" i="3" s="1"/>
  <c r="CH187" i="3"/>
  <c r="CM187" i="3" s="1"/>
  <c r="CO187" i="3"/>
  <c r="CM79" i="3"/>
  <c r="CH109" i="3"/>
  <c r="CM109" i="3" s="1"/>
  <c r="CM145" i="3"/>
  <c r="CO146" i="3"/>
  <c r="BO146" i="3"/>
  <c r="BP146" i="3" s="1"/>
  <c r="CO159" i="3"/>
  <c r="CO161" i="3"/>
  <c r="CH223" i="3"/>
  <c r="CM223" i="3" s="1"/>
  <c r="CO223" i="3"/>
  <c r="CH231" i="3"/>
  <c r="CM231" i="3" s="1"/>
  <c r="CO231" i="3"/>
  <c r="BO231" i="3"/>
  <c r="BP231" i="3" s="1"/>
  <c r="CO31" i="3"/>
  <c r="CO77" i="3"/>
  <c r="CO26" i="3"/>
  <c r="BP77" i="3"/>
  <c r="CO85" i="3"/>
  <c r="CO88" i="3"/>
  <c r="CO95" i="3"/>
  <c r="CH106" i="3"/>
  <c r="CM106" i="3" s="1"/>
  <c r="CH113" i="3"/>
  <c r="CM113" i="3" s="1"/>
  <c r="CM119" i="3"/>
  <c r="CH124" i="3"/>
  <c r="CM124" i="3" s="1"/>
  <c r="CH126" i="3"/>
  <c r="CM126" i="3" s="1"/>
  <c r="CO167" i="3"/>
  <c r="CM208" i="3"/>
  <c r="CM120" i="3"/>
  <c r="CO143" i="3"/>
  <c r="CM184" i="3"/>
  <c r="CH188" i="3"/>
  <c r="CM188" i="3" s="1"/>
  <c r="CO188" i="3"/>
  <c r="CH112" i="3"/>
  <c r="CM112" i="3" s="1"/>
  <c r="CO112" i="3"/>
  <c r="CM116" i="3"/>
  <c r="CM134" i="3"/>
  <c r="BO148" i="3"/>
  <c r="BP148" i="3" s="1"/>
  <c r="CO148" i="3"/>
  <c r="BO158" i="3"/>
  <c r="BP158" i="3" s="1"/>
  <c r="CO158" i="3"/>
  <c r="BO166" i="3"/>
  <c r="BP166" i="3" s="1"/>
  <c r="CO166" i="3"/>
  <c r="BO226" i="3"/>
  <c r="BP226" i="3" s="1"/>
  <c r="CO226" i="3"/>
  <c r="CH170" i="3"/>
  <c r="CM170" i="3" s="1"/>
  <c r="CH180" i="3"/>
  <c r="CM180" i="3" s="1"/>
  <c r="CH186" i="3"/>
  <c r="CM186" i="3" s="1"/>
  <c r="CH189" i="3"/>
  <c r="CM189" i="3" s="1"/>
  <c r="CH198" i="3"/>
  <c r="CM198" i="3" s="1"/>
  <c r="CH206" i="3"/>
  <c r="CM206" i="3" s="1"/>
  <c r="CH207" i="3"/>
  <c r="CM207" i="3" s="1"/>
  <c r="CH221" i="3"/>
  <c r="CM221" i="3" s="1"/>
  <c r="CH227" i="3"/>
  <c r="CM227" i="3" s="1"/>
  <c r="CH234" i="3"/>
  <c r="CM234" i="3" s="1"/>
  <c r="CH136" i="3"/>
  <c r="CM136" i="3" s="1"/>
  <c r="BO151" i="3"/>
  <c r="BP151" i="3" s="1"/>
  <c r="BO155" i="3"/>
  <c r="BP155" i="3" s="1"/>
  <c r="BO154" i="3"/>
  <c r="BP154" i="3" s="1"/>
  <c r="BO159" i="3"/>
  <c r="BP159" i="3" s="1"/>
  <c r="BO167" i="3"/>
  <c r="BP167" i="3" s="1"/>
  <c r="BO227" i="3"/>
  <c r="BP227" i="3" s="1"/>
  <c r="AI6" i="1"/>
  <c r="AJ6" i="1" s="1"/>
  <c r="AH6" i="1"/>
  <c r="AG6" i="1"/>
  <c r="AF6" i="1"/>
  <c r="AI5" i="1"/>
  <c r="AJ5" i="1" s="1"/>
  <c r="AH5" i="1"/>
  <c r="AG5" i="1"/>
  <c r="AF5" i="1"/>
  <c r="AI4" i="1"/>
  <c r="AJ4" i="1" s="1"/>
  <c r="AH4" i="1"/>
  <c r="AG4" i="1"/>
  <c r="AF4" i="1"/>
  <c r="AI3" i="1"/>
  <c r="AJ3" i="1" s="1"/>
  <c r="AH3" i="1"/>
  <c r="AG3" i="1"/>
  <c r="AF3" i="1"/>
  <c r="AI2" i="1"/>
  <c r="AJ2" i="1" s="1"/>
  <c r="AH2" i="1"/>
  <c r="AG2" i="1"/>
  <c r="A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Cristina Sugui</author>
    <author>Cristina Sugui - Notebook</author>
    <author>tc={B0A5F272-37B5-4F0E-A285-FF4CC6540678}</author>
    <author>tc={5EDAEBA1-6693-46DD-BEC3-39D22423D50F}</author>
    <author>tc={9F5A2ED0-9BD1-4B0F-A5F7-6A46A6703EF1}</author>
    <author>tc={55A83E2C-AE29-4272-8B79-F672D53363D4}</author>
    <author>tc={9D5061A0-1D80-40BB-B903-B39525EC1635}</author>
    <author>tc={4B7D5067-54DD-48E4-A393-C04F5F78B468}</author>
    <author>tc={F234BD52-7385-4E6F-A3D7-5BB6163D3BE4}</author>
    <author>tc={7EA2E127-E4A8-4BC9-B525-A61343F57F88}</author>
    <author>tc={D200A54C-7276-4DF3-AB57-F8B817078513}</author>
    <author>tc={EE5C8BD4-1802-4E1E-846E-140022D151A6}</author>
    <author>tc={263D96CB-B8EB-4C55-8EFA-029CBA55470D}</author>
    <author>tc={82CAB795-AFEC-4A19-A2CB-78F353C0DACF}</author>
    <author>tc={1C7E5B8D-26BD-4EF0-B227-8045FC14E93F}</author>
    <author>tc={DD110057-113D-44B5-8D98-E406B6B14D76}</author>
    <author>tc={20333FBA-9258-4EE5-A4D8-73F03C78A8F7}</author>
    <author>tc={45876A1B-5E5C-4522-A325-71E3E146F5AC}</author>
    <author>tc={EA0C88D4-0380-4B05-B18A-BB4486F047D2}</author>
    <author>tc={CE3F776B-8BB0-4C63-A914-4415078F89BD}</author>
    <author>tc={2F12AE62-EFB0-4F44-B83E-668A8629E80E}</author>
    <author>tc={8F67F14D-78C7-4247-8D30-3A731C471FFD}</author>
    <author>tc={A985BE25-8B25-4C21-8418-11333325EB76}</author>
    <author>tc={A576253E-664D-4B88-94CC-84091B0D69B2}</author>
    <author>tc={40D3B5F0-6D96-4355-BEBA-372944807192}</author>
    <author>tc={E626569B-9C35-42F7-BB1D-25481D682B58}</author>
    <author>tc={95190F76-AFE4-48B6-94FD-B05E71C3EC2F}</author>
    <author>tc={F29AAE17-0080-41F9-9A88-E77AFDA8CAD6}</author>
    <author>tc={40D8B5F4-A59A-4CCF-B1BC-F2BA149B8AB1}</author>
    <author>tc={D2FFDEE9-CCE1-41E5-A379-4CAB6CE66864}</author>
    <author>tc={EFF76559-341F-472D-B9BC-57F2FF7A910E}</author>
    <author>tc={1DEF09C1-02DC-402C-A89C-DB6D9488A507}</author>
    <author>tc={597B5A0C-B2AF-4A4E-8F7E-40B388457192}</author>
    <author>tc={4CA0F8EC-43A8-4438-B626-E564B43F5B91}</author>
    <author>tc={F42BED12-36EE-4F72-8EA4-F76EC8C681AF}</author>
    <author>tc={86233CFD-4808-4A38-A752-B2EA8E70E930}</author>
    <author>tc={89D87846-F0AA-4F08-BECF-9445BED2C996}</author>
    <author>tc={4300F8D5-A839-4864-9AA2-2C480D72AF4B}</author>
    <author>tc={DD8CD824-3AAF-44A8-99C5-52DCE115491A}</author>
    <author>tc={F1F00507-23A6-4DE2-B657-68EC7CBDD06F}</author>
    <author>tc={8BE0A5B8-3BE4-48DD-B226-51E2D7508175}</author>
    <author>tc={6B8DF24C-2BDF-4E48-936F-1BADF75F6128}</author>
    <author>tc={281D9696-A27A-49AE-A9D1-9D4A44082BD0}</author>
    <author>tc={09AD6235-D0D3-4BC6-830F-109E0D4B1903}</author>
    <author>tc={5FB08F15-20AE-44FF-A1C5-3AB7B75B4219}</author>
    <author>tc={8B503457-FBCC-4847-9602-6682F047D6BF}</author>
  </authors>
  <commentList>
    <comment ref="E1" authorId="0" shapeId="0" xr:uid="{2CAD274F-8590-4A21-8B86-9E1BCD29E3EF}">
      <text>
        <r>
          <rPr>
            <sz val="11"/>
            <color theme="1"/>
            <rFont val="Aptos Narrow"/>
            <family val="2"/>
            <scheme val="minor"/>
          </rPr>
          <t>Cristina Sugui:
Receitas da G&amp;S</t>
        </r>
      </text>
    </comment>
    <comment ref="L2" authorId="1" shapeId="0" xr:uid="{8C3B44A0-6CA8-46F3-A84A-DAC6958146DF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Única de concreto é a de Prudente</t>
        </r>
      </text>
    </comment>
    <comment ref="M2" authorId="1" shapeId="0" xr:uid="{9E3E6A15-663E-4507-9EE7-4F2EC6DAF08B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Renato passou em 04/2026 o valor da metalica de 178.000,00 mas tem mais os gastos de instalação, pediu para considerar todas como metalica para calculo do aluguel</t>
        </r>
      </text>
    </comment>
    <comment ref="C7" authorId="2" shapeId="0" xr:uid="{B0A5F272-37B5-4F0E-A285-FF4CC65406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Máquina irá operar em Campo Grande, será transferida hoje (02/02/2026).</t>
      </text>
    </comment>
    <comment ref="E7" authorId="3" shapeId="0" xr:uid="{5EDAEBA1-6693-46DD-BEC3-39D22423D5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CC G3S C. GRANDE &gt; CC G&amp;S 1.7.9.33</t>
      </text>
    </comment>
    <comment ref="J7" authorId="4" shapeId="0" xr:uid="{9F5A2ED0-9BD1-4B0F-A5F7-6A46A6703E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E8" authorId="5" shapeId="0" xr:uid="{55A83E2C-AE29-4272-8B79-F672D53363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CC da G3S PRUDENTE &gt; CC da G&amp;S (1.7.9.32</t>
      </text>
    </comment>
    <comment ref="J8" authorId="6" shapeId="0" xr:uid="{9D5061A0-1D80-40BB-B903-B39525EC16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E9" authorId="7" shapeId="0" xr:uid="{4B7D5067-54DD-48E4-A393-C04F5F78B4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CC G3S LDN &gt; CC G&amp;S 1.7.9.34</t>
      </text>
    </comment>
    <comment ref="J9" authorId="8" shapeId="0" xr:uid="{F234BD52-7385-4E6F-A3D7-5BB6163D3B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11" authorId="9" shapeId="0" xr:uid="{7EA2E127-E4A8-4BC9-B525-A61343F57F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
Responder:
    Informado pelo Junior (23/02/2026) - operando em Presidente Prudente</t>
      </text>
    </comment>
    <comment ref="C12" authorId="10" shapeId="0" xr:uid="{D200A54C-7276-4DF3-AB57-F8B8170785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emitido para G&amp;S 06 - Maringá Distrito - Cidade Alta não tem G&amp;S.</t>
      </text>
    </comment>
    <comment ref="J12" authorId="11" shapeId="0" xr:uid="{EE5C8BD4-1802-4E1E-846E-140022D151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C13" authorId="12" shapeId="0" xr:uid="{263D96CB-B8EB-4C55-8EFA-029CBA5547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na Oficina</t>
      </text>
    </comment>
    <comment ref="J13" authorId="13" shapeId="0" xr:uid="{82CAB795-AFEC-4A19-A2CB-78F353C0DA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14" authorId="14" shapeId="0" xr:uid="{1C7E5B8D-26BD-4EF0-B227-8045FC14E9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Liebher parada (RSE)</t>
      </text>
    </comment>
    <comment ref="C15" authorId="15" shapeId="0" xr:uid="{DD110057-113D-44B5-8D98-E406B6B14D7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Edmilson que a máquina foi alterada de Presidente Prudente, e irá operar em Maringá.
</t>
      </text>
    </comment>
    <comment ref="C24" authorId="16" shapeId="0" xr:uid="{20333FBA-9258-4EE5-A4D8-73F03C78A8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Edmilson que a máquina foi transferida de Maringá para Londrina, e já está operando.</t>
      </text>
    </comment>
    <comment ref="J25" authorId="17" shapeId="0" xr:uid="{45876A1B-5E5C-4522-A325-71E3E146F5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Vai ir para MS </t>
      </text>
    </comment>
    <comment ref="L25" authorId="18" shapeId="0" xr:uid="{EA0C88D4-0380-4B05-B18A-BB4486F047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Montada para locação (Inclusao da Garra Arden) Vai para MS
</t>
      </text>
    </comment>
    <comment ref="J26" authorId="19" shapeId="0" xr:uid="{CE3F776B-8BB0-4C63-A914-4415078F89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D27" authorId="20" shapeId="0" xr:uid="{2F12AE62-EFB0-4F44-B83E-668A8629E80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se será colocado uma Maquina da Ekipa (RSE) substituindo ela para poder gerar fatura.
Responder:
    Conversado com a Cris em 23/04/2026
</t>
      </text>
    </comment>
    <comment ref="J27" authorId="21" shapeId="0" xr:uid="{8F67F14D-78C7-4247-8D30-3A731C471F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28" authorId="22" shapeId="0" xr:uid="{A985BE25-8B25-4C21-8418-11333325EB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29" authorId="23" shapeId="0" xr:uid="{A576253E-664D-4B88-94CC-84091B0D69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no barracão da Braçofer (sem uso)
Responder:
    12/05/2026 Disponibilizada para Operar na G&amp;S Prudente</t>
      </text>
    </comment>
    <comment ref="J30" authorId="24" shapeId="0" xr:uid="{40D3B5F0-6D96-4355-BEBA-3729448071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31" authorId="25" shapeId="0" xr:uid="{E626569B-9C35-42F7-BB1D-25481D682B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32" authorId="26" shapeId="0" xr:uid="{95190F76-AFE4-48B6-94FD-B05E71C3EC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33" authorId="27" shapeId="0" xr:uid="{F29AAE17-0080-41F9-9A88-E77AFDA8CA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L33" authorId="28" shapeId="0" xr:uid="{40D8B5F4-A59A-4CCF-B1BC-F2BA149B8A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na oficina - Premer</t>
      </text>
    </comment>
    <comment ref="J35" authorId="29" shapeId="0" xr:uid="{D2FFDEE9-CCE1-41E5-A379-4CAB6CE668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A PLCA INTERNA PHH0045 OU PHT0045???
Responder:
    Correto é PHH0045 = Prensa Hidraulica Hidroeuropa
As PHT estão erradas, pois quando chegaram o comprador que cadastrava colocou essa placa entendendo que deveria ser PHT = Prensa Hidraulica Tesoura.
Manteremos errada, pois o pessoal ja se habituou com a placa.</t>
      </text>
    </comment>
    <comment ref="J36" authorId="30" shapeId="0" xr:uid="{EFF76559-341F-472D-B9BC-57F2FF7A91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EMPLACAMENTO COM CONCLUSAO PREVISTA PARA DAQUI A 6 MESES - A PARTIR DE 07/2024
Responder:
    @Michelle Camphora Staquecini sabe me dizer a placa CRLV desta prensa?
Responder:
    Está em processo de emplacamento e sem previsão até o momento
Responder:
    Liberada documentação em 11/08/2025 - PHH0049 para SWQ2C15
Responder:
    Informado pelo Junior (23/02/2026) - Operando em Piracicaba.</t>
      </text>
    </comment>
    <comment ref="N36" authorId="1" shapeId="0" xr:uid="{D9CDCA53-7C7A-44E7-B056-F41F089E7D00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X36" authorId="31" shapeId="0" xr:uid="{1DEF09C1-02DC-402C-A89C-DB6D9488A5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J37" authorId="32" shapeId="0" xr:uid="{597B5A0C-B2AF-4A4E-8F7E-40B3884571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resende rj - JULIO 28/07/2025
locada para Arcelor em Piracicaba - Julio 16/01
16 de janeiro de 2025 às 15:38
Responder:
    PHH0044 PLACA INTERNA</t>
      </text>
    </comment>
    <comment ref="X37" authorId="33" shapeId="0" xr:uid="{4CA0F8EC-43A8-4438-B626-E564B43F5B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J38" authorId="34" shapeId="0" xr:uid="{F42BED12-36EE-4F72-8EA4-F76EC8C681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Placa Interna PHH-0061
Responder:
    Prensa em Paraná - Júlio 16/01
Responder:
    Prensa regularizada, 22/12/2025 (Jairo seguiu com regularização)
Responder:
    Informado pelo Junior (23/02/2026) - Máquina está em manutenção na unidade de Presidente Prudente, porém operará na Gerdau.</t>
      </text>
    </comment>
    <comment ref="N38" authorId="1" shapeId="0" xr:uid="{B77B83E6-B109-4339-8564-4887FDD19CD6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X38" authorId="35" shapeId="0" xr:uid="{86233CFD-4808-4A38-A752-B2EA8E70E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AA38" authorId="36" shapeId="0" xr:uid="{89D87846-F0AA-4F08-BECF-9445BED2C9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NFS de abril emitida para G3S Maringá - conforme informação da Andressa.</t>
      </text>
    </comment>
    <comment ref="F39" authorId="37" shapeId="0" xr:uid="{4300F8D5-A839-4864-9AA2-2C480D72AF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por Medição</t>
      </text>
    </comment>
    <comment ref="J39" authorId="38" shapeId="0" xr:uid="{DD8CD824-3AAF-44A8-99C5-52DCE115491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LOCALIZAÇÃO VARIÁVEL - 28/07/2025
Em Manutenção - Prudente - Julkio 16/01
Responder:
    PHH0022 PLACA INTERNA
</t>
      </text>
    </comment>
    <comment ref="L39" authorId="39" shapeId="0" xr:uid="{F1F00507-23A6-4DE2-B657-68EC7CBDD0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Devolvida pela Gerdau</t>
      </text>
    </comment>
    <comment ref="X39" authorId="40" shapeId="0" xr:uid="{8BE0A5B8-3BE4-48DD-B226-51E2D75081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J40" authorId="41" shapeId="0" xr:uid="{6B8DF24C-2BDF-4E48-936F-1BADF75F61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Placa interna da prensa JCH200M - criada antes da chegada do bem para lançamentos dos custos de aquisição.
Responder:
    MIchelle, boa tarde!
Grata pela informação.
Solicito informar o Luciano para criação de um centro de custo.
Responder:
    Prensa definida como SP- SELETIVA (variável).</t>
      </text>
    </comment>
    <comment ref="X40" authorId="42" shapeId="0" xr:uid="{281D9696-A27A-49AE-A9D1-9D4A44082B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R$ 23.981,72</t>
      </text>
    </comment>
    <comment ref="J41" authorId="43" shapeId="0" xr:uid="{09AD6235-D0D3-4BC6-830F-109E0D4B19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M41" authorId="1" shapeId="0" xr:uid="{5F256FE9-364C-47F2-9765-92EB19BD146F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500000 euros a 6,25 mai 50% de imposto e frete</t>
        </r>
      </text>
    </comment>
    <comment ref="J42" authorId="44" shapeId="0" xr:uid="{5FB08F15-20AE-44FF-A1C5-3AB7B75B42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X42" authorId="45" shapeId="0" xr:uid="{8B503457-FBCC-4847-9602-6682F047D6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R$ 7.500,00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Cristina Sugui - Notebook</author>
    <author>Hugo Bossolani</author>
    <author>tc={FB50F4FD-15A5-4884-8F75-639B75BF33D6}</author>
    <author>tc={0E9548D5-5D21-46AB-A7FE-D0A00D27F1E0}</author>
    <author>tc={CE1556F9-D3DA-407F-9EAA-720D8F21EFF0}</author>
    <author>tc={49A8C0B7-2198-4E4E-95DF-CA7622A94492}</author>
    <author>tc={D839B73D-75B7-4B16-9D0A-0B8C253E95F0}</author>
    <author>tc={5CF4644A-CE56-423A-BE80-6A2E3D8A8D5F}</author>
    <author>tc={B6473470-D50E-4CE2-9449-2293C6392A20}</author>
    <author>tc={2731CB86-1E08-405F-B416-A2AACF4351F5}</author>
    <author>tc={7B4DD169-5079-46E1-BFF0-72781F09C357}</author>
    <author>tc={6DF81811-BA57-42D4-AB6A-D3337799D1AB}</author>
    <author>tc={4583A8C9-A855-4C49-B4ED-B4D82B54BB97}</author>
    <author>tc={2286B53B-2EA8-4815-8BD9-A4D66A3C48CB}</author>
    <author>tc={765E307F-748C-40DB-973D-1CE4721776C9}</author>
    <author>tc={5ADB7C77-8532-405A-9563-C3398DCBB52F}</author>
    <author>tc={51CDFF10-8E4E-4E16-8D2D-2D072BB22FB3}</author>
    <author>tc={DBF8E9A9-7BCD-4991-BE09-95B11D3C13C8}</author>
    <author>tc={ED44D743-C22D-48BC-A4AD-F1A9B3CAAB8D}</author>
    <author>tc={A681C654-183E-448D-BAEA-C0AE0BBE4655}</author>
    <author>tc={4D026969-921C-458C-B387-12808FA6F898}</author>
    <author>tc={CA09F4B5-305F-4B60-A9F1-8236A12634DB}</author>
    <author>tc={3E9F2FCA-AF83-4E4D-A50A-C878B2F6FE00}</author>
    <author>tc={91409CBE-2DEF-490F-B150-2872BD40FE06}</author>
    <author>tc={EC21664C-5C2D-4F53-BA5C-CE2EAF89FEA7}</author>
    <author>tc={0CB4FFF0-2453-4FEA-A133-2BAA783DB595}</author>
    <author>tc={955826B8-CB3F-46EF-B683-76FFB3DADF11}</author>
    <author>tc={06E4235E-C909-470D-983B-5347D1AA8B6D}</author>
    <author>tc={DFA7190C-CFCB-4798-8BE1-D85508B7E74E}</author>
    <author>tc={D4F71956-8A78-43EE-A580-1F49D1A6D7E3}</author>
    <author>tc={70A48706-72E7-440D-B494-13CB1DF3AA0B}</author>
    <author>tc={69745ACB-1679-4FBF-B4AF-068BA8360A45}</author>
    <author>tc={7844B908-5445-40C5-A6B3-4A96D6CFFE98}</author>
    <author>tc={0F97AC99-3FD4-4D54-9ADD-AE33C78E8C10}</author>
    <author>tc={40EEEE5F-F1F9-45F9-82AD-0D6BC5EDB1B0}</author>
    <author>tc={846D822D-4F90-44B8-B844-B2A2790EE6BA}</author>
    <author>tc={D159286B-3003-4196-A701-4A1024A03210}</author>
    <author>tc={25BCBDBC-5B56-448E-B8A3-49B6A0B7085D}</author>
    <author>tc={E1FDC918-2EBC-477F-A0BB-E67F68952D56}</author>
    <author>tc={F0C3B794-CAB5-49FE-AC3C-C27E4ABF794B}</author>
    <author>tc={09E8FA82-3895-40F9-B83A-A6625CD944C6}</author>
    <author>tc={AEB54745-4C6A-45A1-9F20-412DF3782B6E}</author>
    <author>tc={7AC70503-F97C-43B2-B3F4-874BE2525FFF}</author>
    <author>tc={6B45F089-809D-4A17-8D95-4CF83CD9D460}</author>
    <author>tc={03C07DA9-8608-4825-B1C8-06D5B65DE24F}</author>
    <author>tc={3DA50789-47C7-4F32-A121-C97EB4FE190F}</author>
    <author>tc={0E37BCB5-014F-4CF5-8824-14D79DE3AFBB}</author>
    <author>tc={7CBACC4D-4111-42BF-B670-61C0DA5BF0A8}</author>
    <author>Mayara Martins</author>
    <author>Cristina Sugui</author>
    <author>tc={0B0F8EDF-39D9-468F-B6DC-6CF4F6B22C2C}</author>
    <author>tc={D62D16AB-41E9-41FD-8EC1-232A59F8FB93}</author>
    <author>tc={7C39B1AF-48D0-44AA-B5AC-4569776608C1}</author>
    <author>tc={171D2748-3E56-4511-B8A2-FD1C6C2CDC22}</author>
    <author>tc={987B113C-FCAF-428B-B1E9-6E2FC1880C91}</author>
    <author>tc={DA0D20B9-9F0B-44F3-839A-991081AD1FC7}</author>
    <author>tc={9836761A-2DBC-489E-BD70-3D648ED836A0}</author>
    <author>tc={AE193DC0-3BE8-4142-A7BE-EE39B17BA793}</author>
    <author>tc={A8ADE76E-2E8F-445C-8B90-ABAF2743055E}</author>
    <author>tc={5A09ACEC-0F6B-49FC-97F5-788AE8069FDD}</author>
    <author>tc={E5D1B4AE-59E9-4E2A-B2EB-A81EDE82A423}</author>
    <author>tc={54E3B343-B846-4100-9FB9-BBA080E94BDE}</author>
    <author>tc={C247B482-8344-48F2-B698-9B7679EBE9C5}</author>
    <author>tc={7F7F87DD-3E0F-43BF-B438-67DF899645AE}</author>
    <author>tc={8A2D50E5-36B9-40FB-A777-AE3936BC6AF0}</author>
    <author>tc={A4B2D34C-A33D-480A-957D-3A08D53CE35A}</author>
    <author>tc={5148EA7C-7F04-44AE-8DDB-2B1436E3DE12}</author>
    <author>tc={4588F260-870B-4747-BA9C-8EE4693676D8}</author>
    <author>tc={75757324-218B-48EB-B82B-28DFF18535EC}</author>
    <author>tc={95452843-CED6-4778-86EB-C65F1CC23B53}</author>
    <author>tc={57CA7E78-AF7A-4915-B120-071EB5B4C36F}</author>
    <author>tc={32E6610B-08F5-498B-B06C-1EA08F26A00D}</author>
    <author>tc={08BA6A5D-F590-4B9C-82BD-C65C08933E26}</author>
    <author>tc={7EA957EE-7787-4F3C-B98A-3676B02A4AB3}</author>
    <author>tc={4C573F18-39D2-4651-9FA4-FC7DF2D49885}</author>
    <author>tc={325FF62A-5895-4451-BDD9-78209AF08C4D}</author>
    <author>tc={FFD69255-7611-4734-ACD9-E4E207A261EC}</author>
    <author>tc={732D6D06-0EF8-46D5-AAD0-71CCE0A0F66E}</author>
    <author>tc={69196B72-F506-4A4D-9FE0-E240131015BA}</author>
    <author>tc={178CEA9B-FD1E-4A8E-B373-8F0A35C5B035}</author>
    <author>tc={B01DE50D-6875-4EB1-8FE1-E06B81FD8AF8}</author>
    <author>tc={915C021A-1B9E-4573-AAEE-5D790AC6C8B7}</author>
    <author>tc={CA242EE7-F273-4C15-8BE0-6AB3EC1D4B8A}</author>
    <author>tc={CB289036-BF99-49C8-890B-395CD004298A}</author>
    <author>tc={608B1DBE-67DB-4ABA-B813-4F32154D44F4}</author>
    <author>tc={540CA46B-1AA0-43E4-BF27-A57AAE5DEA36}</author>
    <author>tc={50779CD6-18C6-4E5A-B6D8-1A4BB4B614D0}</author>
    <author>tc={4A94C2D5-9D5A-44A4-BE2F-8DAF1C322226}</author>
    <author>tc={6E309F52-D794-4815-89CE-C4F06E17AE8B}</author>
    <author>tc={C9FD9788-C7CF-4D34-8E9B-C1CC38053AA1}</author>
    <author>tc={6DBF9107-6016-4A44-B865-87412856E48A}</author>
    <author>tc={549A0FB1-A617-4C0F-BEDA-2ED934754D77}</author>
    <author>tc={FE453570-7970-42DD-905F-3671E2D0413A}</author>
    <author>tc={2418EF2E-3988-41D1-AA54-51C2FD867893}</author>
    <author>tc={821C2527-4898-4891-B3F0-CFC0A773CF33}</author>
    <author>tc={15951A91-8D20-478D-A7CE-4495CE1284AA}</author>
    <author>tc={1CF98132-3582-4E7E-9AEC-D5E5110D72CC}</author>
    <author>tc={999CAA59-E384-4F5B-BE7A-252892CCFC66}</author>
    <author>tc={40CEADB9-F4C1-429E-B09C-F27B51C3612F}</author>
    <author>tc={647C1DDA-B709-414A-ABCD-522425B302CC}</author>
    <author>tc={9FFB4C34-C14F-4F99-8CED-09F1F439F713}</author>
    <author>tc={251F6516-59B6-4861-92B7-56FEBDC93C52}</author>
    <author>tc={8CA44E5B-DDCF-4CCB-BBCC-7046324B6A3D}</author>
    <author>tc={8D4F65DC-1CDF-48F4-A108-5B48D9A0DD33}</author>
    <author>tc={66BA9B7F-2549-4004-8B3A-C7A6CCE34C9A}</author>
    <author>tc={2BDEF72C-478B-4F5D-ABA0-DE09BAADF66E}</author>
    <author>tc={13D2FC6B-13BC-46B7-8FDD-2F6EACA011C5}</author>
    <author>tc={18DEAF5A-563F-4763-90F5-1BD47880D430}</author>
    <author>tc={632E9F61-19E6-4169-BACB-0B3AD0AFE6AB}</author>
    <author>tc={4F6330E3-A7FF-4B69-8FF6-32F44B3CDA6C}</author>
    <author>tc={B6A1EE89-BA8A-4361-8EBD-850E5304FF40}</author>
    <author>tc={0E4083B8-9866-4794-9564-F029EFB4CC2D}</author>
    <author>tc={22351323-897D-4B79-824E-9AA11643EA3D}</author>
    <author>tc={910D1494-A373-4B31-9C69-543862717EFD}</author>
    <author>tc={861954F4-2935-488B-8FEC-AC700FBF3E9D}</author>
    <author>tc={7E817A11-DF51-4A19-94AB-C6973306EB32}</author>
    <author>tc={CD85217F-7041-49E1-AF82-2CEFDE38EDE6}</author>
    <author>tc={4856B347-2642-4550-B6A5-EE1CF7A8C02B}</author>
    <author>tc={0ADCB43E-FDD9-413F-B999-CCF3DC344B87}</author>
    <author>tc={C97EE897-B7E9-469F-93A0-C5C0DDFB3BF4}</author>
    <author>tc={3AAF11CB-A414-42A0-A810-E6C077DF80B3}</author>
    <author>tc={D0DC432D-C342-4634-85D7-426D77CDA254}</author>
    <author>Thayna Almeida</author>
    <author>tc={0977614F-6294-4FE0-9AB1-F25A9D1C5C85}</author>
    <author>tc={9B4D1B1E-89B6-4CA8-887C-A42EB3A82079}</author>
    <author>tc={55A42EA3-BDA6-46BA-BEC4-8E6A724484BD}</author>
    <author>tc={DC4B6B7A-26F2-4CB8-8E24-B29F3DB8243A}</author>
    <author>tc={A0EAA672-393C-4A76-BC1C-207B8C24FD37}</author>
    <author>tc={479E3835-058F-41CF-9EFE-9A601E07926F}</author>
    <author>tc={AD3817EB-523A-41FE-9342-E3D3B4721D87}</author>
    <author>tc={4A8D1A00-ED86-4D8D-9F89-DE32DE7D9AD7}</author>
    <author>tc={872725B4-243F-48E4-8E19-4C5BE21C438B}</author>
    <author>tc={6A22EA84-0B77-47B3-B962-7B7B6A58DCAA}</author>
    <author>tc={9FB15572-699A-4CE9-A0AE-BEAC826CBAD2}</author>
    <author>tc={8212E0B5-B90B-4741-ABCB-F5BBC6E06658}</author>
    <author>tc={3C0E11C0-92D0-4137-A39D-4102287B1EA7}</author>
    <author>tc={26D5574B-B33D-4FD5-9131-5E11F3163CBD}</author>
    <author>tc={789FCE01-4FDC-418E-97C4-0CE76752868A}</author>
    <author>tc={0D5194B8-A3B4-491F-B3C5-66D1B711D42D}</author>
    <author>tc={AD0763B7-3441-4CE3-A380-38D620CE789C}</author>
    <author>tc={EAD9C010-03B8-4928-B4AF-21538DC4B420}</author>
    <author>tc={7E08C035-2BAD-47EC-82D8-B1A55AF22842}</author>
    <author>tc={6ADE3365-3385-462D-B588-B9367F0AC5B0}</author>
    <author>tc={8023660D-E2BC-4499-B00D-327AF5490700}</author>
    <author>tc={40CE0BBD-0825-4D96-A862-321D5A8EF438}</author>
    <author>tc={897E6DE3-94CA-4E23-9DD6-8EB711947D43}</author>
    <author>tc={712BD795-3785-4611-A320-39387B1CC5DA}</author>
    <author>tc={343CDD70-1946-4F47-AF58-C49B3BFBBAD7}</author>
    <author>tc={ACF38B37-32D1-4A25-AEB2-E766E1366E5A}</author>
    <author>tc={1EC95BD6-C38F-4F13-B444-3CB52094E782}</author>
    <author>tc={4A66D2D9-A049-4CB6-AF03-2EC5300E3F94}</author>
    <author>tc={8269FC11-EA02-45A0-97DD-399F6B6EEEBE}</author>
    <author>tc={D446A35B-046F-41DD-A290-EA02EF06D928}</author>
    <author>tc={A85D202A-BC02-46ED-A855-9CC69FF647AC}</author>
    <author>tc={8A1A63DE-0DD4-4C40-8E9D-09003C1BD65A}</author>
    <author>tc={1B40BB4F-1C27-491C-B674-EC83A7B94A00}</author>
    <author>tc={EE8DB67B-A117-456B-98DE-B1C8DB9E7900}</author>
    <author>tc={F37A9B92-70EC-4C20-B428-7919DCF5AA3C}</author>
    <author>tc={EE3EFC6C-0B5A-42CD-B88C-1AE46D0A2B08}</author>
    <author>tc={EC1541FC-D8C6-4A7B-AB1F-97B6CA797DE0}</author>
    <author>tc={9073FC77-4D23-4A15-890A-EF2CB7874492}</author>
    <author>tc={9E37481B-5FD8-41AE-B8E2-E1CD6638092E}</author>
    <author>tc={880574E6-47B6-4859-8F6B-A6AF55050412}</author>
    <author>tc={329C3ACF-1B01-492E-9E81-9574BBBF0ADA}</author>
    <author>tc={501B246D-673B-4C8A-899F-F29265710A42}</author>
    <author>tc={2727BA48-2274-4124-89AB-88A73282F382}</author>
    <author>tc={9AA187FC-DC50-4EAE-88BE-9215CE43F355}</author>
    <author>tc={89B9CB3F-D08C-473E-AEBC-02DE4B3E3619}</author>
    <author>tc={CFFEBAA1-4E24-4F2D-9C35-4228D752AADF}</author>
    <author>tc={3F8F7985-7C63-40B0-806A-3B166D921654}</author>
    <author>tc={9EB7CB5E-9704-48E1-8BAB-B67A1C4B8052}</author>
    <author>tc={361A57DE-6AC8-41A7-B1A9-4721B9B62A8F}</author>
    <author>tc={06EE4027-99FC-456F-A9BC-ED3695364792}</author>
    <author>tc={503DCA5E-2123-4D1E-87DD-662A39D69906}</author>
    <author>tc={0B2C9E5F-7C22-4AA1-BD58-9D0C9B477220}</author>
    <author>tc={6B716CFD-5BDD-4FEC-8DC1-9B645BBB3994}</author>
    <author>tc={9EBB4408-43D7-40A0-9B6F-730F2DCE9FFF}</author>
    <author>tc={1C593287-B6C7-4431-B7CE-A49B86FA47A1}</author>
    <author>tc={6612845D-7129-4B91-86F3-55ECA83D7D22}</author>
    <author>tc={B2FF3EAD-0BA4-457F-84D7-5919D15E4AB8}</author>
    <author>tc={FEF87ADD-2364-412D-A7B1-77992B206C7C}</author>
    <author>tc={FBDBF1FE-ACD6-43DC-A5F6-62FF06B693C8}</author>
    <author>tc={C536A3EC-CBC5-470E-8765-99293D4714D8}</author>
    <author>tc={0F3FE8E2-C87A-41DC-BC49-B6AB6F665447}</author>
    <author>tc={B2DBE941-49D0-4B83-8EF8-0EE492214B4B}</author>
    <author>tc={479251DF-B853-4B64-9CE2-50E449A24A4E}</author>
    <author>tc={0647AF78-1AB1-49FF-A0E0-0243400B802B}</author>
    <author>tc={9A285FCF-8C99-46BE-A1F0-DCB3F9E1DDEC}</author>
    <author>tc={038A4D12-67A5-481E-82DB-6D9FA8BC6A36}</author>
    <author>tc={03AAFEF3-1718-42AB-B714-D4EBB66E0F1E}</author>
    <author>tc={FF6EF75B-8B75-4866-877D-17B545BA194F}</author>
    <author>tc={13C0A6E9-6645-4AC6-9BD3-7A9B52292C5B}</author>
    <author>tc={53C4378B-43E1-4388-AC10-2DE149211E18}</author>
    <author>tc={76A93803-8B2F-422B-A4B6-76EF7DAE16EA}</author>
    <author>tc={09B8B5CE-33FC-4B1E-9888-B65215886440}</author>
    <author>tc={EA654D03-0E13-4F43-885A-D0D4A47DECF0}</author>
    <author>tc={B6A1AA33-995B-4875-BFC6-0876C2983D2D}</author>
    <author>tc={D28BF80C-D79D-4DC9-B339-B0E72A1C49EC}</author>
    <author>tc={70170F16-D9EE-4DA8-940D-1F3471D6FBBD}</author>
    <author>tc={520A90E9-7BC9-4A35-9C7B-3324EB95FD6C}</author>
    <author>tc={234FFEFC-4854-476C-90B2-66FFCD8CD36E}</author>
    <author>tc={E1EAC208-11B1-453D-99E3-7145298FB07A}</author>
    <author>tc={4F101659-F607-4949-ACDD-CD52EB0F819C}</author>
    <author>tc={795A8191-71A1-46F1-8E7E-A592D13BE724}</author>
    <author>tc={CCA41BE9-AC21-4E1A-A5F4-8394091B77AA}</author>
    <author>tc={2EE96F41-911E-4DD1-8B93-2E81CE4684FB}</author>
    <author>tc={709A8F4A-3B93-4A7D-B112-D55583C8C32E}</author>
    <author>tc={0F7A0EE1-BBDF-4996-9A34-3086F1A7F62A}</author>
    <author>tc={6FBC1326-6A15-447E-9FAA-4EA25738A2B5}</author>
    <author>tc={05430286-ED96-4434-9713-6D8602B24808}</author>
    <author>tc={F6BFE184-FFA6-4E6E-AEDE-E7676A5807A0}</author>
    <author>tc={FE3BE35B-9D02-4462-B2DE-17BC96F5784A}</author>
    <author>tc={F2C31F3B-9712-4EF8-8B19-92C3EA35D68F}</author>
    <author>tc={37B1593B-F31D-4DD8-91D8-CE2AA1294CC7}</author>
    <author>tc={CFAB480B-C718-4526-B5AB-37065606FB5B}</author>
    <author>tc={760B0B4C-6D67-400E-A757-8B49164B6C19}</author>
    <author>tc={74FFA583-E1CB-417E-9DB3-9F7D392D2362}</author>
    <author>tc={51B54F1A-BBEA-4611-8C6C-737C778BE1B1}</author>
    <author>tc={79366EDB-E731-44AC-8785-320BD9F007F8}</author>
    <author>tc={577083DE-70C8-424D-9A9D-4F2AF954B1FA}</author>
    <author>tc={FA80B21C-73D6-48C8-9E5B-A9D6C784828C}</author>
    <author>tc={6A21C1FE-1584-407C-A292-881B24BFB08E}</author>
    <author>tc={8EEB4B4E-9012-4ED7-948C-DDD022501222}</author>
    <author>tc={039E594F-B462-4F38-937A-4B4960B7D503}</author>
    <author>tc={C7A6E3CD-AE6A-4507-ADE6-D970FC6EFE68}</author>
    <author>tc={922D598E-E150-41F1-910D-956338BAE0EC}</author>
    <author>tc={61417287-5783-4A3E-9E0D-D488DAD67BB0}</author>
    <author>tc={E2BB090A-EA23-4363-BFC4-AC928CAF90CC}</author>
    <author>tc={F6BCE9E3-BC5E-443A-8BDD-13D2670A8F9A}</author>
    <author>tc={6319D30C-F94F-4023-9BBA-EE43B480039D}</author>
    <author>tc={CBFD5165-6EB7-4998-94C8-0826C91E208A}</author>
    <author>tc={2EDB02B8-550C-42D1-BB04-7F29C9990D63}</author>
    <author>tc={86397995-6E98-41FD-8CA6-F1BEDF04DA65}</author>
    <author>tc={07C986AC-6820-4891-B1C7-2E61DF6A9FB8}</author>
    <author>tc={229126E4-BF3F-473B-B2EC-9E9304E3C349}</author>
    <author>tc={4214F4C1-66C3-4EFE-AE92-01FE815EBB73}</author>
    <author>tc={B043CF35-7AFC-4C62-BBD4-8502D96FBF36}</author>
    <author>tc={4CFB87C3-DEA3-48B3-B086-76569EB1EE87}</author>
    <author>tc={C79B7428-53B4-477A-A89C-C5AD2CD39D3A}</author>
    <author>tc={64EEE1B6-38D8-4414-87DA-410CA0930505}</author>
    <author>tc={984D4387-EE0B-4A9F-8A96-7CF8EF11C135}</author>
    <author>tc={6E8D17BC-D5EF-4520-A906-F3ECE6A056ED}</author>
    <author>tc={7E4DA49F-CD49-4277-B86A-2AD3887CC652}</author>
  </authors>
  <commentList>
    <comment ref="BT1" authorId="0" shapeId="0" xr:uid="{AEDAC3CB-5B7A-4EDC-9DEC-7697F4ACD4BF}">
      <text>
        <r>
          <rPr>
            <b/>
            <sz val="9"/>
            <color indexed="81"/>
            <rFont val="Segoe UI"/>
            <family val="2"/>
          </rPr>
          <t>Cristina Sugui - 
Em 15/02/2025 foram agendadas para instalação do Isat e retirada do Rastreador A3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U1" authorId="0" shapeId="0" xr:uid="{E43D8BF3-378F-47BD-A503-40E87398F72A}">
      <text>
        <r>
          <rPr>
            <b/>
            <sz val="9"/>
            <color indexed="81"/>
            <rFont val="Segoe UI"/>
            <family val="2"/>
          </rPr>
          <t>Cristina Sugui
Implantação Inicial do Isat em 15/02/2025, sendo 21 veículos da empresa e 3 agregados:
DHW9801
GPZ5548
EJZ7G08</t>
        </r>
      </text>
    </comment>
    <comment ref="BZ1" authorId="0" shapeId="0" xr:uid="{E94C287B-C082-44A8-B2F7-B91F14092976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Amarelos compartilhado pelo Marcondes em 08/11/2023
</t>
        </r>
      </text>
    </comment>
    <comment ref="CM1" authorId="1" shapeId="0" xr:uid="{202D53C4-70E7-4DD1-88E2-3EFA14CE1F18}">
      <text>
        <r>
          <rPr>
            <b/>
            <sz val="9"/>
            <color indexed="81"/>
            <rFont val="Segoe UI"/>
            <family val="2"/>
          </rPr>
          <t>Hugo Bossolani:</t>
        </r>
        <r>
          <rPr>
            <sz val="9"/>
            <color indexed="81"/>
            <rFont val="Segoe UI"/>
            <family val="2"/>
          </rPr>
          <t xml:space="preserve">
Racional: "Depreciação acelerada para Reinvestimento"
1. "Valor de Compra (Hoje)" dividido por "Payback (Meses)" = Valor associado ao prazo de Retorno do Investimento
2. Prazo do Retorno do Investimento vezes 100% (ou 2), considerando reinvestir o capital na aquisição de ativo em substituição aquele depreciado.</t>
        </r>
      </text>
    </comment>
    <comment ref="Y2" authorId="2" shapeId="0" xr:uid="{FB50F4FD-15A5-4884-8F75-639B75BF33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Enviado e-mail em 06/01/2026 para Cristina, seguir com pagamento do licenciamento em nome da Pessoa Física - Renato</t>
      </text>
    </comment>
    <comment ref="AG3" authorId="3" shapeId="0" xr:uid="{0E9548D5-5D21-46AB-A7FE-D0A00D27F1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5" authorId="4" shapeId="0" xr:uid="{CE1556F9-D3DA-407F-9EAA-720D8F21EF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6" authorId="5" shapeId="0" xr:uid="{49A8C0B7-2198-4E4E-95DF-CA7622A944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N8" authorId="6" shapeId="0" xr:uid="{D839B73D-75B7-4B16-9D0A-0B8C253E95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8" authorId="7" shapeId="0" xr:uid="{5CF4644A-CE56-423A-BE80-6A2E3D8A8D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JULIO 17/01</t>
      </text>
    </comment>
    <comment ref="N9" authorId="8" shapeId="0" xr:uid="{B6473470-D50E-4CE2-9449-2293C6392A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9" authorId="9" shapeId="0" xr:uid="{2731CB86-1E08-405F-B416-A2AACF4351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JULIO 17/01
Responder:
    VENDIDO 20/03/2025</t>
      </text>
    </comment>
    <comment ref="AE10" authorId="10" shapeId="0" xr:uid="{7B4DD169-5079-46E1-BFF0-72781F09C3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E11" authorId="11" shapeId="0" xr:uid="{6DF81811-BA57-42D4-AB6A-D3337799D1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E12" authorId="12" shapeId="0" xr:uid="{4583A8C9-A855-4C49-B4ED-B4D82B54BB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E13" authorId="13" shapeId="0" xr:uid="{2286B53B-2EA8-4815-8BD9-A4D66A3C48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N14" authorId="14" shapeId="0" xr:uid="{765E307F-748C-40DB-973D-1CE4721776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4" authorId="15" shapeId="0" xr:uid="{5ADB7C77-8532-405A-9563-C3398DCBB5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28/07/2025
unidade Dourados - Júlio 16/01</t>
      </text>
    </comment>
    <comment ref="N15" authorId="16" shapeId="0" xr:uid="{51CDFF10-8E4E-4E16-8D2D-2D072BB22F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5" authorId="17" shapeId="0" xr:uid="{DBF8E9A9-7BCD-4991-BE09-95B11D3C13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Londrina - Júlio 16/01</t>
      </text>
    </comment>
    <comment ref="N16" authorId="18" shapeId="0" xr:uid="{ED44D743-C22D-48BC-A4AD-F1A9B3CAAB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6" authorId="19" shapeId="0" xr:uid="{A681C654-183E-448D-BAEA-C0AE0BBE46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16/01</t>
      </text>
    </comment>
    <comment ref="N17" authorId="20" shapeId="0" xr:uid="{4D026969-921C-458C-B387-12808FA6F8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7" authorId="21" shapeId="0" xr:uid="{CA09F4B5-305F-4B60-A9F1-8236A12634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N18" authorId="22" shapeId="0" xr:uid="{3E9F2FCA-AF83-4E4D-A50A-C878B2F6FE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8" authorId="23" shapeId="0" xr:uid="{91409CBE-2DEF-490F-B150-2872BD40FE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N19" authorId="24" shapeId="0" xr:uid="{EC21664C-5C2D-4F53-BA5C-CE2EAF89FE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9" authorId="25" shapeId="0" xr:uid="{0CB4FFF0-2453-4FEA-A133-2BAA783DB5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16/01
Responder:
    Informado pelo Julio (03/02/2026) que foi alterado de unidade, de Dourados para Maringá.
Responder:
    Informado pelo Julio (10/02) - Alterado de unidade, de Maringá para Presidente Prudente.</t>
      </text>
    </comment>
    <comment ref="AY19" authorId="26" shapeId="0" xr:uid="{955826B8-CB3F-46EF-B683-76FFB3DADF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Recibo assinado por R$ 58.000,00</t>
      </text>
    </comment>
    <comment ref="N20" authorId="27" shapeId="0" xr:uid="{06E4235E-C909-470D-983B-5347D1AA8B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0" authorId="28" shapeId="0" xr:uid="{DFA7190C-CFCB-4798-8BE1-D85508B7E7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N21" authorId="29" shapeId="0" xr:uid="{D4F71956-8A78-43EE-A580-1F49D1A6D7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1" authorId="30" shapeId="0" xr:uid="{70A48706-72E7-440D-B494-13CB1DF3AA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16/01</t>
      </text>
    </comment>
    <comment ref="N22" authorId="31" shapeId="0" xr:uid="{69745ACB-1679-4FBF-B4AF-068BA8360A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2" authorId="32" shapeId="0" xr:uid="{7844B908-5445-40C5-A6B3-4A96D6CFFE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16/01</t>
      </text>
    </comment>
    <comment ref="N23" authorId="33" shapeId="0" xr:uid="{0F97AC99-3FD4-4D54-9ADD-AE33C78E8C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3" authorId="34" shapeId="0" xr:uid="{40EEEE5F-F1F9-45F9-82AD-0D6BC5EDB1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Campo Grande - Júlio 16/01</t>
      </text>
    </comment>
    <comment ref="AH23" authorId="35" shapeId="0" xr:uid="{846D822D-4F90-44B8-B844-B2A2790EE6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Recibo físico não localizado, solicitar 2via</t>
      </text>
    </comment>
    <comment ref="N24" authorId="36" shapeId="0" xr:uid="{D159286B-3003-4196-A701-4A1024A032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4" authorId="37" shapeId="0" xr:uid="{25BCBDBC-5B56-448E-B8A3-49B6A0B708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AH24" authorId="38" shapeId="0" xr:uid="{E1FDC918-2EBC-477F-A0BB-E67F68952D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Recibo físico não localizado, solicitar 2via</t>
      </text>
    </comment>
    <comment ref="N25" authorId="39" shapeId="0" xr:uid="{F0C3B794-CAB5-49FE-AC3C-C27E4ABF79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5" authorId="40" shapeId="0" xr:uid="{09E8FA82-3895-40F9-B83A-A6625CD944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16/01</t>
      </text>
    </comment>
    <comment ref="N26" authorId="41" shapeId="0" xr:uid="{AEB54745-4C6A-45A1-9F20-412DF3782B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6" authorId="42" shapeId="0" xr:uid="{7AC70503-F97C-43B2-B3F4-874BE2525F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N27" authorId="43" shapeId="0" xr:uid="{6B45F089-809D-4A17-8D95-4CF83CD9D4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7" authorId="44" shapeId="0" xr:uid="{03C07DA9-8608-4825-B1C8-06D5B65DE2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Campo Grande - Júlio 16/01</t>
      </text>
    </comment>
    <comment ref="AG32" authorId="45" shapeId="0" xr:uid="{3DA50789-47C7-4F32-A121-C97EB4FE19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33" authorId="46" shapeId="0" xr:uid="{0E37BCB5-014F-4CF5-8824-14D79DE3AF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34" authorId="47" shapeId="0" xr:uid="{7CBACC4D-4111-42BF-B670-61C0DA5BF0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E35" authorId="48" shapeId="0" xr:uid="{8A979153-E5F3-4C28-BD81-9798AB8D2D4F}">
      <text>
        <r>
          <rPr>
            <sz val="11"/>
            <color theme="1"/>
            <rFont val="Aptos Narrow"/>
            <family val="2"/>
            <scheme val="minor"/>
          </rPr>
          <t>Mayara Martins:
VENDIDO COMO SUCATA PELA RSR EM 28/06/2024 NF 8428</t>
        </r>
      </text>
    </comment>
    <comment ref="AO35" authorId="49" shapeId="0" xr:uid="{53F9F7CF-EA7E-4D6A-895C-599D752A362B}">
      <text>
        <r>
          <rPr>
            <sz val="11"/>
            <color theme="1"/>
            <rFont val="Aptos Narrow"/>
            <family val="2"/>
            <scheme val="minor"/>
          </rPr>
          <t>Cristina Sugui:
Este Tilter nao tem nota fiscal, foi pago sem, confirmado com o Renato.</t>
        </r>
      </text>
    </comment>
    <comment ref="AW35" authorId="49" shapeId="0" xr:uid="{3968655E-C081-4EAF-B454-8093FD607FA0}">
      <text>
        <r>
          <rPr>
            <sz val="11"/>
            <color theme="1"/>
            <rFont val="Aptos Narrow"/>
            <family val="2"/>
            <scheme val="minor"/>
          </rPr>
          <t>Cristina Sugui:
Comprou dois equipamentos por 100 mil, mas gastou mais uns 100 mil para reforma</t>
        </r>
      </text>
    </comment>
    <comment ref="AX35" authorId="49" shapeId="0" xr:uid="{85CE0F65-C2B8-4C53-88C9-6153A4042F9A}">
      <text>
        <r>
          <rPr>
            <sz val="11"/>
            <color theme="1"/>
            <rFont val="Aptos Narrow"/>
            <family val="2"/>
            <scheme val="minor"/>
          </rPr>
          <t>Cristina Sugui:
Disse em 01/11/2023 que comprou em 2018 mais ou menos e nao sabe a data da fabricação</t>
        </r>
      </text>
    </comment>
    <comment ref="AG36" authorId="48" shapeId="0" xr:uid="{D6C835AA-7C5E-426B-A460-0C6D07CE0A3D}">
      <text>
        <r>
          <rPr>
            <sz val="11"/>
            <color theme="1"/>
            <rFont val="Aptos Narrow"/>
            <family val="2"/>
            <scheme val="minor"/>
          </rPr>
          <t>Mayara Martins:
VENDIDO EM MAR/2024</t>
        </r>
      </text>
    </comment>
    <comment ref="AG37" authorId="48" shapeId="0" xr:uid="{43B3E473-CD3E-4002-9466-DA98692C375C}">
      <text>
        <r>
          <rPr>
            <sz val="11"/>
            <color theme="1"/>
            <rFont val="Aptos Narrow"/>
            <family val="2"/>
            <scheme val="minor"/>
          </rPr>
          <t>Mayara Martins:
VENDIDO EM FEV/2024</t>
        </r>
      </text>
    </comment>
    <comment ref="AG38" authorId="48" shapeId="0" xr:uid="{7615F632-E557-4617-9804-86262885A7E7}">
      <text>
        <r>
          <rPr>
            <sz val="11"/>
            <color theme="1"/>
            <rFont val="Aptos Narrow"/>
            <family val="2"/>
            <scheme val="minor"/>
          </rPr>
          <t>Mayara Martins:
VENDIDO EM 11/2023</t>
        </r>
      </text>
    </comment>
    <comment ref="AG39" authorId="48" shapeId="0" xr:uid="{BF1974D2-3EA0-47B6-9C73-69124EAC03EA}">
      <text>
        <r>
          <rPr>
            <sz val="11"/>
            <color theme="1"/>
            <rFont val="Aptos Narrow"/>
            <family val="2"/>
            <scheme val="minor"/>
          </rPr>
          <t>Mayara Martins:
VENDIDO EM 2 ETAPAS
1) RSR X RSS - AGO/2023
2) RSS X JOAO SOARES - OUT/2023</t>
        </r>
      </text>
    </comment>
    <comment ref="AG40" authorId="48" shapeId="0" xr:uid="{2AF5AC4D-B6ED-42B4-8F86-020E07F842F8}">
      <text>
        <r>
          <rPr>
            <sz val="11"/>
            <color theme="1"/>
            <rFont val="Aptos Narrow"/>
            <family val="2"/>
            <scheme val="minor"/>
          </rPr>
          <t>Mayara Martins:
VENDIDO EM 11/2023</t>
        </r>
      </text>
    </comment>
    <comment ref="F41" authorId="50" shapeId="0" xr:uid="{0B0F8EDF-39D9-468F-B6DC-6CF4F6B22C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FAZER CONTRATO INTERCOMPANY</t>
      </text>
    </comment>
    <comment ref="AG41" authorId="48" shapeId="0" xr:uid="{2E767D86-BF50-4A00-8731-E77E1F87C7BD}">
      <text>
        <r>
          <rPr>
            <sz val="11"/>
            <color theme="1"/>
            <rFont val="Aptos Narrow"/>
            <family val="2"/>
            <scheme val="minor"/>
          </rPr>
          <t>Mayara Martins:
VENDIDO EM NOV/2023</t>
        </r>
      </text>
    </comment>
    <comment ref="AG42" authorId="48" shapeId="0" xr:uid="{E63C0FB2-7104-463E-BC04-177E4AC0765D}">
      <text>
        <r>
          <rPr>
            <sz val="11"/>
            <color theme="1"/>
            <rFont val="Aptos Narrow"/>
            <family val="2"/>
            <scheme val="minor"/>
          </rPr>
          <t>Mayara Martins:
VENDIDO EM 06/2024</t>
        </r>
      </text>
    </comment>
    <comment ref="AO42" authorId="48" shapeId="0" xr:uid="{24947076-BB0D-4714-9BE9-74DBF0D263E7}">
      <text>
        <r>
          <rPr>
            <sz val="11"/>
            <color theme="1"/>
            <rFont val="Aptos Narrow"/>
            <family val="2"/>
            <scheme val="minor"/>
          </rPr>
          <t xml:space="preserve">Mayara Martins:
Veiculo foi dado como parte do pagamento da venda da Placa ALJ-7D92, por opção do Renato não foi feito a transferencia devido a intenção de venda. OBS Jairo recebeu uma procuração do proprietário do veículo				
				</t>
        </r>
      </text>
    </comment>
    <comment ref="E43" authorId="51" shapeId="0" xr:uid="{D62D16AB-41E9-41FD-8EC1-232A59F8FB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FAZER CONTRATO INTERCOMPANY</t>
      </text>
    </comment>
    <comment ref="H43" authorId="52" shapeId="0" xr:uid="{7C39B1AF-48D0-44AA-B5AC-4569776608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 'contrato intercompany' SIM - informar qual empresa responsável. Se não deixar '-'</t>
      </text>
    </comment>
    <comment ref="AF43" authorId="53" shapeId="0" xr:uid="{171D2748-3E56-4511-B8A2-FD1C6C2CDC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Amarok - Sr Renato</t>
      </text>
    </comment>
    <comment ref="CE43" authorId="54" shapeId="0" xr:uid="{987B113C-FCAF-428B-B1E9-6E2FC1880C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Amarok - Sr Renato</t>
      </text>
    </comment>
    <comment ref="AO44" authorId="55" shapeId="0" xr:uid="{DA0D20B9-9F0B-44F3-839A-991081AD1FC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ANOTAÇÃO QAO4A53 - DOIS VEICULOS - VERIFICAR ALTERAÇÃO DE DOCUMENTAÇÃO VEICULAR
</t>
      </text>
    </comment>
    <comment ref="CE44" authorId="56" shapeId="0" xr:uid="{9836761A-2DBC-489E-BD70-3D648ED836A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RETIRADO IMPLEMENTOS DO EJZ7303
</t>
      </text>
    </comment>
    <comment ref="AO45" authorId="57" shapeId="0" xr:uid="{AE193DC0-3BE8-4142-A7BE-EE39B17BA79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ANOTAÇÃO QAO4A53 - DOIS VEICULOS - VERIFICAR ALTERAÇÃO DE DOCUMENTAÇÃO VEICULAR
</t>
      </text>
    </comment>
    <comment ref="BH46" authorId="0" shapeId="0" xr:uid="{6DA90634-4609-41AB-8DA8-72D3AD3619FE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AG47" authorId="58" shapeId="0" xr:uid="{A8ADE76E-2E8F-445C-8B90-ABAF274305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X47" authorId="49" shapeId="0" xr:uid="{5F2B8E71-A8EB-4750-AA9E-23370572597E}">
      <text>
        <r>
          <rPr>
            <b/>
            <sz val="9"/>
            <color indexed="81"/>
            <rFont val="Segoe UI"/>
            <family val="2"/>
          </rPr>
          <t>Cristina Sugui:</t>
        </r>
        <r>
          <rPr>
            <sz val="9"/>
            <color indexed="81"/>
            <rFont val="Segoe UI"/>
            <family val="2"/>
          </rPr>
          <t xml:space="preserve">
Data da proposta pois não veio nota fiscal de venda, somente de simples remessa</t>
        </r>
      </text>
    </comment>
    <comment ref="BF54" authorId="0" shapeId="0" xr:uid="{331401C4-0B22-4F77-8E51-89AC9A210940}">
      <text>
        <r>
          <rPr>
            <b/>
            <sz val="9"/>
            <color indexed="81"/>
            <rFont val="Segoe UI"/>
            <family val="2"/>
          </rPr>
          <t>250000,00 montada a de ferro!!!
Mais 30000,00 de mais 30000,00 de mão de obra.</t>
        </r>
      </text>
    </comment>
    <comment ref="BF55" authorId="0" shapeId="0" xr:uid="{F9A629CC-53EC-4891-AD3D-7E22540870F6}">
      <text>
        <r>
          <rPr>
            <b/>
            <sz val="9"/>
            <color indexed="81"/>
            <rFont val="Segoe UI"/>
            <family val="2"/>
          </rPr>
          <t>250000,00 montada a de ferro!!!
Mais 30000,00 de mais 30000,00 de mão de obra.</t>
        </r>
      </text>
    </comment>
    <comment ref="BF56" authorId="0" shapeId="0" xr:uid="{C6DF9897-B324-474B-83CE-300646F18322}">
      <text>
        <r>
          <rPr>
            <b/>
            <sz val="9"/>
            <color indexed="81"/>
            <rFont val="Segoe UI"/>
            <family val="2"/>
          </rPr>
          <t>250000,00 montada a de ferro!!!
Mais 30000,00 de mais 30000,00 de mão de obra.</t>
        </r>
      </text>
    </comment>
    <comment ref="BF57" authorId="0" shapeId="0" xr:uid="{EA1A719F-6663-4285-A70C-5DD194C359E7}">
      <text>
        <r>
          <rPr>
            <b/>
            <sz val="9"/>
            <color indexed="81"/>
            <rFont val="Segoe UI"/>
            <family val="2"/>
          </rPr>
          <t>250000,00 montada a de ferro!!!
Mais 30000,00 de mais 30000,00 de mão de obra.</t>
        </r>
      </text>
    </comment>
    <comment ref="BF58" authorId="0" shapeId="0" xr:uid="{689C5B15-EBC5-4DB6-8FD4-130483C33C19}">
      <text>
        <r>
          <rPr>
            <b/>
            <sz val="9"/>
            <color indexed="81"/>
            <rFont val="Segoe UI"/>
            <family val="2"/>
          </rPr>
          <t>250000,00 montada a de ferro!!!
Mais 30000,00 de mais 30000,00 de mão de obra.</t>
        </r>
      </text>
    </comment>
    <comment ref="BF59" authorId="0" shapeId="0" xr:uid="{AC32B55C-4868-4F08-849F-0F253B9A9490}">
      <text>
        <r>
          <rPr>
            <b/>
            <sz val="9"/>
            <color indexed="81"/>
            <rFont val="Segoe UI"/>
            <family val="2"/>
          </rPr>
          <t>250000,00 montada a de ferro!!!
Mais 30000,00 de mais 30000,00 de mão de obra.</t>
        </r>
      </text>
    </comment>
    <comment ref="AG63" authorId="59" shapeId="0" xr:uid="{5A09ACEC-0F6B-49FC-97F5-788AE8069F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sendo instalado rollon Grimaldi G25 - para venda - Júlio 28/07/2025</t>
      </text>
    </comment>
    <comment ref="AO63" authorId="60" shapeId="0" xr:uid="{E5D1B4AE-59E9-4E2A-B2EB-A81EDE82A4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APENAS CHASSI - VINCULADO COM ANOTAÇÃO QAO....
Responder:
    Retirado o garra e rollon - foi passado para um cargo</t>
      </text>
    </comment>
    <comment ref="BG63" authorId="0" shapeId="0" xr:uid="{B621F63D-1644-4166-BBFE-82F72E33152C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BH63" authorId="0" shapeId="0" xr:uid="{6627F3EB-21BA-40E5-B887-BA2FB7ED1ECF}">
      <text>
        <r>
          <rPr>
            <b/>
            <sz val="9"/>
            <color indexed="81"/>
            <rFont val="Segoe UI"/>
            <family val="2"/>
          </rPr>
          <t>Renato me mandou um audio em 26/09/2025 informando que o valor pedido é de 260.000,00 considerando os 85.000,00 do rollon, mais quarto eixo mais o truck</t>
        </r>
      </text>
    </comment>
    <comment ref="BG64" authorId="0" shapeId="0" xr:uid="{65F2B6E0-D316-4353-B536-DD3D61534837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AG67" authorId="61" shapeId="0" xr:uid="{54E3B343-B846-4100-9FB9-BBA080E94B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VENDA - JÚLIO 25/07/2025</t>
      </text>
    </comment>
    <comment ref="AG68" authorId="62" shapeId="0" xr:uid="{C247B482-8344-48F2-B698-9B7679EBE9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VENDA - JÚLIO 25/07/2025
unidade campo Grande - Júlio 16/01/2025</t>
      </text>
    </comment>
    <comment ref="AH68" authorId="63" shapeId="0" xr:uid="{7F7F87DD-3E0F-43BF-B438-67DF899645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Encontrado no Gervazoni, parado desde 2022 no despachante por reprova na vistoria</t>
      </text>
    </comment>
    <comment ref="AG69" authorId="64" shapeId="0" xr:uid="{8A2D50E5-36B9-40FB-A777-AE3936BC6A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VENDA - JÚLIO 25/07/2025</t>
      </text>
    </comment>
    <comment ref="N70" authorId="65" shapeId="0" xr:uid="{A4B2D34C-A33D-480A-957D-3A08D53CE3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70" authorId="66" shapeId="0" xr:uid="{5148EA7C-7F04-44AE-8DDB-2B1436E3DE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16/01</t>
      </text>
    </comment>
    <comment ref="AG71" authorId="67" shapeId="0" xr:uid="{4588F260-870B-4747-BA9C-8EE4693676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24/07/2025
unidade Dourados - Júlio 16/01/2025</t>
      </text>
    </comment>
    <comment ref="AG72" authorId="68" shapeId="0" xr:uid="{75757324-218B-48EB-B82B-28DFF18535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24/07/2025
unidade Dourados - Júlio 16/01/2025
Responder:
    Informado pelo Julio (26/03) - Caminhão operará em Campo Grande</t>
      </text>
    </comment>
    <comment ref="AG73" authorId="69" shapeId="0" xr:uid="{95452843-CED6-4778-86EB-C65F1CC23B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Julio 24/07/2025
unidade Maringá - Julio 16/01/2025
Responder:
    Está na unidade de Presidente Prudente - Oficina</t>
      </text>
    </comment>
    <comment ref="N74" authorId="70" shapeId="0" xr:uid="{57CA7E78-AF7A-4915-B120-071EB5B4C3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a placa com sr Renato 13/01/25. Autorizado seguir com pagto do IPVA e Licenciamento.</t>
      </text>
    </comment>
    <comment ref="AG74" authorId="71" shapeId="0" xr:uid="{32E6610B-08F5-498B-B06C-1EA08F26A0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24/07/2025</t>
      </text>
    </comment>
    <comment ref="AG75" authorId="72" shapeId="0" xr:uid="{08BA6A5D-F590-4B9C-82BD-C65C08933E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24/07/2025
Responder:
    Informado pelo Julio (03/02/2026) que o caminhão saiu de Dourados e operará na unidade de Londrina.
Responder:
    Informado pelo Julio (10/02) - Alterado de Londrina para operar em Maringá.</t>
      </text>
    </comment>
    <comment ref="AG76" authorId="73" shapeId="0" xr:uid="{7EA957EE-7787-4F3C-B98A-3676B02A4A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24/07/2025
Responder:
    unidade Londrina PR - Júlio 25/08/2025</t>
      </text>
    </comment>
    <comment ref="AG77" authorId="74" shapeId="0" xr:uid="{4C573F18-39D2-4651-9FA4-FC7DF2D498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CAMPO GRANDE - JULIO 28/07/25</t>
      </text>
    </comment>
    <comment ref="AG78" authorId="75" shapeId="0" xr:uid="{325FF62A-5895-4451-BDD9-78209AF08C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24/07/2025
unidade Campo Grande - Júlio 16/01</t>
      </text>
    </comment>
    <comment ref="AG79" authorId="76" shapeId="0" xr:uid="{FFD69255-7611-4734-ACD9-E4E207A261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Campo Grande - Júlio 24/07/2025
unidade Prudente - Júlio 16/01/2025 
Responder:
    Sinistro conforme chamado 792636.002 Alfa Seguradora - Vinícius está tratando 
diretamente com a seguradora
Responder:
    Informado pelo Julio (10/02/26) - Alterado de Dourados para Presidente Prudente.</t>
      </text>
    </comment>
    <comment ref="AG80" authorId="77" shapeId="0" xr:uid="{732D6D06-0EF8-46D5-AAD0-71CCE0A0F6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MARINGÁ - JULIO 28/07/2025 
unidade Prudente - Júlio 16/01</t>
      </text>
    </comment>
    <comment ref="AO80" authorId="0" shapeId="0" xr:uid="{80BD1E51-A217-4682-ADB2-619AF603DD72}">
      <text>
        <r>
          <rPr>
            <b/>
            <sz val="9"/>
            <color indexed="81"/>
            <rFont val="Segoe UI"/>
            <family val="2"/>
          </rPr>
          <t>L - São as que guardam na Caçamba e a Z São as que ficam como um gafanhoto (igual o dianteiro)</t>
        </r>
      </text>
    </comment>
    <comment ref="AG81" authorId="78" shapeId="0" xr:uid="{69196B72-F506-4A4D-9FE0-E240131015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G82" authorId="79" shapeId="0" xr:uid="{178CEA9B-FD1E-4A8E-B373-8F0A35C5B0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OFINA PARA INSERIR EQUIPAMENTOS - JULIO 28/07/2025
unidade Prudente - Júlio 16/01
Responder:
    Informado pelo Julio (10/02/26) que o caminhão foi alterado de P.Pte e irá operar em Maringá.</t>
      </text>
    </comment>
    <comment ref="AH82" authorId="80" shapeId="0" xr:uid="{B01DE50D-6875-4EB1-8FE1-E06B81FD8A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alterado para digital após regularização carroceria 2025
Responder:
    Não foi regularizado documentação da carroceria, veículo não liberado na data do documento do Detran. Alinhado com Julio para informar liberação, para solicitar nova autorização do Detran.</t>
      </text>
    </comment>
    <comment ref="AG83" authorId="81" shapeId="0" xr:uid="{915C021A-1B9E-4573-AAEE-5D790AC6C8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Julio 25/07/25
unidade Prudente - Júlio 16/01/25</t>
      </text>
    </comment>
    <comment ref="AG84" authorId="82" shapeId="0" xr:uid="{CA242EE7-F273-4C15-8BE0-6AB3EC1D4B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JULIO 28/07/2025</t>
      </text>
    </comment>
    <comment ref="AH84" authorId="83" shapeId="0" xr:uid="{CB289036-BF99-49C8-890B-395CD00429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foi regularizado documentação da carroceria, veículo não liberado na data do documento do Detran. Alinhado com Julio para informar liberação, para solicitar nova autorização do Detran.</t>
      </text>
    </comment>
    <comment ref="AO84" authorId="84" shapeId="0" xr:uid="{608B1DBE-67DB-4ABA-B813-4F32154D44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CAÇAMBA ADAPTADA PELA INDUSPLAN</t>
      </text>
    </comment>
    <comment ref="AG85" authorId="85" shapeId="0" xr:uid="{540CA46B-1AA0-43E4-BF27-A57AAE5DEA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24/07/2025
Responder:
    Unidade Presidente Prudente - 25/02/2026
Responder:
    CORREÇÃO - UNIDADE MARINGÁ</t>
      </text>
    </comment>
    <comment ref="AG86" authorId="86" shapeId="0" xr:uid="{50779CD6-18C6-4E5A-B6D8-1A4BB4B614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Campo Grande - Júlio 24/07/2025
Responder:
    Informado pelo Julio (26/03) - Operará em Presidente Prudente</t>
      </text>
    </comment>
    <comment ref="AO86" authorId="87" shapeId="0" xr:uid="{4A94C2D5-9D5A-44A4-BE2F-8DAF1C3222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ORIGINALMENTE O VEICULO ERA ROLLON ROLLOFF - GRIMALDI GR25 - GARRA GRIMALDI GRS 15000Z  E ESTÁ DISPONÍVEL NA OFICINA</t>
      </text>
    </comment>
    <comment ref="AE87" authorId="88" shapeId="0" xr:uid="{6E309F52-D794-4815-89CE-C4F06E17AE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E88" authorId="89" shapeId="0" xr:uid="{C9FD9788-C7CF-4D34-8E9B-C1CC38053A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E89" authorId="90" shapeId="0" xr:uid="{6DBF9107-6016-4A44-B865-87412856E4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G90" authorId="48" shapeId="0" xr:uid="{1BA748A0-CF4F-4E1A-9992-48E1C026FABC}">
      <text>
        <r>
          <rPr>
            <sz val="11"/>
            <color theme="1"/>
            <rFont val="Aptos Narrow"/>
            <family val="2"/>
            <scheme val="minor"/>
          </rPr>
          <t>Mayara Martins:
VENDIDO EM JAN/2024</t>
        </r>
      </text>
    </comment>
    <comment ref="N91" authorId="91" shapeId="0" xr:uid="{549A0FB1-A617-4C0F-BEDA-2ED934754D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91" authorId="92" shapeId="0" xr:uid="{FE453570-7970-42DD-905F-3671E2D041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N92" authorId="93" shapeId="0" xr:uid="{2418EF2E-3988-41D1-AA54-51C2FD8678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92" authorId="94" shapeId="0" xr:uid="{821C2527-4898-4891-B3F0-CFC0A773CF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E93" authorId="95" shapeId="0" xr:uid="{15951A91-8D20-478D-A7CE-4495CE1284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G95" authorId="96" shapeId="0" xr:uid="{1CF98132-3582-4E7E-9AEC-D5E5110D72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VENDA - JÚLIO 25/07/2025
unidade Maringá - Júlio 16/01/2025</t>
      </text>
    </comment>
    <comment ref="AG96" authorId="97" shapeId="0" xr:uid="{999CAA59-E384-4F5B-BE7A-252892CCF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24/07/2025
unidade Maringá - Júlio 16/01/2025</t>
      </text>
    </comment>
    <comment ref="AH96" authorId="98" shapeId="0" xr:uid="{40CEADB9-F4C1-429E-B09C-F27B51C361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Recibo físico não localizado, solicitar 2via
Responder:
    Encontrado no Gervazoni, parado desde 2022 no despachante por reprova na vistoria</t>
      </text>
    </comment>
    <comment ref="AG97" authorId="99" shapeId="0" xr:uid="{647C1DDA-B709-414A-ABCD-522425B302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24/07/2025
Responder:
    Confirmado pelo Julio, caminhão operando em Maringá (06/02/26)</t>
      </text>
    </comment>
    <comment ref="AE98" authorId="100" shapeId="0" xr:uid="{9FFB4C34-C14F-4F99-8CED-09F1F439F7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vendido 24/07/2025</t>
      </text>
    </comment>
    <comment ref="AG98" authorId="101" shapeId="0" xr:uid="{251F6516-59B6-4861-92B7-56FEBDC93C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 - Júlio 16/01</t>
      </text>
    </comment>
    <comment ref="AG99" authorId="102" shapeId="0" xr:uid="{8CA44E5B-DDCF-4CCB-BBCC-7046324B6A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Londrina - Júlio 16/01</t>
      </text>
    </comment>
    <comment ref="AG100" authorId="103" shapeId="0" xr:uid="{8D4F65DC-1CDF-48F4-A108-5B48D9A0DD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G101" authorId="104" shapeId="0" xr:uid="{66BA9B7F-2549-4004-8B3A-C7A6CCE34C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G102" authorId="105" shapeId="0" xr:uid="{2BDEF72C-478B-4F5D-ABA0-DE09BAADF6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Braçofer - Júlio 28/07/2025
Braçofer - Júlio 16/01</t>
      </text>
    </comment>
    <comment ref="N103" authorId="106" shapeId="0" xr:uid="{13D2FC6B-13BC-46B7-8FDD-2F6EACA011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a placa com sr Renato 13/01/25. Autorizado seguir com pagto do IPVA e Licenciamento.</t>
      </text>
    </comment>
    <comment ref="AG103" authorId="107" shapeId="0" xr:uid="{18DEAF5A-563F-4763-90F5-1BD47880D4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Braçofer - Júlio 28/07/2025</t>
      </text>
    </comment>
    <comment ref="AG104" authorId="108" shapeId="0" xr:uid="{632E9F61-19E6-4169-BACB-0B3AD0AFE6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Braçofer - Júlio 28/07/2025</t>
      </text>
    </comment>
    <comment ref="AG105" authorId="109" shapeId="0" xr:uid="{4F6330E3-A7FF-4B69-8FF6-32F44B3CDA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Braçofer - Júlio 28/07/2025
Braçofer - Júlio 16/01</t>
      </text>
    </comment>
    <comment ref="L107" authorId="110" shapeId="0" xr:uid="{B6A1EE89-BA8A-4361-8EBD-850E5304FF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São Paulo, carros com mais de 30 anos de fabricação não pagam a taxa de licenciamento.</t>
      </text>
    </comment>
    <comment ref="Y107" authorId="111" shapeId="0" xr:uid="{0E4083B8-9866-4794-9564-F029EFB4CC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São Paulo, carros com mais de 30 anos de fabricação não pagam a taxa de licenciamento.</t>
      </text>
    </comment>
    <comment ref="AG107" authorId="112" shapeId="0" xr:uid="{22351323-897D-4B79-824E-9AA11643EA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Veiculo com restrições ( Bloqueio Judicial, Sem motor e Doc. em nome de outro proprietário)
Renato e Max - Cientes
Obs. Disponível para venda
Responder:
    unidade Prudente - Júlio 16/01
Responder:
    PLACA SEM ANEXOS NO ATUA E NÃO CADASTRADO NO SAGI
Responder:
    UNIDADE PRUDENTE - JÚLIO 28/07/2025</t>
      </text>
    </comment>
    <comment ref="BG107" authorId="0" shapeId="0" xr:uid="{CAFAD429-3C81-4E88-9E94-DAF330A542CA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N108" authorId="113" shapeId="0" xr:uid="{910D1494-A373-4B31-9C69-543862717E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08" authorId="114" shapeId="0" xr:uid="{861954F4-2935-488B-8FEC-AC700FBF3E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G109" authorId="115" shapeId="0" xr:uid="{7E817A11-DF51-4A19-94AB-C6973306EB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SE LOJA ESTÁ USANDO - VENDA? JULIO 28/07/25
Braçofer - Júlio 16/01</t>
      </text>
    </comment>
    <comment ref="AG110" authorId="116" shapeId="0" xr:uid="{CD85217F-7041-49E1-AF82-2CEFDE38ED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BG110" authorId="0" shapeId="0" xr:uid="{B83831D4-85D1-4B9A-9EF7-E9C9A27B815C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AG111" authorId="117" shapeId="0" xr:uid="{4856B347-2642-4550-B6A5-EE1CF7A8C0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BG111" authorId="0" shapeId="0" xr:uid="{4AFDD935-2F7C-4D7D-A63F-C805D2107774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AE112" authorId="118" shapeId="0" xr:uid="{0ADCB43E-FDD9-413F-B999-CCF3DC344B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Conferido na planilha "Simulação de ganho de capital"</t>
      </text>
    </comment>
    <comment ref="AG113" authorId="48" shapeId="0" xr:uid="{8D51CB0D-2CBA-4046-B0F3-F24447C7051C}">
      <text>
        <r>
          <rPr>
            <sz val="11"/>
            <color theme="1"/>
            <rFont val="Aptos Narrow"/>
            <family val="2"/>
            <scheme val="minor"/>
          </rPr>
          <t>Mayara Martins:
VENDIDO EM 2 ETAPAS
1) RSR &gt; RSS (FEV/2024)
2) RSS &gt; G4
*PLACA ATUAL EJZ-7D66*</t>
        </r>
      </text>
    </comment>
    <comment ref="AG115" authorId="48" shapeId="0" xr:uid="{7EFD1415-7926-41B7-8457-2875A0864B12}">
      <text>
        <r>
          <rPr>
            <sz val="11"/>
            <color theme="1"/>
            <rFont val="Aptos Narrow"/>
            <family val="2"/>
            <scheme val="minor"/>
          </rPr>
          <t>Mayara Martins:
VENDIDO EM 25/04/2024</t>
        </r>
      </text>
    </comment>
    <comment ref="AG116" authorId="48" shapeId="0" xr:uid="{9DCC5618-DD62-41DF-B476-DE03DDF1AB76}">
      <text>
        <r>
          <rPr>
            <sz val="11"/>
            <color theme="1"/>
            <rFont val="Aptos Narrow"/>
            <family val="2"/>
            <scheme val="minor"/>
          </rPr>
          <t>Mayara Martins:
VENDA EM ABRIL/2024</t>
        </r>
      </text>
    </comment>
    <comment ref="AG117" authorId="119" shapeId="0" xr:uid="{C97EE897-B7E9-469F-93A0-C5C0DDFB3B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Prudente/Sucata - Júlio 25/08/2025</t>
      </text>
    </comment>
    <comment ref="AF118" authorId="120" shapeId="0" xr:uid="{3AAF11CB-A414-42A0-A810-E6C077DF80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Julio hoje (03/02/2026) que o caminhão irá operar na unidade de Dourados.</t>
      </text>
    </comment>
    <comment ref="N119" authorId="121" shapeId="0" xr:uid="{D0DC432D-C342-4634-85D7-426D77CDA2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19" authorId="122" shapeId="0" xr:uid="{B7D4CD74-61B7-49DA-98D9-0FF42F76A926}">
      <text>
        <r>
          <rPr>
            <sz val="11"/>
            <color theme="1"/>
            <rFont val="Aptos Narrow"/>
            <family val="2"/>
            <scheme val="minor"/>
          </rPr>
          <t>PLACA ANTERIOR BWJ9737
unidade Prudente - Júlio 16/01
UNIDADE PRUDENTE - JÚLIO 28/07/2025</t>
        </r>
      </text>
    </comment>
    <comment ref="N120" authorId="123" shapeId="0" xr:uid="{0977614F-6294-4FE0-9AB1-F25A9D1C5C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20" authorId="124" shapeId="0" xr:uid="{9B4D1B1E-89B6-4CA8-887C-A42EB3A820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N121" authorId="125" shapeId="0" xr:uid="{55A42EA3-BDA6-46BA-BEC4-8E6A724484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121" authorId="126" shapeId="0" xr:uid="{DC4B6B7A-26F2-4CB8-8E24-B29F3DB824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G122" authorId="127" shapeId="0" xr:uid="{A0EAA672-393C-4A76-BC1C-207B8C24FD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Julio 28/07/2025</t>
      </text>
    </comment>
    <comment ref="AH122" authorId="128" shapeId="0" xr:uid="{479E3835-058F-41CF-9EFE-9A601E0792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Recibo físico não localizado, solicitar 2via</t>
      </text>
    </comment>
    <comment ref="BG122" authorId="0" shapeId="0" xr:uid="{3B5E736F-F023-45ED-8F6E-263FB1A1E3D5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N123" authorId="129" shapeId="0" xr:uid="{AD3817EB-523A-41FE-9342-E3D3B4721D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a placa com sr Renato 13/01/25. Autorizado seguir com pagto do IPVA e Licenciamento.</t>
      </text>
    </comment>
    <comment ref="AG123" authorId="130" shapeId="0" xr:uid="{4A8D1A00-ED86-4D8D-9F89-DE32DE7D9A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LOCALIZAÇÃO VARIÁVEL - 28/07/2025 ACOPLADO NA PRENSA QXH2G14</t>
      </text>
    </comment>
    <comment ref="AG124" authorId="131" shapeId="0" xr:uid="{872725B4-243F-48E4-8E19-4C5BE21C43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LOCALIZAÇÃO VARIÁVEL - 28/07/2025 ACOPLADO NA PRENSA GDU0275 - JULIO 28/07/2025</t>
      </text>
    </comment>
    <comment ref="AE125" authorId="132" shapeId="0" xr:uid="{6A22EA84-0B77-47B3-B962-7B7B6A58DC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vendido 24/07/2025</t>
      </text>
    </comment>
    <comment ref="AG125" authorId="133" shapeId="0" xr:uid="{9FB15572-699A-4CE9-A0AE-BEAC826CBA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AG126" authorId="134" shapeId="0" xr:uid="{8212E0B5-B90B-4741-ABCB-F5BBC6E066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Arcelor IRACEMÁPOLIS - Júlio 28/07/2025
Arcelor Piracicaba - Júlio 16/01
Responder:
    Informado pelo Julio (10/02) - Alterado de Iracemápolis para Piracicaba (Arcelor)</t>
      </text>
    </comment>
    <comment ref="AG127" authorId="135" shapeId="0" xr:uid="{3C0E11C0-92D0-4137-A39D-4102287B1E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Arcelor RESENDE RJ - Júlio 28/07/25
Arcelor Piracicaba - Júlio 16/01</t>
      </text>
    </comment>
    <comment ref="AG128" authorId="136" shapeId="0" xr:uid="{26D5574B-B33D-4FD5-9131-5E11F3163C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</t>
      </text>
    </comment>
    <comment ref="BG128" authorId="0" shapeId="0" xr:uid="{E577F629-8379-4FD5-B8AC-C8836237DD4F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PREÇO DE VENDA</t>
        </r>
      </text>
    </comment>
    <comment ref="AG129" authorId="48" shapeId="0" xr:uid="{99D43D40-7926-4ED0-99D2-6AA1D83434B1}">
      <text>
        <r>
          <rPr>
            <sz val="11"/>
            <color theme="1"/>
            <rFont val="Aptos Narrow"/>
            <family val="2"/>
            <scheme val="minor"/>
          </rPr>
          <t>Mayara Martins:
VENDIDO EM 04/2024</t>
        </r>
      </text>
    </comment>
    <comment ref="AG130" authorId="137" shapeId="0" xr:uid="{789FCE01-4FDC-418E-97C4-0CE7675286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INSTALADO NA EHH0038 EM CAMPO GRANDE</t>
      </text>
    </comment>
    <comment ref="AG137" authorId="138" shapeId="0" xr:uid="{0D5194B8-A3B4-491F-B3C5-66D1B711D4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40" authorId="139" shapeId="0" xr:uid="{AD0763B7-3441-4CE3-A380-38D620CE78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41" authorId="140" shapeId="0" xr:uid="{EAD9C010-03B8-4928-B4AF-21538DC4B4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41" authorId="141" shapeId="0" xr:uid="{7E08C035-2BAD-47EC-82D8-B1A55AF228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Foram compradas sem garra - confirmado com Júlio e Junior 13/02/2025</t>
      </text>
    </comment>
    <comment ref="AG142" authorId="142" shapeId="0" xr:uid="{6ADE3365-3385-462D-B588-B9367F0AC5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42" authorId="143" shapeId="0" xr:uid="{8023660D-E2BC-4499-B00D-327AF54907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Foram compradas sem garra - confirmado com Júlio e Junior 13/02/2025</t>
      </text>
    </comment>
    <comment ref="AG143" authorId="144" shapeId="0" xr:uid="{40CE0BBD-0825-4D96-A862-321D5A8EF4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O143" authorId="0" shapeId="0" xr:uid="{9DCE3DCE-6BBA-4259-9105-6511CB8F1E02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Deu 20 mil de entrada e não pagou o restante, manter para venda</t>
        </r>
      </text>
    </comment>
    <comment ref="AG144" authorId="145" shapeId="0" xr:uid="{897E6DE3-94CA-4E23-9DD6-8EB711947D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45" authorId="146" shapeId="0" xr:uid="{712BD795-3785-4611-A320-39387B1CC5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46" authorId="147" shapeId="0" xr:uid="{343CDD70-1946-4F47-AF58-C49B3BFBBA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47" authorId="148" shapeId="0" xr:uid="{ACF38B37-32D1-4A25-AEB2-E766E1366E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48" authorId="149" shapeId="0" xr:uid="{1EC95BD6-C38F-4F13-B444-3CB52094E7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
Responder:
    Informado pelo Junior (23/02/2026) - operando em Presidente Prudente</t>
      </text>
    </comment>
    <comment ref="AG150" authorId="150" shapeId="0" xr:uid="{4A66D2D9-A049-4CB6-AF03-2EC5300E3F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51" authorId="151" shapeId="0" xr:uid="{8269FC11-EA02-45A0-97DD-399F6B6EEE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52" authorId="152" shapeId="0" xr:uid="{D446A35B-046F-41DD-A290-EA02EF06D9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52" authorId="153" shapeId="0" xr:uid="{A85D202A-BC02-46ED-A855-9CC69FF647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</t>
      </text>
    </comment>
    <comment ref="BD152" authorId="154" shapeId="0" xr:uid="{8A1A63DE-0DD4-4C40-8E9D-09003C1BD6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Garra Sucateiro Liebherr</t>
      </text>
    </comment>
    <comment ref="AF153" authorId="155" shapeId="0" xr:uid="{1B40BB4F-1C27-491C-B674-EC83A7B94A0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Edmilson que a máquina foi alterada de Presidente Prudente, e irá operar em Maringá.
</t>
      </text>
    </comment>
    <comment ref="AG153" authorId="156" shapeId="0" xr:uid="{EE8DB67B-A117-456B-98DE-B1C8DB9E79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53" authorId="157" shapeId="0" xr:uid="{F37A9B92-70EC-4C20-B428-7919DCF5AA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Dúvida de garra</t>
      </text>
    </comment>
    <comment ref="AG154" authorId="158" shapeId="0" xr:uid="{EE3EFC6C-0B5A-42CD-B88C-1AE46D0A2B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54" authorId="159" shapeId="0" xr:uid="{EC1541FC-D8C6-4A7B-AB1F-97B6CA797D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</t>
      </text>
    </comment>
    <comment ref="AG155" authorId="160" shapeId="0" xr:uid="{9073FC77-4D23-4A15-890A-EF2CB78744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55" authorId="161" shapeId="0" xr:uid="{9E37481B-5FD8-41AE-B8E2-E1CD663809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garras cada</t>
      </text>
    </comment>
    <comment ref="AG156" authorId="162" shapeId="0" xr:uid="{880574E6-47B6-4859-8F6B-A6AF550504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56" authorId="163" shapeId="0" xr:uid="{329C3ACF-1B01-492E-9E81-9574BBBF0A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garras cada</t>
      </text>
    </comment>
    <comment ref="AG157" authorId="164" shapeId="0" xr:uid="{501B246D-673B-4C8A-899F-F29265710A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57" authorId="165" shapeId="0" xr:uid="{2727BA48-2274-4124-89AB-88A73282F3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garras cada</t>
      </text>
    </comment>
    <comment ref="AG158" authorId="166" shapeId="0" xr:uid="{9AA187FC-DC50-4EAE-88BE-9215CE43F3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59" authorId="167" shapeId="0" xr:uid="{89B9CB3F-D08C-473E-AEBC-02DE4B3E36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60" authorId="168" shapeId="0" xr:uid="{CFFEBAA1-4E24-4F2D-9C35-4228D752AA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Y160" authorId="169" shapeId="0" xr:uid="{3F8F7985-7C63-40B0-806A-3B166D9216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PREÇO DO ELETROIMA</t>
      </text>
    </comment>
    <comment ref="AG161" authorId="170" shapeId="0" xr:uid="{9EB7CB5E-9704-48E1-8BAB-B67A1C4B80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62" authorId="171" shapeId="0" xr:uid="{361A57DE-6AC8-41A7-B1A9-4721B9B62A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F163" authorId="172" shapeId="0" xr:uid="{06EE4027-99FC-456F-A9BC-ED36953647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Edmilson que a máquina foi transferida de Maringá para Londrina, e já está operando.</t>
      </text>
    </comment>
    <comment ref="AG163" authorId="173" shapeId="0" xr:uid="{503DCA5E-2123-4D1E-87DD-662A39D699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64" authorId="174" shapeId="0" xr:uid="{0B2C9E5F-7C22-4AA1-BD58-9D0C9B4772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F165" authorId="175" shapeId="0" xr:uid="{6B716CFD-5BDD-4FEC-8DC1-9B645BBB39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Máquina irá operar em Campo Grande, será transferida hoje (02/02/2026).</t>
      </text>
    </comment>
    <comment ref="AG165" authorId="176" shapeId="0" xr:uid="{9EBB4408-43D7-40A0-9B6F-730F2DCE9F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66" authorId="177" shapeId="0" xr:uid="{1C593287-B6C7-4431-B7CE-A49B86FA47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67" authorId="178" shapeId="0" xr:uid="{6612845D-7129-4B91-86F3-55ECA83D7D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L167" authorId="49" shapeId="0" xr:uid="{4FD5F27D-43ED-4D62-BF42-066ECDC13682}">
      <text>
        <r>
          <rPr>
            <b/>
            <sz val="9"/>
            <color indexed="81"/>
            <rFont val="Segoe UI"/>
            <family val="2"/>
          </rPr>
          <t>Cristina Sugui:</t>
        </r>
        <r>
          <rPr>
            <sz val="9"/>
            <color indexed="81"/>
            <rFont val="Segoe UI"/>
            <family val="2"/>
          </rPr>
          <t xml:space="preserve">
NOTA FISCAL DA CENTRO OESTE ESTA COMO R225LVS</t>
        </r>
      </text>
    </comment>
    <comment ref="AG168" authorId="179" shapeId="0" xr:uid="{B2FF3EAD-0BA4-457F-84D7-5919D15E4A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73" authorId="180" shapeId="0" xr:uid="{FEF87ADD-2364-412D-A7B1-77992B206C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F177" authorId="181" shapeId="0" xr:uid="{FBDBF1FE-ACD6-43DC-A5F6-62FF06B693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enviado para Aeroporto Porto Primavera 15/08/2025 - remessa NF 9286</t>
      </text>
    </comment>
    <comment ref="AG177" authorId="182" shapeId="0" xr:uid="{C536A3EC-CBC5-470E-8765-99293D4714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V177" authorId="183" shapeId="0" xr:uid="{0F3FE8E2-C87A-41DC-BC49-B6AB6F6654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INFORMAÇÃO RETIRADA DO RELATÓRIO DE RELAÇÃO DE BENS - OSSUCCI</t>
      </text>
    </comment>
    <comment ref="AE179" authorId="184" shapeId="0" xr:uid="{B2DBE941-49D0-4B83-8EF8-0EE492214B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DE VENDA 24/11/2025 - EVALDO/EKIPA/ANDRESSA</t>
      </text>
    </comment>
    <comment ref="AG181" authorId="49" shapeId="0" xr:uid="{ED7A26D5-395E-49D4-B033-B6540E56E050}">
      <text>
        <r>
          <rPr>
            <b/>
            <sz val="9"/>
            <color indexed="81"/>
            <rFont val="Segoe UI"/>
            <family val="2"/>
          </rPr>
          <t>Cristina Sugui:</t>
        </r>
        <r>
          <rPr>
            <sz val="9"/>
            <color indexed="81"/>
            <rFont val="Segoe UI"/>
            <family val="2"/>
          </rPr>
          <t xml:space="preserve">
Informações Ricardo
64 jc + 30 construserra + 250 ekipa</t>
        </r>
      </text>
    </comment>
    <comment ref="AV183" authorId="49" shapeId="0" xr:uid="{BDE81C37-2293-40E2-8B8C-9F9EBA737FC9}">
      <text>
        <r>
          <rPr>
            <b/>
            <sz val="9"/>
            <color indexed="81"/>
            <rFont val="Segoe UI"/>
            <family val="2"/>
          </rPr>
          <t>Cristina Sugui:</t>
        </r>
        <r>
          <rPr>
            <sz val="9"/>
            <color indexed="81"/>
            <rFont val="Segoe UI"/>
            <family val="2"/>
          </rPr>
          <t xml:space="preserve">
Adquirido da UMOE</t>
        </r>
      </text>
    </comment>
    <comment ref="AG187" authorId="185" shapeId="0" xr:uid="{479251DF-B853-4B64-9CE2-50E449A24A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88" authorId="49" shapeId="0" xr:uid="{06AD7578-5A9E-4F2E-B627-CA8022439D10}">
      <text>
        <r>
          <rPr>
            <b/>
            <sz val="9"/>
            <color indexed="81"/>
            <rFont val="Segoe UI"/>
            <family val="2"/>
          </rPr>
          <t>Cristina Sugui:</t>
        </r>
        <r>
          <rPr>
            <sz val="9"/>
            <color indexed="81"/>
            <rFont val="Segoe UI"/>
            <family val="2"/>
          </rPr>
          <t xml:space="preserve">
Informações do Ricardo
40+13+40+8+15</t>
        </r>
      </text>
    </comment>
    <comment ref="BH188" authorId="0" shapeId="0" xr:uid="{6E038CDC-1CD7-4DB0-B7BA-6E810781B374}">
      <text>
        <r>
          <rPr>
            <b/>
            <sz val="9"/>
            <color indexed="81"/>
            <rFont val="Segoe UI"/>
            <family val="2"/>
          </rPr>
          <t>Preço:
CAÇAMBA ROLLON 26 MTS R$ 32.000,00
CAÇAMBA ROLLON 39MTS R$ 39.000,00</t>
        </r>
      </text>
    </comment>
    <comment ref="AG190" authorId="186" shapeId="0" xr:uid="{0647AF78-1AB1-49FF-A0E0-0243400B80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V191" authorId="187" shapeId="0" xr:uid="{9A285FCF-8C99-46BE-A1F0-DCB3F9E1DD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nota fiscal 2116 traz a informação AS-030R, mas não tenho conhecimento se está relacionado com essa mesma tesoura.</t>
      </text>
    </comment>
    <comment ref="AG192" authorId="188" shapeId="0" xr:uid="{038A4D12-67A5-481E-82DB-6D9FA8BC6A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V192" authorId="189" shapeId="0" xr:uid="{03AAFEF3-1718-42AB-B714-D4EBB66E0F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fiscal de entrada entrada própria (máquina importada)</t>
      </text>
    </comment>
    <comment ref="AL193" authorId="190" shapeId="0" xr:uid="{FF6EF75B-8B75-4866-877D-17B545BA19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CONJUNTO COM A TESOURA ARDEN AS-030R61</t>
      </text>
    </comment>
    <comment ref="AG195" authorId="191" shapeId="0" xr:uid="{13C0A6E9-6645-4AC6-9BD3-7A9B52292C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96" authorId="192" shapeId="0" xr:uid="{53C4378B-43E1-4388-AC10-2DE149211E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197" authorId="193" shapeId="0" xr:uid="{76A93803-8B2F-422B-A4B6-76EF7DAE16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do Gabriel</t>
      </text>
    </comment>
    <comment ref="N198" authorId="194" shapeId="0" xr:uid="{09B8B5CE-33FC-4B1E-9888-B652158864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a placa com sr Renato 13/01/25. Autorizado seguir com pagto do IPVA e Licenciamento.</t>
      </text>
    </comment>
    <comment ref="AG198" authorId="195" shapeId="0" xr:uid="{EA654D03-0E13-4F43-885A-D0D4A47DEC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pertence à Giuliana 17/01/25</t>
      </text>
    </comment>
    <comment ref="AF200" authorId="196" shapeId="0" xr:uid="{B6A1AA33-995B-4875-BFC6-0876C2983D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Garagem Jairo
Responder:
    Vendido Jairo, não pagar IPVA/Licenciamento 2025
</t>
      </text>
    </comment>
    <comment ref="AG200" authorId="197" shapeId="0" xr:uid="{D28BF80C-D79D-4DC9-B339-B0E72A1C49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VENDIDO - JAIRO</t>
      </text>
    </comment>
    <comment ref="CE200" authorId="198" shapeId="0" xr:uid="{70170F16-D9EE-4DA8-940D-1F3471D6FBB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Garagem Jairo
Responder:
    Vendido Jairo, não pagar IPVA/Licenciamento 2025
</t>
      </text>
    </comment>
    <comment ref="AF201" authorId="199" shapeId="0" xr:uid="{520A90E9-7BC9-4A35-9C7B-3324EB95FD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 Julio
Responder:
    verificar status se para venda ou regular</t>
      </text>
    </comment>
    <comment ref="AG201" authorId="200" shapeId="0" xr:uid="{234FFEFC-4854-476C-90B2-66FFCD8CD3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com Júlio
Responder:
    Veículo em vendido para o comprador Chico</t>
      </text>
    </comment>
    <comment ref="CE201" authorId="201" shapeId="0" xr:uid="{E1EAC208-11B1-453D-99E3-7145298FB0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 Julio
Responder:
    verificar status se para venda ou regular</t>
      </text>
    </comment>
    <comment ref="N204" authorId="202" shapeId="0" xr:uid="{4F101659-F607-4949-ACDD-CD52EB0F81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a placa com sr Renato 13/01/25. Autorizado seguir com pagto do IPVA e Licenciamento.</t>
      </text>
    </comment>
    <comment ref="V204" authorId="203" shapeId="0" xr:uid="{795A8191-71A1-46F1-8E7E-A592D13BE7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a ser realizado pelo financeiro e posterior cobrança do valor ao João Angelo - veículo já em posse, aguardando quitação para preenchimento do recibo de venda - email Hugo e adriana em 06/01/2026</t>
      </text>
    </comment>
    <comment ref="Y204" authorId="204" shapeId="0" xr:uid="{CCA41BE9-AC21-4E1A-A5F4-8394091B77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a ser realizado pelo financeiro e posterior cobrança do valor ao João Angelo - veículo já em posse, aguardando quitação para preenchimento do recibo de venda - email Hugo e adriana em 06/01/2026</t>
      </text>
    </comment>
    <comment ref="AF204" authorId="205" shapeId="0" xr:uid="{2EE96F41-911E-4DD1-8B93-2E81CE4684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Jonatan - gerente comercial Sucata (compras)
Responder:
    Veículo em negociação de venda - José Angelo</t>
      </text>
    </comment>
    <comment ref="CE204" authorId="206" shapeId="0" xr:uid="{709A8F4A-3B93-4A7D-B112-D55583C8C3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Jonatan - gerente comercial Sucata (compras)</t>
      </text>
    </comment>
    <comment ref="AG206" authorId="207" shapeId="0" xr:uid="{0F7A0EE1-BBDF-4996-9A34-3086F1A7F6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ACIDENTADO - MÁRIO 
- vendido para Jonatan26/06/2025</t>
      </text>
    </comment>
    <comment ref="AF207" authorId="208" shapeId="0" xr:uid="{6FBC1326-6A15-447E-9FAA-4EA25738A2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comprador Prudente - estava coordenando contas de usina e região SP - centro de custo coord SP</t>
      </text>
    </comment>
    <comment ref="CE207" authorId="209" shapeId="0" xr:uid="{05430286-ED96-4434-9713-6D8602B248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comprador Prudente - estava coordenando contas de usina e região SP - centro de custo coord SP</t>
      </text>
    </comment>
    <comment ref="AF208" authorId="210" shapeId="0" xr:uid="{F6BFE184-FFA6-4E6E-AEDE-E7676A5807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Diretor comercial - sucata</t>
      </text>
    </comment>
    <comment ref="AG208" authorId="211" shapeId="0" xr:uid="{FE3BE35B-9D02-4462-B2DE-17BC96F578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com Marcondes</t>
      </text>
    </comment>
    <comment ref="CE208" authorId="212" shapeId="0" xr:uid="{F2C31F3B-9712-4EF8-8B19-92C3EA35D6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Diretor comercial - sucata</t>
      </text>
    </comment>
    <comment ref="AG209" authorId="48" shapeId="0" xr:uid="{EDCE1017-8DA5-40F8-8168-7363B2318581}">
      <text>
        <r>
          <rPr>
            <sz val="11"/>
            <color theme="1"/>
            <rFont val="Aptos Narrow"/>
            <family val="2"/>
            <scheme val="minor"/>
          </rPr>
          <t>Mayara Martins:
VEICULO EM POSE - RODRIGO NORCE COMPRADOR DE SUCATA UND MARINGÁ 
Michelle -
confirmado com Júlio 16/01/25
VENDIDO PARA O COMPRADOR RODRIGO/PR</t>
        </r>
      </text>
    </comment>
    <comment ref="AG210" authorId="213" shapeId="0" xr:uid="{37B1593B-F31D-4DD8-91D8-CE2AA1294C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do Jairo - comprado apenas em nome da NVS</t>
      </text>
    </comment>
    <comment ref="AG211" authorId="214" shapeId="0" xr:uid="{CFAB480B-C718-4526-B5AB-37065606FB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Polo (cor preta) do Gabriel</t>
      </text>
    </comment>
    <comment ref="AF215" authorId="215" shapeId="0" xr:uid="{760B0B4C-6D67-400E-A757-8B49164B6C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Confirmado localização nas linhas das máquinas: EHH0006 e EHH0046 estão na oficina em Prudente; EHH0015 e EHH0019 estão em Barra Mansa. Entendo que precise excluir essa linha, devido duplicidade de informação no conjunto.</t>
      </text>
    </comment>
    <comment ref="CE215" authorId="216" shapeId="0" xr:uid="{74FFA583-E1CB-417E-9DB3-9F7D392D23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Confirmado localização nas linhas das máquinas: EHH0006 e EHH0046 estão na oficina em Prudente; EHH0015 e EHH0019 estão em Barra Mansa. Entendo que precise excluir essa linha, devido duplicidade de informação no conjunto.</t>
      </text>
    </comment>
    <comment ref="AF216" authorId="217" shapeId="0" xr:uid="{51B54F1A-BBEA-4611-8C6C-737C778BE1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Confirmado localização nas linhas das máquinas: EHH0006 e EHH0046 estão na oficina em Prudente; EHH0015 e EHH0019 estão em Barra Mansa. Entendo que precise excluir essa linha, devido duplicidade de informação no conjunto.</t>
      </text>
    </comment>
    <comment ref="CE216" authorId="218" shapeId="0" xr:uid="{79366EDB-E731-44AC-8785-320BD9F007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Confirmado localização nas linhas das máquinas: EHH0006 e EHH0046 estão na oficina em Prudente; EHH0015 e EHH0019 estão em Barra Mansa. Entendo que precise excluir essa linha, devido duplicidade de informação no conjunto.</t>
      </text>
    </comment>
    <comment ref="AW218" authorId="219" shapeId="0" xr:uid="{577083DE-70C8-424D-9A9D-4F2AF954B1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 fiscal de compra com o valor de 8k, mas no controle de compras da MD Ferro consta o valor de 25k. Link da planilha MD FERRO.xlsx</t>
      </text>
    </comment>
    <comment ref="AG219" authorId="220" shapeId="0" xr:uid="{FA80B21C-73D6-48C8-9E5B-A9D6C78482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locada para Gerdau, Jaragua do Sul - Julio 28/07/2025
locada para Gerdau, Jaragua do Sul - Julio 16/01
Responder:
    placa interna PHH0033 - substituida pela oficial EQO6E99</t>
      </text>
    </comment>
    <comment ref="AH219" authorId="221" shapeId="0" xr:uid="{6A21C1FE-1584-407C-A292-881B24BFB0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Recibo físico não localizado, solicitar 2via</t>
      </text>
    </comment>
    <comment ref="AG220" authorId="222" shapeId="0" xr:uid="{8EEB4B4E-9012-4ED7-948C-DDD0225012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resende rj - JULIO 28/07/2025
locada para Arcelor em Piracicaba - Julio 16/01
16 de janeiro de 2025 às 15:38
Responder:
    PHH0044 PLACA INTERNA</t>
      </text>
    </comment>
    <comment ref="AG221" authorId="223" shapeId="0" xr:uid="{039E594F-B462-4F38-937A-4B4960B7D50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LOCALIZAÇÃO VARIÁVEL - 28/07/2025
Em Manutenção - Prudente - Julkio 16/01
Responder:
    PHH0022 PLACA INTERNA
</t>
      </text>
    </comment>
    <comment ref="AG222" authorId="224" shapeId="0" xr:uid="{C7A6E3CD-AE6A-4507-ADE6-D970FC6EFE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Placa interna da prensa JCH200M - criada antes da chegada do bem para lançamentos dos custos de aquisição.
Responder:
    MIchelle, boa tarde!
Grata pela informação.
Solicito informar o Luciano para criação de um centro de custo.
Responder:
    Prensa definida como SP- SELETIVA (variável).</t>
      </text>
    </comment>
    <comment ref="AF223" authorId="225" shapeId="0" xr:uid="{922D598E-E150-41F1-910D-956338BAE0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GERDAU</t>
      </text>
    </comment>
    <comment ref="AG223" authorId="226" shapeId="0" xr:uid="{61417287-5783-4A3E-9E0D-D488DAD67B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locada para Gerdau  - Julio 28/07/2025
locada para Gerdau  - Julio 16/01
Responder:
    PHH 0021 PLACA INTERNA</t>
      </text>
    </comment>
    <comment ref="AX223" authorId="49" shapeId="0" xr:uid="{85D07E2A-5AB6-4EDA-B143-11C4A316D239}">
      <text>
        <r>
          <rPr>
            <b/>
            <sz val="9"/>
            <color indexed="81"/>
            <rFont val="Segoe UI"/>
            <family val="2"/>
          </rPr>
          <t>Cristina Sugui:</t>
        </r>
        <r>
          <rPr>
            <sz val="9"/>
            <color indexed="81"/>
            <rFont val="Segoe UI"/>
            <family val="2"/>
          </rPr>
          <t xml:space="preserve">
2015</t>
        </r>
      </text>
    </comment>
    <comment ref="BG223" authorId="0" shapeId="0" xr:uid="{00D278A0-59B7-44C8-AFE8-695857BFFD79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CE223" authorId="227" shapeId="0" xr:uid="{E2BB090A-EA23-4363-BFC4-AC928CAF90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GERDAU</t>
      </text>
    </comment>
    <comment ref="N224" authorId="228" shapeId="0" xr:uid="{F6BCE9E3-BC5E-443A-8BDD-13D2670A8F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Reboque e semi-reboque não paga IPVA</t>
      </text>
    </comment>
    <comment ref="AG224" authorId="229" shapeId="0" xr:uid="{6319D30C-F94F-4023-9BBA-EE43B48003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Placa Interna PHH-0061
Responder:
    Prensa em Paraná - Júlio 16/01
Responder:
    Prensa regularizada, 22/12/2025 (Jairo seguiu com regularização)
Responder:
    Informado pelo Junior (23/02/2026) - Máquina está em manutenção na unidade de Presidente Prudente, porém operará na Gerdau.</t>
      </text>
    </comment>
    <comment ref="BG224" authorId="0" shapeId="0" xr:uid="{221A3C1D-C1DE-4746-86FD-D756597DAC9A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AG225" authorId="230" shapeId="0" xr:uid="{CBFD5165-6EB7-4998-94C8-0826C91E20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EMPLACAMENTO COM CONCLUSAO PREVISTA PARA DAQUI A 6 MESES - A PARTIR DE 07/2024
Responder:
    @Michelle Camphora Staquecini sabe me dizer a placa CRLV desta prensa?
Responder:
    Está em processo de emplacamento e sem previsão até o momento
Responder:
    Liberada documentação em 11/08/2025 - PHH0049 para SWQ2C15
Responder:
    Informado pelo Junior (23/02/2026) - Operando em Piracicaba.</t>
      </text>
    </comment>
    <comment ref="BG225" authorId="0" shapeId="0" xr:uid="{1A0D8A1F-C524-4A1A-826D-6227B5869CFA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AG226" authorId="231" shapeId="0" xr:uid="{2EDB02B8-550C-42D1-BB04-7F29C9990D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227" authorId="232" shapeId="0" xr:uid="{86397995-6E98-41FD-8CA6-F1BEDF04DA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228" authorId="233" shapeId="0" xr:uid="{07C986AC-6820-4891-B1C7-2E61DF6A9F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229" authorId="234" shapeId="0" xr:uid="{229126E4-BF3F-473B-B2EC-9E9304E3C3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A PLCA INTERNA PHH0045 OU PHT0045???
Responder:
    Correto é PHH0045 = Prensa Hidraulica Hidroeuropa
As PHT estão erradas, pois quando chegaram o comprador que cadastrava colocou essa placa entendendo que deveria ser PHT = Prensa Hidraulica Tesoura.
Manteremos errada, pois o pessoal ja se habituou com a placa.</t>
      </text>
    </comment>
    <comment ref="AG230" authorId="235" shapeId="0" xr:uid="{4214F4C1-66C3-4EFE-AE92-01FE815EBB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AG231" authorId="236" shapeId="0" xr:uid="{B043CF35-7AFC-4C62-BBD4-8502D96FBF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BF231" authorId="0" shapeId="0" xr:uid="{95E40D58-66F9-46BC-948A-AABC7CFB780A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500000 euros a 6,25 mai 50% de imposto e frete</t>
        </r>
      </text>
    </comment>
    <comment ref="AF232" authorId="237" shapeId="0" xr:uid="{4CFB87C3-DEA3-48B3-B086-76569EB1EE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Comprador de sucata - Prudente - </t>
      </text>
    </comment>
    <comment ref="AG232" authorId="238" shapeId="0" xr:uid="{C79B7428-53B4-477A-A89C-C5AD2CD39D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negociação de venda para Wagner Junior (oficina) - contrato PJ
vendido para Junior 26/06/2025</t>
      </text>
    </comment>
    <comment ref="CE232" authorId="239" shapeId="0" xr:uid="{64EEE1B6-38D8-4414-87DA-410CA09305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Comprador de sucata - Prudente - </t>
      </text>
    </comment>
    <comment ref="N233" authorId="240" shapeId="0" xr:uid="{984D4387-EE0B-4A9F-8A96-7CF8EF11C1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a placa com sr Renato 13/01/25. Autorizado seguir com pagto do IPVA e Licenciamento.</t>
      </text>
    </comment>
    <comment ref="AG233" authorId="241" shapeId="0" xr:uid="{6E8D17BC-D5EF-4520-A906-F3ECE6A056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PLACA NÃO CADASTRADA NO SAGI</t>
      </text>
    </comment>
    <comment ref="AG234" authorId="242" shapeId="0" xr:uid="{7E4DA49F-CD49-4277-B86A-2AD3887CC6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Vendido como parte de pagamento dos eletroimâs - Zoloar</t>
      </text>
    </comment>
  </commentList>
</comments>
</file>

<file path=xl/sharedStrings.xml><?xml version="1.0" encoding="utf-8"?>
<sst xmlns="http://schemas.openxmlformats.org/spreadsheetml/2006/main" count="13568" uniqueCount="911">
  <si>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</si>
  <si>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</si>
  <si>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</si>
  <si>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</si>
  <si>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</si>
  <si>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</si>
  <si>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</si>
  <si>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</si>
  <si>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</si>
  <si>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</si>
  <si>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</si>
  <si>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</si>
  <si>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</si>
  <si>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</si>
  <si>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</si>
  <si>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</si>
  <si>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</si>
  <si>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</si>
  <si>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</si>
  <si>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</si>
  <si>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</si>
  <si>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</si>
  <si>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</si>
  <si>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</si>
  <si>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</si>
  <si>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</si>
  <si>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</si>
  <si>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</si>
  <si>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</si>
  <si>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MODELO DE QUEBRA MARCONDES 1</t>
  </si>
  <si>
    <t>MODELO DE QUEBRA MARCONDES 2</t>
  </si>
  <si>
    <t>DE-PARA1</t>
  </si>
  <si>
    <t>DE-PARA2</t>
  </si>
  <si>
    <t>CUSTEIO VARIÁVEL</t>
  </si>
  <si>
    <t>ID</t>
  </si>
  <si>
    <t>STATUS DO VEÍCULO</t>
  </si>
  <si>
    <t>LOCALIZAÇÃO</t>
  </si>
  <si>
    <t>PRIMEIRA "PERNA"</t>
  </si>
  <si>
    <t>SEGUNDA "PERNA"</t>
  </si>
  <si>
    <t>TERCEIRA "PERNA"</t>
  </si>
  <si>
    <t>PROPRIETÁRIO</t>
  </si>
  <si>
    <t>N.º CONTRATO</t>
  </si>
  <si>
    <t>LOCAÇÃO OU SERVIÇO</t>
  </si>
  <si>
    <t>PLACA</t>
  </si>
  <si>
    <t>TIPO</t>
  </si>
  <si>
    <t>REGULAR</t>
  </si>
  <si>
    <t>SP - PRUDENTE - SUCATA</t>
  </si>
  <si>
    <t>RSE para G3S correspondente</t>
  </si>
  <si>
    <t>N/A</t>
  </si>
  <si>
    <t>RSE</t>
  </si>
  <si>
    <t>LOCAÇÃO</t>
  </si>
  <si>
    <t>BAL0004</t>
  </si>
  <si>
    <t>MÁQUINA</t>
  </si>
  <si>
    <t>MS - CAMPO GRANDE</t>
  </si>
  <si>
    <t>BAL0007</t>
  </si>
  <si>
    <t>MS - DOURADOS</t>
  </si>
  <si>
    <t>BAL0006</t>
  </si>
  <si>
    <t>PR - LONDRINA</t>
  </si>
  <si>
    <t>BAL0003</t>
  </si>
  <si>
    <t>PR - MARINGÁ</t>
  </si>
  <si>
    <t>BAL0001</t>
  </si>
  <si>
    <t>IMPLEMENTO</t>
  </si>
  <si>
    <t>Preço Compra Equipamento 0 fev/2025</t>
  </si>
  <si>
    <t>Preço Compra Veículo 0 fev/2025</t>
  </si>
  <si>
    <t>Preço Rollon+Caçamba 0 fev/2025</t>
  </si>
  <si>
    <t>Preço Implemento 0 Garra 0 fev/2025</t>
  </si>
  <si>
    <t>Preço Implemento 0 Eletroima 0 fev/2025</t>
  </si>
  <si>
    <t>Preço Implemento 0 Tesoura 0 fev/2025</t>
  </si>
  <si>
    <t>Preço Implemento 0 Peneira 0 fev/2025</t>
  </si>
  <si>
    <t>∑ Conjunto (Base)</t>
  </si>
  <si>
    <t>VIDA ÚTIL</t>
  </si>
  <si>
    <t>PAYBACK
(ANOS)</t>
  </si>
  <si>
    <t>PAYBACK (MESES)</t>
  </si>
  <si>
    <t>VALOR DA LOCAÇÃO (DEPRECIAÇÃO)</t>
  </si>
  <si>
    <t>FATURA RSE MARÇO 2026</t>
  </si>
  <si>
    <t>FATURA RSE ABRIL 2026 (1°)</t>
  </si>
  <si>
    <t>2° PERNA EMISSAO NFS</t>
  </si>
  <si>
    <t>VALOR DE MEDIÇÕES 04/2026 (NFS)</t>
  </si>
  <si>
    <t>OBSERVAÇÕES CONTROLADORIA</t>
  </si>
  <si>
    <t>BALANÇA RODOVIARIA - CONCRETO - 21 METROS</t>
  </si>
  <si>
    <t>NÃO</t>
  </si>
  <si>
    <t>OK</t>
  </si>
  <si>
    <t>CONTRATO OK</t>
  </si>
  <si>
    <t>BALANÇA RODOVIARIA - METALICA - 21 METROS</t>
  </si>
  <si>
    <t>RSE para G&amp;S correspondente</t>
  </si>
  <si>
    <t>G&amp;S para G3S correspondente</t>
  </si>
  <si>
    <t>VER HORA</t>
  </si>
  <si>
    <t>SERVIÇO</t>
  </si>
  <si>
    <t>EHH0019</t>
  </si>
  <si>
    <t>EHH0006</t>
  </si>
  <si>
    <t>EHH0008</t>
  </si>
  <si>
    <t>AGUARDAR</t>
  </si>
  <si>
    <t>?</t>
  </si>
  <si>
    <t>EHH0009</t>
  </si>
  <si>
    <t>EHH0007</t>
  </si>
  <si>
    <t>PR - MARINGÁ (CIDADE ALTA)</t>
  </si>
  <si>
    <t>EHH0004</t>
  </si>
  <si>
    <t>SP - PRUDENTE - RESERVA</t>
  </si>
  <si>
    <t>MARCONDES VALIDAR</t>
  </si>
  <si>
    <t>EHH0005</t>
  </si>
  <si>
    <t>EHL0013</t>
  </si>
  <si>
    <t>EHL0014</t>
  </si>
  <si>
    <t>EHL0043</t>
  </si>
  <si>
    <t>SC - JOINVILLE</t>
  </si>
  <si>
    <t>RSE para G&amp;S Barueri</t>
  </si>
  <si>
    <t>G&amp;S para cliente</t>
  </si>
  <si>
    <t>NFS</t>
  </si>
  <si>
    <t>EHL0041</t>
  </si>
  <si>
    <t>USADA NA EMPRESA (G3S)</t>
  </si>
  <si>
    <t>G3S 01</t>
  </si>
  <si>
    <t>EHL0028</t>
  </si>
  <si>
    <t>EHH0038</t>
  </si>
  <si>
    <t>EHH0036</t>
  </si>
  <si>
    <t>EHH0040</t>
  </si>
  <si>
    <t>EHH0039</t>
  </si>
  <si>
    <t>RJ - BARRA MANSA</t>
  </si>
  <si>
    <t>EHH0037</t>
  </si>
  <si>
    <t>EHH0002</t>
  </si>
  <si>
    <t>EHH0046</t>
  </si>
  <si>
    <t>EHH0015</t>
  </si>
  <si>
    <t xml:space="preserve">VERIFICAR G3S PARA G&amp;S </t>
  </si>
  <si>
    <t>EHH0044</t>
  </si>
  <si>
    <t>EHH0003</t>
  </si>
  <si>
    <t>FATURAR MAIO</t>
  </si>
  <si>
    <t>EHL0070</t>
  </si>
  <si>
    <t>ESCAVADEIRA / GARRA</t>
  </si>
  <si>
    <t>ESCAVADEIRA / GARRA CHB</t>
  </si>
  <si>
    <t>ESCAVADEIRA / GARRA CHB / ELETROIMA ZOLOAR</t>
  </si>
  <si>
    <t>ESCAVADEIRA / GARRA DINAMAC</t>
  </si>
  <si>
    <t>ESCAVADEIRA / GARRA DINAMAC / ELETROIMA ZOLOAR</t>
  </si>
  <si>
    <t>-</t>
  </si>
  <si>
    <t xml:space="preserve">CONTRATO OK </t>
  </si>
  <si>
    <t>ESCAVADEIRA / GARRA LIEBHERR</t>
  </si>
  <si>
    <t xml:space="preserve">OK </t>
  </si>
  <si>
    <t>NAO EMITIR - USADA NA PROPRIA G3S</t>
  </si>
  <si>
    <t>ESCAVADEIRA / GARRA LIEBHERR / ELETROIMA ZOLOAR</t>
  </si>
  <si>
    <t>ESCAVADEIRA / PENEIRA ITALIANA MB S16</t>
  </si>
  <si>
    <t>ESCAVADEIRA / PENEIRA MB S18</t>
  </si>
  <si>
    <t>ESCAVADEIRA / TESOURA ARDEN</t>
  </si>
  <si>
    <t>AGUARDAR - IRÁ EMITIR FATURA ?</t>
  </si>
  <si>
    <t>ESCAVADEIRA / TESOURA VTN</t>
  </si>
  <si>
    <t>ESCAVADEIRA LIEBHERR LH30M COM 1 GARRA - MAIS 2 GARRAS ADICIONAIS</t>
  </si>
  <si>
    <t>EHL0042</t>
  </si>
  <si>
    <t>MANIPULADOR / GARRA LIEBHERR</t>
  </si>
  <si>
    <t>PHJ0054</t>
  </si>
  <si>
    <t>PHH0031</t>
  </si>
  <si>
    <t>PHT0025</t>
  </si>
  <si>
    <t>PHH0061</t>
  </si>
  <si>
    <t>PHH0045</t>
  </si>
  <si>
    <t>ARCELOR - PIRACICABA</t>
  </si>
  <si>
    <t>SWQ2C15 / PHH0049</t>
  </si>
  <si>
    <t>RJ - RESENDE</t>
  </si>
  <si>
    <t>GBL8H44</t>
  </si>
  <si>
    <t>PRENSA 30X30</t>
  </si>
  <si>
    <t>PRENSA 40X40</t>
  </si>
  <si>
    <t>PRENSA 60X60</t>
  </si>
  <si>
    <t>PRENSA FIXA JCG800</t>
  </si>
  <si>
    <t>PRENSA MÓVEL JCH200M</t>
  </si>
  <si>
    <t>SP - SELETIVA (variável)</t>
  </si>
  <si>
    <t>POR TONELADA</t>
  </si>
  <si>
    <t>QXH2G14</t>
  </si>
  <si>
    <t>G&amp;S para Cliente</t>
  </si>
  <si>
    <t>GDU0275</t>
  </si>
  <si>
    <t>PHH0062</t>
  </si>
  <si>
    <t>PHT0018/PHH0018</t>
  </si>
  <si>
    <t>BHM0047</t>
  </si>
  <si>
    <t>AGUARDAR - R$ 38.000,00</t>
  </si>
  <si>
    <t>PRENSA SEMIFIXA JCG600</t>
  </si>
  <si>
    <t>TILTER</t>
  </si>
  <si>
    <t>faturamento rse</t>
  </si>
  <si>
    <t>MARCA</t>
  </si>
  <si>
    <t>Divisao</t>
  </si>
  <si>
    <t>BRACOFER</t>
  </si>
  <si>
    <t>1.3</t>
  </si>
  <si>
    <t>1.3 BRACOFER</t>
  </si>
  <si>
    <t>1.3.1</t>
  </si>
  <si>
    <t>PRESIDENTE PRUDENTE</t>
  </si>
  <si>
    <t>1.3.1 PRESIDENTE PRUDENTE</t>
  </si>
  <si>
    <t>1.3.1.3</t>
  </si>
  <si>
    <t>OPERACIONAL</t>
  </si>
  <si>
    <t>1.3.1.3 OPERACIONAL</t>
  </si>
  <si>
    <t>MAQUINAS</t>
  </si>
  <si>
    <t>7.1.2</t>
  </si>
  <si>
    <t>MANUTENÇÃO DE VEÍCULOS/MAQUINAS</t>
  </si>
  <si>
    <t>7.1.2 MANUTENÇÃO DE VEÍCULOS/MAQUINAS</t>
  </si>
  <si>
    <t>G3S PRUDENTE</t>
  </si>
  <si>
    <t>62746-1/55</t>
  </si>
  <si>
    <t>MARCONDES - NFE. 62.746 VENC. 15/01/2025 VIA CARTAO DE CREDITO FINAL 8971 - CHAVE FIM DE CURSO USADO NAS PRENSAS_x000D_MOVEL - SOLICITADO POR JUNIRO</t>
  </si>
  <si>
    <t>SVTECH SOLUCOES INDUSTRIAIS EIRELI</t>
  </si>
  <si>
    <t>Saída (Aplicações)</t>
  </si>
  <si>
    <t>Sagi</t>
  </si>
  <si>
    <t>SELETIVA</t>
  </si>
  <si>
    <t>1.2</t>
  </si>
  <si>
    <t>1.2 SELETIVA</t>
  </si>
  <si>
    <t>1.2.4</t>
  </si>
  <si>
    <t>MARINGA DISTRITO</t>
  </si>
  <si>
    <t>1.2.4 MARINGA DISTRITO</t>
  </si>
  <si>
    <t>1.2.4.3</t>
  </si>
  <si>
    <t>1.2.4.3 OPERACIONAL</t>
  </si>
  <si>
    <t>G3S MARINGA</t>
  </si>
  <si>
    <t>4432-E/NS</t>
  </si>
  <si>
    <t>NFS 4.432 VENC. 18/12/24 VIA CARTÃO FLASH FINAL 3939 - REF. AOS SERVIÇOS DE RECONDICIONADOR ROTOS E ALTERNADOR</t>
  </si>
  <si>
    <t>POSTO ACUMULADORES PRINCIPE LTDA</t>
  </si>
  <si>
    <t>1223-E/NS</t>
  </si>
  <si>
    <t>REF A LAVAGEM DO CARRO GO, PLACA RNC9H69 PAGAMENTO JA REALIZADO CARTAO FLASH FINAL 3939</t>
  </si>
  <si>
    <t>ALVARO VICENTE BUENO</t>
  </si>
  <si>
    <t>7.6.3</t>
  </si>
  <si>
    <t>MANUTENÇÃO PATIO</t>
  </si>
  <si>
    <t>7.6.3 MANUTENÇÃO PATIO</t>
  </si>
  <si>
    <t>G3S FILIAL 5</t>
  </si>
  <si>
    <t>000001223-01</t>
  </si>
  <si>
    <t xml:space="preserve">030304  -  SERVIÇOS TERCEIRIZADOS NF ENTRADA Nº 000001223 OC 3921 </t>
  </si>
  <si>
    <t xml:space="preserve">JUSSARA DE PAULO ORTEGA </t>
  </si>
  <si>
    <t>Softcom</t>
  </si>
  <si>
    <t>030304  -  SERVIÇOS TERCEIRIZADOS</t>
  </si>
  <si>
    <t>1.2.5</t>
  </si>
  <si>
    <t>1.2.5 PRESIDENTE PRUDENTE</t>
  </si>
  <si>
    <t>1.2.5.3</t>
  </si>
  <si>
    <t>1.2.5.3 OPERACIONAL</t>
  </si>
  <si>
    <t>7.5.6</t>
  </si>
  <si>
    <t>MANUTENÇÕES E REPAROS - ESTRUTURA ADMINISTRATIVA</t>
  </si>
  <si>
    <t>7.5.6 MANUTENÇÕES E REPAROS - ESTRUTURA ADMINISTRATIVA</t>
  </si>
  <si>
    <t>41-900/NS</t>
  </si>
  <si>
    <t>MARCONDES - NFS. 41 VENC. 06/01/25 VIA PIX - REF. A LIMPEZA DE 14 AR CONDICIONADO E A TROCA DE 01 CAPACITOR, NA SELETIVA_x000D_PRUDENTE ESCRITORIO E PATIO (MAQUINA)</t>
  </si>
  <si>
    <t>LUANDERSON DOMINGOS</t>
  </si>
  <si>
    <t>ITEM</t>
  </si>
  <si>
    <t>CNPJ/CPF</t>
  </si>
  <si>
    <t>** RSE &gt; G&amp;S **
N.º CONTRATO INTERCOMPANY</t>
  </si>
  <si>
    <t>** G&amp;S &gt; G3S **
N.º FAT SERVIÇO</t>
  </si>
  <si>
    <t>LOCATÁRIO (Fernanda)</t>
  </si>
  <si>
    <t>LOCATÁRIO OU RESPONSÁVEL</t>
  </si>
  <si>
    <t>ENCONTRADO NO ANÚNCIO ANDREELES</t>
  </si>
  <si>
    <t>IPVA + LICENC.</t>
  </si>
  <si>
    <t>CRLV 2025 GERADO</t>
  </si>
  <si>
    <t>LICENC. 2025</t>
  </si>
  <si>
    <t>VENC. C/ DESCONTO</t>
  </si>
  <si>
    <t>IPVA2025 C/ DESCONTO</t>
  </si>
  <si>
    <t>VENC. S/ DESCONTO</t>
  </si>
  <si>
    <t>IPVA2025 S/ DESCONTO</t>
  </si>
  <si>
    <t>MULTA</t>
  </si>
  <si>
    <t>R$ MULTA</t>
  </si>
  <si>
    <t>IPVA 2024 - PENDÊNCIA</t>
  </si>
  <si>
    <t>LICENC. 2024 - PENDÊNCIA</t>
  </si>
  <si>
    <t>IPVA 2026 S/ DESCONTO</t>
  </si>
  <si>
    <t>IPVA 2026 C/ DESCONTO</t>
  </si>
  <si>
    <t>LICENC. 2026</t>
  </si>
  <si>
    <t>IPVA + LICENC. SEM DESCONTO</t>
  </si>
  <si>
    <t>IPVA + LICENC. COM DESCONTO</t>
  </si>
  <si>
    <t>R$ MULTA PENDENTE</t>
  </si>
  <si>
    <t>R$ IPVA ANTERIOR PENDENTE</t>
  </si>
  <si>
    <t>R$ LICENCIAMENTO ANTERIOR PENDENTE</t>
  </si>
  <si>
    <t>TIPO CRV (D/F)</t>
  </si>
  <si>
    <t>RENAVAM</t>
  </si>
  <si>
    <t>CHASSI / SÉRIE</t>
  </si>
  <si>
    <t>MODELO</t>
  </si>
  <si>
    <t>ANO FÁB.</t>
  </si>
  <si>
    <t>ANO MOD.</t>
  </si>
  <si>
    <t>COMBUSTÍVEL</t>
  </si>
  <si>
    <t>COR</t>
  </si>
  <si>
    <t>CENTRO DE CUSTO</t>
  </si>
  <si>
    <t>NF</t>
  </si>
  <si>
    <t>VALOR DE AQUISIÇÃO</t>
  </si>
  <si>
    <t>DATA DE AQUISIÇÃO</t>
  </si>
  <si>
    <t>AQUISIÇÃO CAMPO GRANDE</t>
  </si>
  <si>
    <t>Levantamento Valor Max e Cido - 24/11/23</t>
  </si>
  <si>
    <t>VALOR TABELA FIPE</t>
  </si>
  <si>
    <t>DATA DA CONSULTA</t>
  </si>
  <si>
    <t>ROLLON / CAÇAMBA</t>
  </si>
  <si>
    <t>EQUIPAMENTO</t>
  </si>
  <si>
    <t>TOTAL CONJUNTO</t>
  </si>
  <si>
    <r>
      <rPr>
        <b/>
        <sz val="10"/>
        <rFont val="Aptos Narrow"/>
        <family val="2"/>
      </rPr>
      <t>∑</t>
    </r>
    <r>
      <rPr>
        <b/>
        <sz val="9"/>
        <rFont val="Aptos"/>
        <family val="2"/>
      </rPr>
      <t xml:space="preserve"> Conjunto (Base)</t>
    </r>
  </si>
  <si>
    <t>Veículo 0 Vida Útil 0 5 anos</t>
  </si>
  <si>
    <t>Equipamento 0 Vida Útil 0 5 anos</t>
  </si>
  <si>
    <t>Sugestão Mensal do Conjunto</t>
  </si>
  <si>
    <t>Locação 0 Fixo 0 fev/2025</t>
  </si>
  <si>
    <t>Locação 0 Variável 0 fev/2025</t>
  </si>
  <si>
    <t>DEPRECIAÇÃO</t>
  </si>
  <si>
    <t>A3</t>
  </si>
  <si>
    <t>ISAT</t>
  </si>
  <si>
    <t>SMART AIR TAG</t>
  </si>
  <si>
    <t>Pedágio</t>
  </si>
  <si>
    <t>Seguro 2025</t>
  </si>
  <si>
    <t>Localização 01/09/2023</t>
  </si>
  <si>
    <t>Localização 01/10/2023</t>
  </si>
  <si>
    <t>Localização 01/11/2023</t>
  </si>
  <si>
    <t>Localização 01/12/2023</t>
  </si>
  <si>
    <t>Localização 01/07/2024</t>
  </si>
  <si>
    <t>Localização 01/11/2024</t>
  </si>
  <si>
    <t>Localização 01/04/2025</t>
  </si>
  <si>
    <t>HODÔMETRO 11/24</t>
  </si>
  <si>
    <t>HORÍMETRO 11/24</t>
  </si>
  <si>
    <t>VALOR DE COMPRA (HOJE)</t>
  </si>
  <si>
    <t>VALOR TABELA FIPE 2026</t>
  </si>
  <si>
    <t>LOCAÇÃO (SUGESTÃO)</t>
  </si>
  <si>
    <t>Cadastro SAGI</t>
  </si>
  <si>
    <t>DEPRECIAÇÃO COMO ALUGUEL</t>
  </si>
  <si>
    <t>06.916.551/0001-86</t>
  </si>
  <si>
    <t>VENDIDO</t>
  </si>
  <si>
    <t>PARA VENDA</t>
  </si>
  <si>
    <t>DIESEL</t>
  </si>
  <si>
    <t>BRANCA</t>
  </si>
  <si>
    <t>SEM VALOR ALUGUEL</t>
  </si>
  <si>
    <t>SP - PRUDENTE</t>
  </si>
  <si>
    <t>EQUIPAMENTOS</t>
  </si>
  <si>
    <t>LOJA</t>
  </si>
  <si>
    <t>MÁQUINAS</t>
  </si>
  <si>
    <t>G3S 04</t>
  </si>
  <si>
    <t>ok</t>
  </si>
  <si>
    <t xml:space="preserve">DIESEL </t>
  </si>
  <si>
    <t>VERMELHA</t>
  </si>
  <si>
    <t>Dourados</t>
  </si>
  <si>
    <t>AZUL</t>
  </si>
  <si>
    <t>C Grande</t>
  </si>
  <si>
    <t>Londrina</t>
  </si>
  <si>
    <t>Distrito</t>
  </si>
  <si>
    <t>G&amp;S 04</t>
  </si>
  <si>
    <t>MARINGÁ</t>
  </si>
  <si>
    <t>Para Venda</t>
  </si>
  <si>
    <t>ROLLON</t>
  </si>
  <si>
    <t>RSE x G3S 06</t>
  </si>
  <si>
    <t>OUTROS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</si>
  <si>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</si>
  <si>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PRETA</t>
  </si>
  <si>
    <t>PRATA</t>
  </si>
  <si>
    <t>FLEX</t>
  </si>
  <si>
    <t>G&amp;S</t>
  </si>
  <si>
    <t>TOYOTA</t>
  </si>
  <si>
    <t>Piracicaba</t>
  </si>
  <si>
    <t>GENESIS</t>
  </si>
  <si>
    <t>TESOURA</t>
  </si>
  <si>
    <t>20.947.332/0001-95</t>
  </si>
  <si>
    <t>G3S-01</t>
  </si>
  <si>
    <t>60 UNIDADES</t>
  </si>
  <si>
    <t>GRIMALDI</t>
  </si>
  <si>
    <t>CAIXAS ROLLON</t>
  </si>
  <si>
    <t>CAIXAS ROLLON - 26 M³ - Adquiridas FCO</t>
  </si>
  <si>
    <t>CAIXAS ROLLON - 39 M³ - Adquiridas FCO</t>
  </si>
  <si>
    <t>45 UNIDADES</t>
  </si>
  <si>
    <t>CAIXAS ROLLON - ALTAS CAMPO GRANDE</t>
  </si>
  <si>
    <t>G3S-05 (Braçofer)</t>
  </si>
  <si>
    <t>CHF0016</t>
  </si>
  <si>
    <t>FIATALLIS</t>
  </si>
  <si>
    <t>1900B</t>
  </si>
  <si>
    <t>CARREGADEIRA</t>
  </si>
  <si>
    <t>EHN0001</t>
  </si>
  <si>
    <t>NEW HOLLAND</t>
  </si>
  <si>
    <t>E215B</t>
  </si>
  <si>
    <t>EMPILHADEIRA</t>
  </si>
  <si>
    <t>EPH0020</t>
  </si>
  <si>
    <t>HYSTER</t>
  </si>
  <si>
    <t>EPT0024</t>
  </si>
  <si>
    <t>CHASSI:FGZN25-10232 NºMOTOR:4Y2380933</t>
  </si>
  <si>
    <t xml:space="preserve">COMBUSTÃO FGZN25FSV4,7 </t>
  </si>
  <si>
    <t>EMPILHADEIRA A COMBUSTÃO</t>
  </si>
  <si>
    <t>EHL0012</t>
  </si>
  <si>
    <t>LIEBHERR</t>
  </si>
  <si>
    <t>A924B</t>
  </si>
  <si>
    <t>EHL0011</t>
  </si>
  <si>
    <t>A934C</t>
  </si>
  <si>
    <t>ESCAVADEIRA</t>
  </si>
  <si>
    <t>EHP0032</t>
  </si>
  <si>
    <t>POCLAIN</t>
  </si>
  <si>
    <t>80CR</t>
  </si>
  <si>
    <t>ESC0001</t>
  </si>
  <si>
    <t>ESC0002</t>
  </si>
  <si>
    <t>HYUNDAI</t>
  </si>
  <si>
    <t>ROBEX 210LC-7</t>
  </si>
  <si>
    <t xml:space="preserve">ESCAVADEIRA </t>
  </si>
  <si>
    <t>ROBEX 140LC-9SB</t>
  </si>
  <si>
    <t>SP - PRUDENTE - OFICINA</t>
  </si>
  <si>
    <t>A924C</t>
  </si>
  <si>
    <t>LH30M</t>
  </si>
  <si>
    <t>Joinville</t>
  </si>
  <si>
    <t>R220 LONG REACH</t>
  </si>
  <si>
    <t>RSR - em transformacao</t>
  </si>
  <si>
    <t>ROBEX 220LC -9SB</t>
  </si>
  <si>
    <t>Barra Mansa</t>
  </si>
  <si>
    <t>ROBEX 220LC-9SBT3</t>
  </si>
  <si>
    <t>Resende</t>
  </si>
  <si>
    <t>ROBEX 220LC-9S</t>
  </si>
  <si>
    <t>GRIMAL</t>
  </si>
  <si>
    <t>ROBEX 225 LVS</t>
  </si>
  <si>
    <t>ROBEX 220LC-9SB</t>
  </si>
  <si>
    <t>???</t>
  </si>
  <si>
    <t>1253-176514</t>
  </si>
  <si>
    <t>H-TOTA</t>
  </si>
  <si>
    <t>ESTEIRA TRANSPORTADORA</t>
  </si>
  <si>
    <t>ESTEIRA TRANSPORTADORA -  6.000 X 5007.500 X 5002.500 X 1.0003.000 X 2.4003.000 X 600</t>
  </si>
  <si>
    <t>HIDRAUBERTO</t>
  </si>
  <si>
    <t>GARRA+CAÇAMBA ROLLON</t>
  </si>
  <si>
    <t>GARRA HIDRAUBERTO HBS10000 C</t>
  </si>
  <si>
    <t>MAQ0004</t>
  </si>
  <si>
    <t>STOKKERMILL</t>
  </si>
  <si>
    <t>SM 1100 EF PLUS</t>
  </si>
  <si>
    <t>MAQUINA DE MOAGEM DE FIOS E CABOS ELETRICOS</t>
  </si>
  <si>
    <t>MAQ0001</t>
  </si>
  <si>
    <t>MARAFON</t>
  </si>
  <si>
    <t>ONDULADA 17</t>
  </si>
  <si>
    <t>MAQUINA DE TELHA</t>
  </si>
  <si>
    <t>MAQ0002</t>
  </si>
  <si>
    <t>PRENSA CUMEEIRA</t>
  </si>
  <si>
    <t>MAQ0003</t>
  </si>
  <si>
    <t>TRAPÉZIO 40</t>
  </si>
  <si>
    <t>SP - Rosana Porto Primavera</t>
  </si>
  <si>
    <t>CHN0029</t>
  </si>
  <si>
    <t>EHL</t>
  </si>
  <si>
    <t>MINI CARREGADEIRA L220</t>
  </si>
  <si>
    <t>CHM0027</t>
  </si>
  <si>
    <t>MICHIGAN</t>
  </si>
  <si>
    <t>PA CARREGADEIRA MICHIGAN 75</t>
  </si>
  <si>
    <t>PÁ CARREGADEIRA</t>
  </si>
  <si>
    <t>IPM0061</t>
  </si>
  <si>
    <t>MB CRUSHER</t>
  </si>
  <si>
    <t>MB-S18 S4 20X20</t>
  </si>
  <si>
    <t>PENEIRA MÓVEL- CACAMBA</t>
  </si>
  <si>
    <t>PENEIRA VIBRATORIA</t>
  </si>
  <si>
    <t>344 UNIDADES</t>
  </si>
  <si>
    <t>CAIXAS POLI</t>
  </si>
  <si>
    <t>POLI</t>
  </si>
  <si>
    <t>50 UNIDADES</t>
  </si>
  <si>
    <t>POLI CAMPO GRANDE</t>
  </si>
  <si>
    <t>MAQ0005</t>
  </si>
  <si>
    <t>WEG</t>
  </si>
  <si>
    <t>PONTE COM TALHA - 3 ~250S/M</t>
  </si>
  <si>
    <t>PONTE COM TALHA - 3 ~250S/M 20 TON</t>
  </si>
  <si>
    <t>HOVAN</t>
  </si>
  <si>
    <t>PONTE COM TALHA</t>
  </si>
  <si>
    <t>PONTE COM TALHA 16 TON</t>
  </si>
  <si>
    <t>PONTE COM TALHA 5 TON</t>
  </si>
  <si>
    <t>PRENSA - AMASSADOR DE LATAS</t>
  </si>
  <si>
    <t>PRJ0001</t>
  </si>
  <si>
    <t>PRENSA JACARÉ</t>
  </si>
  <si>
    <t>80 UNIDADES</t>
  </si>
  <si>
    <t>SILO</t>
  </si>
  <si>
    <t>TES0002</t>
  </si>
  <si>
    <t>GXP300R</t>
  </si>
  <si>
    <t>TES0001</t>
  </si>
  <si>
    <t>ARDEN</t>
  </si>
  <si>
    <t>AS-030R61</t>
  </si>
  <si>
    <t>tupy em Joinville na EHH 0044</t>
  </si>
  <si>
    <t>TES0004</t>
  </si>
  <si>
    <t>PARTES E PEÇAS DE GUINDASTE - FERRAMENTA PARA CORTAR SUCATA - AS-030R - ACESSÓRIO DA MANDÍBULA CF</t>
  </si>
  <si>
    <t>Reforma</t>
  </si>
  <si>
    <t>oficina para manutenção</t>
  </si>
  <si>
    <t>TES0005</t>
  </si>
  <si>
    <t>BASE DA TESOURA ARDEN</t>
  </si>
  <si>
    <t>TES0006</t>
  </si>
  <si>
    <t>SERIE: 2190416</t>
  </si>
  <si>
    <t>AS030BR01</t>
  </si>
  <si>
    <t>SP - PRUDENTE/CHÁCARA</t>
  </si>
  <si>
    <t>BF90 3 S4</t>
  </si>
  <si>
    <t>TRITURADOR DE ENTULHO</t>
  </si>
  <si>
    <t>GAR0001</t>
  </si>
  <si>
    <t>CHB</t>
  </si>
  <si>
    <t>GARRA</t>
  </si>
  <si>
    <t>FATURA EXCLUIDA</t>
  </si>
  <si>
    <t>RSE PARA G&amp;S - VALIDADO RENATO 01/04/2026 - G&amp;S PARA GERDAU VALOR POR HORA + CAVALO +PEDAGIO</t>
  </si>
  <si>
    <t>206.406.078-29</t>
  </si>
  <si>
    <t>RENATO SALTEIRO</t>
  </si>
  <si>
    <t>PARTICULAR</t>
  </si>
  <si>
    <t>EOF2B17</t>
  </si>
  <si>
    <t>ANGOLA</t>
  </si>
  <si>
    <t>ANGOLA AWA</t>
  </si>
  <si>
    <t>CARRETA JETSKI</t>
  </si>
  <si>
    <t>VEÍCULOS</t>
  </si>
  <si>
    <t>1.9.1</t>
  </si>
  <si>
    <t>CRLV-e</t>
  </si>
  <si>
    <t>GBW4F06</t>
  </si>
  <si>
    <t>DIGITAL</t>
  </si>
  <si>
    <t>LIDER</t>
  </si>
  <si>
    <t>CLA 501</t>
  </si>
  <si>
    <t>CARRETINHA</t>
  </si>
  <si>
    <t xml:space="preserve">RSE </t>
  </si>
  <si>
    <t>EWU5671</t>
  </si>
  <si>
    <t>FÍSICO</t>
  </si>
  <si>
    <t>CBN</t>
  </si>
  <si>
    <t>R/CBN CBNC PB300</t>
  </si>
  <si>
    <t>REBOQUE/CARRETINHA</t>
  </si>
  <si>
    <t>Parado no barracao</t>
  </si>
  <si>
    <t>INFORMAÇÃO JUNIOR</t>
  </si>
  <si>
    <t>COMPRA DIRETO DA LIEBHERR</t>
  </si>
  <si>
    <t>BOMBA DE GIRO LIEBERRLH30</t>
  </si>
  <si>
    <t>BOMBA DUPLA DE TRABALHO LIEBER LH30</t>
  </si>
  <si>
    <t>G3S 05</t>
  </si>
  <si>
    <t>EUS0048</t>
  </si>
  <si>
    <t>SCHNELL</t>
  </si>
  <si>
    <t>CORTE E DOBRA</t>
  </si>
  <si>
    <t>CORTE E DOBRA - EURA 13</t>
  </si>
  <si>
    <t>Braçofer</t>
  </si>
  <si>
    <t>G&amp;S 01</t>
  </si>
  <si>
    <t>CZB9484</t>
  </si>
  <si>
    <t>MULTIFORÇA</t>
  </si>
  <si>
    <t>R/MULTIFORÇA MF M20T 4X2</t>
  </si>
  <si>
    <t>JULIETA ROLLON ROLLOFF - 2 EIXOS</t>
  </si>
  <si>
    <t>CZB9994</t>
  </si>
  <si>
    <t>SEM HISTÓRICO</t>
  </si>
  <si>
    <t>FBU</t>
  </si>
  <si>
    <t>EJZ7716</t>
  </si>
  <si>
    <t>EJZ7734</t>
  </si>
  <si>
    <t>Parado na Chacara</t>
  </si>
  <si>
    <t>EJZ7735</t>
  </si>
  <si>
    <t>EJZ7392</t>
  </si>
  <si>
    <t>BUSA</t>
  </si>
  <si>
    <t>REBOQUE 02 EIXOS ROLLON ROLLOFF</t>
  </si>
  <si>
    <t>G&amp;S 03</t>
  </si>
  <si>
    <t>G3S 03</t>
  </si>
  <si>
    <t>FJU8F67</t>
  </si>
  <si>
    <t>REBOQUE 03 EIXOS ROLLON ROLLOFF</t>
  </si>
  <si>
    <t>JULIETA ROLLON ROLLOFF - 3 EIXOS</t>
  </si>
  <si>
    <t>G&amp;S 07</t>
  </si>
  <si>
    <t>G3S 08</t>
  </si>
  <si>
    <t>FTP7D76</t>
  </si>
  <si>
    <t>FUF1E28</t>
  </si>
  <si>
    <t>BEGE</t>
  </si>
  <si>
    <t>FUP3G76</t>
  </si>
  <si>
    <t>FVQ3B78</t>
  </si>
  <si>
    <t>QAU6E20</t>
  </si>
  <si>
    <t>IMAVI</t>
  </si>
  <si>
    <t>EWU6143</t>
  </si>
  <si>
    <t>Parado no patio</t>
  </si>
  <si>
    <t>G3S 06</t>
  </si>
  <si>
    <t>EWU6154</t>
  </si>
  <si>
    <t>EWU6204</t>
  </si>
  <si>
    <t>Parado na chacara</t>
  </si>
  <si>
    <t>G&amp;S 06</t>
  </si>
  <si>
    <t>EWU6341</t>
  </si>
  <si>
    <t>Júlio (?)</t>
  </si>
  <si>
    <t>JULIO CONFIRMAR</t>
  </si>
  <si>
    <t>EWU6342</t>
  </si>
  <si>
    <t>EWU6343</t>
  </si>
  <si>
    <t>EWU6B52</t>
  </si>
  <si>
    <t>EWU6294</t>
  </si>
  <si>
    <t>CCS0052</t>
  </si>
  <si>
    <t>MÁQUINA CORTADEIRA</t>
  </si>
  <si>
    <t>MÁQUINA CORTADEIRA - C4</t>
  </si>
  <si>
    <t>DPS0050</t>
  </si>
  <si>
    <t>MÁQUINA DOBRADEIRA</t>
  </si>
  <si>
    <t>MÁQUINA DOBRADEIRA - P3 2V-2D</t>
  </si>
  <si>
    <t>DPS0051</t>
  </si>
  <si>
    <t>ACS0049</t>
  </si>
  <si>
    <t>MÁQUINA ESTRIBADEIRA</t>
  </si>
  <si>
    <t>MÁQUINA ESTRIBADEIRA ACO 8</t>
  </si>
  <si>
    <t>VEIO NA COMPRA DA PRENSA FIXA PHH0061 - BOMBA EXTRA</t>
  </si>
  <si>
    <t>BOMBA RESERVA - A10VSO140 - PRENSAS HIDROEUROPA</t>
  </si>
  <si>
    <t>BOMBA RESERVA - A15VSO280 - PRENSAS HIDROEUROPA</t>
  </si>
  <si>
    <t>HIDROEUROPA</t>
  </si>
  <si>
    <t>BASCULANTE HIDRÁULICO DE CONTEINER</t>
  </si>
  <si>
    <t>TILTER JVC 200Z</t>
  </si>
  <si>
    <t>HSA4D03</t>
  </si>
  <si>
    <t>FORD</t>
  </si>
  <si>
    <t>CARGO 815</t>
  </si>
  <si>
    <t>CAMINHÃO / CARROCERIA ABERTA</t>
  </si>
  <si>
    <t>GFC0I97</t>
  </si>
  <si>
    <t>FIAT</t>
  </si>
  <si>
    <t>STRADA FREEDOM 13CS</t>
  </si>
  <si>
    <t>UTILITARIO</t>
  </si>
  <si>
    <t>1.1.15</t>
  </si>
  <si>
    <t>GGE8044</t>
  </si>
  <si>
    <t>LAND ROVER</t>
  </si>
  <si>
    <t>LR/DISCOVERY SPORT D180 SE</t>
  </si>
  <si>
    <t>VEÍCULO DE PASSEIO</t>
  </si>
  <si>
    <t>1.1.1.1</t>
  </si>
  <si>
    <t>GFI7E03</t>
  </si>
  <si>
    <t>VOLKSWAGEN</t>
  </si>
  <si>
    <t>VW AMAROK V6 EXTR AD4</t>
  </si>
  <si>
    <t>Vendido?</t>
  </si>
  <si>
    <t>CBS5B58</t>
  </si>
  <si>
    <t>MERCEDES-BENZ</t>
  </si>
  <si>
    <t>L 1620</t>
  </si>
  <si>
    <t>CAMINHÃO / ABERTA / MECANISMO OPERACIONAL</t>
  </si>
  <si>
    <t>SIM</t>
  </si>
  <si>
    <t>FCE5F96</t>
  </si>
  <si>
    <t>VW POLO CL AD</t>
  </si>
  <si>
    <t>Agnaldo</t>
  </si>
  <si>
    <t>DPR4140</t>
  </si>
  <si>
    <t>CHEVROLET</t>
  </si>
  <si>
    <t>MONTANA LS2</t>
  </si>
  <si>
    <t>20.947.332/0004-38</t>
  </si>
  <si>
    <t>G3S-04</t>
  </si>
  <si>
    <t>ACIONISTA</t>
  </si>
  <si>
    <t>TKQ2D62</t>
  </si>
  <si>
    <t>01422588286</t>
  </si>
  <si>
    <t>8AWJW62H2SA013735</t>
  </si>
  <si>
    <t>AMAROK V6 HIGH</t>
  </si>
  <si>
    <t>ROLLON ROLLOFF GRIMALDI GR25</t>
  </si>
  <si>
    <t>CABINE COM GARRA GRIMALDI GRS 15000Z</t>
  </si>
  <si>
    <t>MOROSHIMA</t>
  </si>
  <si>
    <t>BASCULANTENTE HIDRÁULICO DE CONTEINER</t>
  </si>
  <si>
    <t>22 UNIDADES</t>
  </si>
  <si>
    <t>CONTEINER</t>
  </si>
  <si>
    <t>CONTEINER 6M REVESTIDO</t>
  </si>
  <si>
    <t>22</t>
  </si>
  <si>
    <t>32 UNIDADES</t>
  </si>
  <si>
    <t>CONTEINER 12M REVESTIDO</t>
  </si>
  <si>
    <t>32</t>
  </si>
  <si>
    <t>410 UNIDADES</t>
  </si>
  <si>
    <t>CONTEINER 6M AÇO - 101 MC</t>
  </si>
  <si>
    <t>410</t>
  </si>
  <si>
    <t>6 UNIDADES</t>
  </si>
  <si>
    <t>CONTEINER 3M AÇO</t>
  </si>
  <si>
    <t>6</t>
  </si>
  <si>
    <t>67 UNIDADES</t>
  </si>
  <si>
    <t>CONTEINER 12M AÇO</t>
  </si>
  <si>
    <t>67</t>
  </si>
  <si>
    <t>CAPITAL</t>
  </si>
  <si>
    <t>BALANÇA</t>
  </si>
  <si>
    <t>BAL0002</t>
  </si>
  <si>
    <t>LONDRINA</t>
  </si>
  <si>
    <t>BAL0005</t>
  </si>
  <si>
    <t>PADRÃO</t>
  </si>
  <si>
    <t>DOURADOS</t>
  </si>
  <si>
    <t>MS - 3 LAGOAS</t>
  </si>
  <si>
    <t>TRÊS LAGOAS</t>
  </si>
  <si>
    <t>BAL0008</t>
  </si>
  <si>
    <t>TOLEDO</t>
  </si>
  <si>
    <t>ASSIS</t>
  </si>
  <si>
    <t>BALANÇA RODOVIARIA - TOLEDO TUBULAR - 18 METROS</t>
  </si>
  <si>
    <t>BAL0009</t>
  </si>
  <si>
    <t>BAL0010</t>
  </si>
  <si>
    <t>EJZ7303</t>
  </si>
  <si>
    <t>CARGO 1832 E</t>
  </si>
  <si>
    <t>CAMINHÃO</t>
  </si>
  <si>
    <t>C. MUNCK</t>
  </si>
  <si>
    <t>EJZ7D04</t>
  </si>
  <si>
    <t>CAMINHÃO / ROLLON ROLLOFF - BUSA G25 - GARRA PALFINGER M 120Z - 4º EIXO</t>
  </si>
  <si>
    <t xml:space="preserve">SP - PRUDENTE </t>
  </si>
  <si>
    <t>EJZ7305</t>
  </si>
  <si>
    <t>CAMINHÃO / ROLLON ROLLOFF BUSA G25/ GARRA PALFINGER M 120Z - 4º EIXO</t>
  </si>
  <si>
    <t>AYT3519</t>
  </si>
  <si>
    <t>CARGO 1933</t>
  </si>
  <si>
    <t>CAMINHÃO / ROLLON ROLLOFF GRIMALDI GR25 - 3º EIXO</t>
  </si>
  <si>
    <t>EWU6003 vai tirar equip e colocar FBU7329</t>
  </si>
  <si>
    <t>EWU6003</t>
  </si>
  <si>
    <t>VOLVO</t>
  </si>
  <si>
    <t>VM 330 6X2R</t>
  </si>
  <si>
    <t>CAMINHÃO / ROLLON ROLLOFF - IMAVI G25 - GARRA PALFINGER M 80Z</t>
  </si>
  <si>
    <t>200</t>
  </si>
  <si>
    <t>EWU5986</t>
  </si>
  <si>
    <t>800</t>
  </si>
  <si>
    <t>EWU5J85</t>
  </si>
  <si>
    <t>FZF3J28</t>
  </si>
  <si>
    <t>BKW9I57</t>
  </si>
  <si>
    <t>CAMINHÃO / ROLLON ROLLOFF - BUSA G25 - GARRA PALFINGER C 80Z</t>
  </si>
  <si>
    <t>BTZ8D36</t>
  </si>
  <si>
    <t>EWU5J98 vai tirar equip e colocar GHI3A74</t>
  </si>
  <si>
    <t>EWU5J98</t>
  </si>
  <si>
    <t>BZG6A91</t>
  </si>
  <si>
    <t>BZL7H95</t>
  </si>
  <si>
    <t>Ponta Pora</t>
  </si>
  <si>
    <t>GDA9J63</t>
  </si>
  <si>
    <t>GDG8E75</t>
  </si>
  <si>
    <t>01301660245</t>
  </si>
  <si>
    <t>NRQ7727</t>
  </si>
  <si>
    <t>ATEGO 2425</t>
  </si>
  <si>
    <t>CAMINHÃO / CACAMBA BASCULANTENTE / GARRA PALFINGER C 80Z</t>
  </si>
  <si>
    <t>Reserva</t>
  </si>
  <si>
    <t>NRV7727</t>
  </si>
  <si>
    <t>CAMINHÃO / CACAMBA BASCULANTENTE - GARRA PALFINGER C 80Z</t>
  </si>
  <si>
    <t>FJQ5A08</t>
  </si>
  <si>
    <t>CARGO 2431 L</t>
  </si>
  <si>
    <t>CAMINHÃO / CACAMBA NÃO BASCULANTENTE INDUSPLAN - GARRA TRASEIRO PALFINGER M 100L</t>
  </si>
  <si>
    <t>Oficina PP</t>
  </si>
  <si>
    <t>GGE5059</t>
  </si>
  <si>
    <t>CAMINHÃO / CACAMBA NÃO BASCULANTE INDUSPLAN - GARRA TRASEIRO PALFINGER M 100L / ELETROIMA ZOLOAR</t>
  </si>
  <si>
    <t>29/06/218</t>
  </si>
  <si>
    <t>FBU7329</t>
  </si>
  <si>
    <t>FRT7548</t>
  </si>
  <si>
    <t>CAMINHÃO / ROLLON ROLLOFF - IMAVI G25 - GARRA PALFINGER C 80Z</t>
  </si>
  <si>
    <t>Projeto Corumba</t>
  </si>
  <si>
    <t>GHI3A74</t>
  </si>
  <si>
    <t>CINZA</t>
  </si>
  <si>
    <t>Sonora</t>
  </si>
  <si>
    <t>OON3B85</t>
  </si>
  <si>
    <t>VM 270 6X2R</t>
  </si>
  <si>
    <t>CAMINHÃO / CACAMBA BASCULANTENTE - GARRA PALFINGER M 100L</t>
  </si>
  <si>
    <t>QAO4A53</t>
  </si>
  <si>
    <t>VM 330 8X2R</t>
  </si>
  <si>
    <t>Tupã</t>
  </si>
  <si>
    <t>AJV6A51</t>
  </si>
  <si>
    <t>CAMINHÃO / CACAMBA BASCULANTE / GARRA HFORT 8800 LI - 3º EIXO</t>
  </si>
  <si>
    <t>KNZ2F41</t>
  </si>
  <si>
    <t>24250 CNC 6X2</t>
  </si>
  <si>
    <t>CAMINHÃO / CACAMBA BASCULANTE CALLEVE BG 30 / GARRA HFORT 8800 LI - 3º EIXO</t>
  </si>
  <si>
    <t>AHT1418</t>
  </si>
  <si>
    <t>L 1418 E</t>
  </si>
  <si>
    <t>CAMINHÃO CACAMBA BASCULANTE - GARRA RODOMAQ - 3º EIXO</t>
  </si>
  <si>
    <t>ALJ7D92</t>
  </si>
  <si>
    <t>CARGO 1721</t>
  </si>
  <si>
    <t>CAMINHÃO MUNCK - 3º EIXO</t>
  </si>
  <si>
    <t>Ekipa</t>
  </si>
  <si>
    <t>DTB6854</t>
  </si>
  <si>
    <t>NOMA</t>
  </si>
  <si>
    <t>SR/NOMA SR3E27 BCG</t>
  </si>
  <si>
    <t>CAÇAMBA BASCULANTE</t>
  </si>
  <si>
    <t>MRP6135</t>
  </si>
  <si>
    <t>RANDON</t>
  </si>
  <si>
    <t>REBOQUE 03 EIXO - RANDON SR BA</t>
  </si>
  <si>
    <t>EJZ7367</t>
  </si>
  <si>
    <t>CAMINHÃO / ROLLON ROLLOFF BUSA G25 - 3º EIXO</t>
  </si>
  <si>
    <t>EJZ7D68</t>
  </si>
  <si>
    <t>00203929314</t>
  </si>
  <si>
    <t>9BFYCAWY8ABB46979</t>
  </si>
  <si>
    <t>EWU6087</t>
  </si>
  <si>
    <t>CAMINHÃO / ROLLON ROLLOFF - IMAVI G25</t>
  </si>
  <si>
    <t>EWU6088</t>
  </si>
  <si>
    <t>EWU6A85</t>
  </si>
  <si>
    <t>EWU6A86</t>
  </si>
  <si>
    <t>EJZ7998</t>
  </si>
  <si>
    <t>CARGO 1317 E</t>
  </si>
  <si>
    <t>CAMINHÃO / TOCO - POLI SIMPLES</t>
  </si>
  <si>
    <t>EJZ7999</t>
  </si>
  <si>
    <t>EJZ7J97</t>
  </si>
  <si>
    <t>CAMINHÃO / TOCO - POLI DUPLO</t>
  </si>
  <si>
    <t>CZB9H07</t>
  </si>
  <si>
    <t>CARGO 2422 T</t>
  </si>
  <si>
    <t>CAMINHÃO / TRUCK - CARROCERIA ABERTA</t>
  </si>
  <si>
    <t>HAR1F82</t>
  </si>
  <si>
    <t>00852840080</t>
  </si>
  <si>
    <t>9BFYCN9T35BB49477</t>
  </si>
  <si>
    <t>EJZ7495</t>
  </si>
  <si>
    <t>CARGO 815 E</t>
  </si>
  <si>
    <t>CAMINHÃO / 3/4 - CARROCERIA ABERTA</t>
  </si>
  <si>
    <t>EJZ7496</t>
  </si>
  <si>
    <t>HQR6804</t>
  </si>
  <si>
    <t>L 1111</t>
  </si>
  <si>
    <t>CAMINHÃO / CARROCERIA ABERTA - TOCO</t>
  </si>
  <si>
    <t>CNI0624</t>
  </si>
  <si>
    <t>Veiculo com restrições ( Bloqueio Judicial, Sem motor e Doc. em nome de outro proprietário)</t>
  </si>
  <si>
    <t>MB 321</t>
  </si>
  <si>
    <t>CAMINHÃO / TOCO - POLI</t>
  </si>
  <si>
    <t>HSU9D49</t>
  </si>
  <si>
    <t>LIBRELATO</t>
  </si>
  <si>
    <t>LIBRELATO SRCS 3E</t>
  </si>
  <si>
    <t>SEMI REBOQUE / CARROCERIA ABERTA - 3 EIXOS</t>
  </si>
  <si>
    <t>20.504.237/0001-17</t>
  </si>
  <si>
    <t>BZN1874</t>
  </si>
  <si>
    <t>CAMINHÃO / TOCO - CARROCERIA ABERTA</t>
  </si>
  <si>
    <t>HRO5E08</t>
  </si>
  <si>
    <t>CAMINHÃO / ROLLON ROLLOFF - IMAVI G25 - 3º EIXO</t>
  </si>
  <si>
    <t>HRO7F30</t>
  </si>
  <si>
    <t>CAMINHÃO / ROLLON ROLLOFF GRIMALDI  - 3º EIXO</t>
  </si>
  <si>
    <t>BFO6788</t>
  </si>
  <si>
    <t>TOYOTA/BANDEIRANTE</t>
  </si>
  <si>
    <t>EJZ7366</t>
  </si>
  <si>
    <t>BNJ9314</t>
  </si>
  <si>
    <t>L 1113</t>
  </si>
  <si>
    <t>CAMINHÃO / CARROCERIA ABERTA - 3º EIXO</t>
  </si>
  <si>
    <t>EJZ7609</t>
  </si>
  <si>
    <t>EJZ7G08</t>
  </si>
  <si>
    <t>Machado</t>
  </si>
  <si>
    <t>NOVO</t>
  </si>
  <si>
    <t>SUY4F83</t>
  </si>
  <si>
    <t>01451712968</t>
  </si>
  <si>
    <t>93KPZ60C8SE209221</t>
  </si>
  <si>
    <t>TKI2E74</t>
  </si>
  <si>
    <t>01463655794</t>
  </si>
  <si>
    <t>93KPZ60C6SE211014</t>
  </si>
  <si>
    <t>CAMINHÃO / ROLLON ROLLOF G25 IMAVI</t>
  </si>
  <si>
    <t>BWJ9H37</t>
  </si>
  <si>
    <t>00436604272</t>
  </si>
  <si>
    <t>9A9G12430P1AV8033</t>
  </si>
  <si>
    <t>SR/NOMA</t>
  </si>
  <si>
    <t>CARRETA 12 METROS - 3 EIXOS</t>
  </si>
  <si>
    <t>CARGA SECA</t>
  </si>
  <si>
    <t>BTS7191</t>
  </si>
  <si>
    <t>SR/RANDON</t>
  </si>
  <si>
    <t>REBOQUE - 3 EIXOS</t>
  </si>
  <si>
    <t>DBP3174</t>
  </si>
  <si>
    <t>SR/RANDON SR CO</t>
  </si>
  <si>
    <t>CARRETA - 2 EIXOS</t>
  </si>
  <si>
    <t>EWU5984</t>
  </si>
  <si>
    <t>VM 330 4X2 2P</t>
  </si>
  <si>
    <t>CAMINHÃO / REBOCADOR</t>
  </si>
  <si>
    <t>CVM</t>
  </si>
  <si>
    <t>GDB3A42</t>
  </si>
  <si>
    <t>FH 540 6X4T</t>
  </si>
  <si>
    <t>CAMINHÃO TRACADO / REBOCADOR</t>
  </si>
  <si>
    <t>Arcelor</t>
  </si>
  <si>
    <t>GDY0H74</t>
  </si>
  <si>
    <t>EWU5698</t>
  </si>
  <si>
    <t>VM 310 6X4R</t>
  </si>
  <si>
    <t>CLIENTES EXTERNOS</t>
  </si>
  <si>
    <t>EWU6A79</t>
  </si>
  <si>
    <t>VM 330 6X4R</t>
  </si>
  <si>
    <t>EWU5857</t>
  </si>
  <si>
    <t>OOM8D73</t>
  </si>
  <si>
    <t>FM 380 6X2T</t>
  </si>
  <si>
    <t>TRACAO CAMINHÃO TRATOR</t>
  </si>
  <si>
    <t>Prensa</t>
  </si>
  <si>
    <t>EJZ7349</t>
  </si>
  <si>
    <t>CARGO 4532 E</t>
  </si>
  <si>
    <t>CAMINHÃO / REBOCADOR - CABINE ESTENDIDA</t>
  </si>
  <si>
    <t>ZOLOAR</t>
  </si>
  <si>
    <t>45 POLEGADAS</t>
  </si>
  <si>
    <t>ELETROIMA ZOLOAR</t>
  </si>
  <si>
    <t>TES0003</t>
  </si>
  <si>
    <t>SEADOO</t>
  </si>
  <si>
    <t>JETSKI</t>
  </si>
  <si>
    <t xml:space="preserve">REGULAR </t>
  </si>
  <si>
    <t>YDV06552H526</t>
  </si>
  <si>
    <t>PWC GTX LTD 325 HP</t>
  </si>
  <si>
    <t>GASOLINA</t>
  </si>
  <si>
    <t>PARTICULAR - GABRIEL SALTEIRO</t>
  </si>
  <si>
    <t>GDS7F95</t>
  </si>
  <si>
    <t>CLA 250</t>
  </si>
  <si>
    <t>PASSEIO</t>
  </si>
  <si>
    <t>1.9.3</t>
  </si>
  <si>
    <t>PARTICULAR - GIULIANA SALMAZZO</t>
  </si>
  <si>
    <t>GFA0D41</t>
  </si>
  <si>
    <t>XC 60 T8 INSCRIPT</t>
  </si>
  <si>
    <t>DDC2G89</t>
  </si>
  <si>
    <t>KA SE 1.0 HA C</t>
  </si>
  <si>
    <t>Mario</t>
  </si>
  <si>
    <t>EEG9C30</t>
  </si>
  <si>
    <t>JULIO SANTANA</t>
  </si>
  <si>
    <t>EGY1I23</t>
  </si>
  <si>
    <t>ver km</t>
  </si>
  <si>
    <t>EMF0J29</t>
  </si>
  <si>
    <t>Matheus</t>
  </si>
  <si>
    <t>ENG4A84</t>
  </si>
  <si>
    <t>Rodrigo</t>
  </si>
  <si>
    <t>REGULAR/vendido</t>
  </si>
  <si>
    <t>JOSÉ ANGELO</t>
  </si>
  <si>
    <t>FBV4H62</t>
  </si>
  <si>
    <t>VW POLO CL TSI</t>
  </si>
  <si>
    <t>Marcondes</t>
  </si>
  <si>
    <t>Jonatan</t>
  </si>
  <si>
    <t>FCL4A82</t>
  </si>
  <si>
    <t>Chico</t>
  </si>
  <si>
    <t>STF9C60</t>
  </si>
  <si>
    <t>VW POLO CL AB</t>
  </si>
  <si>
    <t>CHICO</t>
  </si>
  <si>
    <t>SUE1E15</t>
  </si>
  <si>
    <t>MARCONDES</t>
  </si>
  <si>
    <t>SUC7A43</t>
  </si>
  <si>
    <t>01405639110</t>
  </si>
  <si>
    <t>9BWAH5BZ1ST632096</t>
  </si>
  <si>
    <t>RNC9H69</t>
  </si>
  <si>
    <t>GOL 1.0L MC4</t>
  </si>
  <si>
    <t>33.678.173/0001-12</t>
  </si>
  <si>
    <t>NVS (S&amp;G)</t>
  </si>
  <si>
    <t>JAIRO</t>
  </si>
  <si>
    <t>SWW9B93</t>
  </si>
  <si>
    <t>VW T CROSS TSI</t>
  </si>
  <si>
    <t>Particular - Jairo</t>
  </si>
  <si>
    <t>SUC4A26</t>
  </si>
  <si>
    <t>VW POLO GTS AD</t>
  </si>
  <si>
    <t>Particular - Gabriel</t>
  </si>
  <si>
    <t>GEV3A59</t>
  </si>
  <si>
    <t>Seletiva</t>
  </si>
  <si>
    <t>RLN4B56</t>
  </si>
  <si>
    <t>TORO FREED TURB AT6</t>
  </si>
  <si>
    <t>ALCOOL/GASOLINA</t>
  </si>
  <si>
    <t>UGV1B16</t>
  </si>
  <si>
    <t>01475031812</t>
  </si>
  <si>
    <t>W1N4N8HW5TJ767618</t>
  </si>
  <si>
    <t xml:space="preserve"> MERCEDES BENZ</t>
  </si>
  <si>
    <t xml:space="preserve">GLA200 </t>
  </si>
  <si>
    <t xml:space="preserve">BARRA MANSA - IPM 0057 E 0060 ACOPLADAS NAS EHH0019 E EHH0015
</t>
  </si>
  <si>
    <t>IPM0057</t>
  </si>
  <si>
    <t xml:space="preserve">MB-S 18 S4/EX 058 </t>
  </si>
  <si>
    <t>PENEIRA</t>
  </si>
  <si>
    <t>IPM0060</t>
  </si>
  <si>
    <t>AQUIN</t>
  </si>
  <si>
    <t>JCG 800</t>
  </si>
  <si>
    <t>PRENSA FIXA</t>
  </si>
  <si>
    <t>PRENSA MÓVEL</t>
  </si>
  <si>
    <t>GERDAU</t>
  </si>
  <si>
    <t>SP - GERDAU</t>
  </si>
  <si>
    <t>EQO6E99</t>
  </si>
  <si>
    <t>JCH200M</t>
  </si>
  <si>
    <t>Gerdau - Jaragua</t>
  </si>
  <si>
    <t>Arcelor - Piracicaba</t>
  </si>
  <si>
    <t>G&amp;S X G3S POR MEDIÇÃO - ANALISAR</t>
  </si>
  <si>
    <t>Seletiva - Manutencao</t>
  </si>
  <si>
    <t xml:space="preserve">G&amp;S </t>
  </si>
  <si>
    <t>Nova, em andamento</t>
  </si>
  <si>
    <t>SERIE: 25091439</t>
  </si>
  <si>
    <t>EWU6041</t>
  </si>
  <si>
    <t>Gerdau</t>
  </si>
  <si>
    <t>Gerdau - São Caetano do Sul</t>
  </si>
  <si>
    <t>01218124242</t>
  </si>
  <si>
    <t>VV9S3G12XKA100007</t>
  </si>
  <si>
    <t>Seletiva - MS</t>
  </si>
  <si>
    <t>01451602186</t>
  </si>
  <si>
    <t>VV9S3G12XPA100032</t>
  </si>
  <si>
    <t>Piracicaba- Arcelor</t>
  </si>
  <si>
    <t>HARRIS</t>
  </si>
  <si>
    <t>TGS60</t>
  </si>
  <si>
    <t>PRENSAS FIXAS</t>
  </si>
  <si>
    <t>TGS200</t>
  </si>
  <si>
    <t>PREMER</t>
  </si>
  <si>
    <t>PC60 4000</t>
  </si>
  <si>
    <t>Curitiba</t>
  </si>
  <si>
    <t>JCG800 LB</t>
  </si>
  <si>
    <t>PHE0030</t>
  </si>
  <si>
    <t>JB</t>
  </si>
  <si>
    <t>ELÉTRICA 30X30</t>
  </si>
  <si>
    <t>JCG600 SF</t>
  </si>
  <si>
    <t>JUNIOR SANTOS</t>
  </si>
  <si>
    <t>FTW0D43</t>
  </si>
  <si>
    <t>VW SAVEIRO CS RB MPI</t>
  </si>
  <si>
    <t>Julio</t>
  </si>
  <si>
    <t>FYA7J92</t>
  </si>
  <si>
    <t>*Renato</t>
  </si>
  <si>
    <t>Gomes</t>
  </si>
  <si>
    <t>Max</t>
  </si>
  <si>
    <t>Bruno</t>
  </si>
  <si>
    <t>WAGNER JUNIOR</t>
  </si>
  <si>
    <t>FYC7D43</t>
  </si>
  <si>
    <t>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</si>
</sst>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\-#,##0.00\ "/>
    <numFmt numFmtId="165" formatCode="000"/>
    <numFmt numFmtId="166" formatCode="_-[$R$-416]\ * #,##0.00_-;\-[$R$-416]\ * #,##0.00_-;_-[$R$-416]\ * &quot;-&quot;??_-;_-@_-"/>
    <numFmt numFmtId="167" formatCode="_-* #,##0_-;\-* #,##0_-;_-* &quot;-&quot;??_-;_-@_-"/>
    <numFmt numFmtId="168" formatCode="&quot;R$&quot;\ #,##0.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ptos"/>
      <family val="2"/>
    </font>
    <font>
      <b/>
      <sz val="12"/>
      <color rgb="FF000000"/>
      <name val="Aptos"/>
      <family val="2"/>
    </font>
    <font>
      <sz val="12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u/>
      <sz val="11"/>
      <color theme="1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10"/>
      <name val="Aptos"/>
      <family val="2"/>
    </font>
    <font>
      <sz val="11"/>
      <color rgb="FF000000"/>
      <name val="Calibri"/>
      <family val="2"/>
    </font>
    <font>
      <sz val="12"/>
      <color rgb="FF000000"/>
      <name val="Aptos"/>
      <family val="2"/>
    </font>
    <font>
      <sz val="11"/>
      <color rgb="FF000000"/>
      <name val="Aptos"/>
      <family val="2"/>
    </font>
    <font>
      <b/>
      <sz val="10"/>
      <color rgb="FFFF0000"/>
      <name val="Aptos"/>
      <family val="2"/>
    </font>
    <font>
      <b/>
      <sz val="10"/>
      <name val="Aptos Narrow"/>
      <family val="2"/>
    </font>
    <font>
      <b/>
      <sz val="9"/>
      <name val="Aptos"/>
      <family val="2"/>
    </font>
    <font>
      <sz val="10"/>
      <color rgb="FF000000"/>
      <name val="Aptos"/>
      <family val="2"/>
    </font>
    <font>
      <sz val="10"/>
      <color rgb="FFFF0000"/>
      <name val="Aptos"/>
      <family val="2"/>
    </font>
    <font>
      <sz val="10"/>
      <color theme="1"/>
      <name val="Aptos"/>
      <family val="2"/>
    </font>
    <font>
      <u/>
      <sz val="10"/>
      <color rgb="FFFF0000"/>
      <name val="Aptos"/>
      <family val="2"/>
    </font>
    <font>
      <u/>
      <sz val="10"/>
      <color theme="10"/>
      <name val="Aptos"/>
      <family val="2"/>
    </font>
    <font>
      <b/>
      <sz val="10"/>
      <color theme="1"/>
      <name val="Aptos"/>
      <family val="2"/>
    </font>
    <font>
      <b/>
      <sz val="10"/>
      <color rgb="FF000000"/>
      <name val="Aptos"/>
      <family val="2"/>
    </font>
    <font>
      <b/>
      <u val="double"/>
      <sz val="10"/>
      <color rgb="FF000000"/>
      <name val="Aptos"/>
      <family val="2"/>
    </font>
    <font>
      <b/>
      <u val="double"/>
      <sz val="10"/>
      <color rgb="FFFF0000"/>
      <name val="Aptos"/>
      <family val="2"/>
    </font>
    <font>
      <b/>
      <u val="double"/>
      <sz val="10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BE2D5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CAEDFB"/>
        <bgColor rgb="FFC0E6F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BEDF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/>
      <bottom style="hair">
        <color rgb="FFD9D9D9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0" fontId="12" fillId="0" borderId="0" applyFill="0" applyProtection="0"/>
  </cellStyleXfs>
  <cellXfs count="239">
    <xf numFmtId="0" fontId="0" fillId="0" borderId="0" xfId="0"/>
    <xf numFmtId="49" fontId="3" fillId="2" borderId="0" xfId="3" applyNumberFormat="1" applyFont="1" applyFill="1" applyAlignment="1" applyProtection="1">
      <alignment horizontal="center" vertical="center"/>
      <protection locked="0"/>
    </xf>
    <xf numFmtId="0" fontId="3" fillId="0" borderId="0" xfId="3" applyFont="1" applyAlignment="1" applyProtection="1">
      <alignment horizontal="center" vertical="center"/>
      <protection locked="0"/>
    </xf>
    <xf numFmtId="0" fontId="3" fillId="0" borderId="0" xfId="3" applyFont="1" applyAlignment="1" applyProtection="1">
      <alignment horizontal="left" vertical="center"/>
      <protection locked="0"/>
    </xf>
    <xf numFmtId="0" fontId="3" fillId="3" borderId="0" xfId="3" applyFont="1" applyFill="1" applyAlignment="1" applyProtection="1">
      <alignment horizontal="center" vertical="center"/>
      <protection locked="0"/>
    </xf>
    <xf numFmtId="0" fontId="3" fillId="2" borderId="0" xfId="3" applyFont="1" applyFill="1" applyAlignment="1" applyProtection="1">
      <alignment horizontal="left" vertical="center"/>
      <protection locked="0"/>
    </xf>
    <xf numFmtId="4" fontId="3" fillId="3" borderId="0" xfId="3" applyNumberFormat="1" applyFont="1" applyFill="1" applyAlignment="1" applyProtection="1">
      <alignment horizontal="center" vertical="center"/>
      <protection locked="0"/>
    </xf>
    <xf numFmtId="4" fontId="3" fillId="0" borderId="0" xfId="3" applyNumberFormat="1" applyFont="1" applyAlignment="1" applyProtection="1">
      <alignment horizontal="left" vertical="center"/>
      <protection locked="0"/>
    </xf>
    <xf numFmtId="4" fontId="3" fillId="2" borderId="0" xfId="3" applyNumberFormat="1" applyFont="1" applyFill="1" applyAlignment="1" applyProtection="1">
      <alignment horizontal="left" vertical="center"/>
      <protection locked="0"/>
    </xf>
    <xf numFmtId="4" fontId="3" fillId="0" borderId="0" xfId="3" applyNumberFormat="1" applyFont="1" applyAlignment="1" applyProtection="1">
      <alignment horizontal="center" vertical="center"/>
      <protection locked="0"/>
    </xf>
    <xf numFmtId="0" fontId="3" fillId="2" borderId="0" xfId="3" applyFont="1" applyFill="1" applyAlignment="1" applyProtection="1">
      <alignment horizontal="center" vertical="center"/>
      <protection locked="0"/>
    </xf>
    <xf numFmtId="0" fontId="3" fillId="4" borderId="0" xfId="3" applyFont="1" applyFill="1" applyAlignment="1" applyProtection="1">
      <alignment horizontal="center" vertical="center"/>
      <protection locked="0"/>
    </xf>
    <xf numFmtId="0" fontId="4" fillId="4" borderId="0" xfId="0" applyFont="1" applyFill="1" applyAlignment="1">
      <alignment horizontal="center" vertical="center"/>
    </xf>
    <xf numFmtId="164" fontId="3" fillId="0" borderId="0" xfId="3" applyNumberFormat="1" applyFont="1" applyAlignment="1" applyProtection="1">
      <alignment horizontal="center" vertical="top"/>
      <protection locked="0"/>
    </xf>
    <xf numFmtId="164" fontId="3" fillId="0" borderId="0" xfId="3" applyNumberFormat="1" applyFont="1" applyAlignment="1" applyProtection="1">
      <alignment horizontal="center" vertical="center"/>
      <protection locked="0"/>
    </xf>
    <xf numFmtId="4" fontId="3" fillId="0" borderId="0" xfId="1" applyNumberFormat="1" applyFont="1" applyAlignment="1" applyProtection="1">
      <alignment horizontal="center"/>
      <protection locked="0"/>
    </xf>
    <xf numFmtId="0" fontId="3" fillId="5" borderId="0" xfId="3" applyFont="1" applyFill="1" applyAlignment="1" applyProtection="1">
      <alignment horizontal="left" vertical="center"/>
      <protection locked="0"/>
    </xf>
    <xf numFmtId="14" fontId="3" fillId="3" borderId="0" xfId="3" applyNumberFormat="1" applyFont="1" applyFill="1" applyAlignment="1" applyProtection="1">
      <alignment horizontal="center" vertical="center"/>
      <protection locked="0"/>
    </xf>
    <xf numFmtId="14" fontId="3" fillId="0" borderId="0" xfId="3" applyNumberFormat="1" applyFont="1" applyAlignment="1" applyProtection="1">
      <alignment horizontal="center" vertical="center"/>
      <protection locked="0"/>
    </xf>
    <xf numFmtId="0" fontId="3" fillId="6" borderId="0" xfId="3" applyFont="1" applyFill="1" applyAlignment="1" applyProtection="1">
      <alignment horizontal="center" vertical="center"/>
      <protection locked="0"/>
    </xf>
    <xf numFmtId="0" fontId="5" fillId="7" borderId="0" xfId="0" applyFont="1" applyFill="1" applyAlignment="1">
      <alignment horizontal="center" vertical="center"/>
    </xf>
    <xf numFmtId="44" fontId="3" fillId="3" borderId="0" xfId="1" applyNumberFormat="1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4" fontId="6" fillId="8" borderId="1" xfId="0" applyNumberFormat="1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44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4" fontId="7" fillId="0" borderId="1" xfId="0" applyNumberFormat="1" applyFont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11" fillId="0" borderId="1" xfId="4" applyNumberFormat="1" applyFont="1" applyFill="1" applyBorder="1" applyAlignment="1">
      <alignment horizontal="left" vertical="center"/>
    </xf>
    <xf numFmtId="44" fontId="6" fillId="8" borderId="1" xfId="0" applyNumberFormat="1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1" fillId="0" borderId="1" xfId="5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4" fontId="7" fillId="0" borderId="0" xfId="0" applyNumberFormat="1" applyFont="1" applyAlignment="1">
      <alignment horizontal="center"/>
    </xf>
    <xf numFmtId="4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left" vertical="center"/>
    </xf>
    <xf numFmtId="49" fontId="5" fillId="2" borderId="2" xfId="6" applyNumberFormat="1" applyFont="1" applyFill="1" applyBorder="1" applyAlignment="1" applyProtection="1">
      <alignment horizontal="left" vertical="center"/>
      <protection locked="0"/>
    </xf>
    <xf numFmtId="0" fontId="5" fillId="0" borderId="2" xfId="6" applyFont="1" applyBorder="1" applyAlignment="1" applyProtection="1">
      <alignment horizontal="center" vertical="center"/>
      <protection locked="0"/>
    </xf>
    <xf numFmtId="0" fontId="5" fillId="0" borderId="2" xfId="6" applyFont="1" applyBorder="1" applyAlignment="1" applyProtection="1">
      <alignment horizontal="left" vertical="center"/>
      <protection locked="0"/>
    </xf>
    <xf numFmtId="0" fontId="5" fillId="3" borderId="2" xfId="6" applyFont="1" applyFill="1" applyBorder="1" applyAlignment="1" applyProtection="1">
      <alignment horizontal="left" vertical="center"/>
      <protection locked="0"/>
    </xf>
    <xf numFmtId="0" fontId="5" fillId="2" borderId="2" xfId="6" applyFont="1" applyFill="1" applyBorder="1" applyAlignment="1" applyProtection="1">
      <alignment horizontal="left" vertical="center"/>
      <protection locked="0"/>
    </xf>
    <xf numFmtId="0" fontId="5" fillId="3" borderId="2" xfId="0" applyFont="1" applyFill="1" applyBorder="1" applyAlignment="1">
      <alignment horizontal="left" vertical="center"/>
    </xf>
    <xf numFmtId="4" fontId="5" fillId="0" borderId="2" xfId="6" applyNumberFormat="1" applyFont="1" applyBorder="1" applyAlignment="1" applyProtection="1">
      <alignment horizontal="center" vertical="center"/>
      <protection locked="0"/>
    </xf>
    <xf numFmtId="4" fontId="5" fillId="2" borderId="2" xfId="6" applyNumberFormat="1" applyFont="1" applyFill="1" applyBorder="1" applyAlignment="1" applyProtection="1">
      <alignment horizontal="left" vertical="center"/>
      <protection locked="0"/>
    </xf>
    <xf numFmtId="4" fontId="5" fillId="3" borderId="2" xfId="6" applyNumberFormat="1" applyFont="1" applyFill="1" applyBorder="1" applyAlignment="1" applyProtection="1">
      <alignment horizontal="left" vertical="center"/>
      <protection locked="0"/>
    </xf>
    <xf numFmtId="4" fontId="5" fillId="0" borderId="2" xfId="6" applyNumberFormat="1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4" borderId="2" xfId="7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164" fontId="5" fillId="0" borderId="2" xfId="7" applyNumberFormat="1" applyFont="1" applyBorder="1" applyAlignment="1">
      <alignment horizontal="center" vertical="top"/>
    </xf>
    <xf numFmtId="164" fontId="5" fillId="0" borderId="2" xfId="7" applyNumberFormat="1" applyFont="1" applyBorder="1" applyAlignment="1">
      <alignment horizontal="center" vertical="center"/>
    </xf>
    <xf numFmtId="4" fontId="5" fillId="0" borderId="2" xfId="7" applyNumberFormat="1" applyFont="1" applyBorder="1" applyAlignment="1">
      <alignment horizontal="center"/>
    </xf>
    <xf numFmtId="0" fontId="5" fillId="3" borderId="2" xfId="7" applyFont="1" applyFill="1" applyBorder="1" applyAlignment="1">
      <alignment horizontal="left" vertical="center"/>
    </xf>
    <xf numFmtId="14" fontId="5" fillId="3" borderId="2" xfId="7" applyNumberFormat="1" applyFont="1" applyFill="1" applyBorder="1" applyAlignment="1">
      <alignment horizontal="right" vertical="center"/>
    </xf>
    <xf numFmtId="14" fontId="5" fillId="0" borderId="2" xfId="7" applyNumberFormat="1" applyFont="1" applyBorder="1" applyAlignment="1">
      <alignment horizontal="left" vertical="center"/>
    </xf>
    <xf numFmtId="1" fontId="5" fillId="3" borderId="2" xfId="7" applyNumberFormat="1" applyFont="1" applyFill="1" applyBorder="1" applyAlignment="1">
      <alignment horizontal="left" vertical="center"/>
    </xf>
    <xf numFmtId="0" fontId="5" fillId="6" borderId="2" xfId="7" applyFont="1" applyFill="1" applyBorder="1" applyAlignment="1">
      <alignment horizontal="left" vertical="center"/>
    </xf>
    <xf numFmtId="0" fontId="5" fillId="2" borderId="2" xfId="7" applyFont="1" applyFill="1" applyBorder="1" applyAlignment="1">
      <alignment horizontal="left" vertical="center"/>
    </xf>
    <xf numFmtId="0" fontId="5" fillId="0" borderId="2" xfId="7" applyFont="1" applyBorder="1" applyAlignment="1">
      <alignment horizontal="left" vertical="center"/>
    </xf>
    <xf numFmtId="44" fontId="5" fillId="3" borderId="2" xfId="7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18" fillId="12" borderId="1" xfId="0" applyFont="1" applyFill="1" applyBorder="1" applyAlignment="1">
      <alignment horizontal="left" vertical="center"/>
    </xf>
    <xf numFmtId="166" fontId="7" fillId="0" borderId="1" xfId="0" applyNumberFormat="1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7" fillId="0" borderId="1" xfId="4" applyFont="1" applyFill="1" applyBorder="1" applyAlignment="1">
      <alignment horizontal="left" vertical="center"/>
    </xf>
    <xf numFmtId="0" fontId="19" fillId="12" borderId="1" xfId="0" applyFont="1" applyFill="1" applyBorder="1" applyAlignment="1">
      <alignment horizontal="left" vertical="center"/>
    </xf>
    <xf numFmtId="2" fontId="19" fillId="12" borderId="1" xfId="0" applyNumberFormat="1" applyFont="1" applyFill="1" applyBorder="1" applyAlignment="1">
      <alignment horizontal="center" vertical="center"/>
    </xf>
    <xf numFmtId="166" fontId="7" fillId="12" borderId="1" xfId="0" applyNumberFormat="1" applyFont="1" applyFill="1" applyBorder="1" applyAlignment="1">
      <alignment horizontal="left" vertical="center"/>
    </xf>
    <xf numFmtId="43" fontId="7" fillId="0" borderId="1" xfId="1" applyFont="1" applyFill="1" applyBorder="1" applyAlignment="1">
      <alignment horizontal="left" vertical="center"/>
    </xf>
    <xf numFmtId="166" fontId="6" fillId="16" borderId="1" xfId="0" applyNumberFormat="1" applyFont="1" applyFill="1" applyBorder="1" applyAlignment="1">
      <alignment horizontal="left" vertical="center"/>
    </xf>
    <xf numFmtId="166" fontId="6" fillId="12" borderId="1" xfId="0" applyNumberFormat="1" applyFont="1" applyFill="1" applyBorder="1" applyAlignment="1">
      <alignment horizontal="center" vertical="center"/>
    </xf>
    <xf numFmtId="43" fontId="7" fillId="0" borderId="1" xfId="0" applyNumberFormat="1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167" fontId="7" fillId="0" borderId="1" xfId="1" applyNumberFormat="1" applyFont="1" applyFill="1" applyBorder="1" applyAlignment="1">
      <alignment horizontal="left" vertical="center"/>
    </xf>
    <xf numFmtId="44" fontId="7" fillId="12" borderId="1" xfId="0" applyNumberFormat="1" applyFont="1" applyFill="1" applyBorder="1" applyAlignment="1">
      <alignment horizontal="left" vertical="center"/>
    </xf>
    <xf numFmtId="44" fontId="7" fillId="12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165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20" fillId="12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left" vertical="center"/>
    </xf>
    <xf numFmtId="166" fontId="19" fillId="0" borderId="1" xfId="0" applyNumberFormat="1" applyFont="1" applyBorder="1" applyAlignment="1">
      <alignment horizontal="left" vertical="center"/>
    </xf>
    <xf numFmtId="14" fontId="19" fillId="0" borderId="1" xfId="0" applyNumberFormat="1" applyFont="1" applyBorder="1" applyAlignment="1">
      <alignment horizontal="left" vertical="center"/>
    </xf>
    <xf numFmtId="0" fontId="19" fillId="0" borderId="1" xfId="4" applyFont="1" applyFill="1" applyBorder="1" applyAlignment="1">
      <alignment horizontal="left" vertical="center"/>
    </xf>
    <xf numFmtId="1" fontId="19" fillId="0" borderId="1" xfId="0" applyNumberFormat="1" applyFont="1" applyBorder="1" applyAlignment="1">
      <alignment horizontal="center" vertical="center"/>
    </xf>
    <xf numFmtId="0" fontId="21" fillId="0" borderId="1" xfId="4" applyFont="1" applyFill="1" applyBorder="1" applyAlignment="1">
      <alignment horizontal="left" vertical="center"/>
    </xf>
    <xf numFmtId="166" fontId="19" fillId="12" borderId="1" xfId="0" applyNumberFormat="1" applyFont="1" applyFill="1" applyBorder="1" applyAlignment="1">
      <alignment horizontal="left" vertical="center"/>
    </xf>
    <xf numFmtId="43" fontId="19" fillId="0" borderId="1" xfId="1" applyFont="1" applyFill="1" applyBorder="1" applyAlignment="1">
      <alignment horizontal="left" vertical="center"/>
    </xf>
    <xf numFmtId="44" fontId="19" fillId="0" borderId="1" xfId="2" applyFont="1" applyFill="1" applyBorder="1" applyAlignment="1">
      <alignment horizontal="left" vertical="center"/>
    </xf>
    <xf numFmtId="166" fontId="15" fillId="16" borderId="1" xfId="0" applyNumberFormat="1" applyFont="1" applyFill="1" applyBorder="1" applyAlignment="1">
      <alignment horizontal="left" vertical="center"/>
    </xf>
    <xf numFmtId="166" fontId="15" fillId="12" borderId="1" xfId="0" applyNumberFormat="1" applyFont="1" applyFill="1" applyBorder="1" applyAlignment="1">
      <alignment horizontal="center" vertical="center"/>
    </xf>
    <xf numFmtId="43" fontId="19" fillId="0" borderId="1" xfId="4" applyNumberFormat="1" applyFont="1" applyFill="1" applyBorder="1" applyAlignment="1">
      <alignment horizontal="left" vertical="center"/>
    </xf>
    <xf numFmtId="2" fontId="19" fillId="0" borderId="1" xfId="4" applyNumberFormat="1" applyFont="1" applyFill="1" applyBorder="1" applyAlignment="1">
      <alignment horizontal="left" vertical="center"/>
    </xf>
    <xf numFmtId="49" fontId="19" fillId="0" borderId="1" xfId="4" applyNumberFormat="1" applyFont="1" applyFill="1" applyBorder="1" applyAlignment="1">
      <alignment horizontal="left" vertical="center"/>
    </xf>
    <xf numFmtId="167" fontId="19" fillId="0" borderId="1" xfId="1" applyNumberFormat="1" applyFont="1" applyFill="1" applyBorder="1" applyAlignment="1">
      <alignment horizontal="left" vertical="center"/>
    </xf>
    <xf numFmtId="44" fontId="19" fillId="0" borderId="1" xfId="0" applyNumberFormat="1" applyFont="1" applyBorder="1" applyAlignment="1">
      <alignment horizontal="left" vertical="center"/>
    </xf>
    <xf numFmtId="44" fontId="19" fillId="12" borderId="1" xfId="0" applyNumberFormat="1" applyFont="1" applyFill="1" applyBorder="1" applyAlignment="1">
      <alignment horizontal="left" vertical="center"/>
    </xf>
    <xf numFmtId="0" fontId="19" fillId="12" borderId="1" xfId="0" applyFont="1" applyFill="1" applyBorder="1" applyAlignment="1">
      <alignment horizontal="center" vertical="center"/>
    </xf>
    <xf numFmtId="44" fontId="19" fillId="12" borderId="1" xfId="0" applyNumberFormat="1" applyFont="1" applyFill="1" applyBorder="1" applyAlignment="1">
      <alignment horizontal="center" vertical="center"/>
    </xf>
    <xf numFmtId="44" fontId="7" fillId="0" borderId="1" xfId="2" applyFont="1" applyFill="1" applyBorder="1" applyAlignment="1">
      <alignment horizontal="left" vertical="center"/>
    </xf>
    <xf numFmtId="14" fontId="7" fillId="0" borderId="1" xfId="4" applyNumberFormat="1" applyFont="1" applyFill="1" applyBorder="1" applyAlignment="1">
      <alignment horizontal="left" vertical="center"/>
    </xf>
    <xf numFmtId="43" fontId="7" fillId="0" borderId="1" xfId="4" applyNumberFormat="1" applyFont="1" applyFill="1" applyBorder="1" applyAlignment="1">
      <alignment horizontal="left" vertical="center"/>
    </xf>
    <xf numFmtId="2" fontId="7" fillId="0" borderId="1" xfId="4" applyNumberFormat="1" applyFont="1" applyFill="1" applyBorder="1" applyAlignment="1">
      <alignment horizontal="left" vertical="center"/>
    </xf>
    <xf numFmtId="49" fontId="7" fillId="0" borderId="1" xfId="4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 indent="1"/>
    </xf>
    <xf numFmtId="165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10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20" fillId="0" borderId="1" xfId="4" quotePrefix="1" applyFont="1" applyFill="1" applyBorder="1" applyAlignment="1">
      <alignment horizontal="left" vertical="center"/>
    </xf>
    <xf numFmtId="0" fontId="20" fillId="0" borderId="1" xfId="4" applyFont="1" applyFill="1" applyBorder="1" applyAlignment="1">
      <alignment horizontal="left" vertical="center"/>
    </xf>
    <xf numFmtId="1" fontId="18" fillId="0" borderId="1" xfId="0" applyNumberFormat="1" applyFont="1" applyBorder="1" applyAlignment="1">
      <alignment horizontal="center" vertical="center"/>
    </xf>
    <xf numFmtId="3" fontId="22" fillId="0" borderId="1" xfId="5" applyNumberFormat="1" applyFont="1" applyFill="1" applyBorder="1" applyAlignment="1">
      <alignment horizontal="left" vertical="center"/>
    </xf>
    <xf numFmtId="166" fontId="20" fillId="12" borderId="1" xfId="0" applyNumberFormat="1" applyFont="1" applyFill="1" applyBorder="1" applyAlignment="1">
      <alignment horizontal="left" vertical="center"/>
    </xf>
    <xf numFmtId="14" fontId="20" fillId="0" borderId="1" xfId="0" applyNumberFormat="1" applyFont="1" applyBorder="1" applyAlignment="1">
      <alignment horizontal="left" vertical="center"/>
    </xf>
    <xf numFmtId="43" fontId="20" fillId="0" borderId="1" xfId="1" applyFont="1" applyFill="1" applyBorder="1" applyAlignment="1">
      <alignment horizontal="left" vertical="center"/>
    </xf>
    <xf numFmtId="166" fontId="23" fillId="16" borderId="1" xfId="0" applyNumberFormat="1" applyFont="1" applyFill="1" applyBorder="1" applyAlignment="1">
      <alignment horizontal="left" vertical="center"/>
    </xf>
    <xf numFmtId="166" fontId="23" fillId="12" borderId="1" xfId="0" applyNumberFormat="1" applyFont="1" applyFill="1" applyBorder="1" applyAlignment="1">
      <alignment horizontal="center" vertical="center"/>
    </xf>
    <xf numFmtId="166" fontId="20" fillId="0" borderId="1" xfId="0" applyNumberFormat="1" applyFont="1" applyBorder="1" applyAlignment="1">
      <alignment horizontal="left" vertical="center"/>
    </xf>
    <xf numFmtId="43" fontId="20" fillId="0" borderId="1" xfId="0" applyNumberFormat="1" applyFont="1" applyBorder="1" applyAlignment="1">
      <alignment horizontal="left" vertical="center"/>
    </xf>
    <xf numFmtId="2" fontId="20" fillId="0" borderId="1" xfId="0" applyNumberFormat="1" applyFont="1" applyBorder="1" applyAlignment="1">
      <alignment horizontal="left" vertical="center"/>
    </xf>
    <xf numFmtId="49" fontId="20" fillId="0" borderId="1" xfId="0" applyNumberFormat="1" applyFont="1" applyBorder="1" applyAlignment="1">
      <alignment horizontal="left" vertical="center"/>
    </xf>
    <xf numFmtId="167" fontId="20" fillId="0" borderId="1" xfId="1" applyNumberFormat="1" applyFont="1" applyFill="1" applyBorder="1" applyAlignment="1">
      <alignment horizontal="left" vertical="center"/>
    </xf>
    <xf numFmtId="44" fontId="20" fillId="0" borderId="1" xfId="0" applyNumberFormat="1" applyFont="1" applyBorder="1" applyAlignment="1">
      <alignment horizontal="left" vertical="center"/>
    </xf>
    <xf numFmtId="44" fontId="20" fillId="12" borderId="1" xfId="0" applyNumberFormat="1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44" fontId="20" fillId="12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left" vertical="center"/>
    </xf>
    <xf numFmtId="0" fontId="11" fillId="12" borderId="1" xfId="4" applyFont="1" applyFill="1" applyBorder="1" applyAlignment="1">
      <alignment horizontal="left" vertical="center"/>
    </xf>
    <xf numFmtId="43" fontId="19" fillId="0" borderId="1" xfId="0" applyNumberFormat="1" applyFont="1" applyBorder="1" applyAlignment="1">
      <alignment horizontal="left" vertical="center"/>
    </xf>
    <xf numFmtId="2" fontId="19" fillId="0" borderId="1" xfId="0" applyNumberFormat="1" applyFont="1" applyBorder="1" applyAlignment="1">
      <alignment horizontal="left" vertical="center"/>
    </xf>
    <xf numFmtId="0" fontId="21" fillId="0" borderId="1" xfId="5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1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3" fontId="21" fillId="0" borderId="1" xfId="4" applyNumberFormat="1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0" fontId="7" fillId="0" borderId="1" xfId="4" quotePrefix="1" applyFont="1" applyFill="1" applyBorder="1" applyAlignment="1">
      <alignment horizontal="left" vertical="center"/>
    </xf>
    <xf numFmtId="3" fontId="11" fillId="0" borderId="1" xfId="5" applyNumberFormat="1" applyFont="1" applyFill="1" applyBorder="1" applyAlignment="1">
      <alignment horizontal="left" vertical="center"/>
    </xf>
    <xf numFmtId="165" fontId="18" fillId="0" borderId="1" xfId="0" applyNumberFormat="1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left" vertical="center"/>
    </xf>
    <xf numFmtId="14" fontId="18" fillId="0" borderId="1" xfId="0" applyNumberFormat="1" applyFont="1" applyBorder="1" applyAlignment="1">
      <alignment horizontal="left" vertical="center"/>
    </xf>
    <xf numFmtId="0" fontId="18" fillId="0" borderId="1" xfId="4" quotePrefix="1" applyFont="1" applyFill="1" applyBorder="1" applyAlignment="1">
      <alignment horizontal="left" vertical="center"/>
    </xf>
    <xf numFmtId="0" fontId="18" fillId="0" borderId="1" xfId="4" applyFont="1" applyFill="1" applyBorder="1" applyAlignment="1">
      <alignment horizontal="left" vertical="center"/>
    </xf>
    <xf numFmtId="166" fontId="18" fillId="12" borderId="1" xfId="0" applyNumberFormat="1" applyFont="1" applyFill="1" applyBorder="1" applyAlignment="1">
      <alignment horizontal="left" vertical="center"/>
    </xf>
    <xf numFmtId="43" fontId="18" fillId="0" borderId="1" xfId="1" applyFont="1" applyFill="1" applyBorder="1" applyAlignment="1">
      <alignment horizontal="left" vertical="center"/>
    </xf>
    <xf numFmtId="0" fontId="18" fillId="16" borderId="1" xfId="0" applyFont="1" applyFill="1" applyBorder="1" applyAlignment="1">
      <alignment horizontal="left" vertical="center"/>
    </xf>
    <xf numFmtId="166" fontId="24" fillId="16" borderId="1" xfId="0" applyNumberFormat="1" applyFont="1" applyFill="1" applyBorder="1" applyAlignment="1">
      <alignment horizontal="left" vertical="center"/>
    </xf>
    <xf numFmtId="43" fontId="18" fillId="0" borderId="1" xfId="0" applyNumberFormat="1" applyFont="1" applyBorder="1" applyAlignment="1">
      <alignment horizontal="left" vertical="center"/>
    </xf>
    <xf numFmtId="2" fontId="18" fillId="0" borderId="1" xfId="0" applyNumberFormat="1" applyFont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/>
    </xf>
    <xf numFmtId="167" fontId="18" fillId="0" borderId="1" xfId="1" applyNumberFormat="1" applyFont="1" applyFill="1" applyBorder="1" applyAlignment="1">
      <alignment horizontal="left" vertical="center"/>
    </xf>
    <xf numFmtId="0" fontId="19" fillId="0" borderId="1" xfId="4" quotePrefix="1" applyFont="1" applyFill="1" applyBorder="1" applyAlignment="1">
      <alignment horizontal="left" vertical="center"/>
    </xf>
    <xf numFmtId="3" fontId="21" fillId="0" borderId="1" xfId="5" applyNumberFormat="1" applyFont="1" applyFill="1" applyBorder="1" applyAlignment="1">
      <alignment horizontal="left" vertical="center"/>
    </xf>
    <xf numFmtId="0" fontId="19" fillId="16" borderId="1" xfId="0" applyFont="1" applyFill="1" applyBorder="1" applyAlignment="1">
      <alignment horizontal="left" vertical="center"/>
    </xf>
    <xf numFmtId="49" fontId="19" fillId="0" borderId="1" xfId="0" applyNumberFormat="1" applyFont="1" applyBorder="1" applyAlignment="1">
      <alignment horizontal="left" vertical="center"/>
    </xf>
    <xf numFmtId="0" fontId="11" fillId="0" borderId="1" xfId="5" applyFont="1" applyFill="1" applyBorder="1" applyAlignment="1">
      <alignment horizontal="left" vertical="center"/>
    </xf>
    <xf numFmtId="0" fontId="22" fillId="0" borderId="1" xfId="4" applyFont="1" applyFill="1" applyBorder="1" applyAlignment="1">
      <alignment horizontal="left" vertical="center"/>
    </xf>
    <xf numFmtId="3" fontId="22" fillId="0" borderId="1" xfId="4" applyNumberFormat="1" applyFont="1" applyFill="1" applyBorder="1" applyAlignment="1">
      <alignment horizontal="left" vertical="center"/>
    </xf>
    <xf numFmtId="44" fontId="18" fillId="0" borderId="1" xfId="0" applyNumberFormat="1" applyFont="1" applyBorder="1" applyAlignment="1">
      <alignment horizontal="left" vertical="center"/>
    </xf>
    <xf numFmtId="44" fontId="18" fillId="12" borderId="1" xfId="0" applyNumberFormat="1" applyFont="1" applyFill="1" applyBorder="1" applyAlignment="1">
      <alignment horizontal="left" vertical="center"/>
    </xf>
    <xf numFmtId="0" fontId="18" fillId="12" borderId="1" xfId="0" applyFont="1" applyFill="1" applyBorder="1" applyAlignment="1">
      <alignment horizontal="center" vertical="center"/>
    </xf>
    <xf numFmtId="44" fontId="18" fillId="12" borderId="1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/>
    </xf>
    <xf numFmtId="44" fontId="18" fillId="0" borderId="1" xfId="2" applyFont="1" applyFill="1" applyBorder="1" applyAlignment="1">
      <alignment horizontal="left" vertical="center"/>
    </xf>
    <xf numFmtId="0" fontId="7" fillId="0" borderId="1" xfId="4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/>
    </xf>
    <xf numFmtId="0" fontId="22" fillId="12" borderId="1" xfId="5" applyFont="1" applyFill="1" applyBorder="1" applyAlignment="1">
      <alignment horizontal="left" vertical="center"/>
    </xf>
    <xf numFmtId="166" fontId="24" fillId="12" borderId="1" xfId="0" applyNumberFormat="1" applyFont="1" applyFill="1" applyBorder="1" applyAlignment="1">
      <alignment horizontal="center" vertical="center"/>
    </xf>
    <xf numFmtId="0" fontId="21" fillId="12" borderId="1" xfId="5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166" fontId="7" fillId="16" borderId="1" xfId="0" applyNumberFormat="1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0" fillId="0" borderId="1" xfId="4" applyFont="1" applyFill="1" applyBorder="1" applyAlignment="1">
      <alignment horizontal="left" vertical="center" wrapText="1"/>
    </xf>
    <xf numFmtId="1" fontId="20" fillId="0" borderId="1" xfId="0" applyNumberFormat="1" applyFont="1" applyBorder="1" applyAlignment="1">
      <alignment horizontal="center" vertical="center"/>
    </xf>
    <xf numFmtId="0" fontId="20" fillId="16" borderId="1" xfId="0" applyFont="1" applyFill="1" applyBorder="1" applyAlignment="1">
      <alignment horizontal="left" vertical="center"/>
    </xf>
    <xf numFmtId="1" fontId="7" fillId="12" borderId="1" xfId="0" applyNumberFormat="1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6" fontId="6" fillId="8" borderId="1" xfId="0" applyNumberFormat="1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166" fontId="15" fillId="8" borderId="1" xfId="0" applyNumberFormat="1" applyFont="1" applyFill="1" applyBorder="1" applyAlignment="1">
      <alignment horizontal="center" vertical="center"/>
    </xf>
    <xf numFmtId="166" fontId="6" fillId="11" borderId="1" xfId="0" applyNumberFormat="1" applyFont="1" applyFill="1" applyBorder="1" applyAlignment="1">
      <alignment horizontal="center" vertical="center"/>
    </xf>
    <xf numFmtId="166" fontId="15" fillId="11" borderId="1" xfId="0" applyNumberFormat="1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17" fontId="6" fillId="12" borderId="1" xfId="0" applyNumberFormat="1" applyFont="1" applyFill="1" applyBorder="1" applyAlignment="1">
      <alignment horizontal="center" vertical="center"/>
    </xf>
    <xf numFmtId="17" fontId="6" fillId="8" borderId="1" xfId="0" applyNumberFormat="1" applyFont="1" applyFill="1" applyBorder="1" applyAlignment="1">
      <alignment horizontal="center" vertical="center"/>
    </xf>
    <xf numFmtId="44" fontId="6" fillId="8" borderId="1" xfId="2" applyFont="1" applyFill="1" applyBorder="1" applyAlignment="1">
      <alignment horizontal="center" vertical="center"/>
    </xf>
    <xf numFmtId="166" fontId="6" fillId="15" borderId="1" xfId="0" applyNumberFormat="1" applyFont="1" applyFill="1" applyBorder="1" applyAlignment="1">
      <alignment horizontal="center" vertical="center"/>
    </xf>
    <xf numFmtId="43" fontId="6" fillId="8" borderId="1" xfId="0" applyNumberFormat="1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4" fontId="6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3" fontId="19" fillId="0" borderId="1" xfId="0" applyNumberFormat="1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168" fontId="19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4" fontId="19" fillId="0" borderId="1" xfId="4" applyNumberFormat="1" applyFont="1" applyFill="1" applyBorder="1" applyAlignment="1">
      <alignment horizontal="left" vertical="center"/>
    </xf>
    <xf numFmtId="0" fontId="18" fillId="12" borderId="1" xfId="5" applyFont="1" applyFill="1" applyBorder="1" applyAlignment="1">
      <alignment horizontal="left" vertical="center"/>
    </xf>
    <xf numFmtId="166" fontId="18" fillId="16" borderId="1" xfId="0" applyNumberFormat="1" applyFont="1" applyFill="1" applyBorder="1" applyAlignment="1">
      <alignment horizontal="left" vertical="center"/>
    </xf>
    <xf numFmtId="3" fontId="11" fillId="0" borderId="1" xfId="4" applyNumberFormat="1" applyFont="1" applyFill="1" applyBorder="1" applyAlignment="1">
      <alignment horizontal="left" vertical="center"/>
    </xf>
    <xf numFmtId="0" fontId="7" fillId="12" borderId="1" xfId="4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/>
    </xf>
    <xf numFmtId="0" fontId="22" fillId="12" borderId="1" xfId="4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left" vertical="center"/>
    </xf>
    <xf numFmtId="166" fontId="7" fillId="18" borderId="1" xfId="0" applyNumberFormat="1" applyFont="1" applyFill="1" applyBorder="1" applyAlignment="1">
      <alignment horizontal="left" vertical="center"/>
    </xf>
  </cellXfs>
  <cellStyles count="8">
    <cellStyle name="Hiperlink" xfId="4" builtinId="8"/>
    <cellStyle name="Hyperlink" xfId="5" xr:uid="{EC94946D-6F20-40E9-A4AD-C25CF8BED6A6}"/>
    <cellStyle name="Moeda" xfId="2" builtinId="4"/>
    <cellStyle name="Normal" xfId="0" builtinId="0"/>
    <cellStyle name="Normal 2" xfId="3" xr:uid="{C262028C-F5C9-4622-A29A-A1C2DB0AE616}"/>
    <cellStyle name="Normal 2 2 2" xfId="6" xr:uid="{C6C90F9E-973E-4CCC-885E-B81BAA1FA341}"/>
    <cellStyle name="Normal 2 3" xfId="7" xr:uid="{D6299CF1-F48D-4979-B992-03295FE3D8F2}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676D6C73-6A71-4F12-9E77-D80D59DB6D9F}">
    <Anchor>
      <Comment id="{EFF76559-341F-472D-B9BC-57F2FF7A910E}"/>
    </Anchor>
    <History>
      <Event time="2025-06-17T14:36:42.56" id="{87529472-0831-4AFE-AA29-860C39D7F326}">
        <Attribution userId="S::cristina.sugui@seletiva.ind.br::3adf00f0-444e-4e80-95b8-4fe658f29ff9" userName="Cristina Sugui" userProvider="AD"/>
        <Anchor>
          <Comment id="{69ADC9E7-C6BB-4474-82E3-13E5B7D56B3F}"/>
        </Anchor>
        <Create/>
      </Event>
      <Event time="2025-06-17T14:36:42.56" id="{CB8FE7F8-040D-4EF9-BFE9-58870598BA13}">
        <Attribution userId="S::cristina.sugui@seletiva.ind.br::3adf00f0-444e-4e80-95b8-4fe658f29ff9" userName="Cristina Sugui" userProvider="AD"/>
        <Anchor>
          <Comment id="{69ADC9E7-C6BB-4474-82E3-13E5B7D56B3F}"/>
        </Anchor>
        <Assign userId="S::michelle.staquecini@seletiva.ind.br::5858326e-ebe9-40da-af3c-a85d950692b3" userName="Michelle Camphora Staquecini" userProvider="AD"/>
      </Event>
      <Event time="2025-06-17T14:36:42.56" id="{F92CC7AA-3BEA-46F8-ADA2-E83504EF72FF}">
        <Attribution userId="S::cristina.sugui@seletiva.ind.br::3adf00f0-444e-4e80-95b8-4fe658f29ff9" userName="Cristina Sugui" userProvider="AD"/>
        <Anchor>
          <Comment id="{69ADC9E7-C6BB-4474-82E3-13E5B7D56B3F}"/>
        </Anchor>
        <SetTitle title="@Michelle Camphora Staquecini sabe me dizer a placa CRLV desta prensa?"/>
      </Event>
    </History>
  </Task>
</Tasks>
</file>

<file path=xl/documenttasks/documenttask2.xml><?xml version="1.0" encoding="utf-8"?>
<Tasks xmlns="http://schemas.microsoft.com/office/tasks/2019/documenttasks">
  <Task id="{4FD739DA-A91E-49B7-B9A3-774FC2B0B5BC}">
    <Anchor>
      <Comment id="{CBFD5165-6EB7-4998-94C8-0826C91E208A}"/>
    </Anchor>
    <History>
      <Event time="2025-06-17T14:36:42.56" id="{87529472-0831-4AFE-AA29-860C39D7F326}">
        <Attribution userId="S::cristina.sugui@seletiva.ind.br::3adf00f0-444e-4e80-95b8-4fe658f29ff9" userName="Cristina Sugui" userProvider="AD"/>
        <Anchor>
          <Comment id="{F7D2775A-A75F-454F-B02A-50159FFF299C}"/>
        </Anchor>
        <Create/>
      </Event>
      <Event time="2025-06-17T14:36:42.56" id="{CB8FE7F8-040D-4EF9-BFE9-58870598BA13}">
        <Attribution userId="S::cristina.sugui@seletiva.ind.br::3adf00f0-444e-4e80-95b8-4fe658f29ff9" userName="Cristina Sugui" userProvider="AD"/>
        <Anchor>
          <Comment id="{F7D2775A-A75F-454F-B02A-50159FFF299C}"/>
        </Anchor>
        <Assign userId="S::michelle.staquecini@seletiva.ind.br::5858326e-ebe9-40da-af3c-a85d950692b3" userName="Michelle Camphora Staquecini" userProvider="AD"/>
      </Event>
      <Event time="2025-06-17T14:36:42.56" id="{F92CC7AA-3BEA-46F8-ADA2-E83504EF72FF}">
        <Attribution userId="S::cristina.sugui@seletiva.ind.br::3adf00f0-444e-4e80-95b8-4fe658f29ff9" userName="Cristina Sugui" userProvider="AD"/>
        <Anchor>
          <Comment id="{F7D2775A-A75F-454F-B02A-50159FFF299C}"/>
        </Anchor>
        <SetTitle title="@Michelle Camphora Staquecini sabe me dizer a placa CRLV desta prensa?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letivaindbr-my.sharepoint.com/personal/cristina_sugui_seletiva_ind_br/Documents/Controladoria/Bens/M&#243;veis/2025_02_11%20-%20CC%20Maquinas%20e%20Equipamentos%20-%20Valorizado.xlsx" TargetMode="External"/><Relationship Id="rId1" Type="http://schemas.openxmlformats.org/officeDocument/2006/relationships/externalLinkPath" Target="https://seletivaindbr-my.sharepoint.com/personal/cristina_sugui_seletiva_ind_br/Documents/Controladoria/Bens/M&#243;veis/2025_02_11%20-%20CC%20Maquinas%20e%20Equipamentos%20-%20Valorizad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letivaindbr-my.sharepoint.com/personal/cristina_sugui_seletiva_ind_br/Documents/Controladoria/Bens/M&#243;veis/Ve&#237;culos/Controle%20de%20Frota%20e%20Equipamento.xlsx" TargetMode="External"/><Relationship Id="rId1" Type="http://schemas.openxmlformats.org/officeDocument/2006/relationships/externalLinkPath" Target="https://seletivaindbr-my.sharepoint.com/personal/cristina_sugui_seletiva_ind_br/Documents/Controladoria/Bens/M&#243;veis/Ve&#237;culos/Controle%20de%20Frota%20e%20Equipamento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Fechamento/FECHAMENTO%20GERAL%202025.xlsx" TargetMode="External"/><Relationship Id="rId2" Type="http://schemas.openxmlformats.org/officeDocument/2006/relationships/externalLinkPath" Target="file:///C:\Users\julio.santana\Documents\Projects\Cofre_Trabalho\02-Referencias\Fechamento\FECHAMENTO%20GERAL%202025.xlsx" TargetMode="External"/><Relationship Id="rId1" Type="http://schemas.openxmlformats.org/officeDocument/2006/relationships/externalLinkPath" Target="/Users/julio.santana/Documents/Projects/Cofre_Trabalho/02-Referencias/Fechamento/FECHAMENTO%20GERA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Geral"/>
      <sheetName val="Imóveis"/>
      <sheetName val="Din_BCBI"/>
      <sheetName val="Base Geral  dez_2023"/>
      <sheetName val="Detalhes1"/>
      <sheetName val="Detalhes2"/>
      <sheetName val="Venda"/>
      <sheetName val="Base Aplicativo Henrique"/>
      <sheetName val="BCBI 2026_02"/>
      <sheetName val="FAT LOCAL"/>
      <sheetName val="FAT MÁQ"/>
      <sheetName val="CTA"/>
      <sheetName val="Critério de Depreciação"/>
      <sheetName val="2026"/>
      <sheetName val="ANDRESSA"/>
      <sheetName val="Imobilis Intercompany 2025"/>
      <sheetName val="Seguro"/>
      <sheetName val="Base Geral  Cd bco"/>
      <sheetName val="Intercompany - Empresa"/>
      <sheetName val="Intercompany - Tipo"/>
      <sheetName val="Intercompany - Locatária"/>
      <sheetName val="Tabela Preços 2025"/>
      <sheetName val="Intercompany - Aluguel"/>
      <sheetName val="ATIVOS ATUA"/>
      <sheetName val="ATIVOS SAGI"/>
      <sheetName val="Atualizações 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 t="str">
            <v>COMPUTADORES / PERIFÉRICOS</v>
          </cell>
          <cell r="D3">
            <v>100</v>
          </cell>
          <cell r="E3">
            <v>5</v>
          </cell>
          <cell r="F3">
            <v>60</v>
          </cell>
          <cell r="G3">
            <v>1.6666666666666667</v>
          </cell>
        </row>
        <row r="4">
          <cell r="C4" t="str">
            <v>VEÍCULOS</v>
          </cell>
          <cell r="D4">
            <v>100</v>
          </cell>
          <cell r="E4">
            <v>5</v>
          </cell>
          <cell r="F4">
            <v>60</v>
          </cell>
          <cell r="G4">
            <v>1.6666666666666667</v>
          </cell>
        </row>
        <row r="5">
          <cell r="C5" t="str">
            <v>MÁQUINAS</v>
          </cell>
          <cell r="D5">
            <v>100</v>
          </cell>
          <cell r="E5">
            <v>10</v>
          </cell>
          <cell r="F5">
            <v>120</v>
          </cell>
          <cell r="G5">
            <v>0.83333333333333337</v>
          </cell>
        </row>
        <row r="6">
          <cell r="C6" t="str">
            <v>EQUIPAMENTOS</v>
          </cell>
          <cell r="D6">
            <v>100</v>
          </cell>
          <cell r="E6">
            <v>10</v>
          </cell>
          <cell r="F6">
            <v>120</v>
          </cell>
          <cell r="G6">
            <v>0.83333333333333337</v>
          </cell>
        </row>
        <row r="7">
          <cell r="C7" t="str">
            <v>MÓVEIS / UTENSÍLIOS</v>
          </cell>
          <cell r="D7">
            <v>100</v>
          </cell>
          <cell r="E7">
            <v>10</v>
          </cell>
          <cell r="F7">
            <v>120</v>
          </cell>
          <cell r="G7">
            <v>0.83333333333333337</v>
          </cell>
        </row>
        <row r="8">
          <cell r="C8" t="str">
            <v>EDIFICAÇÕES / IMÓVEIS</v>
          </cell>
          <cell r="D8">
            <v>100</v>
          </cell>
          <cell r="E8">
            <v>25</v>
          </cell>
          <cell r="F8">
            <v>300</v>
          </cell>
          <cell r="G8">
            <v>0.33333333333333331</v>
          </cell>
        </row>
      </sheetData>
      <sheetData sheetId="13">
        <row r="3">
          <cell r="AG3" t="str">
            <v>PLACA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C1" t="str">
            <v>Código</v>
          </cell>
          <cell r="D1" t="str">
            <v>Placa</v>
          </cell>
        </row>
        <row r="2">
          <cell r="C2" t="str">
            <v>00S7G80</v>
          </cell>
          <cell r="D2" t="str">
            <v>00S7G80</v>
          </cell>
        </row>
        <row r="3">
          <cell r="C3" t="str">
            <v>AA01E32</v>
          </cell>
          <cell r="D3" t="str">
            <v>AA01E32</v>
          </cell>
        </row>
        <row r="4">
          <cell r="C4" t="str">
            <v>AAA2397</v>
          </cell>
          <cell r="D4" t="str">
            <v>AAA2397</v>
          </cell>
        </row>
        <row r="5">
          <cell r="C5" t="str">
            <v>AAA3275</v>
          </cell>
          <cell r="D5" t="str">
            <v>AAA3275</v>
          </cell>
        </row>
        <row r="6">
          <cell r="C6" t="str">
            <v>AAA4317</v>
          </cell>
          <cell r="D6" t="str">
            <v>AAA4317</v>
          </cell>
        </row>
        <row r="7">
          <cell r="C7" t="str">
            <v>AAA9F52</v>
          </cell>
          <cell r="D7" t="str">
            <v>AAA9F52</v>
          </cell>
        </row>
        <row r="8">
          <cell r="C8" t="str">
            <v>AAB6435</v>
          </cell>
          <cell r="D8" t="str">
            <v>AAB6435</v>
          </cell>
        </row>
        <row r="9">
          <cell r="C9" t="str">
            <v>AAB3209</v>
          </cell>
          <cell r="D9" t="str">
            <v>AAB3209</v>
          </cell>
        </row>
        <row r="10">
          <cell r="C10" t="str">
            <v>AAB3476</v>
          </cell>
          <cell r="D10" t="str">
            <v>AAB3476</v>
          </cell>
        </row>
        <row r="11">
          <cell r="C11" t="str">
            <v>AAB6959</v>
          </cell>
          <cell r="D11" t="str">
            <v>AAB6959</v>
          </cell>
        </row>
        <row r="12">
          <cell r="C12" t="str">
            <v>AAB8860</v>
          </cell>
          <cell r="D12" t="str">
            <v>AAB8860</v>
          </cell>
        </row>
        <row r="13">
          <cell r="C13" t="str">
            <v>AAB9475</v>
          </cell>
          <cell r="D13" t="str">
            <v>AAB9475</v>
          </cell>
        </row>
        <row r="14">
          <cell r="C14" t="str">
            <v>AAB9615</v>
          </cell>
          <cell r="D14" t="str">
            <v>AAB9615</v>
          </cell>
        </row>
        <row r="15">
          <cell r="C15" t="str">
            <v>AAC4368</v>
          </cell>
          <cell r="D15" t="str">
            <v>AAC4368</v>
          </cell>
        </row>
        <row r="16">
          <cell r="C16" t="str">
            <v>AAC5247</v>
          </cell>
          <cell r="D16" t="str">
            <v>AAC5247</v>
          </cell>
        </row>
        <row r="17">
          <cell r="C17" t="str">
            <v>AAC6487</v>
          </cell>
          <cell r="D17" t="str">
            <v>AAC6487</v>
          </cell>
        </row>
        <row r="18">
          <cell r="C18" t="str">
            <v>AAC6G92</v>
          </cell>
          <cell r="D18" t="str">
            <v>AAC6G92</v>
          </cell>
        </row>
        <row r="19">
          <cell r="C19" t="str">
            <v>AAD4821</v>
          </cell>
          <cell r="D19" t="str">
            <v>AAD4821</v>
          </cell>
        </row>
        <row r="20">
          <cell r="C20" t="str">
            <v>AAD0796</v>
          </cell>
          <cell r="D20" t="str">
            <v>AAD0796</v>
          </cell>
        </row>
        <row r="21">
          <cell r="C21" t="str">
            <v>AAD1989</v>
          </cell>
          <cell r="D21" t="str">
            <v>AAD1989</v>
          </cell>
        </row>
        <row r="22">
          <cell r="C22" t="str">
            <v>AAD9475</v>
          </cell>
          <cell r="D22" t="str">
            <v>AAD9475</v>
          </cell>
        </row>
        <row r="23">
          <cell r="C23" t="str">
            <v>AAE0749</v>
          </cell>
          <cell r="D23" t="str">
            <v>AAE0749</v>
          </cell>
        </row>
        <row r="24">
          <cell r="C24" t="str">
            <v>AAE0H49</v>
          </cell>
          <cell r="D24" t="str">
            <v>AAE0H49</v>
          </cell>
        </row>
        <row r="25">
          <cell r="C25" t="str">
            <v>AAE1403</v>
          </cell>
          <cell r="D25" t="str">
            <v>AAE1403</v>
          </cell>
        </row>
        <row r="26">
          <cell r="C26" t="str">
            <v>AAE4570</v>
          </cell>
          <cell r="D26" t="str">
            <v>AAE4570</v>
          </cell>
        </row>
        <row r="27">
          <cell r="C27" t="str">
            <v>AAE6722</v>
          </cell>
          <cell r="D27" t="str">
            <v>AAE6722</v>
          </cell>
        </row>
        <row r="28">
          <cell r="C28" t="str">
            <v>AAF2053</v>
          </cell>
          <cell r="D28" t="str">
            <v>AAF2053</v>
          </cell>
        </row>
        <row r="29">
          <cell r="C29" t="str">
            <v>AAF3459</v>
          </cell>
          <cell r="D29" t="str">
            <v>AAF3459</v>
          </cell>
        </row>
        <row r="30">
          <cell r="C30" t="str">
            <v>AAF4638</v>
          </cell>
          <cell r="D30" t="str">
            <v>AAF4638</v>
          </cell>
        </row>
        <row r="31">
          <cell r="C31" t="str">
            <v>AAF2879</v>
          </cell>
          <cell r="D31" t="str">
            <v>AAF2879</v>
          </cell>
        </row>
        <row r="32">
          <cell r="C32" t="str">
            <v>AAF4642</v>
          </cell>
          <cell r="D32" t="str">
            <v>AAF4642</v>
          </cell>
        </row>
        <row r="33">
          <cell r="C33" t="str">
            <v>AAF4937</v>
          </cell>
          <cell r="D33" t="str">
            <v>AAF4937</v>
          </cell>
        </row>
        <row r="34">
          <cell r="C34" t="str">
            <v>AAGV288</v>
          </cell>
          <cell r="D34" t="str">
            <v>AAGV288</v>
          </cell>
        </row>
        <row r="35">
          <cell r="C35" t="str">
            <v>AAH1353</v>
          </cell>
          <cell r="D35" t="str">
            <v>AAH1353</v>
          </cell>
        </row>
        <row r="36">
          <cell r="C36" t="str">
            <v>AAH1937</v>
          </cell>
          <cell r="D36" t="str">
            <v>AAH1937</v>
          </cell>
        </row>
        <row r="37">
          <cell r="C37" t="str">
            <v>AAH6105</v>
          </cell>
          <cell r="D37" t="str">
            <v>AAH6105</v>
          </cell>
        </row>
        <row r="38">
          <cell r="C38" t="str">
            <v>AAH6985</v>
          </cell>
          <cell r="D38" t="str">
            <v>AAH6985</v>
          </cell>
        </row>
        <row r="39">
          <cell r="C39" t="str">
            <v>AAH7028</v>
          </cell>
          <cell r="D39" t="str">
            <v>AAH7028</v>
          </cell>
        </row>
        <row r="40">
          <cell r="C40" t="str">
            <v>AAH9778</v>
          </cell>
          <cell r="D40" t="str">
            <v>AAH9778</v>
          </cell>
        </row>
        <row r="41">
          <cell r="C41" t="str">
            <v>AAI4763</v>
          </cell>
          <cell r="D41" t="str">
            <v>AAI4763</v>
          </cell>
        </row>
        <row r="42">
          <cell r="C42" t="str">
            <v>AAI5I44</v>
          </cell>
          <cell r="D42" t="str">
            <v>AAI5I44</v>
          </cell>
        </row>
        <row r="43">
          <cell r="C43" t="str">
            <v>AAJ1344</v>
          </cell>
          <cell r="D43" t="str">
            <v>AAJ1344</v>
          </cell>
        </row>
        <row r="44">
          <cell r="C44" t="str">
            <v>AAJ2751</v>
          </cell>
          <cell r="D44" t="str">
            <v>AAJ2751</v>
          </cell>
        </row>
        <row r="45">
          <cell r="C45" t="str">
            <v>AAJ5000</v>
          </cell>
          <cell r="D45" t="str">
            <v>AAJ5000</v>
          </cell>
        </row>
        <row r="46">
          <cell r="C46" t="str">
            <v>AAJ5690</v>
          </cell>
          <cell r="D46" t="str">
            <v>AAJ5690</v>
          </cell>
        </row>
        <row r="47">
          <cell r="C47" t="str">
            <v>AAK4435</v>
          </cell>
          <cell r="D47" t="str">
            <v>AAK4435</v>
          </cell>
        </row>
        <row r="48">
          <cell r="C48" t="str">
            <v>AAK4E98</v>
          </cell>
          <cell r="D48" t="str">
            <v>AAK4E98</v>
          </cell>
        </row>
        <row r="49">
          <cell r="C49" t="str">
            <v>AAL3838</v>
          </cell>
          <cell r="D49" t="str">
            <v>AAL3838</v>
          </cell>
        </row>
        <row r="50">
          <cell r="C50" t="str">
            <v>AAL4915</v>
          </cell>
          <cell r="D50" t="str">
            <v>AAL4915</v>
          </cell>
        </row>
        <row r="51">
          <cell r="C51" t="str">
            <v>AAL7459</v>
          </cell>
          <cell r="D51" t="str">
            <v>AAL7459</v>
          </cell>
        </row>
        <row r="52">
          <cell r="C52" t="str">
            <v>AAL7E97</v>
          </cell>
          <cell r="D52" t="str">
            <v>AAL7E97</v>
          </cell>
        </row>
        <row r="53">
          <cell r="C53" t="str">
            <v>AAM 9647</v>
          </cell>
          <cell r="D53" t="str">
            <v>AAM9647</v>
          </cell>
        </row>
        <row r="54">
          <cell r="C54" t="str">
            <v>AAM2222</v>
          </cell>
          <cell r="D54" t="str">
            <v>AAM2222</v>
          </cell>
        </row>
        <row r="55">
          <cell r="C55" t="str">
            <v>AAM2228</v>
          </cell>
          <cell r="D55" t="str">
            <v>AAM2228</v>
          </cell>
        </row>
        <row r="56">
          <cell r="C56" t="str">
            <v>AAM6950</v>
          </cell>
          <cell r="D56" t="str">
            <v>AAM6950</v>
          </cell>
        </row>
        <row r="57">
          <cell r="C57" t="str">
            <v>AAM8529</v>
          </cell>
          <cell r="D57" t="str">
            <v>AAM8529</v>
          </cell>
        </row>
        <row r="58">
          <cell r="C58" t="str">
            <v>AAN1912</v>
          </cell>
          <cell r="D58" t="str">
            <v>AAN1912</v>
          </cell>
        </row>
        <row r="59">
          <cell r="C59" t="str">
            <v>AAN3526</v>
          </cell>
          <cell r="D59" t="str">
            <v>AAN3526</v>
          </cell>
        </row>
        <row r="60">
          <cell r="C60" t="str">
            <v>AAN4G00</v>
          </cell>
          <cell r="D60" t="str">
            <v>AAN4G00</v>
          </cell>
        </row>
        <row r="61">
          <cell r="C61" t="str">
            <v>AAN8493</v>
          </cell>
          <cell r="D61" t="str">
            <v>AAN8493</v>
          </cell>
        </row>
        <row r="62">
          <cell r="C62" t="str">
            <v>AAO0961</v>
          </cell>
          <cell r="D62" t="str">
            <v>AAO0961</v>
          </cell>
        </row>
        <row r="63">
          <cell r="C63" t="str">
            <v>AAO1393</v>
          </cell>
          <cell r="D63" t="str">
            <v>AAO1393</v>
          </cell>
        </row>
        <row r="64">
          <cell r="C64" t="str">
            <v>AAO2189</v>
          </cell>
          <cell r="D64" t="str">
            <v>AAO2189</v>
          </cell>
        </row>
        <row r="65">
          <cell r="C65" t="str">
            <v>AAP0295</v>
          </cell>
          <cell r="D65" t="str">
            <v>AAP0295</v>
          </cell>
        </row>
        <row r="66">
          <cell r="C66" t="str">
            <v>AAP3120</v>
          </cell>
          <cell r="D66" t="str">
            <v>AAP3120</v>
          </cell>
        </row>
        <row r="67">
          <cell r="C67" t="str">
            <v>AAP5602</v>
          </cell>
          <cell r="D67" t="str">
            <v>AAP5602</v>
          </cell>
        </row>
        <row r="68">
          <cell r="C68" t="str">
            <v>AAP7681</v>
          </cell>
          <cell r="D68" t="str">
            <v>AAP7681</v>
          </cell>
        </row>
        <row r="69">
          <cell r="C69" t="str">
            <v>AAQ0757</v>
          </cell>
          <cell r="D69" t="str">
            <v>AAQ0757</v>
          </cell>
        </row>
        <row r="70">
          <cell r="C70" t="str">
            <v>AAQ1776</v>
          </cell>
          <cell r="D70" t="str">
            <v>AAQ1776</v>
          </cell>
        </row>
        <row r="71">
          <cell r="C71" t="str">
            <v>AAQ3440</v>
          </cell>
          <cell r="D71" t="str">
            <v>AAQ3440</v>
          </cell>
        </row>
        <row r="72">
          <cell r="C72" t="str">
            <v>AAQ5925</v>
          </cell>
          <cell r="D72" t="str">
            <v>AAQ5925</v>
          </cell>
        </row>
        <row r="73">
          <cell r="C73" t="str">
            <v>AAQ7143</v>
          </cell>
          <cell r="D73" t="str">
            <v>AAQ7143</v>
          </cell>
        </row>
        <row r="74">
          <cell r="C74" t="str">
            <v>AAR2I48</v>
          </cell>
          <cell r="D74" t="str">
            <v>AAR2I48</v>
          </cell>
        </row>
        <row r="75">
          <cell r="C75" t="str">
            <v>AAR0273</v>
          </cell>
          <cell r="D75" t="str">
            <v>AAR0273</v>
          </cell>
        </row>
        <row r="76">
          <cell r="C76" t="str">
            <v>AAR1236</v>
          </cell>
          <cell r="D76" t="str">
            <v>AAR1236</v>
          </cell>
        </row>
        <row r="77">
          <cell r="C77" t="str">
            <v>AAR1726</v>
          </cell>
          <cell r="D77" t="str">
            <v>AAR1726</v>
          </cell>
        </row>
        <row r="78">
          <cell r="C78" t="str">
            <v>AAR5216</v>
          </cell>
          <cell r="D78" t="str">
            <v>AAR5216</v>
          </cell>
        </row>
        <row r="79">
          <cell r="C79" t="str">
            <v>AAR8725</v>
          </cell>
          <cell r="D79" t="str">
            <v>AAR8725</v>
          </cell>
        </row>
        <row r="80">
          <cell r="C80" t="str">
            <v>AAT0932</v>
          </cell>
          <cell r="D80" t="str">
            <v>AAT0932</v>
          </cell>
        </row>
        <row r="81">
          <cell r="C81" t="str">
            <v>AAU3E64</v>
          </cell>
          <cell r="D81" t="str">
            <v>AAU3E64</v>
          </cell>
        </row>
        <row r="82">
          <cell r="C82" t="str">
            <v>AAU9835</v>
          </cell>
          <cell r="D82" t="str">
            <v>AAU9835</v>
          </cell>
        </row>
        <row r="83">
          <cell r="C83" t="str">
            <v>AAV2216</v>
          </cell>
          <cell r="D83" t="str">
            <v>AAV2216</v>
          </cell>
        </row>
        <row r="84">
          <cell r="C84" t="str">
            <v>AAV3E50</v>
          </cell>
          <cell r="D84" t="str">
            <v>AAV3E50</v>
          </cell>
        </row>
        <row r="85">
          <cell r="C85" t="str">
            <v>AAV8796</v>
          </cell>
          <cell r="D85" t="str">
            <v>AAV8796</v>
          </cell>
        </row>
        <row r="86">
          <cell r="C86" t="str">
            <v>AAW2972</v>
          </cell>
          <cell r="D86" t="str">
            <v>AAW2972</v>
          </cell>
        </row>
        <row r="87">
          <cell r="C87" t="str">
            <v>AAW6023</v>
          </cell>
          <cell r="D87" t="str">
            <v>AAW6023</v>
          </cell>
        </row>
        <row r="88">
          <cell r="C88" t="str">
            <v>AAX1332</v>
          </cell>
          <cell r="D88" t="str">
            <v>AAX1332</v>
          </cell>
        </row>
        <row r="89">
          <cell r="C89" t="str">
            <v>AAX4122</v>
          </cell>
          <cell r="D89" t="str">
            <v>AAX4122</v>
          </cell>
        </row>
        <row r="90">
          <cell r="C90" t="str">
            <v>AAX9196</v>
          </cell>
          <cell r="D90" t="str">
            <v>AAX9196</v>
          </cell>
        </row>
        <row r="91">
          <cell r="C91" t="str">
            <v>AAZ1418</v>
          </cell>
          <cell r="D91" t="str">
            <v>AAZ1418</v>
          </cell>
        </row>
        <row r="92">
          <cell r="C92" t="str">
            <v>AAZ8160</v>
          </cell>
          <cell r="D92" t="str">
            <v>AAZ8160</v>
          </cell>
        </row>
        <row r="93">
          <cell r="C93" t="str">
            <v>AAZ8170</v>
          </cell>
          <cell r="D93" t="str">
            <v>AAZ8170</v>
          </cell>
        </row>
        <row r="94">
          <cell r="C94" t="str">
            <v>ABA5076</v>
          </cell>
          <cell r="D94" t="str">
            <v>ABA5076</v>
          </cell>
        </row>
        <row r="95">
          <cell r="C95" t="str">
            <v>ABA8J22</v>
          </cell>
          <cell r="D95" t="str">
            <v>ABA8J22</v>
          </cell>
        </row>
        <row r="96">
          <cell r="C96" t="str">
            <v>ABA9549</v>
          </cell>
          <cell r="D96" t="str">
            <v>ABA9549</v>
          </cell>
        </row>
        <row r="97">
          <cell r="C97" t="str">
            <v>ABB0869</v>
          </cell>
          <cell r="D97" t="str">
            <v>ABB0869</v>
          </cell>
        </row>
        <row r="98">
          <cell r="C98" t="str">
            <v>ABB3B89</v>
          </cell>
          <cell r="D98" t="str">
            <v>ABB3B89</v>
          </cell>
        </row>
        <row r="99">
          <cell r="C99" t="str">
            <v>ABB3F49</v>
          </cell>
          <cell r="D99" t="str">
            <v>ABB3F49</v>
          </cell>
        </row>
        <row r="100">
          <cell r="C100" t="str">
            <v>ABB5043</v>
          </cell>
          <cell r="D100" t="str">
            <v>ABB5043</v>
          </cell>
        </row>
        <row r="101">
          <cell r="C101" t="str">
            <v>ABB6172</v>
          </cell>
          <cell r="D101" t="str">
            <v>ABB6172</v>
          </cell>
        </row>
        <row r="102">
          <cell r="C102" t="str">
            <v>ABB6545</v>
          </cell>
          <cell r="D102" t="str">
            <v>ABB6545</v>
          </cell>
        </row>
        <row r="103">
          <cell r="C103" t="str">
            <v>ABB7581</v>
          </cell>
          <cell r="D103" t="str">
            <v>ABB7581</v>
          </cell>
        </row>
        <row r="104">
          <cell r="C104" t="str">
            <v>ABC2540</v>
          </cell>
          <cell r="D104" t="str">
            <v>ABC2540</v>
          </cell>
        </row>
        <row r="105">
          <cell r="C105" t="str">
            <v>ABC3132</v>
          </cell>
          <cell r="D105" t="str">
            <v>ABC3132</v>
          </cell>
        </row>
        <row r="106">
          <cell r="C106" t="str">
            <v>ABC3747</v>
          </cell>
          <cell r="D106" t="str">
            <v>ABC3747</v>
          </cell>
        </row>
        <row r="107">
          <cell r="C107" t="str">
            <v>ABC4984</v>
          </cell>
          <cell r="D107" t="str">
            <v>ABC4984</v>
          </cell>
        </row>
        <row r="108">
          <cell r="C108" t="str">
            <v>ABC6433</v>
          </cell>
          <cell r="D108" t="str">
            <v>ABC6433</v>
          </cell>
        </row>
        <row r="109">
          <cell r="C109" t="str">
            <v>ABC9064</v>
          </cell>
          <cell r="D109" t="str">
            <v>ABC9064</v>
          </cell>
        </row>
        <row r="110">
          <cell r="C110" t="str">
            <v>ABC9926</v>
          </cell>
          <cell r="D110" t="str">
            <v>ABC9926</v>
          </cell>
        </row>
        <row r="111">
          <cell r="C111" t="str">
            <v>ABD4303</v>
          </cell>
          <cell r="D111" t="str">
            <v>ABD4303</v>
          </cell>
        </row>
        <row r="112">
          <cell r="C112" t="str">
            <v>ABD8682</v>
          </cell>
          <cell r="D112" t="str">
            <v>ABD8682</v>
          </cell>
        </row>
        <row r="113">
          <cell r="C113" t="str">
            <v>ABE1773</v>
          </cell>
          <cell r="D113" t="str">
            <v>ABE1773</v>
          </cell>
        </row>
        <row r="114">
          <cell r="C114" t="str">
            <v>ABE3526</v>
          </cell>
          <cell r="D114" t="str">
            <v>ABE3526</v>
          </cell>
        </row>
        <row r="115">
          <cell r="C115" t="str">
            <v>ABE5008</v>
          </cell>
          <cell r="D115" t="str">
            <v>ABE5008</v>
          </cell>
        </row>
        <row r="116">
          <cell r="C116" t="str">
            <v>ABE5673</v>
          </cell>
          <cell r="D116" t="str">
            <v>ABE5673</v>
          </cell>
        </row>
        <row r="117">
          <cell r="C117" t="str">
            <v>ABE6643</v>
          </cell>
          <cell r="D117" t="str">
            <v>ABE6643</v>
          </cell>
        </row>
        <row r="118">
          <cell r="C118" t="str">
            <v>ABE6882</v>
          </cell>
          <cell r="D118" t="str">
            <v>ABE6882</v>
          </cell>
        </row>
        <row r="119">
          <cell r="C119" t="str">
            <v>ABE8581</v>
          </cell>
          <cell r="D119" t="str">
            <v>ABE8581</v>
          </cell>
        </row>
        <row r="120">
          <cell r="C120" t="str">
            <v>ABF2026</v>
          </cell>
          <cell r="D120" t="str">
            <v>ABF2026</v>
          </cell>
        </row>
        <row r="121">
          <cell r="C121" t="str">
            <v>ABF2899</v>
          </cell>
          <cell r="D121" t="str">
            <v>ABF2899</v>
          </cell>
        </row>
        <row r="122">
          <cell r="C122" t="str">
            <v>ABF4963</v>
          </cell>
          <cell r="D122" t="str">
            <v>ABF4963</v>
          </cell>
        </row>
        <row r="123">
          <cell r="C123" t="str">
            <v>ABF7638</v>
          </cell>
          <cell r="D123" t="str">
            <v>ABF7638</v>
          </cell>
        </row>
        <row r="124">
          <cell r="C124" t="str">
            <v>ABF7F68</v>
          </cell>
          <cell r="D124" t="str">
            <v>ABF7F68</v>
          </cell>
        </row>
        <row r="125">
          <cell r="C125" t="str">
            <v>ABG5555</v>
          </cell>
          <cell r="D125" t="str">
            <v>ABG5555</v>
          </cell>
        </row>
        <row r="126">
          <cell r="C126" t="str">
            <v>ABH0003</v>
          </cell>
          <cell r="D126" t="str">
            <v>ABH0003</v>
          </cell>
        </row>
        <row r="127">
          <cell r="C127" t="str">
            <v>ABH0G83</v>
          </cell>
          <cell r="D127" t="str">
            <v>ABH0G83</v>
          </cell>
        </row>
        <row r="128">
          <cell r="C128" t="str">
            <v>ABH1547</v>
          </cell>
          <cell r="D128" t="str">
            <v>ABH1547</v>
          </cell>
        </row>
        <row r="129">
          <cell r="C129" t="str">
            <v>ABH1J32</v>
          </cell>
          <cell r="D129" t="str">
            <v>ABH1J32</v>
          </cell>
        </row>
        <row r="130">
          <cell r="C130" t="str">
            <v>ABH2D19</v>
          </cell>
          <cell r="D130" t="str">
            <v>ABH2D19</v>
          </cell>
        </row>
        <row r="131">
          <cell r="C131" t="str">
            <v>ABI1276</v>
          </cell>
          <cell r="D131" t="str">
            <v>ABI1276</v>
          </cell>
        </row>
        <row r="132">
          <cell r="C132" t="str">
            <v>ABI3D13</v>
          </cell>
          <cell r="D132" t="str">
            <v>ABI3D13</v>
          </cell>
        </row>
        <row r="133">
          <cell r="C133" t="str">
            <v>ABI6949</v>
          </cell>
          <cell r="D133" t="str">
            <v>ABI6949</v>
          </cell>
        </row>
        <row r="134">
          <cell r="C134" t="str">
            <v>ABI7B37</v>
          </cell>
          <cell r="D134" t="str">
            <v>ABI7B37</v>
          </cell>
        </row>
        <row r="135">
          <cell r="C135" t="str">
            <v>ABI9940</v>
          </cell>
          <cell r="D135" t="str">
            <v>ABI9940</v>
          </cell>
        </row>
        <row r="136">
          <cell r="C136" t="str">
            <v>ABK7172</v>
          </cell>
          <cell r="D136" t="str">
            <v>ABK7172</v>
          </cell>
        </row>
        <row r="137">
          <cell r="C137" t="str">
            <v>ABL4161</v>
          </cell>
          <cell r="D137" t="str">
            <v>ABL4161</v>
          </cell>
        </row>
        <row r="138">
          <cell r="C138" t="str">
            <v>ABM4408</v>
          </cell>
          <cell r="D138" t="str">
            <v>ABM4408</v>
          </cell>
        </row>
        <row r="139">
          <cell r="C139" t="str">
            <v>ABN1631</v>
          </cell>
          <cell r="D139" t="str">
            <v>ABN1631</v>
          </cell>
        </row>
        <row r="140">
          <cell r="C140" t="str">
            <v>ABN6878</v>
          </cell>
          <cell r="D140" t="str">
            <v>ABN6878</v>
          </cell>
        </row>
        <row r="141">
          <cell r="C141" t="str">
            <v>ABN7166</v>
          </cell>
          <cell r="D141" t="str">
            <v>ABN7166</v>
          </cell>
        </row>
        <row r="142">
          <cell r="C142" t="str">
            <v>ABO0A49</v>
          </cell>
          <cell r="D142" t="str">
            <v>ABO0A49</v>
          </cell>
        </row>
        <row r="143">
          <cell r="C143" t="str">
            <v>ABO1421</v>
          </cell>
          <cell r="D143" t="str">
            <v>ABO1421</v>
          </cell>
        </row>
        <row r="144">
          <cell r="C144" t="str">
            <v>ABO1721</v>
          </cell>
          <cell r="D144" t="str">
            <v>ABO1721</v>
          </cell>
        </row>
        <row r="145">
          <cell r="C145" t="str">
            <v>ABO2732</v>
          </cell>
          <cell r="D145" t="str">
            <v>ABO2732</v>
          </cell>
        </row>
        <row r="146">
          <cell r="C146" t="str">
            <v>ABO4479</v>
          </cell>
          <cell r="D146" t="str">
            <v>ABO4479</v>
          </cell>
        </row>
        <row r="147">
          <cell r="C147" t="str">
            <v>ABO5096</v>
          </cell>
          <cell r="D147" t="str">
            <v>ABO5096</v>
          </cell>
        </row>
        <row r="148">
          <cell r="C148" t="str">
            <v>ABO5332</v>
          </cell>
          <cell r="D148" t="str">
            <v>ABO5332</v>
          </cell>
        </row>
        <row r="149">
          <cell r="C149" t="str">
            <v>ABO5441</v>
          </cell>
          <cell r="D149" t="str">
            <v>ABO5441</v>
          </cell>
        </row>
        <row r="150">
          <cell r="C150" t="str">
            <v>ABQ0178</v>
          </cell>
          <cell r="D150" t="str">
            <v>ABQ0178</v>
          </cell>
        </row>
        <row r="151">
          <cell r="C151" t="str">
            <v>ABQ0543</v>
          </cell>
          <cell r="D151" t="str">
            <v>ABQ0543</v>
          </cell>
        </row>
        <row r="152">
          <cell r="C152" t="str">
            <v>ABQ7050</v>
          </cell>
          <cell r="D152" t="str">
            <v>ABQ7050</v>
          </cell>
        </row>
        <row r="153">
          <cell r="C153" t="str">
            <v>ABR2613</v>
          </cell>
          <cell r="D153" t="str">
            <v>ABR2613</v>
          </cell>
        </row>
        <row r="154">
          <cell r="C154" t="str">
            <v>ABR3804</v>
          </cell>
          <cell r="D154" t="str">
            <v>ABR3804</v>
          </cell>
        </row>
        <row r="155">
          <cell r="C155" t="str">
            <v>ABR5641</v>
          </cell>
          <cell r="D155" t="str">
            <v>ABR5641</v>
          </cell>
        </row>
        <row r="156">
          <cell r="C156" t="str">
            <v>ABR6547</v>
          </cell>
          <cell r="D156" t="str">
            <v>ABR6547</v>
          </cell>
        </row>
        <row r="157">
          <cell r="C157" t="str">
            <v>ABR7258</v>
          </cell>
          <cell r="D157" t="str">
            <v>ABR7258</v>
          </cell>
        </row>
        <row r="158">
          <cell r="C158" t="str">
            <v>ABS1097</v>
          </cell>
          <cell r="D158" t="str">
            <v>ABS1097</v>
          </cell>
        </row>
        <row r="159">
          <cell r="C159" t="str">
            <v>ABS4327</v>
          </cell>
          <cell r="D159" t="str">
            <v>ABS4327</v>
          </cell>
        </row>
        <row r="160">
          <cell r="C160" t="str">
            <v>ABS5991</v>
          </cell>
          <cell r="D160" t="str">
            <v>ABS5991</v>
          </cell>
        </row>
        <row r="161">
          <cell r="C161" t="str">
            <v>ABT3053</v>
          </cell>
          <cell r="D161" t="str">
            <v>ABT3053</v>
          </cell>
        </row>
        <row r="162">
          <cell r="C162" t="str">
            <v>ABT4155</v>
          </cell>
          <cell r="D162" t="str">
            <v>ABT4155</v>
          </cell>
        </row>
        <row r="163">
          <cell r="C163" t="str">
            <v>ABT9497</v>
          </cell>
          <cell r="D163" t="str">
            <v>ABT9497</v>
          </cell>
        </row>
        <row r="164">
          <cell r="C164" t="str">
            <v>ABU1286</v>
          </cell>
          <cell r="D164" t="str">
            <v>ABU1286</v>
          </cell>
        </row>
        <row r="165">
          <cell r="C165" t="str">
            <v>ABU2827</v>
          </cell>
          <cell r="D165" t="str">
            <v>ABU2827</v>
          </cell>
        </row>
        <row r="166">
          <cell r="C166" t="str">
            <v>ABU3489</v>
          </cell>
          <cell r="D166" t="str">
            <v>ABU3489</v>
          </cell>
        </row>
        <row r="167">
          <cell r="C167" t="str">
            <v>ABU3883</v>
          </cell>
          <cell r="D167" t="str">
            <v>ABU3883</v>
          </cell>
        </row>
        <row r="168">
          <cell r="C168" t="str">
            <v>ABU6849</v>
          </cell>
          <cell r="D168" t="str">
            <v>ABU6849</v>
          </cell>
        </row>
        <row r="169">
          <cell r="C169" t="str">
            <v>ABU8199</v>
          </cell>
          <cell r="D169" t="str">
            <v>ABU8199</v>
          </cell>
        </row>
        <row r="170">
          <cell r="C170" t="str">
            <v>ABU9734</v>
          </cell>
          <cell r="D170" t="str">
            <v>ABU9734</v>
          </cell>
        </row>
        <row r="171">
          <cell r="C171" t="str">
            <v>ABV2598</v>
          </cell>
          <cell r="D171" t="str">
            <v>ABV2598</v>
          </cell>
        </row>
        <row r="172">
          <cell r="C172" t="str">
            <v>ABV3613</v>
          </cell>
          <cell r="D172" t="str">
            <v>ABV3613</v>
          </cell>
        </row>
        <row r="173">
          <cell r="C173" t="str">
            <v>ABV6B99</v>
          </cell>
          <cell r="D173" t="str">
            <v>ABV6B99</v>
          </cell>
        </row>
        <row r="174">
          <cell r="C174" t="str">
            <v>ABX6651</v>
          </cell>
          <cell r="D174" t="str">
            <v>ABX6651</v>
          </cell>
        </row>
        <row r="175">
          <cell r="C175" t="str">
            <v>ABX6G87</v>
          </cell>
          <cell r="D175" t="str">
            <v>ABX6G87</v>
          </cell>
        </row>
        <row r="176">
          <cell r="C176" t="str">
            <v>ABX8030</v>
          </cell>
          <cell r="D176" t="str">
            <v>ABX8030</v>
          </cell>
        </row>
        <row r="177">
          <cell r="C177" t="str">
            <v>ABZ0177</v>
          </cell>
          <cell r="D177" t="str">
            <v>ABZ0177</v>
          </cell>
        </row>
        <row r="178">
          <cell r="C178" t="str">
            <v>ABZ0818</v>
          </cell>
          <cell r="D178" t="str">
            <v>ABZ0818</v>
          </cell>
        </row>
        <row r="179">
          <cell r="C179" t="str">
            <v>ABZ0B22</v>
          </cell>
          <cell r="D179" t="str">
            <v>ABZ0B22</v>
          </cell>
        </row>
        <row r="180">
          <cell r="C180" t="str">
            <v>ABZ7J75</v>
          </cell>
          <cell r="D180" t="str">
            <v>ABZ7J75</v>
          </cell>
        </row>
        <row r="181">
          <cell r="C181" t="str">
            <v>ACA4094</v>
          </cell>
          <cell r="D181" t="str">
            <v>ACA4094</v>
          </cell>
        </row>
        <row r="182">
          <cell r="C182" t="str">
            <v>ACA9567</v>
          </cell>
          <cell r="D182" t="str">
            <v>ACA9567</v>
          </cell>
        </row>
        <row r="183">
          <cell r="C183" t="str">
            <v>ACB3B96</v>
          </cell>
          <cell r="D183" t="str">
            <v>ACB3B96</v>
          </cell>
        </row>
        <row r="184">
          <cell r="C184" t="str">
            <v>ACB4982</v>
          </cell>
          <cell r="D184" t="str">
            <v>ACB4982</v>
          </cell>
        </row>
        <row r="185">
          <cell r="C185" t="str">
            <v>ACC2119</v>
          </cell>
          <cell r="D185" t="str">
            <v>ACC2119</v>
          </cell>
        </row>
        <row r="186">
          <cell r="C186" t="str">
            <v>ACD0543</v>
          </cell>
          <cell r="D186" t="str">
            <v>ACD0543</v>
          </cell>
        </row>
        <row r="187">
          <cell r="C187" t="str">
            <v>ACD4849</v>
          </cell>
          <cell r="D187" t="str">
            <v>ACD4849</v>
          </cell>
        </row>
        <row r="188">
          <cell r="C188" t="str">
            <v>ACD4944</v>
          </cell>
          <cell r="D188" t="str">
            <v>ACD4944</v>
          </cell>
        </row>
        <row r="189">
          <cell r="C189" t="str">
            <v>ACD6942</v>
          </cell>
          <cell r="D189" t="str">
            <v>ACD6942</v>
          </cell>
        </row>
        <row r="190">
          <cell r="C190" t="str">
            <v>ACD7804</v>
          </cell>
          <cell r="D190" t="str">
            <v>ACD7804</v>
          </cell>
        </row>
        <row r="191">
          <cell r="C191" t="str">
            <v>ACE0654</v>
          </cell>
          <cell r="D191" t="str">
            <v>ACE0654</v>
          </cell>
        </row>
        <row r="192">
          <cell r="C192" t="str">
            <v>ACE7025</v>
          </cell>
          <cell r="D192" t="str">
            <v>ACE7025</v>
          </cell>
        </row>
        <row r="193">
          <cell r="C193" t="str">
            <v>ACE7551</v>
          </cell>
          <cell r="D193" t="str">
            <v>ACE7551</v>
          </cell>
        </row>
        <row r="194">
          <cell r="C194" t="str">
            <v>ACG4F11</v>
          </cell>
          <cell r="D194" t="str">
            <v>ACG4F11</v>
          </cell>
        </row>
        <row r="195">
          <cell r="C195" t="str">
            <v>ACG7551</v>
          </cell>
          <cell r="D195" t="str">
            <v>ACG7551</v>
          </cell>
        </row>
        <row r="196">
          <cell r="C196" t="str">
            <v>ACH4626</v>
          </cell>
          <cell r="D196" t="str">
            <v>ACH4626</v>
          </cell>
        </row>
        <row r="197">
          <cell r="C197" t="str">
            <v>ACH9299</v>
          </cell>
          <cell r="D197" t="str">
            <v>ACH9299</v>
          </cell>
        </row>
        <row r="198">
          <cell r="C198" t="str">
            <v>ACI0317</v>
          </cell>
          <cell r="D198" t="str">
            <v>ACI0317</v>
          </cell>
        </row>
        <row r="199">
          <cell r="C199" t="str">
            <v>ACI7622</v>
          </cell>
          <cell r="D199" t="str">
            <v>ACI7622</v>
          </cell>
        </row>
        <row r="200">
          <cell r="C200" t="str">
            <v>ACI9796</v>
          </cell>
          <cell r="D200" t="str">
            <v>ACI9796</v>
          </cell>
        </row>
        <row r="201">
          <cell r="C201" t="str">
            <v>ACJ0732</v>
          </cell>
          <cell r="D201" t="str">
            <v>ACJ0732</v>
          </cell>
        </row>
        <row r="202">
          <cell r="C202" t="str">
            <v>ACJ9693</v>
          </cell>
          <cell r="D202" t="str">
            <v>ACJ9693</v>
          </cell>
        </row>
        <row r="203">
          <cell r="C203" t="str">
            <v>ACK1052</v>
          </cell>
          <cell r="D203" t="str">
            <v>ACK1052</v>
          </cell>
        </row>
        <row r="204">
          <cell r="C204" t="str">
            <v>ACL9230</v>
          </cell>
          <cell r="D204" t="str">
            <v>ACL9230</v>
          </cell>
        </row>
        <row r="205">
          <cell r="C205" t="str">
            <v>ACM1220</v>
          </cell>
          <cell r="D205" t="str">
            <v>ACM1220</v>
          </cell>
        </row>
        <row r="206">
          <cell r="C206" t="str">
            <v>ACM4F40</v>
          </cell>
          <cell r="D206" t="str">
            <v>ACM4F40</v>
          </cell>
        </row>
        <row r="207">
          <cell r="C207" t="str">
            <v>ACM8606</v>
          </cell>
          <cell r="D207" t="str">
            <v>ACM8606</v>
          </cell>
        </row>
        <row r="208">
          <cell r="C208" t="str">
            <v>ACN3228</v>
          </cell>
          <cell r="D208" t="str">
            <v>ACN3228</v>
          </cell>
        </row>
        <row r="209">
          <cell r="C209" t="str">
            <v>ACN9296</v>
          </cell>
          <cell r="D209" t="str">
            <v>ACN9296</v>
          </cell>
        </row>
        <row r="210">
          <cell r="C210" t="str">
            <v>ACN9432</v>
          </cell>
          <cell r="D210" t="str">
            <v>ACN9432</v>
          </cell>
        </row>
        <row r="211">
          <cell r="C211" t="str">
            <v>ACO9403</v>
          </cell>
          <cell r="D211" t="str">
            <v>ACO9403</v>
          </cell>
        </row>
        <row r="212">
          <cell r="C212" t="str">
            <v>ACO6512</v>
          </cell>
          <cell r="D212" t="str">
            <v>ACO6512</v>
          </cell>
        </row>
        <row r="213">
          <cell r="C213" t="str">
            <v>ACO9190</v>
          </cell>
          <cell r="D213" t="str">
            <v>ACO9190</v>
          </cell>
        </row>
        <row r="214">
          <cell r="C214" t="str">
            <v>ACP9876</v>
          </cell>
          <cell r="D214" t="str">
            <v>ACP9876</v>
          </cell>
        </row>
        <row r="215">
          <cell r="C215" t="str">
            <v>ACQ7265</v>
          </cell>
          <cell r="D215" t="str">
            <v>ACQ7265</v>
          </cell>
        </row>
        <row r="216">
          <cell r="C216" t="str">
            <v>ACQ1495</v>
          </cell>
          <cell r="D216" t="str">
            <v>ACQ1495</v>
          </cell>
        </row>
        <row r="217">
          <cell r="C217" t="str">
            <v>ACQ5534</v>
          </cell>
          <cell r="D217" t="str">
            <v>ACQ5534</v>
          </cell>
        </row>
        <row r="218">
          <cell r="C218" t="str">
            <v>ACQ6950</v>
          </cell>
          <cell r="D218" t="str">
            <v>ACQ6950</v>
          </cell>
        </row>
        <row r="219">
          <cell r="C219" t="str">
            <v>ACQ7936</v>
          </cell>
          <cell r="D219" t="str">
            <v>ACQ7936</v>
          </cell>
        </row>
        <row r="220">
          <cell r="C220" t="str">
            <v>ACR8858</v>
          </cell>
          <cell r="D220" t="str">
            <v>ACR8858</v>
          </cell>
        </row>
        <row r="221">
          <cell r="C221" t="str">
            <v>ACR1346</v>
          </cell>
          <cell r="D221" t="str">
            <v>ACR1346</v>
          </cell>
        </row>
        <row r="222">
          <cell r="C222" t="str">
            <v>ACR2844</v>
          </cell>
          <cell r="D222" t="str">
            <v>ACR2844</v>
          </cell>
        </row>
        <row r="223">
          <cell r="C223" t="str">
            <v>ACR8705</v>
          </cell>
          <cell r="D223" t="str">
            <v>ACR8705</v>
          </cell>
        </row>
        <row r="224">
          <cell r="C224" t="str">
            <v>ACT1527</v>
          </cell>
          <cell r="D224" t="str">
            <v>ACT1527</v>
          </cell>
        </row>
        <row r="225">
          <cell r="C225" t="str">
            <v>ACT3645</v>
          </cell>
          <cell r="D225" t="str">
            <v>ACT3645</v>
          </cell>
        </row>
        <row r="226">
          <cell r="C226" t="str">
            <v>ACT7235</v>
          </cell>
          <cell r="D226" t="str">
            <v>ACT7235</v>
          </cell>
        </row>
        <row r="227">
          <cell r="C227" t="str">
            <v>ACV9542</v>
          </cell>
          <cell r="D227" t="str">
            <v>ACV9542</v>
          </cell>
        </row>
        <row r="228">
          <cell r="C228" t="str">
            <v>ACV9858</v>
          </cell>
          <cell r="D228" t="str">
            <v>ACV9858</v>
          </cell>
        </row>
        <row r="229">
          <cell r="C229" t="str">
            <v>ACW0981</v>
          </cell>
          <cell r="D229" t="str">
            <v>ACW0981</v>
          </cell>
        </row>
        <row r="230">
          <cell r="C230" t="str">
            <v>ACW5273</v>
          </cell>
          <cell r="D230" t="str">
            <v>ACW5273</v>
          </cell>
        </row>
        <row r="231">
          <cell r="C231" t="str">
            <v>ACX0680</v>
          </cell>
          <cell r="D231" t="str">
            <v>ACX0680</v>
          </cell>
        </row>
        <row r="232">
          <cell r="C232" t="str">
            <v>ACX1050</v>
          </cell>
          <cell r="D232" t="str">
            <v>ACX1050</v>
          </cell>
        </row>
        <row r="233">
          <cell r="C233" t="str">
            <v>ACX2041</v>
          </cell>
          <cell r="D233" t="str">
            <v>ACX2041</v>
          </cell>
        </row>
        <row r="234">
          <cell r="C234" t="str">
            <v>ACX5960</v>
          </cell>
          <cell r="D234" t="str">
            <v>ACX5960</v>
          </cell>
        </row>
        <row r="235">
          <cell r="C235" t="str">
            <v>ACX8451</v>
          </cell>
          <cell r="D235" t="str">
            <v>ACX8451</v>
          </cell>
        </row>
        <row r="236">
          <cell r="C236" t="str">
            <v>ACY4284</v>
          </cell>
          <cell r="D236" t="str">
            <v>ACY4284</v>
          </cell>
        </row>
        <row r="237">
          <cell r="C237" t="str">
            <v>ACY9808</v>
          </cell>
          <cell r="D237" t="str">
            <v>ACY9808</v>
          </cell>
        </row>
        <row r="238">
          <cell r="C238" t="str">
            <v>NPE0881</v>
          </cell>
          <cell r="D238" t="str">
            <v>NPE0881</v>
          </cell>
        </row>
        <row r="239">
          <cell r="C239" t="str">
            <v>ADB2A06</v>
          </cell>
          <cell r="D239" t="str">
            <v>ADB2A06</v>
          </cell>
        </row>
        <row r="240">
          <cell r="C240" t="str">
            <v>ADB4661</v>
          </cell>
          <cell r="D240" t="str">
            <v>ADB4661</v>
          </cell>
        </row>
        <row r="241">
          <cell r="C241" t="str">
            <v>ADB6776</v>
          </cell>
          <cell r="D241" t="str">
            <v>ADB6776</v>
          </cell>
        </row>
        <row r="242">
          <cell r="C242" t="str">
            <v>ADC0540</v>
          </cell>
          <cell r="D242" t="str">
            <v>ADC0540</v>
          </cell>
        </row>
        <row r="243">
          <cell r="C243" t="str">
            <v>ADC1911</v>
          </cell>
          <cell r="D243" t="str">
            <v>ADC1911</v>
          </cell>
        </row>
        <row r="244">
          <cell r="C244" t="str">
            <v>ADC3341</v>
          </cell>
          <cell r="D244" t="str">
            <v>ADC3341</v>
          </cell>
        </row>
        <row r="245">
          <cell r="C245" t="str">
            <v>ADC3931</v>
          </cell>
          <cell r="D245" t="str">
            <v>ADC3931</v>
          </cell>
        </row>
        <row r="246">
          <cell r="C246" t="str">
            <v>ADD2523</v>
          </cell>
          <cell r="D246" t="str">
            <v>ADD2523</v>
          </cell>
        </row>
        <row r="247">
          <cell r="C247" t="str">
            <v>ADD5471</v>
          </cell>
          <cell r="D247" t="str">
            <v>ADD5471</v>
          </cell>
        </row>
        <row r="248">
          <cell r="C248" t="str">
            <v>ADD7849</v>
          </cell>
          <cell r="D248" t="str">
            <v>ADD7849</v>
          </cell>
        </row>
        <row r="249">
          <cell r="C249" t="str">
            <v>ADD9491</v>
          </cell>
          <cell r="D249" t="str">
            <v>ADD9491</v>
          </cell>
        </row>
        <row r="250">
          <cell r="C250" t="str">
            <v>ADE6151</v>
          </cell>
          <cell r="D250" t="str">
            <v>ADE6151</v>
          </cell>
        </row>
        <row r="251">
          <cell r="C251" t="str">
            <v>ADE0650</v>
          </cell>
          <cell r="D251" t="str">
            <v>ADE0650</v>
          </cell>
        </row>
        <row r="252">
          <cell r="C252" t="str">
            <v>ADE4456</v>
          </cell>
          <cell r="D252" t="str">
            <v>ADE4456</v>
          </cell>
        </row>
        <row r="253">
          <cell r="C253" t="str">
            <v>ADE4E56</v>
          </cell>
          <cell r="D253" t="str">
            <v>ADE4E56</v>
          </cell>
        </row>
        <row r="254">
          <cell r="C254" t="str">
            <v>ADE5296</v>
          </cell>
          <cell r="D254" t="str">
            <v>ADE5296</v>
          </cell>
        </row>
        <row r="255">
          <cell r="C255" t="str">
            <v>ADE5B70</v>
          </cell>
          <cell r="D255" t="str">
            <v>ADE5B70</v>
          </cell>
        </row>
        <row r="256">
          <cell r="C256" t="str">
            <v>MBG8078</v>
          </cell>
          <cell r="D256" t="str">
            <v>MBG8078</v>
          </cell>
        </row>
        <row r="257">
          <cell r="C257" t="str">
            <v>BTT5631</v>
          </cell>
          <cell r="D257" t="str">
            <v>BTT5631</v>
          </cell>
        </row>
        <row r="258">
          <cell r="C258" t="str">
            <v>BXE9353</v>
          </cell>
          <cell r="D258" t="str">
            <v>BXE9353</v>
          </cell>
        </row>
        <row r="259">
          <cell r="C259" t="str">
            <v>HRV9863</v>
          </cell>
          <cell r="D259" t="str">
            <v>HRV9863</v>
          </cell>
        </row>
        <row r="260">
          <cell r="C260" t="str">
            <v>BXH9492</v>
          </cell>
          <cell r="D260" t="str">
            <v>BXH9492</v>
          </cell>
        </row>
        <row r="261">
          <cell r="C261" t="str">
            <v>CPI9023</v>
          </cell>
          <cell r="D261" t="str">
            <v>CPI9023</v>
          </cell>
        </row>
        <row r="262">
          <cell r="C262" t="str">
            <v>ADF1733</v>
          </cell>
          <cell r="D262" t="str">
            <v>ADF1733</v>
          </cell>
        </row>
        <row r="263">
          <cell r="C263" t="str">
            <v>ADF3882</v>
          </cell>
          <cell r="D263" t="str">
            <v>ADF3882</v>
          </cell>
        </row>
        <row r="264">
          <cell r="C264" t="str">
            <v>ADG0J28</v>
          </cell>
          <cell r="D264" t="str">
            <v>ADG0J28</v>
          </cell>
        </row>
        <row r="265">
          <cell r="C265" t="str">
            <v>ADG4065</v>
          </cell>
          <cell r="D265" t="str">
            <v>ADG4065</v>
          </cell>
        </row>
        <row r="266">
          <cell r="C266" t="str">
            <v>ADH0376</v>
          </cell>
          <cell r="D266" t="str">
            <v>ADH0376</v>
          </cell>
        </row>
        <row r="267">
          <cell r="C267" t="str">
            <v>ADH3780</v>
          </cell>
          <cell r="D267" t="str">
            <v>ADH3780</v>
          </cell>
        </row>
        <row r="268">
          <cell r="C268" t="str">
            <v>ADH7821</v>
          </cell>
          <cell r="D268" t="str">
            <v>ADH7821</v>
          </cell>
        </row>
        <row r="269">
          <cell r="C269" t="str">
            <v>ADI3034</v>
          </cell>
          <cell r="D269" t="str">
            <v>ADI3034</v>
          </cell>
        </row>
        <row r="270">
          <cell r="C270" t="str">
            <v>ADI3071</v>
          </cell>
          <cell r="D270" t="str">
            <v>ADI3071</v>
          </cell>
        </row>
        <row r="271">
          <cell r="C271" t="str">
            <v>ADI4991</v>
          </cell>
          <cell r="D271" t="str">
            <v>ADI4991</v>
          </cell>
        </row>
        <row r="272">
          <cell r="C272" t="str">
            <v>ADI4J91</v>
          </cell>
          <cell r="D272" t="str">
            <v>ADI4J91</v>
          </cell>
        </row>
        <row r="273">
          <cell r="C273" t="str">
            <v>ADI5798</v>
          </cell>
          <cell r="D273" t="str">
            <v>ADI5798</v>
          </cell>
        </row>
        <row r="274">
          <cell r="C274" t="str">
            <v>ADI9039</v>
          </cell>
          <cell r="D274" t="str">
            <v>ADI9039</v>
          </cell>
        </row>
        <row r="275">
          <cell r="C275" t="str">
            <v>MDY9699</v>
          </cell>
          <cell r="D275" t="str">
            <v>MDY9699</v>
          </cell>
        </row>
        <row r="276">
          <cell r="C276" t="str">
            <v>ADJ7195</v>
          </cell>
          <cell r="D276" t="str">
            <v>ADJ7195</v>
          </cell>
        </row>
        <row r="277">
          <cell r="C277" t="str">
            <v>ADK0D35</v>
          </cell>
          <cell r="D277" t="str">
            <v>ADK0D35</v>
          </cell>
        </row>
        <row r="278">
          <cell r="C278" t="str">
            <v>ADK3B98</v>
          </cell>
          <cell r="D278" t="str">
            <v>ADK3B98</v>
          </cell>
        </row>
        <row r="279">
          <cell r="C279" t="str">
            <v>ADK4348</v>
          </cell>
          <cell r="D279" t="str">
            <v>ADK4348</v>
          </cell>
        </row>
        <row r="280">
          <cell r="C280" t="str">
            <v>ADK4401</v>
          </cell>
          <cell r="D280" t="str">
            <v>ADK4401</v>
          </cell>
        </row>
        <row r="281">
          <cell r="C281" t="str">
            <v>ADL4738</v>
          </cell>
          <cell r="D281" t="str">
            <v>ADL4738</v>
          </cell>
        </row>
        <row r="282">
          <cell r="C282" t="str">
            <v>ADL4968</v>
          </cell>
          <cell r="D282" t="str">
            <v>ADL4968</v>
          </cell>
        </row>
        <row r="283">
          <cell r="C283" t="str">
            <v>ADM0233</v>
          </cell>
          <cell r="D283" t="str">
            <v>ADM0233</v>
          </cell>
        </row>
        <row r="284">
          <cell r="C284" t="str">
            <v>ADM9H79</v>
          </cell>
          <cell r="D284" t="str">
            <v>ADM9H79</v>
          </cell>
        </row>
        <row r="285">
          <cell r="C285" t="str">
            <v>ADN0746</v>
          </cell>
          <cell r="D285" t="str">
            <v>ADN0746</v>
          </cell>
        </row>
        <row r="286">
          <cell r="C286" t="str">
            <v>ADN4562</v>
          </cell>
          <cell r="D286" t="str">
            <v>ADN4562</v>
          </cell>
        </row>
        <row r="287">
          <cell r="C287" t="str">
            <v>ADN7992</v>
          </cell>
          <cell r="D287" t="str">
            <v>ADN7992</v>
          </cell>
        </row>
        <row r="288">
          <cell r="C288" t="str">
            <v>ADO0422</v>
          </cell>
          <cell r="D288" t="str">
            <v>ADO0422</v>
          </cell>
        </row>
        <row r="289">
          <cell r="C289" t="str">
            <v>ADO4125</v>
          </cell>
          <cell r="D289" t="str">
            <v>ADO4125</v>
          </cell>
        </row>
        <row r="290">
          <cell r="C290" t="str">
            <v>ADO4509</v>
          </cell>
          <cell r="D290" t="str">
            <v>ADO4509</v>
          </cell>
        </row>
        <row r="291">
          <cell r="C291" t="str">
            <v>ADO6752</v>
          </cell>
          <cell r="D291" t="str">
            <v>ADO6752</v>
          </cell>
        </row>
        <row r="292">
          <cell r="C292" t="str">
            <v>ADP1F16</v>
          </cell>
          <cell r="D292" t="str">
            <v>ADP1F16</v>
          </cell>
        </row>
        <row r="293">
          <cell r="C293" t="str">
            <v>ADR2801</v>
          </cell>
          <cell r="D293" t="str">
            <v>ADR2801</v>
          </cell>
        </row>
        <row r="294">
          <cell r="C294" t="str">
            <v>ADR4948</v>
          </cell>
          <cell r="D294" t="str">
            <v>ADR4948</v>
          </cell>
        </row>
        <row r="295">
          <cell r="C295" t="str">
            <v>ADR7580</v>
          </cell>
          <cell r="D295" t="str">
            <v>ADR7580</v>
          </cell>
        </row>
        <row r="296">
          <cell r="C296" t="str">
            <v>OVF3587</v>
          </cell>
          <cell r="D296" t="str">
            <v>OVF3587</v>
          </cell>
        </row>
        <row r="297">
          <cell r="C297" t="str">
            <v>ADS7820</v>
          </cell>
          <cell r="D297" t="str">
            <v>ADS7820</v>
          </cell>
        </row>
        <row r="298">
          <cell r="C298" t="str">
            <v>ADS9049</v>
          </cell>
          <cell r="D298" t="str">
            <v>ADS9049</v>
          </cell>
        </row>
        <row r="299">
          <cell r="C299" t="str">
            <v>ADT1825</v>
          </cell>
          <cell r="D299" t="str">
            <v>ADT1825</v>
          </cell>
        </row>
        <row r="300">
          <cell r="C300" t="str">
            <v>ADT2950</v>
          </cell>
          <cell r="D300" t="str">
            <v>ADT2950</v>
          </cell>
        </row>
        <row r="301">
          <cell r="C301" t="str">
            <v>ADT3744</v>
          </cell>
          <cell r="D301" t="str">
            <v>ADT3744</v>
          </cell>
        </row>
        <row r="302">
          <cell r="C302" t="str">
            <v>ADU4713</v>
          </cell>
          <cell r="D302" t="str">
            <v>ADU4713</v>
          </cell>
        </row>
        <row r="303">
          <cell r="C303" t="str">
            <v>ADU5C48</v>
          </cell>
          <cell r="D303" t="str">
            <v>ADU5C48</v>
          </cell>
        </row>
        <row r="304">
          <cell r="C304" t="str">
            <v>ADU6212</v>
          </cell>
          <cell r="D304" t="str">
            <v>ADU6212</v>
          </cell>
        </row>
        <row r="305">
          <cell r="C305" t="str">
            <v>ADV2253</v>
          </cell>
          <cell r="D305" t="str">
            <v>ADV2253</v>
          </cell>
        </row>
        <row r="306">
          <cell r="C306" t="str">
            <v>ADV2426</v>
          </cell>
          <cell r="D306" t="str">
            <v>ADV2426</v>
          </cell>
        </row>
        <row r="307">
          <cell r="C307" t="str">
            <v>ADV3067</v>
          </cell>
          <cell r="D307" t="str">
            <v>ADV3067</v>
          </cell>
        </row>
        <row r="308">
          <cell r="C308" t="str">
            <v>ADW5097</v>
          </cell>
          <cell r="D308" t="str">
            <v>ADW5097</v>
          </cell>
        </row>
        <row r="309">
          <cell r="C309" t="str">
            <v>ADW7179</v>
          </cell>
          <cell r="D309" t="str">
            <v>ADW7179</v>
          </cell>
        </row>
        <row r="310">
          <cell r="C310" t="str">
            <v>ADX0409</v>
          </cell>
          <cell r="D310" t="str">
            <v>ADX0409</v>
          </cell>
        </row>
        <row r="311">
          <cell r="C311" t="str">
            <v>ADY3239</v>
          </cell>
          <cell r="D311" t="str">
            <v>ADY3239</v>
          </cell>
        </row>
        <row r="312">
          <cell r="C312" t="str">
            <v>ADZ0117</v>
          </cell>
          <cell r="D312" t="str">
            <v>ADZ0117</v>
          </cell>
        </row>
        <row r="313">
          <cell r="C313" t="str">
            <v>ADZ1798</v>
          </cell>
          <cell r="D313" t="str">
            <v>ADZ1798</v>
          </cell>
        </row>
        <row r="314">
          <cell r="C314" t="str">
            <v>ADZ3848</v>
          </cell>
          <cell r="D314" t="str">
            <v>ADZ3848</v>
          </cell>
        </row>
        <row r="315">
          <cell r="C315" t="str">
            <v>AEA3153</v>
          </cell>
          <cell r="D315" t="str">
            <v>AEA3153</v>
          </cell>
        </row>
        <row r="316">
          <cell r="C316" t="str">
            <v>AEA2590</v>
          </cell>
          <cell r="D316" t="str">
            <v>AEA2590</v>
          </cell>
        </row>
        <row r="317">
          <cell r="C317" t="str">
            <v>AEA6745</v>
          </cell>
          <cell r="D317" t="str">
            <v>AEA6745</v>
          </cell>
        </row>
        <row r="318">
          <cell r="C318" t="str">
            <v>AEA8544</v>
          </cell>
          <cell r="D318" t="str">
            <v>AEA8544</v>
          </cell>
        </row>
        <row r="319">
          <cell r="C319" t="str">
            <v>AEC3537</v>
          </cell>
          <cell r="D319" t="str">
            <v>AEC3537</v>
          </cell>
        </row>
        <row r="320">
          <cell r="C320" t="str">
            <v>AEC6372</v>
          </cell>
          <cell r="D320" t="str">
            <v>AEC6372</v>
          </cell>
        </row>
        <row r="321">
          <cell r="C321" t="str">
            <v>AEC7D30</v>
          </cell>
          <cell r="D321" t="str">
            <v>AEC7D30</v>
          </cell>
        </row>
        <row r="322">
          <cell r="C322" t="str">
            <v>AED4863</v>
          </cell>
          <cell r="D322" t="str">
            <v>AED4863</v>
          </cell>
        </row>
        <row r="323">
          <cell r="C323" t="str">
            <v>AED4I63</v>
          </cell>
          <cell r="D323" t="str">
            <v>AED4I63</v>
          </cell>
        </row>
        <row r="324">
          <cell r="C324" t="str">
            <v>AED5395</v>
          </cell>
          <cell r="D324" t="str">
            <v>AED5395</v>
          </cell>
        </row>
        <row r="325">
          <cell r="C325" t="str">
            <v>AED5929</v>
          </cell>
          <cell r="D325" t="str">
            <v>AED5929</v>
          </cell>
        </row>
        <row r="326">
          <cell r="C326" t="str">
            <v>AEE2756</v>
          </cell>
          <cell r="D326" t="str">
            <v>AEE2756</v>
          </cell>
        </row>
        <row r="327">
          <cell r="C327" t="str">
            <v>AEE3394</v>
          </cell>
          <cell r="D327" t="str">
            <v>AEE3394</v>
          </cell>
        </row>
        <row r="328">
          <cell r="C328" t="str">
            <v>AEE4632</v>
          </cell>
          <cell r="D328" t="str">
            <v>AEE4632</v>
          </cell>
        </row>
        <row r="329">
          <cell r="C329" t="str">
            <v>AEF4512</v>
          </cell>
          <cell r="D329" t="str">
            <v>AEF4512</v>
          </cell>
        </row>
        <row r="330">
          <cell r="C330" t="str">
            <v>AEF2853</v>
          </cell>
          <cell r="D330" t="str">
            <v>AEF2853</v>
          </cell>
        </row>
        <row r="331">
          <cell r="C331" t="str">
            <v>AEF6373</v>
          </cell>
          <cell r="D331" t="str">
            <v>AEF6373</v>
          </cell>
        </row>
        <row r="332">
          <cell r="C332" t="str">
            <v>AEF6884</v>
          </cell>
          <cell r="D332" t="str">
            <v>AEF6884</v>
          </cell>
        </row>
        <row r="333">
          <cell r="C333" t="str">
            <v>AEG1510</v>
          </cell>
          <cell r="D333" t="str">
            <v>AEG1510</v>
          </cell>
        </row>
        <row r="334">
          <cell r="C334" t="str">
            <v>AEH2258</v>
          </cell>
          <cell r="D334" t="str">
            <v>AEH2258</v>
          </cell>
        </row>
        <row r="335">
          <cell r="C335" t="str">
            <v>AEH3041</v>
          </cell>
          <cell r="D335" t="str">
            <v>AEH3041</v>
          </cell>
        </row>
        <row r="336">
          <cell r="C336" t="str">
            <v>AEH3131</v>
          </cell>
          <cell r="D336" t="str">
            <v>AEH3131</v>
          </cell>
        </row>
        <row r="337">
          <cell r="C337" t="str">
            <v>AEH3429</v>
          </cell>
          <cell r="D337" t="str">
            <v>AEH3429</v>
          </cell>
        </row>
        <row r="338">
          <cell r="C338" t="str">
            <v>AEH5905</v>
          </cell>
          <cell r="D338" t="str">
            <v>AEH5905</v>
          </cell>
        </row>
        <row r="339">
          <cell r="C339" t="str">
            <v>AEH6142</v>
          </cell>
          <cell r="D339" t="str">
            <v>AEH6142</v>
          </cell>
        </row>
        <row r="340">
          <cell r="C340" t="str">
            <v>AEH7207</v>
          </cell>
          <cell r="D340" t="str">
            <v>AEH7207</v>
          </cell>
        </row>
        <row r="341">
          <cell r="C341" t="str">
            <v>AEH9871</v>
          </cell>
          <cell r="D341" t="str">
            <v>AEH9871</v>
          </cell>
        </row>
        <row r="342">
          <cell r="C342" t="str">
            <v>AEI0I66</v>
          </cell>
          <cell r="D342" t="str">
            <v>AEI0I66</v>
          </cell>
        </row>
        <row r="343">
          <cell r="C343" t="str">
            <v>AEI2426</v>
          </cell>
          <cell r="D343" t="str">
            <v>AEI2426</v>
          </cell>
        </row>
        <row r="344">
          <cell r="C344" t="str">
            <v>AEI5894</v>
          </cell>
          <cell r="D344" t="str">
            <v>AEI5894</v>
          </cell>
        </row>
        <row r="345">
          <cell r="C345" t="str">
            <v>AEI6373</v>
          </cell>
          <cell r="D345" t="str">
            <v>AEI6373</v>
          </cell>
        </row>
        <row r="346">
          <cell r="C346" t="str">
            <v>AEI8061</v>
          </cell>
          <cell r="D346" t="str">
            <v>AEI8061</v>
          </cell>
        </row>
        <row r="347">
          <cell r="C347" t="str">
            <v>AEI8926</v>
          </cell>
          <cell r="D347" t="str">
            <v>AEI8926</v>
          </cell>
        </row>
        <row r="348">
          <cell r="C348" t="str">
            <v>AEK6744</v>
          </cell>
          <cell r="D348" t="str">
            <v>AEK6744</v>
          </cell>
        </row>
        <row r="349">
          <cell r="C349" t="str">
            <v>AEK6E08</v>
          </cell>
          <cell r="D349" t="str">
            <v>AEK6E08</v>
          </cell>
        </row>
        <row r="350">
          <cell r="C350" t="str">
            <v>AEL0528</v>
          </cell>
          <cell r="D350" t="str">
            <v>AEL0528</v>
          </cell>
        </row>
        <row r="351">
          <cell r="C351" t="str">
            <v>AEL1627</v>
          </cell>
          <cell r="D351" t="str">
            <v>AEL1627</v>
          </cell>
        </row>
        <row r="352">
          <cell r="C352" t="str">
            <v>AEL1G27</v>
          </cell>
          <cell r="D352" t="str">
            <v>AEL1G27</v>
          </cell>
        </row>
        <row r="353">
          <cell r="C353" t="str">
            <v>AEL5E47</v>
          </cell>
          <cell r="D353" t="str">
            <v>AEL5E47</v>
          </cell>
        </row>
        <row r="354">
          <cell r="C354" t="str">
            <v>AEL9182</v>
          </cell>
          <cell r="D354" t="str">
            <v>AEL9182</v>
          </cell>
        </row>
        <row r="355">
          <cell r="C355" t="str">
            <v>AEL9385</v>
          </cell>
          <cell r="D355" t="str">
            <v>AEL9385</v>
          </cell>
        </row>
        <row r="356">
          <cell r="C356" t="str">
            <v>AEM3746</v>
          </cell>
          <cell r="D356" t="str">
            <v>AEM3746</v>
          </cell>
        </row>
        <row r="357">
          <cell r="C357" t="str">
            <v>AEM5296</v>
          </cell>
          <cell r="D357" t="str">
            <v>AEM5296</v>
          </cell>
        </row>
        <row r="358">
          <cell r="C358" t="str">
            <v>AEM5820</v>
          </cell>
          <cell r="D358" t="str">
            <v>AEM5820</v>
          </cell>
        </row>
        <row r="359">
          <cell r="C359" t="str">
            <v>AEM9865</v>
          </cell>
          <cell r="D359" t="str">
            <v>AEM9865</v>
          </cell>
        </row>
        <row r="360">
          <cell r="C360" t="str">
            <v>AEN1E65</v>
          </cell>
          <cell r="D360" t="str">
            <v>AEN1E65</v>
          </cell>
        </row>
        <row r="361">
          <cell r="C361" t="str">
            <v>AEN8482</v>
          </cell>
          <cell r="D361" t="str">
            <v>AEN8482</v>
          </cell>
        </row>
        <row r="362">
          <cell r="C362" t="str">
            <v>AEO4831</v>
          </cell>
          <cell r="D362" t="str">
            <v>AEO4831</v>
          </cell>
        </row>
        <row r="363">
          <cell r="C363" t="str">
            <v>AEP3212</v>
          </cell>
          <cell r="D363" t="str">
            <v>AEP3212</v>
          </cell>
        </row>
        <row r="364">
          <cell r="C364" t="str">
            <v>AEP3753</v>
          </cell>
          <cell r="D364" t="str">
            <v>AEP3753</v>
          </cell>
        </row>
        <row r="365">
          <cell r="C365" t="str">
            <v>AEP9374</v>
          </cell>
          <cell r="D365" t="str">
            <v>AEP9374</v>
          </cell>
        </row>
        <row r="366">
          <cell r="C366" t="str">
            <v>AEP9J60</v>
          </cell>
          <cell r="D366" t="str">
            <v>AEP9J60</v>
          </cell>
        </row>
        <row r="367">
          <cell r="C367" t="str">
            <v>AEQ0926</v>
          </cell>
          <cell r="D367" t="str">
            <v>AEQ0926</v>
          </cell>
        </row>
        <row r="368">
          <cell r="C368" t="str">
            <v>AEQ3065</v>
          </cell>
          <cell r="D368" t="str">
            <v>AEQ3065</v>
          </cell>
        </row>
        <row r="369">
          <cell r="C369" t="str">
            <v>AEQ3733</v>
          </cell>
          <cell r="D369" t="str">
            <v>AEQ3733</v>
          </cell>
        </row>
        <row r="370">
          <cell r="C370" t="str">
            <v>AEQ8614</v>
          </cell>
          <cell r="D370" t="str">
            <v>AEQ8614</v>
          </cell>
        </row>
        <row r="371">
          <cell r="C371" t="str">
            <v>AEQ8A31</v>
          </cell>
          <cell r="D371" t="str">
            <v>AEQ8A31</v>
          </cell>
        </row>
        <row r="372">
          <cell r="C372" t="str">
            <v>AER2615</v>
          </cell>
          <cell r="D372" t="str">
            <v>AER2615</v>
          </cell>
        </row>
        <row r="373">
          <cell r="C373" t="str">
            <v>AER5366</v>
          </cell>
          <cell r="D373" t="str">
            <v>AER5366</v>
          </cell>
        </row>
        <row r="374">
          <cell r="C374" t="str">
            <v>AER6362</v>
          </cell>
          <cell r="D374" t="str">
            <v>AER6362</v>
          </cell>
        </row>
        <row r="375">
          <cell r="C375" t="str">
            <v>AER6H92</v>
          </cell>
          <cell r="D375" t="str">
            <v>AER6H92</v>
          </cell>
        </row>
        <row r="376">
          <cell r="C376" t="str">
            <v>AES2539</v>
          </cell>
          <cell r="D376" t="str">
            <v>AES2539</v>
          </cell>
        </row>
        <row r="377">
          <cell r="C377" t="str">
            <v>AES4C18</v>
          </cell>
          <cell r="D377" t="str">
            <v>AES4C18</v>
          </cell>
        </row>
        <row r="378">
          <cell r="C378" t="str">
            <v>AES6073</v>
          </cell>
          <cell r="D378" t="str">
            <v>AES6073</v>
          </cell>
        </row>
        <row r="379">
          <cell r="C379" t="str">
            <v>AES8107</v>
          </cell>
          <cell r="D379" t="str">
            <v>AES8107</v>
          </cell>
        </row>
        <row r="380">
          <cell r="C380" t="str">
            <v>AES8A34</v>
          </cell>
          <cell r="D380" t="str">
            <v>AES8A34</v>
          </cell>
        </row>
        <row r="381">
          <cell r="C381" t="str">
            <v>AES8S34</v>
          </cell>
          <cell r="D381" t="str">
            <v>AES8S34</v>
          </cell>
        </row>
        <row r="382">
          <cell r="C382" t="str">
            <v>AET0485</v>
          </cell>
          <cell r="D382" t="str">
            <v>AET0485</v>
          </cell>
        </row>
        <row r="383">
          <cell r="C383" t="str">
            <v>AEU9070</v>
          </cell>
          <cell r="D383" t="str">
            <v>AEU9070</v>
          </cell>
        </row>
        <row r="384">
          <cell r="C384" t="str">
            <v>AEV8225</v>
          </cell>
          <cell r="D384" t="str">
            <v>AEV8225</v>
          </cell>
        </row>
        <row r="385">
          <cell r="C385" t="str">
            <v>AEW9H76</v>
          </cell>
          <cell r="D385" t="str">
            <v>AEW9H76</v>
          </cell>
        </row>
        <row r="386">
          <cell r="C386" t="str">
            <v>AEX2A88</v>
          </cell>
          <cell r="D386" t="str">
            <v>AEX2A88</v>
          </cell>
        </row>
        <row r="387">
          <cell r="C387" t="str">
            <v>AEX3534</v>
          </cell>
          <cell r="D387" t="str">
            <v>AEX3534</v>
          </cell>
        </row>
        <row r="388">
          <cell r="C388" t="str">
            <v>AEX3935</v>
          </cell>
          <cell r="D388" t="str">
            <v>AEX3935</v>
          </cell>
        </row>
        <row r="389">
          <cell r="C389" t="str">
            <v>AEX4266</v>
          </cell>
          <cell r="D389" t="str">
            <v>AEX4266</v>
          </cell>
        </row>
        <row r="390">
          <cell r="C390" t="str">
            <v>AEX6098</v>
          </cell>
          <cell r="D390" t="str">
            <v>AEX6098</v>
          </cell>
        </row>
        <row r="391">
          <cell r="C391" t="str">
            <v>AEX8790</v>
          </cell>
          <cell r="D391" t="str">
            <v>AEX8790</v>
          </cell>
        </row>
        <row r="392">
          <cell r="C392" t="str">
            <v>AEX9571</v>
          </cell>
          <cell r="D392" t="str">
            <v>AEX9571</v>
          </cell>
        </row>
        <row r="393">
          <cell r="C393" t="str">
            <v>AEY3017</v>
          </cell>
          <cell r="D393" t="str">
            <v>AEY3017</v>
          </cell>
        </row>
        <row r="394">
          <cell r="C394" t="str">
            <v>AEY3E01</v>
          </cell>
          <cell r="D394" t="str">
            <v>AEY3E01</v>
          </cell>
        </row>
        <row r="395">
          <cell r="C395" t="str">
            <v>AEY8013</v>
          </cell>
          <cell r="D395" t="str">
            <v>AEY8013</v>
          </cell>
        </row>
        <row r="396">
          <cell r="C396" t="str">
            <v>AEZ6658</v>
          </cell>
          <cell r="D396" t="str">
            <v>AEZ6658</v>
          </cell>
        </row>
        <row r="397">
          <cell r="C397" t="str">
            <v>AEZ2436</v>
          </cell>
          <cell r="D397" t="str">
            <v>AEZ2436</v>
          </cell>
        </row>
        <row r="398">
          <cell r="C398" t="str">
            <v>AEZ6940</v>
          </cell>
          <cell r="D398" t="str">
            <v>AEZ6940</v>
          </cell>
        </row>
        <row r="399">
          <cell r="C399" t="str">
            <v>AEZ9161</v>
          </cell>
          <cell r="D399" t="str">
            <v>AEZ9161</v>
          </cell>
        </row>
        <row r="400">
          <cell r="C400" t="str">
            <v>AFA5117</v>
          </cell>
          <cell r="D400" t="str">
            <v>AFA5117</v>
          </cell>
        </row>
        <row r="401">
          <cell r="C401" t="str">
            <v>AFA7332</v>
          </cell>
          <cell r="D401" t="str">
            <v>AFA7332</v>
          </cell>
        </row>
        <row r="402">
          <cell r="C402" t="str">
            <v>AFA9834</v>
          </cell>
          <cell r="D402" t="str">
            <v>AFA9834</v>
          </cell>
        </row>
        <row r="403">
          <cell r="C403" t="str">
            <v>AFB7458</v>
          </cell>
          <cell r="D403" t="str">
            <v>AFB7458</v>
          </cell>
        </row>
        <row r="404">
          <cell r="C404" t="str">
            <v>AFB8285</v>
          </cell>
          <cell r="D404" t="str">
            <v>AFB8285</v>
          </cell>
        </row>
        <row r="405">
          <cell r="C405" t="str">
            <v>AFB9331</v>
          </cell>
          <cell r="D405" t="str">
            <v>AFB9331</v>
          </cell>
        </row>
        <row r="406">
          <cell r="C406" t="str">
            <v>AFB9704</v>
          </cell>
          <cell r="D406" t="str">
            <v>AFB9704</v>
          </cell>
        </row>
        <row r="407">
          <cell r="C407" t="str">
            <v>AFC6496</v>
          </cell>
          <cell r="D407" t="str">
            <v>AFC6496</v>
          </cell>
        </row>
        <row r="408">
          <cell r="C408" t="str">
            <v>AFC9557</v>
          </cell>
          <cell r="D408" t="str">
            <v>AFC9557</v>
          </cell>
        </row>
        <row r="409">
          <cell r="C409" t="str">
            <v>AFD0D31</v>
          </cell>
          <cell r="D409" t="str">
            <v>AFD0D31</v>
          </cell>
        </row>
        <row r="410">
          <cell r="C410" t="str">
            <v>AFD3310</v>
          </cell>
          <cell r="D410" t="str">
            <v>AFD3310</v>
          </cell>
        </row>
        <row r="411">
          <cell r="C411" t="str">
            <v>AFD8592</v>
          </cell>
          <cell r="D411" t="str">
            <v>AFD8592</v>
          </cell>
        </row>
        <row r="412">
          <cell r="C412" t="str">
            <v>AFE2658</v>
          </cell>
          <cell r="D412" t="str">
            <v>AFE2658</v>
          </cell>
        </row>
        <row r="413">
          <cell r="C413" t="str">
            <v>AFE3965</v>
          </cell>
          <cell r="D413" t="str">
            <v>AFE3965</v>
          </cell>
        </row>
        <row r="414">
          <cell r="C414" t="str">
            <v>AFE8213</v>
          </cell>
          <cell r="D414" t="str">
            <v>AFE8213</v>
          </cell>
        </row>
        <row r="415">
          <cell r="C415" t="str">
            <v>AFF6721</v>
          </cell>
          <cell r="D415" t="str">
            <v>AFF6721</v>
          </cell>
        </row>
        <row r="416">
          <cell r="C416" t="str">
            <v>AFF2658</v>
          </cell>
          <cell r="D416" t="str">
            <v>AFF2658</v>
          </cell>
        </row>
        <row r="417">
          <cell r="C417" t="str">
            <v>AFF4988</v>
          </cell>
          <cell r="D417" t="str">
            <v>AFF4988</v>
          </cell>
        </row>
        <row r="418">
          <cell r="C418" t="str">
            <v>AFF5E59</v>
          </cell>
          <cell r="D418" t="str">
            <v>AFF5E59</v>
          </cell>
        </row>
        <row r="419">
          <cell r="C419" t="str">
            <v>AFF6884</v>
          </cell>
          <cell r="D419" t="str">
            <v>AFF6884</v>
          </cell>
        </row>
        <row r="420">
          <cell r="C420" t="str">
            <v>AFG3657</v>
          </cell>
          <cell r="D420" t="str">
            <v>AFG3657</v>
          </cell>
        </row>
        <row r="421">
          <cell r="C421" t="str">
            <v>AFH1328</v>
          </cell>
          <cell r="D421" t="str">
            <v>AFH1328</v>
          </cell>
        </row>
        <row r="422">
          <cell r="C422" t="str">
            <v>AFH6011</v>
          </cell>
          <cell r="D422" t="str">
            <v>AFH6011</v>
          </cell>
        </row>
        <row r="423">
          <cell r="C423" t="str">
            <v>AFH7605</v>
          </cell>
          <cell r="D423" t="str">
            <v>AFH7605</v>
          </cell>
        </row>
        <row r="424">
          <cell r="C424" t="str">
            <v>AFH8090</v>
          </cell>
          <cell r="D424" t="str">
            <v>AFH8090</v>
          </cell>
        </row>
        <row r="425">
          <cell r="C425" t="str">
            <v>AFH9655</v>
          </cell>
          <cell r="D425" t="str">
            <v>AFH9655</v>
          </cell>
        </row>
        <row r="426">
          <cell r="C426" t="str">
            <v>AFI6525</v>
          </cell>
          <cell r="D426" t="str">
            <v>AFI6525</v>
          </cell>
        </row>
        <row r="427">
          <cell r="C427" t="str">
            <v>AFJ0C81</v>
          </cell>
          <cell r="D427" t="str">
            <v>AFJ0C81</v>
          </cell>
        </row>
        <row r="428">
          <cell r="C428" t="str">
            <v>AFJ2321</v>
          </cell>
          <cell r="D428" t="str">
            <v>AFJ2321</v>
          </cell>
        </row>
        <row r="429">
          <cell r="C429" t="str">
            <v>AFJ3434</v>
          </cell>
          <cell r="D429" t="str">
            <v>AFJ3434</v>
          </cell>
        </row>
        <row r="430">
          <cell r="C430" t="str">
            <v>AFJ5502</v>
          </cell>
          <cell r="D430" t="str">
            <v>AFJ5502</v>
          </cell>
        </row>
        <row r="431">
          <cell r="C431" t="str">
            <v>AFJ7515</v>
          </cell>
          <cell r="D431" t="str">
            <v>AFJ7515</v>
          </cell>
        </row>
        <row r="432">
          <cell r="C432" t="str">
            <v>AFJ9139</v>
          </cell>
          <cell r="D432" t="str">
            <v>AFJ9139</v>
          </cell>
        </row>
        <row r="433">
          <cell r="C433" t="str">
            <v>AFK1935</v>
          </cell>
          <cell r="D433" t="str">
            <v>AFK1935</v>
          </cell>
        </row>
        <row r="434">
          <cell r="C434" t="str">
            <v>AFK3055</v>
          </cell>
          <cell r="D434" t="str">
            <v>AFK3055</v>
          </cell>
        </row>
        <row r="435">
          <cell r="C435" t="str">
            <v>AFK4170</v>
          </cell>
          <cell r="D435" t="str">
            <v>AFK4170</v>
          </cell>
        </row>
        <row r="436">
          <cell r="C436" t="str">
            <v>AFK7980</v>
          </cell>
          <cell r="D436" t="str">
            <v>AFK7980</v>
          </cell>
        </row>
        <row r="437">
          <cell r="C437" t="str">
            <v>AFK8031</v>
          </cell>
          <cell r="D437" t="str">
            <v>AFK8031</v>
          </cell>
        </row>
        <row r="438">
          <cell r="C438" t="str">
            <v>AFL6290</v>
          </cell>
          <cell r="D438" t="str">
            <v>AFL6290</v>
          </cell>
        </row>
        <row r="439">
          <cell r="C439" t="str">
            <v>AFM2180</v>
          </cell>
          <cell r="D439" t="str">
            <v>AFM2180</v>
          </cell>
        </row>
        <row r="440">
          <cell r="C440" t="str">
            <v>AFM3A93</v>
          </cell>
          <cell r="D440" t="str">
            <v>AFM3A93</v>
          </cell>
        </row>
        <row r="441">
          <cell r="C441" t="str">
            <v>AFM7174</v>
          </cell>
          <cell r="D441" t="str">
            <v>AFM7174</v>
          </cell>
        </row>
        <row r="442">
          <cell r="C442" t="str">
            <v>AFM7781</v>
          </cell>
          <cell r="D442" t="str">
            <v>AFM7781</v>
          </cell>
        </row>
        <row r="443">
          <cell r="C443" t="str">
            <v>AFN7874</v>
          </cell>
          <cell r="D443" t="str">
            <v>AFN7874</v>
          </cell>
        </row>
        <row r="444">
          <cell r="C444" t="str">
            <v>AFN2180</v>
          </cell>
          <cell r="D444" t="str">
            <v>AFN2180</v>
          </cell>
        </row>
        <row r="445">
          <cell r="C445" t="str">
            <v>AFN2407</v>
          </cell>
          <cell r="D445" t="str">
            <v>AFN2407</v>
          </cell>
        </row>
        <row r="446">
          <cell r="C446" t="str">
            <v>AFN2880</v>
          </cell>
          <cell r="D446" t="str">
            <v>AFN2880</v>
          </cell>
        </row>
        <row r="447">
          <cell r="C447" t="str">
            <v>AFN9393</v>
          </cell>
          <cell r="D447" t="str">
            <v>AFN9393</v>
          </cell>
        </row>
        <row r="448">
          <cell r="C448" t="str">
            <v>AFO4394</v>
          </cell>
          <cell r="D448" t="str">
            <v>AFO4394</v>
          </cell>
        </row>
        <row r="449">
          <cell r="C449" t="str">
            <v>AFO5772</v>
          </cell>
          <cell r="D449" t="str">
            <v>AFO5772</v>
          </cell>
        </row>
        <row r="450">
          <cell r="C450" t="str">
            <v>AFQ0251</v>
          </cell>
          <cell r="D450" t="str">
            <v>AFQ0251</v>
          </cell>
        </row>
        <row r="451">
          <cell r="C451" t="str">
            <v>AFQ3173</v>
          </cell>
          <cell r="D451" t="str">
            <v>AFQ3173</v>
          </cell>
        </row>
        <row r="452">
          <cell r="C452" t="str">
            <v>AFQ4467</v>
          </cell>
          <cell r="D452" t="str">
            <v>AFQ4467</v>
          </cell>
        </row>
        <row r="453">
          <cell r="C453" t="str">
            <v>AFS5A13</v>
          </cell>
          <cell r="D453" t="str">
            <v>AFS5A13</v>
          </cell>
        </row>
        <row r="454">
          <cell r="C454" t="str">
            <v>AFS9147</v>
          </cell>
          <cell r="D454" t="str">
            <v>AFS9147</v>
          </cell>
        </row>
        <row r="455">
          <cell r="C455" t="str">
            <v>AFT4807</v>
          </cell>
          <cell r="D455" t="str">
            <v>AFT4807</v>
          </cell>
        </row>
        <row r="456">
          <cell r="C456" t="str">
            <v>AFU8090</v>
          </cell>
          <cell r="D456" t="str">
            <v>AFU8090</v>
          </cell>
        </row>
        <row r="457">
          <cell r="C457" t="str">
            <v>AFU9695</v>
          </cell>
          <cell r="D457" t="str">
            <v>AFU9695</v>
          </cell>
        </row>
        <row r="458">
          <cell r="C458" t="str">
            <v>AFV2531</v>
          </cell>
          <cell r="D458" t="str">
            <v>AFV2531</v>
          </cell>
        </row>
        <row r="459">
          <cell r="C459" t="str">
            <v>AFV9847</v>
          </cell>
          <cell r="D459" t="str">
            <v>AFV9847</v>
          </cell>
        </row>
        <row r="460">
          <cell r="C460" t="str">
            <v>AFX0320</v>
          </cell>
          <cell r="D460" t="str">
            <v>AFX0320</v>
          </cell>
        </row>
        <row r="461">
          <cell r="C461" t="str">
            <v>AFX5624</v>
          </cell>
          <cell r="D461" t="str">
            <v>AFX5624</v>
          </cell>
        </row>
        <row r="462">
          <cell r="C462" t="str">
            <v>AFZ0102</v>
          </cell>
          <cell r="D462" t="str">
            <v>AFZ0102</v>
          </cell>
        </row>
        <row r="463">
          <cell r="C463" t="str">
            <v>AFZ0105</v>
          </cell>
          <cell r="D463" t="str">
            <v>AFZ0105</v>
          </cell>
        </row>
        <row r="464">
          <cell r="C464" t="str">
            <v>AFZ1E96</v>
          </cell>
          <cell r="D464" t="str">
            <v>AFZ1E96</v>
          </cell>
        </row>
        <row r="465">
          <cell r="C465" t="str">
            <v>AFZ3220</v>
          </cell>
          <cell r="D465" t="str">
            <v>AFZ3220</v>
          </cell>
        </row>
        <row r="466">
          <cell r="C466" t="str">
            <v>AGA3377</v>
          </cell>
          <cell r="D466" t="str">
            <v>AGA3377</v>
          </cell>
        </row>
        <row r="467">
          <cell r="C467" t="str">
            <v>AGA8620</v>
          </cell>
          <cell r="D467" t="str">
            <v>AGA8620</v>
          </cell>
        </row>
        <row r="468">
          <cell r="C468" t="str">
            <v>AGB0684</v>
          </cell>
          <cell r="D468" t="str">
            <v>AGB0684</v>
          </cell>
        </row>
        <row r="469">
          <cell r="C469" t="str">
            <v>AGB3460</v>
          </cell>
          <cell r="D469" t="str">
            <v>AGB3460</v>
          </cell>
        </row>
        <row r="470">
          <cell r="C470" t="str">
            <v>AGB4340</v>
          </cell>
          <cell r="D470" t="str">
            <v>AGB4340</v>
          </cell>
        </row>
        <row r="471">
          <cell r="C471" t="str">
            <v>AGB5979</v>
          </cell>
          <cell r="D471" t="str">
            <v>AGB5979</v>
          </cell>
        </row>
        <row r="472">
          <cell r="C472" t="str">
            <v>AGB7158</v>
          </cell>
          <cell r="D472" t="str">
            <v>AGB7158</v>
          </cell>
        </row>
        <row r="473">
          <cell r="C473" t="str">
            <v>AGB8226</v>
          </cell>
          <cell r="D473" t="str">
            <v>AGB8226</v>
          </cell>
        </row>
        <row r="474">
          <cell r="C474" t="str">
            <v>AGB8342</v>
          </cell>
          <cell r="D474" t="str">
            <v>AGB8342</v>
          </cell>
        </row>
        <row r="475">
          <cell r="C475" t="str">
            <v>AGC0142</v>
          </cell>
          <cell r="D475" t="str">
            <v>AGC0142</v>
          </cell>
        </row>
        <row r="476">
          <cell r="C476" t="str">
            <v>AGC8020</v>
          </cell>
          <cell r="D476" t="str">
            <v>AGC8020</v>
          </cell>
        </row>
        <row r="477">
          <cell r="C477" t="str">
            <v>AGC9356</v>
          </cell>
          <cell r="D477" t="str">
            <v>AGC9356</v>
          </cell>
        </row>
        <row r="478">
          <cell r="C478" t="str">
            <v>AGD3065</v>
          </cell>
          <cell r="D478" t="str">
            <v>AGD3065</v>
          </cell>
        </row>
        <row r="479">
          <cell r="C479" t="str">
            <v>AGD4148</v>
          </cell>
          <cell r="D479" t="str">
            <v>AGD4148</v>
          </cell>
        </row>
        <row r="480">
          <cell r="C480" t="str">
            <v>AGD6895</v>
          </cell>
          <cell r="D480" t="str">
            <v>AGD6895</v>
          </cell>
        </row>
        <row r="481">
          <cell r="C481" t="str">
            <v>AGD8450</v>
          </cell>
          <cell r="D481" t="str">
            <v>AGD8450</v>
          </cell>
        </row>
        <row r="482">
          <cell r="C482" t="str">
            <v>AGH5684</v>
          </cell>
          <cell r="D482" t="str">
            <v>AGH5684</v>
          </cell>
        </row>
        <row r="483">
          <cell r="C483" t="str">
            <v>AGH6031</v>
          </cell>
          <cell r="D483" t="str">
            <v>AGH6031</v>
          </cell>
        </row>
        <row r="484">
          <cell r="C484" t="str">
            <v>AGI0F71</v>
          </cell>
          <cell r="D484" t="str">
            <v>AGI0F71</v>
          </cell>
        </row>
        <row r="485">
          <cell r="C485" t="str">
            <v>AGI2835</v>
          </cell>
          <cell r="D485" t="str">
            <v>AGI2835</v>
          </cell>
        </row>
        <row r="486">
          <cell r="C486" t="str">
            <v>AGI5H85</v>
          </cell>
          <cell r="D486" t="str">
            <v>AGI5H85</v>
          </cell>
        </row>
        <row r="487">
          <cell r="C487" t="str">
            <v>AGJ8315</v>
          </cell>
          <cell r="D487" t="str">
            <v>AGJ8315</v>
          </cell>
        </row>
        <row r="488">
          <cell r="C488" t="str">
            <v>AGK2664</v>
          </cell>
          <cell r="D488" t="str">
            <v>AGK2664</v>
          </cell>
        </row>
        <row r="489">
          <cell r="C489" t="str">
            <v>AGK5626</v>
          </cell>
          <cell r="D489" t="str">
            <v>AGK5626</v>
          </cell>
        </row>
        <row r="490">
          <cell r="C490" t="str">
            <v>AGL0J94</v>
          </cell>
          <cell r="D490" t="str">
            <v>AGL0J94</v>
          </cell>
        </row>
        <row r="491">
          <cell r="C491" t="str">
            <v>AGL1469</v>
          </cell>
          <cell r="D491" t="str">
            <v>AGL1469</v>
          </cell>
        </row>
        <row r="492">
          <cell r="C492" t="str">
            <v>AGL7E25</v>
          </cell>
          <cell r="D492" t="str">
            <v>AGL7E25</v>
          </cell>
        </row>
        <row r="493">
          <cell r="C493" t="str">
            <v>AGL8977</v>
          </cell>
          <cell r="D493" t="str">
            <v>AGL8977</v>
          </cell>
        </row>
        <row r="494">
          <cell r="C494" t="str">
            <v>AGM7835</v>
          </cell>
          <cell r="D494" t="str">
            <v>AGM7835</v>
          </cell>
        </row>
        <row r="495">
          <cell r="C495" t="str">
            <v>AGM7C83</v>
          </cell>
          <cell r="D495" t="str">
            <v>AGM7C83</v>
          </cell>
        </row>
        <row r="496">
          <cell r="C496" t="str">
            <v>AGM9535</v>
          </cell>
          <cell r="D496" t="str">
            <v>AGM9535</v>
          </cell>
        </row>
        <row r="497">
          <cell r="C497" t="str">
            <v>AGM9677</v>
          </cell>
          <cell r="D497" t="str">
            <v>AGM9677</v>
          </cell>
        </row>
        <row r="498">
          <cell r="C498" t="str">
            <v>AGN2609</v>
          </cell>
          <cell r="D498" t="str">
            <v>AGN2609</v>
          </cell>
        </row>
        <row r="499">
          <cell r="C499" t="str">
            <v>AGN7042</v>
          </cell>
          <cell r="D499" t="str">
            <v>AGN7042</v>
          </cell>
        </row>
        <row r="500">
          <cell r="C500">
            <v>1085350</v>
          </cell>
          <cell r="D500">
            <v>1085350</v>
          </cell>
        </row>
        <row r="501">
          <cell r="C501">
            <v>1605455</v>
          </cell>
          <cell r="D501">
            <v>1605455</v>
          </cell>
        </row>
        <row r="502">
          <cell r="C502">
            <v>1939652</v>
          </cell>
          <cell r="D502">
            <v>1939652</v>
          </cell>
        </row>
        <row r="503">
          <cell r="C503">
            <v>1993343</v>
          </cell>
          <cell r="D503">
            <v>1993343</v>
          </cell>
        </row>
        <row r="504">
          <cell r="C504">
            <v>2376482</v>
          </cell>
          <cell r="D504">
            <v>2376482</v>
          </cell>
        </row>
        <row r="505">
          <cell r="C505" t="str">
            <v>AGP1994</v>
          </cell>
          <cell r="D505" t="str">
            <v>AGP1994</v>
          </cell>
        </row>
        <row r="506">
          <cell r="C506" t="str">
            <v>AGP4970</v>
          </cell>
          <cell r="D506" t="str">
            <v>AGP4970</v>
          </cell>
        </row>
        <row r="507">
          <cell r="C507" t="str">
            <v>AGP4J70</v>
          </cell>
          <cell r="D507" t="str">
            <v>AGP4J70</v>
          </cell>
        </row>
        <row r="508">
          <cell r="C508" t="str">
            <v>AGP5737</v>
          </cell>
          <cell r="D508" t="str">
            <v>AGP5737</v>
          </cell>
        </row>
        <row r="509">
          <cell r="C509" t="str">
            <v>AGP6249</v>
          </cell>
          <cell r="D509" t="str">
            <v>AGP6249</v>
          </cell>
        </row>
        <row r="510">
          <cell r="C510" t="str">
            <v>AGQ3018</v>
          </cell>
          <cell r="D510" t="str">
            <v>AGQ3018</v>
          </cell>
        </row>
        <row r="511">
          <cell r="C511" t="str">
            <v>AGQ6295</v>
          </cell>
          <cell r="D511" t="str">
            <v>AGQ6295</v>
          </cell>
        </row>
        <row r="512">
          <cell r="C512" t="str">
            <v>AGQ7D91</v>
          </cell>
          <cell r="D512" t="str">
            <v>AGQ7D91</v>
          </cell>
        </row>
        <row r="513">
          <cell r="C513" t="str">
            <v>AGR2408</v>
          </cell>
          <cell r="D513" t="str">
            <v>AGR2408</v>
          </cell>
        </row>
        <row r="514">
          <cell r="C514" t="str">
            <v>AGR4994</v>
          </cell>
          <cell r="D514" t="str">
            <v>AGR4994</v>
          </cell>
        </row>
        <row r="515">
          <cell r="C515" t="str">
            <v>AGR5540</v>
          </cell>
          <cell r="D515" t="str">
            <v>AGR5540</v>
          </cell>
        </row>
        <row r="516">
          <cell r="C516" t="str">
            <v>AGR8B36</v>
          </cell>
          <cell r="D516" t="str">
            <v>AGR8B36</v>
          </cell>
        </row>
        <row r="517">
          <cell r="C517" t="str">
            <v>AGS1040</v>
          </cell>
          <cell r="D517" t="str">
            <v>AGS1040</v>
          </cell>
        </row>
        <row r="518">
          <cell r="C518" t="str">
            <v>AGS1841</v>
          </cell>
          <cell r="D518" t="str">
            <v>AGS1841</v>
          </cell>
        </row>
        <row r="519">
          <cell r="C519" t="str">
            <v>AGS4436</v>
          </cell>
          <cell r="D519" t="str">
            <v>AGS4436</v>
          </cell>
        </row>
        <row r="520">
          <cell r="C520" t="str">
            <v>AGS7048</v>
          </cell>
          <cell r="D520" t="str">
            <v>AGS7048</v>
          </cell>
        </row>
        <row r="521">
          <cell r="C521" t="str">
            <v>AGT6D87</v>
          </cell>
          <cell r="D521" t="str">
            <v>AGT6D87</v>
          </cell>
        </row>
        <row r="522">
          <cell r="C522" t="str">
            <v>AGT7892</v>
          </cell>
          <cell r="D522" t="str">
            <v>AGT7892</v>
          </cell>
        </row>
        <row r="523">
          <cell r="C523" t="str">
            <v>AGU3118</v>
          </cell>
          <cell r="D523" t="str">
            <v>AGU3118</v>
          </cell>
        </row>
        <row r="524">
          <cell r="C524" t="str">
            <v>AGU6328</v>
          </cell>
          <cell r="D524" t="str">
            <v>AGU6328</v>
          </cell>
        </row>
        <row r="525">
          <cell r="C525" t="str">
            <v>AGU9670</v>
          </cell>
          <cell r="D525" t="str">
            <v>AGU9670</v>
          </cell>
        </row>
        <row r="526">
          <cell r="C526" t="str">
            <v>AGV8297</v>
          </cell>
          <cell r="D526" t="str">
            <v>AGV8297</v>
          </cell>
        </row>
        <row r="527">
          <cell r="C527" t="str">
            <v>AGW3283</v>
          </cell>
          <cell r="D527" t="str">
            <v>AGW3283</v>
          </cell>
        </row>
        <row r="528">
          <cell r="C528" t="str">
            <v>AGW7169</v>
          </cell>
          <cell r="D528" t="str">
            <v>AGW7169</v>
          </cell>
        </row>
        <row r="529">
          <cell r="C529" t="str">
            <v>AGX3331</v>
          </cell>
          <cell r="D529" t="str">
            <v>AGX3331</v>
          </cell>
        </row>
        <row r="530">
          <cell r="C530" t="str">
            <v>AGX5G04</v>
          </cell>
          <cell r="D530" t="str">
            <v>AGX5G04</v>
          </cell>
        </row>
        <row r="531">
          <cell r="C531" t="str">
            <v>AGX7853</v>
          </cell>
          <cell r="D531" t="str">
            <v>AGX7853</v>
          </cell>
        </row>
        <row r="532">
          <cell r="C532" t="str">
            <v>AGY6330</v>
          </cell>
          <cell r="D532" t="str">
            <v>AGY6330</v>
          </cell>
        </row>
        <row r="533">
          <cell r="C533" t="str">
            <v>AGZ2340</v>
          </cell>
          <cell r="D533" t="str">
            <v>AGZ2340</v>
          </cell>
        </row>
        <row r="534">
          <cell r="C534" t="str">
            <v>AGZ4625</v>
          </cell>
          <cell r="D534" t="str">
            <v>AGZ4625</v>
          </cell>
        </row>
        <row r="535">
          <cell r="C535" t="str">
            <v>AHA2330</v>
          </cell>
          <cell r="D535" t="str">
            <v>AHA2330</v>
          </cell>
        </row>
        <row r="536">
          <cell r="C536" t="str">
            <v>AHB4485</v>
          </cell>
          <cell r="D536" t="str">
            <v>AHB4485</v>
          </cell>
        </row>
        <row r="537">
          <cell r="C537" t="str">
            <v>AHB9G06</v>
          </cell>
          <cell r="D537" t="str">
            <v>AHB9G06</v>
          </cell>
        </row>
        <row r="538">
          <cell r="C538" t="str">
            <v>AHC4973</v>
          </cell>
          <cell r="D538" t="str">
            <v>AHC4973</v>
          </cell>
        </row>
        <row r="539">
          <cell r="C539" t="str">
            <v>AHD1123</v>
          </cell>
          <cell r="D539" t="str">
            <v>AHD1123</v>
          </cell>
        </row>
        <row r="540">
          <cell r="C540" t="str">
            <v>AHE0392</v>
          </cell>
          <cell r="D540" t="str">
            <v>AHE0392</v>
          </cell>
        </row>
        <row r="541">
          <cell r="C541" t="str">
            <v>AHF9074</v>
          </cell>
          <cell r="D541" t="str">
            <v>AHF9074</v>
          </cell>
        </row>
        <row r="542">
          <cell r="C542" t="str">
            <v>AHG7742</v>
          </cell>
          <cell r="D542" t="str">
            <v>AHG7742</v>
          </cell>
        </row>
        <row r="543">
          <cell r="C543" t="str">
            <v>AHH5202</v>
          </cell>
          <cell r="D543" t="str">
            <v>AHH5202</v>
          </cell>
        </row>
        <row r="544">
          <cell r="C544" t="str">
            <v>AHH8417</v>
          </cell>
          <cell r="D544" t="str">
            <v>AHH8417</v>
          </cell>
        </row>
        <row r="545">
          <cell r="C545" t="str">
            <v>AHI8I49</v>
          </cell>
          <cell r="D545" t="str">
            <v>AHI8I49</v>
          </cell>
        </row>
        <row r="546">
          <cell r="C546" t="str">
            <v>AHI9601</v>
          </cell>
          <cell r="D546" t="str">
            <v>AHI9601</v>
          </cell>
        </row>
        <row r="547">
          <cell r="C547" t="str">
            <v>AHK8470</v>
          </cell>
          <cell r="D547" t="str">
            <v>AHK8470</v>
          </cell>
        </row>
        <row r="548">
          <cell r="C548" t="str">
            <v>AHK8861</v>
          </cell>
          <cell r="D548" t="str">
            <v>AHK8861</v>
          </cell>
        </row>
        <row r="549">
          <cell r="C549" t="str">
            <v>AHK9773</v>
          </cell>
          <cell r="D549" t="str">
            <v>AHK9773</v>
          </cell>
        </row>
        <row r="550">
          <cell r="C550" t="str">
            <v>AHL3F00</v>
          </cell>
          <cell r="D550" t="str">
            <v>AHL3F00</v>
          </cell>
        </row>
        <row r="551">
          <cell r="C551" t="str">
            <v>AHM9212</v>
          </cell>
          <cell r="D551" t="str">
            <v>AHM9212</v>
          </cell>
        </row>
        <row r="552">
          <cell r="C552" t="str">
            <v>AHM0806</v>
          </cell>
          <cell r="D552" t="str">
            <v>AHM0806</v>
          </cell>
        </row>
        <row r="553">
          <cell r="C553" t="str">
            <v>AHM1279</v>
          </cell>
          <cell r="D553" t="str">
            <v>AHM1279</v>
          </cell>
        </row>
        <row r="554">
          <cell r="C554" t="str">
            <v>AHM4322</v>
          </cell>
          <cell r="D554" t="str">
            <v>AHM4322</v>
          </cell>
        </row>
        <row r="555">
          <cell r="C555" t="str">
            <v>AHN3802</v>
          </cell>
          <cell r="D555" t="str">
            <v>AHN3802</v>
          </cell>
        </row>
        <row r="556">
          <cell r="C556" t="str">
            <v>AHN9G80</v>
          </cell>
          <cell r="D556" t="str">
            <v>AHN9G80</v>
          </cell>
        </row>
        <row r="557">
          <cell r="C557" t="str">
            <v>AHO7689</v>
          </cell>
          <cell r="D557" t="str">
            <v>AHO7689</v>
          </cell>
        </row>
        <row r="558">
          <cell r="C558" t="str">
            <v>AHO8859</v>
          </cell>
          <cell r="D558" t="str">
            <v>AHO8859</v>
          </cell>
        </row>
        <row r="559">
          <cell r="C559" t="str">
            <v>AHP3535</v>
          </cell>
          <cell r="D559" t="str">
            <v>AHP3535</v>
          </cell>
        </row>
        <row r="560">
          <cell r="C560" t="str">
            <v>AHP5782</v>
          </cell>
          <cell r="D560" t="str">
            <v>AHP5782</v>
          </cell>
        </row>
        <row r="561">
          <cell r="C561" t="str">
            <v>AHQ4344</v>
          </cell>
          <cell r="D561" t="str">
            <v>AHQ4344</v>
          </cell>
        </row>
        <row r="562">
          <cell r="C562" t="str">
            <v>AHS0409</v>
          </cell>
          <cell r="D562" t="str">
            <v>AHS0409</v>
          </cell>
        </row>
        <row r="563">
          <cell r="C563" t="str">
            <v>AHS1105</v>
          </cell>
          <cell r="D563" t="str">
            <v>AHS1105</v>
          </cell>
        </row>
        <row r="564">
          <cell r="C564" t="str">
            <v>AHS2H65</v>
          </cell>
          <cell r="D564" t="str">
            <v>AHS2H65</v>
          </cell>
        </row>
        <row r="565">
          <cell r="C565" t="str">
            <v>AHS3305</v>
          </cell>
          <cell r="D565" t="str">
            <v>AHS3305</v>
          </cell>
        </row>
        <row r="566">
          <cell r="C566" t="str">
            <v>AHU9I32</v>
          </cell>
          <cell r="D566" t="str">
            <v>AHU9I32</v>
          </cell>
        </row>
        <row r="567">
          <cell r="C567" t="str">
            <v>AHV0775</v>
          </cell>
          <cell r="D567" t="str">
            <v>AHV0775</v>
          </cell>
        </row>
        <row r="568">
          <cell r="C568" t="str">
            <v>AHV9427</v>
          </cell>
          <cell r="D568" t="str">
            <v>AHV9427</v>
          </cell>
        </row>
        <row r="569">
          <cell r="C569" t="str">
            <v>AHW2233</v>
          </cell>
          <cell r="D569" t="str">
            <v>AHW2233</v>
          </cell>
        </row>
        <row r="570">
          <cell r="C570" t="str">
            <v>AHW2448</v>
          </cell>
          <cell r="D570" t="str">
            <v>AHW2448</v>
          </cell>
        </row>
        <row r="571">
          <cell r="C571" t="str">
            <v>AHW0697</v>
          </cell>
          <cell r="D571" t="str">
            <v>AHW0697</v>
          </cell>
        </row>
        <row r="572">
          <cell r="C572" t="str">
            <v>AHW3279</v>
          </cell>
          <cell r="D572" t="str">
            <v>AHW3279</v>
          </cell>
        </row>
        <row r="573">
          <cell r="C573" t="str">
            <v>AHX7173</v>
          </cell>
          <cell r="D573" t="str">
            <v>AHX7173</v>
          </cell>
        </row>
        <row r="574">
          <cell r="C574" t="str">
            <v>AHX8289</v>
          </cell>
          <cell r="D574" t="str">
            <v>AHX8289</v>
          </cell>
        </row>
        <row r="575">
          <cell r="C575" t="str">
            <v>AHY1022</v>
          </cell>
          <cell r="D575" t="str">
            <v>AHY1022</v>
          </cell>
        </row>
        <row r="576">
          <cell r="C576" t="str">
            <v>AHY2185</v>
          </cell>
          <cell r="D576" t="str">
            <v>AHY2185</v>
          </cell>
        </row>
        <row r="577">
          <cell r="C577" t="str">
            <v>AHY4F30</v>
          </cell>
          <cell r="D577" t="str">
            <v>AHY4F30</v>
          </cell>
        </row>
        <row r="578">
          <cell r="C578" t="str">
            <v>AHZ0007</v>
          </cell>
          <cell r="D578" t="str">
            <v>AHZ0007</v>
          </cell>
        </row>
        <row r="579">
          <cell r="C579" t="str">
            <v>AIA3A97</v>
          </cell>
          <cell r="D579" t="str">
            <v>AIA3A97</v>
          </cell>
        </row>
        <row r="580">
          <cell r="C580" t="str">
            <v>AIA6922</v>
          </cell>
          <cell r="D580" t="str">
            <v>AIA6922</v>
          </cell>
        </row>
        <row r="581">
          <cell r="C581" t="str">
            <v>AIB1426</v>
          </cell>
          <cell r="D581" t="str">
            <v>AIB1426</v>
          </cell>
        </row>
        <row r="582">
          <cell r="C582" t="str">
            <v>AIB2088</v>
          </cell>
          <cell r="D582" t="str">
            <v>AIB2088</v>
          </cell>
        </row>
        <row r="583">
          <cell r="C583" t="str">
            <v>AIB3539</v>
          </cell>
          <cell r="D583" t="str">
            <v>AIB3539</v>
          </cell>
        </row>
        <row r="584">
          <cell r="C584" t="str">
            <v>AIB5814</v>
          </cell>
          <cell r="D584" t="str">
            <v>AIB5814</v>
          </cell>
        </row>
        <row r="585">
          <cell r="C585" t="str">
            <v>AIC4I42</v>
          </cell>
          <cell r="D585" t="str">
            <v>AIC4I42</v>
          </cell>
        </row>
        <row r="586">
          <cell r="C586" t="str">
            <v>AIC9867</v>
          </cell>
          <cell r="D586" t="str">
            <v>AIC9867</v>
          </cell>
        </row>
        <row r="587">
          <cell r="C587" t="str">
            <v>AIC9I67</v>
          </cell>
          <cell r="D587" t="str">
            <v>AIC9I67</v>
          </cell>
        </row>
        <row r="588">
          <cell r="C588" t="str">
            <v>AID1480</v>
          </cell>
          <cell r="D588" t="str">
            <v>AID1480</v>
          </cell>
        </row>
        <row r="589">
          <cell r="C589" t="str">
            <v>AID1698</v>
          </cell>
          <cell r="D589" t="str">
            <v>AID1698</v>
          </cell>
        </row>
        <row r="590">
          <cell r="C590" t="str">
            <v>AID1983</v>
          </cell>
          <cell r="D590" t="str">
            <v>AID1983</v>
          </cell>
        </row>
        <row r="591">
          <cell r="C591" t="str">
            <v>AID6294</v>
          </cell>
          <cell r="D591" t="str">
            <v>AID6294</v>
          </cell>
        </row>
        <row r="592">
          <cell r="C592" t="str">
            <v>AID8182</v>
          </cell>
          <cell r="D592" t="str">
            <v>AID8182</v>
          </cell>
        </row>
        <row r="593">
          <cell r="C593" t="str">
            <v>AID8542</v>
          </cell>
          <cell r="D593" t="str">
            <v>AID8542</v>
          </cell>
        </row>
        <row r="594">
          <cell r="C594" t="str">
            <v>AID8568</v>
          </cell>
          <cell r="D594" t="str">
            <v>AID8568</v>
          </cell>
        </row>
        <row r="595">
          <cell r="C595" t="str">
            <v>AIE5487</v>
          </cell>
          <cell r="D595" t="str">
            <v>AIE5487</v>
          </cell>
        </row>
        <row r="596">
          <cell r="C596" t="str">
            <v>AIF8024</v>
          </cell>
          <cell r="D596" t="str">
            <v>AIF8024</v>
          </cell>
        </row>
        <row r="597">
          <cell r="C597" t="str">
            <v>AIG0C50</v>
          </cell>
          <cell r="D597" t="str">
            <v>AIG0C50</v>
          </cell>
        </row>
        <row r="598">
          <cell r="C598" t="str">
            <v>AIG5E38</v>
          </cell>
          <cell r="D598" t="str">
            <v>AIG5E38</v>
          </cell>
        </row>
        <row r="599">
          <cell r="C599" t="str">
            <v>AIG7562</v>
          </cell>
          <cell r="D599" t="str">
            <v>AIG7562</v>
          </cell>
        </row>
        <row r="600">
          <cell r="C600" t="str">
            <v>AIG8250</v>
          </cell>
          <cell r="D600" t="str">
            <v>AIG8250</v>
          </cell>
        </row>
        <row r="601">
          <cell r="C601" t="str">
            <v>AIG8612</v>
          </cell>
          <cell r="D601" t="str">
            <v>AIG8612</v>
          </cell>
        </row>
        <row r="602">
          <cell r="C602" t="str">
            <v>AIG8975</v>
          </cell>
          <cell r="D602" t="str">
            <v>AIG8975</v>
          </cell>
        </row>
        <row r="603">
          <cell r="C603" t="str">
            <v>AIG9426</v>
          </cell>
          <cell r="D603" t="str">
            <v>AIG9426</v>
          </cell>
        </row>
        <row r="604">
          <cell r="C604" t="str">
            <v>AIH7093</v>
          </cell>
          <cell r="D604" t="str">
            <v>AIH7093</v>
          </cell>
        </row>
        <row r="605">
          <cell r="C605" t="str">
            <v>AII0360</v>
          </cell>
          <cell r="D605" t="str">
            <v>AII0360</v>
          </cell>
        </row>
        <row r="606">
          <cell r="C606" t="str">
            <v>AIJ3354</v>
          </cell>
          <cell r="D606" t="str">
            <v>AIJ3354</v>
          </cell>
        </row>
        <row r="607">
          <cell r="C607" t="str">
            <v>AIJ4890</v>
          </cell>
          <cell r="D607" t="str">
            <v>AIJ4890</v>
          </cell>
        </row>
        <row r="608">
          <cell r="C608" t="str">
            <v>AIJ5488</v>
          </cell>
          <cell r="D608" t="str">
            <v>AIJ5488</v>
          </cell>
        </row>
        <row r="609">
          <cell r="C609" t="str">
            <v>AIJ6771</v>
          </cell>
          <cell r="D609" t="str">
            <v>AIJ6771</v>
          </cell>
        </row>
        <row r="610">
          <cell r="C610" t="str">
            <v>AIK6468</v>
          </cell>
          <cell r="D610" t="str">
            <v>AIK6468</v>
          </cell>
        </row>
        <row r="611">
          <cell r="C611" t="str">
            <v>AIK6E68</v>
          </cell>
          <cell r="D611" t="str">
            <v>AIK6E68</v>
          </cell>
        </row>
        <row r="612">
          <cell r="C612" t="str">
            <v>AIK9112</v>
          </cell>
          <cell r="D612" t="str">
            <v>AIK9112</v>
          </cell>
        </row>
        <row r="613">
          <cell r="C613" t="str">
            <v>AIL0349</v>
          </cell>
          <cell r="D613" t="str">
            <v>AIL0349</v>
          </cell>
        </row>
        <row r="614">
          <cell r="C614" t="str">
            <v>AIL3291</v>
          </cell>
          <cell r="D614" t="str">
            <v>AIL3291</v>
          </cell>
        </row>
        <row r="615">
          <cell r="C615" t="str">
            <v>AIL6055</v>
          </cell>
          <cell r="D615" t="str">
            <v>AIL6055</v>
          </cell>
        </row>
        <row r="616">
          <cell r="C616" t="str">
            <v>AXY0416</v>
          </cell>
          <cell r="D616" t="str">
            <v>AXY0416</v>
          </cell>
        </row>
        <row r="617">
          <cell r="C617" t="str">
            <v>BPB3293</v>
          </cell>
          <cell r="D617" t="str">
            <v>BPB3293</v>
          </cell>
        </row>
        <row r="618">
          <cell r="C618" t="str">
            <v>AIM0135</v>
          </cell>
          <cell r="D618" t="str">
            <v>AIM0135</v>
          </cell>
        </row>
        <row r="619">
          <cell r="C619" t="str">
            <v>AIM0721</v>
          </cell>
          <cell r="D619" t="str">
            <v>AIM0721</v>
          </cell>
        </row>
        <row r="620">
          <cell r="C620" t="str">
            <v>AIM9037</v>
          </cell>
          <cell r="D620" t="str">
            <v>AIM9037</v>
          </cell>
        </row>
        <row r="621">
          <cell r="C621" t="str">
            <v>AIN8396</v>
          </cell>
          <cell r="D621" t="str">
            <v>AIN8396</v>
          </cell>
        </row>
        <row r="622">
          <cell r="C622" t="str">
            <v>AIO3848</v>
          </cell>
          <cell r="D622" t="str">
            <v>AIO3848</v>
          </cell>
        </row>
        <row r="623">
          <cell r="C623" t="str">
            <v>AIO7368</v>
          </cell>
          <cell r="D623" t="str">
            <v>AIO7368</v>
          </cell>
        </row>
        <row r="624">
          <cell r="C624" t="str">
            <v>AIP0170</v>
          </cell>
          <cell r="D624" t="str">
            <v>AIP0170</v>
          </cell>
        </row>
        <row r="625">
          <cell r="C625" t="str">
            <v>AIP3879</v>
          </cell>
          <cell r="D625" t="str">
            <v>AIP3879</v>
          </cell>
        </row>
        <row r="626">
          <cell r="C626" t="str">
            <v>AIP4039</v>
          </cell>
          <cell r="D626" t="str">
            <v>AIP4039</v>
          </cell>
        </row>
        <row r="627">
          <cell r="C627" t="str">
            <v>AIP5085</v>
          </cell>
          <cell r="D627" t="str">
            <v>AIP5085</v>
          </cell>
        </row>
        <row r="628">
          <cell r="C628" t="str">
            <v>AIP7C11</v>
          </cell>
          <cell r="D628" t="str">
            <v>AIP7C11</v>
          </cell>
        </row>
        <row r="629">
          <cell r="C629" t="str">
            <v>AIP9416</v>
          </cell>
          <cell r="D629" t="str">
            <v>AIP9416</v>
          </cell>
        </row>
        <row r="630">
          <cell r="C630" t="str">
            <v>AIQ5528</v>
          </cell>
          <cell r="D630" t="str">
            <v>AIQ5528</v>
          </cell>
        </row>
        <row r="631">
          <cell r="C631" t="str">
            <v>AIQ8589</v>
          </cell>
          <cell r="D631" t="str">
            <v>AIQ8589</v>
          </cell>
        </row>
        <row r="632">
          <cell r="C632" t="str">
            <v>AIQ9920</v>
          </cell>
          <cell r="D632" t="str">
            <v>AIQ9920</v>
          </cell>
        </row>
        <row r="633">
          <cell r="C633" t="str">
            <v>AIR1881</v>
          </cell>
          <cell r="D633" t="str">
            <v>AIR1881</v>
          </cell>
        </row>
        <row r="634">
          <cell r="C634" t="str">
            <v>AIR7H31</v>
          </cell>
          <cell r="D634" t="str">
            <v>AIR7H31</v>
          </cell>
        </row>
        <row r="635">
          <cell r="C635" t="str">
            <v>AIS0648</v>
          </cell>
          <cell r="D635" t="str">
            <v>AIS0648</v>
          </cell>
        </row>
        <row r="636">
          <cell r="C636" t="str">
            <v>AIS5J20</v>
          </cell>
          <cell r="D636" t="str">
            <v>AIS5J20</v>
          </cell>
        </row>
        <row r="637">
          <cell r="C637" t="str">
            <v>AIS6619</v>
          </cell>
          <cell r="D637" t="str">
            <v>AIS6619</v>
          </cell>
        </row>
        <row r="638">
          <cell r="C638" t="str">
            <v>AIT0267</v>
          </cell>
          <cell r="D638" t="str">
            <v>AIT0267</v>
          </cell>
        </row>
        <row r="639">
          <cell r="C639" t="str">
            <v>AIT6795</v>
          </cell>
          <cell r="D639" t="str">
            <v>AIT6795</v>
          </cell>
        </row>
        <row r="640">
          <cell r="C640" t="str">
            <v>AIT6F04</v>
          </cell>
          <cell r="D640" t="str">
            <v>AIT6F04</v>
          </cell>
        </row>
        <row r="641">
          <cell r="C641" t="str">
            <v>AIT7629</v>
          </cell>
          <cell r="D641" t="str">
            <v>AIT7629</v>
          </cell>
        </row>
        <row r="642">
          <cell r="C642" t="str">
            <v>AIT9032</v>
          </cell>
          <cell r="D642" t="str">
            <v>AIT9032</v>
          </cell>
        </row>
        <row r="643">
          <cell r="C643" t="str">
            <v>AIU3411</v>
          </cell>
          <cell r="D643" t="str">
            <v>AIU3411</v>
          </cell>
        </row>
        <row r="644">
          <cell r="C644" t="str">
            <v>AIU3968</v>
          </cell>
          <cell r="D644" t="str">
            <v>AIU3968</v>
          </cell>
        </row>
        <row r="645">
          <cell r="C645" t="str">
            <v>AIU4730</v>
          </cell>
          <cell r="D645" t="str">
            <v>AIU4730</v>
          </cell>
        </row>
        <row r="646">
          <cell r="C646" t="str">
            <v>AIU6042</v>
          </cell>
          <cell r="D646" t="str">
            <v>AIU6042</v>
          </cell>
        </row>
        <row r="647">
          <cell r="C647" t="str">
            <v>AIU6915</v>
          </cell>
          <cell r="D647" t="str">
            <v>AIU6915</v>
          </cell>
        </row>
        <row r="648">
          <cell r="C648" t="str">
            <v>AIU7560</v>
          </cell>
          <cell r="D648" t="str">
            <v>AIU7560</v>
          </cell>
        </row>
        <row r="649">
          <cell r="C649" t="str">
            <v>AIU8E01</v>
          </cell>
          <cell r="D649" t="str">
            <v>AIU8E01</v>
          </cell>
        </row>
        <row r="650">
          <cell r="C650" t="str">
            <v>AIU9771</v>
          </cell>
          <cell r="D650" t="str">
            <v>AIU9771</v>
          </cell>
        </row>
        <row r="651">
          <cell r="C651" t="str">
            <v>AIV0711</v>
          </cell>
          <cell r="D651" t="str">
            <v>AIV0711</v>
          </cell>
        </row>
        <row r="652">
          <cell r="C652" t="str">
            <v>AIV3103</v>
          </cell>
          <cell r="D652" t="str">
            <v>AIV3103</v>
          </cell>
        </row>
        <row r="653">
          <cell r="C653" t="str">
            <v>AIV3260</v>
          </cell>
          <cell r="D653" t="str">
            <v>AIV3260</v>
          </cell>
        </row>
        <row r="654">
          <cell r="C654" t="str">
            <v>AIV4779</v>
          </cell>
          <cell r="D654" t="str">
            <v>AIV4779</v>
          </cell>
        </row>
        <row r="655">
          <cell r="C655" t="str">
            <v>AIX2118</v>
          </cell>
          <cell r="D655" t="str">
            <v>AIX2118</v>
          </cell>
        </row>
        <row r="656">
          <cell r="C656" t="str">
            <v>AIX4591</v>
          </cell>
          <cell r="D656" t="str">
            <v>AIX4591</v>
          </cell>
        </row>
        <row r="657">
          <cell r="C657" t="str">
            <v>AIX5I77</v>
          </cell>
          <cell r="D657" t="str">
            <v>AIX5I77</v>
          </cell>
        </row>
        <row r="658">
          <cell r="C658" t="str">
            <v>AIX6F75</v>
          </cell>
          <cell r="D658" t="str">
            <v>AIX6F75</v>
          </cell>
        </row>
        <row r="659">
          <cell r="C659" t="str">
            <v>AIX9123</v>
          </cell>
          <cell r="D659" t="str">
            <v>AIX9123</v>
          </cell>
        </row>
        <row r="660">
          <cell r="C660" t="str">
            <v>AIY1303</v>
          </cell>
          <cell r="D660" t="str">
            <v>AIY1303</v>
          </cell>
        </row>
        <row r="661">
          <cell r="C661" t="str">
            <v>AIY8099</v>
          </cell>
          <cell r="D661" t="str">
            <v>AIY8099</v>
          </cell>
        </row>
        <row r="662">
          <cell r="C662" t="str">
            <v>AIY8405</v>
          </cell>
          <cell r="D662" t="str">
            <v>AIY8405</v>
          </cell>
        </row>
        <row r="663">
          <cell r="C663" t="str">
            <v>AIZ0A34</v>
          </cell>
          <cell r="D663" t="str">
            <v>AIZ0A34</v>
          </cell>
        </row>
        <row r="664">
          <cell r="C664" t="str">
            <v>AIZ3260</v>
          </cell>
          <cell r="D664" t="str">
            <v>AIZ3260</v>
          </cell>
        </row>
        <row r="665">
          <cell r="C665" t="str">
            <v>AIZ9330</v>
          </cell>
          <cell r="D665" t="str">
            <v>AIZ9330</v>
          </cell>
        </row>
        <row r="666">
          <cell r="C666" t="str">
            <v>AJA0121</v>
          </cell>
          <cell r="D666" t="str">
            <v>AJA0121</v>
          </cell>
        </row>
        <row r="667">
          <cell r="C667" t="str">
            <v>AJA2202</v>
          </cell>
          <cell r="D667" t="str">
            <v>AJA2202</v>
          </cell>
        </row>
        <row r="668">
          <cell r="C668" t="str">
            <v>AJB3105</v>
          </cell>
          <cell r="D668" t="str">
            <v>AJB3105</v>
          </cell>
        </row>
        <row r="669">
          <cell r="C669" t="str">
            <v>AJD9272</v>
          </cell>
          <cell r="D669" t="str">
            <v>AJD9272</v>
          </cell>
        </row>
        <row r="670">
          <cell r="C670" t="str">
            <v>AJE1555</v>
          </cell>
          <cell r="D670" t="str">
            <v>AJE1555</v>
          </cell>
        </row>
        <row r="671">
          <cell r="C671" t="str">
            <v>AJE1668</v>
          </cell>
          <cell r="D671" t="str">
            <v>AJE1668</v>
          </cell>
        </row>
        <row r="672">
          <cell r="C672" t="str">
            <v>AJF2J64</v>
          </cell>
          <cell r="D672" t="str">
            <v>AJF2J64</v>
          </cell>
        </row>
        <row r="673">
          <cell r="C673" t="str">
            <v>AJF3726</v>
          </cell>
          <cell r="D673" t="str">
            <v>AJF3726</v>
          </cell>
        </row>
        <row r="674">
          <cell r="C674" t="str">
            <v>AJF4149</v>
          </cell>
          <cell r="D674" t="str">
            <v>AJF4149</v>
          </cell>
        </row>
        <row r="675">
          <cell r="C675" t="str">
            <v>AJF7588</v>
          </cell>
          <cell r="D675" t="str">
            <v>AJF7588</v>
          </cell>
        </row>
        <row r="676">
          <cell r="C676" t="str">
            <v>AJG9250</v>
          </cell>
          <cell r="D676" t="str">
            <v>AJG9250</v>
          </cell>
        </row>
        <row r="677">
          <cell r="C677" t="str">
            <v>AJH1932</v>
          </cell>
          <cell r="D677" t="str">
            <v>AJH1932</v>
          </cell>
        </row>
        <row r="678">
          <cell r="C678" t="str">
            <v>AJI2528</v>
          </cell>
          <cell r="D678" t="str">
            <v>AJI2528</v>
          </cell>
        </row>
        <row r="679">
          <cell r="C679" t="str">
            <v>AJI2H69</v>
          </cell>
          <cell r="D679" t="str">
            <v>AJI2H69</v>
          </cell>
        </row>
        <row r="680">
          <cell r="C680" t="str">
            <v>AJJ1D61</v>
          </cell>
          <cell r="D680" t="str">
            <v>AJJ1D61</v>
          </cell>
        </row>
        <row r="681">
          <cell r="C681" t="str">
            <v>AJJ3863</v>
          </cell>
          <cell r="D681" t="str">
            <v>AJJ3863</v>
          </cell>
        </row>
        <row r="682">
          <cell r="C682" t="str">
            <v>AJK5822</v>
          </cell>
          <cell r="D682" t="str">
            <v>AJK5822</v>
          </cell>
        </row>
        <row r="683">
          <cell r="C683" t="str">
            <v>AJK6085</v>
          </cell>
          <cell r="D683" t="str">
            <v>AJK6085</v>
          </cell>
        </row>
        <row r="684">
          <cell r="C684" t="str">
            <v>AJL0392</v>
          </cell>
          <cell r="D684" t="str">
            <v>AJL0392</v>
          </cell>
        </row>
        <row r="685">
          <cell r="C685" t="str">
            <v>AJL0771</v>
          </cell>
          <cell r="D685" t="str">
            <v>AJL0771</v>
          </cell>
        </row>
        <row r="686">
          <cell r="C686" t="str">
            <v>AJN4530</v>
          </cell>
          <cell r="D686" t="str">
            <v>AJN4530</v>
          </cell>
        </row>
        <row r="687">
          <cell r="C687" t="str">
            <v>AJO2D62</v>
          </cell>
          <cell r="D687" t="str">
            <v>AJO2D62</v>
          </cell>
        </row>
        <row r="688">
          <cell r="C688" t="str">
            <v>AJO4905</v>
          </cell>
          <cell r="D688" t="str">
            <v>AJO4905</v>
          </cell>
        </row>
        <row r="689">
          <cell r="C689" t="str">
            <v>AJP2197</v>
          </cell>
          <cell r="D689" t="str">
            <v>AJP2197</v>
          </cell>
        </row>
        <row r="690">
          <cell r="C690" t="str">
            <v>AJP2626</v>
          </cell>
          <cell r="D690" t="str">
            <v>AJP2626</v>
          </cell>
        </row>
        <row r="691">
          <cell r="C691" t="str">
            <v>AJQ0453</v>
          </cell>
          <cell r="D691" t="str">
            <v>AJQ0453</v>
          </cell>
        </row>
        <row r="692">
          <cell r="C692" t="str">
            <v>AJS5552</v>
          </cell>
          <cell r="D692" t="str">
            <v>AJS5552</v>
          </cell>
        </row>
        <row r="693">
          <cell r="C693" t="str">
            <v>AJV1976</v>
          </cell>
          <cell r="D693" t="str">
            <v>AJV1976</v>
          </cell>
        </row>
        <row r="694">
          <cell r="C694" t="str">
            <v>AJY6591</v>
          </cell>
          <cell r="D694" t="str">
            <v>AJY6591</v>
          </cell>
        </row>
        <row r="695">
          <cell r="C695" t="str">
            <v>AKB5739</v>
          </cell>
          <cell r="D695" t="str">
            <v>AKB5739</v>
          </cell>
        </row>
        <row r="696">
          <cell r="C696" t="str">
            <v>AKB5F23</v>
          </cell>
          <cell r="D696" t="str">
            <v>AKB5F23</v>
          </cell>
        </row>
        <row r="697">
          <cell r="C697" t="str">
            <v>AKC1890</v>
          </cell>
          <cell r="D697" t="str">
            <v>AKC1890</v>
          </cell>
        </row>
        <row r="698">
          <cell r="C698" t="str">
            <v>AKD7966</v>
          </cell>
          <cell r="D698" t="str">
            <v>AKD7966</v>
          </cell>
        </row>
        <row r="699">
          <cell r="C699" t="str">
            <v>AKD7968</v>
          </cell>
          <cell r="D699" t="str">
            <v>AKD7968</v>
          </cell>
        </row>
        <row r="700">
          <cell r="C700" t="str">
            <v>AKD8A20</v>
          </cell>
          <cell r="D700" t="str">
            <v>AKD8A20</v>
          </cell>
        </row>
        <row r="701">
          <cell r="C701" t="str">
            <v>AKE7204</v>
          </cell>
          <cell r="D701" t="str">
            <v>AKE7204</v>
          </cell>
        </row>
        <row r="702">
          <cell r="C702" t="str">
            <v>AKG6G90</v>
          </cell>
          <cell r="D702" t="str">
            <v>AKG6G90</v>
          </cell>
        </row>
        <row r="703">
          <cell r="C703" t="str">
            <v>AKI6G00</v>
          </cell>
          <cell r="D703" t="str">
            <v>AKI6G00</v>
          </cell>
        </row>
        <row r="704">
          <cell r="C704" t="str">
            <v>AKI9611</v>
          </cell>
          <cell r="D704" t="str">
            <v>AKI9611</v>
          </cell>
        </row>
        <row r="705">
          <cell r="C705" t="str">
            <v>AKJ3G92</v>
          </cell>
          <cell r="D705" t="str">
            <v>AKJ3G92</v>
          </cell>
        </row>
        <row r="706">
          <cell r="C706" t="str">
            <v>AKJ7095</v>
          </cell>
          <cell r="D706" t="str">
            <v>AKJ7095</v>
          </cell>
        </row>
        <row r="707">
          <cell r="C707" t="str">
            <v>AKK2428</v>
          </cell>
          <cell r="D707" t="str">
            <v>AKK2428</v>
          </cell>
        </row>
        <row r="708">
          <cell r="C708" t="str">
            <v>AKL5075</v>
          </cell>
          <cell r="D708" t="str">
            <v>AKL5075</v>
          </cell>
        </row>
        <row r="709">
          <cell r="C709" t="str">
            <v>AKM2684</v>
          </cell>
          <cell r="D709" t="str">
            <v>AKM2684</v>
          </cell>
        </row>
        <row r="710">
          <cell r="C710" t="str">
            <v>AKM4069</v>
          </cell>
          <cell r="D710" t="str">
            <v>AKM4069</v>
          </cell>
        </row>
        <row r="711">
          <cell r="C711" t="str">
            <v>AKM6855</v>
          </cell>
          <cell r="D711" t="str">
            <v>AKM6855</v>
          </cell>
        </row>
        <row r="712">
          <cell r="C712" t="str">
            <v>AKN0190</v>
          </cell>
          <cell r="D712" t="str">
            <v>AKN0190</v>
          </cell>
        </row>
        <row r="713">
          <cell r="C713" t="str">
            <v>AKO5956</v>
          </cell>
          <cell r="D713" t="str">
            <v>AKO5956</v>
          </cell>
        </row>
        <row r="714">
          <cell r="C714" t="str">
            <v>AKR4661</v>
          </cell>
          <cell r="D714" t="str">
            <v>AKR4661</v>
          </cell>
        </row>
        <row r="715">
          <cell r="C715" t="str">
            <v>AKR4G60</v>
          </cell>
          <cell r="D715" t="str">
            <v>AKR4G60</v>
          </cell>
        </row>
        <row r="716">
          <cell r="C716" t="str">
            <v>AKR8J93</v>
          </cell>
          <cell r="D716" t="str">
            <v>AKR8J93</v>
          </cell>
        </row>
        <row r="717">
          <cell r="C717" t="str">
            <v>AKS7736</v>
          </cell>
          <cell r="D717" t="str">
            <v>AKS7736</v>
          </cell>
        </row>
        <row r="718">
          <cell r="C718" t="str">
            <v>AKT7439</v>
          </cell>
          <cell r="D718" t="str">
            <v>AKT7439</v>
          </cell>
        </row>
        <row r="719">
          <cell r="C719" t="str">
            <v>AKV1675</v>
          </cell>
          <cell r="D719" t="str">
            <v>AKV1675</v>
          </cell>
        </row>
        <row r="720">
          <cell r="C720" t="str">
            <v>AKW2E57</v>
          </cell>
          <cell r="D720" t="str">
            <v>AKW2E57</v>
          </cell>
        </row>
        <row r="721">
          <cell r="C721" t="str">
            <v>AKW7185</v>
          </cell>
          <cell r="D721" t="str">
            <v>AKW7185</v>
          </cell>
        </row>
        <row r="722">
          <cell r="C722" t="str">
            <v>AKX9830</v>
          </cell>
          <cell r="D722" t="str">
            <v>AKX9830</v>
          </cell>
        </row>
        <row r="723">
          <cell r="C723" t="str">
            <v>AKY9G10</v>
          </cell>
          <cell r="D723" t="str">
            <v>AKY9G10</v>
          </cell>
        </row>
        <row r="724">
          <cell r="C724" t="str">
            <v>BWK2021</v>
          </cell>
          <cell r="D724" t="str">
            <v>BWK2021</v>
          </cell>
        </row>
        <row r="725">
          <cell r="C725" t="str">
            <v>ALB3156</v>
          </cell>
          <cell r="D725" t="str">
            <v>ALB3156</v>
          </cell>
        </row>
        <row r="726">
          <cell r="C726" t="str">
            <v>ALB3I10</v>
          </cell>
          <cell r="D726" t="str">
            <v>ALB3I10</v>
          </cell>
        </row>
        <row r="727">
          <cell r="C727" t="str">
            <v>ALB3J65</v>
          </cell>
          <cell r="D727" t="str">
            <v>ALB3J65</v>
          </cell>
        </row>
        <row r="728">
          <cell r="C728" t="str">
            <v>LXZ7770</v>
          </cell>
          <cell r="D728" t="str">
            <v>LXZ7770</v>
          </cell>
        </row>
        <row r="729">
          <cell r="C729" t="str">
            <v>ALD2541</v>
          </cell>
          <cell r="D729" t="str">
            <v>ALD2541</v>
          </cell>
        </row>
        <row r="730">
          <cell r="C730" t="str">
            <v>ALD6585</v>
          </cell>
          <cell r="D730" t="str">
            <v>ALD6585</v>
          </cell>
        </row>
        <row r="731">
          <cell r="C731" t="str">
            <v>ALD7578</v>
          </cell>
          <cell r="D731" t="str">
            <v>ALD7578</v>
          </cell>
        </row>
        <row r="732">
          <cell r="C732" t="str">
            <v>LCV9368</v>
          </cell>
          <cell r="D732" t="str">
            <v>LCV9368</v>
          </cell>
        </row>
        <row r="733">
          <cell r="C733" t="str">
            <v>CBR2244</v>
          </cell>
          <cell r="D733" t="str">
            <v>CBR2244</v>
          </cell>
        </row>
        <row r="734">
          <cell r="C734" t="str">
            <v>ALE0B13</v>
          </cell>
          <cell r="D734" t="str">
            <v>ALE0B13</v>
          </cell>
        </row>
        <row r="735">
          <cell r="C735" t="str">
            <v>KZB1547</v>
          </cell>
          <cell r="D735" t="str">
            <v>KZB1547</v>
          </cell>
        </row>
        <row r="736">
          <cell r="C736" t="str">
            <v>LLJ1045</v>
          </cell>
          <cell r="D736" t="str">
            <v>LLJ1045</v>
          </cell>
        </row>
        <row r="737">
          <cell r="C737" t="str">
            <v>ANN4F85</v>
          </cell>
          <cell r="D737" t="str">
            <v>ANN4F85</v>
          </cell>
        </row>
        <row r="738">
          <cell r="C738" t="str">
            <v>BXJ2577</v>
          </cell>
          <cell r="D738" t="str">
            <v>BXJ2577</v>
          </cell>
        </row>
        <row r="739">
          <cell r="C739" t="str">
            <v>ICQ4235</v>
          </cell>
          <cell r="D739" t="str">
            <v>ICQ4235</v>
          </cell>
        </row>
        <row r="740">
          <cell r="C740" t="str">
            <v>AFL1743</v>
          </cell>
          <cell r="D740" t="str">
            <v>AFL1743</v>
          </cell>
        </row>
        <row r="741">
          <cell r="C741" t="str">
            <v>BYB7126</v>
          </cell>
          <cell r="D741" t="str">
            <v>BYB7126</v>
          </cell>
        </row>
        <row r="742">
          <cell r="C742" t="str">
            <v>MJD9887</v>
          </cell>
          <cell r="D742" t="str">
            <v>MJD9887</v>
          </cell>
        </row>
        <row r="743">
          <cell r="C743" t="str">
            <v>JYJ8049</v>
          </cell>
          <cell r="D743" t="str">
            <v>JYJ8049</v>
          </cell>
        </row>
        <row r="744">
          <cell r="C744" t="str">
            <v>MIJ9067</v>
          </cell>
          <cell r="D744" t="str">
            <v>MIJ9067</v>
          </cell>
        </row>
        <row r="745">
          <cell r="C745" t="str">
            <v>ALF2510</v>
          </cell>
          <cell r="D745" t="str">
            <v>ALF2510</v>
          </cell>
        </row>
        <row r="746">
          <cell r="C746" t="str">
            <v>ALG7244</v>
          </cell>
          <cell r="D746" t="str">
            <v>ALG7244</v>
          </cell>
        </row>
        <row r="747">
          <cell r="C747" t="str">
            <v>ALI6053</v>
          </cell>
          <cell r="D747" t="str">
            <v>ALI6053</v>
          </cell>
        </row>
        <row r="748">
          <cell r="C748" t="str">
            <v>ALI8746</v>
          </cell>
          <cell r="D748" t="str">
            <v>ALI8746</v>
          </cell>
        </row>
        <row r="749">
          <cell r="C749" t="str">
            <v>GPT6970</v>
          </cell>
          <cell r="D749" t="str">
            <v>GPT6970</v>
          </cell>
        </row>
        <row r="750">
          <cell r="C750" t="str">
            <v>ALJ3252</v>
          </cell>
          <cell r="D750" t="str">
            <v>ALJ3252</v>
          </cell>
        </row>
        <row r="751">
          <cell r="C751" t="str">
            <v>ALK2B00</v>
          </cell>
          <cell r="D751" t="str">
            <v>ALK2B00</v>
          </cell>
        </row>
        <row r="752">
          <cell r="C752" t="str">
            <v>ALK3609</v>
          </cell>
          <cell r="D752" t="str">
            <v>ALK3609</v>
          </cell>
        </row>
        <row r="753">
          <cell r="C753" t="str">
            <v>ALK6176</v>
          </cell>
          <cell r="D753" t="str">
            <v>ALK6176</v>
          </cell>
        </row>
        <row r="754">
          <cell r="C754" t="str">
            <v>ALK9531</v>
          </cell>
          <cell r="D754" t="str">
            <v>ALK9531</v>
          </cell>
        </row>
        <row r="755">
          <cell r="C755" t="str">
            <v>ALN1B51</v>
          </cell>
          <cell r="D755" t="str">
            <v>ALN1B51</v>
          </cell>
        </row>
        <row r="756">
          <cell r="C756" t="str">
            <v>ALP9422</v>
          </cell>
          <cell r="D756" t="str">
            <v>ALP9422</v>
          </cell>
        </row>
        <row r="757">
          <cell r="C757" t="str">
            <v>ALS6419</v>
          </cell>
          <cell r="D757" t="str">
            <v>ALS6419</v>
          </cell>
        </row>
        <row r="758">
          <cell r="C758" t="str">
            <v>ALT3645</v>
          </cell>
          <cell r="D758" t="str">
            <v>ALT3645</v>
          </cell>
        </row>
        <row r="759">
          <cell r="C759" t="str">
            <v>ALU8957</v>
          </cell>
          <cell r="D759" t="str">
            <v>ALU8957</v>
          </cell>
        </row>
        <row r="760">
          <cell r="C760" t="str">
            <v>ALV0378</v>
          </cell>
          <cell r="D760" t="str">
            <v>ALV0378</v>
          </cell>
        </row>
        <row r="761">
          <cell r="C761" t="str">
            <v>ALV0384</v>
          </cell>
          <cell r="D761" t="str">
            <v>ALV0384</v>
          </cell>
        </row>
        <row r="762">
          <cell r="C762" t="str">
            <v>ALW4609</v>
          </cell>
          <cell r="D762" t="str">
            <v>ALW4609</v>
          </cell>
        </row>
        <row r="763">
          <cell r="C763" t="str">
            <v>ALX3B12</v>
          </cell>
          <cell r="D763" t="str">
            <v>ALX3B12</v>
          </cell>
        </row>
        <row r="764">
          <cell r="C764" t="str">
            <v>ALX7410</v>
          </cell>
          <cell r="D764" t="str">
            <v>ALX7410</v>
          </cell>
        </row>
        <row r="765">
          <cell r="C765" t="str">
            <v>ALX7440</v>
          </cell>
          <cell r="D765" t="str">
            <v>ALX7440</v>
          </cell>
        </row>
        <row r="766">
          <cell r="C766" t="str">
            <v>ALY2242</v>
          </cell>
          <cell r="D766" t="str">
            <v>ALY2242</v>
          </cell>
        </row>
        <row r="767">
          <cell r="C767" t="str">
            <v>ALY8A38</v>
          </cell>
          <cell r="D767" t="str">
            <v>ALY8A38</v>
          </cell>
        </row>
        <row r="768">
          <cell r="C768" t="str">
            <v>ALZ5226</v>
          </cell>
          <cell r="D768" t="str">
            <v>ALZ5226</v>
          </cell>
        </row>
        <row r="769">
          <cell r="C769" t="str">
            <v>HBG6686</v>
          </cell>
          <cell r="D769" t="str">
            <v>HBG6686</v>
          </cell>
        </row>
        <row r="770">
          <cell r="C770" t="str">
            <v>AMC0505</v>
          </cell>
          <cell r="D770" t="str">
            <v>AMC0505</v>
          </cell>
        </row>
        <row r="771">
          <cell r="C771" t="str">
            <v>AMD3195</v>
          </cell>
          <cell r="D771" t="str">
            <v>AMD3195</v>
          </cell>
        </row>
        <row r="772">
          <cell r="C772" t="str">
            <v>AMD9824</v>
          </cell>
          <cell r="D772" t="str">
            <v>AMD9824</v>
          </cell>
        </row>
        <row r="773">
          <cell r="C773" t="str">
            <v>AME5F50</v>
          </cell>
          <cell r="D773" t="str">
            <v>AME5F50</v>
          </cell>
        </row>
        <row r="774">
          <cell r="C774" t="str">
            <v>AMF6F61</v>
          </cell>
          <cell r="D774" t="str">
            <v>AMF6F61</v>
          </cell>
        </row>
        <row r="775">
          <cell r="C775" t="str">
            <v>AMG4787</v>
          </cell>
          <cell r="D775" t="str">
            <v>AMG4787</v>
          </cell>
        </row>
        <row r="776">
          <cell r="C776" t="str">
            <v>AMI4827</v>
          </cell>
          <cell r="D776" t="str">
            <v>AMI4827</v>
          </cell>
        </row>
        <row r="777">
          <cell r="C777" t="str">
            <v>AMJ0012</v>
          </cell>
          <cell r="D777" t="str">
            <v>AMJ0012</v>
          </cell>
        </row>
        <row r="778">
          <cell r="C778" t="str">
            <v>AMJ6865</v>
          </cell>
          <cell r="D778" t="str">
            <v>AMJ6865</v>
          </cell>
        </row>
        <row r="779">
          <cell r="C779" t="str">
            <v>AMK6850</v>
          </cell>
          <cell r="D779" t="str">
            <v>AMK6850</v>
          </cell>
        </row>
        <row r="780">
          <cell r="C780" t="str">
            <v>AMO9044</v>
          </cell>
          <cell r="D780" t="str">
            <v>AMO9044</v>
          </cell>
        </row>
        <row r="781">
          <cell r="C781" t="str">
            <v>AMO7897</v>
          </cell>
          <cell r="D781" t="str">
            <v>AMO7897</v>
          </cell>
        </row>
        <row r="782">
          <cell r="C782" t="str">
            <v>AMO9267</v>
          </cell>
          <cell r="D782" t="str">
            <v>AMO9267</v>
          </cell>
        </row>
        <row r="783">
          <cell r="C783" t="str">
            <v>AMP4242</v>
          </cell>
          <cell r="D783" t="str">
            <v>AMP4242</v>
          </cell>
        </row>
        <row r="784">
          <cell r="C784" t="str">
            <v>AMP6F56</v>
          </cell>
          <cell r="D784" t="str">
            <v>AMP6F56</v>
          </cell>
        </row>
        <row r="785">
          <cell r="C785" t="str">
            <v>AMQ8043</v>
          </cell>
          <cell r="D785" t="str">
            <v>AMQ8043</v>
          </cell>
        </row>
        <row r="786">
          <cell r="C786" t="str">
            <v>AMQ9267</v>
          </cell>
          <cell r="D786" t="str">
            <v>AMQ9267</v>
          </cell>
        </row>
        <row r="787">
          <cell r="C787" t="str">
            <v>AMR2853</v>
          </cell>
          <cell r="D787" t="str">
            <v>AMR2853</v>
          </cell>
        </row>
        <row r="788">
          <cell r="C788" t="str">
            <v>AMS4187</v>
          </cell>
          <cell r="D788" t="str">
            <v>AMS4187</v>
          </cell>
        </row>
        <row r="789">
          <cell r="C789" t="str">
            <v>AMS4188</v>
          </cell>
          <cell r="D789" t="str">
            <v>AMS4188</v>
          </cell>
        </row>
        <row r="790">
          <cell r="C790" t="str">
            <v>AMU0012</v>
          </cell>
          <cell r="D790" t="str">
            <v>AMU0012</v>
          </cell>
        </row>
        <row r="791">
          <cell r="C791" t="str">
            <v>AMV4545</v>
          </cell>
          <cell r="D791" t="str">
            <v>AMV4545</v>
          </cell>
        </row>
        <row r="792">
          <cell r="C792" t="str">
            <v>AMW0654</v>
          </cell>
          <cell r="D792" t="str">
            <v>AMW0654</v>
          </cell>
        </row>
        <row r="793">
          <cell r="C793" t="str">
            <v>AMW6068</v>
          </cell>
          <cell r="D793" t="str">
            <v>AMW6068</v>
          </cell>
        </row>
        <row r="794">
          <cell r="C794" t="str">
            <v>AMX1391</v>
          </cell>
          <cell r="D794" t="str">
            <v>AMX1391</v>
          </cell>
        </row>
        <row r="795">
          <cell r="C795" t="str">
            <v>AMY5F14</v>
          </cell>
          <cell r="D795" t="str">
            <v>AMY5F14</v>
          </cell>
        </row>
        <row r="796">
          <cell r="C796" t="str">
            <v>AMZ0420</v>
          </cell>
          <cell r="D796" t="str">
            <v>AMZ0420</v>
          </cell>
        </row>
        <row r="797">
          <cell r="C797" t="str">
            <v>ANA0471</v>
          </cell>
          <cell r="D797" t="str">
            <v>ANA0471</v>
          </cell>
        </row>
        <row r="798">
          <cell r="C798" t="str">
            <v>ANA5762</v>
          </cell>
          <cell r="D798" t="str">
            <v>ANA5762</v>
          </cell>
        </row>
        <row r="799">
          <cell r="C799" t="str">
            <v>ANB2571</v>
          </cell>
          <cell r="D799" t="str">
            <v>ANB2571</v>
          </cell>
        </row>
        <row r="800">
          <cell r="C800" t="str">
            <v>ANC3390</v>
          </cell>
          <cell r="D800" t="str">
            <v>ANC3390</v>
          </cell>
        </row>
        <row r="801">
          <cell r="C801" t="str">
            <v>EQ0001</v>
          </cell>
          <cell r="D801" t="str">
            <v xml:space="preserve">       </v>
          </cell>
        </row>
        <row r="802">
          <cell r="C802" t="str">
            <v>EQ0004</v>
          </cell>
          <cell r="D802" t="str">
            <v xml:space="preserve">       </v>
          </cell>
        </row>
        <row r="803">
          <cell r="C803" t="str">
            <v>EQ0003</v>
          </cell>
          <cell r="D803" t="str">
            <v xml:space="preserve">       </v>
          </cell>
        </row>
        <row r="804">
          <cell r="C804" t="str">
            <v>JKR3238</v>
          </cell>
          <cell r="D804" t="str">
            <v>JKR3238</v>
          </cell>
        </row>
        <row r="805">
          <cell r="C805" t="str">
            <v>BTS1092</v>
          </cell>
          <cell r="D805" t="str">
            <v>BTS1092</v>
          </cell>
        </row>
        <row r="806">
          <cell r="C806" t="str">
            <v>HTO6599</v>
          </cell>
          <cell r="D806" t="str">
            <v>HTO6599</v>
          </cell>
        </row>
        <row r="807">
          <cell r="C807" t="str">
            <v>DVT2711</v>
          </cell>
          <cell r="D807" t="str">
            <v>DVT2711</v>
          </cell>
        </row>
        <row r="808">
          <cell r="C808" t="str">
            <v>CQD5798</v>
          </cell>
          <cell r="D808" t="str">
            <v>CQD5798</v>
          </cell>
        </row>
        <row r="809">
          <cell r="C809" t="str">
            <v>ARO9831</v>
          </cell>
          <cell r="D809" t="str">
            <v>ARO9831</v>
          </cell>
        </row>
        <row r="810">
          <cell r="C810" t="str">
            <v>ALI8748</v>
          </cell>
          <cell r="D810" t="str">
            <v>ALI8748</v>
          </cell>
        </row>
        <row r="811">
          <cell r="C811" t="str">
            <v>ANE 5524</v>
          </cell>
          <cell r="D811" t="str">
            <v>ANE5524</v>
          </cell>
        </row>
        <row r="812">
          <cell r="C812" t="str">
            <v>ANE8153</v>
          </cell>
          <cell r="D812" t="str">
            <v>ANE8153</v>
          </cell>
        </row>
        <row r="813">
          <cell r="C813" t="str">
            <v>MLX7046</v>
          </cell>
          <cell r="D813" t="str">
            <v>MLX7046</v>
          </cell>
        </row>
        <row r="814">
          <cell r="C814" t="str">
            <v>ANH2188</v>
          </cell>
          <cell r="D814" t="str">
            <v>ANH2188</v>
          </cell>
        </row>
        <row r="815">
          <cell r="C815" t="str">
            <v>ANH3751</v>
          </cell>
          <cell r="D815" t="str">
            <v>ANH3751</v>
          </cell>
        </row>
        <row r="816">
          <cell r="C816" t="str">
            <v>ANI7H52</v>
          </cell>
          <cell r="D816" t="str">
            <v>ANI7H52</v>
          </cell>
        </row>
        <row r="817">
          <cell r="C817" t="str">
            <v>ANL5049</v>
          </cell>
          <cell r="D817" t="str">
            <v>ANL5049</v>
          </cell>
        </row>
        <row r="818">
          <cell r="C818" t="str">
            <v>ANO9917</v>
          </cell>
          <cell r="D818" t="str">
            <v>ANO9917</v>
          </cell>
        </row>
        <row r="819">
          <cell r="C819" t="str">
            <v>ANP7592</v>
          </cell>
          <cell r="D819" t="str">
            <v>ANP7592</v>
          </cell>
        </row>
        <row r="820">
          <cell r="C820" t="str">
            <v>ANP9836</v>
          </cell>
          <cell r="D820" t="str">
            <v>ANP9836</v>
          </cell>
        </row>
        <row r="821">
          <cell r="C821" t="str">
            <v>ANQ9848</v>
          </cell>
          <cell r="D821" t="str">
            <v>ANQ9848</v>
          </cell>
        </row>
        <row r="822">
          <cell r="C822" t="str">
            <v>CZB9806</v>
          </cell>
          <cell r="D822" t="str">
            <v>CZB9806</v>
          </cell>
        </row>
        <row r="823">
          <cell r="C823" t="str">
            <v>CZB98066</v>
          </cell>
          <cell r="D823">
            <v>27</v>
          </cell>
        </row>
        <row r="824">
          <cell r="C824" t="str">
            <v>CVP3211</v>
          </cell>
          <cell r="D824" t="str">
            <v>CVP3211</v>
          </cell>
        </row>
        <row r="825">
          <cell r="C825" t="str">
            <v>FAF2535</v>
          </cell>
          <cell r="D825" t="str">
            <v>FAF2535</v>
          </cell>
        </row>
        <row r="826">
          <cell r="C826" t="str">
            <v>BTT5805</v>
          </cell>
          <cell r="D826" t="str">
            <v>BTT5805</v>
          </cell>
        </row>
        <row r="827">
          <cell r="C827" t="str">
            <v>AJS3097</v>
          </cell>
          <cell r="D827" t="str">
            <v>AJS3097</v>
          </cell>
        </row>
        <row r="828">
          <cell r="C828" t="str">
            <v>KNW9158</v>
          </cell>
          <cell r="D828" t="str">
            <v>KNW9158</v>
          </cell>
        </row>
        <row r="829">
          <cell r="C829" t="str">
            <v>LLP4962</v>
          </cell>
          <cell r="D829" t="str">
            <v>LLP4962</v>
          </cell>
        </row>
        <row r="830">
          <cell r="C830" t="str">
            <v>ALL5454</v>
          </cell>
          <cell r="D830" t="str">
            <v>ALL5454</v>
          </cell>
        </row>
        <row r="831">
          <cell r="C831" t="str">
            <v>HRS2213</v>
          </cell>
          <cell r="D831" t="str">
            <v>HRS2213</v>
          </cell>
        </row>
        <row r="832">
          <cell r="C832" t="str">
            <v>ANU1C00</v>
          </cell>
          <cell r="D832" t="str">
            <v>ANU1C00</v>
          </cell>
        </row>
        <row r="833">
          <cell r="C833" t="str">
            <v>ANV5182</v>
          </cell>
          <cell r="D833" t="str">
            <v>ANV5182</v>
          </cell>
        </row>
        <row r="834">
          <cell r="C834" t="str">
            <v>ANV6007</v>
          </cell>
          <cell r="D834" t="str">
            <v>ANV6007</v>
          </cell>
        </row>
        <row r="835">
          <cell r="C835" t="str">
            <v>ANX6850</v>
          </cell>
          <cell r="D835" t="str">
            <v>ANX6850</v>
          </cell>
        </row>
        <row r="836">
          <cell r="C836" t="str">
            <v>AOB9300</v>
          </cell>
          <cell r="D836" t="str">
            <v>AOB9300</v>
          </cell>
        </row>
        <row r="837">
          <cell r="C837" t="str">
            <v>AOC1315</v>
          </cell>
          <cell r="D837" t="str">
            <v>AOC1315</v>
          </cell>
        </row>
        <row r="838">
          <cell r="C838" t="str">
            <v>AOD8810</v>
          </cell>
          <cell r="D838" t="str">
            <v>AOD8810</v>
          </cell>
        </row>
        <row r="839">
          <cell r="C839" t="str">
            <v>AOF8400</v>
          </cell>
          <cell r="D839" t="str">
            <v>AOF8400</v>
          </cell>
        </row>
        <row r="840">
          <cell r="C840" t="str">
            <v>AOG8083</v>
          </cell>
          <cell r="D840" t="str">
            <v>AOG8083</v>
          </cell>
        </row>
        <row r="841">
          <cell r="C841" t="str">
            <v>AOI2446</v>
          </cell>
          <cell r="D841" t="str">
            <v>AOI2446</v>
          </cell>
        </row>
        <row r="842">
          <cell r="C842" t="str">
            <v>AOK1626</v>
          </cell>
          <cell r="D842" t="str">
            <v>AOK1626</v>
          </cell>
        </row>
        <row r="843">
          <cell r="C843" t="str">
            <v>AOL1125</v>
          </cell>
          <cell r="D843" t="str">
            <v>AOL1125</v>
          </cell>
        </row>
        <row r="844">
          <cell r="C844" t="str">
            <v>AOL2J84</v>
          </cell>
          <cell r="D844" t="str">
            <v>AOL2J84</v>
          </cell>
        </row>
        <row r="845">
          <cell r="C845" t="str">
            <v>AOS0564</v>
          </cell>
          <cell r="D845" t="str">
            <v>AOS0564</v>
          </cell>
        </row>
        <row r="846">
          <cell r="C846" t="str">
            <v>AOT0H99</v>
          </cell>
          <cell r="D846" t="str">
            <v>AOT0H99</v>
          </cell>
        </row>
        <row r="847">
          <cell r="C847" t="str">
            <v>AOU9165</v>
          </cell>
          <cell r="D847" t="str">
            <v>AOU9165</v>
          </cell>
        </row>
        <row r="848">
          <cell r="C848" t="str">
            <v>AOW5683</v>
          </cell>
          <cell r="D848" t="str">
            <v>AOW5683</v>
          </cell>
        </row>
        <row r="849">
          <cell r="C849" t="str">
            <v>AOX3751</v>
          </cell>
          <cell r="D849" t="str">
            <v>AOX3751</v>
          </cell>
        </row>
        <row r="850">
          <cell r="C850" t="str">
            <v>AOX8539</v>
          </cell>
          <cell r="D850" t="str">
            <v>AOX8539</v>
          </cell>
        </row>
        <row r="851">
          <cell r="C851" t="str">
            <v>AOZ1A30</v>
          </cell>
          <cell r="D851" t="str">
            <v>AOZ1A30</v>
          </cell>
        </row>
        <row r="852">
          <cell r="C852" t="str">
            <v>AOZ1I89</v>
          </cell>
          <cell r="D852" t="str">
            <v>AOZ1I89</v>
          </cell>
        </row>
        <row r="853">
          <cell r="C853" t="str">
            <v>AOZ3812</v>
          </cell>
          <cell r="D853" t="str">
            <v>AOZ3812</v>
          </cell>
        </row>
        <row r="854">
          <cell r="C854" t="str">
            <v>AOZ3C32</v>
          </cell>
          <cell r="D854" t="str">
            <v>AOZ3C32</v>
          </cell>
        </row>
        <row r="855">
          <cell r="C855" t="str">
            <v>JTQ3764</v>
          </cell>
          <cell r="D855" t="str">
            <v>JTQ3764</v>
          </cell>
        </row>
        <row r="856">
          <cell r="C856" t="str">
            <v>BUS2939</v>
          </cell>
          <cell r="D856" t="str">
            <v>BUS2939</v>
          </cell>
        </row>
        <row r="857">
          <cell r="C857" t="str">
            <v>BWM8237</v>
          </cell>
          <cell r="D857" t="str">
            <v>BWM8237</v>
          </cell>
        </row>
        <row r="858">
          <cell r="C858" t="str">
            <v>APB6F35</v>
          </cell>
          <cell r="D858" t="str">
            <v>APB6F35</v>
          </cell>
        </row>
        <row r="859">
          <cell r="C859" t="str">
            <v>APB9720</v>
          </cell>
          <cell r="D859" t="str">
            <v>APB9720</v>
          </cell>
        </row>
        <row r="860">
          <cell r="C860" t="str">
            <v>APC0H97</v>
          </cell>
          <cell r="D860" t="str">
            <v>APC0H97</v>
          </cell>
        </row>
        <row r="861">
          <cell r="C861" t="str">
            <v>APC8909</v>
          </cell>
          <cell r="D861" t="str">
            <v>APC8909</v>
          </cell>
        </row>
        <row r="862">
          <cell r="C862" t="str">
            <v>APG0A40</v>
          </cell>
          <cell r="D862" t="str">
            <v>APG0A40</v>
          </cell>
        </row>
        <row r="863">
          <cell r="C863" t="str">
            <v>APH1730</v>
          </cell>
          <cell r="D863" t="str">
            <v>APH1730</v>
          </cell>
        </row>
        <row r="864">
          <cell r="C864" t="str">
            <v>APH4565</v>
          </cell>
          <cell r="D864" t="str">
            <v>APH4565</v>
          </cell>
        </row>
        <row r="865">
          <cell r="C865" t="str">
            <v>API5445</v>
          </cell>
          <cell r="D865" t="str">
            <v>API5445</v>
          </cell>
        </row>
        <row r="866">
          <cell r="C866" t="str">
            <v>API5466</v>
          </cell>
          <cell r="D866" t="str">
            <v>API5466</v>
          </cell>
        </row>
        <row r="867">
          <cell r="C867" t="str">
            <v>API9416</v>
          </cell>
          <cell r="D867" t="str">
            <v>API9416</v>
          </cell>
        </row>
        <row r="868">
          <cell r="C868" t="str">
            <v>APJ3687</v>
          </cell>
          <cell r="D868" t="str">
            <v>APJ3687</v>
          </cell>
        </row>
        <row r="869">
          <cell r="C869" t="str">
            <v>APM1291</v>
          </cell>
          <cell r="D869" t="str">
            <v>APM1291</v>
          </cell>
        </row>
        <row r="870">
          <cell r="C870" t="str">
            <v>APM1C91</v>
          </cell>
          <cell r="D870" t="str">
            <v>APM1C91</v>
          </cell>
        </row>
        <row r="871">
          <cell r="C871" t="str">
            <v>APN9890</v>
          </cell>
          <cell r="D871" t="str">
            <v>APN9890</v>
          </cell>
        </row>
        <row r="872">
          <cell r="C872" t="str">
            <v>APR4254</v>
          </cell>
          <cell r="D872" t="str">
            <v>APR4254</v>
          </cell>
        </row>
        <row r="873">
          <cell r="C873" t="str">
            <v>APU5538</v>
          </cell>
          <cell r="D873" t="str">
            <v>APU5538</v>
          </cell>
        </row>
        <row r="874">
          <cell r="C874" t="str">
            <v>APY1935</v>
          </cell>
          <cell r="D874" t="str">
            <v>APY1935</v>
          </cell>
        </row>
        <row r="875">
          <cell r="C875" t="str">
            <v>APZ9478</v>
          </cell>
          <cell r="D875" t="str">
            <v>APZ9478</v>
          </cell>
        </row>
        <row r="876">
          <cell r="C876" t="str">
            <v>AQB5175</v>
          </cell>
          <cell r="D876" t="str">
            <v>AQB5175</v>
          </cell>
        </row>
        <row r="877">
          <cell r="C877" t="str">
            <v>AQD0F12</v>
          </cell>
          <cell r="D877" t="str">
            <v>AQD0F12</v>
          </cell>
        </row>
        <row r="878">
          <cell r="C878" t="str">
            <v>AQE0079</v>
          </cell>
          <cell r="D878" t="str">
            <v>AQE0079</v>
          </cell>
        </row>
        <row r="879">
          <cell r="C879" t="str">
            <v>AQE0083</v>
          </cell>
          <cell r="D879" t="str">
            <v>AQE0083</v>
          </cell>
        </row>
        <row r="880">
          <cell r="C880" t="str">
            <v>AQE2J52</v>
          </cell>
          <cell r="D880" t="str">
            <v>AQE2J52</v>
          </cell>
        </row>
        <row r="881">
          <cell r="C881" t="str">
            <v>AQE7204</v>
          </cell>
          <cell r="D881" t="str">
            <v>AQE7204</v>
          </cell>
        </row>
        <row r="882">
          <cell r="C882" t="str">
            <v>AQH6862</v>
          </cell>
          <cell r="D882" t="str">
            <v>AQH6862</v>
          </cell>
        </row>
        <row r="883">
          <cell r="C883" t="str">
            <v>AQH9084</v>
          </cell>
          <cell r="D883" t="str">
            <v>AQH9084</v>
          </cell>
        </row>
        <row r="884">
          <cell r="C884" t="str">
            <v>AQI3993</v>
          </cell>
          <cell r="D884" t="str">
            <v>AQI3993</v>
          </cell>
        </row>
        <row r="885">
          <cell r="C885" t="str">
            <v>AQI7549</v>
          </cell>
          <cell r="D885" t="str">
            <v>AQI7549</v>
          </cell>
        </row>
        <row r="886">
          <cell r="C886" t="str">
            <v>AQK5397</v>
          </cell>
          <cell r="D886" t="str">
            <v>AQK5397</v>
          </cell>
        </row>
        <row r="887">
          <cell r="C887" t="str">
            <v>AQL5936</v>
          </cell>
          <cell r="D887" t="str">
            <v>AQL5936</v>
          </cell>
        </row>
        <row r="888">
          <cell r="C888" t="str">
            <v>AQM4720</v>
          </cell>
          <cell r="D888" t="str">
            <v>AQM4720</v>
          </cell>
        </row>
        <row r="889">
          <cell r="C889" t="str">
            <v>AQM9010</v>
          </cell>
          <cell r="D889" t="str">
            <v>AQM9010</v>
          </cell>
        </row>
        <row r="890">
          <cell r="C890" t="str">
            <v>AQN0190</v>
          </cell>
          <cell r="D890" t="str">
            <v>AQN0190</v>
          </cell>
        </row>
        <row r="891">
          <cell r="C891" t="str">
            <v>AQP1862</v>
          </cell>
          <cell r="D891" t="str">
            <v>AQP1862</v>
          </cell>
        </row>
        <row r="892">
          <cell r="C892" t="str">
            <v>AQQ3039</v>
          </cell>
          <cell r="D892" t="str">
            <v>AQQ3039</v>
          </cell>
        </row>
        <row r="893">
          <cell r="C893" t="str">
            <v>AQS9849</v>
          </cell>
          <cell r="D893" t="str">
            <v>AQS9849</v>
          </cell>
        </row>
        <row r="894">
          <cell r="C894" t="str">
            <v>AQT6929</v>
          </cell>
          <cell r="D894" t="str">
            <v>AQT6929</v>
          </cell>
        </row>
        <row r="895">
          <cell r="C895" t="str">
            <v>AQU8C77</v>
          </cell>
          <cell r="D895" t="str">
            <v>AQU8C77</v>
          </cell>
        </row>
        <row r="896">
          <cell r="C896" t="str">
            <v>AQW8168</v>
          </cell>
          <cell r="D896" t="str">
            <v>AQW8168</v>
          </cell>
        </row>
        <row r="897">
          <cell r="C897" t="str">
            <v>AQY3F92</v>
          </cell>
          <cell r="D897" t="str">
            <v>AQY3F92</v>
          </cell>
        </row>
        <row r="898">
          <cell r="C898" t="str">
            <v>AQY5151</v>
          </cell>
          <cell r="D898" t="str">
            <v>AQY5151</v>
          </cell>
        </row>
        <row r="899">
          <cell r="C899" t="str">
            <v>AQZ2820</v>
          </cell>
          <cell r="D899" t="str">
            <v>AQZ2820</v>
          </cell>
        </row>
        <row r="900">
          <cell r="C900" t="str">
            <v>ARA5836</v>
          </cell>
          <cell r="D900" t="str">
            <v>ARA5836</v>
          </cell>
        </row>
        <row r="901">
          <cell r="C901" t="str">
            <v>ARC6372</v>
          </cell>
          <cell r="D901" t="str">
            <v>ARC6372</v>
          </cell>
        </row>
        <row r="902">
          <cell r="C902" t="str">
            <v>ARD8208</v>
          </cell>
          <cell r="D902" t="str">
            <v>ARD8208</v>
          </cell>
        </row>
        <row r="903">
          <cell r="C903" t="str">
            <v>ARE1422</v>
          </cell>
          <cell r="D903" t="str">
            <v>ARE1422</v>
          </cell>
        </row>
        <row r="904">
          <cell r="C904" t="str">
            <v>ARE4B97</v>
          </cell>
          <cell r="D904" t="str">
            <v>ARE4B97</v>
          </cell>
        </row>
        <row r="905">
          <cell r="C905" t="str">
            <v>ARE6289</v>
          </cell>
          <cell r="D905" t="str">
            <v>ARE6289</v>
          </cell>
        </row>
        <row r="906">
          <cell r="C906" t="str">
            <v>ARF2722</v>
          </cell>
          <cell r="D906" t="str">
            <v>ARF2722</v>
          </cell>
        </row>
        <row r="907">
          <cell r="C907" t="str">
            <v>ARH4145</v>
          </cell>
          <cell r="D907" t="str">
            <v>ARH4145</v>
          </cell>
        </row>
        <row r="908">
          <cell r="C908" t="str">
            <v>ARI4360</v>
          </cell>
          <cell r="D908" t="str">
            <v>ARI4360</v>
          </cell>
        </row>
        <row r="909">
          <cell r="C909" t="str">
            <v>ARI4D60</v>
          </cell>
          <cell r="D909" t="str">
            <v>ARI4D60</v>
          </cell>
        </row>
        <row r="910">
          <cell r="C910" t="str">
            <v>ARI8137</v>
          </cell>
          <cell r="D910" t="str">
            <v>ARI8137</v>
          </cell>
        </row>
        <row r="911">
          <cell r="C911" t="str">
            <v>BXE9837</v>
          </cell>
          <cell r="D911" t="str">
            <v>BXE9837</v>
          </cell>
        </row>
        <row r="912">
          <cell r="C912" t="str">
            <v>ARL0172</v>
          </cell>
          <cell r="D912" t="str">
            <v>ARL0172</v>
          </cell>
        </row>
        <row r="913">
          <cell r="C913" t="str">
            <v>ARM3213</v>
          </cell>
          <cell r="D913" t="str">
            <v>ARM3213</v>
          </cell>
        </row>
        <row r="914">
          <cell r="C914" t="str">
            <v>ARN6579</v>
          </cell>
          <cell r="D914" t="str">
            <v>ARN6579</v>
          </cell>
        </row>
        <row r="915">
          <cell r="C915" t="str">
            <v>ARN8G05</v>
          </cell>
          <cell r="D915" t="str">
            <v>ARN8G05</v>
          </cell>
        </row>
        <row r="916">
          <cell r="C916" t="str">
            <v>ARO3077</v>
          </cell>
          <cell r="D916" t="str">
            <v>ARO3077</v>
          </cell>
        </row>
        <row r="917">
          <cell r="C917" t="str">
            <v>ARQ7271</v>
          </cell>
          <cell r="D917" t="str">
            <v>ARQ7271</v>
          </cell>
        </row>
        <row r="918">
          <cell r="C918" t="str">
            <v>ARU3B47</v>
          </cell>
          <cell r="D918" t="str">
            <v>ARU3B47</v>
          </cell>
        </row>
        <row r="919">
          <cell r="C919" t="str">
            <v>ARU4F68</v>
          </cell>
          <cell r="D919" t="str">
            <v>ARU4F68</v>
          </cell>
        </row>
        <row r="920">
          <cell r="C920" t="str">
            <v>ARX1I73</v>
          </cell>
          <cell r="D920" t="str">
            <v>ARX1I73</v>
          </cell>
        </row>
        <row r="921">
          <cell r="C921" t="str">
            <v>ARY4377</v>
          </cell>
          <cell r="D921" t="str">
            <v>ARY4377</v>
          </cell>
        </row>
        <row r="922">
          <cell r="C922" t="str">
            <v>ARZ1742</v>
          </cell>
          <cell r="D922" t="str">
            <v>ARZ1742</v>
          </cell>
        </row>
        <row r="923">
          <cell r="C923" t="str">
            <v>ARZ2060</v>
          </cell>
          <cell r="D923" t="str">
            <v>ARZ2060</v>
          </cell>
        </row>
        <row r="924">
          <cell r="C924" t="str">
            <v>ARZ7870</v>
          </cell>
          <cell r="D924" t="str">
            <v>ARZ7870</v>
          </cell>
        </row>
        <row r="925">
          <cell r="C925" t="str">
            <v>ASA1419</v>
          </cell>
          <cell r="D925" t="str">
            <v>ASA1419</v>
          </cell>
        </row>
        <row r="926">
          <cell r="C926" t="str">
            <v>ASA4785</v>
          </cell>
          <cell r="D926" t="str">
            <v>ASA4785</v>
          </cell>
        </row>
        <row r="927">
          <cell r="C927" t="str">
            <v>ASB6766</v>
          </cell>
          <cell r="D927" t="str">
            <v>ASB6766</v>
          </cell>
        </row>
        <row r="928">
          <cell r="C928" t="str">
            <v>ASB8140</v>
          </cell>
          <cell r="D928" t="str">
            <v>ASB8140</v>
          </cell>
        </row>
        <row r="929">
          <cell r="C929" t="str">
            <v>ASC0021</v>
          </cell>
          <cell r="D929" t="str">
            <v>ASC0021</v>
          </cell>
        </row>
        <row r="930">
          <cell r="C930" t="str">
            <v>ASC1010</v>
          </cell>
          <cell r="D930" t="str">
            <v>ASC1010</v>
          </cell>
        </row>
        <row r="931">
          <cell r="C931" t="str">
            <v>ASC1A10</v>
          </cell>
          <cell r="D931" t="str">
            <v>ASC1A10</v>
          </cell>
        </row>
        <row r="932">
          <cell r="C932" t="str">
            <v>ASF0171</v>
          </cell>
          <cell r="D932" t="str">
            <v>ASF0171</v>
          </cell>
        </row>
        <row r="933">
          <cell r="C933" t="str">
            <v>ASF6F88</v>
          </cell>
          <cell r="D933" t="str">
            <v>ASF6F88</v>
          </cell>
        </row>
        <row r="934">
          <cell r="C934" t="str">
            <v>ASH2233</v>
          </cell>
          <cell r="D934" t="str">
            <v>ASH2233</v>
          </cell>
        </row>
        <row r="935">
          <cell r="C935" t="str">
            <v>ASL8713</v>
          </cell>
          <cell r="D935" t="str">
            <v>ASL8713</v>
          </cell>
        </row>
        <row r="936">
          <cell r="C936" t="str">
            <v>ASM9053</v>
          </cell>
          <cell r="D936" t="str">
            <v>ASM9053</v>
          </cell>
        </row>
        <row r="937">
          <cell r="C937" t="str">
            <v>ASM1841</v>
          </cell>
          <cell r="D937" t="str">
            <v>ASM1841</v>
          </cell>
        </row>
        <row r="938">
          <cell r="C938" t="str">
            <v>ASP0F69</v>
          </cell>
          <cell r="D938" t="str">
            <v>ASP0F69</v>
          </cell>
        </row>
        <row r="939">
          <cell r="C939" t="str">
            <v>ASR5677</v>
          </cell>
          <cell r="D939" t="str">
            <v>ASR5677</v>
          </cell>
        </row>
        <row r="940">
          <cell r="C940" t="str">
            <v>ASS5277</v>
          </cell>
          <cell r="D940" t="str">
            <v>ASS5277</v>
          </cell>
        </row>
        <row r="941">
          <cell r="C941" t="str">
            <v>AST4644</v>
          </cell>
          <cell r="D941" t="str">
            <v>AST4644</v>
          </cell>
        </row>
        <row r="942">
          <cell r="C942" t="str">
            <v>ASU2339</v>
          </cell>
          <cell r="D942" t="str">
            <v>ASU2339</v>
          </cell>
        </row>
        <row r="943">
          <cell r="C943" t="str">
            <v>ASU8C67</v>
          </cell>
          <cell r="D943" t="str">
            <v>ASU8C67</v>
          </cell>
        </row>
        <row r="944">
          <cell r="C944" t="str">
            <v>ASW7405</v>
          </cell>
          <cell r="D944" t="str">
            <v>ASW7405</v>
          </cell>
        </row>
        <row r="945">
          <cell r="C945" t="str">
            <v>ATA5258</v>
          </cell>
          <cell r="D945" t="str">
            <v>ATA5258</v>
          </cell>
        </row>
        <row r="946">
          <cell r="C946" t="str">
            <v>ATB8I19</v>
          </cell>
          <cell r="D946" t="str">
            <v>ATB8I19</v>
          </cell>
        </row>
        <row r="947">
          <cell r="C947" t="str">
            <v>ATB3909</v>
          </cell>
          <cell r="D947" t="str">
            <v>ATB3909</v>
          </cell>
        </row>
        <row r="948">
          <cell r="C948" t="str">
            <v>ATC0147</v>
          </cell>
          <cell r="D948" t="str">
            <v>ATC0147</v>
          </cell>
        </row>
        <row r="949">
          <cell r="C949" t="str">
            <v>ATC0H63</v>
          </cell>
          <cell r="D949" t="str">
            <v>ATC0H63</v>
          </cell>
        </row>
        <row r="950">
          <cell r="C950" t="str">
            <v>ATC4642</v>
          </cell>
          <cell r="D950" t="str">
            <v>ATC4642</v>
          </cell>
        </row>
        <row r="951">
          <cell r="C951" t="str">
            <v>ATD7945</v>
          </cell>
          <cell r="D951" t="str">
            <v>ATD7945</v>
          </cell>
        </row>
        <row r="952">
          <cell r="C952" t="str">
            <v>ATD1645</v>
          </cell>
          <cell r="D952" t="str">
            <v>ATD1645</v>
          </cell>
        </row>
        <row r="953">
          <cell r="C953" t="str">
            <v>ATD7J16</v>
          </cell>
          <cell r="D953" t="str">
            <v>ATD7J16</v>
          </cell>
        </row>
        <row r="954">
          <cell r="C954" t="str">
            <v>ATD9J16</v>
          </cell>
          <cell r="D954" t="str">
            <v>ATD9J16</v>
          </cell>
        </row>
        <row r="955">
          <cell r="C955" t="str">
            <v>ATG1B29</v>
          </cell>
          <cell r="D955" t="str">
            <v>ATG1B29</v>
          </cell>
        </row>
        <row r="956">
          <cell r="C956" t="str">
            <v>ATH1215</v>
          </cell>
          <cell r="D956" t="str">
            <v>ATH1215</v>
          </cell>
        </row>
        <row r="957">
          <cell r="C957" t="str">
            <v>ATH2D66</v>
          </cell>
          <cell r="D957" t="str">
            <v>ATH2D66</v>
          </cell>
        </row>
        <row r="958">
          <cell r="C958" t="str">
            <v>ATI6583</v>
          </cell>
          <cell r="D958" t="str">
            <v>ATI6583</v>
          </cell>
        </row>
        <row r="959">
          <cell r="C959" t="str">
            <v>ATJ0G91</v>
          </cell>
          <cell r="D959" t="str">
            <v>ATJ0G91</v>
          </cell>
        </row>
        <row r="960">
          <cell r="C960" t="str">
            <v>ATJ5J52</v>
          </cell>
          <cell r="D960" t="str">
            <v>ATJ5J52</v>
          </cell>
        </row>
        <row r="961">
          <cell r="C961" t="str">
            <v>ATJ6139</v>
          </cell>
          <cell r="D961" t="str">
            <v>ATJ6139</v>
          </cell>
        </row>
        <row r="962">
          <cell r="C962" t="str">
            <v>ATK2357</v>
          </cell>
          <cell r="D962" t="str">
            <v>ATK2357</v>
          </cell>
        </row>
        <row r="963">
          <cell r="C963" t="str">
            <v>ATK2378</v>
          </cell>
          <cell r="D963" t="str">
            <v>ATK2378</v>
          </cell>
        </row>
        <row r="964">
          <cell r="C964" t="str">
            <v>ATL3I36</v>
          </cell>
          <cell r="D964" t="str">
            <v>ATL3I36</v>
          </cell>
        </row>
        <row r="965">
          <cell r="C965" t="str">
            <v>ATL6215</v>
          </cell>
          <cell r="D965" t="str">
            <v>ATL6215</v>
          </cell>
        </row>
        <row r="966">
          <cell r="C966" t="str">
            <v>ATL6757</v>
          </cell>
          <cell r="D966" t="str">
            <v>ATL6757</v>
          </cell>
        </row>
        <row r="967">
          <cell r="C967" t="str">
            <v>ATL8587</v>
          </cell>
          <cell r="D967" t="str">
            <v>ATL8587</v>
          </cell>
        </row>
        <row r="968">
          <cell r="C968" t="str">
            <v>ATP0746</v>
          </cell>
          <cell r="D968" t="str">
            <v>ATP0746</v>
          </cell>
        </row>
        <row r="969">
          <cell r="C969" t="str">
            <v>ATP2148</v>
          </cell>
          <cell r="D969" t="str">
            <v>ATP2148</v>
          </cell>
        </row>
        <row r="970">
          <cell r="C970" t="str">
            <v>ATQ0344</v>
          </cell>
          <cell r="D970" t="str">
            <v>ATQ0344</v>
          </cell>
        </row>
        <row r="971">
          <cell r="C971" t="str">
            <v>ATR1B86</v>
          </cell>
          <cell r="D971" t="str">
            <v>ATR1B86</v>
          </cell>
        </row>
        <row r="972">
          <cell r="C972" t="str">
            <v>ATT2349</v>
          </cell>
          <cell r="D972" t="str">
            <v>ATT2349</v>
          </cell>
        </row>
        <row r="973">
          <cell r="C973" t="str">
            <v>ATT1401</v>
          </cell>
          <cell r="D973" t="str">
            <v>ATT1401</v>
          </cell>
        </row>
        <row r="974">
          <cell r="C974" t="str">
            <v>ATT5578</v>
          </cell>
          <cell r="D974" t="str">
            <v>ATT5578</v>
          </cell>
        </row>
        <row r="975">
          <cell r="C975" t="str">
            <v>ATT9854</v>
          </cell>
          <cell r="D975" t="str">
            <v>ATT9854</v>
          </cell>
        </row>
        <row r="976">
          <cell r="C976" t="str">
            <v>ATU7954</v>
          </cell>
          <cell r="D976" t="str">
            <v>ATU7954</v>
          </cell>
        </row>
        <row r="977">
          <cell r="C977" t="str">
            <v>ATV0089</v>
          </cell>
          <cell r="D977" t="str">
            <v>ATV0089</v>
          </cell>
        </row>
        <row r="978">
          <cell r="C978" t="str">
            <v>ATV6565</v>
          </cell>
          <cell r="D978" t="str">
            <v>ATV6565</v>
          </cell>
        </row>
        <row r="979">
          <cell r="C979" t="str">
            <v>ATX4006</v>
          </cell>
          <cell r="D979" t="str">
            <v>ATX4006</v>
          </cell>
        </row>
        <row r="980">
          <cell r="C980" t="str">
            <v>ATX4045</v>
          </cell>
          <cell r="D980" t="str">
            <v>ATX4045</v>
          </cell>
        </row>
        <row r="981">
          <cell r="C981" t="str">
            <v>ATX5845</v>
          </cell>
          <cell r="D981" t="str">
            <v>ATX5845</v>
          </cell>
        </row>
        <row r="982">
          <cell r="C982" t="str">
            <v>ATX8E45</v>
          </cell>
          <cell r="D982" t="str">
            <v>ATX8E45</v>
          </cell>
        </row>
        <row r="983">
          <cell r="C983" t="str">
            <v>ATZ1827</v>
          </cell>
          <cell r="D983" t="str">
            <v>ATZ1827</v>
          </cell>
        </row>
        <row r="984">
          <cell r="C984" t="str">
            <v>ATZ4065</v>
          </cell>
          <cell r="D984" t="str">
            <v>ATZ4065</v>
          </cell>
        </row>
        <row r="985">
          <cell r="C985" t="str">
            <v>ATZ7743</v>
          </cell>
          <cell r="D985" t="str">
            <v>ATZ7743</v>
          </cell>
        </row>
        <row r="986">
          <cell r="C986" t="str">
            <v>AUA9738</v>
          </cell>
          <cell r="D986" t="str">
            <v>AUA9738</v>
          </cell>
        </row>
        <row r="987">
          <cell r="C987" t="str">
            <v>AUB7836</v>
          </cell>
          <cell r="D987" t="str">
            <v>AUB7836</v>
          </cell>
        </row>
        <row r="988">
          <cell r="C988" t="str">
            <v>AUB7935</v>
          </cell>
          <cell r="D988" t="str">
            <v>AUB7935</v>
          </cell>
        </row>
        <row r="989">
          <cell r="C989" t="str">
            <v>AUC9529</v>
          </cell>
          <cell r="D989" t="str">
            <v>AUC9529</v>
          </cell>
        </row>
        <row r="990">
          <cell r="C990" t="str">
            <v>AUG6468</v>
          </cell>
          <cell r="D990" t="str">
            <v>AUG6468</v>
          </cell>
        </row>
        <row r="991">
          <cell r="C991" t="str">
            <v>AUG9489</v>
          </cell>
          <cell r="D991" t="str">
            <v>AUG9489</v>
          </cell>
        </row>
        <row r="992">
          <cell r="C992" t="str">
            <v>AUI0797</v>
          </cell>
          <cell r="D992" t="str">
            <v>AUI0797</v>
          </cell>
        </row>
        <row r="993">
          <cell r="C993" t="str">
            <v>AUI1635</v>
          </cell>
          <cell r="D993" t="str">
            <v>AUI1635</v>
          </cell>
        </row>
        <row r="994">
          <cell r="C994" t="str">
            <v>AUJ5757</v>
          </cell>
          <cell r="D994" t="str">
            <v>AUJ5757</v>
          </cell>
        </row>
        <row r="995">
          <cell r="C995" t="str">
            <v>AUK7293</v>
          </cell>
          <cell r="D995" t="str">
            <v>AUK7293</v>
          </cell>
        </row>
        <row r="996">
          <cell r="C996" t="str">
            <v>AUN3917</v>
          </cell>
          <cell r="D996" t="str">
            <v>AUN3917</v>
          </cell>
        </row>
        <row r="997">
          <cell r="C997" t="str">
            <v>AUN7516</v>
          </cell>
          <cell r="D997" t="str">
            <v>AUN7516</v>
          </cell>
        </row>
        <row r="998">
          <cell r="C998" t="str">
            <v>AUO1327</v>
          </cell>
          <cell r="D998" t="str">
            <v>AUO1327</v>
          </cell>
        </row>
        <row r="999">
          <cell r="C999" t="str">
            <v>AUO5815</v>
          </cell>
          <cell r="D999" t="str">
            <v>AUO5815</v>
          </cell>
        </row>
        <row r="1000">
          <cell r="C1000" t="str">
            <v>AUP8399</v>
          </cell>
          <cell r="D1000" t="str">
            <v>AUP8399</v>
          </cell>
        </row>
        <row r="1001">
          <cell r="C1001" t="str">
            <v>AUR8D23</v>
          </cell>
          <cell r="D1001" t="str">
            <v>AUR8D23</v>
          </cell>
        </row>
        <row r="1002">
          <cell r="C1002" t="str">
            <v>AUR1639</v>
          </cell>
          <cell r="D1002" t="str">
            <v>AUR1639</v>
          </cell>
        </row>
        <row r="1003">
          <cell r="C1003" t="str">
            <v>AUT5E85</v>
          </cell>
          <cell r="D1003" t="str">
            <v>AUT5E85</v>
          </cell>
        </row>
        <row r="1004">
          <cell r="C1004" t="str">
            <v>AUV7767</v>
          </cell>
          <cell r="D1004" t="str">
            <v>AUV7767</v>
          </cell>
        </row>
        <row r="1005">
          <cell r="C1005" t="str">
            <v>AUW1233</v>
          </cell>
          <cell r="D1005" t="str">
            <v>AUW1233</v>
          </cell>
        </row>
        <row r="1006">
          <cell r="C1006" t="str">
            <v>AUX4665</v>
          </cell>
          <cell r="D1006" t="str">
            <v>AUX4665</v>
          </cell>
        </row>
        <row r="1007">
          <cell r="C1007" t="str">
            <v>AUZ9303</v>
          </cell>
          <cell r="D1007" t="str">
            <v>AUZ9303</v>
          </cell>
        </row>
        <row r="1008">
          <cell r="C1008" t="str">
            <v>AVA2A47</v>
          </cell>
          <cell r="D1008" t="str">
            <v>AVA2A47</v>
          </cell>
        </row>
        <row r="1009">
          <cell r="C1009" t="str">
            <v>AVA7F07</v>
          </cell>
          <cell r="D1009" t="str">
            <v>AVA7F07</v>
          </cell>
        </row>
        <row r="1010">
          <cell r="C1010" t="str">
            <v>AVC4003</v>
          </cell>
          <cell r="D1010" t="str">
            <v>AVC4003</v>
          </cell>
        </row>
        <row r="1011">
          <cell r="C1011" t="str">
            <v>AVD5390</v>
          </cell>
          <cell r="D1011" t="str">
            <v>AVD5390</v>
          </cell>
        </row>
        <row r="1012">
          <cell r="C1012" t="str">
            <v>AVD6824</v>
          </cell>
          <cell r="D1012" t="str">
            <v>AVD6824</v>
          </cell>
        </row>
        <row r="1013">
          <cell r="C1013" t="str">
            <v>AVE1509</v>
          </cell>
          <cell r="D1013" t="str">
            <v>AVE1509</v>
          </cell>
        </row>
        <row r="1014">
          <cell r="C1014" t="str">
            <v>AVE7474</v>
          </cell>
          <cell r="D1014" t="str">
            <v>AVE7474</v>
          </cell>
        </row>
        <row r="1015">
          <cell r="C1015" t="str">
            <v>AVE7E74</v>
          </cell>
          <cell r="D1015" t="str">
            <v>AVE7E74</v>
          </cell>
        </row>
        <row r="1016">
          <cell r="C1016" t="str">
            <v>AVH1876</v>
          </cell>
          <cell r="D1016" t="str">
            <v>AVH1876</v>
          </cell>
        </row>
        <row r="1017">
          <cell r="C1017" t="str">
            <v>AVI1G67</v>
          </cell>
          <cell r="D1017" t="str">
            <v>AVI1G67</v>
          </cell>
        </row>
        <row r="1018">
          <cell r="C1018" t="str">
            <v>AVN6A18</v>
          </cell>
          <cell r="D1018" t="str">
            <v>AVN6A18</v>
          </cell>
        </row>
        <row r="1019">
          <cell r="C1019" t="str">
            <v>AVN9757</v>
          </cell>
          <cell r="D1019" t="str">
            <v>AVN9757</v>
          </cell>
        </row>
        <row r="1020">
          <cell r="C1020" t="str">
            <v>AVQ5977</v>
          </cell>
          <cell r="D1020" t="str">
            <v>AVQ5977</v>
          </cell>
        </row>
        <row r="1021">
          <cell r="C1021" t="str">
            <v>AVV1620</v>
          </cell>
          <cell r="D1021" t="str">
            <v>AVV1620</v>
          </cell>
        </row>
        <row r="1022">
          <cell r="C1022" t="str">
            <v>AVV8049</v>
          </cell>
          <cell r="D1022" t="str">
            <v>AVV8049</v>
          </cell>
        </row>
        <row r="1023">
          <cell r="C1023" t="str">
            <v>AVX3559</v>
          </cell>
          <cell r="D1023" t="str">
            <v>AVX3559</v>
          </cell>
        </row>
        <row r="1024">
          <cell r="C1024" t="str">
            <v>AWA8I52</v>
          </cell>
          <cell r="D1024" t="str">
            <v>AWA8I52</v>
          </cell>
        </row>
        <row r="1025">
          <cell r="C1025" t="str">
            <v>AWB9457</v>
          </cell>
          <cell r="D1025" t="str">
            <v>AWB9457</v>
          </cell>
        </row>
        <row r="1026">
          <cell r="C1026" t="str">
            <v>AWC8108</v>
          </cell>
          <cell r="D1026" t="str">
            <v>AWC8108</v>
          </cell>
        </row>
        <row r="1027">
          <cell r="C1027" t="str">
            <v>AWC8563</v>
          </cell>
          <cell r="D1027" t="str">
            <v>AWC8563</v>
          </cell>
        </row>
        <row r="1028">
          <cell r="C1028" t="str">
            <v>AWC9442</v>
          </cell>
          <cell r="D1028" t="str">
            <v>AWC9442</v>
          </cell>
        </row>
        <row r="1029">
          <cell r="C1029" t="str">
            <v>AWC9556</v>
          </cell>
          <cell r="D1029" t="str">
            <v>AWC9556</v>
          </cell>
        </row>
        <row r="1030">
          <cell r="C1030" t="str">
            <v>AWF0B46</v>
          </cell>
          <cell r="D1030" t="str">
            <v>AWF0B46</v>
          </cell>
        </row>
        <row r="1031">
          <cell r="C1031" t="str">
            <v>AWF1878</v>
          </cell>
          <cell r="D1031" t="str">
            <v>AWF1878</v>
          </cell>
        </row>
        <row r="1032">
          <cell r="C1032" t="str">
            <v>AWG0685</v>
          </cell>
          <cell r="D1032" t="str">
            <v>AWG0685</v>
          </cell>
        </row>
        <row r="1033">
          <cell r="C1033" t="str">
            <v>AWG1F29</v>
          </cell>
          <cell r="D1033" t="str">
            <v>AWG1F29</v>
          </cell>
        </row>
        <row r="1034">
          <cell r="C1034" t="str">
            <v>AWI0909</v>
          </cell>
          <cell r="D1034" t="str">
            <v>AWI0909</v>
          </cell>
        </row>
        <row r="1035">
          <cell r="C1035" t="str">
            <v>AWK2C23</v>
          </cell>
          <cell r="D1035" t="str">
            <v>AWK2C23</v>
          </cell>
        </row>
        <row r="1036">
          <cell r="C1036" t="str">
            <v>AWK9114</v>
          </cell>
          <cell r="D1036" t="str">
            <v>AWK9114</v>
          </cell>
        </row>
        <row r="1037">
          <cell r="C1037" t="str">
            <v>AWK9117</v>
          </cell>
          <cell r="D1037" t="str">
            <v>AWK9117</v>
          </cell>
        </row>
        <row r="1038">
          <cell r="C1038" t="str">
            <v>AWK9121</v>
          </cell>
          <cell r="D1038" t="str">
            <v>AWK9121</v>
          </cell>
        </row>
        <row r="1039">
          <cell r="C1039" t="str">
            <v>AWK9123</v>
          </cell>
          <cell r="D1039" t="str">
            <v>AWK9123</v>
          </cell>
        </row>
        <row r="1040">
          <cell r="C1040" t="str">
            <v>AWL1136</v>
          </cell>
          <cell r="D1040" t="str">
            <v>AWL1136</v>
          </cell>
        </row>
        <row r="1041">
          <cell r="C1041" t="str">
            <v>AWL1473</v>
          </cell>
          <cell r="D1041" t="str">
            <v>AWL1473</v>
          </cell>
        </row>
        <row r="1042">
          <cell r="C1042" t="str">
            <v>AWL3332</v>
          </cell>
          <cell r="D1042" t="str">
            <v>AWL3332</v>
          </cell>
        </row>
        <row r="1043">
          <cell r="C1043" t="str">
            <v>AWL7961</v>
          </cell>
          <cell r="D1043" t="str">
            <v>AWL7961</v>
          </cell>
        </row>
        <row r="1044">
          <cell r="C1044" t="str">
            <v>AWN4774</v>
          </cell>
          <cell r="D1044" t="str">
            <v>AWN4774</v>
          </cell>
        </row>
        <row r="1045">
          <cell r="C1045" t="str">
            <v>AWN5776</v>
          </cell>
          <cell r="D1045" t="str">
            <v>AWN5776</v>
          </cell>
        </row>
        <row r="1046">
          <cell r="C1046" t="str">
            <v>AWN5784</v>
          </cell>
          <cell r="D1046" t="str">
            <v>AWN5784</v>
          </cell>
        </row>
        <row r="1047">
          <cell r="C1047" t="str">
            <v>AWR1616</v>
          </cell>
          <cell r="D1047" t="str">
            <v>AWR1616</v>
          </cell>
        </row>
        <row r="1048">
          <cell r="C1048" t="str">
            <v>AWR3332</v>
          </cell>
          <cell r="D1048" t="str">
            <v>AWR3332</v>
          </cell>
        </row>
        <row r="1049">
          <cell r="C1049" t="str">
            <v>AWS5F01</v>
          </cell>
          <cell r="D1049" t="str">
            <v>AWS5F01</v>
          </cell>
        </row>
        <row r="1050">
          <cell r="C1050" t="str">
            <v>AWT5140</v>
          </cell>
          <cell r="D1050" t="str">
            <v>AWT5140</v>
          </cell>
        </row>
        <row r="1051">
          <cell r="C1051" t="str">
            <v>AWV7A10</v>
          </cell>
          <cell r="D1051" t="str">
            <v>AWV7A10</v>
          </cell>
        </row>
        <row r="1052">
          <cell r="C1052" t="str">
            <v>AWW0F39</v>
          </cell>
          <cell r="D1052" t="str">
            <v>AWW0F39</v>
          </cell>
        </row>
        <row r="1053">
          <cell r="C1053" t="str">
            <v>AWW0F45</v>
          </cell>
          <cell r="D1053" t="str">
            <v>AWW0F45</v>
          </cell>
        </row>
        <row r="1054">
          <cell r="C1054" t="str">
            <v>AWW9462</v>
          </cell>
          <cell r="D1054" t="str">
            <v>AWW9462</v>
          </cell>
        </row>
        <row r="1055">
          <cell r="C1055" t="str">
            <v>AWX6282</v>
          </cell>
          <cell r="D1055" t="str">
            <v>AWX6282</v>
          </cell>
        </row>
        <row r="1056">
          <cell r="C1056" t="str">
            <v>AWY8642</v>
          </cell>
          <cell r="D1056" t="str">
            <v>AWY8642</v>
          </cell>
        </row>
        <row r="1057">
          <cell r="C1057" t="str">
            <v>AWZ1F29</v>
          </cell>
          <cell r="D1057" t="str">
            <v>AWZ1F29</v>
          </cell>
        </row>
        <row r="1058">
          <cell r="C1058" t="str">
            <v>AXA2H29</v>
          </cell>
          <cell r="D1058" t="str">
            <v>AXA2H29</v>
          </cell>
        </row>
        <row r="1059">
          <cell r="C1059" t="str">
            <v>AXA5J77</v>
          </cell>
          <cell r="D1059" t="str">
            <v>AXA5J77</v>
          </cell>
        </row>
        <row r="1060">
          <cell r="C1060" t="str">
            <v>AXB2651</v>
          </cell>
          <cell r="D1060" t="str">
            <v>AXB2651</v>
          </cell>
        </row>
        <row r="1061">
          <cell r="C1061" t="str">
            <v>AXB2G51</v>
          </cell>
          <cell r="D1061" t="str">
            <v>AXB2G51</v>
          </cell>
        </row>
        <row r="1062">
          <cell r="C1062" t="str">
            <v>AXB7394</v>
          </cell>
          <cell r="D1062" t="str">
            <v>AXB7394</v>
          </cell>
        </row>
        <row r="1063">
          <cell r="C1063" t="str">
            <v>AXC9398</v>
          </cell>
          <cell r="D1063" t="str">
            <v>AXC9398</v>
          </cell>
        </row>
        <row r="1064">
          <cell r="C1064" t="str">
            <v>AXE2113</v>
          </cell>
          <cell r="D1064" t="str">
            <v>AXE2113</v>
          </cell>
        </row>
        <row r="1065">
          <cell r="C1065" t="str">
            <v>AXG2B74</v>
          </cell>
          <cell r="D1065" t="str">
            <v>AXG2B74</v>
          </cell>
        </row>
        <row r="1066">
          <cell r="C1066" t="str">
            <v>AXG3103</v>
          </cell>
          <cell r="D1066" t="str">
            <v>AXG3103</v>
          </cell>
        </row>
        <row r="1067">
          <cell r="C1067" t="str">
            <v>AXH1E19</v>
          </cell>
          <cell r="D1067" t="str">
            <v>AXH1E19</v>
          </cell>
        </row>
        <row r="1068">
          <cell r="C1068" t="str">
            <v>AXI2084</v>
          </cell>
          <cell r="D1068" t="str">
            <v>AXI2084</v>
          </cell>
        </row>
        <row r="1069">
          <cell r="C1069" t="str">
            <v>AXI2498</v>
          </cell>
          <cell r="D1069" t="str">
            <v>AXI2498</v>
          </cell>
        </row>
        <row r="1070">
          <cell r="C1070" t="str">
            <v>AXI5E28</v>
          </cell>
          <cell r="D1070" t="str">
            <v>AXI5E28</v>
          </cell>
        </row>
        <row r="1071">
          <cell r="C1071" t="str">
            <v>AXI7546</v>
          </cell>
          <cell r="D1071" t="str">
            <v>AXI7546</v>
          </cell>
        </row>
        <row r="1072">
          <cell r="C1072" t="str">
            <v>AXJ3327</v>
          </cell>
          <cell r="D1072" t="str">
            <v>AXJ3327</v>
          </cell>
        </row>
        <row r="1073">
          <cell r="C1073" t="str">
            <v>AXJ7737</v>
          </cell>
          <cell r="D1073" t="str">
            <v>AXJ7737</v>
          </cell>
        </row>
        <row r="1074">
          <cell r="C1074" t="str">
            <v>AXL2412</v>
          </cell>
          <cell r="D1074" t="str">
            <v>AXL2412</v>
          </cell>
        </row>
        <row r="1075">
          <cell r="C1075" t="str">
            <v>AXM4958</v>
          </cell>
          <cell r="D1075" t="str">
            <v>AXM4958</v>
          </cell>
        </row>
        <row r="1076">
          <cell r="C1076" t="str">
            <v>AXM8613</v>
          </cell>
          <cell r="D1076" t="str">
            <v>AXM8613</v>
          </cell>
        </row>
        <row r="1077">
          <cell r="C1077" t="str">
            <v>AXN1957</v>
          </cell>
          <cell r="D1077" t="str">
            <v>AXN1957</v>
          </cell>
        </row>
        <row r="1078">
          <cell r="C1078" t="str">
            <v>AXN2930</v>
          </cell>
          <cell r="D1078" t="str">
            <v>AXN2930</v>
          </cell>
        </row>
        <row r="1079">
          <cell r="C1079" t="str">
            <v>AXN2B16</v>
          </cell>
          <cell r="D1079" t="str">
            <v>AXN2B16</v>
          </cell>
        </row>
        <row r="1080">
          <cell r="C1080" t="str">
            <v>AXN4958</v>
          </cell>
          <cell r="D1080" t="str">
            <v>AXN4958</v>
          </cell>
        </row>
        <row r="1081">
          <cell r="C1081" t="str">
            <v>AXN5459</v>
          </cell>
          <cell r="D1081" t="str">
            <v>AXN5459</v>
          </cell>
        </row>
        <row r="1082">
          <cell r="C1082" t="str">
            <v>AXO1J18</v>
          </cell>
          <cell r="D1082" t="str">
            <v>AXO1J18</v>
          </cell>
        </row>
        <row r="1083">
          <cell r="C1083" t="str">
            <v>AXO3103</v>
          </cell>
          <cell r="D1083" t="str">
            <v>AXO3103</v>
          </cell>
        </row>
        <row r="1084">
          <cell r="C1084" t="str">
            <v>AXO8392</v>
          </cell>
          <cell r="D1084" t="str">
            <v>AXO8392</v>
          </cell>
        </row>
        <row r="1085">
          <cell r="C1085" t="str">
            <v>AXP0068</v>
          </cell>
          <cell r="D1085" t="str">
            <v>AXP0068</v>
          </cell>
        </row>
        <row r="1086">
          <cell r="C1086" t="str">
            <v>AXP9G79</v>
          </cell>
          <cell r="D1086" t="str">
            <v>AXP9G79</v>
          </cell>
        </row>
        <row r="1087">
          <cell r="C1087" t="str">
            <v>AXQ3213</v>
          </cell>
          <cell r="D1087" t="str">
            <v>AXQ3213</v>
          </cell>
        </row>
        <row r="1088">
          <cell r="C1088" t="str">
            <v>AXQ5936</v>
          </cell>
          <cell r="D1088" t="str">
            <v>AXQ5936</v>
          </cell>
        </row>
        <row r="1089">
          <cell r="C1089" t="str">
            <v>AXR3883</v>
          </cell>
          <cell r="D1089" t="str">
            <v>AXR3883</v>
          </cell>
        </row>
        <row r="1090">
          <cell r="C1090" t="str">
            <v>AXR8752</v>
          </cell>
          <cell r="D1090" t="str">
            <v>AXR8752</v>
          </cell>
        </row>
        <row r="1091">
          <cell r="C1091" t="str">
            <v>AXT7157</v>
          </cell>
          <cell r="D1091" t="str">
            <v>AXT7157</v>
          </cell>
        </row>
        <row r="1092">
          <cell r="C1092" t="str">
            <v>AXU3940</v>
          </cell>
          <cell r="D1092" t="str">
            <v>AXU3940</v>
          </cell>
        </row>
        <row r="1093">
          <cell r="C1093" t="str">
            <v>AXW3354</v>
          </cell>
          <cell r="D1093" t="str">
            <v>AXW3354</v>
          </cell>
        </row>
        <row r="1094">
          <cell r="C1094" t="str">
            <v>AXW7355</v>
          </cell>
          <cell r="D1094" t="str">
            <v>AXW7355</v>
          </cell>
        </row>
        <row r="1095">
          <cell r="C1095" t="str">
            <v>AXY5903</v>
          </cell>
          <cell r="D1095" t="str">
            <v>AXY5903</v>
          </cell>
        </row>
        <row r="1096">
          <cell r="C1096" t="str">
            <v>AXY8277</v>
          </cell>
          <cell r="D1096" t="str">
            <v>AXY8277</v>
          </cell>
        </row>
        <row r="1097">
          <cell r="C1097" t="str">
            <v>AXZ6D66</v>
          </cell>
          <cell r="D1097" t="str">
            <v>AXZ6D66</v>
          </cell>
        </row>
        <row r="1098">
          <cell r="C1098" t="str">
            <v>AYE9F04</v>
          </cell>
          <cell r="D1098" t="str">
            <v>AYE9F04</v>
          </cell>
        </row>
        <row r="1099">
          <cell r="C1099" t="str">
            <v>AYF2520</v>
          </cell>
          <cell r="D1099" t="str">
            <v>AYF2520</v>
          </cell>
        </row>
        <row r="1100">
          <cell r="C1100" t="str">
            <v>AYI0884</v>
          </cell>
          <cell r="D1100" t="str">
            <v>AYI0884</v>
          </cell>
        </row>
        <row r="1101">
          <cell r="C1101" t="str">
            <v>AYJ5496</v>
          </cell>
          <cell r="D1101" t="str">
            <v>AYJ5496</v>
          </cell>
        </row>
        <row r="1102">
          <cell r="C1102" t="str">
            <v>AYM3F67</v>
          </cell>
          <cell r="D1102" t="str">
            <v>AYM3F67</v>
          </cell>
        </row>
        <row r="1103">
          <cell r="C1103" t="str">
            <v>AYM7420</v>
          </cell>
          <cell r="D1103" t="str">
            <v>AYM7420</v>
          </cell>
        </row>
        <row r="1104">
          <cell r="C1104" t="str">
            <v>AYQ3E11</v>
          </cell>
          <cell r="D1104" t="str">
            <v>AYQ3E11</v>
          </cell>
        </row>
        <row r="1105">
          <cell r="C1105" t="str">
            <v>AYS4B48</v>
          </cell>
          <cell r="D1105" t="str">
            <v>AYS4B48</v>
          </cell>
        </row>
        <row r="1106">
          <cell r="C1106" t="str">
            <v>AYS5812</v>
          </cell>
          <cell r="D1106" t="str">
            <v>AYS5812</v>
          </cell>
        </row>
        <row r="1107">
          <cell r="C1107" t="str">
            <v>AYS9993</v>
          </cell>
          <cell r="D1107" t="str">
            <v>AYS9993</v>
          </cell>
        </row>
        <row r="1108">
          <cell r="C1108" t="str">
            <v>AYS9J51</v>
          </cell>
          <cell r="D1108" t="str">
            <v>AYS9J51</v>
          </cell>
        </row>
        <row r="1109">
          <cell r="C1109" t="str">
            <v>AYT1418</v>
          </cell>
          <cell r="D1109" t="str">
            <v>AYT1418</v>
          </cell>
        </row>
        <row r="1110">
          <cell r="C1110" t="str">
            <v>AYT7036</v>
          </cell>
          <cell r="D1110" t="str">
            <v>AYT7036</v>
          </cell>
        </row>
        <row r="1111">
          <cell r="C1111" t="str">
            <v>AYU0582</v>
          </cell>
          <cell r="D1111" t="str">
            <v>AYU0582</v>
          </cell>
        </row>
        <row r="1112">
          <cell r="C1112" t="str">
            <v>AYU0F82</v>
          </cell>
          <cell r="D1112" t="str">
            <v>AYU0F82</v>
          </cell>
        </row>
        <row r="1113">
          <cell r="C1113" t="str">
            <v>AYU5279</v>
          </cell>
          <cell r="D1113" t="str">
            <v>AYU5279</v>
          </cell>
        </row>
        <row r="1114">
          <cell r="C1114" t="str">
            <v>AYW4491</v>
          </cell>
          <cell r="D1114" t="str">
            <v>AYW4491</v>
          </cell>
        </row>
        <row r="1115">
          <cell r="C1115" t="str">
            <v>AYY2554</v>
          </cell>
          <cell r="D1115" t="str">
            <v>AYY2554</v>
          </cell>
        </row>
        <row r="1116">
          <cell r="C1116" t="str">
            <v>AYY6291</v>
          </cell>
          <cell r="D1116" t="str">
            <v>AYY6291</v>
          </cell>
        </row>
        <row r="1117">
          <cell r="C1117" t="str">
            <v>AZA8462</v>
          </cell>
          <cell r="D1117" t="str">
            <v>AZA8462</v>
          </cell>
        </row>
        <row r="1118">
          <cell r="C1118" t="str">
            <v>AZA8H47</v>
          </cell>
          <cell r="D1118" t="str">
            <v>AZA8H47</v>
          </cell>
        </row>
        <row r="1119">
          <cell r="C1119" t="str">
            <v>AZB3064</v>
          </cell>
          <cell r="D1119" t="str">
            <v>AZB3064</v>
          </cell>
        </row>
        <row r="1120">
          <cell r="C1120" t="str">
            <v>AZB8657</v>
          </cell>
          <cell r="D1120" t="str">
            <v>AZB8657</v>
          </cell>
        </row>
        <row r="1121">
          <cell r="C1121" t="str">
            <v>AZC3949</v>
          </cell>
          <cell r="D1121" t="str">
            <v>AZC3949</v>
          </cell>
        </row>
        <row r="1122">
          <cell r="C1122" t="str">
            <v>AZF0A16</v>
          </cell>
          <cell r="D1122" t="str">
            <v>AZF0A16</v>
          </cell>
        </row>
        <row r="1123">
          <cell r="C1123" t="str">
            <v>AZG7144</v>
          </cell>
          <cell r="D1123" t="str">
            <v>AZG7144</v>
          </cell>
        </row>
        <row r="1124">
          <cell r="C1124" t="str">
            <v>AZH5548</v>
          </cell>
          <cell r="D1124" t="str">
            <v>AZH5548</v>
          </cell>
        </row>
        <row r="1125">
          <cell r="C1125" t="str">
            <v>AZJ4352</v>
          </cell>
          <cell r="D1125" t="str">
            <v>AZJ4352</v>
          </cell>
        </row>
        <row r="1126">
          <cell r="C1126" t="str">
            <v>AZK9521</v>
          </cell>
          <cell r="D1126" t="str">
            <v>AZK9521</v>
          </cell>
        </row>
        <row r="1127">
          <cell r="C1127" t="str">
            <v>CUE5598</v>
          </cell>
          <cell r="D1127" t="str">
            <v>CUE5598</v>
          </cell>
        </row>
        <row r="1128">
          <cell r="C1128" t="str">
            <v>CUE5574</v>
          </cell>
          <cell r="D1128" t="str">
            <v>CUE5574</v>
          </cell>
        </row>
        <row r="1129">
          <cell r="C1129" t="str">
            <v>CUE5573</v>
          </cell>
          <cell r="D1129" t="str">
            <v>CUE5573</v>
          </cell>
        </row>
        <row r="1130">
          <cell r="C1130" t="str">
            <v>AZL0043</v>
          </cell>
          <cell r="D1130" t="str">
            <v>AZL0043</v>
          </cell>
        </row>
        <row r="1131">
          <cell r="C1131" t="str">
            <v>AZM3A92</v>
          </cell>
          <cell r="D1131" t="str">
            <v>AZM3A92</v>
          </cell>
        </row>
        <row r="1132">
          <cell r="C1132" t="str">
            <v>AZP1682</v>
          </cell>
          <cell r="D1132" t="str">
            <v>AZP1682</v>
          </cell>
        </row>
        <row r="1133">
          <cell r="C1133" t="str">
            <v>AZQ2540</v>
          </cell>
          <cell r="D1133" t="str">
            <v>AZQ2540</v>
          </cell>
        </row>
        <row r="1134">
          <cell r="C1134" t="str">
            <v>AZQ7144</v>
          </cell>
          <cell r="D1134" t="str">
            <v>AZQ7144</v>
          </cell>
        </row>
        <row r="1135">
          <cell r="C1135" t="str">
            <v>AZS0430</v>
          </cell>
          <cell r="D1135" t="str">
            <v>AZS0430</v>
          </cell>
        </row>
        <row r="1136">
          <cell r="C1136" t="str">
            <v>AZU8048</v>
          </cell>
          <cell r="D1136" t="str">
            <v>AZU8048</v>
          </cell>
        </row>
        <row r="1137">
          <cell r="C1137" t="str">
            <v>BAA5543</v>
          </cell>
          <cell r="D1137" t="str">
            <v>BAA5543</v>
          </cell>
        </row>
        <row r="1138">
          <cell r="C1138" t="str">
            <v>BAA9905</v>
          </cell>
          <cell r="D1138" t="str">
            <v>BAA9905</v>
          </cell>
        </row>
        <row r="1139">
          <cell r="C1139" t="str">
            <v>BAC0888</v>
          </cell>
          <cell r="D1139" t="str">
            <v>BAC0888</v>
          </cell>
        </row>
        <row r="1140">
          <cell r="C1140" t="str">
            <v>BAF0101</v>
          </cell>
          <cell r="D1140" t="str">
            <v>BAF0101</v>
          </cell>
        </row>
        <row r="1141">
          <cell r="C1141" t="str">
            <v>BAG5082</v>
          </cell>
          <cell r="D1141" t="str">
            <v>BAG5082</v>
          </cell>
        </row>
        <row r="1142">
          <cell r="C1142" t="str">
            <v>BAG9082</v>
          </cell>
          <cell r="D1142" t="str">
            <v>BAG9082</v>
          </cell>
        </row>
        <row r="1143">
          <cell r="C1143" t="str">
            <v>BAK6549</v>
          </cell>
          <cell r="D1143" t="str">
            <v>BAK6549</v>
          </cell>
        </row>
        <row r="1144">
          <cell r="C1144" t="str">
            <v>BAM6042</v>
          </cell>
          <cell r="D1144" t="str">
            <v>BAM6042</v>
          </cell>
        </row>
        <row r="1145">
          <cell r="C1145" t="str">
            <v>BAQ2005</v>
          </cell>
          <cell r="D1145" t="str">
            <v>BAQ2005</v>
          </cell>
        </row>
        <row r="1146">
          <cell r="C1146" t="str">
            <v>BAQ9117</v>
          </cell>
          <cell r="D1146" t="str">
            <v>BAQ9117</v>
          </cell>
        </row>
        <row r="1147">
          <cell r="C1147" t="str">
            <v>BAT8D00</v>
          </cell>
          <cell r="D1147" t="str">
            <v>BAT8D00</v>
          </cell>
        </row>
        <row r="1148">
          <cell r="C1148" t="str">
            <v>BBA4955</v>
          </cell>
          <cell r="D1148" t="str">
            <v>BBA4955</v>
          </cell>
        </row>
        <row r="1149">
          <cell r="C1149" t="str">
            <v>BBA9403</v>
          </cell>
          <cell r="D1149" t="str">
            <v>BBA9403</v>
          </cell>
        </row>
        <row r="1150">
          <cell r="C1150" t="str">
            <v>BBB6109</v>
          </cell>
          <cell r="D1150" t="str">
            <v>BBB6109</v>
          </cell>
        </row>
        <row r="1151">
          <cell r="C1151" t="str">
            <v>BBB8B53</v>
          </cell>
          <cell r="D1151" t="str">
            <v>BBB8B53</v>
          </cell>
        </row>
        <row r="1152">
          <cell r="C1152" t="str">
            <v>BBB8B54</v>
          </cell>
          <cell r="D1152" t="str">
            <v>BBB8B54</v>
          </cell>
        </row>
        <row r="1153">
          <cell r="C1153" t="str">
            <v>BBB8B55</v>
          </cell>
          <cell r="D1153" t="str">
            <v>BBB8B55</v>
          </cell>
        </row>
        <row r="1154">
          <cell r="C1154" t="str">
            <v>BBB9874</v>
          </cell>
          <cell r="D1154" t="str">
            <v>BBB9874</v>
          </cell>
        </row>
        <row r="1155">
          <cell r="C1155" t="str">
            <v>BBC9000</v>
          </cell>
          <cell r="D1155" t="str">
            <v>BBC9000</v>
          </cell>
        </row>
        <row r="1156">
          <cell r="C1156" t="str">
            <v>BBH1H75</v>
          </cell>
          <cell r="D1156" t="str">
            <v>BBH1H75</v>
          </cell>
        </row>
        <row r="1157">
          <cell r="C1157" t="str">
            <v>BBL 4765</v>
          </cell>
          <cell r="D1157" t="str">
            <v>BBL4765</v>
          </cell>
        </row>
        <row r="1158">
          <cell r="C1158" t="str">
            <v>BBM8581</v>
          </cell>
          <cell r="D1158" t="str">
            <v>BBM8581</v>
          </cell>
        </row>
        <row r="1159">
          <cell r="C1159" t="str">
            <v>BBP8641</v>
          </cell>
          <cell r="D1159" t="str">
            <v>BBP8641</v>
          </cell>
        </row>
        <row r="1160">
          <cell r="C1160" t="str">
            <v>BBS8724</v>
          </cell>
          <cell r="D1160" t="str">
            <v>BBS8724</v>
          </cell>
        </row>
        <row r="1161">
          <cell r="C1161" t="str">
            <v>BBU6059</v>
          </cell>
          <cell r="D1161" t="str">
            <v>BBU6059</v>
          </cell>
        </row>
        <row r="1162">
          <cell r="C1162" t="str">
            <v>BBX8H08</v>
          </cell>
          <cell r="D1162" t="str">
            <v>BBX8H08</v>
          </cell>
        </row>
        <row r="1163">
          <cell r="C1163" t="str">
            <v>BCJ3D08</v>
          </cell>
          <cell r="D1163" t="str">
            <v>BCJ3D08</v>
          </cell>
        </row>
        <row r="1164">
          <cell r="C1164" t="str">
            <v>BCJ4714</v>
          </cell>
          <cell r="D1164" t="str">
            <v>BCJ4714</v>
          </cell>
        </row>
        <row r="1165">
          <cell r="C1165" t="str">
            <v>BCN0933</v>
          </cell>
          <cell r="D1165" t="str">
            <v>BCN0933</v>
          </cell>
        </row>
        <row r="1166">
          <cell r="C1166" t="str">
            <v>BCO5F47</v>
          </cell>
          <cell r="D1166" t="str">
            <v>BCO5F47</v>
          </cell>
        </row>
        <row r="1167">
          <cell r="C1167" t="str">
            <v>BCQ5K33</v>
          </cell>
          <cell r="D1167" t="str">
            <v>BCQ5K33</v>
          </cell>
        </row>
        <row r="1168">
          <cell r="C1168" t="str">
            <v>BCS5J10</v>
          </cell>
          <cell r="D1168" t="str">
            <v>BCS5J10</v>
          </cell>
        </row>
        <row r="1169">
          <cell r="C1169" t="str">
            <v>BCU3B59</v>
          </cell>
          <cell r="D1169" t="str">
            <v>BCU3B59</v>
          </cell>
        </row>
        <row r="1170">
          <cell r="C1170" t="str">
            <v>BCV4C92</v>
          </cell>
          <cell r="D1170" t="str">
            <v>BCV4C92</v>
          </cell>
        </row>
        <row r="1171">
          <cell r="C1171" t="str">
            <v>BCW0310</v>
          </cell>
          <cell r="D1171" t="str">
            <v>BCW0310</v>
          </cell>
        </row>
        <row r="1172">
          <cell r="C1172" t="str">
            <v>BCX1C99</v>
          </cell>
          <cell r="D1172" t="str">
            <v>BCX1C99</v>
          </cell>
        </row>
        <row r="1173">
          <cell r="C1173" t="str">
            <v>BCZ2F28</v>
          </cell>
          <cell r="D1173" t="str">
            <v>BCZ2F28</v>
          </cell>
        </row>
        <row r="1174">
          <cell r="C1174" t="str">
            <v>BDB0H48</v>
          </cell>
          <cell r="D1174" t="str">
            <v>BDB0H48</v>
          </cell>
        </row>
        <row r="1175">
          <cell r="C1175" t="str">
            <v>BDB9I57</v>
          </cell>
          <cell r="D1175" t="str">
            <v>BDB9I57</v>
          </cell>
        </row>
        <row r="1176">
          <cell r="C1176" t="str">
            <v>BDK3D11</v>
          </cell>
          <cell r="D1176" t="str">
            <v>BDK3D11</v>
          </cell>
        </row>
        <row r="1177">
          <cell r="C1177" t="str">
            <v>BDK6A01</v>
          </cell>
          <cell r="D1177" t="str">
            <v>BDK6A01</v>
          </cell>
        </row>
        <row r="1178">
          <cell r="C1178" t="str">
            <v>BDK6A04</v>
          </cell>
          <cell r="D1178" t="str">
            <v>BDK6A04</v>
          </cell>
        </row>
        <row r="1179">
          <cell r="C1179" t="str">
            <v>BDK6A07</v>
          </cell>
          <cell r="D1179" t="str">
            <v>BDK6A07</v>
          </cell>
        </row>
        <row r="1180">
          <cell r="C1180" t="str">
            <v>BDM6A36</v>
          </cell>
          <cell r="D1180" t="str">
            <v>BDM6A36</v>
          </cell>
        </row>
        <row r="1181">
          <cell r="C1181" t="str">
            <v>BDP0E37</v>
          </cell>
          <cell r="D1181" t="str">
            <v>BDP0E37</v>
          </cell>
        </row>
        <row r="1182">
          <cell r="C1182" t="str">
            <v>BDP0E39</v>
          </cell>
          <cell r="D1182" t="str">
            <v>BDP0E39</v>
          </cell>
        </row>
        <row r="1183">
          <cell r="C1183" t="str">
            <v>BDQ6J65</v>
          </cell>
          <cell r="D1183" t="str">
            <v>BDQ6J65</v>
          </cell>
        </row>
        <row r="1184">
          <cell r="C1184" t="str">
            <v>BDV3J26</v>
          </cell>
          <cell r="D1184" t="str">
            <v>BDV3J26</v>
          </cell>
        </row>
        <row r="1185">
          <cell r="C1185" t="str">
            <v>BDW2C16</v>
          </cell>
          <cell r="D1185" t="str">
            <v>BDW2C16</v>
          </cell>
        </row>
        <row r="1186">
          <cell r="C1186" t="str">
            <v>BDY0H23</v>
          </cell>
          <cell r="D1186" t="str">
            <v>BDY0H23</v>
          </cell>
        </row>
        <row r="1187">
          <cell r="C1187" t="str">
            <v>BEC4F85</v>
          </cell>
          <cell r="D1187" t="str">
            <v>BEC4F85</v>
          </cell>
        </row>
        <row r="1188">
          <cell r="C1188" t="str">
            <v>BED4F15</v>
          </cell>
          <cell r="D1188" t="str">
            <v>BED4F15</v>
          </cell>
        </row>
        <row r="1189">
          <cell r="C1189" t="str">
            <v>BEG3J84</v>
          </cell>
          <cell r="D1189" t="str">
            <v>BEG3J84</v>
          </cell>
        </row>
        <row r="1190">
          <cell r="C1190" t="str">
            <v>BEL0089</v>
          </cell>
          <cell r="D1190" t="str">
            <v>BEL0089</v>
          </cell>
        </row>
        <row r="1191">
          <cell r="C1191" t="str">
            <v>BEL4721</v>
          </cell>
          <cell r="D1191" t="str">
            <v>BEL4721</v>
          </cell>
        </row>
        <row r="1192">
          <cell r="C1192" t="str">
            <v>BEO4715</v>
          </cell>
          <cell r="D1192" t="str">
            <v>BEO4715</v>
          </cell>
        </row>
        <row r="1193">
          <cell r="C1193" t="str">
            <v>BEO4F15</v>
          </cell>
          <cell r="D1193" t="str">
            <v>BEO4F15</v>
          </cell>
        </row>
        <row r="1194">
          <cell r="C1194" t="str">
            <v>BEO6D82</v>
          </cell>
          <cell r="D1194" t="str">
            <v>BEO6D82</v>
          </cell>
        </row>
        <row r="1195">
          <cell r="C1195" t="str">
            <v>BER4I18</v>
          </cell>
          <cell r="D1195" t="str">
            <v>BER4I18</v>
          </cell>
        </row>
        <row r="1196">
          <cell r="C1196" t="str">
            <v>BES9B08</v>
          </cell>
          <cell r="D1196" t="str">
            <v>BES9B08</v>
          </cell>
        </row>
        <row r="1197">
          <cell r="C1197" t="str">
            <v>BES9I39</v>
          </cell>
          <cell r="D1197" t="str">
            <v>BES9I39</v>
          </cell>
        </row>
        <row r="1198">
          <cell r="C1198" t="str">
            <v>EQ0002</v>
          </cell>
          <cell r="D1198" t="str">
            <v xml:space="preserve">       </v>
          </cell>
        </row>
        <row r="1199">
          <cell r="C1199" t="str">
            <v>EQ0005</v>
          </cell>
          <cell r="D1199" t="str">
            <v xml:space="preserve">       </v>
          </cell>
        </row>
        <row r="1200">
          <cell r="C1200" t="str">
            <v>EQ0008</v>
          </cell>
          <cell r="D1200" t="str">
            <v xml:space="preserve">       </v>
          </cell>
        </row>
        <row r="1201">
          <cell r="C1201" t="str">
            <v>EQ0009</v>
          </cell>
          <cell r="D1201" t="str">
            <v xml:space="preserve">       </v>
          </cell>
        </row>
        <row r="1202">
          <cell r="C1202" t="str">
            <v>BEU0E63</v>
          </cell>
          <cell r="D1202" t="str">
            <v>BEU0E63</v>
          </cell>
        </row>
        <row r="1203">
          <cell r="C1203" t="str">
            <v>BEV6C07</v>
          </cell>
          <cell r="D1203" t="str">
            <v>BEV6C07</v>
          </cell>
        </row>
        <row r="1204">
          <cell r="C1204" t="str">
            <v>BEZ5F87</v>
          </cell>
          <cell r="D1204" t="str">
            <v>BEZ5F87</v>
          </cell>
        </row>
        <row r="1205">
          <cell r="C1205" t="str">
            <v>BFC7468</v>
          </cell>
          <cell r="D1205" t="str">
            <v>BFC7468</v>
          </cell>
        </row>
        <row r="1206">
          <cell r="C1206" t="str">
            <v>BFK3178</v>
          </cell>
          <cell r="D1206" t="str">
            <v>BFK3178</v>
          </cell>
        </row>
        <row r="1207">
          <cell r="C1207" t="str">
            <v>BFL4360</v>
          </cell>
          <cell r="D1207" t="str">
            <v>BFL4360</v>
          </cell>
        </row>
        <row r="1208">
          <cell r="C1208" t="str">
            <v>BFO4577</v>
          </cell>
          <cell r="D1208" t="str">
            <v>BFO4577</v>
          </cell>
        </row>
        <row r="1209">
          <cell r="C1209" t="str">
            <v>BFO5459</v>
          </cell>
          <cell r="D1209" t="str">
            <v>BFO5459</v>
          </cell>
        </row>
        <row r="1210">
          <cell r="C1210" t="str">
            <v>BFO7042</v>
          </cell>
          <cell r="D1210" t="str">
            <v>BFO7042</v>
          </cell>
        </row>
        <row r="1211">
          <cell r="C1211" t="str">
            <v>BFP4226</v>
          </cell>
          <cell r="D1211" t="str">
            <v>BFP4226</v>
          </cell>
        </row>
        <row r="1212">
          <cell r="C1212" t="str">
            <v>BFY7075</v>
          </cell>
          <cell r="D1212" t="str">
            <v>BFY7075</v>
          </cell>
        </row>
        <row r="1213">
          <cell r="C1213" t="str">
            <v>BFZ8422</v>
          </cell>
          <cell r="D1213" t="str">
            <v>BFZ8422</v>
          </cell>
        </row>
        <row r="1214">
          <cell r="C1214" t="str">
            <v>BFZ9B79</v>
          </cell>
          <cell r="D1214" t="str">
            <v>BFZ9B79</v>
          </cell>
        </row>
        <row r="1215">
          <cell r="C1215" t="str">
            <v>BGQ4377</v>
          </cell>
          <cell r="D1215" t="str">
            <v>BGQ4377</v>
          </cell>
        </row>
        <row r="1216">
          <cell r="C1216" t="str">
            <v>BHA1073</v>
          </cell>
          <cell r="D1216" t="str">
            <v>BHA1073</v>
          </cell>
        </row>
        <row r="1217">
          <cell r="C1217" t="str">
            <v>BHG3592</v>
          </cell>
          <cell r="D1217" t="str">
            <v>BHG3592</v>
          </cell>
        </row>
        <row r="1218">
          <cell r="C1218" t="str">
            <v>BHH1E05</v>
          </cell>
          <cell r="D1218" t="str">
            <v>BHH1E05</v>
          </cell>
        </row>
        <row r="1219">
          <cell r="C1219" t="str">
            <v>BHK6371</v>
          </cell>
          <cell r="D1219" t="str">
            <v>BHK6371</v>
          </cell>
        </row>
        <row r="1220">
          <cell r="C1220" t="str">
            <v>BHK8E34</v>
          </cell>
          <cell r="D1220" t="str">
            <v>BHK8E34</v>
          </cell>
        </row>
        <row r="1221">
          <cell r="C1221" t="str">
            <v>BHL1112</v>
          </cell>
          <cell r="D1221" t="str">
            <v>BHL1112</v>
          </cell>
        </row>
        <row r="1222">
          <cell r="C1222" t="str">
            <v>BHM2247</v>
          </cell>
          <cell r="D1222" t="str">
            <v>BHM2247</v>
          </cell>
        </row>
        <row r="1223">
          <cell r="C1223" t="str">
            <v>BHM1101</v>
          </cell>
          <cell r="D1223" t="str">
            <v>BHM1101</v>
          </cell>
        </row>
        <row r="1224">
          <cell r="C1224" t="str">
            <v>BHS0761</v>
          </cell>
          <cell r="D1224" t="str">
            <v>BHS0761</v>
          </cell>
        </row>
        <row r="1225">
          <cell r="C1225" t="str">
            <v>BHS4635</v>
          </cell>
          <cell r="D1225" t="str">
            <v>BHS4635</v>
          </cell>
        </row>
        <row r="1226">
          <cell r="C1226" t="str">
            <v>BIF1048</v>
          </cell>
          <cell r="D1226" t="str">
            <v>BIF1048</v>
          </cell>
        </row>
        <row r="1227">
          <cell r="C1227" t="str">
            <v>BIH0634</v>
          </cell>
          <cell r="D1227" t="str">
            <v>BIH0634</v>
          </cell>
        </row>
        <row r="1228">
          <cell r="C1228" t="str">
            <v>BII2946</v>
          </cell>
          <cell r="D1228" t="str">
            <v>BII2946</v>
          </cell>
        </row>
        <row r="1229">
          <cell r="C1229" t="str">
            <v>BIJ1867</v>
          </cell>
          <cell r="D1229" t="str">
            <v>BIJ1867</v>
          </cell>
        </row>
        <row r="1230">
          <cell r="C1230" t="str">
            <v>BIJ6746</v>
          </cell>
          <cell r="D1230" t="str">
            <v>BIJ6746</v>
          </cell>
        </row>
        <row r="1231">
          <cell r="C1231" t="str">
            <v>BIK0892</v>
          </cell>
          <cell r="D1231" t="str">
            <v>BIK0892</v>
          </cell>
        </row>
        <row r="1232">
          <cell r="C1232" t="str">
            <v>BIN7802</v>
          </cell>
          <cell r="D1232" t="str">
            <v>BIN7802</v>
          </cell>
        </row>
        <row r="1233">
          <cell r="C1233" t="str">
            <v>BIQ3964</v>
          </cell>
          <cell r="D1233" t="str">
            <v>BIQ3964</v>
          </cell>
        </row>
        <row r="1234">
          <cell r="C1234" t="str">
            <v>BIR8086</v>
          </cell>
          <cell r="D1234" t="str">
            <v>BIR8086</v>
          </cell>
        </row>
        <row r="1235">
          <cell r="C1235" t="str">
            <v>BIV5282</v>
          </cell>
          <cell r="D1235" t="str">
            <v>BIV5282</v>
          </cell>
        </row>
        <row r="1236">
          <cell r="C1236" t="str">
            <v>BIV6I22</v>
          </cell>
          <cell r="D1236" t="str">
            <v>BIV6I22</v>
          </cell>
        </row>
        <row r="1237">
          <cell r="C1237" t="str">
            <v>BIX7430</v>
          </cell>
          <cell r="D1237" t="str">
            <v>BIX7430</v>
          </cell>
        </row>
        <row r="1238">
          <cell r="C1238" t="str">
            <v>BIX7E30</v>
          </cell>
          <cell r="D1238" t="str">
            <v>BIX7E30</v>
          </cell>
        </row>
        <row r="1239">
          <cell r="C1239" t="str">
            <v>BIY2936</v>
          </cell>
          <cell r="D1239" t="str">
            <v>BIY2936</v>
          </cell>
        </row>
        <row r="1240">
          <cell r="C1240" t="str">
            <v>BIY5961</v>
          </cell>
          <cell r="D1240" t="str">
            <v>BIY5961</v>
          </cell>
        </row>
        <row r="1241">
          <cell r="C1241" t="str">
            <v>BJA4771</v>
          </cell>
          <cell r="D1241" t="str">
            <v>BJA4771</v>
          </cell>
        </row>
        <row r="1242">
          <cell r="C1242" t="str">
            <v>BJA5521</v>
          </cell>
          <cell r="D1242" t="str">
            <v>BJA5521</v>
          </cell>
        </row>
        <row r="1243">
          <cell r="C1243" t="str">
            <v>BJE6F66</v>
          </cell>
          <cell r="D1243" t="str">
            <v>BJE6F66</v>
          </cell>
        </row>
        <row r="1244">
          <cell r="C1244" t="str">
            <v>BJE9B15</v>
          </cell>
          <cell r="D1244" t="str">
            <v>BJE9B15</v>
          </cell>
        </row>
        <row r="1245">
          <cell r="C1245" t="str">
            <v>BJJ3795</v>
          </cell>
          <cell r="D1245" t="str">
            <v>BJJ3795</v>
          </cell>
        </row>
        <row r="1246">
          <cell r="C1246" t="str">
            <v>BJK7043</v>
          </cell>
          <cell r="D1246" t="str">
            <v>BJK7043</v>
          </cell>
        </row>
        <row r="1247">
          <cell r="C1247" t="str">
            <v>BJK6043</v>
          </cell>
          <cell r="D1247" t="str">
            <v>BJK6043</v>
          </cell>
        </row>
        <row r="1248">
          <cell r="C1248" t="str">
            <v>BJK7021</v>
          </cell>
          <cell r="D1248" t="str">
            <v>BJK7021</v>
          </cell>
        </row>
        <row r="1249">
          <cell r="C1249" t="str">
            <v>BJK9433</v>
          </cell>
          <cell r="D1249" t="str">
            <v>BJK9433</v>
          </cell>
        </row>
        <row r="1250">
          <cell r="C1250" t="str">
            <v>BJM6580</v>
          </cell>
          <cell r="D1250" t="str">
            <v>BJM6580</v>
          </cell>
        </row>
        <row r="1251">
          <cell r="C1251" t="str">
            <v>BJM9078</v>
          </cell>
          <cell r="D1251" t="str">
            <v>BJM9078</v>
          </cell>
        </row>
        <row r="1252">
          <cell r="C1252" t="str">
            <v>BJN3448</v>
          </cell>
          <cell r="D1252" t="str">
            <v>BJN3448</v>
          </cell>
        </row>
        <row r="1253">
          <cell r="C1253" t="str">
            <v>BJO1160</v>
          </cell>
          <cell r="D1253" t="str">
            <v>BJO1160</v>
          </cell>
        </row>
        <row r="1254">
          <cell r="C1254" t="str">
            <v>BJO0J59</v>
          </cell>
          <cell r="D1254" t="str">
            <v>BJO0J59</v>
          </cell>
        </row>
        <row r="1255">
          <cell r="C1255" t="str">
            <v>BJP0345</v>
          </cell>
          <cell r="D1255" t="str">
            <v>BJP0345</v>
          </cell>
        </row>
        <row r="1256">
          <cell r="C1256" t="str">
            <v>BJP4609</v>
          </cell>
          <cell r="D1256" t="str">
            <v>BJP4609</v>
          </cell>
        </row>
        <row r="1257">
          <cell r="C1257" t="str">
            <v>BJP7646</v>
          </cell>
          <cell r="D1257" t="str">
            <v>BJP7646</v>
          </cell>
        </row>
        <row r="1258">
          <cell r="C1258" t="str">
            <v>BJP9955</v>
          </cell>
          <cell r="D1258" t="str">
            <v>BJP9955</v>
          </cell>
        </row>
        <row r="1259">
          <cell r="C1259" t="str">
            <v>BJP9H05</v>
          </cell>
          <cell r="D1259" t="str">
            <v>BJP9H05</v>
          </cell>
        </row>
        <row r="1260">
          <cell r="C1260" t="str">
            <v>BJQ0739</v>
          </cell>
          <cell r="D1260" t="str">
            <v>BJQ0739</v>
          </cell>
        </row>
        <row r="1261">
          <cell r="C1261" t="str">
            <v>BJR8087</v>
          </cell>
          <cell r="D1261" t="str">
            <v>BJR8087</v>
          </cell>
        </row>
        <row r="1262">
          <cell r="C1262" t="str">
            <v>BJS1733</v>
          </cell>
          <cell r="D1262" t="str">
            <v>BJS1733</v>
          </cell>
        </row>
        <row r="1263">
          <cell r="C1263" t="str">
            <v>BJT9H05</v>
          </cell>
          <cell r="D1263" t="str">
            <v>BJT9H05</v>
          </cell>
        </row>
        <row r="1264">
          <cell r="C1264" t="str">
            <v>BJW9737</v>
          </cell>
          <cell r="D1264" t="str">
            <v>BJW9737</v>
          </cell>
        </row>
        <row r="1265">
          <cell r="C1265" t="str">
            <v>BKB7940</v>
          </cell>
          <cell r="D1265" t="str">
            <v>BKB7940</v>
          </cell>
        </row>
        <row r="1266">
          <cell r="C1266" t="str">
            <v>BKD0992</v>
          </cell>
          <cell r="D1266" t="str">
            <v>BKD0992</v>
          </cell>
        </row>
        <row r="1267">
          <cell r="C1267" t="str">
            <v>BKE1137</v>
          </cell>
          <cell r="D1267" t="str">
            <v>BKE1137</v>
          </cell>
        </row>
        <row r="1268">
          <cell r="C1268" t="str">
            <v>BKE5286</v>
          </cell>
          <cell r="D1268" t="str">
            <v>BKE5286</v>
          </cell>
        </row>
        <row r="1269">
          <cell r="C1269" t="str">
            <v>BKI7E92</v>
          </cell>
          <cell r="D1269" t="str">
            <v>BKI7E92</v>
          </cell>
        </row>
        <row r="1270">
          <cell r="C1270" t="str">
            <v>BKK5708</v>
          </cell>
          <cell r="D1270" t="str">
            <v>BKK5708</v>
          </cell>
        </row>
        <row r="1271">
          <cell r="C1271" t="str">
            <v>BKK0217</v>
          </cell>
          <cell r="D1271" t="str">
            <v>BKK0217</v>
          </cell>
        </row>
        <row r="1272">
          <cell r="C1272" t="str">
            <v>BKN1605</v>
          </cell>
          <cell r="D1272" t="str">
            <v>BKN1605</v>
          </cell>
        </row>
        <row r="1273">
          <cell r="C1273" t="str">
            <v>BKP4B58</v>
          </cell>
          <cell r="D1273" t="str">
            <v>BKP4B58</v>
          </cell>
        </row>
        <row r="1274">
          <cell r="C1274" t="str">
            <v>BKQ1543</v>
          </cell>
          <cell r="D1274" t="str">
            <v>BKQ1543</v>
          </cell>
        </row>
        <row r="1275">
          <cell r="C1275" t="str">
            <v>BKT4652</v>
          </cell>
          <cell r="D1275" t="str">
            <v>BKT4652</v>
          </cell>
        </row>
        <row r="1276">
          <cell r="C1276" t="str">
            <v>BKW0326</v>
          </cell>
          <cell r="D1276" t="str">
            <v>BKW0326</v>
          </cell>
        </row>
        <row r="1277">
          <cell r="C1277" t="str">
            <v>BKW9I57</v>
          </cell>
          <cell r="D1277" t="str">
            <v>BKW9I57</v>
          </cell>
        </row>
        <row r="1278">
          <cell r="C1278" t="str">
            <v>BLB0901</v>
          </cell>
          <cell r="D1278" t="str">
            <v>BLB0901</v>
          </cell>
        </row>
        <row r="1279">
          <cell r="C1279" t="str">
            <v>BLC4037</v>
          </cell>
          <cell r="D1279" t="str">
            <v>BLC4037</v>
          </cell>
        </row>
        <row r="1280">
          <cell r="C1280" t="str">
            <v>BLD3H65</v>
          </cell>
          <cell r="D1280" t="str">
            <v>BLD3H65</v>
          </cell>
        </row>
        <row r="1281">
          <cell r="C1281" t="str">
            <v>BLE0155</v>
          </cell>
          <cell r="D1281" t="str">
            <v>BLE0155</v>
          </cell>
        </row>
        <row r="1282">
          <cell r="C1282" t="str">
            <v>BLE8168</v>
          </cell>
          <cell r="D1282" t="str">
            <v>BLE8168</v>
          </cell>
        </row>
        <row r="1283">
          <cell r="C1283" t="str">
            <v>BLF0078</v>
          </cell>
          <cell r="D1283" t="str">
            <v>BLF0078</v>
          </cell>
        </row>
        <row r="1284">
          <cell r="C1284" t="str">
            <v>BLG3740</v>
          </cell>
          <cell r="D1284" t="str">
            <v>BLG3740</v>
          </cell>
        </row>
        <row r="1285">
          <cell r="C1285" t="str">
            <v>BLH6651</v>
          </cell>
          <cell r="D1285" t="str">
            <v>BLH6651</v>
          </cell>
        </row>
        <row r="1286">
          <cell r="C1286" t="str">
            <v>BLI3956</v>
          </cell>
          <cell r="D1286" t="str">
            <v>BLI3956</v>
          </cell>
        </row>
        <row r="1287">
          <cell r="C1287" t="str">
            <v>BLJ5034</v>
          </cell>
          <cell r="D1287" t="str">
            <v>BLJ5034</v>
          </cell>
        </row>
        <row r="1288">
          <cell r="C1288" t="str">
            <v>BLK0G72</v>
          </cell>
          <cell r="D1288" t="str">
            <v>BLK0G72</v>
          </cell>
        </row>
        <row r="1289">
          <cell r="C1289" t="str">
            <v>BLK1438</v>
          </cell>
          <cell r="D1289" t="str">
            <v>BLK1438</v>
          </cell>
        </row>
        <row r="1290">
          <cell r="C1290" t="str">
            <v>BLK8472</v>
          </cell>
          <cell r="D1290" t="str">
            <v>BLK8472</v>
          </cell>
        </row>
        <row r="1291">
          <cell r="C1291" t="str">
            <v>BLM7462</v>
          </cell>
          <cell r="D1291" t="str">
            <v>BLM7462</v>
          </cell>
        </row>
        <row r="1292">
          <cell r="C1292" t="str">
            <v>BLN0260</v>
          </cell>
          <cell r="D1292" t="str">
            <v>BLN0260</v>
          </cell>
        </row>
        <row r="1293">
          <cell r="C1293" t="str">
            <v>BLO1107</v>
          </cell>
          <cell r="D1293" t="str">
            <v>BLO1107</v>
          </cell>
        </row>
        <row r="1294">
          <cell r="C1294" t="str">
            <v>BLR1570</v>
          </cell>
          <cell r="D1294" t="str">
            <v>BLR1570</v>
          </cell>
        </row>
        <row r="1295">
          <cell r="C1295" t="str">
            <v>BLT0814</v>
          </cell>
          <cell r="D1295" t="str">
            <v>BLT0814</v>
          </cell>
        </row>
        <row r="1296">
          <cell r="C1296" t="str">
            <v>BLV4H76</v>
          </cell>
          <cell r="D1296" t="str">
            <v>BLV4H76</v>
          </cell>
        </row>
        <row r="1297">
          <cell r="C1297" t="str">
            <v>BLV8502</v>
          </cell>
          <cell r="D1297" t="str">
            <v>BLV8502</v>
          </cell>
        </row>
        <row r="1298">
          <cell r="C1298" t="str">
            <v>BMD6664</v>
          </cell>
          <cell r="D1298" t="str">
            <v>BMD6664</v>
          </cell>
        </row>
        <row r="1299">
          <cell r="C1299" t="str">
            <v>BMF1744</v>
          </cell>
          <cell r="D1299" t="str">
            <v>BMF1744</v>
          </cell>
        </row>
        <row r="1300">
          <cell r="C1300" t="str">
            <v>BMF9365</v>
          </cell>
          <cell r="D1300" t="str">
            <v>BMF9365</v>
          </cell>
        </row>
        <row r="1301">
          <cell r="C1301" t="str">
            <v>BML0704</v>
          </cell>
          <cell r="D1301" t="str">
            <v>BML0704</v>
          </cell>
        </row>
        <row r="1302">
          <cell r="C1302" t="str">
            <v>BML6353</v>
          </cell>
          <cell r="D1302" t="str">
            <v>BML6353</v>
          </cell>
        </row>
        <row r="1303">
          <cell r="C1303" t="str">
            <v>BMM1646</v>
          </cell>
          <cell r="D1303" t="str">
            <v>BMM1646</v>
          </cell>
        </row>
        <row r="1304">
          <cell r="C1304" t="str">
            <v>BMN0662</v>
          </cell>
          <cell r="D1304" t="str">
            <v>BMN0662</v>
          </cell>
        </row>
        <row r="1305">
          <cell r="C1305" t="str">
            <v>BMP2497</v>
          </cell>
          <cell r="D1305" t="str">
            <v>BMP2497</v>
          </cell>
        </row>
        <row r="1306">
          <cell r="C1306" t="str">
            <v>BMQ2783</v>
          </cell>
          <cell r="D1306" t="str">
            <v>BMQ2783</v>
          </cell>
        </row>
        <row r="1307">
          <cell r="C1307" t="str">
            <v>BMR2524</v>
          </cell>
          <cell r="D1307" t="str">
            <v>BMR2524</v>
          </cell>
        </row>
        <row r="1308">
          <cell r="C1308" t="str">
            <v>BMU2109</v>
          </cell>
          <cell r="D1308" t="str">
            <v>BMU2109</v>
          </cell>
        </row>
        <row r="1309">
          <cell r="C1309" t="str">
            <v>BNA3536</v>
          </cell>
          <cell r="D1309" t="str">
            <v>BNA3536</v>
          </cell>
        </row>
        <row r="1310">
          <cell r="C1310" t="str">
            <v>BNE8C68</v>
          </cell>
          <cell r="D1310" t="str">
            <v>BNE8C68</v>
          </cell>
        </row>
        <row r="1311">
          <cell r="C1311" t="str">
            <v>BNE8D68</v>
          </cell>
          <cell r="D1311" t="str">
            <v>BNE8D68</v>
          </cell>
        </row>
        <row r="1312">
          <cell r="C1312" t="str">
            <v>BNG3G18</v>
          </cell>
          <cell r="D1312" t="str">
            <v>BNG3G18</v>
          </cell>
        </row>
        <row r="1313">
          <cell r="C1313" t="str">
            <v>BNH0I07</v>
          </cell>
          <cell r="D1313" t="str">
            <v>BNH0I07</v>
          </cell>
        </row>
        <row r="1314">
          <cell r="C1314" t="str">
            <v>BNJ7288</v>
          </cell>
          <cell r="D1314" t="str">
            <v>BNJ7288</v>
          </cell>
        </row>
        <row r="1315">
          <cell r="C1315" t="str">
            <v>BNK3001</v>
          </cell>
          <cell r="D1315" t="str">
            <v>BNK3001</v>
          </cell>
        </row>
        <row r="1316">
          <cell r="C1316" t="str">
            <v>BNK7846</v>
          </cell>
          <cell r="D1316" t="str">
            <v>BNK7846</v>
          </cell>
        </row>
        <row r="1317">
          <cell r="C1317" t="str">
            <v>BNL3509</v>
          </cell>
          <cell r="D1317" t="str">
            <v>BNL3509</v>
          </cell>
        </row>
        <row r="1318">
          <cell r="C1318" t="str">
            <v>BNL8842</v>
          </cell>
          <cell r="D1318" t="str">
            <v>BNL8842</v>
          </cell>
        </row>
        <row r="1319">
          <cell r="C1319" t="str">
            <v>BNP7293</v>
          </cell>
          <cell r="D1319" t="str">
            <v>BNP7293</v>
          </cell>
        </row>
        <row r="1320">
          <cell r="C1320" t="str">
            <v>BNS8750</v>
          </cell>
          <cell r="D1320" t="str">
            <v>BNS8750</v>
          </cell>
        </row>
        <row r="1321">
          <cell r="C1321" t="str">
            <v>BNT2052</v>
          </cell>
          <cell r="D1321" t="str">
            <v>BNT2052</v>
          </cell>
        </row>
        <row r="1322">
          <cell r="C1322" t="str">
            <v>BNV0639</v>
          </cell>
          <cell r="D1322" t="str">
            <v>BNV0639</v>
          </cell>
        </row>
        <row r="1323">
          <cell r="C1323" t="str">
            <v>BNV9078</v>
          </cell>
          <cell r="D1323" t="str">
            <v>BNV9078</v>
          </cell>
        </row>
        <row r="1324">
          <cell r="C1324" t="str">
            <v>BNV9886</v>
          </cell>
          <cell r="D1324" t="str">
            <v>BNV9886</v>
          </cell>
        </row>
        <row r="1325">
          <cell r="C1325" t="str">
            <v>BNY0419</v>
          </cell>
          <cell r="D1325" t="str">
            <v>BNY0419</v>
          </cell>
        </row>
        <row r="1326">
          <cell r="C1326" t="str">
            <v>BOC0741</v>
          </cell>
          <cell r="D1326" t="str">
            <v>BOC0741</v>
          </cell>
        </row>
        <row r="1327">
          <cell r="C1327" t="str">
            <v>BOF8959</v>
          </cell>
          <cell r="D1327" t="str">
            <v>BOF8959</v>
          </cell>
        </row>
        <row r="1328">
          <cell r="C1328" t="str">
            <v>BOG0741</v>
          </cell>
          <cell r="D1328" t="str">
            <v>BOG0741</v>
          </cell>
        </row>
        <row r="1329">
          <cell r="C1329" t="str">
            <v>BOG8366</v>
          </cell>
          <cell r="D1329" t="str">
            <v>BOG8366</v>
          </cell>
        </row>
        <row r="1330">
          <cell r="C1330" t="str">
            <v>BOH7001</v>
          </cell>
          <cell r="D1330" t="str">
            <v>BOH7001</v>
          </cell>
        </row>
        <row r="1331">
          <cell r="C1331" t="str">
            <v>BOJ4751</v>
          </cell>
          <cell r="D1331" t="str">
            <v>BOJ4751</v>
          </cell>
        </row>
        <row r="1332">
          <cell r="C1332" t="str">
            <v>BOL9429</v>
          </cell>
          <cell r="D1332" t="str">
            <v>BOL9429</v>
          </cell>
        </row>
        <row r="1333">
          <cell r="C1333" t="str">
            <v>BOMBA OFC</v>
          </cell>
          <cell r="D1333" t="str">
            <v>BOM0001</v>
          </cell>
        </row>
        <row r="1334">
          <cell r="C1334" t="str">
            <v>BOS9403</v>
          </cell>
          <cell r="D1334" t="str">
            <v>BOS9403</v>
          </cell>
        </row>
        <row r="1335">
          <cell r="C1335" t="str">
            <v>BOV4711</v>
          </cell>
          <cell r="D1335" t="str">
            <v>BOV4711</v>
          </cell>
        </row>
        <row r="1336">
          <cell r="C1336" t="str">
            <v>BPB7074</v>
          </cell>
          <cell r="D1336" t="str">
            <v>BPB7074</v>
          </cell>
        </row>
        <row r="1337">
          <cell r="C1337" t="str">
            <v>BPB1403</v>
          </cell>
          <cell r="D1337" t="str">
            <v>BPB1403</v>
          </cell>
        </row>
        <row r="1338">
          <cell r="C1338" t="str">
            <v>BPE5D31</v>
          </cell>
          <cell r="D1338" t="str">
            <v>BPE5D31</v>
          </cell>
        </row>
        <row r="1339">
          <cell r="C1339" t="str">
            <v>BPH6337</v>
          </cell>
          <cell r="D1339" t="str">
            <v>BPH6337</v>
          </cell>
        </row>
        <row r="1340">
          <cell r="C1340" t="str">
            <v>BPJ0680</v>
          </cell>
          <cell r="D1340" t="str">
            <v>BPJ0680</v>
          </cell>
        </row>
        <row r="1341">
          <cell r="C1341" t="str">
            <v>BPP1632</v>
          </cell>
          <cell r="D1341" t="str">
            <v>BPP1632</v>
          </cell>
        </row>
        <row r="1342">
          <cell r="C1342" t="str">
            <v>BPP3502</v>
          </cell>
          <cell r="D1342" t="str">
            <v>BPP3502</v>
          </cell>
        </row>
        <row r="1343">
          <cell r="C1343" t="str">
            <v>BPX5614</v>
          </cell>
          <cell r="D1343" t="str">
            <v>BPX5614</v>
          </cell>
        </row>
        <row r="1344">
          <cell r="C1344" t="str">
            <v>BPZ6659</v>
          </cell>
          <cell r="D1344" t="str">
            <v>BPZ6659</v>
          </cell>
        </row>
        <row r="1345">
          <cell r="C1345" t="str">
            <v>BQB2910</v>
          </cell>
          <cell r="D1345" t="str">
            <v>BQB2910</v>
          </cell>
        </row>
        <row r="1346">
          <cell r="C1346" t="str">
            <v>BQE7253</v>
          </cell>
          <cell r="D1346" t="str">
            <v>BQE7253</v>
          </cell>
        </row>
        <row r="1347">
          <cell r="C1347" t="str">
            <v>BQF0593</v>
          </cell>
          <cell r="D1347" t="str">
            <v>BQF0593</v>
          </cell>
        </row>
        <row r="1348">
          <cell r="C1348" t="str">
            <v>BQH5240</v>
          </cell>
          <cell r="D1348" t="str">
            <v>BQH5240</v>
          </cell>
        </row>
        <row r="1349">
          <cell r="C1349" t="str">
            <v>BQI0577</v>
          </cell>
          <cell r="D1349" t="str">
            <v>BQI0577</v>
          </cell>
        </row>
        <row r="1350">
          <cell r="C1350" t="str">
            <v>BQI5108</v>
          </cell>
          <cell r="D1350" t="str">
            <v>BQI5108</v>
          </cell>
        </row>
        <row r="1351">
          <cell r="C1351" t="str">
            <v>BQK9I94</v>
          </cell>
          <cell r="D1351" t="str">
            <v>BQK9I94</v>
          </cell>
        </row>
        <row r="1352">
          <cell r="C1352" t="str">
            <v>BQM4670</v>
          </cell>
          <cell r="D1352" t="str">
            <v>BQM4670</v>
          </cell>
        </row>
        <row r="1353">
          <cell r="C1353" t="str">
            <v>BQP8315</v>
          </cell>
          <cell r="D1353" t="str">
            <v>BQP8315</v>
          </cell>
        </row>
        <row r="1354">
          <cell r="C1354" t="str">
            <v>BQP9781</v>
          </cell>
          <cell r="D1354" t="str">
            <v>BQP9781</v>
          </cell>
        </row>
        <row r="1355">
          <cell r="C1355" t="str">
            <v>BQR5778</v>
          </cell>
          <cell r="D1355" t="str">
            <v>BQR5778</v>
          </cell>
        </row>
        <row r="1356">
          <cell r="C1356" t="str">
            <v>BQR8861</v>
          </cell>
          <cell r="D1356" t="str">
            <v>BQR8861</v>
          </cell>
        </row>
        <row r="1357">
          <cell r="C1357" t="str">
            <v>BQS4387</v>
          </cell>
          <cell r="D1357" t="str">
            <v>BQS4387</v>
          </cell>
        </row>
        <row r="1358">
          <cell r="C1358" t="str">
            <v>BQS5055</v>
          </cell>
          <cell r="D1358" t="str">
            <v>BQS5055</v>
          </cell>
        </row>
        <row r="1359">
          <cell r="C1359" t="str">
            <v>BQT4027</v>
          </cell>
          <cell r="D1359" t="str">
            <v>BQT4027</v>
          </cell>
        </row>
        <row r="1360">
          <cell r="C1360" t="str">
            <v>BQT5773</v>
          </cell>
          <cell r="D1360" t="str">
            <v>BQT5773</v>
          </cell>
        </row>
        <row r="1361">
          <cell r="C1361" t="str">
            <v>BQT5826</v>
          </cell>
          <cell r="D1361" t="str">
            <v>BQT5826</v>
          </cell>
        </row>
        <row r="1362">
          <cell r="C1362" t="str">
            <v>BQT5881</v>
          </cell>
          <cell r="D1362" t="str">
            <v>BQT5881</v>
          </cell>
        </row>
        <row r="1363">
          <cell r="C1363" t="str">
            <v>BQV4955</v>
          </cell>
          <cell r="D1363" t="str">
            <v>BQV4955</v>
          </cell>
        </row>
        <row r="1364">
          <cell r="C1364" t="str">
            <v>BQW6867</v>
          </cell>
          <cell r="D1364" t="str">
            <v>BQW6867</v>
          </cell>
        </row>
        <row r="1365">
          <cell r="C1365" t="str">
            <v>BRA8815</v>
          </cell>
          <cell r="D1365" t="str">
            <v>BRA8815</v>
          </cell>
        </row>
        <row r="1366">
          <cell r="C1366" t="str">
            <v>BRA7492</v>
          </cell>
          <cell r="D1366" t="str">
            <v>BRA7492</v>
          </cell>
        </row>
        <row r="1367">
          <cell r="C1367" t="str">
            <v>ANO2422</v>
          </cell>
          <cell r="D1367">
            <v>26</v>
          </cell>
        </row>
        <row r="1368">
          <cell r="C1368" t="str">
            <v>BRB0567</v>
          </cell>
          <cell r="D1368" t="str">
            <v>BRB0567</v>
          </cell>
        </row>
        <row r="1369">
          <cell r="C1369" t="str">
            <v>BRL2757</v>
          </cell>
          <cell r="D1369" t="str">
            <v>BRL2757</v>
          </cell>
        </row>
        <row r="1370">
          <cell r="C1370" t="str">
            <v>BRN2A99</v>
          </cell>
          <cell r="D1370" t="str">
            <v>BRN2A99</v>
          </cell>
        </row>
        <row r="1371">
          <cell r="C1371" t="str">
            <v>BRN9752</v>
          </cell>
          <cell r="D1371" t="str">
            <v>BRN9752</v>
          </cell>
        </row>
        <row r="1372">
          <cell r="C1372" t="str">
            <v>BRP0370</v>
          </cell>
          <cell r="D1372" t="str">
            <v>BRP0370</v>
          </cell>
        </row>
        <row r="1373">
          <cell r="C1373" t="str">
            <v>BRP9866</v>
          </cell>
          <cell r="D1373" t="str">
            <v>BRP9866</v>
          </cell>
        </row>
        <row r="1374">
          <cell r="C1374" t="str">
            <v>BRQ6915</v>
          </cell>
          <cell r="D1374" t="str">
            <v>BRQ6915</v>
          </cell>
        </row>
        <row r="1375">
          <cell r="C1375" t="str">
            <v>LQC3359</v>
          </cell>
          <cell r="D1375" t="str">
            <v>LQC3359</v>
          </cell>
        </row>
        <row r="1376">
          <cell r="C1376" t="str">
            <v>BRZ9484</v>
          </cell>
          <cell r="D1376" t="str">
            <v>BRZ9484</v>
          </cell>
        </row>
        <row r="1377">
          <cell r="C1377" t="str">
            <v>BSD7571</v>
          </cell>
          <cell r="D1377" t="str">
            <v>BSD7571</v>
          </cell>
        </row>
        <row r="1378">
          <cell r="C1378" t="str">
            <v>BSF1152</v>
          </cell>
          <cell r="D1378" t="str">
            <v>BSF1152</v>
          </cell>
        </row>
        <row r="1379">
          <cell r="C1379" t="str">
            <v>BSF3B01</v>
          </cell>
          <cell r="D1379" t="str">
            <v>BSF3B01</v>
          </cell>
        </row>
        <row r="1380">
          <cell r="C1380" t="str">
            <v>BSG7044</v>
          </cell>
          <cell r="D1380" t="str">
            <v>BSG7044</v>
          </cell>
        </row>
        <row r="1381">
          <cell r="C1381" t="str">
            <v>BSG8760</v>
          </cell>
          <cell r="D1381" t="str">
            <v>BSG8760</v>
          </cell>
        </row>
        <row r="1382">
          <cell r="C1382" t="str">
            <v>BSG2715</v>
          </cell>
          <cell r="D1382" t="str">
            <v>BSG2715</v>
          </cell>
        </row>
        <row r="1383">
          <cell r="C1383" t="str">
            <v>BSG4I70</v>
          </cell>
          <cell r="D1383" t="str">
            <v>BSG4I70</v>
          </cell>
        </row>
        <row r="1384">
          <cell r="C1384" t="str">
            <v>BSG7G45</v>
          </cell>
          <cell r="D1384" t="str">
            <v>BSG7G45</v>
          </cell>
        </row>
        <row r="1385">
          <cell r="C1385" t="str">
            <v>BSG7H74</v>
          </cell>
          <cell r="D1385" t="str">
            <v>BSG7H74</v>
          </cell>
        </row>
        <row r="1386">
          <cell r="C1386" t="str">
            <v>BSG8879</v>
          </cell>
          <cell r="D1386" t="str">
            <v>BSG8879</v>
          </cell>
        </row>
        <row r="1387">
          <cell r="C1387" t="str">
            <v>BSS9302</v>
          </cell>
          <cell r="D1387" t="str">
            <v>BSS9302</v>
          </cell>
        </row>
        <row r="1388">
          <cell r="C1388" t="str">
            <v>BST1852</v>
          </cell>
          <cell r="D1388" t="str">
            <v>BST1852</v>
          </cell>
        </row>
        <row r="1389">
          <cell r="C1389" t="str">
            <v>BSV3067</v>
          </cell>
          <cell r="D1389" t="str">
            <v>BSV3067</v>
          </cell>
        </row>
        <row r="1390">
          <cell r="C1390" t="str">
            <v>BTA0872</v>
          </cell>
          <cell r="D1390" t="str">
            <v>BTA0872</v>
          </cell>
        </row>
        <row r="1391">
          <cell r="C1391" t="str">
            <v>BTA0B10</v>
          </cell>
          <cell r="D1391" t="str">
            <v>BTA0B10</v>
          </cell>
        </row>
        <row r="1392">
          <cell r="C1392" t="str">
            <v>BTA3201</v>
          </cell>
          <cell r="D1392" t="str">
            <v>BTA3201</v>
          </cell>
        </row>
        <row r="1393">
          <cell r="C1393" t="str">
            <v>BTA3B80</v>
          </cell>
          <cell r="D1393" t="str">
            <v>BTA3B80</v>
          </cell>
        </row>
        <row r="1394">
          <cell r="C1394" t="str">
            <v>BTA4C93</v>
          </cell>
          <cell r="D1394" t="str">
            <v>BTA4C93</v>
          </cell>
        </row>
        <row r="1395">
          <cell r="C1395" t="str">
            <v>BTB0251</v>
          </cell>
          <cell r="D1395" t="str">
            <v>BTB0251</v>
          </cell>
        </row>
        <row r="1396">
          <cell r="C1396" t="str">
            <v>BTB2014</v>
          </cell>
          <cell r="D1396" t="str">
            <v>BTB2014</v>
          </cell>
        </row>
        <row r="1397">
          <cell r="C1397" t="str">
            <v>BTB3279</v>
          </cell>
          <cell r="D1397" t="str">
            <v>BTB3279</v>
          </cell>
        </row>
        <row r="1398">
          <cell r="C1398" t="str">
            <v>BTB5479</v>
          </cell>
          <cell r="D1398" t="str">
            <v>BTB5479</v>
          </cell>
        </row>
        <row r="1399">
          <cell r="C1399" t="str">
            <v>BTB9662</v>
          </cell>
          <cell r="D1399" t="str">
            <v>BTB9662</v>
          </cell>
        </row>
        <row r="1400">
          <cell r="C1400" t="str">
            <v>BTB9757</v>
          </cell>
          <cell r="D1400" t="str">
            <v>BTB9757</v>
          </cell>
        </row>
        <row r="1401">
          <cell r="C1401" t="str">
            <v>BTD1890</v>
          </cell>
          <cell r="D1401" t="str">
            <v>BTD1890</v>
          </cell>
        </row>
        <row r="1402">
          <cell r="C1402" t="str">
            <v>BTF0568</v>
          </cell>
          <cell r="D1402" t="str">
            <v>BTF0568</v>
          </cell>
        </row>
        <row r="1403">
          <cell r="C1403" t="str">
            <v>BTH5H60</v>
          </cell>
          <cell r="D1403" t="str">
            <v>BTH5H60</v>
          </cell>
        </row>
        <row r="1404">
          <cell r="C1404" t="str">
            <v>BTI7886</v>
          </cell>
          <cell r="D1404" t="str">
            <v>BTI7886</v>
          </cell>
        </row>
        <row r="1405">
          <cell r="C1405" t="str">
            <v>BTJ1133</v>
          </cell>
          <cell r="D1405" t="str">
            <v>BTJ1133</v>
          </cell>
        </row>
        <row r="1406">
          <cell r="C1406" t="str">
            <v>BTJ2089</v>
          </cell>
          <cell r="D1406" t="str">
            <v>BTJ2089</v>
          </cell>
        </row>
        <row r="1407">
          <cell r="C1407" t="str">
            <v>BTL9185</v>
          </cell>
          <cell r="D1407" t="str">
            <v>BTL9185</v>
          </cell>
        </row>
        <row r="1408">
          <cell r="C1408" t="str">
            <v>BTO4283</v>
          </cell>
          <cell r="D1408" t="str">
            <v>BTO4283</v>
          </cell>
        </row>
        <row r="1409">
          <cell r="C1409" t="str">
            <v>BTO5514</v>
          </cell>
          <cell r="D1409" t="str">
            <v>BTO5514</v>
          </cell>
        </row>
        <row r="1410">
          <cell r="C1410" t="str">
            <v>BTO7986</v>
          </cell>
          <cell r="D1410" t="str">
            <v>BTO7986</v>
          </cell>
        </row>
        <row r="1411">
          <cell r="C1411" t="str">
            <v>BTO7I17</v>
          </cell>
          <cell r="D1411" t="str">
            <v>BTO7I17</v>
          </cell>
        </row>
        <row r="1412">
          <cell r="C1412" t="str">
            <v>BTO8387</v>
          </cell>
          <cell r="D1412" t="str">
            <v>BTO8387</v>
          </cell>
        </row>
        <row r="1413">
          <cell r="C1413" t="str">
            <v>BTO1263</v>
          </cell>
          <cell r="D1413" t="str">
            <v>BTO1263</v>
          </cell>
        </row>
        <row r="1414">
          <cell r="C1414" t="str">
            <v>BTO1283</v>
          </cell>
          <cell r="D1414" t="str">
            <v>BTO1283</v>
          </cell>
        </row>
        <row r="1415">
          <cell r="C1415" t="str">
            <v>BTO1728</v>
          </cell>
          <cell r="D1415" t="str">
            <v>BTO1728</v>
          </cell>
        </row>
        <row r="1416">
          <cell r="C1416" t="str">
            <v>BTO5181</v>
          </cell>
          <cell r="D1416" t="str">
            <v>BTO5181</v>
          </cell>
        </row>
        <row r="1417">
          <cell r="C1417" t="str">
            <v>BTO6768</v>
          </cell>
          <cell r="D1417" t="str">
            <v>BTO6768</v>
          </cell>
        </row>
        <row r="1418">
          <cell r="C1418" t="str">
            <v>BTR1I05</v>
          </cell>
          <cell r="D1418" t="str">
            <v>BTR1I05</v>
          </cell>
        </row>
        <row r="1419">
          <cell r="C1419" t="str">
            <v>BTR6501</v>
          </cell>
          <cell r="D1419" t="str">
            <v>BTR6501</v>
          </cell>
        </row>
        <row r="1420">
          <cell r="C1420" t="str">
            <v>BTR6561</v>
          </cell>
          <cell r="D1420" t="str">
            <v>BTR6561</v>
          </cell>
        </row>
        <row r="1421">
          <cell r="C1421" t="str">
            <v>BTS0917</v>
          </cell>
          <cell r="D1421" t="str">
            <v>BTS0917</v>
          </cell>
        </row>
        <row r="1422">
          <cell r="C1422" t="str">
            <v>BTS3269</v>
          </cell>
          <cell r="D1422" t="str">
            <v>BTS3269</v>
          </cell>
        </row>
        <row r="1423">
          <cell r="C1423" t="str">
            <v>BTS3H07</v>
          </cell>
          <cell r="D1423" t="str">
            <v>BTS3H07</v>
          </cell>
        </row>
        <row r="1424">
          <cell r="C1424" t="str">
            <v>BTS7191</v>
          </cell>
          <cell r="D1424" t="str">
            <v>BTS7191</v>
          </cell>
        </row>
        <row r="1425">
          <cell r="C1425" t="str">
            <v>BTS8523</v>
          </cell>
          <cell r="D1425" t="str">
            <v>BTS8523</v>
          </cell>
        </row>
        <row r="1426">
          <cell r="C1426" t="str">
            <v>BTS9129</v>
          </cell>
          <cell r="D1426" t="str">
            <v>BTS9129</v>
          </cell>
        </row>
        <row r="1427">
          <cell r="C1427" t="str">
            <v>BTS9A58</v>
          </cell>
          <cell r="D1427" t="str">
            <v>BTS9A58</v>
          </cell>
        </row>
        <row r="1428">
          <cell r="C1428" t="str">
            <v>BTT3104</v>
          </cell>
          <cell r="D1428" t="str">
            <v>BTT3104</v>
          </cell>
        </row>
        <row r="1429">
          <cell r="C1429" t="str">
            <v>BTT4B58</v>
          </cell>
          <cell r="D1429" t="str">
            <v>BTT4B58</v>
          </cell>
        </row>
        <row r="1430">
          <cell r="C1430" t="str">
            <v>BTT5J38</v>
          </cell>
          <cell r="D1430" t="str">
            <v>BTT5J38</v>
          </cell>
        </row>
        <row r="1431">
          <cell r="C1431" t="str">
            <v>BTT6464</v>
          </cell>
          <cell r="D1431" t="str">
            <v>BTT6464</v>
          </cell>
        </row>
        <row r="1432">
          <cell r="C1432" t="str">
            <v>BTT7142</v>
          </cell>
          <cell r="D1432" t="str">
            <v>BTT7142</v>
          </cell>
        </row>
        <row r="1433">
          <cell r="C1433" t="str">
            <v>BTT9643</v>
          </cell>
          <cell r="D1433" t="str">
            <v>BTT9643</v>
          </cell>
        </row>
        <row r="1434">
          <cell r="C1434" t="str">
            <v>BTT9G43</v>
          </cell>
          <cell r="D1434" t="str">
            <v>BTT9G43</v>
          </cell>
        </row>
        <row r="1435">
          <cell r="C1435" t="str">
            <v>BTU0376</v>
          </cell>
          <cell r="D1435" t="str">
            <v>BTU0376</v>
          </cell>
        </row>
        <row r="1436">
          <cell r="C1436" t="str">
            <v>BTX0765</v>
          </cell>
          <cell r="D1436" t="str">
            <v>BTX0765</v>
          </cell>
        </row>
        <row r="1437">
          <cell r="C1437" t="str">
            <v>BTZ8D36</v>
          </cell>
          <cell r="D1437" t="str">
            <v>BTZ8D36</v>
          </cell>
        </row>
        <row r="1438">
          <cell r="C1438" t="str">
            <v>BUA5440</v>
          </cell>
          <cell r="D1438" t="str">
            <v>BUA5440</v>
          </cell>
        </row>
        <row r="1439">
          <cell r="C1439" t="str">
            <v>BUD0939</v>
          </cell>
          <cell r="D1439" t="str">
            <v>BUD0939</v>
          </cell>
        </row>
        <row r="1440">
          <cell r="C1440" t="str">
            <v>BUD6H57</v>
          </cell>
          <cell r="D1440" t="str">
            <v>BUD6H57</v>
          </cell>
        </row>
        <row r="1441">
          <cell r="C1441" t="str">
            <v>BUD8F12</v>
          </cell>
          <cell r="D1441" t="str">
            <v>BUD8F12</v>
          </cell>
        </row>
        <row r="1442">
          <cell r="C1442" t="str">
            <v>BUD9242</v>
          </cell>
          <cell r="D1442" t="str">
            <v>BUD9242</v>
          </cell>
        </row>
        <row r="1443">
          <cell r="C1443" t="str">
            <v>BUG0162</v>
          </cell>
          <cell r="D1443" t="str">
            <v>BUG0162</v>
          </cell>
        </row>
        <row r="1444">
          <cell r="C1444" t="str">
            <v>BUL9429</v>
          </cell>
          <cell r="D1444" t="str">
            <v>BUL9429</v>
          </cell>
        </row>
        <row r="1445">
          <cell r="C1445" t="str">
            <v>BUO5595</v>
          </cell>
          <cell r="D1445" t="str">
            <v>BUO5595</v>
          </cell>
        </row>
        <row r="1446">
          <cell r="C1446" t="str">
            <v>BUO8107</v>
          </cell>
          <cell r="D1446" t="str">
            <v>BUO8107</v>
          </cell>
        </row>
        <row r="1447">
          <cell r="C1447" t="str">
            <v>BUP7166</v>
          </cell>
          <cell r="D1447" t="str">
            <v>BUP7166</v>
          </cell>
        </row>
        <row r="1448">
          <cell r="C1448" t="str">
            <v>BUP7G86</v>
          </cell>
          <cell r="D1448" t="str">
            <v>BUP7G86</v>
          </cell>
        </row>
        <row r="1449">
          <cell r="C1449" t="str">
            <v>BUR4261</v>
          </cell>
          <cell r="D1449" t="str">
            <v>BUR4261</v>
          </cell>
        </row>
        <row r="1450">
          <cell r="C1450" t="str">
            <v>BUS5571</v>
          </cell>
          <cell r="D1450" t="str">
            <v>BUS5571</v>
          </cell>
        </row>
        <row r="1451">
          <cell r="C1451" t="str">
            <v>BUS2117</v>
          </cell>
          <cell r="D1451" t="str">
            <v>BUS2117</v>
          </cell>
        </row>
        <row r="1452">
          <cell r="C1452" t="str">
            <v>BUS3929</v>
          </cell>
          <cell r="D1452" t="str">
            <v>BUS3929</v>
          </cell>
        </row>
        <row r="1453">
          <cell r="C1453" t="str">
            <v>BUS5581</v>
          </cell>
          <cell r="D1453" t="str">
            <v>BUS5581</v>
          </cell>
        </row>
        <row r="1454">
          <cell r="C1454" t="str">
            <v>BUS8005</v>
          </cell>
          <cell r="D1454" t="str">
            <v>BUS8005</v>
          </cell>
        </row>
        <row r="1455">
          <cell r="C1455" t="str">
            <v>BUZ2647</v>
          </cell>
          <cell r="D1455" t="str">
            <v>BUZ2647</v>
          </cell>
        </row>
        <row r="1456">
          <cell r="C1456" t="str">
            <v>BUZ4616</v>
          </cell>
          <cell r="D1456" t="str">
            <v>BUZ4616</v>
          </cell>
        </row>
        <row r="1457">
          <cell r="C1457" t="str">
            <v>BVM7731</v>
          </cell>
          <cell r="D1457" t="str">
            <v>BVM7731</v>
          </cell>
        </row>
        <row r="1458">
          <cell r="C1458" t="str">
            <v>BVM0639</v>
          </cell>
          <cell r="D1458" t="str">
            <v>BVM0639</v>
          </cell>
        </row>
        <row r="1459">
          <cell r="C1459" t="str">
            <v>BVM9549</v>
          </cell>
          <cell r="D1459" t="str">
            <v>BVM9549</v>
          </cell>
        </row>
        <row r="1460">
          <cell r="C1460" t="str">
            <v>BVN0639</v>
          </cell>
          <cell r="D1460" t="str">
            <v>BVN0639</v>
          </cell>
        </row>
        <row r="1461">
          <cell r="C1461" t="str">
            <v>BVP2381</v>
          </cell>
          <cell r="D1461" t="str">
            <v>BVP2381</v>
          </cell>
        </row>
        <row r="1462">
          <cell r="C1462" t="str">
            <v>BVU3534</v>
          </cell>
          <cell r="D1462" t="str">
            <v>BVU3534</v>
          </cell>
        </row>
        <row r="1463">
          <cell r="C1463" t="str">
            <v>BVU6726</v>
          </cell>
          <cell r="D1463" t="str">
            <v>BVU6726</v>
          </cell>
        </row>
        <row r="1464">
          <cell r="C1464" t="str">
            <v>BVX2219</v>
          </cell>
          <cell r="D1464" t="str">
            <v>BVX2219</v>
          </cell>
        </row>
        <row r="1465">
          <cell r="C1465" t="str">
            <v>BVX4793</v>
          </cell>
          <cell r="D1465" t="str">
            <v>BVX4793</v>
          </cell>
        </row>
        <row r="1466">
          <cell r="C1466" t="str">
            <v>BWA1744</v>
          </cell>
          <cell r="D1466" t="str">
            <v>BWA1744</v>
          </cell>
        </row>
        <row r="1467">
          <cell r="C1467" t="str">
            <v>BWA4915</v>
          </cell>
          <cell r="D1467" t="str">
            <v>BWA4915</v>
          </cell>
        </row>
        <row r="1468">
          <cell r="C1468" t="str">
            <v>BWB0445</v>
          </cell>
          <cell r="D1468" t="str">
            <v>BWB0445</v>
          </cell>
        </row>
        <row r="1469">
          <cell r="C1469" t="str">
            <v>BWB0671</v>
          </cell>
          <cell r="D1469" t="str">
            <v>BWB0671</v>
          </cell>
        </row>
        <row r="1470">
          <cell r="C1470" t="str">
            <v>BWB1265</v>
          </cell>
          <cell r="D1470" t="str">
            <v>BWB1265</v>
          </cell>
        </row>
        <row r="1471">
          <cell r="C1471" t="str">
            <v>BWB3I42</v>
          </cell>
          <cell r="D1471" t="str">
            <v>BWB3I42</v>
          </cell>
        </row>
        <row r="1472">
          <cell r="C1472" t="str">
            <v>BWB6635</v>
          </cell>
          <cell r="D1472" t="str">
            <v>BWB6635</v>
          </cell>
        </row>
        <row r="1473">
          <cell r="C1473" t="str">
            <v>BWB7B41</v>
          </cell>
          <cell r="D1473" t="str">
            <v>BWB7B41</v>
          </cell>
        </row>
        <row r="1474">
          <cell r="C1474" t="str">
            <v>BWB8341</v>
          </cell>
          <cell r="D1474" t="str">
            <v>BWB8341</v>
          </cell>
        </row>
        <row r="1475">
          <cell r="C1475" t="str">
            <v>BWB8973</v>
          </cell>
          <cell r="D1475" t="str">
            <v>BWB8973</v>
          </cell>
        </row>
        <row r="1476">
          <cell r="C1476" t="str">
            <v>BWC2115</v>
          </cell>
          <cell r="D1476" t="str">
            <v>BWC2115</v>
          </cell>
        </row>
        <row r="1477">
          <cell r="C1477" t="str">
            <v>BWC1351</v>
          </cell>
          <cell r="D1477" t="str">
            <v>BWC1351</v>
          </cell>
        </row>
        <row r="1478">
          <cell r="C1478" t="str">
            <v>BWC4576</v>
          </cell>
          <cell r="D1478" t="str">
            <v>BWC4576</v>
          </cell>
        </row>
        <row r="1479">
          <cell r="C1479" t="str">
            <v>BWC6991</v>
          </cell>
          <cell r="D1479" t="str">
            <v>BWC6991</v>
          </cell>
        </row>
        <row r="1480">
          <cell r="C1480" t="str">
            <v>BWC8014</v>
          </cell>
          <cell r="D1480" t="str">
            <v>BWC8014</v>
          </cell>
        </row>
        <row r="1481">
          <cell r="C1481" t="str">
            <v>BWC8089</v>
          </cell>
          <cell r="D1481" t="str">
            <v>BWC8089</v>
          </cell>
        </row>
        <row r="1482">
          <cell r="C1482" t="str">
            <v>BWC8551</v>
          </cell>
          <cell r="D1482" t="str">
            <v>BWC8551</v>
          </cell>
        </row>
        <row r="1483">
          <cell r="C1483" t="str">
            <v>BWC8813</v>
          </cell>
          <cell r="D1483" t="str">
            <v>BWC8813</v>
          </cell>
        </row>
        <row r="1484">
          <cell r="C1484" t="str">
            <v>BWC8G83</v>
          </cell>
          <cell r="D1484" t="str">
            <v>BWC8G83</v>
          </cell>
        </row>
        <row r="1485">
          <cell r="C1485" t="str">
            <v>BWC8I19</v>
          </cell>
          <cell r="D1485" t="str">
            <v>BWC8I19</v>
          </cell>
        </row>
        <row r="1486">
          <cell r="C1486" t="str">
            <v>BWC9301</v>
          </cell>
          <cell r="D1486" t="str">
            <v>BWC9301</v>
          </cell>
        </row>
        <row r="1487">
          <cell r="C1487" t="str">
            <v>BWD4486</v>
          </cell>
          <cell r="D1487" t="str">
            <v>BWD4486</v>
          </cell>
        </row>
        <row r="1488">
          <cell r="C1488" t="str">
            <v>BWD0445</v>
          </cell>
          <cell r="D1488" t="str">
            <v>BWD0445</v>
          </cell>
        </row>
        <row r="1489">
          <cell r="C1489" t="str">
            <v>BWE1H65</v>
          </cell>
          <cell r="D1489" t="str">
            <v>BWE1H65</v>
          </cell>
        </row>
        <row r="1490">
          <cell r="C1490" t="str">
            <v>BWE1322</v>
          </cell>
          <cell r="D1490" t="str">
            <v>BWE1322</v>
          </cell>
        </row>
        <row r="1491">
          <cell r="C1491" t="str">
            <v>BWE4902</v>
          </cell>
          <cell r="D1491" t="str">
            <v>BWE4902</v>
          </cell>
        </row>
        <row r="1492">
          <cell r="C1492" t="str">
            <v>BWE5372</v>
          </cell>
          <cell r="D1492" t="str">
            <v>BWE5372</v>
          </cell>
        </row>
        <row r="1493">
          <cell r="C1493" t="str">
            <v>BWE5939</v>
          </cell>
          <cell r="D1493" t="str">
            <v>BWE5939</v>
          </cell>
        </row>
        <row r="1494">
          <cell r="C1494" t="str">
            <v>BWE7582</v>
          </cell>
          <cell r="D1494" t="str">
            <v>BWE7582</v>
          </cell>
        </row>
        <row r="1495">
          <cell r="C1495" t="str">
            <v>BWF3958</v>
          </cell>
          <cell r="D1495" t="str">
            <v>BWF3958</v>
          </cell>
        </row>
        <row r="1496">
          <cell r="C1496" t="str">
            <v>BWF4034</v>
          </cell>
          <cell r="D1496" t="str">
            <v>BWF4034</v>
          </cell>
        </row>
        <row r="1497">
          <cell r="C1497" t="str">
            <v>BWG1253</v>
          </cell>
          <cell r="D1497" t="str">
            <v>BWG1253</v>
          </cell>
        </row>
        <row r="1498">
          <cell r="C1498" t="str">
            <v>BWG6048</v>
          </cell>
          <cell r="D1498" t="str">
            <v>BWG6048</v>
          </cell>
        </row>
        <row r="1499">
          <cell r="C1499" t="str">
            <v>BWG7108</v>
          </cell>
          <cell r="D1499" t="str">
            <v>BWG7108</v>
          </cell>
        </row>
        <row r="1500">
          <cell r="C1500" t="str">
            <v>BWG7B08</v>
          </cell>
          <cell r="D1500" t="str">
            <v>BWG7B08</v>
          </cell>
        </row>
        <row r="1501">
          <cell r="C1501" t="str">
            <v>BWI0969</v>
          </cell>
          <cell r="D1501" t="str">
            <v>BWI0969</v>
          </cell>
        </row>
        <row r="1502">
          <cell r="C1502" t="str">
            <v>BWI2057</v>
          </cell>
          <cell r="D1502" t="str">
            <v>BWI2057</v>
          </cell>
        </row>
        <row r="1503">
          <cell r="C1503" t="str">
            <v>BWI4508</v>
          </cell>
          <cell r="D1503" t="str">
            <v>BWI4508</v>
          </cell>
        </row>
        <row r="1504">
          <cell r="C1504" t="str">
            <v>BWI9949</v>
          </cell>
          <cell r="D1504" t="str">
            <v>BWI9949</v>
          </cell>
        </row>
        <row r="1505">
          <cell r="C1505" t="str">
            <v>BWJ5292</v>
          </cell>
          <cell r="D1505" t="str">
            <v>BWJ5292</v>
          </cell>
        </row>
        <row r="1506">
          <cell r="C1506" t="str">
            <v>BWJ6411</v>
          </cell>
          <cell r="D1506" t="str">
            <v>BWJ6411</v>
          </cell>
        </row>
        <row r="1507">
          <cell r="C1507" t="str">
            <v>BWJ6794</v>
          </cell>
          <cell r="D1507" t="str">
            <v>BWJ6794</v>
          </cell>
        </row>
        <row r="1508">
          <cell r="C1508" t="str">
            <v>BWJ7580</v>
          </cell>
          <cell r="D1508" t="str">
            <v>BWJ7580</v>
          </cell>
        </row>
        <row r="1509">
          <cell r="C1509" t="str">
            <v>BWJ9137</v>
          </cell>
          <cell r="D1509" t="str">
            <v>BWJ9137</v>
          </cell>
        </row>
        <row r="1510">
          <cell r="C1510" t="str">
            <v>BWK0151</v>
          </cell>
          <cell r="D1510" t="str">
            <v>BWK0151</v>
          </cell>
        </row>
        <row r="1511">
          <cell r="C1511" t="str">
            <v>BWK0682</v>
          </cell>
          <cell r="D1511" t="str">
            <v>BWK0682</v>
          </cell>
        </row>
        <row r="1512">
          <cell r="C1512" t="str">
            <v>BWK0850</v>
          </cell>
          <cell r="D1512" t="str">
            <v>BWK0850</v>
          </cell>
        </row>
        <row r="1513">
          <cell r="C1513" t="str">
            <v>BWK1751</v>
          </cell>
          <cell r="D1513" t="str">
            <v>BWK1751</v>
          </cell>
        </row>
        <row r="1514">
          <cell r="C1514" t="str">
            <v>BWK1G93</v>
          </cell>
          <cell r="D1514" t="str">
            <v>BWK1G93</v>
          </cell>
        </row>
        <row r="1515">
          <cell r="C1515" t="str">
            <v>BWK3272</v>
          </cell>
          <cell r="D1515" t="str">
            <v>BWK3272</v>
          </cell>
        </row>
        <row r="1516">
          <cell r="C1516" t="str">
            <v>BWK5458</v>
          </cell>
          <cell r="D1516" t="str">
            <v>BWK5458</v>
          </cell>
        </row>
        <row r="1517">
          <cell r="C1517" t="str">
            <v>BWK7602</v>
          </cell>
          <cell r="D1517" t="str">
            <v>BWK7602</v>
          </cell>
        </row>
        <row r="1518">
          <cell r="C1518" t="str">
            <v>BWK9630</v>
          </cell>
          <cell r="D1518" t="str">
            <v>BWK9630</v>
          </cell>
        </row>
        <row r="1519">
          <cell r="C1519" t="str">
            <v>BWL9026</v>
          </cell>
          <cell r="D1519" t="str">
            <v>BWL9026</v>
          </cell>
        </row>
        <row r="1520">
          <cell r="C1520" t="str">
            <v>BWM1146</v>
          </cell>
          <cell r="D1520" t="str">
            <v>BWM1146</v>
          </cell>
        </row>
        <row r="1521">
          <cell r="C1521" t="str">
            <v>BWM2541</v>
          </cell>
          <cell r="D1521" t="str">
            <v>BWM2541</v>
          </cell>
        </row>
        <row r="1522">
          <cell r="C1522" t="str">
            <v>BWM7982</v>
          </cell>
          <cell r="D1522" t="str">
            <v>BWM7982</v>
          </cell>
        </row>
        <row r="1523">
          <cell r="C1523" t="str">
            <v>BWM8H81</v>
          </cell>
          <cell r="D1523" t="str">
            <v>BWM8H81</v>
          </cell>
        </row>
        <row r="1524">
          <cell r="C1524" t="str">
            <v>BWM0072</v>
          </cell>
          <cell r="D1524" t="str">
            <v>BWM0072</v>
          </cell>
        </row>
        <row r="1525">
          <cell r="C1525" t="str">
            <v>BWM0405</v>
          </cell>
          <cell r="D1525" t="str">
            <v>BWM0405</v>
          </cell>
        </row>
        <row r="1526">
          <cell r="C1526" t="str">
            <v>BWM0501</v>
          </cell>
          <cell r="D1526" t="str">
            <v>BWM0501</v>
          </cell>
        </row>
        <row r="1527">
          <cell r="C1527" t="str">
            <v>BWM1050</v>
          </cell>
          <cell r="D1527" t="str">
            <v>BWM1050</v>
          </cell>
        </row>
        <row r="1528">
          <cell r="C1528" t="str">
            <v>BWM3487</v>
          </cell>
          <cell r="D1528" t="str">
            <v>BWM3487</v>
          </cell>
        </row>
        <row r="1529">
          <cell r="C1529" t="str">
            <v>BWM3654</v>
          </cell>
          <cell r="D1529" t="str">
            <v>BWM3654</v>
          </cell>
        </row>
        <row r="1530">
          <cell r="C1530" t="str">
            <v>BWM5209</v>
          </cell>
          <cell r="D1530" t="str">
            <v>BWM5209</v>
          </cell>
        </row>
        <row r="1531">
          <cell r="C1531" t="str">
            <v>BWM7731</v>
          </cell>
          <cell r="D1531" t="str">
            <v>BWM7731</v>
          </cell>
        </row>
        <row r="1532">
          <cell r="C1532" t="str">
            <v>BWM7B08</v>
          </cell>
          <cell r="D1532" t="str">
            <v>BWM7B08</v>
          </cell>
        </row>
        <row r="1533">
          <cell r="C1533" t="str">
            <v>BWM7J82</v>
          </cell>
          <cell r="D1533" t="str">
            <v>BWM7J82</v>
          </cell>
        </row>
        <row r="1534">
          <cell r="C1534" t="str">
            <v>BWN1704</v>
          </cell>
          <cell r="D1534" t="str">
            <v>BWN1704</v>
          </cell>
        </row>
        <row r="1535">
          <cell r="C1535" t="str">
            <v>BWN0057</v>
          </cell>
          <cell r="D1535" t="str">
            <v>BWN0057</v>
          </cell>
        </row>
        <row r="1536">
          <cell r="C1536" t="str">
            <v>BWN1F71</v>
          </cell>
          <cell r="D1536" t="str">
            <v>BWN1F71</v>
          </cell>
        </row>
        <row r="1537">
          <cell r="C1537" t="str">
            <v>BWN2C53</v>
          </cell>
          <cell r="D1537" t="str">
            <v>BWN2C53</v>
          </cell>
        </row>
        <row r="1538">
          <cell r="C1538" t="str">
            <v>BWN3791</v>
          </cell>
          <cell r="D1538" t="str">
            <v>BWN3791</v>
          </cell>
        </row>
        <row r="1539">
          <cell r="C1539" t="str">
            <v>BWN4401</v>
          </cell>
          <cell r="D1539" t="str">
            <v>BWN4401</v>
          </cell>
        </row>
        <row r="1540">
          <cell r="C1540" t="str">
            <v>BWN9932</v>
          </cell>
          <cell r="D1540" t="str">
            <v>BWN9932</v>
          </cell>
        </row>
        <row r="1541">
          <cell r="C1541" t="str">
            <v>BWO4204</v>
          </cell>
          <cell r="D1541" t="str">
            <v>BWO4204</v>
          </cell>
        </row>
        <row r="1542">
          <cell r="C1542" t="str">
            <v>BWO4206</v>
          </cell>
          <cell r="D1542" t="str">
            <v>BWO4206</v>
          </cell>
        </row>
        <row r="1543">
          <cell r="C1543" t="str">
            <v>BWO4708</v>
          </cell>
          <cell r="D1543" t="str">
            <v>BWO4708</v>
          </cell>
        </row>
        <row r="1544">
          <cell r="C1544" t="str">
            <v>BWO7398</v>
          </cell>
          <cell r="D1544" t="str">
            <v>BWO7398</v>
          </cell>
        </row>
        <row r="1545">
          <cell r="C1545" t="str">
            <v>BWO8174</v>
          </cell>
          <cell r="D1545" t="str">
            <v>BWO8174</v>
          </cell>
        </row>
        <row r="1546">
          <cell r="C1546" t="str">
            <v>BWO8221</v>
          </cell>
          <cell r="D1546" t="str">
            <v>BWO8221</v>
          </cell>
        </row>
        <row r="1547">
          <cell r="C1547" t="str">
            <v>BWP6I38</v>
          </cell>
          <cell r="D1547" t="str">
            <v>BWP6I38</v>
          </cell>
        </row>
        <row r="1548">
          <cell r="C1548" t="str">
            <v>BWP2982</v>
          </cell>
          <cell r="D1548" t="str">
            <v>BWP2982</v>
          </cell>
        </row>
        <row r="1549">
          <cell r="C1549" t="str">
            <v>BWP8072</v>
          </cell>
          <cell r="D1549" t="str">
            <v>BWP8072</v>
          </cell>
        </row>
        <row r="1550">
          <cell r="C1550" t="str">
            <v>BWP9504</v>
          </cell>
          <cell r="D1550" t="str">
            <v>BWP9504</v>
          </cell>
        </row>
        <row r="1551">
          <cell r="C1551" t="str">
            <v>BWP9B31</v>
          </cell>
          <cell r="D1551" t="str">
            <v>BWP9B31</v>
          </cell>
        </row>
        <row r="1552">
          <cell r="C1552" t="str">
            <v>BWQ0G36</v>
          </cell>
          <cell r="D1552" t="str">
            <v>BWQ0G36</v>
          </cell>
        </row>
        <row r="1553">
          <cell r="C1553" t="str">
            <v>BWQ5873</v>
          </cell>
          <cell r="D1553" t="str">
            <v>BWQ5873</v>
          </cell>
        </row>
        <row r="1554">
          <cell r="C1554" t="str">
            <v>BWQ8956</v>
          </cell>
          <cell r="D1554" t="str">
            <v>BWQ8956</v>
          </cell>
        </row>
        <row r="1555">
          <cell r="C1555" t="str">
            <v>BWQ1964</v>
          </cell>
          <cell r="D1555" t="str">
            <v>BWQ1964</v>
          </cell>
        </row>
        <row r="1556">
          <cell r="C1556" t="str">
            <v>BWQ4272</v>
          </cell>
          <cell r="D1556" t="str">
            <v>BWQ4272</v>
          </cell>
        </row>
        <row r="1557">
          <cell r="C1557" t="str">
            <v>BWQ6009</v>
          </cell>
          <cell r="D1557" t="str">
            <v>BWQ6009</v>
          </cell>
        </row>
        <row r="1558">
          <cell r="C1558" t="str">
            <v>BWQ6668</v>
          </cell>
          <cell r="D1558" t="str">
            <v>BWQ6668</v>
          </cell>
        </row>
        <row r="1559">
          <cell r="C1559" t="str">
            <v>BWQ8J56</v>
          </cell>
          <cell r="D1559" t="str">
            <v>BWQ8J56</v>
          </cell>
        </row>
        <row r="1560">
          <cell r="C1560" t="str">
            <v>BWR2C73</v>
          </cell>
          <cell r="D1560" t="str">
            <v>BWR2C73</v>
          </cell>
        </row>
        <row r="1561">
          <cell r="C1561" t="str">
            <v>BWS0722</v>
          </cell>
          <cell r="D1561" t="str">
            <v>BWS0722</v>
          </cell>
        </row>
        <row r="1562">
          <cell r="C1562" t="str">
            <v>BWS0732</v>
          </cell>
          <cell r="D1562" t="str">
            <v>BWS0732</v>
          </cell>
        </row>
        <row r="1563">
          <cell r="C1563" t="str">
            <v>BWS2893</v>
          </cell>
          <cell r="D1563" t="str">
            <v>BWS2893</v>
          </cell>
        </row>
        <row r="1564">
          <cell r="C1564" t="str">
            <v>BWS3J58</v>
          </cell>
          <cell r="D1564" t="str">
            <v>BWS3J58</v>
          </cell>
        </row>
        <row r="1565">
          <cell r="C1565" t="str">
            <v>BWS6750</v>
          </cell>
          <cell r="D1565" t="str">
            <v>BWS6750</v>
          </cell>
        </row>
        <row r="1566">
          <cell r="C1566" t="str">
            <v>BWS7022</v>
          </cell>
          <cell r="D1566" t="str">
            <v>BWS7022</v>
          </cell>
        </row>
        <row r="1567">
          <cell r="C1567" t="str">
            <v>BWS9954</v>
          </cell>
          <cell r="D1567" t="str">
            <v>BWS9954</v>
          </cell>
        </row>
        <row r="1568">
          <cell r="C1568" t="str">
            <v>BWT1482</v>
          </cell>
          <cell r="D1568" t="str">
            <v>BWT1482</v>
          </cell>
        </row>
        <row r="1569">
          <cell r="C1569" t="str">
            <v>BWT2704</v>
          </cell>
          <cell r="D1569" t="str">
            <v>BWT2704</v>
          </cell>
        </row>
        <row r="1570">
          <cell r="C1570" t="str">
            <v>BWT4247</v>
          </cell>
          <cell r="D1570" t="str">
            <v>BWT4247</v>
          </cell>
        </row>
        <row r="1571">
          <cell r="C1571" t="str">
            <v>BWT6004</v>
          </cell>
          <cell r="D1571" t="str">
            <v>BWT6004</v>
          </cell>
        </row>
        <row r="1572">
          <cell r="C1572" t="str">
            <v>BWT6397</v>
          </cell>
          <cell r="D1572" t="str">
            <v>BWT6397</v>
          </cell>
        </row>
        <row r="1573">
          <cell r="C1573" t="str">
            <v>BWT7547</v>
          </cell>
          <cell r="D1573" t="str">
            <v>BWT7547</v>
          </cell>
        </row>
        <row r="1574">
          <cell r="C1574" t="str">
            <v>BWU5996</v>
          </cell>
          <cell r="D1574" t="str">
            <v>BWU5996</v>
          </cell>
        </row>
        <row r="1575">
          <cell r="C1575" t="str">
            <v>BWU8379</v>
          </cell>
          <cell r="D1575" t="str">
            <v>BWU8379</v>
          </cell>
        </row>
        <row r="1576">
          <cell r="C1576" t="str">
            <v>BWU9655</v>
          </cell>
          <cell r="D1576" t="str">
            <v>BWU9655</v>
          </cell>
        </row>
        <row r="1577">
          <cell r="C1577" t="str">
            <v>BWY0332</v>
          </cell>
          <cell r="D1577" t="str">
            <v>BWY0332</v>
          </cell>
        </row>
        <row r="1578">
          <cell r="C1578" t="str">
            <v>BWY0376</v>
          </cell>
          <cell r="D1578" t="str">
            <v>BWY0376</v>
          </cell>
        </row>
        <row r="1579">
          <cell r="C1579" t="str">
            <v>BWY5788</v>
          </cell>
          <cell r="D1579" t="str">
            <v>BWY5788</v>
          </cell>
        </row>
        <row r="1580">
          <cell r="C1580" t="str">
            <v>BWY7505</v>
          </cell>
          <cell r="D1580" t="str">
            <v>BWY7505</v>
          </cell>
        </row>
        <row r="1581">
          <cell r="C1581" t="str">
            <v>BWY7F42</v>
          </cell>
          <cell r="D1581" t="str">
            <v>BWY7F42</v>
          </cell>
        </row>
        <row r="1582">
          <cell r="C1582" t="str">
            <v>BWY7F43</v>
          </cell>
          <cell r="D1582" t="str">
            <v>BWY7F43</v>
          </cell>
        </row>
        <row r="1583">
          <cell r="C1583" t="str">
            <v>BWY7F52</v>
          </cell>
          <cell r="D1583" t="str">
            <v>BWY7F52</v>
          </cell>
        </row>
        <row r="1584">
          <cell r="C1584" t="str">
            <v>BWY9949</v>
          </cell>
          <cell r="D1584" t="str">
            <v>BWY9949</v>
          </cell>
        </row>
        <row r="1585">
          <cell r="C1585" t="str">
            <v>BWZ7850</v>
          </cell>
          <cell r="D1585" t="str">
            <v>BWZ7850</v>
          </cell>
        </row>
        <row r="1586">
          <cell r="C1586" t="str">
            <v>BWZ6034</v>
          </cell>
          <cell r="D1586" t="str">
            <v>BWZ6034</v>
          </cell>
        </row>
        <row r="1587">
          <cell r="C1587" t="str">
            <v>BWZ6325</v>
          </cell>
          <cell r="D1587" t="str">
            <v>BWZ6325</v>
          </cell>
        </row>
        <row r="1588">
          <cell r="C1588" t="str">
            <v>BWZ6D25</v>
          </cell>
          <cell r="D1588" t="str">
            <v>BWZ6D25</v>
          </cell>
        </row>
        <row r="1589">
          <cell r="C1589" t="str">
            <v>BXA0699</v>
          </cell>
          <cell r="D1589" t="str">
            <v>BXA0699</v>
          </cell>
        </row>
        <row r="1590">
          <cell r="C1590" t="str">
            <v>BXA0E54</v>
          </cell>
          <cell r="D1590" t="str">
            <v>BXA0E54</v>
          </cell>
        </row>
        <row r="1591">
          <cell r="C1591" t="str">
            <v>BXA6D90</v>
          </cell>
          <cell r="D1591" t="str">
            <v>BXA6D90</v>
          </cell>
        </row>
        <row r="1592">
          <cell r="C1592" t="str">
            <v>BXB1789</v>
          </cell>
          <cell r="D1592" t="str">
            <v>BXB1789</v>
          </cell>
        </row>
        <row r="1593">
          <cell r="C1593" t="str">
            <v>BXB3184</v>
          </cell>
          <cell r="D1593" t="str">
            <v>BXB3184</v>
          </cell>
        </row>
        <row r="1594">
          <cell r="C1594" t="str">
            <v>BXB5399</v>
          </cell>
          <cell r="D1594" t="str">
            <v>BXB5399</v>
          </cell>
        </row>
        <row r="1595">
          <cell r="C1595" t="str">
            <v>BXC3F25</v>
          </cell>
          <cell r="D1595" t="str">
            <v>BXC3F25</v>
          </cell>
        </row>
        <row r="1596">
          <cell r="C1596" t="str">
            <v>BXE4073</v>
          </cell>
          <cell r="D1596" t="str">
            <v>BXE4073</v>
          </cell>
        </row>
        <row r="1597">
          <cell r="C1597" t="str">
            <v>BXE5310</v>
          </cell>
          <cell r="D1597" t="str">
            <v>BXE5310</v>
          </cell>
        </row>
        <row r="1598">
          <cell r="C1598" t="str">
            <v>BXE7042</v>
          </cell>
          <cell r="D1598" t="str">
            <v>BXE7042</v>
          </cell>
        </row>
        <row r="1599">
          <cell r="C1599" t="str">
            <v>BXE8882</v>
          </cell>
          <cell r="D1599" t="str">
            <v>BXE8882</v>
          </cell>
        </row>
        <row r="1600">
          <cell r="C1600" t="str">
            <v>BXF4643</v>
          </cell>
          <cell r="D1600" t="str">
            <v>BXF4643</v>
          </cell>
        </row>
        <row r="1601">
          <cell r="C1601" t="str">
            <v>BXF0423</v>
          </cell>
          <cell r="D1601" t="str">
            <v>BXF0423</v>
          </cell>
        </row>
        <row r="1602">
          <cell r="C1602" t="str">
            <v>BXF6036</v>
          </cell>
          <cell r="D1602" t="str">
            <v>BXF6036</v>
          </cell>
        </row>
        <row r="1603">
          <cell r="C1603" t="str">
            <v>BXF7370</v>
          </cell>
          <cell r="D1603" t="str">
            <v>BXF7370</v>
          </cell>
        </row>
        <row r="1604">
          <cell r="C1604" t="str">
            <v>BXF8029</v>
          </cell>
          <cell r="D1604" t="str">
            <v>BXF8029</v>
          </cell>
        </row>
        <row r="1605">
          <cell r="C1605" t="str">
            <v>BXG2B69</v>
          </cell>
          <cell r="D1605" t="str">
            <v>BXG2B69</v>
          </cell>
        </row>
        <row r="1606">
          <cell r="C1606" t="str">
            <v>BXG2946</v>
          </cell>
          <cell r="D1606" t="str">
            <v>BXG2946</v>
          </cell>
        </row>
        <row r="1607">
          <cell r="C1607" t="str">
            <v>BXG4345</v>
          </cell>
          <cell r="D1607" t="str">
            <v>BXG4345</v>
          </cell>
        </row>
        <row r="1608">
          <cell r="C1608" t="str">
            <v>BXH8796</v>
          </cell>
          <cell r="D1608" t="str">
            <v>BXH8796</v>
          </cell>
        </row>
        <row r="1609">
          <cell r="C1609" t="str">
            <v>BXH8981</v>
          </cell>
          <cell r="D1609" t="str">
            <v>BXH8981</v>
          </cell>
        </row>
        <row r="1610">
          <cell r="C1610" t="str">
            <v>BXH8J81</v>
          </cell>
          <cell r="D1610" t="str">
            <v>BXH8J81</v>
          </cell>
        </row>
        <row r="1611">
          <cell r="C1611" t="str">
            <v>BXH3363</v>
          </cell>
          <cell r="D1611" t="str">
            <v>BXH3363</v>
          </cell>
        </row>
        <row r="1612">
          <cell r="C1612" t="str">
            <v>BXH6062</v>
          </cell>
          <cell r="D1612" t="str">
            <v>BXH6062</v>
          </cell>
        </row>
        <row r="1613">
          <cell r="C1613" t="str">
            <v>BXH9G17</v>
          </cell>
          <cell r="D1613" t="str">
            <v>BXH9G17</v>
          </cell>
        </row>
        <row r="1614">
          <cell r="C1614" t="str">
            <v>BXI5577</v>
          </cell>
          <cell r="D1614" t="str">
            <v>BXI5577</v>
          </cell>
        </row>
        <row r="1615">
          <cell r="C1615" t="str">
            <v>BXI2254</v>
          </cell>
          <cell r="D1615" t="str">
            <v>BXI2254</v>
          </cell>
        </row>
        <row r="1616">
          <cell r="C1616" t="str">
            <v>BXI2856</v>
          </cell>
          <cell r="D1616" t="str">
            <v>BXI2856</v>
          </cell>
        </row>
        <row r="1617">
          <cell r="C1617" t="str">
            <v>BXI4215</v>
          </cell>
          <cell r="D1617" t="str">
            <v>BXI4215</v>
          </cell>
        </row>
        <row r="1618">
          <cell r="C1618" t="str">
            <v>BXJ2710</v>
          </cell>
          <cell r="D1618" t="str">
            <v>BXJ2710</v>
          </cell>
        </row>
        <row r="1619">
          <cell r="C1619" t="str">
            <v>BXJ2778</v>
          </cell>
          <cell r="D1619" t="str">
            <v>BXJ2778</v>
          </cell>
        </row>
        <row r="1620">
          <cell r="C1620" t="str">
            <v>BXJ2F77</v>
          </cell>
          <cell r="D1620" t="str">
            <v>BXJ2F77</v>
          </cell>
        </row>
        <row r="1621">
          <cell r="C1621" t="str">
            <v>BXJ2G77</v>
          </cell>
          <cell r="D1621" t="str">
            <v>BXJ2G77</v>
          </cell>
        </row>
        <row r="1622">
          <cell r="C1622" t="str">
            <v>BXJ6774</v>
          </cell>
          <cell r="D1622" t="str">
            <v>BXJ6774</v>
          </cell>
        </row>
        <row r="1623">
          <cell r="C1623" t="str">
            <v>BXJ7089</v>
          </cell>
          <cell r="D1623" t="str">
            <v>BXJ7089</v>
          </cell>
        </row>
        <row r="1624">
          <cell r="C1624" t="str">
            <v>BXJ8G12</v>
          </cell>
          <cell r="D1624" t="str">
            <v>BXJ8G12</v>
          </cell>
        </row>
        <row r="1625">
          <cell r="C1625" t="str">
            <v>BXK9721</v>
          </cell>
          <cell r="D1625" t="str">
            <v>BXK9721</v>
          </cell>
        </row>
        <row r="1626">
          <cell r="C1626" t="str">
            <v>BXL1847</v>
          </cell>
          <cell r="D1626" t="str">
            <v>BXL1847</v>
          </cell>
        </row>
        <row r="1627">
          <cell r="C1627" t="str">
            <v>BXL7501</v>
          </cell>
          <cell r="D1627" t="str">
            <v>BXL7501</v>
          </cell>
        </row>
        <row r="1628">
          <cell r="C1628" t="str">
            <v>BXT0632</v>
          </cell>
          <cell r="D1628" t="str">
            <v>BXT0632</v>
          </cell>
        </row>
        <row r="1629">
          <cell r="C1629" t="str">
            <v>BYA6560</v>
          </cell>
          <cell r="D1629" t="str">
            <v>BYA6560</v>
          </cell>
        </row>
        <row r="1630">
          <cell r="C1630" t="str">
            <v>BYA3199</v>
          </cell>
          <cell r="D1630" t="str">
            <v>BYA3199</v>
          </cell>
        </row>
        <row r="1631">
          <cell r="C1631" t="str">
            <v>BYA3419</v>
          </cell>
          <cell r="D1631" t="str">
            <v>BYA3419</v>
          </cell>
        </row>
        <row r="1632">
          <cell r="C1632" t="str">
            <v>BYB5314</v>
          </cell>
          <cell r="D1632" t="str">
            <v>BYB5314</v>
          </cell>
        </row>
        <row r="1633">
          <cell r="C1633" t="str">
            <v>BYD2072</v>
          </cell>
          <cell r="D1633" t="str">
            <v>BYD2072</v>
          </cell>
        </row>
        <row r="1634">
          <cell r="C1634" t="str">
            <v>BYD4353</v>
          </cell>
          <cell r="D1634" t="str">
            <v>BYD4353</v>
          </cell>
        </row>
        <row r="1635">
          <cell r="C1635" t="str">
            <v>BYE7189</v>
          </cell>
          <cell r="D1635" t="str">
            <v>BYE7189</v>
          </cell>
        </row>
        <row r="1636">
          <cell r="C1636" t="str">
            <v>BYF2721</v>
          </cell>
          <cell r="D1636" t="str">
            <v>BYF2721</v>
          </cell>
        </row>
        <row r="1637">
          <cell r="C1637" t="str">
            <v>BYF5F50</v>
          </cell>
          <cell r="D1637" t="str">
            <v>BYF5F50</v>
          </cell>
        </row>
        <row r="1638">
          <cell r="C1638" t="str">
            <v>BYJ461</v>
          </cell>
          <cell r="D1638" t="str">
            <v xml:space="preserve">BYJ461 </v>
          </cell>
        </row>
        <row r="1639">
          <cell r="C1639" t="str">
            <v>BYN7255</v>
          </cell>
          <cell r="D1639" t="str">
            <v>BYN7255</v>
          </cell>
        </row>
        <row r="1640">
          <cell r="C1640" t="str">
            <v>BYO0297</v>
          </cell>
          <cell r="D1640" t="str">
            <v>BYO0297</v>
          </cell>
        </row>
        <row r="1641">
          <cell r="C1641" t="str">
            <v>BYX3J04</v>
          </cell>
          <cell r="D1641" t="str">
            <v>BYX3J04</v>
          </cell>
        </row>
        <row r="1642">
          <cell r="C1642" t="str">
            <v>BYZ7J29</v>
          </cell>
          <cell r="D1642" t="str">
            <v>BYZ7J29</v>
          </cell>
        </row>
        <row r="1643">
          <cell r="C1643" t="str">
            <v>BZD4081</v>
          </cell>
          <cell r="D1643" t="str">
            <v>BZD4081</v>
          </cell>
        </row>
        <row r="1644">
          <cell r="C1644" t="str">
            <v>BZE6261</v>
          </cell>
          <cell r="D1644" t="str">
            <v>BZE6261</v>
          </cell>
        </row>
        <row r="1645">
          <cell r="C1645" t="str">
            <v>BZG6A91</v>
          </cell>
          <cell r="D1645" t="str">
            <v>BZG6A91</v>
          </cell>
        </row>
        <row r="1646">
          <cell r="C1646" t="str">
            <v>BZI8599</v>
          </cell>
          <cell r="D1646" t="str">
            <v>BZI8599</v>
          </cell>
        </row>
        <row r="1647">
          <cell r="C1647" t="str">
            <v>BZI1C49</v>
          </cell>
          <cell r="D1647" t="str">
            <v>BZI1C49</v>
          </cell>
        </row>
        <row r="1648">
          <cell r="C1648" t="str">
            <v>BZL7H95</v>
          </cell>
          <cell r="D1648" t="str">
            <v>BZL7H95</v>
          </cell>
        </row>
        <row r="1649">
          <cell r="C1649" t="str">
            <v>BZM9F25</v>
          </cell>
          <cell r="D1649" t="str">
            <v>BZM9F25</v>
          </cell>
        </row>
        <row r="1650">
          <cell r="C1650" t="str">
            <v>BZN0306</v>
          </cell>
          <cell r="D1650" t="str">
            <v>BZN0306</v>
          </cell>
        </row>
        <row r="1651">
          <cell r="C1651" t="str">
            <v>BZN1874</v>
          </cell>
          <cell r="D1651" t="str">
            <v>BZN1874</v>
          </cell>
        </row>
        <row r="1652">
          <cell r="C1652" t="str">
            <v>BZN2465</v>
          </cell>
          <cell r="D1652" t="str">
            <v>BZN2465</v>
          </cell>
        </row>
        <row r="1653">
          <cell r="C1653" t="str">
            <v>BZN4635</v>
          </cell>
          <cell r="D1653" t="str">
            <v>BZN4635</v>
          </cell>
        </row>
        <row r="1654">
          <cell r="C1654" t="str">
            <v>BZT0H29</v>
          </cell>
          <cell r="D1654" t="str">
            <v>BZT0H29</v>
          </cell>
        </row>
        <row r="1655">
          <cell r="C1655" t="str">
            <v>EQ0010</v>
          </cell>
          <cell r="D1655" t="str">
            <v xml:space="preserve">       </v>
          </cell>
        </row>
        <row r="1656">
          <cell r="C1656" t="str">
            <v>EQ0011</v>
          </cell>
          <cell r="D1656" t="str">
            <v xml:space="preserve">       </v>
          </cell>
        </row>
        <row r="1657">
          <cell r="C1657" t="str">
            <v>EQ0013</v>
          </cell>
          <cell r="D1657" t="str">
            <v xml:space="preserve">       </v>
          </cell>
        </row>
        <row r="1658">
          <cell r="C1658" t="str">
            <v>EQ0012</v>
          </cell>
          <cell r="D1658" t="str">
            <v xml:space="preserve">       </v>
          </cell>
        </row>
        <row r="1659">
          <cell r="C1659" t="str">
            <v>EQ0017</v>
          </cell>
          <cell r="D1659" t="str">
            <v xml:space="preserve">       </v>
          </cell>
        </row>
        <row r="1660">
          <cell r="C1660" t="str">
            <v>CAC9040</v>
          </cell>
          <cell r="D1660" t="str">
            <v>CAC9040</v>
          </cell>
        </row>
        <row r="1661">
          <cell r="C1661" t="str">
            <v>CAE3341</v>
          </cell>
          <cell r="D1661" t="str">
            <v>CAE3341</v>
          </cell>
        </row>
        <row r="1662">
          <cell r="C1662" t="str">
            <v>CAH4240</v>
          </cell>
          <cell r="D1662" t="str">
            <v>CAH4240</v>
          </cell>
        </row>
        <row r="1663">
          <cell r="C1663" t="str">
            <v>CAH7732</v>
          </cell>
          <cell r="D1663" t="str">
            <v>CAH7732</v>
          </cell>
        </row>
        <row r="1664">
          <cell r="C1664" t="str">
            <v>CAH7H32</v>
          </cell>
          <cell r="D1664" t="str">
            <v>CAH7H32</v>
          </cell>
        </row>
        <row r="1665">
          <cell r="C1665" t="str">
            <v>CAL2480</v>
          </cell>
          <cell r="D1665" t="str">
            <v>CAL2480</v>
          </cell>
        </row>
        <row r="1666">
          <cell r="C1666" t="str">
            <v>ADE0386</v>
          </cell>
          <cell r="D1666" t="str">
            <v>ADE0386</v>
          </cell>
        </row>
        <row r="1667">
          <cell r="C1667" t="str">
            <v>MAP4G15</v>
          </cell>
          <cell r="D1667" t="str">
            <v>MAP4G15</v>
          </cell>
        </row>
        <row r="1668">
          <cell r="C1668" t="str">
            <v>EJZ7304</v>
          </cell>
          <cell r="D1668">
            <v>24</v>
          </cell>
        </row>
        <row r="1669">
          <cell r="C1669" t="str">
            <v>BUS6788</v>
          </cell>
          <cell r="D1669" t="str">
            <v>BUS6788</v>
          </cell>
        </row>
        <row r="1670">
          <cell r="C1670" t="str">
            <v>BUS6574</v>
          </cell>
          <cell r="D1670" t="str">
            <v>BUS6574</v>
          </cell>
        </row>
        <row r="1671">
          <cell r="C1671" t="str">
            <v>CAQ1499</v>
          </cell>
          <cell r="D1671" t="str">
            <v>CAQ1499</v>
          </cell>
        </row>
        <row r="1672">
          <cell r="C1672" t="str">
            <v>JYI3437</v>
          </cell>
          <cell r="D1672" t="str">
            <v>JYI3437</v>
          </cell>
        </row>
        <row r="1673">
          <cell r="C1673" t="str">
            <v>BXH7797</v>
          </cell>
          <cell r="D1673" t="str">
            <v>BXH7797</v>
          </cell>
        </row>
        <row r="1674">
          <cell r="C1674" t="str">
            <v>ACN5291</v>
          </cell>
          <cell r="D1674" t="str">
            <v>ACN5291</v>
          </cell>
        </row>
        <row r="1675">
          <cell r="C1675" t="str">
            <v>HTS8161</v>
          </cell>
          <cell r="D1675" t="str">
            <v>HTS8161</v>
          </cell>
        </row>
        <row r="1676">
          <cell r="C1676" t="str">
            <v>BWN4295</v>
          </cell>
          <cell r="D1676" t="str">
            <v>BWN4295</v>
          </cell>
        </row>
        <row r="1677">
          <cell r="C1677" t="str">
            <v>MNK9342</v>
          </cell>
          <cell r="D1677" t="str">
            <v>MNK9342</v>
          </cell>
        </row>
        <row r="1678">
          <cell r="C1678" t="str">
            <v>CAU2973</v>
          </cell>
          <cell r="D1678" t="str">
            <v>CAU2973</v>
          </cell>
        </row>
        <row r="1679">
          <cell r="C1679" t="str">
            <v>CAZ0304</v>
          </cell>
          <cell r="D1679" t="str">
            <v>CAZ0304</v>
          </cell>
        </row>
        <row r="1680">
          <cell r="C1680" t="str">
            <v>CAZ8256</v>
          </cell>
          <cell r="D1680" t="str">
            <v>CAZ8256</v>
          </cell>
        </row>
        <row r="1681">
          <cell r="C1681" t="str">
            <v>CPE0899</v>
          </cell>
          <cell r="D1681" t="str">
            <v xml:space="preserve">       </v>
          </cell>
        </row>
        <row r="1682">
          <cell r="C1682" t="str">
            <v>CPE0700</v>
          </cell>
          <cell r="D1682" t="str">
            <v xml:space="preserve">       </v>
          </cell>
        </row>
        <row r="1683">
          <cell r="C1683" t="str">
            <v>CPE0898</v>
          </cell>
          <cell r="D1683" t="str">
            <v xml:space="preserve">       </v>
          </cell>
        </row>
        <row r="1684">
          <cell r="C1684" t="str">
            <v>CPE0897</v>
          </cell>
          <cell r="D1684" t="str">
            <v xml:space="preserve">       </v>
          </cell>
        </row>
        <row r="1685">
          <cell r="C1685" t="str">
            <v>CPE0896</v>
          </cell>
          <cell r="D1685" t="str">
            <v xml:space="preserve">       </v>
          </cell>
        </row>
        <row r="1686">
          <cell r="C1686" t="str">
            <v>CPE0701</v>
          </cell>
          <cell r="D1686" t="str">
            <v xml:space="preserve">       </v>
          </cell>
        </row>
        <row r="1687">
          <cell r="C1687" t="str">
            <v>CPE0895</v>
          </cell>
          <cell r="D1687" t="str">
            <v xml:space="preserve">       </v>
          </cell>
        </row>
        <row r="1688">
          <cell r="C1688" t="str">
            <v>CPE0894</v>
          </cell>
          <cell r="D1688" t="str">
            <v xml:space="preserve">       </v>
          </cell>
        </row>
        <row r="1689">
          <cell r="C1689" t="str">
            <v>CPE0893</v>
          </cell>
          <cell r="D1689" t="str">
            <v xml:space="preserve">       </v>
          </cell>
        </row>
        <row r="1690">
          <cell r="C1690" t="str">
            <v>CPE0702</v>
          </cell>
          <cell r="D1690" t="str">
            <v xml:space="preserve">       </v>
          </cell>
        </row>
        <row r="1691">
          <cell r="C1691" t="str">
            <v>CPE0892</v>
          </cell>
          <cell r="D1691" t="str">
            <v xml:space="preserve">       </v>
          </cell>
        </row>
        <row r="1692">
          <cell r="C1692" t="str">
            <v>CPE0703</v>
          </cell>
          <cell r="D1692" t="str">
            <v xml:space="preserve">       </v>
          </cell>
        </row>
        <row r="1693">
          <cell r="C1693" t="str">
            <v>CPE0891</v>
          </cell>
          <cell r="D1693" t="str">
            <v xml:space="preserve">       </v>
          </cell>
        </row>
        <row r="1694">
          <cell r="C1694" t="str">
            <v>CPE0704</v>
          </cell>
          <cell r="D1694" t="str">
            <v xml:space="preserve">       </v>
          </cell>
        </row>
        <row r="1695">
          <cell r="C1695" t="str">
            <v>CPE0890</v>
          </cell>
          <cell r="D1695" t="str">
            <v xml:space="preserve">       </v>
          </cell>
        </row>
        <row r="1696">
          <cell r="C1696" t="str">
            <v>CPE0705</v>
          </cell>
          <cell r="D1696" t="str">
            <v xml:space="preserve">       </v>
          </cell>
        </row>
        <row r="1697">
          <cell r="C1697" t="str">
            <v>CPE0706</v>
          </cell>
          <cell r="D1697" t="str">
            <v xml:space="preserve">       </v>
          </cell>
        </row>
        <row r="1698">
          <cell r="C1698" t="str">
            <v>CPE0707</v>
          </cell>
          <cell r="D1698" t="str">
            <v xml:space="preserve">       </v>
          </cell>
        </row>
        <row r="1699">
          <cell r="C1699" t="str">
            <v>CPE0708</v>
          </cell>
          <cell r="D1699" t="str">
            <v xml:space="preserve">       </v>
          </cell>
        </row>
        <row r="1700">
          <cell r="C1700" t="str">
            <v>CPE0709</v>
          </cell>
          <cell r="D1700" t="str">
            <v xml:space="preserve">       </v>
          </cell>
        </row>
        <row r="1701">
          <cell r="C1701" t="str">
            <v>CPE0710</v>
          </cell>
          <cell r="D1701" t="str">
            <v xml:space="preserve">       </v>
          </cell>
        </row>
        <row r="1702">
          <cell r="C1702" t="str">
            <v>CPE0889</v>
          </cell>
          <cell r="D1702" t="str">
            <v xml:space="preserve">       </v>
          </cell>
        </row>
        <row r="1703">
          <cell r="C1703" t="str">
            <v>CPE0711</v>
          </cell>
          <cell r="D1703" t="str">
            <v xml:space="preserve">       </v>
          </cell>
        </row>
        <row r="1704">
          <cell r="C1704" t="str">
            <v>CPE0888</v>
          </cell>
          <cell r="D1704" t="str">
            <v xml:space="preserve">       </v>
          </cell>
        </row>
        <row r="1705">
          <cell r="C1705" t="str">
            <v>CPE0712</v>
          </cell>
          <cell r="D1705" t="str">
            <v xml:space="preserve">       </v>
          </cell>
        </row>
        <row r="1706">
          <cell r="C1706" t="str">
            <v>CPE0887</v>
          </cell>
          <cell r="D1706" t="str">
            <v xml:space="preserve">       </v>
          </cell>
        </row>
        <row r="1707">
          <cell r="C1707" t="str">
            <v>CPE0713</v>
          </cell>
          <cell r="D1707" t="str">
            <v xml:space="preserve">       </v>
          </cell>
        </row>
        <row r="1708">
          <cell r="C1708" t="str">
            <v>CPE0714</v>
          </cell>
          <cell r="D1708" t="str">
            <v xml:space="preserve">       </v>
          </cell>
        </row>
        <row r="1709">
          <cell r="C1709" t="str">
            <v>CPE0886</v>
          </cell>
          <cell r="D1709" t="str">
            <v xml:space="preserve">       </v>
          </cell>
        </row>
        <row r="1710">
          <cell r="C1710" t="str">
            <v>CPE0715</v>
          </cell>
          <cell r="D1710" t="str">
            <v xml:space="preserve">       </v>
          </cell>
        </row>
        <row r="1711">
          <cell r="C1711" t="str">
            <v>CPE0716</v>
          </cell>
          <cell r="D1711" t="str">
            <v xml:space="preserve">       </v>
          </cell>
        </row>
        <row r="1712">
          <cell r="C1712" t="str">
            <v>CPE0717</v>
          </cell>
          <cell r="D1712" t="str">
            <v xml:space="preserve">       </v>
          </cell>
        </row>
        <row r="1713">
          <cell r="C1713" t="str">
            <v>CPE0885</v>
          </cell>
          <cell r="D1713" t="str">
            <v xml:space="preserve">       </v>
          </cell>
        </row>
        <row r="1714">
          <cell r="C1714" t="str">
            <v>CPE0718</v>
          </cell>
          <cell r="D1714" t="str">
            <v xml:space="preserve">       </v>
          </cell>
        </row>
        <row r="1715">
          <cell r="C1715" t="str">
            <v>CPE0884</v>
          </cell>
          <cell r="D1715" t="str">
            <v xml:space="preserve">       </v>
          </cell>
        </row>
        <row r="1716">
          <cell r="C1716" t="str">
            <v>CPE0719</v>
          </cell>
          <cell r="D1716" t="str">
            <v xml:space="preserve">       </v>
          </cell>
        </row>
        <row r="1717">
          <cell r="C1717" t="str">
            <v>CPE0720</v>
          </cell>
          <cell r="D1717" t="str">
            <v xml:space="preserve">       </v>
          </cell>
        </row>
        <row r="1718">
          <cell r="C1718" t="str">
            <v>CPE0883</v>
          </cell>
          <cell r="D1718" t="str">
            <v xml:space="preserve">       </v>
          </cell>
        </row>
        <row r="1719">
          <cell r="C1719" t="str">
            <v>CPE0721</v>
          </cell>
          <cell r="D1719" t="str">
            <v xml:space="preserve">       </v>
          </cell>
        </row>
        <row r="1720">
          <cell r="C1720" t="str">
            <v>CPE0882</v>
          </cell>
          <cell r="D1720" t="str">
            <v xml:space="preserve">       </v>
          </cell>
        </row>
        <row r="1721">
          <cell r="C1721" t="str">
            <v>CPE0722</v>
          </cell>
          <cell r="D1721" t="str">
            <v xml:space="preserve">       </v>
          </cell>
        </row>
        <row r="1722">
          <cell r="C1722" t="str">
            <v>CPE0881</v>
          </cell>
          <cell r="D1722" t="str">
            <v xml:space="preserve">       </v>
          </cell>
        </row>
        <row r="1723">
          <cell r="C1723" t="str">
            <v>CPE0723</v>
          </cell>
          <cell r="D1723" t="str">
            <v xml:space="preserve">       </v>
          </cell>
        </row>
        <row r="1724">
          <cell r="C1724" t="str">
            <v>CPE0880</v>
          </cell>
          <cell r="D1724" t="str">
            <v xml:space="preserve">       </v>
          </cell>
        </row>
        <row r="1725">
          <cell r="C1725" t="str">
            <v>CPE0724</v>
          </cell>
          <cell r="D1725" t="str">
            <v xml:space="preserve">       </v>
          </cell>
        </row>
        <row r="1726">
          <cell r="C1726" t="str">
            <v>CPE0879</v>
          </cell>
          <cell r="D1726" t="str">
            <v xml:space="preserve">       </v>
          </cell>
        </row>
        <row r="1727">
          <cell r="C1727" t="str">
            <v>CPE0725</v>
          </cell>
          <cell r="D1727" t="str">
            <v xml:space="preserve">       </v>
          </cell>
        </row>
        <row r="1728">
          <cell r="C1728" t="str">
            <v>CPE0878</v>
          </cell>
          <cell r="D1728" t="str">
            <v xml:space="preserve">       </v>
          </cell>
        </row>
        <row r="1729">
          <cell r="C1729" t="str">
            <v>CPE0726</v>
          </cell>
          <cell r="D1729" t="str">
            <v xml:space="preserve">       </v>
          </cell>
        </row>
        <row r="1730">
          <cell r="C1730" t="str">
            <v>CPE0877</v>
          </cell>
          <cell r="D1730" t="str">
            <v xml:space="preserve">       </v>
          </cell>
        </row>
        <row r="1731">
          <cell r="C1731" t="str">
            <v>CPE0727</v>
          </cell>
          <cell r="D1731" t="str">
            <v xml:space="preserve">       </v>
          </cell>
        </row>
        <row r="1732">
          <cell r="C1732" t="str">
            <v>CPE0876</v>
          </cell>
          <cell r="D1732" t="str">
            <v xml:space="preserve">       </v>
          </cell>
        </row>
        <row r="1733">
          <cell r="C1733" t="str">
            <v>CPE0728</v>
          </cell>
          <cell r="D1733" t="str">
            <v xml:space="preserve">       </v>
          </cell>
        </row>
        <row r="1734">
          <cell r="C1734" t="str">
            <v>CPE0875</v>
          </cell>
          <cell r="D1734" t="str">
            <v xml:space="preserve">       </v>
          </cell>
        </row>
        <row r="1735">
          <cell r="C1735" t="str">
            <v>CPE0729</v>
          </cell>
          <cell r="D1735" t="str">
            <v xml:space="preserve">       </v>
          </cell>
        </row>
        <row r="1736">
          <cell r="C1736" t="str">
            <v>CPE0730</v>
          </cell>
          <cell r="D1736" t="str">
            <v xml:space="preserve">       </v>
          </cell>
        </row>
        <row r="1737">
          <cell r="C1737" t="str">
            <v>CPE0874</v>
          </cell>
          <cell r="D1737" t="str">
            <v xml:space="preserve">       </v>
          </cell>
        </row>
        <row r="1738">
          <cell r="C1738" t="str">
            <v>CPE0731</v>
          </cell>
          <cell r="D1738" t="str">
            <v xml:space="preserve">       </v>
          </cell>
        </row>
        <row r="1739">
          <cell r="C1739" t="str">
            <v>CPE0873</v>
          </cell>
          <cell r="D1739" t="str">
            <v xml:space="preserve">       </v>
          </cell>
        </row>
        <row r="1740">
          <cell r="C1740" t="str">
            <v>CPE0732</v>
          </cell>
          <cell r="D1740" t="str">
            <v xml:space="preserve">       </v>
          </cell>
        </row>
        <row r="1741">
          <cell r="C1741" t="str">
            <v>CPE0872</v>
          </cell>
          <cell r="D1741" t="str">
            <v xml:space="preserve">       </v>
          </cell>
        </row>
        <row r="1742">
          <cell r="C1742" t="str">
            <v>CPE0733</v>
          </cell>
          <cell r="D1742" t="str">
            <v xml:space="preserve">       </v>
          </cell>
        </row>
        <row r="1743">
          <cell r="C1743" t="str">
            <v>CPE0871</v>
          </cell>
          <cell r="D1743" t="str">
            <v xml:space="preserve">       </v>
          </cell>
        </row>
        <row r="1744">
          <cell r="C1744" t="str">
            <v>CPE0734</v>
          </cell>
          <cell r="D1744" t="str">
            <v xml:space="preserve">       </v>
          </cell>
        </row>
        <row r="1745">
          <cell r="C1745" t="str">
            <v>CPE0735</v>
          </cell>
          <cell r="D1745" t="str">
            <v xml:space="preserve">       </v>
          </cell>
        </row>
        <row r="1746">
          <cell r="C1746" t="str">
            <v>CPE0870</v>
          </cell>
          <cell r="D1746" t="str">
            <v xml:space="preserve">       </v>
          </cell>
        </row>
        <row r="1747">
          <cell r="C1747" t="str">
            <v>CPE0869</v>
          </cell>
          <cell r="D1747" t="str">
            <v xml:space="preserve">       </v>
          </cell>
        </row>
        <row r="1748">
          <cell r="C1748" t="str">
            <v>CPE0736</v>
          </cell>
          <cell r="D1748" t="str">
            <v xml:space="preserve">       </v>
          </cell>
        </row>
        <row r="1749">
          <cell r="C1749" t="str">
            <v>CPE0868</v>
          </cell>
          <cell r="D1749" t="str">
            <v xml:space="preserve">       </v>
          </cell>
        </row>
        <row r="1750">
          <cell r="C1750" t="str">
            <v>CPE0737</v>
          </cell>
          <cell r="D1750" t="str">
            <v xml:space="preserve">       </v>
          </cell>
        </row>
        <row r="1751">
          <cell r="C1751" t="str">
            <v>CPE0867</v>
          </cell>
          <cell r="D1751" t="str">
            <v xml:space="preserve">       </v>
          </cell>
        </row>
        <row r="1752">
          <cell r="C1752" t="str">
            <v>CPE0738</v>
          </cell>
          <cell r="D1752" t="str">
            <v xml:space="preserve">       </v>
          </cell>
        </row>
        <row r="1753">
          <cell r="C1753" t="str">
            <v>CPE0739</v>
          </cell>
          <cell r="D1753" t="str">
            <v xml:space="preserve">       </v>
          </cell>
        </row>
        <row r="1754">
          <cell r="C1754" t="str">
            <v>CPE0740</v>
          </cell>
          <cell r="D1754" t="str">
            <v xml:space="preserve">       </v>
          </cell>
        </row>
        <row r="1755">
          <cell r="C1755" t="str">
            <v>CPE0866</v>
          </cell>
          <cell r="D1755" t="str">
            <v xml:space="preserve">       </v>
          </cell>
        </row>
        <row r="1756">
          <cell r="C1756" t="str">
            <v>CPE0741</v>
          </cell>
          <cell r="D1756" t="str">
            <v xml:space="preserve">       </v>
          </cell>
        </row>
        <row r="1757">
          <cell r="C1757" t="str">
            <v>CPE0742</v>
          </cell>
          <cell r="D1757" t="str">
            <v xml:space="preserve">       </v>
          </cell>
        </row>
        <row r="1758">
          <cell r="C1758" t="str">
            <v>CPE0865</v>
          </cell>
          <cell r="D1758" t="str">
            <v xml:space="preserve">       </v>
          </cell>
        </row>
        <row r="1759">
          <cell r="C1759" t="str">
            <v>CPE0743</v>
          </cell>
          <cell r="D1759" t="str">
            <v xml:space="preserve">       </v>
          </cell>
        </row>
        <row r="1760">
          <cell r="C1760" t="str">
            <v>CPE0744</v>
          </cell>
          <cell r="D1760" t="str">
            <v xml:space="preserve">       </v>
          </cell>
        </row>
        <row r="1761">
          <cell r="C1761" t="str">
            <v>CPE0864</v>
          </cell>
          <cell r="D1761" t="str">
            <v xml:space="preserve">       </v>
          </cell>
        </row>
        <row r="1762">
          <cell r="C1762" t="str">
            <v>CPE0745</v>
          </cell>
          <cell r="D1762" t="str">
            <v xml:space="preserve">       </v>
          </cell>
        </row>
        <row r="1763">
          <cell r="C1763" t="str">
            <v>CPE0863</v>
          </cell>
          <cell r="D1763" t="str">
            <v xml:space="preserve">       </v>
          </cell>
        </row>
        <row r="1764">
          <cell r="C1764" t="str">
            <v>CPE0862</v>
          </cell>
          <cell r="D1764" t="str">
            <v xml:space="preserve">       </v>
          </cell>
        </row>
        <row r="1765">
          <cell r="C1765" t="str">
            <v>CPE0861</v>
          </cell>
          <cell r="D1765" t="str">
            <v xml:space="preserve">       </v>
          </cell>
        </row>
        <row r="1766">
          <cell r="C1766" t="str">
            <v>CPE0860</v>
          </cell>
          <cell r="D1766" t="str">
            <v xml:space="preserve">       </v>
          </cell>
        </row>
        <row r="1767">
          <cell r="C1767" t="str">
            <v>CPE0859</v>
          </cell>
          <cell r="D1767" t="str">
            <v xml:space="preserve">       </v>
          </cell>
        </row>
        <row r="1768">
          <cell r="C1768" t="str">
            <v>CPE0858</v>
          </cell>
          <cell r="D1768" t="str">
            <v xml:space="preserve">       </v>
          </cell>
        </row>
        <row r="1769">
          <cell r="C1769" t="str">
            <v>CPE0746</v>
          </cell>
          <cell r="D1769" t="str">
            <v xml:space="preserve">       </v>
          </cell>
        </row>
        <row r="1770">
          <cell r="C1770" t="str">
            <v>CPE0747</v>
          </cell>
          <cell r="D1770" t="str">
            <v xml:space="preserve">       </v>
          </cell>
        </row>
        <row r="1771">
          <cell r="C1771" t="str">
            <v>CPE0857</v>
          </cell>
          <cell r="D1771" t="str">
            <v xml:space="preserve">       </v>
          </cell>
        </row>
        <row r="1772">
          <cell r="C1772" t="str">
            <v>CPE0748</v>
          </cell>
          <cell r="D1772" t="str">
            <v xml:space="preserve">       </v>
          </cell>
        </row>
        <row r="1773">
          <cell r="C1773" t="str">
            <v>CPE0856</v>
          </cell>
          <cell r="D1773" t="str">
            <v xml:space="preserve">       </v>
          </cell>
        </row>
        <row r="1774">
          <cell r="C1774" t="str">
            <v>CPE0749</v>
          </cell>
          <cell r="D1774" t="str">
            <v xml:space="preserve">       </v>
          </cell>
        </row>
        <row r="1775">
          <cell r="C1775" t="str">
            <v>CPE0750</v>
          </cell>
          <cell r="D1775" t="str">
            <v xml:space="preserve">       </v>
          </cell>
        </row>
        <row r="1776">
          <cell r="C1776" t="str">
            <v>CPE0855</v>
          </cell>
          <cell r="D1776" t="str">
            <v xml:space="preserve">       </v>
          </cell>
        </row>
        <row r="1777">
          <cell r="C1777" t="str">
            <v>CPE0751</v>
          </cell>
          <cell r="D1777" t="str">
            <v xml:space="preserve">       </v>
          </cell>
        </row>
        <row r="1778">
          <cell r="C1778" t="str">
            <v>CPE0854</v>
          </cell>
          <cell r="D1778" t="str">
            <v xml:space="preserve">       </v>
          </cell>
        </row>
        <row r="1779">
          <cell r="C1779" t="str">
            <v>CPE0752</v>
          </cell>
          <cell r="D1779" t="str">
            <v xml:space="preserve">       </v>
          </cell>
        </row>
        <row r="1780">
          <cell r="C1780" t="str">
            <v>CPE0853</v>
          </cell>
          <cell r="D1780" t="str">
            <v xml:space="preserve">       </v>
          </cell>
        </row>
        <row r="1781">
          <cell r="C1781" t="str">
            <v>CPE0753</v>
          </cell>
          <cell r="D1781" t="str">
            <v xml:space="preserve">       </v>
          </cell>
        </row>
        <row r="1782">
          <cell r="C1782" t="str">
            <v>CPE0852</v>
          </cell>
          <cell r="D1782" t="str">
            <v xml:space="preserve">       </v>
          </cell>
        </row>
        <row r="1783">
          <cell r="C1783" t="str">
            <v>CPE0754</v>
          </cell>
          <cell r="D1783" t="str">
            <v xml:space="preserve">       </v>
          </cell>
        </row>
        <row r="1784">
          <cell r="C1784" t="str">
            <v>CPE0755</v>
          </cell>
          <cell r="D1784" t="str">
            <v xml:space="preserve">       </v>
          </cell>
        </row>
        <row r="1785">
          <cell r="C1785" t="str">
            <v>CPE0851</v>
          </cell>
          <cell r="D1785" t="str">
            <v xml:space="preserve">       </v>
          </cell>
        </row>
        <row r="1786">
          <cell r="C1786" t="str">
            <v>CPE0756</v>
          </cell>
          <cell r="D1786" t="str">
            <v xml:space="preserve">       </v>
          </cell>
        </row>
        <row r="1787">
          <cell r="C1787" t="str">
            <v>CPE0850</v>
          </cell>
          <cell r="D1787" t="str">
            <v xml:space="preserve">       </v>
          </cell>
        </row>
        <row r="1788">
          <cell r="C1788" t="str">
            <v>CPE0757</v>
          </cell>
          <cell r="D1788" t="str">
            <v xml:space="preserve">       </v>
          </cell>
        </row>
        <row r="1789">
          <cell r="C1789" t="str">
            <v>CPE0758</v>
          </cell>
          <cell r="D1789" t="str">
            <v xml:space="preserve">       </v>
          </cell>
        </row>
        <row r="1790">
          <cell r="C1790" t="str">
            <v>CPE0849</v>
          </cell>
          <cell r="D1790" t="str">
            <v xml:space="preserve">       </v>
          </cell>
        </row>
        <row r="1791">
          <cell r="C1791" t="str">
            <v>CPE0848</v>
          </cell>
          <cell r="D1791" t="str">
            <v xml:space="preserve">       </v>
          </cell>
        </row>
        <row r="1792">
          <cell r="C1792" t="str">
            <v>CPE0793</v>
          </cell>
          <cell r="D1792" t="str">
            <v xml:space="preserve">       </v>
          </cell>
        </row>
        <row r="1793">
          <cell r="C1793" t="str">
            <v>CPE0847</v>
          </cell>
          <cell r="D1793" t="str">
            <v xml:space="preserve">       </v>
          </cell>
        </row>
        <row r="1794">
          <cell r="C1794" t="str">
            <v>CPE0794</v>
          </cell>
          <cell r="D1794" t="str">
            <v xml:space="preserve">       </v>
          </cell>
        </row>
        <row r="1795">
          <cell r="C1795" t="str">
            <v>CPE0846</v>
          </cell>
          <cell r="D1795" t="str">
            <v xml:space="preserve">       </v>
          </cell>
        </row>
        <row r="1796">
          <cell r="C1796" t="str">
            <v>CPE0795</v>
          </cell>
          <cell r="D1796" t="str">
            <v xml:space="preserve">       </v>
          </cell>
        </row>
        <row r="1797">
          <cell r="C1797" t="str">
            <v>CPE0796</v>
          </cell>
          <cell r="D1797" t="str">
            <v xml:space="preserve">       </v>
          </cell>
        </row>
        <row r="1798">
          <cell r="C1798" t="str">
            <v>CPE0845</v>
          </cell>
          <cell r="D1798" t="str">
            <v xml:space="preserve">       </v>
          </cell>
        </row>
        <row r="1799">
          <cell r="C1799" t="str">
            <v>CPE0797</v>
          </cell>
          <cell r="D1799" t="str">
            <v xml:space="preserve">       </v>
          </cell>
        </row>
        <row r="1800">
          <cell r="C1800" t="str">
            <v>CPE0844</v>
          </cell>
          <cell r="D1800" t="str">
            <v xml:space="preserve">       </v>
          </cell>
        </row>
        <row r="1801">
          <cell r="C1801" t="str">
            <v>CPE0798</v>
          </cell>
          <cell r="D1801" t="str">
            <v xml:space="preserve">       </v>
          </cell>
        </row>
        <row r="1802">
          <cell r="C1802" t="str">
            <v>CPE0843</v>
          </cell>
          <cell r="D1802" t="str">
            <v xml:space="preserve">       </v>
          </cell>
        </row>
        <row r="1803">
          <cell r="C1803" t="str">
            <v>CPE0799</v>
          </cell>
          <cell r="D1803" t="str">
            <v xml:space="preserve">       </v>
          </cell>
        </row>
        <row r="1804">
          <cell r="C1804" t="str">
            <v>CPE0800</v>
          </cell>
          <cell r="D1804" t="str">
            <v xml:space="preserve">       </v>
          </cell>
        </row>
        <row r="1805">
          <cell r="C1805" t="str">
            <v>CPE0842</v>
          </cell>
          <cell r="D1805" t="str">
            <v xml:space="preserve">       </v>
          </cell>
        </row>
        <row r="1806">
          <cell r="C1806" t="str">
            <v>CPE0801</v>
          </cell>
          <cell r="D1806" t="str">
            <v xml:space="preserve">       </v>
          </cell>
        </row>
        <row r="1807">
          <cell r="C1807" t="str">
            <v>CPE0841</v>
          </cell>
          <cell r="D1807" t="str">
            <v xml:space="preserve">       </v>
          </cell>
        </row>
        <row r="1808">
          <cell r="C1808" t="str">
            <v>CPE0802</v>
          </cell>
          <cell r="D1808" t="str">
            <v xml:space="preserve">       </v>
          </cell>
        </row>
        <row r="1809">
          <cell r="C1809" t="str">
            <v>CPE0840</v>
          </cell>
          <cell r="D1809" t="str">
            <v xml:space="preserve">       </v>
          </cell>
        </row>
        <row r="1810">
          <cell r="C1810" t="str">
            <v>CPE0767</v>
          </cell>
          <cell r="D1810" t="str">
            <v xml:space="preserve">       </v>
          </cell>
        </row>
        <row r="1811">
          <cell r="C1811" t="str">
            <v>CPE0839</v>
          </cell>
          <cell r="D1811" t="str">
            <v xml:space="preserve">       </v>
          </cell>
        </row>
        <row r="1812">
          <cell r="C1812" t="str">
            <v>CPE0838</v>
          </cell>
          <cell r="D1812" t="str">
            <v xml:space="preserve">       </v>
          </cell>
        </row>
        <row r="1813">
          <cell r="C1813" t="str">
            <v>CPE0837</v>
          </cell>
          <cell r="D1813" t="str">
            <v xml:space="preserve">       </v>
          </cell>
        </row>
        <row r="1814">
          <cell r="C1814" t="str">
            <v>CPE0836</v>
          </cell>
          <cell r="D1814" t="str">
            <v xml:space="preserve">       </v>
          </cell>
        </row>
        <row r="1815">
          <cell r="C1815" t="str">
            <v>CPE0835</v>
          </cell>
          <cell r="D1815" t="str">
            <v xml:space="preserve">       </v>
          </cell>
        </row>
        <row r="1816">
          <cell r="C1816" t="str">
            <v>CPE0834</v>
          </cell>
          <cell r="D1816" t="str">
            <v xml:space="preserve">       </v>
          </cell>
        </row>
        <row r="1817">
          <cell r="C1817" t="str">
            <v>CPE0833</v>
          </cell>
          <cell r="D1817" t="str">
            <v xml:space="preserve">       </v>
          </cell>
        </row>
        <row r="1818">
          <cell r="C1818" t="str">
            <v>CPE0832</v>
          </cell>
          <cell r="D1818" t="str">
            <v xml:space="preserve">       </v>
          </cell>
        </row>
        <row r="1819">
          <cell r="C1819" t="str">
            <v>CPE0831</v>
          </cell>
          <cell r="D1819" t="str">
            <v xml:space="preserve">       </v>
          </cell>
        </row>
        <row r="1820">
          <cell r="C1820" t="str">
            <v>CPE0830</v>
          </cell>
          <cell r="D1820" t="str">
            <v xml:space="preserve">       </v>
          </cell>
        </row>
        <row r="1821">
          <cell r="C1821" t="str">
            <v>CPE0829</v>
          </cell>
          <cell r="D1821" t="str">
            <v xml:space="preserve">       </v>
          </cell>
        </row>
        <row r="1822">
          <cell r="C1822" t="str">
            <v>CPE0768</v>
          </cell>
          <cell r="D1822" t="str">
            <v xml:space="preserve">       </v>
          </cell>
        </row>
        <row r="1823">
          <cell r="C1823" t="str">
            <v>CPE0828</v>
          </cell>
          <cell r="D1823" t="str">
            <v xml:space="preserve">       </v>
          </cell>
        </row>
        <row r="1824">
          <cell r="C1824" t="str">
            <v>CPE0769</v>
          </cell>
          <cell r="D1824" t="str">
            <v xml:space="preserve">       </v>
          </cell>
        </row>
        <row r="1825">
          <cell r="C1825" t="str">
            <v>CPE0827</v>
          </cell>
          <cell r="D1825" t="str">
            <v xml:space="preserve">       </v>
          </cell>
        </row>
        <row r="1826">
          <cell r="C1826" t="str">
            <v>CPE0826</v>
          </cell>
          <cell r="D1826" t="str">
            <v xml:space="preserve">       </v>
          </cell>
        </row>
        <row r="1827">
          <cell r="C1827" t="str">
            <v>CPE0770</v>
          </cell>
          <cell r="D1827" t="str">
            <v xml:space="preserve">       </v>
          </cell>
        </row>
        <row r="1828">
          <cell r="C1828" t="str">
            <v>CPE0825</v>
          </cell>
          <cell r="D1828" t="str">
            <v xml:space="preserve">       </v>
          </cell>
        </row>
        <row r="1829">
          <cell r="C1829" t="str">
            <v>CPE0771</v>
          </cell>
          <cell r="D1829" t="str">
            <v xml:space="preserve">       </v>
          </cell>
        </row>
        <row r="1830">
          <cell r="C1830" t="str">
            <v>CPE0759</v>
          </cell>
          <cell r="D1830" t="str">
            <v xml:space="preserve">       </v>
          </cell>
        </row>
        <row r="1831">
          <cell r="C1831" t="str">
            <v>CPE0824</v>
          </cell>
          <cell r="D1831" t="str">
            <v xml:space="preserve">       </v>
          </cell>
        </row>
        <row r="1832">
          <cell r="C1832" t="str">
            <v>CPE0760</v>
          </cell>
          <cell r="D1832" t="str">
            <v xml:space="preserve">       </v>
          </cell>
        </row>
        <row r="1833">
          <cell r="C1833" t="str">
            <v>CPE0823</v>
          </cell>
          <cell r="D1833" t="str">
            <v xml:space="preserve">       </v>
          </cell>
        </row>
        <row r="1834">
          <cell r="C1834" t="str">
            <v>CPE0761</v>
          </cell>
          <cell r="D1834" t="str">
            <v xml:space="preserve">       </v>
          </cell>
        </row>
        <row r="1835">
          <cell r="C1835" t="str">
            <v>CPE0762</v>
          </cell>
          <cell r="D1835" t="str">
            <v xml:space="preserve">       </v>
          </cell>
        </row>
        <row r="1836">
          <cell r="C1836" t="str">
            <v>CPE0763</v>
          </cell>
          <cell r="D1836" t="str">
            <v xml:space="preserve">       </v>
          </cell>
        </row>
        <row r="1837">
          <cell r="C1837" t="str">
            <v>CPE0822</v>
          </cell>
          <cell r="D1837" t="str">
            <v xml:space="preserve">       </v>
          </cell>
        </row>
        <row r="1838">
          <cell r="C1838" t="str">
            <v>CPE0764</v>
          </cell>
          <cell r="D1838" t="str">
            <v xml:space="preserve">       </v>
          </cell>
        </row>
        <row r="1839">
          <cell r="C1839" t="str">
            <v>CPE0821</v>
          </cell>
          <cell r="D1839" t="str">
            <v xml:space="preserve">       </v>
          </cell>
        </row>
        <row r="1840">
          <cell r="C1840" t="str">
            <v>CPE0765</v>
          </cell>
          <cell r="D1840" t="str">
            <v xml:space="preserve">       </v>
          </cell>
        </row>
        <row r="1841">
          <cell r="C1841" t="str">
            <v>CPE0766</v>
          </cell>
          <cell r="D1841" t="str">
            <v xml:space="preserve">       </v>
          </cell>
        </row>
        <row r="1842">
          <cell r="C1842" t="str">
            <v>CPE0820</v>
          </cell>
          <cell r="D1842" t="str">
            <v xml:space="preserve">       </v>
          </cell>
        </row>
        <row r="1843">
          <cell r="C1843" t="str">
            <v>CPE0782</v>
          </cell>
          <cell r="D1843" t="str">
            <v xml:space="preserve">       </v>
          </cell>
        </row>
        <row r="1844">
          <cell r="C1844" t="str">
            <v>CPE0819</v>
          </cell>
          <cell r="D1844" t="str">
            <v xml:space="preserve">       </v>
          </cell>
        </row>
        <row r="1845">
          <cell r="C1845" t="str">
            <v>CPE0783</v>
          </cell>
          <cell r="D1845" t="str">
            <v xml:space="preserve">       </v>
          </cell>
        </row>
        <row r="1846">
          <cell r="C1846" t="str">
            <v>CPE0784</v>
          </cell>
          <cell r="D1846" t="str">
            <v xml:space="preserve">       </v>
          </cell>
        </row>
        <row r="1847">
          <cell r="C1847" t="str">
            <v>CPE0818</v>
          </cell>
          <cell r="D1847" t="str">
            <v xml:space="preserve">       </v>
          </cell>
        </row>
        <row r="1848">
          <cell r="C1848" t="str">
            <v>CPE0785</v>
          </cell>
          <cell r="D1848" t="str">
            <v xml:space="preserve">       </v>
          </cell>
        </row>
        <row r="1849">
          <cell r="C1849" t="str">
            <v>CPE0817</v>
          </cell>
          <cell r="D1849" t="str">
            <v xml:space="preserve">       </v>
          </cell>
        </row>
        <row r="1850">
          <cell r="C1850" t="str">
            <v>CPE0786</v>
          </cell>
          <cell r="D1850" t="str">
            <v xml:space="preserve">       </v>
          </cell>
        </row>
        <row r="1851">
          <cell r="C1851" t="str">
            <v>CPE0816</v>
          </cell>
          <cell r="D1851" t="str">
            <v xml:space="preserve">       </v>
          </cell>
        </row>
        <row r="1852">
          <cell r="C1852" t="str">
            <v>CPE0787</v>
          </cell>
          <cell r="D1852" t="str">
            <v xml:space="preserve">       </v>
          </cell>
        </row>
        <row r="1853">
          <cell r="C1853" t="str">
            <v>CPE0788</v>
          </cell>
          <cell r="D1853" t="str">
            <v xml:space="preserve">       </v>
          </cell>
        </row>
        <row r="1854">
          <cell r="C1854" t="str">
            <v>CPE0815</v>
          </cell>
          <cell r="D1854" t="str">
            <v xml:space="preserve">       </v>
          </cell>
        </row>
        <row r="1855">
          <cell r="C1855" t="str">
            <v>CPE0789</v>
          </cell>
          <cell r="D1855" t="str">
            <v xml:space="preserve">       </v>
          </cell>
        </row>
        <row r="1856">
          <cell r="C1856" t="str">
            <v>CPE0814</v>
          </cell>
          <cell r="D1856" t="str">
            <v xml:space="preserve">       </v>
          </cell>
        </row>
        <row r="1857">
          <cell r="C1857" t="str">
            <v>CPE0790</v>
          </cell>
          <cell r="D1857" t="str">
            <v xml:space="preserve">       </v>
          </cell>
        </row>
        <row r="1858">
          <cell r="C1858" t="str">
            <v>CPE0791</v>
          </cell>
          <cell r="D1858" t="str">
            <v xml:space="preserve">       </v>
          </cell>
        </row>
        <row r="1859">
          <cell r="C1859" t="str">
            <v>CPE0813</v>
          </cell>
          <cell r="D1859" t="str">
            <v xml:space="preserve">       </v>
          </cell>
        </row>
        <row r="1860">
          <cell r="C1860" t="str">
            <v>CPE0792</v>
          </cell>
          <cell r="D1860" t="str">
            <v xml:space="preserve">       </v>
          </cell>
        </row>
        <row r="1861">
          <cell r="C1861" t="str">
            <v>CPE0812</v>
          </cell>
          <cell r="D1861" t="str">
            <v xml:space="preserve">       </v>
          </cell>
        </row>
        <row r="1862">
          <cell r="C1862" t="str">
            <v>CPE0772</v>
          </cell>
          <cell r="D1862" t="str">
            <v xml:space="preserve">       </v>
          </cell>
        </row>
        <row r="1863">
          <cell r="C1863" t="str">
            <v>CPE0811</v>
          </cell>
          <cell r="D1863" t="str">
            <v xml:space="preserve">       </v>
          </cell>
        </row>
        <row r="1864">
          <cell r="C1864" t="str">
            <v>CPE0773</v>
          </cell>
          <cell r="D1864" t="str">
            <v xml:space="preserve">       </v>
          </cell>
        </row>
        <row r="1865">
          <cell r="C1865" t="str">
            <v>CPE0774</v>
          </cell>
          <cell r="D1865" t="str">
            <v xml:space="preserve">       </v>
          </cell>
        </row>
        <row r="1866">
          <cell r="C1866" t="str">
            <v>CPE0810</v>
          </cell>
          <cell r="D1866" t="str">
            <v xml:space="preserve">       </v>
          </cell>
        </row>
        <row r="1867">
          <cell r="C1867" t="str">
            <v>CPE0809</v>
          </cell>
          <cell r="D1867" t="str">
            <v xml:space="preserve">       </v>
          </cell>
        </row>
        <row r="1868">
          <cell r="C1868" t="str">
            <v>CPE0808</v>
          </cell>
          <cell r="D1868" t="str">
            <v xml:space="preserve">       </v>
          </cell>
        </row>
        <row r="1869">
          <cell r="C1869" t="str">
            <v>CPE0807</v>
          </cell>
          <cell r="D1869" t="str">
            <v xml:space="preserve">       </v>
          </cell>
        </row>
        <row r="1870">
          <cell r="C1870" t="str">
            <v>CPE0806</v>
          </cell>
          <cell r="D1870" t="str">
            <v xml:space="preserve">       </v>
          </cell>
        </row>
        <row r="1871">
          <cell r="C1871" t="str">
            <v>CPE0805</v>
          </cell>
          <cell r="D1871" t="str">
            <v xml:space="preserve">       </v>
          </cell>
        </row>
        <row r="1872">
          <cell r="C1872" t="str">
            <v>CPE0804</v>
          </cell>
          <cell r="D1872" t="str">
            <v xml:space="preserve">       </v>
          </cell>
        </row>
        <row r="1873">
          <cell r="C1873" t="str">
            <v>CPE0803</v>
          </cell>
          <cell r="D1873" t="str">
            <v xml:space="preserve">       </v>
          </cell>
        </row>
        <row r="1874">
          <cell r="C1874" t="str">
            <v>CPE0781</v>
          </cell>
          <cell r="D1874" t="str">
            <v xml:space="preserve">       </v>
          </cell>
        </row>
        <row r="1875">
          <cell r="C1875" t="str">
            <v>CPE0780</v>
          </cell>
          <cell r="D1875" t="str">
            <v xml:space="preserve">       </v>
          </cell>
        </row>
        <row r="1876">
          <cell r="C1876" t="str">
            <v>CPE0779</v>
          </cell>
          <cell r="D1876" t="str">
            <v xml:space="preserve">       </v>
          </cell>
        </row>
        <row r="1877">
          <cell r="C1877" t="str">
            <v>CPE0778</v>
          </cell>
          <cell r="D1877" t="str">
            <v xml:space="preserve">       </v>
          </cell>
        </row>
        <row r="1878">
          <cell r="C1878" t="str">
            <v>CPE0777</v>
          </cell>
          <cell r="D1878" t="str">
            <v xml:space="preserve">       </v>
          </cell>
        </row>
        <row r="1879">
          <cell r="C1879" t="str">
            <v>CPE0776</v>
          </cell>
          <cell r="D1879" t="str">
            <v xml:space="preserve">       </v>
          </cell>
        </row>
        <row r="1880">
          <cell r="C1880" t="str">
            <v>CPE0775</v>
          </cell>
          <cell r="D1880" t="str">
            <v xml:space="preserve">       </v>
          </cell>
        </row>
        <row r="1881">
          <cell r="C1881" t="str">
            <v>CBA6251</v>
          </cell>
          <cell r="D1881" t="str">
            <v>CBA6251</v>
          </cell>
        </row>
        <row r="1882">
          <cell r="C1882" t="str">
            <v>CBA8388</v>
          </cell>
          <cell r="D1882" t="str">
            <v>CBA8388</v>
          </cell>
        </row>
        <row r="1883">
          <cell r="C1883" t="str">
            <v>CBB1338</v>
          </cell>
          <cell r="D1883" t="str">
            <v>CBB1338</v>
          </cell>
        </row>
        <row r="1884">
          <cell r="C1884" t="str">
            <v>CBB7D74</v>
          </cell>
          <cell r="D1884" t="str">
            <v>CBB7D74</v>
          </cell>
        </row>
        <row r="1885">
          <cell r="C1885" t="str">
            <v>CBG8653</v>
          </cell>
          <cell r="D1885" t="str">
            <v>CBG8653</v>
          </cell>
        </row>
        <row r="1886">
          <cell r="C1886" t="str">
            <v>CBJ1964</v>
          </cell>
          <cell r="D1886" t="str">
            <v>CBJ1964</v>
          </cell>
        </row>
        <row r="1887">
          <cell r="C1887" t="str">
            <v>CBL4480</v>
          </cell>
          <cell r="D1887" t="str">
            <v>CBL4480</v>
          </cell>
        </row>
        <row r="1888">
          <cell r="C1888" t="str">
            <v>CBN7380</v>
          </cell>
          <cell r="D1888" t="str">
            <v>CBN7380</v>
          </cell>
        </row>
        <row r="1889">
          <cell r="C1889" t="str">
            <v>CBP8827</v>
          </cell>
          <cell r="D1889" t="str">
            <v>CBP8827</v>
          </cell>
        </row>
        <row r="1890">
          <cell r="C1890" t="str">
            <v>CBQ5287</v>
          </cell>
          <cell r="D1890" t="str">
            <v>CBQ5287</v>
          </cell>
        </row>
        <row r="1891">
          <cell r="C1891" t="str">
            <v>CBR5625</v>
          </cell>
          <cell r="D1891" t="str">
            <v>CBR5625</v>
          </cell>
        </row>
        <row r="1892">
          <cell r="C1892" t="str">
            <v>CBR8548</v>
          </cell>
          <cell r="D1892" t="str">
            <v>CBR8548</v>
          </cell>
        </row>
        <row r="1893">
          <cell r="C1893" t="str">
            <v>CBR8948</v>
          </cell>
          <cell r="D1893" t="str">
            <v>CBR8948</v>
          </cell>
        </row>
        <row r="1894">
          <cell r="C1894" t="str">
            <v>CBR8J48</v>
          </cell>
          <cell r="D1894" t="str">
            <v>CBR8J48</v>
          </cell>
        </row>
        <row r="1895">
          <cell r="C1895" t="str">
            <v>CBS3474</v>
          </cell>
          <cell r="D1895" t="str">
            <v>CBS3474</v>
          </cell>
        </row>
        <row r="1896">
          <cell r="C1896" t="str">
            <v>CBS0749</v>
          </cell>
          <cell r="D1896" t="str">
            <v>CBS0749</v>
          </cell>
        </row>
        <row r="1897">
          <cell r="C1897" t="str">
            <v>CBS3G46</v>
          </cell>
          <cell r="D1897" t="str">
            <v>CBS3G46</v>
          </cell>
        </row>
        <row r="1898">
          <cell r="C1898" t="str">
            <v>CBS4177</v>
          </cell>
          <cell r="D1898" t="str">
            <v>CBS4177</v>
          </cell>
        </row>
        <row r="1899">
          <cell r="C1899" t="str">
            <v>CBS5418</v>
          </cell>
          <cell r="D1899" t="str">
            <v>CBS5418</v>
          </cell>
        </row>
        <row r="1900">
          <cell r="C1900" t="str">
            <v>CBU6884</v>
          </cell>
          <cell r="D1900" t="str">
            <v>CBU6884</v>
          </cell>
        </row>
        <row r="1901">
          <cell r="C1901" t="str">
            <v>CBW4681</v>
          </cell>
          <cell r="D1901" t="str">
            <v>CBW4681</v>
          </cell>
        </row>
        <row r="1902">
          <cell r="C1902" t="str">
            <v>CBW4G81</v>
          </cell>
          <cell r="D1902" t="str">
            <v>CBW4G81</v>
          </cell>
        </row>
        <row r="1903">
          <cell r="C1903" t="str">
            <v>CBY6030</v>
          </cell>
          <cell r="D1903" t="str">
            <v>CBY6030</v>
          </cell>
        </row>
        <row r="1904">
          <cell r="C1904" t="str">
            <v>CCF5461</v>
          </cell>
          <cell r="D1904" t="str">
            <v>CCF5461</v>
          </cell>
        </row>
        <row r="1905">
          <cell r="C1905" t="str">
            <v>CCI7353</v>
          </cell>
          <cell r="D1905" t="str">
            <v>CCI7353</v>
          </cell>
        </row>
        <row r="1906">
          <cell r="C1906" t="str">
            <v>CCK0275</v>
          </cell>
          <cell r="D1906" t="str">
            <v>CCK0275</v>
          </cell>
        </row>
        <row r="1907">
          <cell r="C1907" t="str">
            <v>CCN7879</v>
          </cell>
          <cell r="D1907" t="str">
            <v>CCN7879</v>
          </cell>
        </row>
        <row r="1908">
          <cell r="C1908" t="str">
            <v>CCO6002</v>
          </cell>
          <cell r="D1908" t="str">
            <v>CCO6002</v>
          </cell>
        </row>
        <row r="1909">
          <cell r="C1909" t="str">
            <v>CCU4H48</v>
          </cell>
          <cell r="D1909" t="str">
            <v>CCU4H48</v>
          </cell>
        </row>
        <row r="1910">
          <cell r="C1910" t="str">
            <v>CDD5356</v>
          </cell>
          <cell r="D1910" t="str">
            <v>CDD5356</v>
          </cell>
        </row>
        <row r="1911">
          <cell r="C1911" t="str">
            <v>CDE9856</v>
          </cell>
          <cell r="D1911" t="str">
            <v>CDE9856</v>
          </cell>
        </row>
        <row r="1912">
          <cell r="C1912" t="str">
            <v>CDF0542</v>
          </cell>
          <cell r="D1912" t="str">
            <v>CDF0542</v>
          </cell>
        </row>
        <row r="1913">
          <cell r="C1913" t="str">
            <v>CDL6702</v>
          </cell>
          <cell r="D1913" t="str">
            <v>CDL6702</v>
          </cell>
        </row>
        <row r="1914">
          <cell r="C1914" t="str">
            <v>CDL6780</v>
          </cell>
          <cell r="D1914" t="str">
            <v>CDL6780</v>
          </cell>
        </row>
        <row r="1915">
          <cell r="C1915" t="str">
            <v>CDL7009</v>
          </cell>
          <cell r="D1915" t="str">
            <v>CDL7009</v>
          </cell>
        </row>
        <row r="1916">
          <cell r="C1916" t="str">
            <v>CDM3348</v>
          </cell>
          <cell r="D1916" t="str">
            <v>CDM3348</v>
          </cell>
        </row>
        <row r="1917">
          <cell r="C1917" t="str">
            <v>CDM6435</v>
          </cell>
          <cell r="D1917" t="str">
            <v>CDM6435</v>
          </cell>
        </row>
        <row r="1918">
          <cell r="C1918" t="str">
            <v>CDM6495</v>
          </cell>
          <cell r="D1918" t="str">
            <v>CDM6495</v>
          </cell>
        </row>
        <row r="1919">
          <cell r="C1919" t="str">
            <v>CDM8495</v>
          </cell>
          <cell r="D1919" t="str">
            <v>CDM8495</v>
          </cell>
        </row>
        <row r="1920">
          <cell r="C1920" t="str">
            <v>CDQ2234</v>
          </cell>
          <cell r="D1920" t="str">
            <v>CDQ2234</v>
          </cell>
        </row>
        <row r="1921">
          <cell r="C1921" t="str">
            <v>CDV1035</v>
          </cell>
          <cell r="D1921" t="str">
            <v>CDV1035</v>
          </cell>
        </row>
        <row r="1922">
          <cell r="C1922" t="str">
            <v>CDV1524</v>
          </cell>
          <cell r="D1922" t="str">
            <v>CDV1524</v>
          </cell>
        </row>
        <row r="1923">
          <cell r="C1923" t="str">
            <v>CDV5501</v>
          </cell>
          <cell r="D1923" t="str">
            <v>CDV5501</v>
          </cell>
        </row>
        <row r="1924">
          <cell r="C1924" t="str">
            <v>CDZ2960</v>
          </cell>
          <cell r="D1924" t="str">
            <v>CDZ2960</v>
          </cell>
        </row>
        <row r="1925">
          <cell r="C1925" t="str">
            <v>CED5137</v>
          </cell>
          <cell r="D1925" t="str">
            <v>CED5137</v>
          </cell>
        </row>
        <row r="1926">
          <cell r="C1926" t="str">
            <v>CEE1528</v>
          </cell>
          <cell r="D1926" t="str">
            <v>CEE1528</v>
          </cell>
        </row>
        <row r="1927">
          <cell r="C1927" t="str">
            <v>CEI7915</v>
          </cell>
          <cell r="D1927" t="str">
            <v>CEI7915</v>
          </cell>
        </row>
        <row r="1928">
          <cell r="C1928" t="str">
            <v>AEE0493</v>
          </cell>
          <cell r="D1928" t="str">
            <v>AEE0493</v>
          </cell>
        </row>
        <row r="1929">
          <cell r="C1929" t="str">
            <v>LYL4857</v>
          </cell>
          <cell r="D1929" t="str">
            <v>LYL4857</v>
          </cell>
        </row>
        <row r="1930">
          <cell r="C1930" t="str">
            <v>JPY5310</v>
          </cell>
          <cell r="D1930" t="str">
            <v>JPY5310</v>
          </cell>
        </row>
        <row r="1931">
          <cell r="C1931" t="str">
            <v>CEP8D83</v>
          </cell>
          <cell r="D1931" t="str">
            <v>CEP8D83</v>
          </cell>
        </row>
        <row r="1932">
          <cell r="C1932" t="str">
            <v>CFC2808</v>
          </cell>
          <cell r="D1932" t="str">
            <v>CFC2808</v>
          </cell>
        </row>
        <row r="1933">
          <cell r="C1933" t="str">
            <v>CFC4788</v>
          </cell>
          <cell r="D1933" t="str">
            <v>CFC4788</v>
          </cell>
        </row>
        <row r="1934">
          <cell r="C1934" t="str">
            <v>CFC4H88</v>
          </cell>
          <cell r="D1934" t="str">
            <v>CFC4F88</v>
          </cell>
        </row>
        <row r="1935">
          <cell r="C1935" t="str">
            <v>CFC6E64</v>
          </cell>
          <cell r="D1935" t="str">
            <v>CFC6E64</v>
          </cell>
        </row>
        <row r="1936">
          <cell r="C1936" t="str">
            <v>CFE4592</v>
          </cell>
          <cell r="D1936" t="str">
            <v>CFE4592</v>
          </cell>
        </row>
        <row r="1937">
          <cell r="C1937" t="str">
            <v>CFG1093</v>
          </cell>
          <cell r="D1937" t="str">
            <v>CFG1093</v>
          </cell>
        </row>
        <row r="1938">
          <cell r="C1938" t="str">
            <v>CFG4614</v>
          </cell>
          <cell r="D1938" t="str">
            <v>CFG4614</v>
          </cell>
        </row>
        <row r="1939">
          <cell r="C1939" t="str">
            <v>CFI0463</v>
          </cell>
          <cell r="D1939" t="str">
            <v>CFI0463</v>
          </cell>
        </row>
        <row r="1940">
          <cell r="C1940" t="str">
            <v>CFO1840</v>
          </cell>
          <cell r="D1940" t="str">
            <v>CFO1840</v>
          </cell>
        </row>
        <row r="1941">
          <cell r="C1941" t="str">
            <v>CFO5626</v>
          </cell>
          <cell r="D1941" t="str">
            <v>CFO5626</v>
          </cell>
        </row>
        <row r="1942">
          <cell r="C1942" t="str">
            <v>CFT3802</v>
          </cell>
          <cell r="D1942" t="str">
            <v>CFT3802</v>
          </cell>
        </row>
        <row r="1943">
          <cell r="C1943" t="str">
            <v>CFU1502</v>
          </cell>
          <cell r="D1943" t="str">
            <v>CFU1502</v>
          </cell>
        </row>
        <row r="1944">
          <cell r="C1944" t="str">
            <v>CFU8983</v>
          </cell>
          <cell r="D1944" t="str">
            <v>CFU8983</v>
          </cell>
        </row>
        <row r="1945">
          <cell r="C1945" t="str">
            <v>CGG3045</v>
          </cell>
          <cell r="D1945" t="str">
            <v>CGG3045</v>
          </cell>
        </row>
        <row r="1946">
          <cell r="C1946" t="str">
            <v>CGG8359</v>
          </cell>
          <cell r="D1946" t="str">
            <v>CGG8359</v>
          </cell>
        </row>
        <row r="1947">
          <cell r="C1947" t="str">
            <v>CGI4580</v>
          </cell>
          <cell r="D1947" t="str">
            <v>CGI4580</v>
          </cell>
        </row>
        <row r="1948">
          <cell r="C1948" t="str">
            <v>CGI5651</v>
          </cell>
          <cell r="D1948" t="str">
            <v>CGI5651</v>
          </cell>
        </row>
        <row r="1949">
          <cell r="C1949" t="str">
            <v>CGL7931</v>
          </cell>
          <cell r="D1949" t="str">
            <v>CGL7931</v>
          </cell>
        </row>
        <row r="1950">
          <cell r="C1950" t="str">
            <v>CGQ9299</v>
          </cell>
          <cell r="D1950" t="str">
            <v>CGQ9299</v>
          </cell>
        </row>
        <row r="1951">
          <cell r="C1951" t="str">
            <v>CGR3856</v>
          </cell>
          <cell r="D1951" t="str">
            <v>CGR3856</v>
          </cell>
        </row>
        <row r="1952">
          <cell r="C1952" t="str">
            <v>CGS4397</v>
          </cell>
          <cell r="D1952" t="str">
            <v>CGS4397</v>
          </cell>
        </row>
        <row r="1953">
          <cell r="C1953" t="str">
            <v>CGS4804</v>
          </cell>
          <cell r="D1953" t="str">
            <v>CGS4804</v>
          </cell>
        </row>
        <row r="1954">
          <cell r="C1954" t="str">
            <v>AMK3458</v>
          </cell>
          <cell r="D1954" t="str">
            <v>AMK3458</v>
          </cell>
        </row>
        <row r="1955">
          <cell r="C1955" t="str">
            <v>CHF0016</v>
          </cell>
          <cell r="D1955" t="str">
            <v>CHF0016</v>
          </cell>
        </row>
        <row r="1956">
          <cell r="C1956" t="str">
            <v>CHF7717</v>
          </cell>
          <cell r="D1956" t="str">
            <v>CHF7717</v>
          </cell>
        </row>
        <row r="1957">
          <cell r="C1957" t="str">
            <v>CHM0027</v>
          </cell>
          <cell r="D1957" t="str">
            <v>CHM0027</v>
          </cell>
        </row>
        <row r="1958">
          <cell r="C1958" t="str">
            <v>CHN0029</v>
          </cell>
          <cell r="D1958" t="str">
            <v>CHN0029</v>
          </cell>
        </row>
        <row r="1959">
          <cell r="C1959" t="str">
            <v>CHN4243</v>
          </cell>
          <cell r="D1959" t="str">
            <v>CHN4243</v>
          </cell>
        </row>
        <row r="1960">
          <cell r="C1960" t="str">
            <v>CHP4081</v>
          </cell>
          <cell r="D1960" t="str">
            <v>CHP4081</v>
          </cell>
        </row>
        <row r="1961">
          <cell r="C1961" t="str">
            <v>CHQ5H27</v>
          </cell>
          <cell r="D1961" t="str">
            <v>CHQ5H27</v>
          </cell>
        </row>
        <row r="1962">
          <cell r="C1962" t="str">
            <v>CHQ8130</v>
          </cell>
          <cell r="D1962" t="str">
            <v>CHQ8130</v>
          </cell>
        </row>
        <row r="1963">
          <cell r="C1963" t="str">
            <v>CHW9950</v>
          </cell>
          <cell r="D1963" t="str">
            <v>CHW9950</v>
          </cell>
        </row>
        <row r="1964">
          <cell r="C1964" t="str">
            <v>CHZ6401</v>
          </cell>
          <cell r="D1964" t="str">
            <v>CHZ6401</v>
          </cell>
        </row>
        <row r="1965">
          <cell r="C1965" t="str">
            <v>CIA8023</v>
          </cell>
          <cell r="D1965" t="str">
            <v>CIA8023</v>
          </cell>
        </row>
        <row r="1966">
          <cell r="C1966" t="str">
            <v>CLK0939</v>
          </cell>
          <cell r="D1966" t="str">
            <v>CLK0939</v>
          </cell>
        </row>
        <row r="1967">
          <cell r="C1967" t="str">
            <v>CID0343</v>
          </cell>
          <cell r="D1967" t="str">
            <v>CID0343</v>
          </cell>
        </row>
        <row r="1968">
          <cell r="C1968" t="str">
            <v>CIJ5055</v>
          </cell>
          <cell r="D1968" t="str">
            <v>CIJ5055</v>
          </cell>
        </row>
        <row r="1969">
          <cell r="C1969" t="str">
            <v>CIK8855</v>
          </cell>
          <cell r="D1969" t="str">
            <v>CIK8855</v>
          </cell>
        </row>
        <row r="1970">
          <cell r="C1970" t="str">
            <v>CIR3281</v>
          </cell>
          <cell r="D1970" t="str">
            <v>CIR3281</v>
          </cell>
        </row>
        <row r="1971">
          <cell r="C1971" t="str">
            <v>CIT3555</v>
          </cell>
          <cell r="D1971" t="str">
            <v>CIT3555</v>
          </cell>
        </row>
        <row r="1972">
          <cell r="C1972" t="str">
            <v>CIT5254</v>
          </cell>
          <cell r="D1972" t="str">
            <v>CIT5254</v>
          </cell>
        </row>
        <row r="1973">
          <cell r="C1973" t="str">
            <v>CIW9D50</v>
          </cell>
          <cell r="D1973" t="str">
            <v>CIW9D50</v>
          </cell>
        </row>
        <row r="1974">
          <cell r="C1974" t="str">
            <v>CIX7056</v>
          </cell>
          <cell r="D1974" t="str">
            <v>CIX7056</v>
          </cell>
        </row>
        <row r="1975">
          <cell r="C1975" t="str">
            <v>CIX9423</v>
          </cell>
          <cell r="D1975" t="str">
            <v>CIX9423</v>
          </cell>
        </row>
        <row r="1976">
          <cell r="C1976" t="str">
            <v>CIY4383</v>
          </cell>
          <cell r="D1976" t="str">
            <v>CIY4383</v>
          </cell>
        </row>
        <row r="1977">
          <cell r="C1977" t="str">
            <v>CJD9315</v>
          </cell>
          <cell r="D1977" t="str">
            <v>CJD9315</v>
          </cell>
        </row>
        <row r="1978">
          <cell r="C1978" t="str">
            <v>CJO9444</v>
          </cell>
          <cell r="D1978" t="str">
            <v>CJO9444</v>
          </cell>
        </row>
        <row r="1979">
          <cell r="C1979" t="str">
            <v>CJS0441</v>
          </cell>
          <cell r="D1979" t="str">
            <v>CJS0441</v>
          </cell>
        </row>
        <row r="1980">
          <cell r="C1980" t="str">
            <v>CJU0317</v>
          </cell>
          <cell r="D1980" t="str">
            <v>CJU0317</v>
          </cell>
        </row>
        <row r="1981">
          <cell r="C1981" t="str">
            <v>CJU3841</v>
          </cell>
          <cell r="D1981" t="str">
            <v>CJU3841</v>
          </cell>
        </row>
        <row r="1982">
          <cell r="C1982" t="str">
            <v>CJX3128</v>
          </cell>
          <cell r="D1982" t="str">
            <v>CJX3128</v>
          </cell>
        </row>
        <row r="1983">
          <cell r="C1983" t="str">
            <v>CJZ5783</v>
          </cell>
          <cell r="D1983" t="str">
            <v>CJZ5783</v>
          </cell>
        </row>
        <row r="1984">
          <cell r="C1984" t="str">
            <v>CKA6388</v>
          </cell>
          <cell r="D1984" t="str">
            <v>CKA6388</v>
          </cell>
        </row>
        <row r="1985">
          <cell r="C1985" t="str">
            <v>CKA9795</v>
          </cell>
          <cell r="D1985" t="str">
            <v>CKA9795</v>
          </cell>
        </row>
        <row r="1986">
          <cell r="C1986" t="str">
            <v>CKC7396</v>
          </cell>
          <cell r="D1986" t="str">
            <v>CKC7396</v>
          </cell>
        </row>
        <row r="1987">
          <cell r="C1987" t="str">
            <v>CKD7292</v>
          </cell>
          <cell r="D1987" t="str">
            <v>CKD7292</v>
          </cell>
        </row>
        <row r="1988">
          <cell r="C1988" t="str">
            <v>CKH0154</v>
          </cell>
          <cell r="D1988" t="str">
            <v>CKH0154</v>
          </cell>
        </row>
        <row r="1989">
          <cell r="C1989" t="str">
            <v>CKN7402</v>
          </cell>
          <cell r="D1989" t="str">
            <v>CKN7402</v>
          </cell>
        </row>
        <row r="1990">
          <cell r="C1990" t="str">
            <v>CKQ9B92</v>
          </cell>
          <cell r="D1990" t="str">
            <v>CKQ9B92</v>
          </cell>
        </row>
        <row r="1991">
          <cell r="C1991" t="str">
            <v>CKT1606</v>
          </cell>
          <cell r="D1991" t="str">
            <v>CKT1606</v>
          </cell>
        </row>
        <row r="1992">
          <cell r="C1992" t="str">
            <v>BXH6014</v>
          </cell>
          <cell r="D1992" t="str">
            <v>BXH6014</v>
          </cell>
        </row>
        <row r="1993">
          <cell r="C1993" t="str">
            <v>AIK6446</v>
          </cell>
          <cell r="D1993" t="str">
            <v>AIK6446</v>
          </cell>
        </row>
        <row r="1994">
          <cell r="C1994" t="str">
            <v>MCD1805</v>
          </cell>
          <cell r="D1994" t="str">
            <v>MCD1805</v>
          </cell>
        </row>
        <row r="1995">
          <cell r="C1995" t="str">
            <v>CQC8527</v>
          </cell>
          <cell r="D1995" t="str">
            <v>CQC8527</v>
          </cell>
        </row>
        <row r="1996">
          <cell r="C1996" t="str">
            <v>DTE7164</v>
          </cell>
          <cell r="D1996" t="str">
            <v>DTE7164</v>
          </cell>
        </row>
        <row r="1997">
          <cell r="C1997" t="str">
            <v>AYW5627</v>
          </cell>
          <cell r="D1997" t="str">
            <v>AYW5627</v>
          </cell>
        </row>
        <row r="1998">
          <cell r="C1998" t="str">
            <v>FNA4J48</v>
          </cell>
          <cell r="D1998" t="str">
            <v>FNA4J48</v>
          </cell>
        </row>
        <row r="1999">
          <cell r="C1999" t="str">
            <v>GDF2090</v>
          </cell>
          <cell r="D1999">
            <v>3</v>
          </cell>
        </row>
        <row r="2000">
          <cell r="C2000" t="str">
            <v>AVB8465</v>
          </cell>
          <cell r="D2000" t="str">
            <v>AVB8465</v>
          </cell>
        </row>
        <row r="2001">
          <cell r="C2001" t="str">
            <v>ACC9785</v>
          </cell>
          <cell r="D2001" t="str">
            <v>ACC9785</v>
          </cell>
        </row>
        <row r="2002">
          <cell r="C2002" t="str">
            <v>CLG4176</v>
          </cell>
          <cell r="D2002" t="str">
            <v>CLG4176</v>
          </cell>
        </row>
        <row r="2003">
          <cell r="C2003" t="str">
            <v>CLH6051</v>
          </cell>
          <cell r="D2003" t="str">
            <v>CLH6051</v>
          </cell>
        </row>
        <row r="2004">
          <cell r="C2004" t="str">
            <v>CLH9767</v>
          </cell>
          <cell r="D2004" t="str">
            <v>CLH9767</v>
          </cell>
        </row>
        <row r="2005">
          <cell r="C2005" t="str">
            <v>CLH9905</v>
          </cell>
          <cell r="D2005" t="str">
            <v>CLH9905</v>
          </cell>
        </row>
        <row r="2006">
          <cell r="C2006" t="str">
            <v>CLH9920</v>
          </cell>
          <cell r="D2006" t="str">
            <v>CLH9920</v>
          </cell>
        </row>
        <row r="2007">
          <cell r="C2007" t="str">
            <v>CLJ0691</v>
          </cell>
          <cell r="D2007" t="str">
            <v>CLJ0691</v>
          </cell>
        </row>
        <row r="2008">
          <cell r="C2008" t="str">
            <v>CLJ7031</v>
          </cell>
          <cell r="D2008" t="str">
            <v>CLJ7031</v>
          </cell>
        </row>
        <row r="2009">
          <cell r="C2009" t="str">
            <v>CLK4134</v>
          </cell>
          <cell r="D2009" t="str">
            <v>CLK4134</v>
          </cell>
        </row>
        <row r="2010">
          <cell r="C2010" t="str">
            <v>CLK7J18</v>
          </cell>
          <cell r="D2010" t="str">
            <v>CLK7J18</v>
          </cell>
        </row>
        <row r="2011">
          <cell r="C2011" t="str">
            <v>CLK0744</v>
          </cell>
          <cell r="D2011" t="str">
            <v>CLK0744</v>
          </cell>
        </row>
        <row r="2012">
          <cell r="C2012" t="str">
            <v>CLK5J50</v>
          </cell>
          <cell r="D2012" t="str">
            <v>CLK5J50</v>
          </cell>
        </row>
        <row r="2013">
          <cell r="C2013" t="str">
            <v>CLK6708</v>
          </cell>
          <cell r="D2013" t="str">
            <v>CLK6708</v>
          </cell>
        </row>
        <row r="2014">
          <cell r="C2014" t="str">
            <v>CLK7918</v>
          </cell>
          <cell r="D2014" t="str">
            <v>CLK7918</v>
          </cell>
        </row>
        <row r="2015">
          <cell r="C2015" t="str">
            <v>AES4218</v>
          </cell>
          <cell r="D2015" t="str">
            <v>AES4218</v>
          </cell>
        </row>
        <row r="2016">
          <cell r="C2016" t="str">
            <v>CLT2097</v>
          </cell>
          <cell r="D2016" t="str">
            <v>CLT2097</v>
          </cell>
        </row>
        <row r="2017">
          <cell r="C2017" t="str">
            <v>CLT4198</v>
          </cell>
          <cell r="D2017" t="str">
            <v>CLT4198</v>
          </cell>
        </row>
        <row r="2018">
          <cell r="C2018" t="str">
            <v>CLZ5B77</v>
          </cell>
          <cell r="D2018" t="str">
            <v>CLZ5B77</v>
          </cell>
        </row>
        <row r="2019">
          <cell r="C2019" t="str">
            <v>CME0409</v>
          </cell>
          <cell r="D2019" t="str">
            <v>CME0409</v>
          </cell>
        </row>
        <row r="2020">
          <cell r="C2020" t="str">
            <v>CMG2808</v>
          </cell>
          <cell r="D2020" t="str">
            <v>CMG2808</v>
          </cell>
        </row>
        <row r="2021">
          <cell r="C2021" t="str">
            <v>CMP1457</v>
          </cell>
          <cell r="D2021" t="str">
            <v>CMP1457</v>
          </cell>
        </row>
        <row r="2022">
          <cell r="C2022" t="str">
            <v>CMR2594</v>
          </cell>
          <cell r="D2022" t="str">
            <v>CMR2594</v>
          </cell>
        </row>
        <row r="2023">
          <cell r="C2023" t="str">
            <v>CMR8550</v>
          </cell>
          <cell r="D2023" t="str">
            <v>CMR8550</v>
          </cell>
        </row>
        <row r="2024">
          <cell r="C2024" t="str">
            <v>CMR9360</v>
          </cell>
          <cell r="D2024" t="str">
            <v>CMR9360</v>
          </cell>
        </row>
        <row r="2025">
          <cell r="C2025" t="str">
            <v>CMW8955</v>
          </cell>
          <cell r="D2025" t="str">
            <v>CMW8955</v>
          </cell>
        </row>
        <row r="2026">
          <cell r="C2026" t="str">
            <v>CMW9130</v>
          </cell>
          <cell r="D2026" t="str">
            <v>CMW9130</v>
          </cell>
        </row>
        <row r="2027">
          <cell r="C2027" t="str">
            <v>CMZ8492</v>
          </cell>
          <cell r="D2027" t="str">
            <v>CMZ8492</v>
          </cell>
        </row>
        <row r="2028">
          <cell r="C2028" t="str">
            <v>CNB8036</v>
          </cell>
          <cell r="D2028" t="str">
            <v>CNB8036</v>
          </cell>
        </row>
        <row r="2029">
          <cell r="C2029" t="str">
            <v>CNI7556</v>
          </cell>
          <cell r="D2029" t="str">
            <v>CNI7556</v>
          </cell>
        </row>
        <row r="2030">
          <cell r="C2030" t="str">
            <v>CNO1C10</v>
          </cell>
          <cell r="D2030" t="str">
            <v>CNO1C10</v>
          </cell>
        </row>
        <row r="2031">
          <cell r="C2031" t="str">
            <v>CNP5362</v>
          </cell>
          <cell r="D2031" t="str">
            <v>CNP5362</v>
          </cell>
        </row>
        <row r="2032">
          <cell r="C2032" t="str">
            <v>CNQ5640</v>
          </cell>
          <cell r="D2032" t="str">
            <v>CNQ5640</v>
          </cell>
        </row>
        <row r="2033">
          <cell r="C2033" t="str">
            <v>CNR3820</v>
          </cell>
          <cell r="D2033" t="str">
            <v>CNR3820</v>
          </cell>
        </row>
        <row r="2034">
          <cell r="C2034" t="str">
            <v>CNU2618</v>
          </cell>
          <cell r="D2034" t="str">
            <v>CNU2618</v>
          </cell>
        </row>
        <row r="2035">
          <cell r="C2035" t="str">
            <v>CNU8248</v>
          </cell>
          <cell r="D2035" t="str">
            <v>CNU8248</v>
          </cell>
        </row>
        <row r="2036">
          <cell r="C2036" t="str">
            <v>CNX3100</v>
          </cell>
          <cell r="D2036" t="str">
            <v>CNX3100</v>
          </cell>
        </row>
        <row r="2037">
          <cell r="C2037" t="str">
            <v>CNY5440</v>
          </cell>
          <cell r="D2037" t="str">
            <v>CNY5440</v>
          </cell>
        </row>
        <row r="2038">
          <cell r="C2038" t="str">
            <v>COD0825</v>
          </cell>
          <cell r="D2038" t="str">
            <v>COD0825</v>
          </cell>
        </row>
        <row r="2039">
          <cell r="C2039" t="str">
            <v>COG0923</v>
          </cell>
          <cell r="D2039" t="str">
            <v>COG0923</v>
          </cell>
        </row>
        <row r="2040">
          <cell r="C2040" t="str">
            <v>COH3042</v>
          </cell>
          <cell r="D2040" t="str">
            <v>COH3042</v>
          </cell>
        </row>
        <row r="2041">
          <cell r="C2041" t="str">
            <v>COI6J26</v>
          </cell>
          <cell r="D2041" t="str">
            <v>COI6J26</v>
          </cell>
        </row>
        <row r="2042">
          <cell r="C2042" t="str">
            <v>COK8H21</v>
          </cell>
          <cell r="D2042" t="str">
            <v>COK8H21</v>
          </cell>
        </row>
        <row r="2043">
          <cell r="C2043" t="str">
            <v>COM8564</v>
          </cell>
          <cell r="D2043" t="str">
            <v>COM8564</v>
          </cell>
        </row>
        <row r="2044">
          <cell r="C2044" t="str">
            <v>HSI0969</v>
          </cell>
          <cell r="D2044" t="str">
            <v>HSI0969</v>
          </cell>
        </row>
        <row r="2045">
          <cell r="C2045" t="str">
            <v>HTO6232</v>
          </cell>
          <cell r="D2045" t="str">
            <v>HTO6232</v>
          </cell>
        </row>
        <row r="2046">
          <cell r="C2046" t="str">
            <v>QUB7541</v>
          </cell>
          <cell r="D2046" t="str">
            <v>QUB7541</v>
          </cell>
        </row>
        <row r="2047">
          <cell r="C2047" t="str">
            <v>KZI3304</v>
          </cell>
          <cell r="D2047" t="str">
            <v>KZI3304</v>
          </cell>
        </row>
        <row r="2048">
          <cell r="C2048" t="str">
            <v>CTF0205</v>
          </cell>
          <cell r="D2048" t="str">
            <v xml:space="preserve">       </v>
          </cell>
        </row>
        <row r="2049">
          <cell r="C2049" t="str">
            <v>CTF0227</v>
          </cell>
          <cell r="D2049" t="str">
            <v xml:space="preserve">       </v>
          </cell>
        </row>
        <row r="2050">
          <cell r="C2050" t="str">
            <v>CTF0300</v>
          </cell>
          <cell r="D2050" t="str">
            <v xml:space="preserve">       </v>
          </cell>
        </row>
        <row r="2051">
          <cell r="C2051" t="str">
            <v>CTF0301</v>
          </cell>
          <cell r="D2051" t="str">
            <v xml:space="preserve">       </v>
          </cell>
        </row>
        <row r="2052">
          <cell r="C2052" t="str">
            <v>CTF0302</v>
          </cell>
          <cell r="D2052" t="str">
            <v xml:space="preserve">       </v>
          </cell>
        </row>
        <row r="2053">
          <cell r="C2053" t="str">
            <v>CTF0303</v>
          </cell>
          <cell r="D2053" t="str">
            <v xml:space="preserve">       </v>
          </cell>
        </row>
        <row r="2054">
          <cell r="C2054" t="str">
            <v>CTF0304</v>
          </cell>
          <cell r="D2054" t="str">
            <v xml:space="preserve">       </v>
          </cell>
        </row>
        <row r="2055">
          <cell r="C2055" t="str">
            <v>CTF0305</v>
          </cell>
          <cell r="D2055" t="str">
            <v xml:space="preserve">       </v>
          </cell>
        </row>
        <row r="2056">
          <cell r="C2056" t="str">
            <v>CTF0306</v>
          </cell>
          <cell r="D2056" t="str">
            <v xml:space="preserve">       </v>
          </cell>
        </row>
        <row r="2057">
          <cell r="C2057" t="str">
            <v>CTF0307</v>
          </cell>
          <cell r="D2057" t="str">
            <v xml:space="preserve">       </v>
          </cell>
        </row>
        <row r="2058">
          <cell r="C2058" t="str">
            <v>CTF0308</v>
          </cell>
          <cell r="D2058" t="str">
            <v xml:space="preserve">       </v>
          </cell>
        </row>
        <row r="2059">
          <cell r="C2059" t="str">
            <v>CTF0310</v>
          </cell>
          <cell r="D2059" t="str">
            <v xml:space="preserve">       </v>
          </cell>
        </row>
        <row r="2060">
          <cell r="C2060" t="str">
            <v>CTF0311</v>
          </cell>
          <cell r="D2060" t="str">
            <v xml:space="preserve">       </v>
          </cell>
        </row>
        <row r="2061">
          <cell r="C2061" t="str">
            <v>CTF0312</v>
          </cell>
          <cell r="D2061" t="str">
            <v xml:space="preserve">       </v>
          </cell>
        </row>
        <row r="2062">
          <cell r="C2062" t="str">
            <v>CTF0313</v>
          </cell>
          <cell r="D2062" t="str">
            <v xml:space="preserve">       </v>
          </cell>
        </row>
        <row r="2063">
          <cell r="C2063" t="str">
            <v>CTF0314</v>
          </cell>
          <cell r="D2063" t="str">
            <v xml:space="preserve">       </v>
          </cell>
        </row>
        <row r="2064">
          <cell r="C2064" t="str">
            <v>CTF0315</v>
          </cell>
          <cell r="D2064" t="str">
            <v xml:space="preserve">       </v>
          </cell>
        </row>
        <row r="2065">
          <cell r="C2065" t="str">
            <v>CTF0278</v>
          </cell>
          <cell r="D2065" t="str">
            <v xml:space="preserve">       </v>
          </cell>
        </row>
        <row r="2066">
          <cell r="C2066" t="str">
            <v>CTF0316</v>
          </cell>
          <cell r="D2066" t="str">
            <v xml:space="preserve">       </v>
          </cell>
        </row>
        <row r="2067">
          <cell r="C2067" t="str">
            <v>CTA0319</v>
          </cell>
          <cell r="D2067" t="str">
            <v xml:space="preserve">       </v>
          </cell>
        </row>
        <row r="2068">
          <cell r="C2068" t="str">
            <v>CTA0320</v>
          </cell>
          <cell r="D2068" t="str">
            <v xml:space="preserve">       </v>
          </cell>
        </row>
        <row r="2069">
          <cell r="C2069" t="str">
            <v>CTA0321</v>
          </cell>
          <cell r="D2069" t="str">
            <v xml:space="preserve">       </v>
          </cell>
        </row>
        <row r="2070">
          <cell r="C2070" t="str">
            <v>CTA0322</v>
          </cell>
          <cell r="D2070" t="str">
            <v xml:space="preserve">       </v>
          </cell>
        </row>
        <row r="2071">
          <cell r="C2071" t="str">
            <v>CTA0323</v>
          </cell>
          <cell r="D2071" t="str">
            <v xml:space="preserve">       </v>
          </cell>
        </row>
        <row r="2072">
          <cell r="C2072" t="str">
            <v>CTA0324</v>
          </cell>
          <cell r="D2072" t="str">
            <v xml:space="preserve">       </v>
          </cell>
        </row>
        <row r="2073">
          <cell r="C2073" t="str">
            <v>CTA0325</v>
          </cell>
          <cell r="D2073" t="str">
            <v xml:space="preserve">       </v>
          </cell>
        </row>
        <row r="2074">
          <cell r="C2074" t="str">
            <v>CTA0326</v>
          </cell>
          <cell r="D2074" t="str">
            <v xml:space="preserve">       </v>
          </cell>
        </row>
        <row r="2075">
          <cell r="C2075" t="str">
            <v>CTA0327</v>
          </cell>
          <cell r="D2075" t="str">
            <v xml:space="preserve">       </v>
          </cell>
        </row>
        <row r="2076">
          <cell r="C2076" t="str">
            <v>CTA0328</v>
          </cell>
          <cell r="D2076" t="str">
            <v xml:space="preserve">       </v>
          </cell>
        </row>
        <row r="2077">
          <cell r="C2077" t="str">
            <v>CTF0280</v>
          </cell>
          <cell r="D2077" t="str">
            <v xml:space="preserve">       </v>
          </cell>
        </row>
        <row r="2078">
          <cell r="C2078" t="str">
            <v>CTA0281</v>
          </cell>
          <cell r="D2078" t="str">
            <v xml:space="preserve">       </v>
          </cell>
        </row>
        <row r="2079">
          <cell r="C2079" t="str">
            <v>CTF0282</v>
          </cell>
          <cell r="D2079" t="str">
            <v xml:space="preserve">       </v>
          </cell>
        </row>
        <row r="2080">
          <cell r="C2080" t="str">
            <v>CTF0283</v>
          </cell>
          <cell r="D2080" t="str">
            <v xml:space="preserve">       </v>
          </cell>
        </row>
        <row r="2081">
          <cell r="C2081" t="str">
            <v>CTF0293</v>
          </cell>
          <cell r="D2081" t="str">
            <v xml:space="preserve">       </v>
          </cell>
        </row>
        <row r="2082">
          <cell r="C2082" t="str">
            <v>CTF0294</v>
          </cell>
          <cell r="D2082" t="str">
            <v xml:space="preserve">       </v>
          </cell>
        </row>
        <row r="2083">
          <cell r="C2083" t="str">
            <v>CTF0295</v>
          </cell>
          <cell r="D2083" t="str">
            <v xml:space="preserve">       </v>
          </cell>
        </row>
        <row r="2084">
          <cell r="C2084" t="str">
            <v>CTF0296</v>
          </cell>
          <cell r="D2084" t="str">
            <v xml:space="preserve">       </v>
          </cell>
        </row>
        <row r="2085">
          <cell r="C2085" t="str">
            <v>CTF0297</v>
          </cell>
          <cell r="D2085" t="str">
            <v xml:space="preserve">       </v>
          </cell>
        </row>
        <row r="2086">
          <cell r="C2086" t="str">
            <v>CTF0298</v>
          </cell>
          <cell r="D2086" t="str">
            <v xml:space="preserve">       </v>
          </cell>
        </row>
        <row r="2087">
          <cell r="C2087" t="str">
            <v>CTF0299</v>
          </cell>
          <cell r="D2087" t="str">
            <v xml:space="preserve">       </v>
          </cell>
        </row>
        <row r="2088">
          <cell r="C2088" t="str">
            <v>CTF0346</v>
          </cell>
          <cell r="D2088" t="str">
            <v xml:space="preserve">       </v>
          </cell>
        </row>
        <row r="2089">
          <cell r="C2089" t="str">
            <v>CTF0349</v>
          </cell>
          <cell r="D2089" t="str">
            <v xml:space="preserve">       </v>
          </cell>
        </row>
        <row r="2090">
          <cell r="C2090" t="str">
            <v>CTF0350</v>
          </cell>
          <cell r="D2090" t="str">
            <v xml:space="preserve">       </v>
          </cell>
        </row>
        <row r="2091">
          <cell r="C2091" t="str">
            <v>CTF0351</v>
          </cell>
          <cell r="D2091" t="str">
            <v xml:space="preserve">       </v>
          </cell>
        </row>
        <row r="2092">
          <cell r="C2092" t="str">
            <v>CTF0353</v>
          </cell>
          <cell r="D2092" t="str">
            <v xml:space="preserve">       </v>
          </cell>
        </row>
        <row r="2093">
          <cell r="C2093" t="str">
            <v>CTF0354</v>
          </cell>
          <cell r="D2093" t="str">
            <v xml:space="preserve">       </v>
          </cell>
        </row>
        <row r="2094">
          <cell r="C2094" t="str">
            <v>CTF0355</v>
          </cell>
          <cell r="D2094" t="str">
            <v xml:space="preserve">       </v>
          </cell>
        </row>
        <row r="2095">
          <cell r="C2095" t="str">
            <v>CTA0357</v>
          </cell>
          <cell r="D2095" t="str">
            <v xml:space="preserve">       </v>
          </cell>
        </row>
        <row r="2096">
          <cell r="C2096" t="str">
            <v>CTA0334</v>
          </cell>
          <cell r="D2096" t="str">
            <v xml:space="preserve">       </v>
          </cell>
        </row>
        <row r="2097">
          <cell r="C2097" t="str">
            <v>CTA0329</v>
          </cell>
          <cell r="D2097" t="str">
            <v xml:space="preserve">       </v>
          </cell>
        </row>
        <row r="2098">
          <cell r="C2098" t="str">
            <v>CTF0359</v>
          </cell>
          <cell r="D2098" t="str">
            <v xml:space="preserve">       </v>
          </cell>
        </row>
        <row r="2099">
          <cell r="C2099" t="str">
            <v>CTA0330</v>
          </cell>
          <cell r="D2099" t="str">
            <v xml:space="preserve">       </v>
          </cell>
        </row>
        <row r="2100">
          <cell r="C2100" t="str">
            <v>CTA0335</v>
          </cell>
          <cell r="D2100" t="str">
            <v xml:space="preserve">       </v>
          </cell>
        </row>
        <row r="2101">
          <cell r="C2101" t="str">
            <v>CTF0358</v>
          </cell>
          <cell r="D2101" t="str">
            <v xml:space="preserve">       </v>
          </cell>
        </row>
        <row r="2102">
          <cell r="C2102" t="str">
            <v>CTA0336</v>
          </cell>
          <cell r="D2102" t="str">
            <v xml:space="preserve">       </v>
          </cell>
        </row>
        <row r="2103">
          <cell r="C2103" t="str">
            <v>CTA0331</v>
          </cell>
          <cell r="D2103" t="str">
            <v xml:space="preserve">       </v>
          </cell>
        </row>
        <row r="2104">
          <cell r="C2104" t="str">
            <v>CTA0341</v>
          </cell>
          <cell r="D2104" t="str">
            <v xml:space="preserve">       </v>
          </cell>
        </row>
        <row r="2105">
          <cell r="C2105" t="str">
            <v>CTA0332</v>
          </cell>
          <cell r="D2105" t="str">
            <v xml:space="preserve">       </v>
          </cell>
        </row>
        <row r="2106">
          <cell r="C2106" t="str">
            <v>CTA0340</v>
          </cell>
          <cell r="D2106" t="str">
            <v xml:space="preserve">       </v>
          </cell>
        </row>
        <row r="2107">
          <cell r="C2107" t="str">
            <v>CTA0338</v>
          </cell>
          <cell r="D2107" t="str">
            <v xml:space="preserve">       </v>
          </cell>
        </row>
        <row r="2108">
          <cell r="C2108" t="str">
            <v>CTA0337</v>
          </cell>
          <cell r="D2108" t="str">
            <v xml:space="preserve">       </v>
          </cell>
        </row>
        <row r="2109">
          <cell r="C2109" t="str">
            <v>CTA0339</v>
          </cell>
          <cell r="D2109" t="str">
            <v xml:space="preserve">       </v>
          </cell>
        </row>
        <row r="2110">
          <cell r="C2110" t="str">
            <v>CTA0333</v>
          </cell>
          <cell r="D2110" t="str">
            <v xml:space="preserve">       </v>
          </cell>
        </row>
        <row r="2111">
          <cell r="C2111" t="str">
            <v>CTF0347</v>
          </cell>
          <cell r="D2111" t="str">
            <v xml:space="preserve">       </v>
          </cell>
        </row>
        <row r="2112">
          <cell r="C2112" t="str">
            <v>CTA0428</v>
          </cell>
          <cell r="D2112" t="str">
            <v xml:space="preserve">       </v>
          </cell>
        </row>
        <row r="2113">
          <cell r="C2113" t="str">
            <v>CTF0431</v>
          </cell>
          <cell r="D2113" t="str">
            <v xml:space="preserve">       </v>
          </cell>
        </row>
        <row r="2114">
          <cell r="C2114" t="str">
            <v>CTR0425</v>
          </cell>
          <cell r="D2114" t="str">
            <v xml:space="preserve">       </v>
          </cell>
        </row>
        <row r="2115">
          <cell r="C2115" t="str">
            <v>CTR0201</v>
          </cell>
          <cell r="D2115" t="str">
            <v xml:space="preserve">       </v>
          </cell>
        </row>
        <row r="2116">
          <cell r="C2116" t="str">
            <v>CTR0202</v>
          </cell>
          <cell r="D2116" t="str">
            <v xml:space="preserve">       </v>
          </cell>
        </row>
        <row r="2117">
          <cell r="C2117" t="str">
            <v>CTR0317</v>
          </cell>
          <cell r="D2117" t="str">
            <v xml:space="preserve">       </v>
          </cell>
        </row>
        <row r="2118">
          <cell r="C2118" t="str">
            <v>CTR0203</v>
          </cell>
          <cell r="D2118" t="str">
            <v xml:space="preserve">       </v>
          </cell>
        </row>
        <row r="2119">
          <cell r="C2119" t="str">
            <v>CTR0318</v>
          </cell>
          <cell r="D2119" t="str">
            <v xml:space="preserve">       </v>
          </cell>
        </row>
        <row r="2120">
          <cell r="C2120" t="str">
            <v>CTR0204</v>
          </cell>
          <cell r="D2120" t="str">
            <v xml:space="preserve">       </v>
          </cell>
        </row>
        <row r="2121">
          <cell r="C2121" t="str">
            <v>CTR0206</v>
          </cell>
          <cell r="D2121" t="str">
            <v xml:space="preserve">       </v>
          </cell>
        </row>
        <row r="2122">
          <cell r="C2122" t="str">
            <v>CTR0207</v>
          </cell>
          <cell r="D2122" t="str">
            <v xml:space="preserve">       </v>
          </cell>
        </row>
        <row r="2123">
          <cell r="C2123" t="str">
            <v>CTR0210</v>
          </cell>
          <cell r="D2123" t="str">
            <v xml:space="preserve">       </v>
          </cell>
        </row>
        <row r="2124">
          <cell r="C2124" t="str">
            <v>CTR0211</v>
          </cell>
          <cell r="D2124" t="str">
            <v xml:space="preserve">       </v>
          </cell>
        </row>
        <row r="2125">
          <cell r="C2125" t="str">
            <v>CTR0215</v>
          </cell>
          <cell r="D2125" t="str">
            <v xml:space="preserve">       </v>
          </cell>
        </row>
        <row r="2126">
          <cell r="C2126" t="str">
            <v>CTR0217</v>
          </cell>
          <cell r="D2126" t="str">
            <v xml:space="preserve">       </v>
          </cell>
        </row>
        <row r="2127">
          <cell r="C2127" t="str">
            <v>CTR0221</v>
          </cell>
          <cell r="D2127" t="str">
            <v xml:space="preserve">       </v>
          </cell>
        </row>
        <row r="2128">
          <cell r="C2128" t="str">
            <v>CTR0222</v>
          </cell>
          <cell r="D2128" t="str">
            <v xml:space="preserve">       </v>
          </cell>
        </row>
        <row r="2129">
          <cell r="C2129" t="str">
            <v>CTR0223</v>
          </cell>
          <cell r="D2129" t="str">
            <v xml:space="preserve">       </v>
          </cell>
        </row>
        <row r="2130">
          <cell r="C2130" t="str">
            <v>CTR0224</v>
          </cell>
          <cell r="D2130" t="str">
            <v xml:space="preserve">       </v>
          </cell>
        </row>
        <row r="2131">
          <cell r="C2131" t="str">
            <v>CTR0225</v>
          </cell>
          <cell r="D2131" t="str">
            <v xml:space="preserve">       </v>
          </cell>
        </row>
        <row r="2132">
          <cell r="C2132" t="str">
            <v>CTR0226</v>
          </cell>
          <cell r="D2132" t="str">
            <v xml:space="preserve">       </v>
          </cell>
        </row>
        <row r="2133">
          <cell r="C2133" t="str">
            <v>CTR0228</v>
          </cell>
          <cell r="D2133" t="str">
            <v xml:space="preserve">       </v>
          </cell>
        </row>
        <row r="2134">
          <cell r="C2134" t="str">
            <v>CTR0229</v>
          </cell>
          <cell r="D2134" t="str">
            <v xml:space="preserve">       </v>
          </cell>
        </row>
        <row r="2135">
          <cell r="C2135" t="str">
            <v>CTR0240</v>
          </cell>
          <cell r="D2135" t="str">
            <v xml:space="preserve">       </v>
          </cell>
        </row>
        <row r="2136">
          <cell r="C2136" t="str">
            <v>CTR0243</v>
          </cell>
          <cell r="D2136" t="str">
            <v xml:space="preserve">       </v>
          </cell>
        </row>
        <row r="2137">
          <cell r="C2137" t="str">
            <v>CTR0391</v>
          </cell>
          <cell r="D2137" t="str">
            <v xml:space="preserve">       </v>
          </cell>
        </row>
        <row r="2138">
          <cell r="C2138" t="str">
            <v>CTR0290</v>
          </cell>
          <cell r="D2138" t="str">
            <v xml:space="preserve">       </v>
          </cell>
        </row>
        <row r="2139">
          <cell r="C2139" t="str">
            <v>CTR0291</v>
          </cell>
          <cell r="D2139" t="str">
            <v xml:space="preserve">       </v>
          </cell>
        </row>
        <row r="2140">
          <cell r="C2140" t="str">
            <v>CTR0292</v>
          </cell>
          <cell r="D2140" t="str">
            <v xml:space="preserve">       </v>
          </cell>
        </row>
        <row r="2141">
          <cell r="C2141" t="str">
            <v>CTR0342</v>
          </cell>
          <cell r="D2141" t="str">
            <v xml:space="preserve">       </v>
          </cell>
        </row>
        <row r="2142">
          <cell r="C2142" t="str">
            <v>CTR0343</v>
          </cell>
          <cell r="D2142" t="str">
            <v xml:space="preserve">       </v>
          </cell>
        </row>
        <row r="2143">
          <cell r="C2143" t="str">
            <v>CTR0344</v>
          </cell>
          <cell r="D2143" t="str">
            <v xml:space="preserve">       </v>
          </cell>
        </row>
        <row r="2144">
          <cell r="C2144" t="str">
            <v>CTR0345</v>
          </cell>
          <cell r="D2144" t="str">
            <v xml:space="preserve">       </v>
          </cell>
        </row>
        <row r="2145">
          <cell r="C2145" t="str">
            <v>CTR0348</v>
          </cell>
          <cell r="D2145" t="str">
            <v xml:space="preserve">       </v>
          </cell>
        </row>
        <row r="2146">
          <cell r="C2146" t="str">
            <v>CTF0004</v>
          </cell>
          <cell r="D2146" t="str">
            <v xml:space="preserve">       </v>
          </cell>
        </row>
        <row r="2147">
          <cell r="C2147" t="str">
            <v>CTF0289</v>
          </cell>
          <cell r="D2147" t="str">
            <v xml:space="preserve">       </v>
          </cell>
        </row>
        <row r="2148">
          <cell r="C2148" t="str">
            <v>CTF0288</v>
          </cell>
          <cell r="D2148" t="str">
            <v xml:space="preserve">       </v>
          </cell>
        </row>
        <row r="2149">
          <cell r="C2149" t="str">
            <v>CTF0287</v>
          </cell>
          <cell r="D2149" t="str">
            <v xml:space="preserve">       </v>
          </cell>
        </row>
        <row r="2150">
          <cell r="C2150" t="str">
            <v>CTF0286</v>
          </cell>
          <cell r="D2150" t="str">
            <v xml:space="preserve">       </v>
          </cell>
        </row>
        <row r="2151">
          <cell r="C2151" t="str">
            <v>CTF0285</v>
          </cell>
          <cell r="D2151" t="str">
            <v xml:space="preserve">       </v>
          </cell>
        </row>
        <row r="2152">
          <cell r="C2152" t="str">
            <v>CTF0208</v>
          </cell>
          <cell r="D2152" t="str">
            <v xml:space="preserve">       </v>
          </cell>
        </row>
        <row r="2153">
          <cell r="C2153" t="str">
            <v>CTF0212</v>
          </cell>
          <cell r="D2153" t="str">
            <v xml:space="preserve">       </v>
          </cell>
        </row>
        <row r="2154">
          <cell r="C2154" t="str">
            <v>CTF0213</v>
          </cell>
          <cell r="D2154" t="str">
            <v xml:space="preserve">       </v>
          </cell>
        </row>
        <row r="2155">
          <cell r="C2155" t="str">
            <v>CTF0427</v>
          </cell>
          <cell r="D2155" t="str">
            <v xml:space="preserve">       </v>
          </cell>
        </row>
        <row r="2156">
          <cell r="C2156" t="str">
            <v>CTF0214</v>
          </cell>
          <cell r="D2156" t="str">
            <v xml:space="preserve">       </v>
          </cell>
        </row>
        <row r="2157">
          <cell r="C2157" t="str">
            <v>CTF0426</v>
          </cell>
          <cell r="D2157" t="str">
            <v xml:space="preserve">       </v>
          </cell>
        </row>
        <row r="2158">
          <cell r="C2158" t="str">
            <v>CTF0216</v>
          </cell>
          <cell r="D2158" t="str">
            <v xml:space="preserve">       </v>
          </cell>
        </row>
        <row r="2159">
          <cell r="C2159" t="str">
            <v>CTF0218</v>
          </cell>
          <cell r="D2159" t="str">
            <v xml:space="preserve">       </v>
          </cell>
        </row>
        <row r="2160">
          <cell r="C2160" t="str">
            <v>CTF0219</v>
          </cell>
          <cell r="D2160" t="str">
            <v xml:space="preserve">       </v>
          </cell>
        </row>
        <row r="2161">
          <cell r="C2161" t="str">
            <v>CTF0220</v>
          </cell>
          <cell r="D2161" t="str">
            <v xml:space="preserve">       </v>
          </cell>
        </row>
        <row r="2162">
          <cell r="C2162" t="str">
            <v>CTF0230</v>
          </cell>
          <cell r="D2162" t="str">
            <v xml:space="preserve">       </v>
          </cell>
        </row>
        <row r="2163">
          <cell r="C2163" t="str">
            <v>CTF0231</v>
          </cell>
          <cell r="D2163" t="str">
            <v xml:space="preserve">       </v>
          </cell>
        </row>
        <row r="2164">
          <cell r="C2164" t="str">
            <v>CTF0232</v>
          </cell>
          <cell r="D2164" t="str">
            <v xml:space="preserve">       </v>
          </cell>
        </row>
        <row r="2165">
          <cell r="C2165" t="str">
            <v>CTF0233</v>
          </cell>
          <cell r="D2165" t="str">
            <v xml:space="preserve">       </v>
          </cell>
        </row>
        <row r="2166">
          <cell r="C2166" t="str">
            <v>CTF0234</v>
          </cell>
          <cell r="D2166" t="str">
            <v xml:space="preserve">       </v>
          </cell>
        </row>
        <row r="2167">
          <cell r="C2167" t="str">
            <v>CTF0235</v>
          </cell>
          <cell r="D2167" t="str">
            <v xml:space="preserve">       </v>
          </cell>
        </row>
        <row r="2168">
          <cell r="C2168" t="str">
            <v>CTF0237</v>
          </cell>
          <cell r="D2168" t="str">
            <v xml:space="preserve">       </v>
          </cell>
        </row>
        <row r="2169">
          <cell r="C2169" t="str">
            <v>CTF0239</v>
          </cell>
          <cell r="D2169" t="str">
            <v xml:space="preserve">       </v>
          </cell>
        </row>
        <row r="2170">
          <cell r="C2170" t="str">
            <v>CTF0241</v>
          </cell>
          <cell r="D2170" t="str">
            <v xml:space="preserve">       </v>
          </cell>
        </row>
        <row r="2171">
          <cell r="C2171" t="str">
            <v>CTF0242</v>
          </cell>
          <cell r="D2171" t="str">
            <v xml:space="preserve">       </v>
          </cell>
        </row>
        <row r="2172">
          <cell r="C2172" t="str">
            <v>CTF0244</v>
          </cell>
          <cell r="D2172" t="str">
            <v xml:space="preserve">       </v>
          </cell>
        </row>
        <row r="2173">
          <cell r="C2173" t="str">
            <v>CTF0245</v>
          </cell>
          <cell r="D2173" t="str">
            <v xml:space="preserve">       </v>
          </cell>
        </row>
        <row r="2174">
          <cell r="C2174" t="str">
            <v>CTF0246</v>
          </cell>
          <cell r="D2174" t="str">
            <v xml:space="preserve">       </v>
          </cell>
        </row>
        <row r="2175">
          <cell r="C2175" t="str">
            <v>CTF0247</v>
          </cell>
          <cell r="D2175" t="str">
            <v xml:space="preserve">       </v>
          </cell>
        </row>
        <row r="2176">
          <cell r="C2176" t="str">
            <v>CTF0248</v>
          </cell>
          <cell r="D2176" t="str">
            <v xml:space="preserve">       </v>
          </cell>
        </row>
        <row r="2177">
          <cell r="C2177" t="str">
            <v>CTF0249</v>
          </cell>
          <cell r="D2177" t="str">
            <v xml:space="preserve">       </v>
          </cell>
        </row>
        <row r="2178">
          <cell r="C2178" t="str">
            <v>CTF0250</v>
          </cell>
          <cell r="D2178" t="str">
            <v xml:space="preserve">       </v>
          </cell>
        </row>
        <row r="2179">
          <cell r="C2179" t="str">
            <v>CTF0251</v>
          </cell>
          <cell r="D2179" t="str">
            <v xml:space="preserve">       </v>
          </cell>
        </row>
        <row r="2180">
          <cell r="C2180" t="str">
            <v>CTF0252</v>
          </cell>
          <cell r="D2180" t="str">
            <v xml:space="preserve">       </v>
          </cell>
        </row>
        <row r="2181">
          <cell r="C2181" t="str">
            <v>CTF0253</v>
          </cell>
          <cell r="D2181" t="str">
            <v xml:space="preserve">       </v>
          </cell>
        </row>
        <row r="2182">
          <cell r="C2182" t="str">
            <v>CTF0254</v>
          </cell>
          <cell r="D2182" t="str">
            <v xml:space="preserve">       </v>
          </cell>
        </row>
        <row r="2183">
          <cell r="C2183" t="str">
            <v>CTF0404</v>
          </cell>
          <cell r="D2183" t="str">
            <v xml:space="preserve">       </v>
          </cell>
        </row>
        <row r="2184">
          <cell r="C2184" t="str">
            <v>CTF0255</v>
          </cell>
          <cell r="D2184" t="str">
            <v xml:space="preserve">       </v>
          </cell>
        </row>
        <row r="2185">
          <cell r="C2185" t="str">
            <v>CTF0403</v>
          </cell>
          <cell r="D2185" t="str">
            <v xml:space="preserve">       </v>
          </cell>
        </row>
        <row r="2186">
          <cell r="C2186" t="str">
            <v>CTF0256</v>
          </cell>
          <cell r="D2186" t="str">
            <v xml:space="preserve">       </v>
          </cell>
        </row>
        <row r="2187">
          <cell r="C2187" t="str">
            <v>CTF0402</v>
          </cell>
          <cell r="D2187" t="str">
            <v xml:space="preserve">       </v>
          </cell>
        </row>
        <row r="2188">
          <cell r="C2188" t="str">
            <v>CTF0257</v>
          </cell>
          <cell r="D2188" t="str">
            <v xml:space="preserve">       </v>
          </cell>
        </row>
        <row r="2189">
          <cell r="C2189" t="str">
            <v>CTF0401</v>
          </cell>
          <cell r="D2189" t="str">
            <v xml:space="preserve">       </v>
          </cell>
        </row>
        <row r="2190">
          <cell r="C2190" t="str">
            <v>CTF0258</v>
          </cell>
          <cell r="D2190" t="str">
            <v xml:space="preserve">       </v>
          </cell>
        </row>
        <row r="2191">
          <cell r="C2191" t="str">
            <v>CTF0400</v>
          </cell>
          <cell r="D2191" t="str">
            <v xml:space="preserve">       </v>
          </cell>
        </row>
        <row r="2192">
          <cell r="C2192" t="str">
            <v>CTF0399</v>
          </cell>
          <cell r="D2192" t="str">
            <v xml:space="preserve">       </v>
          </cell>
        </row>
        <row r="2193">
          <cell r="C2193" t="str">
            <v>CTF0398</v>
          </cell>
          <cell r="D2193" t="str">
            <v xml:space="preserve">       </v>
          </cell>
        </row>
        <row r="2194">
          <cell r="C2194" t="str">
            <v>CTF0259</v>
          </cell>
          <cell r="D2194" t="str">
            <v xml:space="preserve">       </v>
          </cell>
        </row>
        <row r="2195">
          <cell r="C2195" t="str">
            <v>CTF0397</v>
          </cell>
          <cell r="D2195" t="str">
            <v xml:space="preserve">       </v>
          </cell>
        </row>
        <row r="2196">
          <cell r="C2196" t="str">
            <v>CTF0260</v>
          </cell>
          <cell r="D2196" t="str">
            <v xml:space="preserve">       </v>
          </cell>
        </row>
        <row r="2197">
          <cell r="C2197" t="str">
            <v>CTF0396</v>
          </cell>
          <cell r="D2197" t="str">
            <v xml:space="preserve">       </v>
          </cell>
        </row>
        <row r="2198">
          <cell r="C2198" t="str">
            <v>CTF0261</v>
          </cell>
          <cell r="D2198" t="str">
            <v xml:space="preserve">       </v>
          </cell>
        </row>
        <row r="2199">
          <cell r="C2199" t="str">
            <v>CTF0262</v>
          </cell>
          <cell r="D2199" t="str">
            <v xml:space="preserve">       </v>
          </cell>
        </row>
        <row r="2200">
          <cell r="C2200" t="str">
            <v>CTF0263</v>
          </cell>
          <cell r="D2200" t="str">
            <v xml:space="preserve">       </v>
          </cell>
        </row>
        <row r="2201">
          <cell r="C2201" t="str">
            <v>CTF0279</v>
          </cell>
          <cell r="D2201" t="str">
            <v xml:space="preserve">       </v>
          </cell>
        </row>
        <row r="2202">
          <cell r="C2202" t="str">
            <v>CTF0395</v>
          </cell>
          <cell r="D2202" t="str">
            <v xml:space="preserve">       </v>
          </cell>
        </row>
        <row r="2203">
          <cell r="C2203" t="str">
            <v>CTF0394</v>
          </cell>
          <cell r="D2203" t="str">
            <v xml:space="preserve">       </v>
          </cell>
        </row>
        <row r="2204">
          <cell r="C2204" t="str">
            <v>CTF0390</v>
          </cell>
          <cell r="D2204" t="str">
            <v xml:space="preserve">       </v>
          </cell>
        </row>
        <row r="2205">
          <cell r="C2205" t="str">
            <v>CTF0284</v>
          </cell>
          <cell r="D2205" t="str">
            <v xml:space="preserve">       </v>
          </cell>
        </row>
        <row r="2206">
          <cell r="C2206" t="str">
            <v>CTF0389</v>
          </cell>
          <cell r="D2206" t="str">
            <v xml:space="preserve">       </v>
          </cell>
        </row>
        <row r="2207">
          <cell r="C2207" t="str">
            <v>CTF0388</v>
          </cell>
          <cell r="D2207" t="str">
            <v xml:space="preserve">       </v>
          </cell>
        </row>
        <row r="2208">
          <cell r="C2208" t="str">
            <v>CTF0387</v>
          </cell>
          <cell r="D2208" t="str">
            <v xml:space="preserve">       </v>
          </cell>
        </row>
        <row r="2209">
          <cell r="C2209" t="str">
            <v>CTF0386</v>
          </cell>
          <cell r="D2209" t="str">
            <v xml:space="preserve">       </v>
          </cell>
        </row>
        <row r="2210">
          <cell r="C2210" t="str">
            <v>CTF0385</v>
          </cell>
          <cell r="D2210" t="str">
            <v xml:space="preserve">       </v>
          </cell>
        </row>
        <row r="2211">
          <cell r="C2211" t="str">
            <v>CTF0384</v>
          </cell>
          <cell r="D2211" t="str">
            <v xml:space="preserve">       </v>
          </cell>
        </row>
        <row r="2212">
          <cell r="C2212" t="str">
            <v>CTF0383</v>
          </cell>
          <cell r="D2212" t="str">
            <v xml:space="preserve">       </v>
          </cell>
        </row>
        <row r="2213">
          <cell r="C2213" t="str">
            <v>CTF0382</v>
          </cell>
          <cell r="D2213" t="str">
            <v xml:space="preserve">       </v>
          </cell>
        </row>
        <row r="2214">
          <cell r="C2214" t="str">
            <v>CTF0381</v>
          </cell>
          <cell r="D2214" t="str">
            <v xml:space="preserve">       </v>
          </cell>
        </row>
        <row r="2215">
          <cell r="C2215" t="str">
            <v>CTF0380</v>
          </cell>
          <cell r="D2215" t="str">
            <v xml:space="preserve">       </v>
          </cell>
        </row>
        <row r="2216">
          <cell r="C2216" t="str">
            <v>CTF0379</v>
          </cell>
          <cell r="D2216" t="str">
            <v xml:space="preserve">       </v>
          </cell>
        </row>
        <row r="2217">
          <cell r="C2217" t="str">
            <v>CTF0378</v>
          </cell>
          <cell r="D2217" t="str">
            <v xml:space="preserve">       </v>
          </cell>
        </row>
        <row r="2218">
          <cell r="C2218" t="str">
            <v>CTF0377</v>
          </cell>
          <cell r="D2218" t="str">
            <v xml:space="preserve">       </v>
          </cell>
        </row>
        <row r="2219">
          <cell r="C2219" t="str">
            <v>CTF0375</v>
          </cell>
          <cell r="D2219" t="str">
            <v xml:space="preserve">       </v>
          </cell>
        </row>
        <row r="2220">
          <cell r="C2220" t="str">
            <v>CTF0374</v>
          </cell>
          <cell r="D2220" t="str">
            <v xml:space="preserve">       </v>
          </cell>
        </row>
        <row r="2221">
          <cell r="C2221" t="str">
            <v>CTF0373</v>
          </cell>
          <cell r="D2221" t="str">
            <v xml:space="preserve">       </v>
          </cell>
        </row>
        <row r="2222">
          <cell r="C2222" t="str">
            <v>CTF0372</v>
          </cell>
          <cell r="D2222" t="str">
            <v xml:space="preserve">       </v>
          </cell>
        </row>
        <row r="2223">
          <cell r="C2223" t="str">
            <v>CTF0370</v>
          </cell>
          <cell r="D2223" t="str">
            <v xml:space="preserve">       </v>
          </cell>
        </row>
        <row r="2224">
          <cell r="C2224" t="str">
            <v>CTF0369</v>
          </cell>
          <cell r="D2224" t="str">
            <v xml:space="preserve">       </v>
          </cell>
        </row>
        <row r="2225">
          <cell r="C2225" t="str">
            <v>CTF0368</v>
          </cell>
          <cell r="D2225" t="str">
            <v xml:space="preserve">       </v>
          </cell>
        </row>
        <row r="2226">
          <cell r="C2226" t="str">
            <v>CTF0366</v>
          </cell>
          <cell r="D2226" t="str">
            <v xml:space="preserve">       </v>
          </cell>
        </row>
        <row r="2227">
          <cell r="C2227" t="str">
            <v>CTF0352</v>
          </cell>
          <cell r="D2227" t="str">
            <v xml:space="preserve">       </v>
          </cell>
        </row>
        <row r="2228">
          <cell r="C2228" t="str">
            <v>CTF0365</v>
          </cell>
          <cell r="D2228" t="str">
            <v xml:space="preserve">       </v>
          </cell>
        </row>
        <row r="2229">
          <cell r="C2229" t="str">
            <v>CTF0364</v>
          </cell>
          <cell r="D2229" t="str">
            <v xml:space="preserve">       </v>
          </cell>
        </row>
        <row r="2230">
          <cell r="C2230" t="str">
            <v>CTF0363</v>
          </cell>
          <cell r="D2230" t="str">
            <v xml:space="preserve">       </v>
          </cell>
        </row>
        <row r="2231">
          <cell r="C2231" t="str">
            <v>CTF0356</v>
          </cell>
          <cell r="D2231" t="str">
            <v xml:space="preserve">       </v>
          </cell>
        </row>
        <row r="2232">
          <cell r="C2232" t="str">
            <v>CTF0361</v>
          </cell>
          <cell r="D2232" t="str">
            <v xml:space="preserve">       </v>
          </cell>
        </row>
        <row r="2233">
          <cell r="C2233" t="str">
            <v>CTF0360</v>
          </cell>
          <cell r="D2233" t="str">
            <v xml:space="preserve">       </v>
          </cell>
        </row>
        <row r="2234">
          <cell r="C2234" t="str">
            <v>CTF0016</v>
          </cell>
          <cell r="D2234" t="str">
            <v xml:space="preserve">       </v>
          </cell>
        </row>
        <row r="2235">
          <cell r="C2235" t="str">
            <v>CTF0021</v>
          </cell>
          <cell r="D2235" t="str">
            <v xml:space="preserve">       </v>
          </cell>
        </row>
        <row r="2236">
          <cell r="C2236" t="str">
            <v>CTF0027</v>
          </cell>
          <cell r="D2236" t="str">
            <v xml:space="preserve">       </v>
          </cell>
        </row>
        <row r="2237">
          <cell r="C2237" t="str">
            <v>CTF0032</v>
          </cell>
          <cell r="D2237" t="str">
            <v xml:space="preserve">       </v>
          </cell>
        </row>
        <row r="2238">
          <cell r="C2238" t="str">
            <v>CTF0033</v>
          </cell>
          <cell r="D2238" t="str">
            <v xml:space="preserve">       </v>
          </cell>
        </row>
        <row r="2239">
          <cell r="C2239" t="str">
            <v>CTF0037</v>
          </cell>
          <cell r="D2239" t="str">
            <v xml:space="preserve">       </v>
          </cell>
        </row>
        <row r="2240">
          <cell r="C2240" t="str">
            <v>CTF0047</v>
          </cell>
          <cell r="D2240" t="str">
            <v xml:space="preserve">       </v>
          </cell>
        </row>
        <row r="2241">
          <cell r="C2241" t="str">
            <v>CTF0048</v>
          </cell>
          <cell r="D2241" t="str">
            <v xml:space="preserve">       </v>
          </cell>
        </row>
        <row r="2242">
          <cell r="C2242" t="str">
            <v>CTF0049</v>
          </cell>
          <cell r="D2242" t="str">
            <v xml:space="preserve">       </v>
          </cell>
        </row>
        <row r="2243">
          <cell r="C2243" t="str">
            <v>CTF0050</v>
          </cell>
          <cell r="D2243" t="str">
            <v xml:space="preserve">       </v>
          </cell>
        </row>
        <row r="2244">
          <cell r="C2244" t="str">
            <v>CTF0052</v>
          </cell>
          <cell r="D2244" t="str">
            <v xml:space="preserve">       </v>
          </cell>
        </row>
        <row r="2245">
          <cell r="C2245" t="str">
            <v>CTF0053</v>
          </cell>
          <cell r="D2245" t="str">
            <v xml:space="preserve">       </v>
          </cell>
        </row>
        <row r="2246">
          <cell r="C2246" t="str">
            <v>CTF0055</v>
          </cell>
          <cell r="D2246" t="str">
            <v xml:space="preserve">       </v>
          </cell>
        </row>
        <row r="2247">
          <cell r="C2247" t="str">
            <v>CTF0057</v>
          </cell>
          <cell r="D2247" t="str">
            <v xml:space="preserve">       </v>
          </cell>
        </row>
        <row r="2248">
          <cell r="C2248" t="str">
            <v>CTF0059</v>
          </cell>
          <cell r="D2248" t="str">
            <v xml:space="preserve">       </v>
          </cell>
        </row>
        <row r="2249">
          <cell r="C2249" t="str">
            <v>CTF0061</v>
          </cell>
          <cell r="D2249" t="str">
            <v xml:space="preserve">       </v>
          </cell>
        </row>
        <row r="2250">
          <cell r="C2250" t="str">
            <v>CTF0062</v>
          </cell>
          <cell r="D2250" t="str">
            <v xml:space="preserve">       </v>
          </cell>
        </row>
        <row r="2251">
          <cell r="C2251" t="str">
            <v>CTF0065</v>
          </cell>
          <cell r="D2251" t="str">
            <v xml:space="preserve">       </v>
          </cell>
        </row>
        <row r="2252">
          <cell r="C2252" t="str">
            <v>CTF0067</v>
          </cell>
          <cell r="D2252" t="str">
            <v xml:space="preserve">       </v>
          </cell>
        </row>
        <row r="2253">
          <cell r="C2253" t="str">
            <v>CTF0267</v>
          </cell>
          <cell r="D2253" t="str">
            <v xml:space="preserve">       </v>
          </cell>
        </row>
        <row r="2254">
          <cell r="C2254" t="str">
            <v>CTF0071</v>
          </cell>
          <cell r="D2254" t="str">
            <v xml:space="preserve">       </v>
          </cell>
        </row>
        <row r="2255">
          <cell r="C2255" t="str">
            <v>CTF0073</v>
          </cell>
          <cell r="D2255" t="str">
            <v xml:space="preserve">       </v>
          </cell>
        </row>
        <row r="2256">
          <cell r="C2256" t="str">
            <v>CTF0236</v>
          </cell>
          <cell r="D2256" t="str">
            <v xml:space="preserve">       </v>
          </cell>
        </row>
        <row r="2257">
          <cell r="C2257" t="str">
            <v>CTF0074</v>
          </cell>
          <cell r="D2257" t="str">
            <v xml:space="preserve">       </v>
          </cell>
        </row>
        <row r="2258">
          <cell r="C2258" t="str">
            <v>CTF0209</v>
          </cell>
          <cell r="D2258" t="str">
            <v xml:space="preserve">       </v>
          </cell>
        </row>
        <row r="2259">
          <cell r="C2259" t="str">
            <v>CTF0085</v>
          </cell>
          <cell r="D2259" t="str">
            <v xml:space="preserve">       </v>
          </cell>
        </row>
        <row r="2260">
          <cell r="C2260" t="str">
            <v>CTF0089</v>
          </cell>
          <cell r="D2260" t="str">
            <v xml:space="preserve">       </v>
          </cell>
        </row>
        <row r="2261">
          <cell r="C2261" t="str">
            <v>CTF0120</v>
          </cell>
          <cell r="D2261" t="str">
            <v xml:space="preserve">       </v>
          </cell>
        </row>
        <row r="2262">
          <cell r="C2262" t="str">
            <v>CTF0090</v>
          </cell>
          <cell r="D2262" t="str">
            <v xml:space="preserve">       </v>
          </cell>
        </row>
        <row r="2263">
          <cell r="C2263" t="str">
            <v>CTF0091</v>
          </cell>
          <cell r="D2263" t="str">
            <v xml:space="preserve">       </v>
          </cell>
        </row>
        <row r="2264">
          <cell r="C2264" t="str">
            <v>CTF0093</v>
          </cell>
          <cell r="D2264" t="str">
            <v xml:space="preserve">       </v>
          </cell>
        </row>
        <row r="2265">
          <cell r="C2265" t="str">
            <v>CTF0094</v>
          </cell>
          <cell r="D2265" t="str">
            <v xml:space="preserve">       </v>
          </cell>
        </row>
        <row r="2266">
          <cell r="C2266" t="str">
            <v>CTF0095</v>
          </cell>
          <cell r="D2266" t="str">
            <v xml:space="preserve">       </v>
          </cell>
        </row>
        <row r="2267">
          <cell r="C2267" t="str">
            <v>CTF0096</v>
          </cell>
          <cell r="D2267" t="str">
            <v xml:space="preserve">       </v>
          </cell>
        </row>
        <row r="2268">
          <cell r="C2268" t="str">
            <v>CTF0119</v>
          </cell>
          <cell r="D2268" t="str">
            <v xml:space="preserve">       </v>
          </cell>
        </row>
        <row r="2269">
          <cell r="C2269" t="str">
            <v>CTF0098</v>
          </cell>
          <cell r="D2269" t="str">
            <v xml:space="preserve">       </v>
          </cell>
        </row>
        <row r="2270">
          <cell r="C2270" t="str">
            <v>CTF0100</v>
          </cell>
          <cell r="D2270" t="str">
            <v xml:space="preserve">       </v>
          </cell>
        </row>
        <row r="2271">
          <cell r="C2271" t="str">
            <v>CTF0117</v>
          </cell>
          <cell r="D2271" t="str">
            <v xml:space="preserve">       </v>
          </cell>
        </row>
        <row r="2272">
          <cell r="C2272" t="str">
            <v>CTF0106</v>
          </cell>
          <cell r="D2272" t="str">
            <v xml:space="preserve">       </v>
          </cell>
        </row>
        <row r="2273">
          <cell r="C2273" t="str">
            <v>CTF0112</v>
          </cell>
          <cell r="D2273" t="str">
            <v>CTF0112</v>
          </cell>
        </row>
        <row r="2274">
          <cell r="C2274" t="str">
            <v>CTF0107</v>
          </cell>
          <cell r="D2274" t="str">
            <v xml:space="preserve">       </v>
          </cell>
        </row>
        <row r="2275">
          <cell r="C2275" t="str">
            <v>CTF0109</v>
          </cell>
          <cell r="D2275" t="str">
            <v>CTF0109</v>
          </cell>
        </row>
        <row r="2276">
          <cell r="C2276" t="str">
            <v>CTF0012</v>
          </cell>
          <cell r="D2276" t="str">
            <v xml:space="preserve">       </v>
          </cell>
        </row>
        <row r="2277">
          <cell r="C2277" t="str">
            <v>CTF0017</v>
          </cell>
          <cell r="D2277" t="str">
            <v xml:space="preserve">       </v>
          </cell>
        </row>
        <row r="2278">
          <cell r="C2278" t="str">
            <v>CTF0238</v>
          </cell>
          <cell r="D2278" t="str">
            <v xml:space="preserve">       </v>
          </cell>
        </row>
        <row r="2279">
          <cell r="C2279" t="str">
            <v>CTF0022</v>
          </cell>
          <cell r="D2279" t="str">
            <v xml:space="preserve">       </v>
          </cell>
        </row>
        <row r="2280">
          <cell r="C2280" t="str">
            <v>CTF0005</v>
          </cell>
          <cell r="D2280" t="str">
            <v xml:space="preserve">       </v>
          </cell>
        </row>
        <row r="2281">
          <cell r="C2281" t="str">
            <v>CTF0025</v>
          </cell>
          <cell r="D2281" t="str">
            <v xml:space="preserve">       </v>
          </cell>
        </row>
        <row r="2282">
          <cell r="C2282" t="str">
            <v>CTF0428</v>
          </cell>
          <cell r="D2282" t="str">
            <v xml:space="preserve">       </v>
          </cell>
        </row>
        <row r="2283">
          <cell r="C2283" t="str">
            <v>CTF0077</v>
          </cell>
          <cell r="D2283" t="str">
            <v xml:space="preserve">       </v>
          </cell>
        </row>
        <row r="2284">
          <cell r="C2284" t="str">
            <v>CTF0084</v>
          </cell>
          <cell r="D2284" t="str">
            <v xml:space="preserve">       </v>
          </cell>
        </row>
        <row r="2285">
          <cell r="C2285" t="str">
            <v>CTF0009</v>
          </cell>
          <cell r="D2285" t="str">
            <v xml:space="preserve">       </v>
          </cell>
        </row>
        <row r="2286">
          <cell r="C2286" t="str">
            <v>CTF0035</v>
          </cell>
          <cell r="D2286" t="str">
            <v xml:space="preserve">       </v>
          </cell>
        </row>
        <row r="2287">
          <cell r="C2287" t="str">
            <v>CTF0014</v>
          </cell>
          <cell r="D2287" t="str">
            <v xml:space="preserve">       </v>
          </cell>
        </row>
        <row r="2288">
          <cell r="C2288" t="str">
            <v>CTF0003</v>
          </cell>
          <cell r="D2288" t="str">
            <v xml:space="preserve">       </v>
          </cell>
        </row>
        <row r="2289">
          <cell r="C2289" t="str">
            <v>CTF0264</v>
          </cell>
          <cell r="D2289" t="str">
            <v xml:space="preserve">       </v>
          </cell>
        </row>
        <row r="2290">
          <cell r="C2290" t="str">
            <v>CTF0277</v>
          </cell>
          <cell r="D2290" t="str">
            <v xml:space="preserve">       </v>
          </cell>
        </row>
        <row r="2291">
          <cell r="C2291" t="str">
            <v>CTF0265</v>
          </cell>
          <cell r="D2291" t="str">
            <v xml:space="preserve">       </v>
          </cell>
        </row>
        <row r="2292">
          <cell r="C2292" t="str">
            <v>CTF0266</v>
          </cell>
          <cell r="D2292" t="str">
            <v xml:space="preserve">       </v>
          </cell>
        </row>
        <row r="2293">
          <cell r="C2293" t="str">
            <v>CTF0268</v>
          </cell>
          <cell r="D2293" t="str">
            <v xml:space="preserve">       </v>
          </cell>
        </row>
        <row r="2294">
          <cell r="C2294" t="str">
            <v>CTF0269</v>
          </cell>
          <cell r="D2294" t="str">
            <v xml:space="preserve">       </v>
          </cell>
        </row>
        <row r="2295">
          <cell r="C2295" t="str">
            <v>CTF0270</v>
          </cell>
          <cell r="D2295" t="str">
            <v xml:space="preserve">       </v>
          </cell>
        </row>
        <row r="2296">
          <cell r="C2296" t="str">
            <v>CTF0271</v>
          </cell>
          <cell r="D2296" t="str">
            <v xml:space="preserve">       </v>
          </cell>
        </row>
        <row r="2297">
          <cell r="C2297" t="str">
            <v>CTF0272</v>
          </cell>
          <cell r="D2297" t="str">
            <v xml:space="preserve">       </v>
          </cell>
        </row>
        <row r="2298">
          <cell r="C2298" t="str">
            <v>CTF0274</v>
          </cell>
          <cell r="D2298" t="str">
            <v xml:space="preserve">       </v>
          </cell>
        </row>
        <row r="2299">
          <cell r="C2299" t="str">
            <v>CTF0273</v>
          </cell>
          <cell r="D2299" t="str">
            <v xml:space="preserve">       </v>
          </cell>
        </row>
        <row r="2300">
          <cell r="C2300" t="str">
            <v>CTF0276</v>
          </cell>
          <cell r="D2300" t="str">
            <v xml:space="preserve">       </v>
          </cell>
        </row>
        <row r="2301">
          <cell r="C2301" t="str">
            <v>CTF0019</v>
          </cell>
          <cell r="D2301" t="str">
            <v xml:space="preserve">       </v>
          </cell>
        </row>
        <row r="2302">
          <cell r="C2302" t="str">
            <v>CTF0023</v>
          </cell>
          <cell r="D2302" t="str">
            <v xml:space="preserve">       </v>
          </cell>
        </row>
        <row r="2303">
          <cell r="C2303" t="str">
            <v>CTF0039</v>
          </cell>
          <cell r="D2303" t="str">
            <v xml:space="preserve">       </v>
          </cell>
        </row>
        <row r="2304">
          <cell r="C2304" t="str">
            <v>CTF0040</v>
          </cell>
          <cell r="D2304" t="str">
            <v xml:space="preserve">       </v>
          </cell>
        </row>
        <row r="2305">
          <cell r="C2305" t="str">
            <v>CTF0429</v>
          </cell>
          <cell r="D2305" t="str">
            <v xml:space="preserve">       </v>
          </cell>
        </row>
        <row r="2306">
          <cell r="C2306" t="str">
            <v>CTF0081</v>
          </cell>
          <cell r="D2306" t="str">
            <v xml:space="preserve">       </v>
          </cell>
        </row>
        <row r="2307">
          <cell r="C2307" t="str">
            <v>CTF0086</v>
          </cell>
          <cell r="D2307" t="str">
            <v xml:space="preserve">       </v>
          </cell>
        </row>
        <row r="2308">
          <cell r="C2308" t="str">
            <v>CTF0114</v>
          </cell>
          <cell r="D2308" t="str">
            <v xml:space="preserve">       </v>
          </cell>
        </row>
        <row r="2309">
          <cell r="C2309" t="str">
            <v>CTF0102</v>
          </cell>
          <cell r="D2309" t="str">
            <v xml:space="preserve">       </v>
          </cell>
        </row>
        <row r="2310">
          <cell r="C2310" t="str">
            <v>CTF0430</v>
          </cell>
          <cell r="D2310" t="str">
            <v xml:space="preserve">       </v>
          </cell>
        </row>
        <row r="2311">
          <cell r="C2311" t="str">
            <v>CTF0038</v>
          </cell>
          <cell r="D2311" t="str">
            <v xml:space="preserve">       </v>
          </cell>
        </row>
        <row r="2312">
          <cell r="C2312" t="str">
            <v>CTF0030</v>
          </cell>
          <cell r="D2312" t="str">
            <v xml:space="preserve">       </v>
          </cell>
        </row>
        <row r="2313">
          <cell r="C2313" t="str">
            <v>CTF0024</v>
          </cell>
          <cell r="D2313" t="str">
            <v xml:space="preserve">       </v>
          </cell>
        </row>
        <row r="2314">
          <cell r="C2314" t="str">
            <v>CTF0028</v>
          </cell>
          <cell r="D2314" t="str">
            <v xml:space="preserve">       </v>
          </cell>
        </row>
        <row r="2315">
          <cell r="C2315" t="str">
            <v>CTF0007</v>
          </cell>
          <cell r="D2315" t="str">
            <v xml:space="preserve">       </v>
          </cell>
        </row>
        <row r="2316">
          <cell r="C2316" t="str">
            <v>CTF0041</v>
          </cell>
          <cell r="D2316" t="str">
            <v xml:space="preserve">       </v>
          </cell>
        </row>
        <row r="2317">
          <cell r="C2317" t="str">
            <v>CTF0072</v>
          </cell>
          <cell r="D2317" t="str">
            <v xml:space="preserve">       </v>
          </cell>
        </row>
        <row r="2318">
          <cell r="C2318" t="str">
            <v>CTF0110</v>
          </cell>
          <cell r="D2318" t="str">
            <v xml:space="preserve">       </v>
          </cell>
        </row>
        <row r="2319">
          <cell r="C2319" t="str">
            <v>CTF0063</v>
          </cell>
          <cell r="D2319" t="str">
            <v xml:space="preserve">       </v>
          </cell>
        </row>
        <row r="2320">
          <cell r="C2320" t="str">
            <v>CTF0078</v>
          </cell>
          <cell r="D2320" t="str">
            <v xml:space="preserve">       </v>
          </cell>
        </row>
        <row r="2321">
          <cell r="C2321" t="str">
            <v>CTF0002</v>
          </cell>
          <cell r="D2321" t="str">
            <v xml:space="preserve">       </v>
          </cell>
        </row>
        <row r="2322">
          <cell r="C2322" t="str">
            <v>CTF0008</v>
          </cell>
          <cell r="D2322" t="str">
            <v xml:space="preserve">       </v>
          </cell>
        </row>
        <row r="2323">
          <cell r="C2323" t="str">
            <v>CTF0103</v>
          </cell>
          <cell r="D2323" t="str">
            <v xml:space="preserve">       </v>
          </cell>
        </row>
        <row r="2324">
          <cell r="C2324" t="str">
            <v>CTF0011</v>
          </cell>
          <cell r="D2324" t="str">
            <v xml:space="preserve">       </v>
          </cell>
        </row>
        <row r="2325">
          <cell r="C2325" t="str">
            <v>CTF0111</v>
          </cell>
          <cell r="D2325" t="str">
            <v xml:space="preserve">       </v>
          </cell>
        </row>
        <row r="2326">
          <cell r="C2326" t="str">
            <v>CTF0080</v>
          </cell>
          <cell r="D2326" t="str">
            <v xml:space="preserve">       </v>
          </cell>
        </row>
        <row r="2327">
          <cell r="C2327" t="str">
            <v>CTF0097</v>
          </cell>
          <cell r="D2327" t="str">
            <v xml:space="preserve">       </v>
          </cell>
        </row>
        <row r="2328">
          <cell r="C2328" t="str">
            <v>CTF0116</v>
          </cell>
          <cell r="D2328" t="str">
            <v xml:space="preserve">       </v>
          </cell>
        </row>
        <row r="2329">
          <cell r="C2329" t="str">
            <v>CTF0082</v>
          </cell>
          <cell r="D2329" t="str">
            <v xml:space="preserve">       </v>
          </cell>
        </row>
        <row r="2330">
          <cell r="C2330" t="str">
            <v>CTF0051</v>
          </cell>
          <cell r="D2330" t="str">
            <v xml:space="preserve">       </v>
          </cell>
        </row>
        <row r="2331">
          <cell r="C2331" t="str">
            <v>CTF0432</v>
          </cell>
          <cell r="D2331" t="str">
            <v xml:space="preserve">       </v>
          </cell>
        </row>
        <row r="2332">
          <cell r="C2332" t="str">
            <v>CTF0013</v>
          </cell>
          <cell r="D2332" t="str">
            <v xml:space="preserve">       </v>
          </cell>
        </row>
        <row r="2333">
          <cell r="C2333" t="str">
            <v>CTF0105</v>
          </cell>
          <cell r="D2333" t="str">
            <v xml:space="preserve">       </v>
          </cell>
        </row>
        <row r="2334">
          <cell r="C2334" t="str">
            <v>CTF0066</v>
          </cell>
          <cell r="D2334" t="str">
            <v xml:space="preserve">       </v>
          </cell>
        </row>
        <row r="2335">
          <cell r="C2335" t="str">
            <v>CTF0064</v>
          </cell>
          <cell r="D2335" t="str">
            <v xml:space="preserve">       </v>
          </cell>
        </row>
        <row r="2336">
          <cell r="C2336" t="str">
            <v>CTF0069</v>
          </cell>
          <cell r="D2336" t="str">
            <v xml:space="preserve">       </v>
          </cell>
        </row>
        <row r="2337">
          <cell r="C2337" t="str">
            <v>CTF0015</v>
          </cell>
          <cell r="D2337" t="str">
            <v xml:space="preserve">       </v>
          </cell>
        </row>
        <row r="2338">
          <cell r="C2338" t="str">
            <v>CTF0026</v>
          </cell>
          <cell r="D2338" t="str">
            <v xml:space="preserve">       </v>
          </cell>
        </row>
        <row r="2339">
          <cell r="C2339" t="str">
            <v>CTF0058</v>
          </cell>
          <cell r="D2339" t="str">
            <v xml:space="preserve">       </v>
          </cell>
        </row>
        <row r="2340">
          <cell r="C2340" t="str">
            <v>CTF0083</v>
          </cell>
          <cell r="D2340" t="str">
            <v xml:space="preserve">       </v>
          </cell>
        </row>
        <row r="2341">
          <cell r="C2341" t="str">
            <v>CTF0115</v>
          </cell>
          <cell r="D2341" t="str">
            <v xml:space="preserve">       </v>
          </cell>
        </row>
        <row r="2342">
          <cell r="C2342" t="str">
            <v>CTF0068</v>
          </cell>
          <cell r="D2342" t="str">
            <v xml:space="preserve">       </v>
          </cell>
        </row>
        <row r="2343">
          <cell r="C2343" t="str">
            <v>CTF0006</v>
          </cell>
          <cell r="D2343" t="str">
            <v xml:space="preserve">       </v>
          </cell>
        </row>
        <row r="2344">
          <cell r="C2344" t="str">
            <v>CTF0036</v>
          </cell>
          <cell r="D2344" t="str">
            <v xml:space="preserve">       </v>
          </cell>
        </row>
        <row r="2345">
          <cell r="C2345" t="str">
            <v>CTF0018</v>
          </cell>
          <cell r="D2345" t="str">
            <v xml:space="preserve">       </v>
          </cell>
        </row>
        <row r="2346">
          <cell r="C2346" t="str">
            <v>CTF0031</v>
          </cell>
          <cell r="D2346" t="str">
            <v xml:space="preserve">       </v>
          </cell>
        </row>
        <row r="2347">
          <cell r="C2347" t="str">
            <v>CTF0043</v>
          </cell>
          <cell r="D2347" t="str">
            <v xml:space="preserve">       </v>
          </cell>
        </row>
        <row r="2348">
          <cell r="C2348" t="str">
            <v>CTF0104</v>
          </cell>
          <cell r="D2348" t="str">
            <v xml:space="preserve">       </v>
          </cell>
        </row>
        <row r="2349">
          <cell r="C2349" t="str">
            <v>CTF0099</v>
          </cell>
          <cell r="D2349" t="str">
            <v xml:space="preserve">       </v>
          </cell>
        </row>
        <row r="2350">
          <cell r="C2350" t="str">
            <v>CTF0434</v>
          </cell>
          <cell r="D2350" t="str">
            <v xml:space="preserve">       </v>
          </cell>
        </row>
        <row r="2351">
          <cell r="C2351" t="str">
            <v>CTF0433</v>
          </cell>
          <cell r="D2351" t="str">
            <v xml:space="preserve">       </v>
          </cell>
        </row>
        <row r="2352">
          <cell r="C2352" t="str">
            <v>CTR0424</v>
          </cell>
          <cell r="D2352" t="str">
            <v xml:space="preserve">       </v>
          </cell>
        </row>
        <row r="2353">
          <cell r="C2353" t="str">
            <v>CTR0423</v>
          </cell>
          <cell r="D2353" t="str">
            <v xml:space="preserve">       </v>
          </cell>
        </row>
        <row r="2354">
          <cell r="C2354" t="str">
            <v>CTR0422</v>
          </cell>
          <cell r="D2354" t="str">
            <v xml:space="preserve">       </v>
          </cell>
        </row>
        <row r="2355">
          <cell r="C2355" t="str">
            <v>CTR0421</v>
          </cell>
          <cell r="D2355" t="str">
            <v xml:space="preserve">       </v>
          </cell>
        </row>
        <row r="2356">
          <cell r="C2356" t="str">
            <v>CTR0420</v>
          </cell>
          <cell r="D2356" t="str">
            <v xml:space="preserve">       </v>
          </cell>
        </row>
        <row r="2357">
          <cell r="C2357" t="str">
            <v>CTR0419</v>
          </cell>
          <cell r="D2357" t="str">
            <v xml:space="preserve">       </v>
          </cell>
        </row>
        <row r="2358">
          <cell r="C2358" t="str">
            <v>CTR0418</v>
          </cell>
          <cell r="D2358" t="str">
            <v xml:space="preserve">       </v>
          </cell>
        </row>
        <row r="2359">
          <cell r="C2359" t="str">
            <v>CTR0417</v>
          </cell>
          <cell r="D2359" t="str">
            <v xml:space="preserve">       </v>
          </cell>
        </row>
        <row r="2360">
          <cell r="C2360" t="str">
            <v>CTR0416</v>
          </cell>
          <cell r="D2360" t="str">
            <v xml:space="preserve">       </v>
          </cell>
        </row>
        <row r="2361">
          <cell r="C2361" t="str">
            <v>CTR0415</v>
          </cell>
          <cell r="D2361" t="str">
            <v xml:space="preserve">       </v>
          </cell>
        </row>
        <row r="2362">
          <cell r="C2362" t="str">
            <v>CTR0414</v>
          </cell>
          <cell r="D2362" t="str">
            <v xml:space="preserve">       </v>
          </cell>
        </row>
        <row r="2363">
          <cell r="C2363" t="str">
            <v>CTR0413</v>
          </cell>
          <cell r="D2363" t="str">
            <v xml:space="preserve">       </v>
          </cell>
        </row>
        <row r="2364">
          <cell r="C2364" t="str">
            <v>CTR0412</v>
          </cell>
          <cell r="D2364" t="str">
            <v xml:space="preserve">       </v>
          </cell>
        </row>
        <row r="2365">
          <cell r="C2365" t="str">
            <v>CTR0411</v>
          </cell>
          <cell r="D2365" t="str">
            <v xml:space="preserve">       </v>
          </cell>
        </row>
        <row r="2366">
          <cell r="C2366" t="str">
            <v>CTR0410</v>
          </cell>
          <cell r="D2366" t="str">
            <v xml:space="preserve">       </v>
          </cell>
        </row>
        <row r="2367">
          <cell r="C2367" t="str">
            <v>CTR0409</v>
          </cell>
          <cell r="D2367" t="str">
            <v xml:space="preserve">       </v>
          </cell>
        </row>
        <row r="2368">
          <cell r="C2368" t="str">
            <v>CTR0408</v>
          </cell>
          <cell r="D2368" t="str">
            <v xml:space="preserve">       </v>
          </cell>
        </row>
        <row r="2369">
          <cell r="C2369" t="str">
            <v>CTR0407</v>
          </cell>
          <cell r="D2369" t="str">
            <v xml:space="preserve">       </v>
          </cell>
        </row>
        <row r="2370">
          <cell r="C2370" t="str">
            <v>CTR0406</v>
          </cell>
          <cell r="D2370" t="str">
            <v xml:space="preserve">       </v>
          </cell>
        </row>
        <row r="2371">
          <cell r="C2371" t="str">
            <v>CTR0405</v>
          </cell>
          <cell r="D2371" t="str">
            <v xml:space="preserve">       </v>
          </cell>
        </row>
        <row r="2372">
          <cell r="C2372" t="str">
            <v>CTR0393</v>
          </cell>
          <cell r="D2372" t="str">
            <v xml:space="preserve">       </v>
          </cell>
        </row>
        <row r="2373">
          <cell r="C2373" t="str">
            <v>CTR0392</v>
          </cell>
          <cell r="D2373" t="str">
            <v xml:space="preserve">       </v>
          </cell>
        </row>
        <row r="2374">
          <cell r="C2374" t="str">
            <v>CTF0392</v>
          </cell>
          <cell r="D2374" t="str">
            <v xml:space="preserve">       </v>
          </cell>
        </row>
        <row r="2375">
          <cell r="C2375" t="str">
            <v>COU5433</v>
          </cell>
          <cell r="D2375" t="str">
            <v>COU5433</v>
          </cell>
        </row>
        <row r="2376">
          <cell r="C2376" t="str">
            <v>COV7403</v>
          </cell>
          <cell r="D2376" t="str">
            <v>COV7403</v>
          </cell>
        </row>
        <row r="2377">
          <cell r="C2377" t="str">
            <v>COW8564</v>
          </cell>
          <cell r="D2377" t="str">
            <v>COW8564</v>
          </cell>
        </row>
        <row r="2378">
          <cell r="C2378" t="str">
            <v>COW6559</v>
          </cell>
          <cell r="D2378" t="str">
            <v>COW6559</v>
          </cell>
        </row>
        <row r="2379">
          <cell r="C2379" t="str">
            <v>COZ0506</v>
          </cell>
          <cell r="D2379" t="str">
            <v>COZ0506</v>
          </cell>
        </row>
        <row r="2380">
          <cell r="C2380" t="str">
            <v>CPE2836</v>
          </cell>
          <cell r="D2380" t="str">
            <v>CPE2836</v>
          </cell>
        </row>
        <row r="2381">
          <cell r="C2381" t="str">
            <v>CPF1041</v>
          </cell>
          <cell r="D2381" t="str">
            <v>CPF1041</v>
          </cell>
        </row>
        <row r="2382">
          <cell r="C2382" t="str">
            <v>CPF2040</v>
          </cell>
          <cell r="D2382" t="str">
            <v>CPF2040</v>
          </cell>
        </row>
        <row r="2383">
          <cell r="C2383" t="str">
            <v>CPF2976</v>
          </cell>
          <cell r="D2383" t="str">
            <v>CPF2976</v>
          </cell>
        </row>
        <row r="2384">
          <cell r="C2384" t="str">
            <v>CPF6J35</v>
          </cell>
          <cell r="D2384" t="str">
            <v>CPF6J35</v>
          </cell>
        </row>
        <row r="2385">
          <cell r="C2385" t="str">
            <v>CPG3131</v>
          </cell>
          <cell r="D2385" t="str">
            <v>CPG3131</v>
          </cell>
        </row>
        <row r="2386">
          <cell r="C2386" t="str">
            <v>CPG0571</v>
          </cell>
          <cell r="D2386" t="str">
            <v>CPG0571</v>
          </cell>
        </row>
        <row r="2387">
          <cell r="C2387" t="str">
            <v>CPI9124</v>
          </cell>
          <cell r="D2387" t="str">
            <v>CPI9124</v>
          </cell>
        </row>
        <row r="2388">
          <cell r="C2388" t="str">
            <v>CPI3C23</v>
          </cell>
          <cell r="D2388" t="str">
            <v>CPI3C23</v>
          </cell>
        </row>
        <row r="2389">
          <cell r="C2389" t="str">
            <v>CPI7077</v>
          </cell>
          <cell r="D2389" t="str">
            <v>CPI7077</v>
          </cell>
        </row>
        <row r="2390">
          <cell r="C2390" t="str">
            <v>CPI8224</v>
          </cell>
          <cell r="D2390" t="str">
            <v>CPI8224</v>
          </cell>
        </row>
        <row r="2391">
          <cell r="C2391" t="str">
            <v>CPI8579</v>
          </cell>
          <cell r="D2391" t="str">
            <v>CPI8579</v>
          </cell>
        </row>
        <row r="2392">
          <cell r="C2392" t="str">
            <v>CPI8610</v>
          </cell>
          <cell r="D2392" t="str">
            <v>CPI8610</v>
          </cell>
        </row>
        <row r="2393">
          <cell r="C2393" t="str">
            <v>CPI8J49</v>
          </cell>
          <cell r="D2393" t="str">
            <v>CPI8J49</v>
          </cell>
        </row>
        <row r="2394">
          <cell r="C2394" t="str">
            <v>CPI9151</v>
          </cell>
          <cell r="D2394" t="str">
            <v>CPI9151</v>
          </cell>
        </row>
        <row r="2395">
          <cell r="C2395" t="str">
            <v>CPI9264</v>
          </cell>
          <cell r="D2395" t="str">
            <v>CPI9264</v>
          </cell>
        </row>
        <row r="2396">
          <cell r="C2396" t="str">
            <v>CPJ0101</v>
          </cell>
          <cell r="D2396" t="str">
            <v>CPJ0101</v>
          </cell>
        </row>
        <row r="2397">
          <cell r="C2397" t="str">
            <v>CPJ0150</v>
          </cell>
          <cell r="D2397" t="str">
            <v>CPJ0150</v>
          </cell>
        </row>
        <row r="2398">
          <cell r="C2398" t="str">
            <v>CPJ0357</v>
          </cell>
          <cell r="D2398" t="str">
            <v>CPJ0357</v>
          </cell>
        </row>
        <row r="2399">
          <cell r="C2399" t="str">
            <v>CPJ1B59</v>
          </cell>
          <cell r="D2399" t="str">
            <v>CBJ1B59</v>
          </cell>
        </row>
        <row r="2400">
          <cell r="C2400" t="str">
            <v>CPJ3074</v>
          </cell>
          <cell r="D2400" t="str">
            <v>CPJ3074</v>
          </cell>
        </row>
        <row r="2401">
          <cell r="C2401" t="str">
            <v>CPJ3210</v>
          </cell>
          <cell r="D2401" t="str">
            <v>CPJ3210</v>
          </cell>
        </row>
        <row r="2402">
          <cell r="C2402" t="str">
            <v>CPJ3347</v>
          </cell>
          <cell r="D2402" t="str">
            <v>CPJ3347</v>
          </cell>
        </row>
        <row r="2403">
          <cell r="C2403" t="str">
            <v>CPJ4I63</v>
          </cell>
          <cell r="D2403" t="str">
            <v>CPJ4I63</v>
          </cell>
        </row>
        <row r="2404">
          <cell r="C2404" t="str">
            <v>CPJ5614</v>
          </cell>
          <cell r="D2404" t="str">
            <v>CPJ5614</v>
          </cell>
        </row>
        <row r="2405">
          <cell r="C2405" t="str">
            <v>CPL2128</v>
          </cell>
          <cell r="D2405" t="str">
            <v>CPL2128</v>
          </cell>
        </row>
        <row r="2406">
          <cell r="C2406" t="str">
            <v>CPL3114</v>
          </cell>
          <cell r="D2406" t="str">
            <v>CPL3114</v>
          </cell>
        </row>
        <row r="2407">
          <cell r="C2407" t="str">
            <v>CPM3178</v>
          </cell>
          <cell r="D2407" t="str">
            <v>CPM3178</v>
          </cell>
        </row>
        <row r="2408">
          <cell r="C2408" t="str">
            <v>CPN0944</v>
          </cell>
          <cell r="D2408" t="str">
            <v>CPN0944</v>
          </cell>
        </row>
        <row r="2409">
          <cell r="C2409" t="str">
            <v>CPN1654</v>
          </cell>
          <cell r="D2409" t="str">
            <v>CPN1654</v>
          </cell>
        </row>
        <row r="2410">
          <cell r="C2410" t="str">
            <v>CPN1G54</v>
          </cell>
          <cell r="D2410" t="str">
            <v>CPN1G54</v>
          </cell>
        </row>
        <row r="2411">
          <cell r="C2411" t="str">
            <v>CPN2908</v>
          </cell>
          <cell r="D2411" t="str">
            <v>CPN2908</v>
          </cell>
        </row>
        <row r="2412">
          <cell r="C2412" t="str">
            <v>CPN3313</v>
          </cell>
          <cell r="D2412" t="str">
            <v>CPN3313</v>
          </cell>
        </row>
        <row r="2413">
          <cell r="C2413" t="str">
            <v>CPN5100</v>
          </cell>
          <cell r="D2413" t="str">
            <v>CPN5100</v>
          </cell>
        </row>
        <row r="2414">
          <cell r="C2414" t="str">
            <v>CPN6250</v>
          </cell>
          <cell r="D2414" t="str">
            <v>CPN6250</v>
          </cell>
        </row>
        <row r="2415">
          <cell r="C2415" t="str">
            <v>CPN6575</v>
          </cell>
          <cell r="D2415" t="str">
            <v>CPN6575</v>
          </cell>
        </row>
        <row r="2416">
          <cell r="C2416" t="str">
            <v>CPS3688</v>
          </cell>
          <cell r="D2416" t="str">
            <v>CPS3688</v>
          </cell>
        </row>
        <row r="2417">
          <cell r="C2417" t="str">
            <v>CPT2365</v>
          </cell>
          <cell r="D2417" t="str">
            <v>CPT2365</v>
          </cell>
        </row>
        <row r="2418">
          <cell r="C2418" t="str">
            <v>CPT6934</v>
          </cell>
          <cell r="D2418" t="str">
            <v>CPT6934</v>
          </cell>
        </row>
        <row r="2419">
          <cell r="C2419" t="str">
            <v>CPT8369</v>
          </cell>
          <cell r="D2419" t="str">
            <v>CPT8369</v>
          </cell>
        </row>
        <row r="2420">
          <cell r="C2420" t="str">
            <v>CPX1401</v>
          </cell>
          <cell r="D2420" t="str">
            <v>CPX1401</v>
          </cell>
        </row>
        <row r="2421">
          <cell r="C2421" t="str">
            <v>CQA9122</v>
          </cell>
          <cell r="D2421" t="str">
            <v>CQA9122</v>
          </cell>
        </row>
        <row r="2422">
          <cell r="C2422" t="str">
            <v>CQD5359</v>
          </cell>
          <cell r="D2422" t="str">
            <v>CQD5359</v>
          </cell>
        </row>
        <row r="2423">
          <cell r="C2423" t="str">
            <v>CQD5542</v>
          </cell>
          <cell r="D2423" t="str">
            <v>CQD5542</v>
          </cell>
        </row>
        <row r="2424">
          <cell r="C2424" t="str">
            <v>CQD9251</v>
          </cell>
          <cell r="D2424" t="str">
            <v>CQD9251</v>
          </cell>
        </row>
        <row r="2425">
          <cell r="C2425" t="str">
            <v>CQF6330</v>
          </cell>
          <cell r="D2425" t="str">
            <v>CQF6330</v>
          </cell>
        </row>
        <row r="2426">
          <cell r="C2426" t="str">
            <v>CQG1065</v>
          </cell>
          <cell r="D2426" t="str">
            <v>CQG1065</v>
          </cell>
        </row>
        <row r="2427">
          <cell r="C2427" t="str">
            <v>CQH7041</v>
          </cell>
          <cell r="D2427" t="str">
            <v>CQH7041</v>
          </cell>
        </row>
        <row r="2428">
          <cell r="C2428" t="str">
            <v>CQH0322</v>
          </cell>
          <cell r="D2428" t="str">
            <v>CQH0322</v>
          </cell>
        </row>
        <row r="2429">
          <cell r="C2429" t="str">
            <v>CQH7168</v>
          </cell>
          <cell r="D2429" t="str">
            <v>CQH7168</v>
          </cell>
        </row>
        <row r="2430">
          <cell r="C2430" t="str">
            <v>CQJ6462</v>
          </cell>
          <cell r="D2430" t="str">
            <v>CQJ6462</v>
          </cell>
        </row>
        <row r="2431">
          <cell r="C2431" t="str">
            <v>CQK2214</v>
          </cell>
          <cell r="D2431" t="str">
            <v>CQK2214</v>
          </cell>
        </row>
        <row r="2432">
          <cell r="C2432" t="str">
            <v>CQV5233</v>
          </cell>
          <cell r="D2432" t="str">
            <v>CQV5233</v>
          </cell>
        </row>
        <row r="2433">
          <cell r="C2433" t="str">
            <v>CQV7676</v>
          </cell>
          <cell r="D2433" t="str">
            <v>CQV7676</v>
          </cell>
        </row>
        <row r="2434">
          <cell r="C2434" t="str">
            <v>CRE1903</v>
          </cell>
          <cell r="D2434" t="str">
            <v>CRE1903</v>
          </cell>
        </row>
        <row r="2435">
          <cell r="C2435" t="str">
            <v>CRE1933</v>
          </cell>
          <cell r="D2435" t="str">
            <v>CRE1933</v>
          </cell>
        </row>
        <row r="2436">
          <cell r="C2436" t="str">
            <v>CRE3823</v>
          </cell>
          <cell r="D2436" t="str">
            <v>CRE3823</v>
          </cell>
        </row>
        <row r="2437">
          <cell r="C2437" t="str">
            <v>CRG2563</v>
          </cell>
          <cell r="D2437" t="str">
            <v>CRG2563</v>
          </cell>
        </row>
        <row r="2438">
          <cell r="C2438" t="str">
            <v>CRH5708</v>
          </cell>
          <cell r="D2438" t="str">
            <v>CRH5708</v>
          </cell>
        </row>
        <row r="2439">
          <cell r="C2439" t="str">
            <v>CRI3102</v>
          </cell>
          <cell r="D2439" t="str">
            <v>CRI3102</v>
          </cell>
        </row>
        <row r="2440">
          <cell r="C2440" t="str">
            <v>EWU5674</v>
          </cell>
          <cell r="D2440" t="str">
            <v>EWU5674</v>
          </cell>
        </row>
        <row r="2441">
          <cell r="C2441" t="str">
            <v>CRJ0808</v>
          </cell>
          <cell r="D2441" t="str">
            <v>CRJ0808</v>
          </cell>
        </row>
        <row r="2442">
          <cell r="C2442" t="str">
            <v>CRN6712</v>
          </cell>
          <cell r="D2442" t="str">
            <v>CRN6712</v>
          </cell>
        </row>
        <row r="2443">
          <cell r="C2443" t="str">
            <v>CRQ7439</v>
          </cell>
          <cell r="D2443" t="str">
            <v>CRQ7439</v>
          </cell>
        </row>
        <row r="2444">
          <cell r="C2444" t="str">
            <v>CRT3799</v>
          </cell>
          <cell r="D2444" t="str">
            <v>CRT3799</v>
          </cell>
        </row>
        <row r="2445">
          <cell r="C2445" t="str">
            <v>CRT2688</v>
          </cell>
          <cell r="D2445" t="str">
            <v>CRT2688</v>
          </cell>
        </row>
        <row r="2446">
          <cell r="C2446" t="str">
            <v>CRY3125</v>
          </cell>
          <cell r="D2446" t="str">
            <v>CRY3125</v>
          </cell>
        </row>
        <row r="2447">
          <cell r="C2447" t="str">
            <v>CRY3225</v>
          </cell>
          <cell r="D2447" t="str">
            <v>CRY3225</v>
          </cell>
        </row>
        <row r="2448">
          <cell r="C2448" t="str">
            <v>CRY6F78</v>
          </cell>
          <cell r="D2448" t="str">
            <v>CRY6F78</v>
          </cell>
        </row>
        <row r="2449">
          <cell r="C2449" t="str">
            <v>CSE2686</v>
          </cell>
          <cell r="D2449" t="str">
            <v>CSE2686</v>
          </cell>
        </row>
        <row r="2450">
          <cell r="C2450" t="str">
            <v>CSK3249</v>
          </cell>
          <cell r="D2450" t="str">
            <v>CSK3249</v>
          </cell>
        </row>
        <row r="2451">
          <cell r="C2451" t="str">
            <v>CSK4A53</v>
          </cell>
          <cell r="D2451" t="str">
            <v>CSK4A53</v>
          </cell>
        </row>
        <row r="2452">
          <cell r="C2452" t="str">
            <v>CSK7223</v>
          </cell>
          <cell r="D2452" t="str">
            <v>CSK7223</v>
          </cell>
        </row>
        <row r="2453">
          <cell r="C2453" t="str">
            <v>CSQ2567</v>
          </cell>
          <cell r="D2453" t="str">
            <v>CSQ2567</v>
          </cell>
        </row>
        <row r="2454">
          <cell r="C2454" t="str">
            <v>CST6B31</v>
          </cell>
          <cell r="D2454" t="str">
            <v>CST6B31</v>
          </cell>
        </row>
        <row r="2455">
          <cell r="C2455" t="str">
            <v>CSY5023</v>
          </cell>
          <cell r="D2455" t="str">
            <v>CSY5023</v>
          </cell>
        </row>
        <row r="2456">
          <cell r="C2456" t="str">
            <v>CTB2671</v>
          </cell>
          <cell r="D2456" t="str">
            <v>CTB2671</v>
          </cell>
        </row>
        <row r="2457">
          <cell r="C2457" t="str">
            <v>CTH5112</v>
          </cell>
          <cell r="D2457" t="str">
            <v>CTH5112</v>
          </cell>
        </row>
        <row r="2458">
          <cell r="C2458" t="str">
            <v>CTP5388</v>
          </cell>
          <cell r="D2458" t="str">
            <v>CTP5388</v>
          </cell>
        </row>
        <row r="2459">
          <cell r="C2459" t="str">
            <v>CTS1636</v>
          </cell>
          <cell r="D2459" t="str">
            <v>CTS1636</v>
          </cell>
        </row>
        <row r="2460">
          <cell r="C2460" t="str">
            <v>CTZ1636</v>
          </cell>
          <cell r="D2460" t="str">
            <v>CTZ1636</v>
          </cell>
        </row>
        <row r="2461">
          <cell r="C2461" t="str">
            <v>CUA9957</v>
          </cell>
          <cell r="D2461" t="str">
            <v>CUA9957</v>
          </cell>
        </row>
        <row r="2462">
          <cell r="C2462" t="str">
            <v>CUB 8665</v>
          </cell>
          <cell r="D2462" t="str">
            <v>CUB8665</v>
          </cell>
        </row>
        <row r="2463">
          <cell r="C2463" t="str">
            <v>CUB1929</v>
          </cell>
          <cell r="D2463" t="str">
            <v>CUB1929</v>
          </cell>
        </row>
        <row r="2464">
          <cell r="C2464" t="str">
            <v>CUC8798</v>
          </cell>
          <cell r="D2464" t="str">
            <v>CUC8798</v>
          </cell>
        </row>
        <row r="2465">
          <cell r="C2465" t="str">
            <v>CUC9618</v>
          </cell>
          <cell r="D2465" t="str">
            <v>CUC9618</v>
          </cell>
        </row>
        <row r="2466">
          <cell r="C2466" t="str">
            <v>CUC1213</v>
          </cell>
          <cell r="D2466" t="str">
            <v>CUC1213</v>
          </cell>
        </row>
        <row r="2467">
          <cell r="C2467" t="str">
            <v>CUC6A03</v>
          </cell>
          <cell r="D2467" t="str">
            <v>CUC6A03</v>
          </cell>
        </row>
        <row r="2468">
          <cell r="C2468" t="str">
            <v>CUD9141</v>
          </cell>
          <cell r="D2468" t="str">
            <v>CUD9141</v>
          </cell>
        </row>
        <row r="2469">
          <cell r="C2469" t="str">
            <v>CUE5616</v>
          </cell>
          <cell r="D2469" t="str">
            <v>CUE5616</v>
          </cell>
        </row>
        <row r="2470">
          <cell r="C2470" t="str">
            <v>CUE2435</v>
          </cell>
          <cell r="D2470" t="str">
            <v>CUE2435</v>
          </cell>
        </row>
        <row r="2471">
          <cell r="C2471" t="str">
            <v>CUE4667</v>
          </cell>
          <cell r="D2471" t="str">
            <v>CUE4667</v>
          </cell>
        </row>
        <row r="2472">
          <cell r="C2472" t="str">
            <v>CUE5157</v>
          </cell>
          <cell r="D2472" t="str">
            <v>CUE5157</v>
          </cell>
        </row>
        <row r="2473">
          <cell r="C2473" t="str">
            <v>CUE5161</v>
          </cell>
          <cell r="D2473" t="str">
            <v>CUE5161</v>
          </cell>
        </row>
        <row r="2474">
          <cell r="C2474" t="str">
            <v>CUE5472</v>
          </cell>
          <cell r="D2474" t="str">
            <v>CUE5472</v>
          </cell>
        </row>
        <row r="2475">
          <cell r="C2475" t="str">
            <v>CUE9280</v>
          </cell>
          <cell r="D2475" t="str">
            <v>CUE9280</v>
          </cell>
        </row>
        <row r="2476">
          <cell r="C2476" t="str">
            <v>CUK0C38</v>
          </cell>
          <cell r="D2476" t="str">
            <v>CUK0C38</v>
          </cell>
        </row>
        <row r="2477">
          <cell r="C2477" t="str">
            <v>CVA3822</v>
          </cell>
          <cell r="D2477" t="str">
            <v>CVA3822</v>
          </cell>
        </row>
        <row r="2478">
          <cell r="C2478" t="str">
            <v>CVC8520</v>
          </cell>
          <cell r="D2478" t="str">
            <v>CVC8520</v>
          </cell>
        </row>
        <row r="2479">
          <cell r="C2479" t="str">
            <v>CVF3207</v>
          </cell>
          <cell r="D2479" t="str">
            <v>CVF3207</v>
          </cell>
        </row>
        <row r="2480">
          <cell r="C2480" t="str">
            <v>CVJ4476</v>
          </cell>
          <cell r="D2480" t="str">
            <v>CVJ4476</v>
          </cell>
        </row>
        <row r="2481">
          <cell r="C2481" t="str">
            <v>CVK5444</v>
          </cell>
          <cell r="D2481" t="str">
            <v>CVK5444</v>
          </cell>
        </row>
        <row r="2482">
          <cell r="C2482" t="str">
            <v>CVK6444</v>
          </cell>
          <cell r="D2482" t="str">
            <v>CVK6444</v>
          </cell>
        </row>
        <row r="2483">
          <cell r="C2483" t="str">
            <v>CVN3397</v>
          </cell>
          <cell r="D2483" t="str">
            <v>CVN3397</v>
          </cell>
        </row>
        <row r="2484">
          <cell r="C2484" t="str">
            <v>CVN0399</v>
          </cell>
          <cell r="D2484" t="str">
            <v>CVN0399</v>
          </cell>
        </row>
        <row r="2485">
          <cell r="C2485" t="str">
            <v>CVN0773</v>
          </cell>
          <cell r="D2485" t="str">
            <v>CVN0773</v>
          </cell>
        </row>
        <row r="2486">
          <cell r="C2486" t="str">
            <v>CVN0807</v>
          </cell>
          <cell r="D2486" t="str">
            <v>CVN0807</v>
          </cell>
        </row>
        <row r="2487">
          <cell r="C2487" t="str">
            <v>CVN0870</v>
          </cell>
          <cell r="D2487" t="str">
            <v>CVN0870</v>
          </cell>
        </row>
        <row r="2488">
          <cell r="C2488" t="str">
            <v>CVN3022</v>
          </cell>
          <cell r="D2488" t="str">
            <v>CVN3022</v>
          </cell>
        </row>
        <row r="2489">
          <cell r="C2489" t="str">
            <v>CVP3C61</v>
          </cell>
          <cell r="D2489" t="str">
            <v>CVP3C61</v>
          </cell>
        </row>
        <row r="2490">
          <cell r="C2490" t="str">
            <v>CVP3293</v>
          </cell>
          <cell r="D2490" t="str">
            <v>CVP3293</v>
          </cell>
        </row>
        <row r="2491">
          <cell r="C2491" t="str">
            <v>CVP6H47</v>
          </cell>
          <cell r="D2491" t="str">
            <v>CVP6H47</v>
          </cell>
        </row>
        <row r="2492">
          <cell r="C2492" t="str">
            <v>CVR1198</v>
          </cell>
          <cell r="D2492" t="str">
            <v>CVR1198</v>
          </cell>
        </row>
        <row r="2493">
          <cell r="C2493" t="str">
            <v>CVT0879</v>
          </cell>
          <cell r="D2493" t="str">
            <v>CVT0879</v>
          </cell>
        </row>
        <row r="2494">
          <cell r="C2494" t="str">
            <v>CVU0973</v>
          </cell>
          <cell r="D2494" t="str">
            <v>CVU0973</v>
          </cell>
        </row>
        <row r="2495">
          <cell r="C2495" t="str">
            <v>CVZ4860</v>
          </cell>
          <cell r="D2495" t="str">
            <v>CVZ4860</v>
          </cell>
        </row>
        <row r="2496">
          <cell r="C2496" t="str">
            <v>CWB2I25</v>
          </cell>
          <cell r="D2496" t="str">
            <v>CWB2I25</v>
          </cell>
        </row>
        <row r="2497">
          <cell r="C2497" t="str">
            <v>CWC3060</v>
          </cell>
          <cell r="D2497" t="str">
            <v>CWC3060</v>
          </cell>
        </row>
        <row r="2498">
          <cell r="C2498" t="str">
            <v>CWD8574</v>
          </cell>
          <cell r="D2498" t="str">
            <v>CWD8574</v>
          </cell>
        </row>
        <row r="2499">
          <cell r="C2499" t="str">
            <v>CWJ2083</v>
          </cell>
          <cell r="D2499" t="str">
            <v>CWJ2083</v>
          </cell>
        </row>
        <row r="2500">
          <cell r="C2500" t="str">
            <v>CWQ2A89</v>
          </cell>
          <cell r="D2500" t="str">
            <v>CWQ2A89</v>
          </cell>
        </row>
        <row r="2501">
          <cell r="C2501" t="str">
            <v>CWQ4055</v>
          </cell>
          <cell r="D2501" t="str">
            <v>CWQ4055</v>
          </cell>
        </row>
        <row r="2502">
          <cell r="C2502" t="str">
            <v>CWU7433</v>
          </cell>
          <cell r="D2502" t="str">
            <v>CWU7433</v>
          </cell>
        </row>
        <row r="2503">
          <cell r="C2503" t="str">
            <v>CWV3578</v>
          </cell>
          <cell r="D2503" t="str">
            <v>CWV3578</v>
          </cell>
        </row>
        <row r="2504">
          <cell r="C2504" t="str">
            <v>CWV2351</v>
          </cell>
          <cell r="D2504" t="str">
            <v>CWV2351</v>
          </cell>
        </row>
        <row r="2505">
          <cell r="C2505" t="str">
            <v>CWY5757</v>
          </cell>
          <cell r="D2505" t="str">
            <v>CWY5757</v>
          </cell>
        </row>
        <row r="2506">
          <cell r="C2506" t="str">
            <v>CWZ4209</v>
          </cell>
          <cell r="D2506" t="str">
            <v>CWZ4209</v>
          </cell>
        </row>
        <row r="2507">
          <cell r="C2507" t="str">
            <v>CXA1766</v>
          </cell>
          <cell r="D2507" t="str">
            <v>CXA1766</v>
          </cell>
        </row>
        <row r="2508">
          <cell r="C2508" t="str">
            <v>CXC0013</v>
          </cell>
          <cell r="D2508" t="str">
            <v>CXC0013</v>
          </cell>
        </row>
        <row r="2509">
          <cell r="C2509" t="str">
            <v>CXI1884</v>
          </cell>
          <cell r="D2509" t="str">
            <v>CXI1884</v>
          </cell>
        </row>
        <row r="2510">
          <cell r="C2510" t="str">
            <v>CXO7528</v>
          </cell>
          <cell r="D2510" t="str">
            <v>CXO7528</v>
          </cell>
        </row>
        <row r="2511">
          <cell r="C2511" t="str">
            <v>CXU7258</v>
          </cell>
          <cell r="D2511" t="str">
            <v>CXU7258</v>
          </cell>
        </row>
        <row r="2512">
          <cell r="C2512" t="str">
            <v>CXW9511</v>
          </cell>
          <cell r="D2512" t="str">
            <v>CXW9511</v>
          </cell>
        </row>
        <row r="2513">
          <cell r="C2513" t="str">
            <v>CXW9512</v>
          </cell>
          <cell r="D2513" t="str">
            <v>CXW9512</v>
          </cell>
        </row>
        <row r="2514">
          <cell r="C2514" t="str">
            <v>CXX0437</v>
          </cell>
          <cell r="D2514" t="str">
            <v>CXX0437</v>
          </cell>
        </row>
        <row r="2515">
          <cell r="C2515" t="str">
            <v>CXZ1I84</v>
          </cell>
          <cell r="D2515" t="str">
            <v>CXZ1I84</v>
          </cell>
        </row>
        <row r="2516">
          <cell r="C2516" t="str">
            <v>CYA0406</v>
          </cell>
          <cell r="D2516" t="str">
            <v>CYA0406</v>
          </cell>
        </row>
        <row r="2517">
          <cell r="C2517" t="str">
            <v>CYA9555</v>
          </cell>
          <cell r="D2517" t="str">
            <v>CYA9555</v>
          </cell>
        </row>
        <row r="2518">
          <cell r="C2518" t="str">
            <v>CYB2088</v>
          </cell>
          <cell r="D2518" t="str">
            <v>CYB2088</v>
          </cell>
        </row>
        <row r="2519">
          <cell r="C2519" t="str">
            <v>CYB3828</v>
          </cell>
          <cell r="D2519" t="str">
            <v>CYB3828</v>
          </cell>
        </row>
        <row r="2520">
          <cell r="C2520" t="str">
            <v>CYB9066</v>
          </cell>
          <cell r="D2520" t="str">
            <v>CYB9066</v>
          </cell>
        </row>
        <row r="2521">
          <cell r="C2521" t="str">
            <v>CYF2138</v>
          </cell>
          <cell r="D2521" t="str">
            <v>CYF2138</v>
          </cell>
        </row>
        <row r="2522">
          <cell r="C2522" t="str">
            <v>CYH4145</v>
          </cell>
          <cell r="D2522" t="str">
            <v>CYH4145</v>
          </cell>
        </row>
        <row r="2523">
          <cell r="C2523" t="str">
            <v>CYN0922</v>
          </cell>
          <cell r="D2523" t="str">
            <v>CYN0922</v>
          </cell>
        </row>
        <row r="2524">
          <cell r="C2524" t="str">
            <v>CYN8C33</v>
          </cell>
          <cell r="D2524" t="str">
            <v>CYN8C33</v>
          </cell>
        </row>
        <row r="2525">
          <cell r="C2525" t="str">
            <v>CYO0H21</v>
          </cell>
          <cell r="D2525" t="str">
            <v>CYO0H21</v>
          </cell>
        </row>
        <row r="2526">
          <cell r="C2526" t="str">
            <v>CYQ4B34</v>
          </cell>
          <cell r="D2526" t="str">
            <v>CYQ4B34</v>
          </cell>
        </row>
        <row r="2527">
          <cell r="C2527" t="str">
            <v>CYR3281</v>
          </cell>
          <cell r="D2527" t="str">
            <v>CYR3281</v>
          </cell>
        </row>
        <row r="2528">
          <cell r="C2528" t="str">
            <v>CYR5137</v>
          </cell>
          <cell r="D2528" t="str">
            <v>CYR5137</v>
          </cell>
        </row>
        <row r="2529">
          <cell r="C2529" t="str">
            <v>CYU7785</v>
          </cell>
          <cell r="D2529" t="str">
            <v>CYU7785</v>
          </cell>
        </row>
        <row r="2530">
          <cell r="C2530" t="str">
            <v>CYX0502</v>
          </cell>
          <cell r="D2530" t="str">
            <v>CYX0502</v>
          </cell>
        </row>
        <row r="2531">
          <cell r="C2531" t="str">
            <v>CYX2G06</v>
          </cell>
          <cell r="D2531" t="str">
            <v>CYX2G06</v>
          </cell>
        </row>
        <row r="2532">
          <cell r="C2532" t="str">
            <v>CZB7139</v>
          </cell>
          <cell r="D2532" t="str">
            <v>CZB7139</v>
          </cell>
        </row>
        <row r="2533">
          <cell r="C2533" t="str">
            <v>CZB9484</v>
          </cell>
          <cell r="D2533" t="str">
            <v>CZB9484</v>
          </cell>
        </row>
        <row r="2534">
          <cell r="C2534" t="str">
            <v>CZB9580</v>
          </cell>
          <cell r="D2534" t="str">
            <v>CZB9580</v>
          </cell>
        </row>
        <row r="2535">
          <cell r="C2535" t="str">
            <v>CZB9876</v>
          </cell>
          <cell r="D2535" t="str">
            <v>CZB9876</v>
          </cell>
        </row>
        <row r="2536">
          <cell r="C2536" t="str">
            <v>CZB9H07</v>
          </cell>
          <cell r="D2536" t="str">
            <v>CZB9H07</v>
          </cell>
        </row>
        <row r="2537">
          <cell r="C2537" t="str">
            <v>CZB9J80</v>
          </cell>
          <cell r="D2537" t="str">
            <v>CZB9J80</v>
          </cell>
        </row>
        <row r="2538">
          <cell r="C2538" t="str">
            <v>CZC0882</v>
          </cell>
          <cell r="D2538" t="str">
            <v>CZC0882</v>
          </cell>
        </row>
        <row r="2539">
          <cell r="C2539" t="str">
            <v>CZC2434</v>
          </cell>
          <cell r="D2539" t="str">
            <v>CZC2434</v>
          </cell>
        </row>
        <row r="2540">
          <cell r="C2540" t="str">
            <v>CZC5623</v>
          </cell>
          <cell r="D2540" t="str">
            <v>CZC5623</v>
          </cell>
        </row>
        <row r="2541">
          <cell r="C2541" t="str">
            <v>CZC8299</v>
          </cell>
          <cell r="D2541" t="str">
            <v>CZC8299</v>
          </cell>
        </row>
        <row r="2542">
          <cell r="C2542" t="str">
            <v>CZD2103</v>
          </cell>
          <cell r="D2542" t="str">
            <v>CZD2103</v>
          </cell>
        </row>
        <row r="2543">
          <cell r="C2543" t="str">
            <v>CZD9876</v>
          </cell>
          <cell r="D2543" t="str">
            <v>CZD9876</v>
          </cell>
        </row>
        <row r="2544">
          <cell r="C2544" t="str">
            <v>CZF6000</v>
          </cell>
          <cell r="D2544" t="str">
            <v>CZF6000</v>
          </cell>
        </row>
        <row r="2545">
          <cell r="C2545" t="str">
            <v>CZH3908</v>
          </cell>
          <cell r="D2545" t="str">
            <v>CZH3908</v>
          </cell>
        </row>
        <row r="2546">
          <cell r="C2546" t="str">
            <v>CZP8748</v>
          </cell>
          <cell r="D2546" t="str">
            <v>CZP8748</v>
          </cell>
        </row>
        <row r="2547">
          <cell r="C2547" t="str">
            <v>CZU0832</v>
          </cell>
          <cell r="D2547" t="str">
            <v>CZU0832</v>
          </cell>
        </row>
        <row r="2548">
          <cell r="C2548" t="str">
            <v>CZX6885</v>
          </cell>
          <cell r="D2548" t="str">
            <v>CZX6885</v>
          </cell>
        </row>
        <row r="2549">
          <cell r="C2549" t="str">
            <v>CZY5554</v>
          </cell>
          <cell r="D2549" t="str">
            <v>CZY5554</v>
          </cell>
        </row>
        <row r="2550">
          <cell r="C2550" t="str">
            <v>CZZ0418</v>
          </cell>
          <cell r="D2550" t="str">
            <v>CZZ0418</v>
          </cell>
        </row>
        <row r="2551">
          <cell r="C2551" t="str">
            <v>DAB7700</v>
          </cell>
          <cell r="D2551" t="str">
            <v>DAB7700</v>
          </cell>
        </row>
        <row r="2552">
          <cell r="C2552" t="str">
            <v>DAE6467</v>
          </cell>
          <cell r="D2552" t="str">
            <v>DAE6467</v>
          </cell>
        </row>
        <row r="2553">
          <cell r="C2553" t="str">
            <v>DAF1162</v>
          </cell>
          <cell r="D2553" t="str">
            <v>DAF1162</v>
          </cell>
        </row>
        <row r="2554">
          <cell r="C2554" t="str">
            <v>DAH1698</v>
          </cell>
          <cell r="D2554" t="str">
            <v>DAH1698</v>
          </cell>
        </row>
        <row r="2555">
          <cell r="C2555" t="str">
            <v>DAH5B52</v>
          </cell>
          <cell r="D2555" t="str">
            <v>DAH5B52</v>
          </cell>
        </row>
        <row r="2556">
          <cell r="C2556" t="str">
            <v>DAH7I12</v>
          </cell>
          <cell r="D2556" t="str">
            <v>DAH7I12</v>
          </cell>
        </row>
        <row r="2557">
          <cell r="C2557" t="str">
            <v>DAJ7895</v>
          </cell>
          <cell r="D2557" t="str">
            <v>DAJ7895</v>
          </cell>
        </row>
        <row r="2558">
          <cell r="C2558" t="str">
            <v>DAJ7G17</v>
          </cell>
          <cell r="D2558" t="str">
            <v>DAJ7G17</v>
          </cell>
        </row>
        <row r="2559">
          <cell r="C2559" t="str">
            <v>DAJ8292</v>
          </cell>
          <cell r="D2559" t="str">
            <v>DAJ8292</v>
          </cell>
        </row>
        <row r="2560">
          <cell r="C2560" t="str">
            <v>GXA4796</v>
          </cell>
          <cell r="D2560" t="str">
            <v>GXA4796</v>
          </cell>
        </row>
        <row r="2561">
          <cell r="C2561" t="str">
            <v>ALI9165</v>
          </cell>
          <cell r="D2561" t="str">
            <v>ALI9165</v>
          </cell>
        </row>
        <row r="2562">
          <cell r="C2562" t="str">
            <v>DAO0133</v>
          </cell>
          <cell r="D2562" t="str">
            <v>DAO0133</v>
          </cell>
        </row>
        <row r="2563">
          <cell r="C2563" t="str">
            <v>DAO3715</v>
          </cell>
          <cell r="D2563" t="str">
            <v>DAO3715</v>
          </cell>
        </row>
        <row r="2564">
          <cell r="C2564" t="str">
            <v>DAO3720</v>
          </cell>
          <cell r="D2564" t="str">
            <v>DAO3720</v>
          </cell>
        </row>
        <row r="2565">
          <cell r="C2565" t="str">
            <v>DAO3937</v>
          </cell>
          <cell r="D2565" t="str">
            <v>DAO3937</v>
          </cell>
        </row>
        <row r="2566">
          <cell r="C2566" t="str">
            <v>DAO3H57</v>
          </cell>
          <cell r="D2566" t="str">
            <v>DAO3H57</v>
          </cell>
        </row>
        <row r="2567">
          <cell r="C2567" t="str">
            <v>DAO8H05</v>
          </cell>
          <cell r="D2567" t="str">
            <v>DAO8H05</v>
          </cell>
        </row>
        <row r="2568">
          <cell r="C2568" t="str">
            <v>DAP7473</v>
          </cell>
          <cell r="D2568" t="str">
            <v>DAP7473</v>
          </cell>
        </row>
        <row r="2569">
          <cell r="C2569" t="str">
            <v>BWK9021</v>
          </cell>
          <cell r="D2569" t="str">
            <v>BWK9021</v>
          </cell>
        </row>
        <row r="2570">
          <cell r="C2570" t="str">
            <v>BXE5262</v>
          </cell>
          <cell r="D2570" t="str">
            <v>BXE5262</v>
          </cell>
        </row>
        <row r="2571">
          <cell r="C2571" t="str">
            <v>DAX0805</v>
          </cell>
          <cell r="D2571" t="str">
            <v>DAX0805</v>
          </cell>
        </row>
        <row r="2572">
          <cell r="C2572" t="str">
            <v>DBB0764</v>
          </cell>
          <cell r="D2572" t="str">
            <v>DBB0764</v>
          </cell>
        </row>
        <row r="2573">
          <cell r="C2573" t="str">
            <v>DBF2009</v>
          </cell>
          <cell r="D2573" t="str">
            <v>DBF2009</v>
          </cell>
        </row>
        <row r="2574">
          <cell r="C2574" t="str">
            <v>DBL2780</v>
          </cell>
          <cell r="D2574" t="str">
            <v>DBL2780</v>
          </cell>
        </row>
        <row r="2575">
          <cell r="C2575" t="str">
            <v>DBL2790</v>
          </cell>
          <cell r="D2575" t="str">
            <v>DBL2790</v>
          </cell>
        </row>
        <row r="2576">
          <cell r="C2576" t="str">
            <v>DBL3302</v>
          </cell>
          <cell r="D2576" t="str">
            <v>DBL3302</v>
          </cell>
        </row>
        <row r="2577">
          <cell r="C2577" t="str">
            <v>DBM3A59</v>
          </cell>
          <cell r="D2577" t="str">
            <v>DBM3A59</v>
          </cell>
        </row>
        <row r="2578">
          <cell r="C2578" t="str">
            <v>DBM3194</v>
          </cell>
          <cell r="D2578" t="str">
            <v>DBM3194</v>
          </cell>
        </row>
        <row r="2579">
          <cell r="C2579" t="str">
            <v>DBM3427</v>
          </cell>
          <cell r="D2579" t="str">
            <v>DBM3427</v>
          </cell>
        </row>
        <row r="2580">
          <cell r="C2580" t="str">
            <v>DBM3475</v>
          </cell>
          <cell r="D2580" t="str">
            <v>DBM3475</v>
          </cell>
        </row>
        <row r="2581">
          <cell r="C2581" t="str">
            <v>DBM3477</v>
          </cell>
          <cell r="D2581" t="str">
            <v>DBM3477</v>
          </cell>
        </row>
        <row r="2582">
          <cell r="C2582" t="str">
            <v>DBM3497</v>
          </cell>
          <cell r="D2582" t="str">
            <v>DBM3497</v>
          </cell>
        </row>
        <row r="2583">
          <cell r="C2583" t="str">
            <v>DBM3501</v>
          </cell>
          <cell r="D2583" t="str">
            <v>DBM3501</v>
          </cell>
        </row>
        <row r="2584">
          <cell r="C2584" t="str">
            <v>DBM3510</v>
          </cell>
          <cell r="D2584" t="str">
            <v>DBM3510</v>
          </cell>
        </row>
        <row r="2585">
          <cell r="C2585" t="str">
            <v>DBM3530</v>
          </cell>
          <cell r="D2585" t="str">
            <v>DBM3530</v>
          </cell>
        </row>
        <row r="2586">
          <cell r="C2586" t="str">
            <v>DBM6793</v>
          </cell>
          <cell r="D2586" t="str">
            <v>DBM6793</v>
          </cell>
        </row>
        <row r="2587">
          <cell r="C2587" t="str">
            <v>DBP3144</v>
          </cell>
          <cell r="D2587" t="str">
            <v>DBP3144</v>
          </cell>
        </row>
        <row r="2588">
          <cell r="C2588" t="str">
            <v>DBP3174</v>
          </cell>
          <cell r="D2588" t="str">
            <v>DBP3174</v>
          </cell>
        </row>
        <row r="2589">
          <cell r="C2589" t="str">
            <v>DBP3684</v>
          </cell>
          <cell r="D2589" t="str">
            <v>DBP3684</v>
          </cell>
        </row>
        <row r="2590">
          <cell r="C2590" t="str">
            <v>DBX8313</v>
          </cell>
          <cell r="D2590" t="str">
            <v>DBX8313</v>
          </cell>
        </row>
        <row r="2591">
          <cell r="C2591" t="str">
            <v>DCX0919</v>
          </cell>
          <cell r="D2591" t="str">
            <v>DCX0919</v>
          </cell>
        </row>
        <row r="2592">
          <cell r="C2592" t="str">
            <v>DCX1015</v>
          </cell>
          <cell r="D2592" t="str">
            <v>DCX1015</v>
          </cell>
        </row>
        <row r="2593">
          <cell r="C2593" t="str">
            <v>DDA5030</v>
          </cell>
          <cell r="D2593" t="str">
            <v>DDA5030</v>
          </cell>
        </row>
        <row r="2594">
          <cell r="C2594" t="str">
            <v>DDA5I92</v>
          </cell>
          <cell r="D2594" t="str">
            <v>DDA5I92</v>
          </cell>
        </row>
        <row r="2595">
          <cell r="C2595" t="str">
            <v>DDP6637</v>
          </cell>
          <cell r="D2595" t="str">
            <v>DDP6637</v>
          </cell>
        </row>
        <row r="2596">
          <cell r="C2596" t="str">
            <v>DDQ7447</v>
          </cell>
          <cell r="D2596" t="str">
            <v>DDQ7447</v>
          </cell>
        </row>
        <row r="2597">
          <cell r="C2597" t="str">
            <v>DDX2534</v>
          </cell>
          <cell r="D2597" t="str">
            <v>DDX2534</v>
          </cell>
        </row>
        <row r="2598">
          <cell r="C2598" t="str">
            <v>DDZ9552</v>
          </cell>
          <cell r="D2598" t="str">
            <v>DDZ9552</v>
          </cell>
        </row>
        <row r="2599">
          <cell r="C2599" t="str">
            <v>AHD5682</v>
          </cell>
          <cell r="D2599" t="str">
            <v>AHD5682</v>
          </cell>
        </row>
        <row r="2600">
          <cell r="C2600" t="str">
            <v>DEN2477</v>
          </cell>
          <cell r="D2600" t="str">
            <v>DEN2477</v>
          </cell>
        </row>
        <row r="2601">
          <cell r="C2601" t="str">
            <v>DEQ1137</v>
          </cell>
          <cell r="D2601" t="str">
            <v>DEQ1137</v>
          </cell>
        </row>
        <row r="2602">
          <cell r="C2602" t="str">
            <v>DFE2859</v>
          </cell>
          <cell r="D2602" t="str">
            <v>DFE2859</v>
          </cell>
        </row>
        <row r="2603">
          <cell r="C2603" t="str">
            <v>DFM8242</v>
          </cell>
          <cell r="D2603" t="str">
            <v>DFM8242</v>
          </cell>
        </row>
        <row r="2604">
          <cell r="C2604" t="str">
            <v>DFO7716</v>
          </cell>
          <cell r="D2604" t="str">
            <v>DFO7716</v>
          </cell>
        </row>
        <row r="2605">
          <cell r="C2605" t="str">
            <v>DFQ1547</v>
          </cell>
          <cell r="D2605" t="str">
            <v>DFQ1547</v>
          </cell>
        </row>
        <row r="2606">
          <cell r="C2606" t="str">
            <v>DFR2859</v>
          </cell>
          <cell r="D2606" t="str">
            <v>DFR2859</v>
          </cell>
        </row>
        <row r="2607">
          <cell r="C2607" t="str">
            <v>DFR6545</v>
          </cell>
          <cell r="D2607" t="str">
            <v>DFR6545</v>
          </cell>
        </row>
        <row r="2608">
          <cell r="C2608" t="str">
            <v>DGB4787</v>
          </cell>
          <cell r="D2608" t="str">
            <v>DGB4787</v>
          </cell>
        </row>
        <row r="2609">
          <cell r="C2609" t="str">
            <v>DGD7272</v>
          </cell>
          <cell r="D2609" t="str">
            <v>DGD7272</v>
          </cell>
        </row>
        <row r="2610">
          <cell r="C2610" t="str">
            <v>DGE8455</v>
          </cell>
          <cell r="D2610" t="str">
            <v>DGE8455</v>
          </cell>
        </row>
        <row r="2611">
          <cell r="C2611" t="str">
            <v>DGG6333</v>
          </cell>
          <cell r="D2611" t="str">
            <v>DGG6333</v>
          </cell>
        </row>
        <row r="2612">
          <cell r="C2612" t="str">
            <v>DGK3104</v>
          </cell>
          <cell r="D2612" t="str">
            <v>DGK3104</v>
          </cell>
        </row>
        <row r="2613">
          <cell r="C2613" t="str">
            <v>DGN4J04</v>
          </cell>
          <cell r="D2613" t="str">
            <v>DGN4J04</v>
          </cell>
        </row>
        <row r="2614">
          <cell r="C2614" t="str">
            <v>DGQ1B82</v>
          </cell>
          <cell r="D2614" t="str">
            <v>DGQ1B82</v>
          </cell>
        </row>
        <row r="2615">
          <cell r="C2615" t="str">
            <v>DGS0005</v>
          </cell>
          <cell r="D2615" t="str">
            <v>DGS0005</v>
          </cell>
        </row>
        <row r="2616">
          <cell r="C2616" t="str">
            <v>DGW1308</v>
          </cell>
          <cell r="D2616" t="str">
            <v>DGW1308</v>
          </cell>
        </row>
        <row r="2617">
          <cell r="C2617" t="str">
            <v>DHE7500</v>
          </cell>
          <cell r="D2617" t="str">
            <v>DHE7500</v>
          </cell>
        </row>
        <row r="2618">
          <cell r="C2618" t="str">
            <v>DHF8769</v>
          </cell>
          <cell r="D2618" t="str">
            <v>DHF8769</v>
          </cell>
        </row>
        <row r="2619">
          <cell r="C2619" t="str">
            <v>DHO1F10</v>
          </cell>
          <cell r="D2619" t="str">
            <v>DHO1F10</v>
          </cell>
        </row>
        <row r="2620">
          <cell r="C2620" t="str">
            <v>DHQ7284</v>
          </cell>
          <cell r="D2620" t="str">
            <v>DHQ7284</v>
          </cell>
        </row>
        <row r="2621">
          <cell r="C2621" t="str">
            <v>DHS3B94</v>
          </cell>
          <cell r="D2621" t="str">
            <v>DHS3B94</v>
          </cell>
        </row>
        <row r="2622">
          <cell r="C2622" t="str">
            <v>DHW9801</v>
          </cell>
          <cell r="D2622" t="str">
            <v>DHW9801</v>
          </cell>
        </row>
        <row r="2623">
          <cell r="C2623" t="str">
            <v>DHX8237</v>
          </cell>
          <cell r="D2623" t="str">
            <v>DHX8237</v>
          </cell>
        </row>
        <row r="2624">
          <cell r="C2624" t="str">
            <v>DHY7604</v>
          </cell>
          <cell r="D2624" t="str">
            <v>DHY7604</v>
          </cell>
        </row>
        <row r="2625">
          <cell r="C2625" t="str">
            <v>DIB4A30</v>
          </cell>
          <cell r="D2625" t="str">
            <v>DIB4A30</v>
          </cell>
        </row>
        <row r="2626">
          <cell r="C2626" t="str">
            <v>DBC0569</v>
          </cell>
          <cell r="D2626" t="str">
            <v>DBC0569</v>
          </cell>
        </row>
        <row r="2627">
          <cell r="C2627" t="str">
            <v>GNJ7485</v>
          </cell>
          <cell r="D2627" t="str">
            <v>GNJ7485</v>
          </cell>
        </row>
        <row r="2628">
          <cell r="C2628" t="str">
            <v>DIJ5446</v>
          </cell>
          <cell r="D2628" t="str">
            <v>DIJ5446</v>
          </cell>
        </row>
        <row r="2629">
          <cell r="C2629" t="str">
            <v>KAQ0148</v>
          </cell>
          <cell r="D2629" t="str">
            <v>KAQ0148</v>
          </cell>
        </row>
        <row r="2630">
          <cell r="C2630" t="str">
            <v>CJH7548</v>
          </cell>
          <cell r="D2630" t="str">
            <v>CJH7548</v>
          </cell>
        </row>
        <row r="2631">
          <cell r="C2631" t="str">
            <v>DPF7661</v>
          </cell>
          <cell r="D2631" t="str">
            <v>DPF7661</v>
          </cell>
        </row>
        <row r="2632">
          <cell r="C2632" t="str">
            <v>DIY0936</v>
          </cell>
          <cell r="D2632" t="str">
            <v>DIY0936</v>
          </cell>
        </row>
        <row r="2633">
          <cell r="C2633" t="str">
            <v>DJB0964</v>
          </cell>
          <cell r="D2633" t="str">
            <v>DJB0964</v>
          </cell>
        </row>
        <row r="2634">
          <cell r="C2634" t="str">
            <v>DJB0986</v>
          </cell>
          <cell r="D2634" t="str">
            <v>DJB0986</v>
          </cell>
        </row>
        <row r="2635">
          <cell r="C2635" t="str">
            <v>DJC3C46</v>
          </cell>
          <cell r="D2635" t="str">
            <v>DJC3C46</v>
          </cell>
        </row>
        <row r="2636">
          <cell r="C2636" t="str">
            <v>DJD0180</v>
          </cell>
          <cell r="D2636" t="str">
            <v>DJD0180</v>
          </cell>
        </row>
        <row r="2637">
          <cell r="C2637" t="str">
            <v>DJE0286</v>
          </cell>
          <cell r="D2637" t="str">
            <v>DJE0286</v>
          </cell>
        </row>
        <row r="2638">
          <cell r="C2638" t="str">
            <v>DJE1019</v>
          </cell>
          <cell r="D2638" t="str">
            <v>DJE1019</v>
          </cell>
        </row>
        <row r="2639">
          <cell r="C2639" t="str">
            <v>DJE7146</v>
          </cell>
          <cell r="D2639" t="str">
            <v>DJE7146</v>
          </cell>
        </row>
        <row r="2640">
          <cell r="C2640" t="str">
            <v>DJF1215</v>
          </cell>
          <cell r="D2640" t="str">
            <v>DJF1215</v>
          </cell>
        </row>
        <row r="2641">
          <cell r="C2641" t="str">
            <v>DJF2H88</v>
          </cell>
          <cell r="D2641" t="str">
            <v>DJF2H88</v>
          </cell>
        </row>
        <row r="2642">
          <cell r="C2642" t="str">
            <v>DJF8790</v>
          </cell>
          <cell r="D2642" t="str">
            <v>DJF8790</v>
          </cell>
        </row>
        <row r="2643">
          <cell r="C2643" t="str">
            <v>DJG6889</v>
          </cell>
          <cell r="D2643" t="str">
            <v>DJG6889</v>
          </cell>
        </row>
        <row r="2644">
          <cell r="C2644" t="str">
            <v>DJK0483</v>
          </cell>
          <cell r="D2644" t="str">
            <v>DJK0483</v>
          </cell>
        </row>
        <row r="2645">
          <cell r="C2645" t="str">
            <v>DJN1285</v>
          </cell>
          <cell r="D2645" t="str">
            <v>DJN1285</v>
          </cell>
        </row>
        <row r="2646">
          <cell r="C2646" t="str">
            <v>DJO6325</v>
          </cell>
          <cell r="D2646" t="str">
            <v>DJO6325</v>
          </cell>
        </row>
        <row r="2647">
          <cell r="C2647" t="str">
            <v>DJO0991</v>
          </cell>
          <cell r="D2647" t="str">
            <v>DJO0991</v>
          </cell>
        </row>
        <row r="2648">
          <cell r="C2648" t="str">
            <v>DKE5C03</v>
          </cell>
          <cell r="D2648" t="str">
            <v>DKE5C03</v>
          </cell>
        </row>
        <row r="2649">
          <cell r="C2649" t="str">
            <v>DKE6C03</v>
          </cell>
          <cell r="D2649" t="str">
            <v>DKE6C03</v>
          </cell>
        </row>
        <row r="2650">
          <cell r="C2650" t="str">
            <v>DKG4826</v>
          </cell>
          <cell r="D2650" t="str">
            <v>DKG4826</v>
          </cell>
        </row>
        <row r="2651">
          <cell r="C2651" t="str">
            <v>DKV8F31</v>
          </cell>
          <cell r="D2651" t="str">
            <v>DKV8F31</v>
          </cell>
        </row>
        <row r="2652">
          <cell r="C2652" t="str">
            <v>DKX2447</v>
          </cell>
          <cell r="D2652" t="str">
            <v>DKX2447</v>
          </cell>
        </row>
        <row r="2653">
          <cell r="C2653" t="str">
            <v>DLF0270</v>
          </cell>
          <cell r="D2653" t="str">
            <v>DLF0270</v>
          </cell>
        </row>
        <row r="2654">
          <cell r="C2654" t="str">
            <v>DLG4985</v>
          </cell>
          <cell r="D2654" t="str">
            <v>DLG4985</v>
          </cell>
        </row>
        <row r="2655">
          <cell r="C2655" t="str">
            <v>DLM0767</v>
          </cell>
          <cell r="D2655" t="str">
            <v>DLM0767</v>
          </cell>
        </row>
        <row r="2656">
          <cell r="C2656" t="str">
            <v>DLS8B94</v>
          </cell>
          <cell r="D2656" t="str">
            <v>DLS8B94</v>
          </cell>
        </row>
        <row r="2657">
          <cell r="C2657" t="str">
            <v>DMF5F80</v>
          </cell>
          <cell r="D2657" t="str">
            <v>DMF5F80</v>
          </cell>
        </row>
        <row r="2658">
          <cell r="C2658" t="str">
            <v>DMF8946</v>
          </cell>
          <cell r="D2658" t="str">
            <v>DMF8946</v>
          </cell>
        </row>
        <row r="2659">
          <cell r="C2659" t="str">
            <v>DNE9I14</v>
          </cell>
          <cell r="D2659" t="str">
            <v>DNE9I14</v>
          </cell>
        </row>
        <row r="2660">
          <cell r="C2660" t="str">
            <v>DNZ8A99</v>
          </cell>
          <cell r="D2660" t="str">
            <v>DNZ8A99</v>
          </cell>
        </row>
        <row r="2661">
          <cell r="C2661" t="str">
            <v>DOG9081</v>
          </cell>
          <cell r="D2661" t="str">
            <v>DOG9081</v>
          </cell>
        </row>
        <row r="2662">
          <cell r="C2662" t="str">
            <v>DOM4854</v>
          </cell>
          <cell r="D2662" t="str">
            <v>DOM4854</v>
          </cell>
        </row>
        <row r="2663">
          <cell r="C2663" t="str">
            <v>DOM3531</v>
          </cell>
          <cell r="D2663" t="str">
            <v>DOM3531</v>
          </cell>
        </row>
        <row r="2664">
          <cell r="C2664" t="str">
            <v>DOP9139</v>
          </cell>
          <cell r="D2664" t="str">
            <v>DOP9139</v>
          </cell>
        </row>
        <row r="2665">
          <cell r="C2665" t="str">
            <v>LQA3839</v>
          </cell>
          <cell r="D2665" t="str">
            <v>LQA3839</v>
          </cell>
        </row>
        <row r="2666">
          <cell r="C2666" t="str">
            <v>DPA3F69</v>
          </cell>
          <cell r="D2666" t="str">
            <v>DPA3F69</v>
          </cell>
        </row>
        <row r="2667">
          <cell r="C2667" t="str">
            <v>DPB0548</v>
          </cell>
          <cell r="D2667" t="str">
            <v>DPB0548</v>
          </cell>
        </row>
        <row r="2668">
          <cell r="C2668" t="str">
            <v>DPB2513</v>
          </cell>
          <cell r="D2668" t="str">
            <v>DPB2513</v>
          </cell>
        </row>
        <row r="2669">
          <cell r="C2669" t="str">
            <v>DPB5426</v>
          </cell>
          <cell r="D2669" t="str">
            <v>DPB5426</v>
          </cell>
        </row>
        <row r="2670">
          <cell r="C2670" t="str">
            <v>DPC2525</v>
          </cell>
          <cell r="D2670" t="str">
            <v>DPC2525</v>
          </cell>
        </row>
        <row r="2671">
          <cell r="C2671" t="str">
            <v>DPC3632</v>
          </cell>
          <cell r="D2671" t="str">
            <v>DPC3632</v>
          </cell>
        </row>
        <row r="2672">
          <cell r="C2672" t="str">
            <v>DPC5976</v>
          </cell>
          <cell r="D2672" t="str">
            <v>DPC5976</v>
          </cell>
        </row>
        <row r="2673">
          <cell r="C2673" t="str">
            <v>DPE9695</v>
          </cell>
          <cell r="D2673" t="str">
            <v>DPE9695</v>
          </cell>
        </row>
        <row r="2674">
          <cell r="C2674" t="str">
            <v>DPF1254</v>
          </cell>
          <cell r="D2674" t="str">
            <v>DPF1254</v>
          </cell>
        </row>
        <row r="2675">
          <cell r="C2675" t="str">
            <v>DPF4303</v>
          </cell>
          <cell r="D2675" t="str">
            <v>DPF4303</v>
          </cell>
        </row>
        <row r="2676">
          <cell r="C2676" t="str">
            <v>DPF2D88</v>
          </cell>
          <cell r="D2676" t="str">
            <v>DPF2D88</v>
          </cell>
        </row>
        <row r="2677">
          <cell r="C2677" t="str">
            <v>DPF3I67</v>
          </cell>
          <cell r="D2677" t="str">
            <v>DPF3I67</v>
          </cell>
        </row>
        <row r="2678">
          <cell r="C2678" t="str">
            <v>DPF6663</v>
          </cell>
          <cell r="D2678" t="str">
            <v>DPF6663</v>
          </cell>
        </row>
        <row r="2679">
          <cell r="C2679" t="str">
            <v>DPF6G83</v>
          </cell>
          <cell r="D2679" t="str">
            <v>DPF6G83</v>
          </cell>
        </row>
        <row r="2680">
          <cell r="C2680" t="str">
            <v>DPF9937</v>
          </cell>
          <cell r="D2680" t="str">
            <v>DPF9937</v>
          </cell>
        </row>
        <row r="2681">
          <cell r="C2681" t="str">
            <v>DQB9939</v>
          </cell>
          <cell r="D2681" t="str">
            <v>DQB9939</v>
          </cell>
        </row>
        <row r="2682">
          <cell r="C2682" t="str">
            <v>DQG9274</v>
          </cell>
          <cell r="D2682" t="str">
            <v>DQG9274</v>
          </cell>
        </row>
        <row r="2683">
          <cell r="C2683" t="str">
            <v>DQT8961</v>
          </cell>
          <cell r="D2683" t="str">
            <v>DQT8961</v>
          </cell>
        </row>
        <row r="2684">
          <cell r="C2684" t="str">
            <v>DQW0991</v>
          </cell>
          <cell r="D2684" t="str">
            <v>DQW0991</v>
          </cell>
        </row>
        <row r="2685">
          <cell r="C2685" t="str">
            <v>DQW9734</v>
          </cell>
          <cell r="D2685" t="str">
            <v>DQW9734</v>
          </cell>
        </row>
        <row r="2686">
          <cell r="C2686" t="str">
            <v>DQZ2478</v>
          </cell>
          <cell r="D2686" t="str">
            <v>DQZ2478</v>
          </cell>
        </row>
        <row r="2687">
          <cell r="C2687" t="str">
            <v>DRC4488</v>
          </cell>
          <cell r="D2687" t="str">
            <v>DRC4488</v>
          </cell>
        </row>
        <row r="2688">
          <cell r="C2688" t="str">
            <v>DRT3450</v>
          </cell>
          <cell r="D2688" t="str">
            <v>DRT3450</v>
          </cell>
        </row>
        <row r="2689">
          <cell r="C2689" t="str">
            <v>DRT6H59</v>
          </cell>
          <cell r="D2689" t="str">
            <v>DRT6H59</v>
          </cell>
        </row>
        <row r="2690">
          <cell r="C2690" t="str">
            <v>DSH9367</v>
          </cell>
          <cell r="D2690" t="str">
            <v>DSH9367</v>
          </cell>
        </row>
        <row r="2691">
          <cell r="C2691" t="str">
            <v>DSK1H98</v>
          </cell>
          <cell r="D2691" t="str">
            <v>DSK1H98</v>
          </cell>
        </row>
        <row r="2692">
          <cell r="C2692" t="str">
            <v>DSQ5564</v>
          </cell>
          <cell r="D2692" t="str">
            <v>DSQ5564</v>
          </cell>
        </row>
        <row r="2693">
          <cell r="C2693" t="str">
            <v>DTA2F91</v>
          </cell>
          <cell r="D2693" t="str">
            <v>DTA2F91</v>
          </cell>
        </row>
        <row r="2694">
          <cell r="C2694" t="str">
            <v>DTB6854</v>
          </cell>
          <cell r="D2694" t="str">
            <v>DTB6854</v>
          </cell>
        </row>
        <row r="2695">
          <cell r="C2695" t="str">
            <v>DTB9308</v>
          </cell>
          <cell r="D2695" t="str">
            <v>DTB9308</v>
          </cell>
        </row>
        <row r="2696">
          <cell r="C2696" t="str">
            <v>DTC5955</v>
          </cell>
          <cell r="D2696" t="str">
            <v>DTC5955</v>
          </cell>
        </row>
        <row r="2697">
          <cell r="C2697" t="str">
            <v>DTD9465</v>
          </cell>
          <cell r="D2697" t="str">
            <v>DTD9465</v>
          </cell>
        </row>
        <row r="2698">
          <cell r="C2698" t="str">
            <v>DTD5240</v>
          </cell>
          <cell r="D2698" t="str">
            <v>DTD5240</v>
          </cell>
        </row>
        <row r="2699">
          <cell r="C2699" t="str">
            <v>DTD0109</v>
          </cell>
          <cell r="D2699" t="str">
            <v>DTD0109</v>
          </cell>
        </row>
        <row r="2700">
          <cell r="C2700" t="str">
            <v>DTD3483</v>
          </cell>
          <cell r="D2700" t="str">
            <v>DTD3483</v>
          </cell>
        </row>
        <row r="2701">
          <cell r="C2701" t="str">
            <v>DTE1234</v>
          </cell>
          <cell r="D2701" t="str">
            <v>DTE1234</v>
          </cell>
        </row>
        <row r="2702">
          <cell r="C2702" t="str">
            <v>DTL7D24</v>
          </cell>
          <cell r="D2702" t="str">
            <v>DTL7D24</v>
          </cell>
        </row>
        <row r="2703">
          <cell r="C2703" t="str">
            <v>DTR7484</v>
          </cell>
          <cell r="D2703" t="str">
            <v>DTR7484</v>
          </cell>
        </row>
        <row r="2704">
          <cell r="C2704" t="str">
            <v>DTS1392</v>
          </cell>
          <cell r="D2704" t="str">
            <v>DTS1392</v>
          </cell>
        </row>
        <row r="2705">
          <cell r="C2705" t="str">
            <v>DTS1684</v>
          </cell>
          <cell r="D2705" t="str">
            <v>DTS1684</v>
          </cell>
        </row>
        <row r="2706">
          <cell r="C2706" t="str">
            <v>DTS2071</v>
          </cell>
          <cell r="D2706" t="str">
            <v>DTS2071</v>
          </cell>
        </row>
        <row r="2707">
          <cell r="C2707" t="str">
            <v>DTX1337</v>
          </cell>
          <cell r="D2707" t="str">
            <v>DTX1337</v>
          </cell>
        </row>
        <row r="2708">
          <cell r="C2708" t="str">
            <v>DVI0047</v>
          </cell>
          <cell r="D2708" t="str">
            <v>DVI0047</v>
          </cell>
        </row>
        <row r="2709">
          <cell r="C2709" t="str">
            <v>DVS0418</v>
          </cell>
          <cell r="D2709" t="str">
            <v>DVS0418</v>
          </cell>
        </row>
        <row r="2710">
          <cell r="C2710" t="str">
            <v>DVS4F53</v>
          </cell>
          <cell r="D2710" t="str">
            <v>DVS4F53</v>
          </cell>
        </row>
        <row r="2711">
          <cell r="C2711" t="str">
            <v>DVS0372</v>
          </cell>
          <cell r="D2711" t="str">
            <v>DVS0372</v>
          </cell>
        </row>
        <row r="2712">
          <cell r="C2712" t="str">
            <v>DVS0889</v>
          </cell>
          <cell r="D2712" t="str">
            <v>DVS0889</v>
          </cell>
        </row>
        <row r="2713">
          <cell r="C2713" t="str">
            <v>DVS4552</v>
          </cell>
          <cell r="D2713" t="str">
            <v>DVS4552</v>
          </cell>
        </row>
        <row r="2714">
          <cell r="C2714" t="str">
            <v>DVS6A11</v>
          </cell>
          <cell r="D2714" t="str">
            <v>DVS6A11</v>
          </cell>
        </row>
        <row r="2715">
          <cell r="C2715" t="str">
            <v>DVT0466</v>
          </cell>
          <cell r="D2715" t="str">
            <v>DVT0466</v>
          </cell>
        </row>
        <row r="2716">
          <cell r="C2716" t="str">
            <v>DVT0E66</v>
          </cell>
          <cell r="D2716" t="str">
            <v>DVT0E66</v>
          </cell>
        </row>
        <row r="2717">
          <cell r="C2717" t="str">
            <v>DVT1100</v>
          </cell>
          <cell r="D2717" t="str">
            <v>DVT1100</v>
          </cell>
        </row>
        <row r="2718">
          <cell r="C2718" t="str">
            <v>DWC3899</v>
          </cell>
          <cell r="D2718" t="str">
            <v>DWC3899</v>
          </cell>
        </row>
        <row r="2719">
          <cell r="C2719" t="str">
            <v>DWC5028</v>
          </cell>
          <cell r="D2719" t="str">
            <v>DWC5028</v>
          </cell>
        </row>
        <row r="2720">
          <cell r="C2720" t="str">
            <v>DWC4742</v>
          </cell>
          <cell r="D2720" t="str">
            <v>DWC4742</v>
          </cell>
        </row>
        <row r="2721">
          <cell r="C2721" t="str">
            <v>DWF0783</v>
          </cell>
          <cell r="D2721" t="str">
            <v>DWF0783</v>
          </cell>
        </row>
        <row r="2722">
          <cell r="C2722" t="str">
            <v>DWI5911</v>
          </cell>
          <cell r="D2722" t="str">
            <v>DWI5911</v>
          </cell>
        </row>
        <row r="2723">
          <cell r="C2723" t="str">
            <v>DWJ5915</v>
          </cell>
          <cell r="D2723" t="str">
            <v>DWJ5915</v>
          </cell>
        </row>
        <row r="2724">
          <cell r="C2724" t="str">
            <v>DWN7731</v>
          </cell>
          <cell r="D2724" t="str">
            <v>DWN7731</v>
          </cell>
        </row>
        <row r="2725">
          <cell r="C2725" t="str">
            <v>DXA0E54</v>
          </cell>
          <cell r="D2725" t="str">
            <v>DXA0E54</v>
          </cell>
        </row>
        <row r="2726">
          <cell r="C2726" t="str">
            <v>DXD4462</v>
          </cell>
          <cell r="D2726" t="str">
            <v>DXD4462</v>
          </cell>
        </row>
        <row r="2727">
          <cell r="C2727" t="str">
            <v>DXD4E62</v>
          </cell>
          <cell r="D2727" t="str">
            <v>DXD4E62</v>
          </cell>
        </row>
        <row r="2728">
          <cell r="C2728" t="str">
            <v>DXR5743</v>
          </cell>
          <cell r="D2728" t="str">
            <v>DXR5743</v>
          </cell>
        </row>
        <row r="2729">
          <cell r="C2729" t="str">
            <v>DXW7H11</v>
          </cell>
          <cell r="D2729" t="str">
            <v>DXW7H11</v>
          </cell>
        </row>
        <row r="2730">
          <cell r="C2730" t="str">
            <v>DYD0700</v>
          </cell>
          <cell r="D2730" t="str">
            <v>DYD0700</v>
          </cell>
        </row>
        <row r="2731">
          <cell r="C2731" t="str">
            <v>DYE1F23</v>
          </cell>
          <cell r="D2731" t="str">
            <v>DYE1F23</v>
          </cell>
        </row>
        <row r="2732">
          <cell r="C2732" t="str">
            <v>DYW4444</v>
          </cell>
          <cell r="D2732" t="str">
            <v>DYW4444</v>
          </cell>
        </row>
        <row r="2733">
          <cell r="C2733" t="str">
            <v>DZG8394</v>
          </cell>
          <cell r="D2733" t="str">
            <v>DZG8394</v>
          </cell>
        </row>
        <row r="2734">
          <cell r="C2734" t="str">
            <v>DZK6981</v>
          </cell>
          <cell r="D2734" t="str">
            <v>DZK6981</v>
          </cell>
        </row>
        <row r="2735">
          <cell r="C2735" t="str">
            <v>EAC4A71</v>
          </cell>
          <cell r="D2735" t="str">
            <v>EAC4A71</v>
          </cell>
        </row>
        <row r="2736">
          <cell r="C2736" t="str">
            <v>EAM4A13</v>
          </cell>
          <cell r="D2736" t="str">
            <v>EAM4A13</v>
          </cell>
        </row>
        <row r="2737">
          <cell r="C2737" t="str">
            <v>EAN1348</v>
          </cell>
          <cell r="D2737" t="str">
            <v>EAN1348</v>
          </cell>
        </row>
        <row r="2738">
          <cell r="C2738" t="str">
            <v>EAT8819</v>
          </cell>
          <cell r="D2738" t="str">
            <v>EAT8819</v>
          </cell>
        </row>
        <row r="2739">
          <cell r="C2739" t="str">
            <v>EAX9764</v>
          </cell>
          <cell r="D2739" t="str">
            <v>EAX9764</v>
          </cell>
        </row>
        <row r="2740">
          <cell r="C2740" t="str">
            <v>EBE2416</v>
          </cell>
          <cell r="D2740" t="str">
            <v>EBE2416</v>
          </cell>
        </row>
        <row r="2741">
          <cell r="C2741" t="str">
            <v>EBI3729</v>
          </cell>
          <cell r="D2741" t="str">
            <v>EBI3729</v>
          </cell>
        </row>
        <row r="2742">
          <cell r="C2742" t="str">
            <v>EBL0191</v>
          </cell>
          <cell r="D2742" t="str">
            <v>EBL0191</v>
          </cell>
        </row>
        <row r="2743">
          <cell r="C2743" t="str">
            <v>EBM9050</v>
          </cell>
          <cell r="D2743" t="str">
            <v>EBM9050</v>
          </cell>
        </row>
        <row r="2744">
          <cell r="C2744" t="str">
            <v>EBR3218</v>
          </cell>
          <cell r="D2744" t="str">
            <v>EBR3218</v>
          </cell>
        </row>
        <row r="2745">
          <cell r="C2745" t="str">
            <v>ECM3724</v>
          </cell>
          <cell r="D2745" t="str">
            <v>ECM3724</v>
          </cell>
        </row>
        <row r="2746">
          <cell r="C2746" t="str">
            <v>ECM5543</v>
          </cell>
          <cell r="D2746" t="str">
            <v>ECM5543</v>
          </cell>
        </row>
        <row r="2747">
          <cell r="C2747" t="str">
            <v>ECT2738</v>
          </cell>
          <cell r="D2747" t="str">
            <v>ECT2738</v>
          </cell>
        </row>
        <row r="2748">
          <cell r="C2748" t="str">
            <v>ECT1B13</v>
          </cell>
          <cell r="D2748" t="str">
            <v>ECT1B13</v>
          </cell>
        </row>
        <row r="2749">
          <cell r="C2749" t="str">
            <v>EDD5094</v>
          </cell>
          <cell r="D2749" t="str">
            <v>EDD5094</v>
          </cell>
        </row>
        <row r="2750">
          <cell r="C2750" t="str">
            <v>EDE3B54</v>
          </cell>
          <cell r="D2750" t="str">
            <v>EDE3B54</v>
          </cell>
        </row>
        <row r="2751">
          <cell r="C2751" t="str">
            <v>BIY0936</v>
          </cell>
          <cell r="D2751" t="str">
            <v>BIY0936</v>
          </cell>
        </row>
        <row r="2752">
          <cell r="C2752" t="str">
            <v>EDG0601</v>
          </cell>
          <cell r="D2752" t="str">
            <v>EDG0601</v>
          </cell>
        </row>
        <row r="2753">
          <cell r="C2753" t="str">
            <v>EDH4508</v>
          </cell>
          <cell r="D2753" t="str">
            <v>EDH4508</v>
          </cell>
        </row>
        <row r="2754">
          <cell r="C2754" t="str">
            <v>FST7275</v>
          </cell>
          <cell r="D2754" t="str">
            <v>FST7275</v>
          </cell>
        </row>
        <row r="2755">
          <cell r="C2755" t="str">
            <v>CZB9391</v>
          </cell>
          <cell r="D2755" t="str">
            <v>CZB9391</v>
          </cell>
        </row>
        <row r="2756">
          <cell r="C2756" t="str">
            <v>NRZ9960</v>
          </cell>
          <cell r="D2756" t="str">
            <v>NRZ9960</v>
          </cell>
        </row>
        <row r="2757">
          <cell r="C2757" t="str">
            <v>BWM1021</v>
          </cell>
          <cell r="D2757" t="str">
            <v>BWM1021</v>
          </cell>
        </row>
        <row r="2758">
          <cell r="C2758" t="str">
            <v>EDO4352</v>
          </cell>
          <cell r="D2758" t="str">
            <v>EDO4352</v>
          </cell>
        </row>
        <row r="2759">
          <cell r="C2759" t="str">
            <v>EDQ7073</v>
          </cell>
          <cell r="D2759" t="str">
            <v>EDQ7073</v>
          </cell>
        </row>
        <row r="2760">
          <cell r="C2760" t="str">
            <v>EDR6673</v>
          </cell>
          <cell r="D2760" t="str">
            <v>EDR6673</v>
          </cell>
        </row>
        <row r="2761">
          <cell r="C2761" t="str">
            <v>EDR5658</v>
          </cell>
          <cell r="D2761" t="str">
            <v>EDR5658</v>
          </cell>
        </row>
        <row r="2762">
          <cell r="C2762" t="str">
            <v>GXH8410</v>
          </cell>
          <cell r="D2762" t="str">
            <v>GXH8410</v>
          </cell>
        </row>
        <row r="2763">
          <cell r="C2763" t="str">
            <v>IAT9755</v>
          </cell>
          <cell r="D2763" t="str">
            <v>IAT9755</v>
          </cell>
        </row>
        <row r="2764">
          <cell r="C2764" t="str">
            <v>CPI9113</v>
          </cell>
          <cell r="D2764" t="str">
            <v>CPI9113</v>
          </cell>
        </row>
        <row r="2765">
          <cell r="C2765" t="str">
            <v>KLM3996</v>
          </cell>
          <cell r="D2765" t="str">
            <v>KLM3996</v>
          </cell>
        </row>
        <row r="2766">
          <cell r="C2766" t="str">
            <v>EDV0A73</v>
          </cell>
          <cell r="D2766" t="str">
            <v>EDV0A73</v>
          </cell>
        </row>
        <row r="2767">
          <cell r="C2767" t="str">
            <v>CAH0276</v>
          </cell>
          <cell r="D2767" t="str">
            <v>CAH0276</v>
          </cell>
        </row>
        <row r="2768">
          <cell r="C2768" t="str">
            <v>EDY5B10</v>
          </cell>
          <cell r="D2768" t="str">
            <v>EDY5B10</v>
          </cell>
        </row>
        <row r="2769">
          <cell r="C2769" t="str">
            <v>LWZ0635</v>
          </cell>
          <cell r="D2769" t="str">
            <v>LWZ0635</v>
          </cell>
        </row>
        <row r="2770">
          <cell r="C2770" t="str">
            <v>EEA8570</v>
          </cell>
          <cell r="D2770" t="str">
            <v>EEA8570</v>
          </cell>
        </row>
        <row r="2771">
          <cell r="C2771" t="str">
            <v>EEL2518</v>
          </cell>
          <cell r="D2771" t="str">
            <v>EEL2518</v>
          </cell>
        </row>
        <row r="2772">
          <cell r="C2772" t="str">
            <v>EEQ7332</v>
          </cell>
          <cell r="D2772" t="str">
            <v>EEQ7332</v>
          </cell>
        </row>
        <row r="2773">
          <cell r="C2773" t="str">
            <v>EEV9296</v>
          </cell>
          <cell r="D2773" t="str">
            <v>EEV9296</v>
          </cell>
        </row>
        <row r="2774">
          <cell r="C2774" t="str">
            <v>EEX6800</v>
          </cell>
          <cell r="D2774" t="str">
            <v>EEX6800</v>
          </cell>
        </row>
        <row r="2775">
          <cell r="C2775" t="str">
            <v>EEZ6310</v>
          </cell>
          <cell r="D2775" t="str">
            <v>EEZ6310</v>
          </cell>
        </row>
        <row r="2776">
          <cell r="C2776" t="str">
            <v>EFC5769</v>
          </cell>
          <cell r="D2776" t="str">
            <v>EFC5769</v>
          </cell>
        </row>
        <row r="2777">
          <cell r="C2777" t="str">
            <v>EFO8936</v>
          </cell>
          <cell r="D2777" t="str">
            <v>EFO8936</v>
          </cell>
        </row>
        <row r="2778">
          <cell r="C2778" t="str">
            <v>EFV1I00</v>
          </cell>
          <cell r="D2778" t="str">
            <v>EFV1I00</v>
          </cell>
        </row>
        <row r="2779">
          <cell r="C2779" t="str">
            <v>EGB8H31</v>
          </cell>
          <cell r="D2779" t="str">
            <v>EGB8H31</v>
          </cell>
        </row>
        <row r="2780">
          <cell r="C2780" t="str">
            <v>EGC6553</v>
          </cell>
          <cell r="D2780" t="str">
            <v>EGC6553</v>
          </cell>
        </row>
        <row r="2781">
          <cell r="C2781" t="str">
            <v>EGJ3669</v>
          </cell>
          <cell r="D2781" t="str">
            <v>EGJ3669</v>
          </cell>
        </row>
        <row r="2782">
          <cell r="C2782" t="str">
            <v>EGJ7008</v>
          </cell>
          <cell r="D2782" t="str">
            <v>EGJ7008</v>
          </cell>
        </row>
        <row r="2783">
          <cell r="C2783" t="str">
            <v>EGN2710</v>
          </cell>
          <cell r="D2783" t="str">
            <v>EGN2710</v>
          </cell>
        </row>
        <row r="2784">
          <cell r="C2784" t="str">
            <v>EGO0A83</v>
          </cell>
          <cell r="D2784" t="str">
            <v>EGO0A83</v>
          </cell>
        </row>
        <row r="2785">
          <cell r="C2785" t="str">
            <v>EGR5562</v>
          </cell>
          <cell r="D2785" t="str">
            <v>EGR5562</v>
          </cell>
        </row>
        <row r="2786">
          <cell r="C2786" t="str">
            <v>EGR5582</v>
          </cell>
          <cell r="D2786" t="str">
            <v>EGR5582</v>
          </cell>
        </row>
        <row r="2787">
          <cell r="C2787" t="str">
            <v>EGR5601</v>
          </cell>
          <cell r="D2787" t="str">
            <v>EGR5601</v>
          </cell>
        </row>
        <row r="2788">
          <cell r="C2788" t="str">
            <v>EGR5F62</v>
          </cell>
          <cell r="D2788" t="str">
            <v>EGR5F62</v>
          </cell>
        </row>
        <row r="2789">
          <cell r="C2789" t="str">
            <v>EGW1600</v>
          </cell>
          <cell r="D2789" t="str">
            <v>EGW1600</v>
          </cell>
        </row>
        <row r="2790">
          <cell r="C2790" t="str">
            <v>EGY1I23</v>
          </cell>
          <cell r="D2790" t="str">
            <v>EGY1I23</v>
          </cell>
        </row>
        <row r="2791">
          <cell r="C2791" t="str">
            <v>EHH0002</v>
          </cell>
          <cell r="D2791" t="str">
            <v>EHH0002</v>
          </cell>
        </row>
        <row r="2792">
          <cell r="C2792" t="str">
            <v>EHH0003</v>
          </cell>
          <cell r="D2792" t="str">
            <v>EHH0003</v>
          </cell>
        </row>
        <row r="2793">
          <cell r="C2793" t="str">
            <v>EHH0004</v>
          </cell>
          <cell r="D2793" t="str">
            <v>EHH0004</v>
          </cell>
        </row>
        <row r="2794">
          <cell r="C2794" t="str">
            <v>EHH0005</v>
          </cell>
          <cell r="D2794" t="str">
            <v>EHH0005</v>
          </cell>
        </row>
        <row r="2795">
          <cell r="C2795" t="str">
            <v>EHH0006</v>
          </cell>
          <cell r="D2795" t="str">
            <v>EHH0006</v>
          </cell>
        </row>
        <row r="2796">
          <cell r="C2796" t="str">
            <v>EHH0007</v>
          </cell>
          <cell r="D2796" t="str">
            <v>EHH0007</v>
          </cell>
        </row>
        <row r="2797">
          <cell r="C2797" t="str">
            <v>EHH0008</v>
          </cell>
          <cell r="D2797" t="str">
            <v>EHH0008</v>
          </cell>
        </row>
        <row r="2798">
          <cell r="C2798" t="str">
            <v>EHH0009</v>
          </cell>
          <cell r="D2798" t="str">
            <v>EHH0009</v>
          </cell>
        </row>
        <row r="2799">
          <cell r="C2799" t="str">
            <v>EHH0015</v>
          </cell>
          <cell r="D2799" t="str">
            <v>EHH0015</v>
          </cell>
        </row>
        <row r="2800">
          <cell r="C2800" t="str">
            <v>EHH0019</v>
          </cell>
          <cell r="D2800" t="str">
            <v>EHH0019</v>
          </cell>
        </row>
        <row r="2801">
          <cell r="C2801" t="str">
            <v>EHH0036</v>
          </cell>
          <cell r="D2801" t="str">
            <v>EHH0036</v>
          </cell>
        </row>
        <row r="2802">
          <cell r="C2802" t="str">
            <v>EHH0037</v>
          </cell>
          <cell r="D2802" t="str">
            <v>EHH0037</v>
          </cell>
        </row>
        <row r="2803">
          <cell r="C2803" t="str">
            <v>EHH0038</v>
          </cell>
          <cell r="D2803" t="str">
            <v>EHH0038</v>
          </cell>
        </row>
        <row r="2804">
          <cell r="C2804" t="str">
            <v>EHH0039</v>
          </cell>
          <cell r="D2804" t="str">
            <v>EHH0039</v>
          </cell>
        </row>
        <row r="2805">
          <cell r="C2805" t="str">
            <v>EHH0040</v>
          </cell>
          <cell r="D2805" t="str">
            <v>EHH0040</v>
          </cell>
        </row>
        <row r="2806">
          <cell r="C2806" t="str">
            <v>EHH0044</v>
          </cell>
          <cell r="D2806" t="str">
            <v>EHH0044</v>
          </cell>
        </row>
        <row r="2807">
          <cell r="C2807" t="str">
            <v>EHH0046</v>
          </cell>
          <cell r="D2807" t="str">
            <v>EHH0046</v>
          </cell>
        </row>
        <row r="2808">
          <cell r="C2808" t="str">
            <v>EHH7J81</v>
          </cell>
          <cell r="D2808" t="str">
            <v>EHH7J81</v>
          </cell>
        </row>
        <row r="2809">
          <cell r="C2809" t="str">
            <v>EHI3347</v>
          </cell>
          <cell r="D2809" t="str">
            <v>EHI3347</v>
          </cell>
        </row>
        <row r="2810">
          <cell r="C2810" t="str">
            <v>EHL0011</v>
          </cell>
          <cell r="D2810" t="str">
            <v>EHL0011</v>
          </cell>
        </row>
        <row r="2811">
          <cell r="C2811" t="str">
            <v>EHL0012</v>
          </cell>
          <cell r="D2811" t="str">
            <v>EHL0012</v>
          </cell>
        </row>
        <row r="2812">
          <cell r="C2812" t="str">
            <v>EHL0013</v>
          </cell>
          <cell r="D2812" t="str">
            <v>EHL0013</v>
          </cell>
        </row>
        <row r="2813">
          <cell r="C2813" t="str">
            <v>EHL0014</v>
          </cell>
          <cell r="D2813" t="str">
            <v>EHL0014</v>
          </cell>
        </row>
        <row r="2814">
          <cell r="C2814" t="str">
            <v>EHL0028</v>
          </cell>
          <cell r="D2814" t="str">
            <v>EHL0028</v>
          </cell>
        </row>
        <row r="2815">
          <cell r="C2815" t="str">
            <v>EHL0041</v>
          </cell>
          <cell r="D2815" t="str">
            <v>EHL0041</v>
          </cell>
        </row>
        <row r="2816">
          <cell r="C2816" t="str">
            <v>EHL0042</v>
          </cell>
          <cell r="D2816" t="str">
            <v>EHL0042</v>
          </cell>
        </row>
        <row r="2817">
          <cell r="C2817" t="str">
            <v>EHL0043</v>
          </cell>
          <cell r="D2817" t="str">
            <v>EHL0043</v>
          </cell>
        </row>
        <row r="2818">
          <cell r="C2818" t="str">
            <v>EHN0001</v>
          </cell>
          <cell r="D2818" t="str">
            <v>EHN0001</v>
          </cell>
        </row>
        <row r="2819">
          <cell r="C2819" t="str">
            <v>EIC5844</v>
          </cell>
          <cell r="D2819" t="str">
            <v>EIC5844</v>
          </cell>
        </row>
        <row r="2820">
          <cell r="C2820" t="str">
            <v>EIU5540</v>
          </cell>
          <cell r="D2820" t="str">
            <v>EIU5540</v>
          </cell>
        </row>
        <row r="2821">
          <cell r="C2821" t="str">
            <v>EJC6059</v>
          </cell>
          <cell r="D2821" t="str">
            <v>EJC6059</v>
          </cell>
        </row>
        <row r="2822">
          <cell r="C2822" t="str">
            <v>EJH4843</v>
          </cell>
          <cell r="D2822" t="str">
            <v>EJH4843</v>
          </cell>
        </row>
        <row r="2823">
          <cell r="C2823" t="str">
            <v>EJV0253</v>
          </cell>
          <cell r="D2823" t="str">
            <v>EJV0253</v>
          </cell>
        </row>
        <row r="2824">
          <cell r="C2824" t="str">
            <v>EJV6044</v>
          </cell>
          <cell r="D2824" t="str">
            <v>EJV6044</v>
          </cell>
        </row>
        <row r="2825">
          <cell r="C2825" t="str">
            <v>EJV8306</v>
          </cell>
          <cell r="D2825" t="str">
            <v>EJV8306</v>
          </cell>
        </row>
        <row r="2826">
          <cell r="C2826" t="str">
            <v>EJW2513</v>
          </cell>
          <cell r="D2826" t="str">
            <v>EJW2513</v>
          </cell>
        </row>
        <row r="2827">
          <cell r="C2827" t="str">
            <v>EJW5579</v>
          </cell>
          <cell r="D2827" t="str">
            <v>EJW5579</v>
          </cell>
        </row>
        <row r="2828">
          <cell r="C2828" t="str">
            <v>EJY3002</v>
          </cell>
          <cell r="D2828" t="str">
            <v>EJY3002</v>
          </cell>
        </row>
        <row r="2829">
          <cell r="C2829" t="str">
            <v>EJY1782</v>
          </cell>
          <cell r="D2829" t="str">
            <v>EJY1782</v>
          </cell>
        </row>
        <row r="2830">
          <cell r="C2830" t="str">
            <v>EJY4151</v>
          </cell>
          <cell r="D2830" t="str">
            <v>EJY4151</v>
          </cell>
        </row>
        <row r="2831">
          <cell r="C2831" t="str">
            <v>EJZ0785</v>
          </cell>
          <cell r="D2831" t="str">
            <v>EJZ0785</v>
          </cell>
        </row>
        <row r="2832">
          <cell r="C2832" t="str">
            <v>EJZ7303</v>
          </cell>
          <cell r="D2832" t="str">
            <v>EJZ7303</v>
          </cell>
        </row>
        <row r="2833">
          <cell r="C2833" t="str">
            <v>EJZ7344</v>
          </cell>
          <cell r="D2833" t="str">
            <v>EJZ7344</v>
          </cell>
        </row>
        <row r="2834">
          <cell r="C2834" t="str">
            <v>EJZ7495</v>
          </cell>
          <cell r="D2834" t="str">
            <v>EJZ7495</v>
          </cell>
        </row>
        <row r="2835">
          <cell r="C2835" t="str">
            <v>EJZ7496</v>
          </cell>
          <cell r="D2835" t="str">
            <v>EJZ7496</v>
          </cell>
        </row>
        <row r="2836">
          <cell r="C2836" t="str">
            <v>EJZ7688</v>
          </cell>
          <cell r="D2836" t="str">
            <v>EJZ7688</v>
          </cell>
        </row>
        <row r="2837">
          <cell r="C2837" t="str">
            <v>EJZ7877</v>
          </cell>
          <cell r="D2837" t="str">
            <v>EJZ7877</v>
          </cell>
        </row>
        <row r="2838">
          <cell r="C2838" t="str">
            <v>EJZ7998</v>
          </cell>
          <cell r="D2838" t="str">
            <v>EJZ7998</v>
          </cell>
        </row>
        <row r="2839">
          <cell r="C2839" t="str">
            <v>EJZ7999</v>
          </cell>
          <cell r="D2839" t="str">
            <v>EJZ7999</v>
          </cell>
        </row>
        <row r="2840">
          <cell r="C2840" t="str">
            <v>EJZ7D04</v>
          </cell>
          <cell r="D2840" t="str">
            <v>EJZ7D04</v>
          </cell>
        </row>
        <row r="2841">
          <cell r="C2841" t="str">
            <v>EJZ7J97</v>
          </cell>
          <cell r="D2841" t="str">
            <v>EJZ7J97</v>
          </cell>
        </row>
        <row r="2842">
          <cell r="C2842" t="str">
            <v>EKH4016</v>
          </cell>
          <cell r="D2842" t="str">
            <v>EKH4016</v>
          </cell>
        </row>
        <row r="2843">
          <cell r="C2843" t="str">
            <v>EKQ4901</v>
          </cell>
          <cell r="D2843" t="str">
            <v>EKQ4901</v>
          </cell>
        </row>
        <row r="2844">
          <cell r="C2844" t="str">
            <v>ELB5911</v>
          </cell>
          <cell r="D2844" t="str">
            <v>ELB5911</v>
          </cell>
        </row>
        <row r="2845">
          <cell r="C2845" t="str">
            <v>ELC1397</v>
          </cell>
          <cell r="D2845" t="str">
            <v>ELC1397</v>
          </cell>
        </row>
        <row r="2846">
          <cell r="C2846" t="str">
            <v>KVV0601</v>
          </cell>
          <cell r="D2846" t="str">
            <v>KVV0601</v>
          </cell>
        </row>
        <row r="2847">
          <cell r="C2847" t="str">
            <v>ELL5524</v>
          </cell>
          <cell r="D2847" t="str">
            <v>ELL5524</v>
          </cell>
        </row>
        <row r="2848">
          <cell r="C2848" t="str">
            <v>ELM0767</v>
          </cell>
          <cell r="D2848" t="str">
            <v>ELM0767</v>
          </cell>
        </row>
        <row r="2849">
          <cell r="C2849" t="str">
            <v>EMF5F80</v>
          </cell>
          <cell r="D2849" t="str">
            <v>EMF5F80</v>
          </cell>
        </row>
        <row r="2850">
          <cell r="C2850" t="str">
            <v>EMI1400</v>
          </cell>
          <cell r="D2850" t="str">
            <v>EMI1400</v>
          </cell>
        </row>
        <row r="2851">
          <cell r="C2851" t="str">
            <v>EMN3764</v>
          </cell>
          <cell r="D2851" t="str">
            <v>EMN3764</v>
          </cell>
        </row>
        <row r="2852">
          <cell r="C2852" t="str">
            <v>EMP8492</v>
          </cell>
          <cell r="D2852" t="str">
            <v>EMP8492</v>
          </cell>
        </row>
        <row r="2853">
          <cell r="C2853" t="str">
            <v>EMU5986</v>
          </cell>
          <cell r="D2853" t="str">
            <v>EMU5986</v>
          </cell>
        </row>
        <row r="2854">
          <cell r="C2854" t="str">
            <v>ENG0A83</v>
          </cell>
          <cell r="D2854" t="str">
            <v>ENG0A83</v>
          </cell>
        </row>
        <row r="2855">
          <cell r="C2855" t="str">
            <v>ENH7766</v>
          </cell>
          <cell r="D2855" t="str">
            <v>ENH7766</v>
          </cell>
        </row>
        <row r="2856">
          <cell r="C2856" t="str">
            <v>EPC6676</v>
          </cell>
          <cell r="D2856" t="str">
            <v>EPC6676</v>
          </cell>
        </row>
        <row r="2857">
          <cell r="C2857" t="str">
            <v>EPE3771</v>
          </cell>
          <cell r="D2857" t="str">
            <v>EPE3771</v>
          </cell>
        </row>
        <row r="2858">
          <cell r="C2858" t="str">
            <v>EPH0020</v>
          </cell>
          <cell r="D2858" t="str">
            <v>EPH0020</v>
          </cell>
        </row>
        <row r="2859">
          <cell r="C2859" t="str">
            <v>EPI0530</v>
          </cell>
          <cell r="D2859" t="str">
            <v>EPI0530</v>
          </cell>
        </row>
        <row r="2860">
          <cell r="C2860" t="str">
            <v>EPM3H63</v>
          </cell>
          <cell r="D2860" t="str">
            <v>EPM3H63</v>
          </cell>
        </row>
        <row r="2861">
          <cell r="C2861" t="str">
            <v>EPN8J43</v>
          </cell>
          <cell r="D2861" t="str">
            <v>EPN8J43</v>
          </cell>
        </row>
        <row r="2862">
          <cell r="C2862" t="str">
            <v>EPS1245</v>
          </cell>
          <cell r="D2862" t="str">
            <v>EPS1245</v>
          </cell>
        </row>
        <row r="2863">
          <cell r="C2863" t="str">
            <v>EPS3245</v>
          </cell>
          <cell r="D2863" t="str">
            <v>EPS3245</v>
          </cell>
        </row>
        <row r="2864">
          <cell r="C2864" t="str">
            <v>EPT0024</v>
          </cell>
          <cell r="D2864" t="str">
            <v>EPT0024</v>
          </cell>
        </row>
        <row r="2865">
          <cell r="C2865" t="str">
            <v>EPU1201</v>
          </cell>
          <cell r="D2865" t="str">
            <v>EPU1201</v>
          </cell>
        </row>
        <row r="2866">
          <cell r="C2866" t="str">
            <v>EPX4050</v>
          </cell>
          <cell r="D2866" t="str">
            <v>EPX4050</v>
          </cell>
        </row>
        <row r="2867">
          <cell r="C2867" t="str">
            <v>EQN5736</v>
          </cell>
          <cell r="D2867" t="str">
            <v>EQN5736</v>
          </cell>
        </row>
        <row r="2868">
          <cell r="C2868" t="str">
            <v>EQO6E99</v>
          </cell>
          <cell r="D2868" t="str">
            <v>EQO6E99</v>
          </cell>
        </row>
        <row r="2869">
          <cell r="C2869" t="str">
            <v>EQU5439</v>
          </cell>
          <cell r="D2869" t="str">
            <v>EQU5439</v>
          </cell>
        </row>
        <row r="2870">
          <cell r="C2870" t="str">
            <v>EQV1687</v>
          </cell>
          <cell r="D2870" t="str">
            <v>EQV1687</v>
          </cell>
        </row>
        <row r="2871">
          <cell r="C2871" t="str">
            <v>ERE1569</v>
          </cell>
          <cell r="D2871" t="str">
            <v>ERE1569</v>
          </cell>
        </row>
        <row r="2872">
          <cell r="C2872" t="str">
            <v>ERF3103</v>
          </cell>
          <cell r="D2872" t="str">
            <v>ERF3103</v>
          </cell>
        </row>
        <row r="2873">
          <cell r="C2873" t="str">
            <v>ERP3952</v>
          </cell>
          <cell r="D2873" t="str">
            <v>ERP3952</v>
          </cell>
        </row>
        <row r="2874">
          <cell r="C2874" t="str">
            <v>ERQ0138</v>
          </cell>
          <cell r="D2874" t="str">
            <v>ERQ0138</v>
          </cell>
        </row>
        <row r="2875">
          <cell r="C2875" t="str">
            <v>EQ0015</v>
          </cell>
          <cell r="D2875" t="str">
            <v xml:space="preserve">       </v>
          </cell>
        </row>
        <row r="2876">
          <cell r="C2876" t="str">
            <v>EQ0018</v>
          </cell>
          <cell r="D2876" t="str">
            <v xml:space="preserve">       </v>
          </cell>
        </row>
        <row r="2877">
          <cell r="C2877" t="str">
            <v>EQ0019</v>
          </cell>
          <cell r="D2877" t="str">
            <v xml:space="preserve">       </v>
          </cell>
        </row>
        <row r="2878">
          <cell r="C2878" t="str">
            <v>BMO3497</v>
          </cell>
          <cell r="D2878" t="str">
            <v>BMO3497</v>
          </cell>
        </row>
        <row r="2879">
          <cell r="C2879" t="str">
            <v>ESF1815</v>
          </cell>
          <cell r="D2879" t="str">
            <v>ESF1815</v>
          </cell>
        </row>
        <row r="2880">
          <cell r="C2880" t="str">
            <v>MFI8894</v>
          </cell>
          <cell r="D2880" t="str">
            <v>MFI8894</v>
          </cell>
        </row>
        <row r="2881">
          <cell r="C2881" t="str">
            <v>ESS1G45</v>
          </cell>
          <cell r="D2881" t="str">
            <v>ESS1G45</v>
          </cell>
        </row>
        <row r="2882">
          <cell r="C2882" t="str">
            <v>ESU4396</v>
          </cell>
          <cell r="D2882" t="str">
            <v>ESU4396</v>
          </cell>
        </row>
        <row r="2883">
          <cell r="C2883" t="str">
            <v>ETD3771</v>
          </cell>
          <cell r="D2883" t="str">
            <v>ETD3771</v>
          </cell>
        </row>
        <row r="2884">
          <cell r="C2884" t="str">
            <v>ETM5D97</v>
          </cell>
          <cell r="D2884" t="str">
            <v>ETM5D97</v>
          </cell>
        </row>
        <row r="2885">
          <cell r="C2885" t="str">
            <v>ETR6673</v>
          </cell>
          <cell r="D2885" t="str">
            <v>ETR6673</v>
          </cell>
        </row>
        <row r="2886">
          <cell r="C2886" t="str">
            <v>ETR6277</v>
          </cell>
          <cell r="D2886" t="str">
            <v>ETR6277</v>
          </cell>
        </row>
        <row r="2887">
          <cell r="C2887" t="str">
            <v>ETU4415</v>
          </cell>
          <cell r="D2887" t="str">
            <v>ETU4415</v>
          </cell>
        </row>
        <row r="2888">
          <cell r="C2888" t="str">
            <v>EUI7630</v>
          </cell>
          <cell r="D2888" t="str">
            <v>EUI7630</v>
          </cell>
        </row>
        <row r="2889">
          <cell r="C2889" t="str">
            <v>AEU6866</v>
          </cell>
          <cell r="D2889" t="str">
            <v>AEU6866</v>
          </cell>
        </row>
        <row r="2890">
          <cell r="C2890" t="str">
            <v>BWQ3823</v>
          </cell>
          <cell r="D2890" t="str">
            <v>BWQ3823</v>
          </cell>
        </row>
        <row r="2891">
          <cell r="C2891" t="str">
            <v>NJG6948</v>
          </cell>
          <cell r="D2891" t="str">
            <v>NJG6948</v>
          </cell>
        </row>
        <row r="2892">
          <cell r="C2892" t="str">
            <v>MBL1706</v>
          </cell>
          <cell r="D2892" t="str">
            <v>MBL1706</v>
          </cell>
        </row>
        <row r="2893">
          <cell r="C2893" t="str">
            <v>AFC6278</v>
          </cell>
          <cell r="D2893" t="str">
            <v>AFC6278</v>
          </cell>
        </row>
        <row r="2894">
          <cell r="C2894" t="str">
            <v>EVE4869</v>
          </cell>
          <cell r="D2894" t="str">
            <v>EVE4869</v>
          </cell>
        </row>
        <row r="2895">
          <cell r="C2895" t="str">
            <v>EVH3182</v>
          </cell>
          <cell r="D2895" t="str">
            <v>EVH3182</v>
          </cell>
        </row>
        <row r="2896">
          <cell r="C2896" t="str">
            <v>EVH3882</v>
          </cell>
          <cell r="D2896" t="str">
            <v>EVH3882</v>
          </cell>
        </row>
        <row r="2897">
          <cell r="C2897" t="str">
            <v>EVJ6102</v>
          </cell>
          <cell r="D2897" t="str">
            <v>EVJ6102</v>
          </cell>
        </row>
        <row r="2898">
          <cell r="C2898" t="str">
            <v>EVL7242</v>
          </cell>
          <cell r="D2898" t="str">
            <v>EVL7242</v>
          </cell>
        </row>
        <row r="2899">
          <cell r="C2899" t="str">
            <v>EVO2874</v>
          </cell>
          <cell r="D2899" t="str">
            <v>EVO2874</v>
          </cell>
        </row>
        <row r="2900">
          <cell r="C2900" t="str">
            <v>EVO7574</v>
          </cell>
          <cell r="D2900" t="str">
            <v>EVO7574</v>
          </cell>
        </row>
        <row r="2901">
          <cell r="C2901" t="str">
            <v>EVS8A31</v>
          </cell>
          <cell r="D2901" t="str">
            <v>EVS8A31</v>
          </cell>
        </row>
        <row r="2902">
          <cell r="C2902" t="str">
            <v>EVU4273</v>
          </cell>
          <cell r="D2902" t="str">
            <v>EVU4273</v>
          </cell>
        </row>
        <row r="2903">
          <cell r="C2903" t="str">
            <v>EVU4379</v>
          </cell>
          <cell r="D2903" t="str">
            <v>EVU4379</v>
          </cell>
        </row>
        <row r="2904">
          <cell r="C2904" t="str">
            <v>EVU2775</v>
          </cell>
          <cell r="D2904" t="str">
            <v>EVU2775</v>
          </cell>
        </row>
        <row r="2905">
          <cell r="C2905" t="str">
            <v>EVU3891</v>
          </cell>
          <cell r="D2905" t="str">
            <v>EVU3891</v>
          </cell>
        </row>
        <row r="2906">
          <cell r="C2906" t="str">
            <v>EVU3893</v>
          </cell>
          <cell r="D2906" t="str">
            <v>EVU3893</v>
          </cell>
        </row>
        <row r="2907">
          <cell r="C2907" t="str">
            <v>EVU3914</v>
          </cell>
          <cell r="D2907" t="str">
            <v>EVU3914</v>
          </cell>
        </row>
        <row r="2908">
          <cell r="C2908" t="str">
            <v>EVU4268</v>
          </cell>
          <cell r="D2908" t="str">
            <v>EVU4268</v>
          </cell>
        </row>
        <row r="2909">
          <cell r="C2909" t="str">
            <v>EWJ2055</v>
          </cell>
          <cell r="D2909" t="str">
            <v>EWJ2055</v>
          </cell>
        </row>
        <row r="2910">
          <cell r="C2910" t="str">
            <v>EWL8642</v>
          </cell>
          <cell r="D2910" t="str">
            <v>EWL8642</v>
          </cell>
        </row>
        <row r="2911">
          <cell r="C2911" t="str">
            <v>EWN3487</v>
          </cell>
          <cell r="D2911" t="str">
            <v>EWN3487</v>
          </cell>
        </row>
        <row r="2912">
          <cell r="C2912" t="str">
            <v>EWT7371</v>
          </cell>
          <cell r="D2912" t="str">
            <v>EWT7371</v>
          </cell>
        </row>
        <row r="2913">
          <cell r="C2913" t="str">
            <v>EWU6342</v>
          </cell>
          <cell r="D2913" t="str">
            <v>EWU6342</v>
          </cell>
        </row>
        <row r="2914">
          <cell r="C2914" t="str">
            <v>EWU5671</v>
          </cell>
          <cell r="D2914" t="str">
            <v>EWU5671</v>
          </cell>
        </row>
        <row r="2915">
          <cell r="C2915" t="str">
            <v>EWU5698</v>
          </cell>
          <cell r="D2915" t="str">
            <v>EWU5698</v>
          </cell>
        </row>
        <row r="2916">
          <cell r="C2916" t="str">
            <v>EWU5857</v>
          </cell>
          <cell r="D2916" t="str">
            <v>EWU5857</v>
          </cell>
        </row>
        <row r="2917">
          <cell r="C2917" t="str">
            <v>EWU5943</v>
          </cell>
          <cell r="D2917">
            <v>14</v>
          </cell>
        </row>
        <row r="2918">
          <cell r="C2918" t="str">
            <v>EWU5984</v>
          </cell>
          <cell r="D2918" t="str">
            <v>EWU5984</v>
          </cell>
        </row>
        <row r="2919">
          <cell r="C2919" t="str">
            <v>EWU5986</v>
          </cell>
          <cell r="D2919" t="str">
            <v>EWU5986</v>
          </cell>
        </row>
        <row r="2920">
          <cell r="C2920" t="str">
            <v>EWU5I73</v>
          </cell>
          <cell r="D2920" t="str">
            <v>EWU5I73</v>
          </cell>
        </row>
        <row r="2921">
          <cell r="C2921" t="str">
            <v>EWU5J45</v>
          </cell>
          <cell r="D2921" t="str">
            <v>EWU5J45</v>
          </cell>
        </row>
        <row r="2922">
          <cell r="C2922" t="str">
            <v>EWU5J85</v>
          </cell>
          <cell r="D2922" t="str">
            <v>EWU5J85</v>
          </cell>
        </row>
        <row r="2923">
          <cell r="C2923" t="str">
            <v>EWU5J98</v>
          </cell>
          <cell r="D2923" t="str">
            <v>EWU5J98</v>
          </cell>
        </row>
        <row r="2924">
          <cell r="C2924" t="str">
            <v>EWU6003</v>
          </cell>
          <cell r="D2924" t="str">
            <v>EWU6003</v>
          </cell>
        </row>
        <row r="2925">
          <cell r="C2925" t="str">
            <v>EWU6041</v>
          </cell>
          <cell r="D2925" t="str">
            <v>EWU6041</v>
          </cell>
        </row>
        <row r="2926">
          <cell r="C2926" t="str">
            <v>EWU6087</v>
          </cell>
          <cell r="D2926" t="str">
            <v>EWU6087</v>
          </cell>
        </row>
        <row r="2927">
          <cell r="C2927" t="str">
            <v>EWU6088</v>
          </cell>
          <cell r="D2927" t="str">
            <v>EWU6088</v>
          </cell>
        </row>
        <row r="2928">
          <cell r="C2928" t="str">
            <v>EWU6143</v>
          </cell>
          <cell r="D2928" t="str">
            <v>EWU6143</v>
          </cell>
        </row>
        <row r="2929">
          <cell r="C2929" t="str">
            <v>EWU6152</v>
          </cell>
          <cell r="D2929" t="str">
            <v>EWU6152</v>
          </cell>
        </row>
        <row r="2930">
          <cell r="C2930" t="str">
            <v>EWU6154</v>
          </cell>
          <cell r="D2930" t="str">
            <v>EWU6154</v>
          </cell>
        </row>
        <row r="2931">
          <cell r="C2931" t="str">
            <v>EWU6204</v>
          </cell>
          <cell r="D2931" t="str">
            <v>EWU6204</v>
          </cell>
        </row>
        <row r="2932">
          <cell r="C2932" t="str">
            <v>EWU6294</v>
          </cell>
          <cell r="D2932" t="str">
            <v>EWU6294</v>
          </cell>
        </row>
        <row r="2933">
          <cell r="C2933" t="str">
            <v>EWU6341</v>
          </cell>
          <cell r="D2933" t="str">
            <v>EWU6341</v>
          </cell>
        </row>
        <row r="2934">
          <cell r="C2934" t="str">
            <v>EWU6343</v>
          </cell>
          <cell r="D2934" t="str">
            <v>EWU6343</v>
          </cell>
        </row>
        <row r="2935">
          <cell r="C2935" t="str">
            <v>EWU6A79</v>
          </cell>
          <cell r="D2935" t="str">
            <v>EWU6A79</v>
          </cell>
        </row>
        <row r="2936">
          <cell r="C2936" t="str">
            <v>EWU6A85</v>
          </cell>
          <cell r="D2936" t="str">
            <v>EWU6A85</v>
          </cell>
        </row>
        <row r="2937">
          <cell r="C2937" t="str">
            <v>EWU6A86</v>
          </cell>
          <cell r="D2937" t="str">
            <v>EWU6A86</v>
          </cell>
        </row>
        <row r="2938">
          <cell r="C2938" t="str">
            <v>EWU6B52</v>
          </cell>
          <cell r="D2938" t="str">
            <v>EWU6B52</v>
          </cell>
        </row>
        <row r="2939">
          <cell r="C2939" t="str">
            <v>EWU9546</v>
          </cell>
          <cell r="D2939" t="str">
            <v>EWU9546</v>
          </cell>
        </row>
        <row r="2940">
          <cell r="C2940" t="str">
            <v>EXH5997</v>
          </cell>
          <cell r="D2940" t="str">
            <v>EXH5997</v>
          </cell>
        </row>
        <row r="2941">
          <cell r="C2941" t="str">
            <v>EXY5350</v>
          </cell>
          <cell r="D2941" t="str">
            <v>EXY5350</v>
          </cell>
        </row>
        <row r="2942">
          <cell r="C2942" t="str">
            <v>EYI1872</v>
          </cell>
          <cell r="D2942" t="str">
            <v>EYI1872</v>
          </cell>
        </row>
        <row r="2943">
          <cell r="C2943" t="str">
            <v>EYK4343</v>
          </cell>
          <cell r="D2943" t="str">
            <v>EYK4343</v>
          </cell>
        </row>
        <row r="2944">
          <cell r="C2944" t="str">
            <v>EYL7511</v>
          </cell>
          <cell r="D2944" t="str">
            <v>EYL7511</v>
          </cell>
        </row>
        <row r="2945">
          <cell r="C2945" t="str">
            <v>EYP7682</v>
          </cell>
          <cell r="D2945" t="str">
            <v>EYP7682</v>
          </cell>
        </row>
        <row r="2946">
          <cell r="C2946" t="str">
            <v>EYS1733</v>
          </cell>
          <cell r="D2946" t="str">
            <v>EYS1733</v>
          </cell>
        </row>
        <row r="2947">
          <cell r="C2947" t="str">
            <v>EYS1H33</v>
          </cell>
          <cell r="D2947" t="str">
            <v>EYS1H33</v>
          </cell>
        </row>
        <row r="2948">
          <cell r="C2948" t="str">
            <v>EYY6711</v>
          </cell>
          <cell r="D2948" t="str">
            <v>EYY6711</v>
          </cell>
        </row>
        <row r="2949">
          <cell r="C2949" t="str">
            <v>EYZ4713</v>
          </cell>
          <cell r="D2949" t="str">
            <v>EYZ4713</v>
          </cell>
        </row>
        <row r="2950">
          <cell r="C2950" t="str">
            <v>EZB9857</v>
          </cell>
          <cell r="D2950" t="str">
            <v>EZB9857</v>
          </cell>
        </row>
        <row r="2951">
          <cell r="C2951" t="str">
            <v>FAB7040</v>
          </cell>
          <cell r="D2951" t="str">
            <v>FAB7040</v>
          </cell>
        </row>
        <row r="2952">
          <cell r="C2952" t="str">
            <v>BSG8617</v>
          </cell>
          <cell r="D2952" t="str">
            <v>BSG8617</v>
          </cell>
        </row>
        <row r="2953">
          <cell r="C2953" t="str">
            <v>KQT7616</v>
          </cell>
          <cell r="D2953" t="str">
            <v>KQT7616</v>
          </cell>
        </row>
        <row r="2954">
          <cell r="C2954" t="str">
            <v>CVN8386</v>
          </cell>
          <cell r="D2954" t="str">
            <v>CVN8386</v>
          </cell>
        </row>
        <row r="2955">
          <cell r="C2955" t="str">
            <v>MSG2343</v>
          </cell>
          <cell r="D2955" t="str">
            <v>MSG2343</v>
          </cell>
        </row>
        <row r="2956">
          <cell r="C2956" t="str">
            <v>LYN6911</v>
          </cell>
          <cell r="D2956">
            <v>7</v>
          </cell>
        </row>
        <row r="2957">
          <cell r="C2957" t="str">
            <v>KZO4462</v>
          </cell>
          <cell r="D2957" t="str">
            <v>KZO4462</v>
          </cell>
        </row>
        <row r="2958">
          <cell r="C2958" t="str">
            <v>LYD6911</v>
          </cell>
          <cell r="D2958" t="str">
            <v>LYD6911</v>
          </cell>
        </row>
        <row r="2959">
          <cell r="C2959" t="str">
            <v>FAG2973</v>
          </cell>
          <cell r="D2959" t="str">
            <v>FAG2973</v>
          </cell>
        </row>
        <row r="2960">
          <cell r="C2960" t="str">
            <v>FAM2C99</v>
          </cell>
          <cell r="D2960" t="str">
            <v>FAM2C99</v>
          </cell>
        </row>
        <row r="2961">
          <cell r="C2961" t="str">
            <v>FAN2739</v>
          </cell>
          <cell r="D2961" t="str">
            <v>FAN2739</v>
          </cell>
        </row>
        <row r="2962">
          <cell r="C2962" t="str">
            <v>FBC0740</v>
          </cell>
          <cell r="D2962" t="str">
            <v>FBC0740</v>
          </cell>
        </row>
        <row r="2963">
          <cell r="C2963" t="str">
            <v>FBP8D73</v>
          </cell>
          <cell r="D2963" t="str">
            <v>FBP8D73</v>
          </cell>
        </row>
        <row r="2964">
          <cell r="C2964" t="str">
            <v>FBU7329</v>
          </cell>
          <cell r="D2964" t="str">
            <v>FBU7329</v>
          </cell>
        </row>
        <row r="2965">
          <cell r="C2965" t="str">
            <v>FBV4H62</v>
          </cell>
          <cell r="D2965" t="str">
            <v>FBV4H62</v>
          </cell>
        </row>
        <row r="2966">
          <cell r="C2966" t="str">
            <v>FCA5801</v>
          </cell>
          <cell r="D2966" t="str">
            <v>FCA5801</v>
          </cell>
        </row>
        <row r="2967">
          <cell r="C2967" t="str">
            <v>FCE9255</v>
          </cell>
          <cell r="D2967" t="str">
            <v>FCE9255</v>
          </cell>
        </row>
        <row r="2968">
          <cell r="C2968" t="str">
            <v>FCX2162</v>
          </cell>
          <cell r="D2968" t="str">
            <v>FCX2162</v>
          </cell>
        </row>
        <row r="2969">
          <cell r="C2969" t="str">
            <v>FDB9020</v>
          </cell>
          <cell r="D2969" t="str">
            <v>FDB9020</v>
          </cell>
        </row>
        <row r="2970">
          <cell r="C2970" t="str">
            <v>FDJ5717</v>
          </cell>
          <cell r="D2970" t="str">
            <v>FDJ5717</v>
          </cell>
        </row>
        <row r="2971">
          <cell r="C2971" t="str">
            <v>FDL8120</v>
          </cell>
          <cell r="D2971" t="str">
            <v>FDL8120</v>
          </cell>
        </row>
        <row r="2972">
          <cell r="C2972" t="str">
            <v>FDN9397</v>
          </cell>
          <cell r="D2972" t="str">
            <v>FDN9397</v>
          </cell>
        </row>
        <row r="2973">
          <cell r="C2973" t="str">
            <v>FDR1040</v>
          </cell>
          <cell r="D2973" t="str">
            <v>FDR1040</v>
          </cell>
        </row>
        <row r="2974">
          <cell r="C2974" t="str">
            <v>FDZ2181</v>
          </cell>
          <cell r="D2974" t="str">
            <v>FDZ2181</v>
          </cell>
        </row>
        <row r="2975">
          <cell r="C2975" t="str">
            <v>FDZ2343</v>
          </cell>
          <cell r="D2975" t="str">
            <v>FDZ2343</v>
          </cell>
        </row>
        <row r="2976">
          <cell r="C2976" t="str">
            <v>FEI3I57</v>
          </cell>
          <cell r="D2976" t="str">
            <v>FEI3I57</v>
          </cell>
        </row>
        <row r="2977">
          <cell r="C2977" t="str">
            <v>KZN7311</v>
          </cell>
          <cell r="D2977" t="str">
            <v>KZN7311</v>
          </cell>
        </row>
        <row r="2978">
          <cell r="C2978" t="str">
            <v>KCE3941</v>
          </cell>
          <cell r="D2978" t="str">
            <v>KCE3941</v>
          </cell>
        </row>
        <row r="2979">
          <cell r="C2979" t="str">
            <v>LNZ5024</v>
          </cell>
          <cell r="D2979" t="str">
            <v>LNZ5024</v>
          </cell>
        </row>
        <row r="2980">
          <cell r="C2980" t="str">
            <v>HXM3771</v>
          </cell>
          <cell r="D2980" t="str">
            <v>HXM3771</v>
          </cell>
        </row>
        <row r="2981">
          <cell r="C2981" t="str">
            <v>FFA6485</v>
          </cell>
          <cell r="D2981" t="str">
            <v>FFA6485</v>
          </cell>
        </row>
        <row r="2982">
          <cell r="C2982" t="str">
            <v>FFF2288</v>
          </cell>
          <cell r="D2982" t="str">
            <v>FFF2288</v>
          </cell>
        </row>
        <row r="2983">
          <cell r="C2983" t="str">
            <v>FFH8502</v>
          </cell>
          <cell r="D2983" t="str">
            <v>FFH8502</v>
          </cell>
        </row>
        <row r="2984">
          <cell r="C2984" t="str">
            <v>FFJ5B27</v>
          </cell>
          <cell r="D2984" t="str">
            <v>FFJ5B27</v>
          </cell>
        </row>
        <row r="2985">
          <cell r="C2985" t="str">
            <v>FFN0914</v>
          </cell>
          <cell r="D2985" t="str">
            <v>FFN0914</v>
          </cell>
        </row>
        <row r="2986">
          <cell r="C2986" t="str">
            <v>FFN0915</v>
          </cell>
          <cell r="D2986" t="str">
            <v>FFN0915</v>
          </cell>
        </row>
        <row r="2987">
          <cell r="C2987" t="str">
            <v>FFN1H86</v>
          </cell>
          <cell r="D2987" t="str">
            <v>FFN1H86</v>
          </cell>
        </row>
        <row r="2988">
          <cell r="C2988" t="str">
            <v>FFT6091</v>
          </cell>
          <cell r="D2988" t="str">
            <v>FFT6091</v>
          </cell>
        </row>
        <row r="2989">
          <cell r="C2989" t="str">
            <v>FGC0F39</v>
          </cell>
          <cell r="D2989" t="str">
            <v>FGC0F39</v>
          </cell>
        </row>
        <row r="2990">
          <cell r="C2990" t="str">
            <v>FGE8751</v>
          </cell>
          <cell r="D2990" t="str">
            <v>FGE8751</v>
          </cell>
        </row>
        <row r="2991">
          <cell r="C2991" t="str">
            <v>FGG7018</v>
          </cell>
          <cell r="D2991" t="str">
            <v>FGG7018</v>
          </cell>
        </row>
        <row r="2992">
          <cell r="C2992" t="str">
            <v>FGN2962</v>
          </cell>
          <cell r="D2992" t="str">
            <v>FGN2962</v>
          </cell>
        </row>
        <row r="2993">
          <cell r="C2993" t="str">
            <v>FGR3464</v>
          </cell>
          <cell r="D2993" t="str">
            <v>FGR3464</v>
          </cell>
        </row>
        <row r="2994">
          <cell r="C2994" t="str">
            <v>FGY3D68</v>
          </cell>
          <cell r="D2994" t="str">
            <v>FGY3D68</v>
          </cell>
        </row>
        <row r="2995">
          <cell r="C2995" t="str">
            <v>FHH4938</v>
          </cell>
          <cell r="D2995" t="str">
            <v>FHH4938</v>
          </cell>
        </row>
        <row r="2996">
          <cell r="C2996" t="str">
            <v>FHL0120</v>
          </cell>
          <cell r="D2996" t="str">
            <v>FHL0120</v>
          </cell>
        </row>
        <row r="2997">
          <cell r="C2997" t="str">
            <v>FHL0127</v>
          </cell>
          <cell r="D2997" t="str">
            <v>FHL0127</v>
          </cell>
        </row>
        <row r="2998">
          <cell r="C2998" t="str">
            <v>FHT1E46</v>
          </cell>
          <cell r="D2998" t="str">
            <v>FHT1E46</v>
          </cell>
        </row>
        <row r="2999">
          <cell r="C2999" t="str">
            <v>FIO3425</v>
          </cell>
          <cell r="D2999" t="str">
            <v>FIO3425</v>
          </cell>
        </row>
        <row r="3000">
          <cell r="C3000" t="str">
            <v>FIX4782</v>
          </cell>
          <cell r="D3000" t="str">
            <v>FIX4782</v>
          </cell>
        </row>
        <row r="3001">
          <cell r="C3001" t="str">
            <v>FIY5450</v>
          </cell>
          <cell r="D3001" t="str">
            <v>FIY5450</v>
          </cell>
        </row>
        <row r="3002">
          <cell r="C3002" t="str">
            <v>FJK2897</v>
          </cell>
          <cell r="D3002" t="str">
            <v>FJK2897</v>
          </cell>
        </row>
        <row r="3003">
          <cell r="C3003" t="str">
            <v>FJL3G15</v>
          </cell>
          <cell r="D3003" t="str">
            <v>FJL3G15</v>
          </cell>
        </row>
        <row r="3004">
          <cell r="C3004" t="str">
            <v>FJQ5A08</v>
          </cell>
          <cell r="D3004" t="str">
            <v>FJQ5A08</v>
          </cell>
        </row>
        <row r="3005">
          <cell r="C3005" t="str">
            <v>FJU8F67</v>
          </cell>
          <cell r="D3005" t="str">
            <v>FJU8F67</v>
          </cell>
        </row>
        <row r="3006">
          <cell r="C3006" t="str">
            <v>FJW4381</v>
          </cell>
          <cell r="D3006" t="str">
            <v>FJW4381</v>
          </cell>
        </row>
        <row r="3007">
          <cell r="C3007" t="str">
            <v>FJY1276</v>
          </cell>
          <cell r="D3007" t="str">
            <v>FJY1276</v>
          </cell>
        </row>
        <row r="3008">
          <cell r="C3008" t="str">
            <v>FKH8860</v>
          </cell>
          <cell r="D3008" t="str">
            <v>FKH8860</v>
          </cell>
        </row>
        <row r="3009">
          <cell r="C3009" t="str">
            <v>FKV3834</v>
          </cell>
          <cell r="D3009" t="str">
            <v>FKV3834</v>
          </cell>
        </row>
        <row r="3010">
          <cell r="C3010" t="str">
            <v>FKY7B61</v>
          </cell>
          <cell r="D3010" t="str">
            <v>FKY7B61</v>
          </cell>
        </row>
        <row r="3011">
          <cell r="C3011" t="str">
            <v>FLH4J46</v>
          </cell>
          <cell r="D3011" t="str">
            <v>FLH4J46</v>
          </cell>
        </row>
        <row r="3012">
          <cell r="C3012" t="str">
            <v>FLJ6863</v>
          </cell>
          <cell r="D3012" t="str">
            <v>FLJ6863</v>
          </cell>
        </row>
        <row r="3013">
          <cell r="C3013" t="str">
            <v>FMC4C50</v>
          </cell>
          <cell r="D3013" t="str">
            <v>FMC4C50</v>
          </cell>
        </row>
        <row r="3014">
          <cell r="C3014" t="str">
            <v>FMD1198</v>
          </cell>
          <cell r="D3014" t="str">
            <v>FMD1198</v>
          </cell>
        </row>
        <row r="3015">
          <cell r="C3015" t="str">
            <v>FMH4J51</v>
          </cell>
          <cell r="D3015" t="str">
            <v>FMH4J51</v>
          </cell>
        </row>
        <row r="3016">
          <cell r="C3016" t="str">
            <v>FMZ5I23</v>
          </cell>
          <cell r="D3016" t="str">
            <v>FMZ5I23</v>
          </cell>
        </row>
        <row r="3017">
          <cell r="C3017" t="str">
            <v>IJI2928</v>
          </cell>
          <cell r="D3017" t="str">
            <v>IJI2928</v>
          </cell>
        </row>
        <row r="3018">
          <cell r="C3018" t="str">
            <v>FNA8809</v>
          </cell>
          <cell r="D3018">
            <v>18</v>
          </cell>
        </row>
        <row r="3019">
          <cell r="C3019" t="str">
            <v>FNA8806</v>
          </cell>
          <cell r="D3019" t="str">
            <v>FNA8806</v>
          </cell>
        </row>
        <row r="3020">
          <cell r="C3020" t="str">
            <v>FNA8810</v>
          </cell>
          <cell r="D3020" t="str">
            <v>FNA8810</v>
          </cell>
        </row>
        <row r="3021">
          <cell r="C3021" t="str">
            <v>FND6334</v>
          </cell>
          <cell r="D3021" t="str">
            <v>FND6334</v>
          </cell>
        </row>
        <row r="3022">
          <cell r="C3022" t="str">
            <v>FNI1224</v>
          </cell>
          <cell r="D3022" t="str">
            <v>FNI1224</v>
          </cell>
        </row>
        <row r="3023">
          <cell r="C3023" t="str">
            <v>FOD0002</v>
          </cell>
          <cell r="D3023" t="str">
            <v>FOD0002</v>
          </cell>
        </row>
        <row r="3024">
          <cell r="C3024" t="str">
            <v>FOF4882</v>
          </cell>
          <cell r="D3024" t="str">
            <v>FOF4882</v>
          </cell>
        </row>
        <row r="3025">
          <cell r="C3025" t="str">
            <v>FOW6908</v>
          </cell>
          <cell r="D3025" t="str">
            <v>FOW6908</v>
          </cell>
        </row>
        <row r="3026">
          <cell r="C3026" t="str">
            <v>FOZ3902</v>
          </cell>
          <cell r="D3026" t="str">
            <v>FOZ3902</v>
          </cell>
        </row>
        <row r="3027">
          <cell r="C3027" t="str">
            <v>FPB5800</v>
          </cell>
          <cell r="D3027" t="str">
            <v>FPB5800</v>
          </cell>
        </row>
        <row r="3028">
          <cell r="C3028" t="str">
            <v>FPP4560</v>
          </cell>
          <cell r="D3028" t="str">
            <v>FPP4560</v>
          </cell>
        </row>
        <row r="3029">
          <cell r="C3029" t="str">
            <v>FQE4H80</v>
          </cell>
          <cell r="D3029" t="str">
            <v>FQE4H80</v>
          </cell>
        </row>
        <row r="3030">
          <cell r="C3030" t="str">
            <v>FQE5G20</v>
          </cell>
          <cell r="D3030" t="str">
            <v>FQE5G20</v>
          </cell>
        </row>
        <row r="3031">
          <cell r="C3031" t="str">
            <v>FQE5I06</v>
          </cell>
          <cell r="D3031" t="str">
            <v>FQE5I06</v>
          </cell>
        </row>
        <row r="3032">
          <cell r="C3032" t="str">
            <v>FQS6352</v>
          </cell>
          <cell r="D3032" t="str">
            <v>FQS6352</v>
          </cell>
        </row>
        <row r="3033">
          <cell r="C3033" t="str">
            <v>FQY3D68</v>
          </cell>
          <cell r="D3033" t="str">
            <v>FQY3D68</v>
          </cell>
        </row>
        <row r="3034">
          <cell r="C3034" t="str">
            <v>LQY9967</v>
          </cell>
          <cell r="D3034" t="str">
            <v>LQY9967</v>
          </cell>
        </row>
        <row r="3035">
          <cell r="C3035" t="str">
            <v>BXJ3308</v>
          </cell>
          <cell r="D3035">
            <v>9</v>
          </cell>
        </row>
        <row r="3036">
          <cell r="C3036" t="str">
            <v>FRM3202</v>
          </cell>
          <cell r="D3036" t="str">
            <v>FRM3202</v>
          </cell>
        </row>
        <row r="3037">
          <cell r="C3037" t="str">
            <v>FRT7548</v>
          </cell>
          <cell r="D3037" t="str">
            <v>FRT7548</v>
          </cell>
        </row>
        <row r="3038">
          <cell r="C3038" t="str">
            <v>FSE5229</v>
          </cell>
          <cell r="D3038" t="str">
            <v>FSE5229</v>
          </cell>
        </row>
        <row r="3039">
          <cell r="C3039" t="str">
            <v>FSH9269</v>
          </cell>
          <cell r="D3039" t="str">
            <v>FSH9269</v>
          </cell>
        </row>
        <row r="3040">
          <cell r="C3040" t="str">
            <v>FSM3416</v>
          </cell>
          <cell r="D3040" t="str">
            <v>FSM3416</v>
          </cell>
        </row>
        <row r="3041">
          <cell r="C3041" t="str">
            <v>FSM3E16</v>
          </cell>
          <cell r="D3041" t="str">
            <v>FSM3E16</v>
          </cell>
        </row>
        <row r="3042">
          <cell r="C3042" t="str">
            <v>FSS6G83</v>
          </cell>
          <cell r="D3042" t="str">
            <v>FSS6G83</v>
          </cell>
        </row>
        <row r="3043">
          <cell r="C3043" t="str">
            <v>FST9315</v>
          </cell>
          <cell r="D3043" t="str">
            <v>FST9315</v>
          </cell>
        </row>
        <row r="3044">
          <cell r="C3044" t="str">
            <v>FTA1E30</v>
          </cell>
          <cell r="D3044" t="str">
            <v>FTA1E30</v>
          </cell>
        </row>
        <row r="3045">
          <cell r="C3045" t="str">
            <v>FTL7982</v>
          </cell>
          <cell r="D3045" t="str">
            <v>FTL7982</v>
          </cell>
        </row>
        <row r="3046">
          <cell r="C3046" t="str">
            <v>FTN1090</v>
          </cell>
          <cell r="D3046" t="str">
            <v>FTN1090</v>
          </cell>
        </row>
        <row r="3047">
          <cell r="C3047" t="str">
            <v>FTP7D76</v>
          </cell>
          <cell r="D3047" t="str">
            <v>FTP7D76</v>
          </cell>
        </row>
        <row r="3048">
          <cell r="C3048" t="str">
            <v>FUF1E28</v>
          </cell>
          <cell r="D3048" t="str">
            <v>FUF1E28</v>
          </cell>
        </row>
        <row r="3049">
          <cell r="C3049" t="str">
            <v>FUK6147</v>
          </cell>
          <cell r="D3049" t="str">
            <v>FUK6147</v>
          </cell>
        </row>
        <row r="3050">
          <cell r="C3050" t="str">
            <v>FUP3G76</v>
          </cell>
          <cell r="D3050" t="str">
            <v>FUP3G76</v>
          </cell>
        </row>
        <row r="3051">
          <cell r="C3051" t="str">
            <v>FUU8098</v>
          </cell>
          <cell r="D3051" t="str">
            <v>FUU8098</v>
          </cell>
        </row>
        <row r="3052">
          <cell r="C3052" t="str">
            <v>FUW6409</v>
          </cell>
          <cell r="D3052" t="str">
            <v>FUW6409</v>
          </cell>
        </row>
        <row r="3053">
          <cell r="C3053" t="str">
            <v>FUZ0505</v>
          </cell>
          <cell r="D3053" t="str">
            <v>FUZ0505</v>
          </cell>
        </row>
        <row r="3054">
          <cell r="C3054" t="str">
            <v>FVH1G78</v>
          </cell>
          <cell r="D3054" t="str">
            <v>FVH1G78</v>
          </cell>
        </row>
        <row r="3055">
          <cell r="C3055" t="str">
            <v>FVP9194</v>
          </cell>
          <cell r="D3055" t="str">
            <v>FVP9194</v>
          </cell>
        </row>
        <row r="3056">
          <cell r="C3056" t="str">
            <v>FVQ3B78</v>
          </cell>
          <cell r="D3056" t="str">
            <v>FVQ3B78</v>
          </cell>
        </row>
        <row r="3057">
          <cell r="C3057" t="str">
            <v>FVZ5994</v>
          </cell>
          <cell r="D3057" t="str">
            <v>FVZ5994</v>
          </cell>
        </row>
        <row r="3058">
          <cell r="C3058" t="str">
            <v>FWA4I34</v>
          </cell>
          <cell r="D3058" t="str">
            <v>FWA4I34</v>
          </cell>
        </row>
        <row r="3059">
          <cell r="C3059" t="str">
            <v>FWF0C30</v>
          </cell>
          <cell r="D3059" t="str">
            <v>FWF0C30</v>
          </cell>
        </row>
        <row r="3060">
          <cell r="C3060" t="str">
            <v>FWI8455</v>
          </cell>
          <cell r="D3060" t="str">
            <v>FWI8455</v>
          </cell>
        </row>
        <row r="3061">
          <cell r="C3061" t="str">
            <v>FWT6977</v>
          </cell>
          <cell r="D3061" t="str">
            <v>FWT6977</v>
          </cell>
        </row>
        <row r="3062">
          <cell r="C3062" t="str">
            <v>FWW9028</v>
          </cell>
          <cell r="D3062" t="str">
            <v>FWW9028</v>
          </cell>
        </row>
        <row r="3063">
          <cell r="C3063" t="str">
            <v>FWX6E15</v>
          </cell>
          <cell r="D3063" t="str">
            <v>FWX6E15</v>
          </cell>
        </row>
        <row r="3064">
          <cell r="C3064" t="str">
            <v>FWY2079</v>
          </cell>
          <cell r="D3064" t="str">
            <v>FWY2079</v>
          </cell>
        </row>
        <row r="3065">
          <cell r="C3065" t="str">
            <v>FXX6672</v>
          </cell>
          <cell r="D3065" t="str">
            <v>FXX6672</v>
          </cell>
        </row>
        <row r="3066">
          <cell r="C3066" t="str">
            <v>FYO8065</v>
          </cell>
          <cell r="D3066" t="str">
            <v>FYO8065</v>
          </cell>
        </row>
        <row r="3067">
          <cell r="C3067" t="str">
            <v>FYP1H84</v>
          </cell>
          <cell r="D3067" t="str">
            <v>FYP1H84</v>
          </cell>
        </row>
        <row r="3068">
          <cell r="C3068" t="str">
            <v>FZB9360</v>
          </cell>
          <cell r="D3068" t="str">
            <v>FZB9360</v>
          </cell>
        </row>
        <row r="3069">
          <cell r="C3069" t="str">
            <v>FZF3J28</v>
          </cell>
          <cell r="D3069" t="str">
            <v>FZF3J28</v>
          </cell>
        </row>
        <row r="3070">
          <cell r="C3070" t="str">
            <v>FZO6893</v>
          </cell>
          <cell r="D3070" t="str">
            <v>FZO6893</v>
          </cell>
        </row>
        <row r="3071">
          <cell r="C3071" t="str">
            <v>GAI0J78</v>
          </cell>
          <cell r="D3071" t="str">
            <v>GAI0J78</v>
          </cell>
        </row>
        <row r="3072">
          <cell r="C3072" t="str">
            <v>GBH2430</v>
          </cell>
          <cell r="D3072" t="str">
            <v>GBH2430</v>
          </cell>
        </row>
        <row r="3073">
          <cell r="C3073" t="str">
            <v>GBJ2J06</v>
          </cell>
          <cell r="D3073" t="str">
            <v>GBJ2J06</v>
          </cell>
        </row>
        <row r="3074">
          <cell r="C3074" t="str">
            <v>GBL8H44</v>
          </cell>
          <cell r="D3074" t="str">
            <v>GBL8H44</v>
          </cell>
        </row>
        <row r="3075">
          <cell r="C3075" t="str">
            <v>GBL9962</v>
          </cell>
          <cell r="D3075" t="str">
            <v>GBL9962</v>
          </cell>
        </row>
        <row r="3076">
          <cell r="C3076" t="str">
            <v>GBW4F06</v>
          </cell>
          <cell r="D3076" t="str">
            <v>GBW4F06</v>
          </cell>
        </row>
        <row r="3077">
          <cell r="C3077" t="str">
            <v>GCW6488</v>
          </cell>
          <cell r="D3077" t="str">
            <v>GCW6488</v>
          </cell>
        </row>
        <row r="3078">
          <cell r="C3078" t="str">
            <v>GDA9J63</v>
          </cell>
          <cell r="D3078" t="str">
            <v>GDA9J63</v>
          </cell>
        </row>
        <row r="3079">
          <cell r="C3079" t="str">
            <v>GDB3A42</v>
          </cell>
          <cell r="D3079" t="str">
            <v>GDB3A42</v>
          </cell>
        </row>
        <row r="3080">
          <cell r="C3080" t="str">
            <v>GDD8H99</v>
          </cell>
          <cell r="D3080" t="str">
            <v>GDD8H99</v>
          </cell>
        </row>
        <row r="3081">
          <cell r="C3081" t="str">
            <v>GDG8E75</v>
          </cell>
          <cell r="D3081" t="str">
            <v>GDG8E75</v>
          </cell>
        </row>
        <row r="3082">
          <cell r="C3082" t="str">
            <v>GDJ7H88</v>
          </cell>
          <cell r="D3082" t="str">
            <v>GDJ7H88</v>
          </cell>
        </row>
        <row r="3083">
          <cell r="C3083" t="str">
            <v>GDU0275</v>
          </cell>
          <cell r="D3083" t="str">
            <v>GDU0275</v>
          </cell>
        </row>
        <row r="3084">
          <cell r="C3084" t="str">
            <v>GDY0H74</v>
          </cell>
          <cell r="D3084" t="str">
            <v>GDY0H74</v>
          </cell>
        </row>
        <row r="3085">
          <cell r="C3085" t="str">
            <v>GEA4H52</v>
          </cell>
          <cell r="D3085" t="str">
            <v>GEA4H52</v>
          </cell>
        </row>
        <row r="3086">
          <cell r="C3086" t="str">
            <v>GEL7C28</v>
          </cell>
          <cell r="D3086" t="str">
            <v>GEL7C28</v>
          </cell>
        </row>
        <row r="3087">
          <cell r="C3087" t="str">
            <v>BUS5945</v>
          </cell>
          <cell r="D3087" t="str">
            <v>BUS5945</v>
          </cell>
        </row>
        <row r="3088">
          <cell r="C3088" t="str">
            <v>GEO4774</v>
          </cell>
          <cell r="D3088" t="str">
            <v>GEO4774</v>
          </cell>
        </row>
        <row r="3089">
          <cell r="C3089" t="str">
            <v>GER2017</v>
          </cell>
          <cell r="D3089" t="str">
            <v>GER2017</v>
          </cell>
        </row>
        <row r="3090">
          <cell r="C3090" t="str">
            <v>BXI9279</v>
          </cell>
          <cell r="D3090" t="str">
            <v>BXI9279</v>
          </cell>
        </row>
        <row r="3091">
          <cell r="C3091" t="str">
            <v>DTA5978</v>
          </cell>
          <cell r="D3091" t="str">
            <v>DTA5978</v>
          </cell>
        </row>
        <row r="3092">
          <cell r="C3092" t="str">
            <v>GET0J99</v>
          </cell>
          <cell r="D3092" t="str">
            <v>GET0J99</v>
          </cell>
        </row>
        <row r="3093">
          <cell r="C3093" t="str">
            <v>GEV8E44</v>
          </cell>
          <cell r="D3093" t="str">
            <v>GEV8E44</v>
          </cell>
        </row>
        <row r="3094">
          <cell r="C3094" t="str">
            <v>GFA0D41</v>
          </cell>
          <cell r="D3094" t="str">
            <v>GFA0D41</v>
          </cell>
        </row>
        <row r="3095">
          <cell r="C3095" t="str">
            <v>GGE5059</v>
          </cell>
          <cell r="D3095" t="str">
            <v>GGE5059</v>
          </cell>
        </row>
        <row r="3096">
          <cell r="C3096" t="str">
            <v>GGS6923</v>
          </cell>
          <cell r="D3096" t="str">
            <v>GGS6923</v>
          </cell>
        </row>
        <row r="3097">
          <cell r="C3097" t="str">
            <v>GHI3A74</v>
          </cell>
          <cell r="D3097" t="str">
            <v>GHI3A74</v>
          </cell>
        </row>
        <row r="3098">
          <cell r="C3098" t="str">
            <v>GHO0693</v>
          </cell>
          <cell r="D3098" t="str">
            <v>GHO0693</v>
          </cell>
        </row>
        <row r="3099">
          <cell r="C3099" t="str">
            <v>GHQ7858</v>
          </cell>
          <cell r="D3099" t="str">
            <v>GHQ7858</v>
          </cell>
        </row>
        <row r="3100">
          <cell r="C3100" t="str">
            <v>GHZ2G57</v>
          </cell>
          <cell r="D3100" t="str">
            <v>GHZ2G57</v>
          </cell>
        </row>
        <row r="3101">
          <cell r="C3101" t="str">
            <v>GIL2J66</v>
          </cell>
          <cell r="D3101" t="str">
            <v>GIL2J66</v>
          </cell>
        </row>
        <row r="3102">
          <cell r="C3102" t="str">
            <v>MGQ2699</v>
          </cell>
          <cell r="D3102" t="str">
            <v>MGQ2699</v>
          </cell>
        </row>
        <row r="3103">
          <cell r="C3103" t="str">
            <v>AGT7252</v>
          </cell>
          <cell r="D3103">
            <v>10</v>
          </cell>
        </row>
        <row r="3104">
          <cell r="C3104" t="str">
            <v>AGT7186</v>
          </cell>
          <cell r="D3104" t="str">
            <v>AGT7186</v>
          </cell>
        </row>
        <row r="3105">
          <cell r="C3105" t="str">
            <v>HTO6919</v>
          </cell>
          <cell r="D3105" t="str">
            <v>HTO6919</v>
          </cell>
        </row>
        <row r="3106">
          <cell r="C3106" t="str">
            <v>JYH1614</v>
          </cell>
          <cell r="D3106" t="str">
            <v>JYH1614</v>
          </cell>
        </row>
        <row r="3107">
          <cell r="C3107" t="str">
            <v>HTO6726</v>
          </cell>
          <cell r="D3107" t="str">
            <v>HTO6726</v>
          </cell>
        </row>
        <row r="3108">
          <cell r="C3108" t="str">
            <v>GXA5197</v>
          </cell>
          <cell r="D3108" t="str">
            <v>GXA5197</v>
          </cell>
        </row>
        <row r="3109">
          <cell r="C3109" t="str">
            <v>GIR2184</v>
          </cell>
          <cell r="D3109" t="str">
            <v>GIR2184</v>
          </cell>
        </row>
        <row r="3110">
          <cell r="C3110" t="str">
            <v>GJP9927</v>
          </cell>
          <cell r="D3110" t="str">
            <v>GJP9927</v>
          </cell>
        </row>
        <row r="3111">
          <cell r="C3111" t="str">
            <v>GKL9681</v>
          </cell>
          <cell r="D3111" t="str">
            <v>GKL9681</v>
          </cell>
        </row>
        <row r="3112">
          <cell r="C3112" t="str">
            <v>GKL8675</v>
          </cell>
          <cell r="D3112" t="str">
            <v>GKL8675</v>
          </cell>
        </row>
        <row r="3113">
          <cell r="C3113" t="str">
            <v>GKU6987</v>
          </cell>
          <cell r="D3113" t="str">
            <v>GKU6987</v>
          </cell>
        </row>
        <row r="3114">
          <cell r="C3114" t="str">
            <v>GKU8H20</v>
          </cell>
          <cell r="D3114" t="str">
            <v>GKU8H20</v>
          </cell>
        </row>
        <row r="3115">
          <cell r="C3115" t="str">
            <v>JQZ1334</v>
          </cell>
          <cell r="D3115" t="str">
            <v>JQZ1334</v>
          </cell>
        </row>
        <row r="3116">
          <cell r="C3116" t="str">
            <v>GLF0126</v>
          </cell>
          <cell r="D3116" t="str">
            <v>GLF0126</v>
          </cell>
        </row>
        <row r="3117">
          <cell r="C3117" t="str">
            <v>GLF9E48</v>
          </cell>
          <cell r="D3117" t="str">
            <v>GLF9E48</v>
          </cell>
        </row>
        <row r="3118">
          <cell r="C3118" t="str">
            <v>GLL7472</v>
          </cell>
          <cell r="D3118" t="str">
            <v>GLL7472</v>
          </cell>
        </row>
        <row r="3119">
          <cell r="C3119" t="str">
            <v>GLM6220</v>
          </cell>
          <cell r="D3119" t="str">
            <v>GLM6220</v>
          </cell>
        </row>
        <row r="3120">
          <cell r="C3120" t="str">
            <v>GLO3712</v>
          </cell>
          <cell r="D3120" t="str">
            <v>GLO3712</v>
          </cell>
        </row>
        <row r="3121">
          <cell r="C3121" t="str">
            <v>GLO9E21</v>
          </cell>
          <cell r="D3121" t="str">
            <v>GLO9E21</v>
          </cell>
        </row>
        <row r="3122">
          <cell r="C3122" t="str">
            <v>GLR1726</v>
          </cell>
          <cell r="D3122" t="str">
            <v>GLR1726</v>
          </cell>
        </row>
        <row r="3123">
          <cell r="C3123" t="str">
            <v>GLR5012</v>
          </cell>
          <cell r="D3123" t="str">
            <v>GLR5012</v>
          </cell>
        </row>
        <row r="3124">
          <cell r="C3124" t="str">
            <v>GLX4092</v>
          </cell>
          <cell r="D3124" t="str">
            <v>GLX4092</v>
          </cell>
        </row>
        <row r="3125">
          <cell r="C3125" t="str">
            <v>GLX8199</v>
          </cell>
          <cell r="D3125" t="str">
            <v>GLX8199</v>
          </cell>
        </row>
        <row r="3126">
          <cell r="C3126" t="str">
            <v>GMB6752</v>
          </cell>
          <cell r="D3126" t="str">
            <v>GMB6752</v>
          </cell>
        </row>
        <row r="3127">
          <cell r="C3127" t="str">
            <v>GMD5610</v>
          </cell>
          <cell r="D3127" t="str">
            <v>GMD5610</v>
          </cell>
        </row>
        <row r="3128">
          <cell r="C3128" t="str">
            <v>GMH0652</v>
          </cell>
          <cell r="D3128" t="str">
            <v>GMH0652</v>
          </cell>
        </row>
        <row r="3129">
          <cell r="C3129" t="str">
            <v>GMH9102</v>
          </cell>
          <cell r="D3129" t="str">
            <v>GMH9102</v>
          </cell>
        </row>
        <row r="3130">
          <cell r="C3130" t="str">
            <v>GMI8646</v>
          </cell>
          <cell r="D3130" t="str">
            <v>GMI8646</v>
          </cell>
        </row>
        <row r="3131">
          <cell r="C3131" t="str">
            <v>GMJ1901</v>
          </cell>
          <cell r="D3131" t="str">
            <v>GMJ1901</v>
          </cell>
        </row>
        <row r="3132">
          <cell r="C3132" t="str">
            <v>GMJ9336</v>
          </cell>
          <cell r="D3132" t="str">
            <v>GMJ9336</v>
          </cell>
        </row>
        <row r="3133">
          <cell r="C3133" t="str">
            <v>GML1497</v>
          </cell>
          <cell r="D3133" t="str">
            <v>GML1497</v>
          </cell>
        </row>
        <row r="3134">
          <cell r="C3134" t="str">
            <v>GMN0952</v>
          </cell>
          <cell r="D3134" t="str">
            <v>GMN0952</v>
          </cell>
        </row>
        <row r="3135">
          <cell r="C3135" t="str">
            <v>GMP6738</v>
          </cell>
          <cell r="D3135" t="str">
            <v>GMP6738</v>
          </cell>
        </row>
        <row r="3136">
          <cell r="C3136" t="str">
            <v>GMQ7335</v>
          </cell>
          <cell r="D3136" t="str">
            <v>GMQ7335</v>
          </cell>
        </row>
        <row r="3137">
          <cell r="C3137" t="str">
            <v>GMT0489</v>
          </cell>
          <cell r="D3137" t="str">
            <v>GMT0489</v>
          </cell>
        </row>
        <row r="3138">
          <cell r="C3138" t="str">
            <v>GMT6172</v>
          </cell>
          <cell r="D3138" t="str">
            <v>GMT6172</v>
          </cell>
        </row>
        <row r="3139">
          <cell r="C3139" t="str">
            <v>GMX4960</v>
          </cell>
          <cell r="D3139" t="str">
            <v>GMX4960</v>
          </cell>
        </row>
        <row r="3140">
          <cell r="C3140" t="str">
            <v>GMY2149</v>
          </cell>
          <cell r="D3140" t="str">
            <v>GMY2149</v>
          </cell>
        </row>
        <row r="3141">
          <cell r="C3141" t="str">
            <v>GNG7035</v>
          </cell>
          <cell r="D3141" t="str">
            <v>GNG7035</v>
          </cell>
        </row>
        <row r="3142">
          <cell r="C3142" t="str">
            <v>GNG7A35</v>
          </cell>
          <cell r="D3142" t="str">
            <v>GNG7A35</v>
          </cell>
        </row>
        <row r="3143">
          <cell r="C3143" t="str">
            <v>GNW4187</v>
          </cell>
          <cell r="D3143" t="str">
            <v>GNW4187</v>
          </cell>
        </row>
        <row r="3144">
          <cell r="C3144" t="str">
            <v>GOB8098</v>
          </cell>
          <cell r="D3144" t="str">
            <v>GOB8098</v>
          </cell>
        </row>
        <row r="3145">
          <cell r="C3145" t="str">
            <v>GOO0015</v>
          </cell>
          <cell r="D3145" t="str">
            <v>GOO0015</v>
          </cell>
        </row>
        <row r="3146">
          <cell r="C3146" t="str">
            <v>GOO4H68</v>
          </cell>
          <cell r="D3146" t="str">
            <v>GOO4H68</v>
          </cell>
        </row>
        <row r="3147">
          <cell r="C3147" t="str">
            <v>GOO8648</v>
          </cell>
          <cell r="D3147" t="str">
            <v>GOO8648</v>
          </cell>
        </row>
        <row r="3148">
          <cell r="C3148" t="str">
            <v>GOV2J18</v>
          </cell>
          <cell r="D3148" t="str">
            <v>GOV2J18</v>
          </cell>
        </row>
        <row r="3149">
          <cell r="C3149" t="str">
            <v>GOV6J60</v>
          </cell>
          <cell r="D3149" t="str">
            <v>GOV6J60</v>
          </cell>
        </row>
        <row r="3150">
          <cell r="C3150" t="str">
            <v>GOX3810</v>
          </cell>
          <cell r="D3150" t="str">
            <v>GOX3810</v>
          </cell>
        </row>
        <row r="3151">
          <cell r="C3151" t="str">
            <v>GPB6143</v>
          </cell>
          <cell r="D3151" t="str">
            <v>GPB6143</v>
          </cell>
        </row>
        <row r="3152">
          <cell r="C3152" t="str">
            <v>GPD6791</v>
          </cell>
          <cell r="D3152" t="str">
            <v>GPD6791</v>
          </cell>
        </row>
        <row r="3153">
          <cell r="C3153" t="str">
            <v>GPE4707</v>
          </cell>
          <cell r="D3153" t="str">
            <v>GPE4707</v>
          </cell>
        </row>
        <row r="3154">
          <cell r="C3154" t="str">
            <v>GPF3143</v>
          </cell>
          <cell r="D3154" t="str">
            <v>GPF3143</v>
          </cell>
        </row>
        <row r="3155">
          <cell r="C3155" t="str">
            <v>GPH1256</v>
          </cell>
          <cell r="D3155" t="str">
            <v>GPH1256</v>
          </cell>
        </row>
        <row r="3156">
          <cell r="C3156" t="str">
            <v>GPR0D41</v>
          </cell>
          <cell r="D3156" t="str">
            <v>GPR0D41</v>
          </cell>
        </row>
        <row r="3157">
          <cell r="C3157" t="str">
            <v>GPZ8565</v>
          </cell>
          <cell r="D3157" t="str">
            <v>GPZ8565</v>
          </cell>
        </row>
        <row r="3158">
          <cell r="C3158" t="str">
            <v>GPZ8508</v>
          </cell>
          <cell r="D3158" t="str">
            <v>GPZ8508</v>
          </cell>
        </row>
        <row r="3159">
          <cell r="C3159" t="str">
            <v>GQD2479</v>
          </cell>
          <cell r="D3159" t="str">
            <v>GQD2479</v>
          </cell>
        </row>
        <row r="3160">
          <cell r="C3160" t="str">
            <v>GQD3034</v>
          </cell>
          <cell r="D3160" t="str">
            <v>GQD3034</v>
          </cell>
        </row>
        <row r="3161">
          <cell r="C3161" t="str">
            <v>GQD6837</v>
          </cell>
          <cell r="D3161" t="str">
            <v>GQD6837</v>
          </cell>
        </row>
        <row r="3162">
          <cell r="C3162" t="str">
            <v>GQT2479</v>
          </cell>
          <cell r="D3162" t="str">
            <v>GQT2479</v>
          </cell>
        </row>
        <row r="3163">
          <cell r="C3163" t="str">
            <v>GQU2J30</v>
          </cell>
          <cell r="D3163" t="str">
            <v>GQU2J30</v>
          </cell>
        </row>
        <row r="3164">
          <cell r="C3164" t="str">
            <v>GQX8C53</v>
          </cell>
          <cell r="D3164" t="str">
            <v>GQX8C53</v>
          </cell>
        </row>
        <row r="3165">
          <cell r="C3165" t="str">
            <v>GRB7330</v>
          </cell>
          <cell r="D3165" t="str">
            <v>GRB7330</v>
          </cell>
        </row>
        <row r="3166">
          <cell r="C3166" t="str">
            <v>GRF4915</v>
          </cell>
          <cell r="D3166" t="str">
            <v>GRF4915</v>
          </cell>
        </row>
        <row r="3167">
          <cell r="C3167" t="str">
            <v>GRP5J26</v>
          </cell>
          <cell r="D3167" t="str">
            <v>GRP5J26</v>
          </cell>
        </row>
        <row r="3168">
          <cell r="C3168" t="str">
            <v>GSM0897</v>
          </cell>
          <cell r="D3168" t="str">
            <v>GSM0897</v>
          </cell>
        </row>
        <row r="3169">
          <cell r="C3169" t="str">
            <v>GSW8B70</v>
          </cell>
          <cell r="D3169" t="str">
            <v>GSW8B70</v>
          </cell>
        </row>
        <row r="3170">
          <cell r="C3170" t="str">
            <v>GSZ0063</v>
          </cell>
          <cell r="D3170" t="str">
            <v>GSZ0063</v>
          </cell>
        </row>
        <row r="3171">
          <cell r="C3171" t="str">
            <v>GTD1707</v>
          </cell>
          <cell r="D3171" t="str">
            <v>GTD1707</v>
          </cell>
        </row>
        <row r="3172">
          <cell r="C3172" t="str">
            <v>GTE9710</v>
          </cell>
          <cell r="D3172" t="str">
            <v>GTE9710</v>
          </cell>
        </row>
        <row r="3173">
          <cell r="C3173" t="str">
            <v>GTE9H10</v>
          </cell>
          <cell r="D3173" t="str">
            <v>GTE9H10</v>
          </cell>
        </row>
        <row r="3174">
          <cell r="C3174" t="str">
            <v>GTH6359</v>
          </cell>
          <cell r="D3174" t="str">
            <v>GTH6359</v>
          </cell>
        </row>
        <row r="3175">
          <cell r="C3175" t="str">
            <v>GTJ0406</v>
          </cell>
          <cell r="D3175" t="str">
            <v>GTJ0406</v>
          </cell>
        </row>
        <row r="3176">
          <cell r="C3176" t="str">
            <v>GTK9C01</v>
          </cell>
          <cell r="D3176" t="str">
            <v>GTK9C01</v>
          </cell>
        </row>
        <row r="3177">
          <cell r="C3177" t="str">
            <v>GTR3164</v>
          </cell>
          <cell r="D3177" t="str">
            <v>GTR3164</v>
          </cell>
        </row>
        <row r="3178">
          <cell r="C3178" t="str">
            <v>GTT6090</v>
          </cell>
          <cell r="D3178" t="str">
            <v>GTT6090</v>
          </cell>
        </row>
        <row r="3179">
          <cell r="C3179" t="str">
            <v>GTZ5377</v>
          </cell>
          <cell r="D3179" t="str">
            <v>GTZ5377</v>
          </cell>
        </row>
        <row r="3180">
          <cell r="C3180" t="str">
            <v>GUA4140</v>
          </cell>
          <cell r="D3180" t="str">
            <v>GUA4140</v>
          </cell>
        </row>
        <row r="3181">
          <cell r="C3181" t="str">
            <v>GUB8832</v>
          </cell>
          <cell r="D3181" t="str">
            <v>GUB8832</v>
          </cell>
        </row>
        <row r="3182">
          <cell r="C3182" t="str">
            <v>GUD6D52</v>
          </cell>
          <cell r="D3182" t="str">
            <v>GUD6D52</v>
          </cell>
        </row>
        <row r="3183">
          <cell r="C3183" t="str">
            <v>GUD7635</v>
          </cell>
          <cell r="D3183" t="str">
            <v>GUD7635</v>
          </cell>
        </row>
        <row r="3184">
          <cell r="C3184" t="str">
            <v>GUG5965</v>
          </cell>
          <cell r="D3184" t="str">
            <v>GUG5965</v>
          </cell>
        </row>
        <row r="3185">
          <cell r="C3185" t="str">
            <v>EQ0014</v>
          </cell>
          <cell r="D3185" t="str">
            <v xml:space="preserve">       </v>
          </cell>
        </row>
        <row r="3186">
          <cell r="C3186" t="str">
            <v>GUL4C76</v>
          </cell>
          <cell r="D3186" t="str">
            <v>GUL4C76</v>
          </cell>
        </row>
        <row r="3187">
          <cell r="C3187" t="str">
            <v>GUQ9938</v>
          </cell>
          <cell r="D3187" t="str">
            <v>GUQ9938</v>
          </cell>
        </row>
        <row r="3188">
          <cell r="C3188" t="str">
            <v>GUW0429</v>
          </cell>
          <cell r="D3188" t="str">
            <v>GUW0429</v>
          </cell>
        </row>
        <row r="3189">
          <cell r="C3189" t="str">
            <v>GUZ3660</v>
          </cell>
          <cell r="D3189" t="str">
            <v>GUZ3660</v>
          </cell>
        </row>
        <row r="3190">
          <cell r="C3190" t="str">
            <v>GUZ3G60</v>
          </cell>
          <cell r="D3190" t="str">
            <v>GUZ3G60</v>
          </cell>
        </row>
        <row r="3191">
          <cell r="C3191" t="str">
            <v>GUZ5789</v>
          </cell>
          <cell r="D3191" t="str">
            <v>GUZ5789</v>
          </cell>
        </row>
        <row r="3192">
          <cell r="C3192" t="str">
            <v>GVE5086</v>
          </cell>
          <cell r="D3192" t="str">
            <v>GVE5086</v>
          </cell>
        </row>
        <row r="3193">
          <cell r="C3193" t="str">
            <v>GVF4226</v>
          </cell>
          <cell r="D3193" t="str">
            <v>GVF4226</v>
          </cell>
        </row>
        <row r="3194">
          <cell r="C3194" t="str">
            <v>GVG 2915</v>
          </cell>
          <cell r="D3194" t="str">
            <v>GVG2915</v>
          </cell>
        </row>
        <row r="3195">
          <cell r="C3195" t="str">
            <v>GVG1884</v>
          </cell>
          <cell r="D3195" t="str">
            <v>GVG1884</v>
          </cell>
        </row>
        <row r="3196">
          <cell r="C3196" t="str">
            <v>GVH5812</v>
          </cell>
          <cell r="D3196" t="str">
            <v>GVH5812</v>
          </cell>
        </row>
        <row r="3197">
          <cell r="C3197" t="str">
            <v>GVI1638</v>
          </cell>
          <cell r="D3197" t="str">
            <v>GVI1638</v>
          </cell>
        </row>
        <row r="3198">
          <cell r="C3198" t="str">
            <v>GVI5439</v>
          </cell>
          <cell r="D3198" t="str">
            <v>GVI5439</v>
          </cell>
        </row>
        <row r="3199">
          <cell r="C3199" t="str">
            <v>GVI5971</v>
          </cell>
          <cell r="D3199" t="str">
            <v>GVI5971</v>
          </cell>
        </row>
        <row r="3200">
          <cell r="C3200" t="str">
            <v>GVI6014</v>
          </cell>
          <cell r="D3200" t="str">
            <v>GVI6014</v>
          </cell>
        </row>
        <row r="3201">
          <cell r="C3201" t="str">
            <v>GVI7268</v>
          </cell>
          <cell r="D3201" t="str">
            <v>GVI7268</v>
          </cell>
        </row>
        <row r="3202">
          <cell r="C3202" t="str">
            <v>GVJ4224</v>
          </cell>
          <cell r="D3202" t="str">
            <v>GVJ4224</v>
          </cell>
        </row>
        <row r="3203">
          <cell r="C3203" t="str">
            <v>GVS2179</v>
          </cell>
          <cell r="D3203" t="str">
            <v>GVS2179</v>
          </cell>
        </row>
        <row r="3204">
          <cell r="C3204" t="str">
            <v>GVT6116</v>
          </cell>
          <cell r="D3204" t="str">
            <v>GVT6116</v>
          </cell>
        </row>
        <row r="3205">
          <cell r="C3205" t="str">
            <v>GWC7549</v>
          </cell>
          <cell r="D3205" t="str">
            <v>GWC7549</v>
          </cell>
        </row>
        <row r="3206">
          <cell r="C3206" t="str">
            <v>GWD8784</v>
          </cell>
          <cell r="D3206" t="str">
            <v>GWD8784</v>
          </cell>
        </row>
        <row r="3207">
          <cell r="C3207" t="str">
            <v>GWK4390</v>
          </cell>
          <cell r="D3207" t="str">
            <v>GWK4390</v>
          </cell>
        </row>
        <row r="3208">
          <cell r="C3208" t="str">
            <v>GWT1434</v>
          </cell>
          <cell r="D3208" t="str">
            <v>GWT1434</v>
          </cell>
        </row>
        <row r="3209">
          <cell r="C3209" t="str">
            <v>GWT2184</v>
          </cell>
          <cell r="D3209" t="str">
            <v>GWT2184</v>
          </cell>
        </row>
        <row r="3210">
          <cell r="C3210" t="str">
            <v>GXA8019</v>
          </cell>
          <cell r="D3210" t="str">
            <v>GXA8019</v>
          </cell>
        </row>
        <row r="3211">
          <cell r="C3211" t="str">
            <v>GXA9746</v>
          </cell>
          <cell r="D3211" t="str">
            <v>GXA9746</v>
          </cell>
        </row>
        <row r="3212">
          <cell r="C3212" t="str">
            <v>GXC8182</v>
          </cell>
          <cell r="D3212" t="str">
            <v>GXC8182</v>
          </cell>
        </row>
        <row r="3213">
          <cell r="C3213" t="str">
            <v>GXF8652</v>
          </cell>
          <cell r="D3213" t="str">
            <v>GXF8652</v>
          </cell>
        </row>
        <row r="3214">
          <cell r="C3214" t="str">
            <v>GXH4773</v>
          </cell>
          <cell r="D3214" t="str">
            <v>GXH4773</v>
          </cell>
        </row>
        <row r="3215">
          <cell r="C3215" t="str">
            <v>GXH4775</v>
          </cell>
          <cell r="D3215" t="str">
            <v>GXH4775</v>
          </cell>
        </row>
        <row r="3216">
          <cell r="C3216" t="str">
            <v>GXH8328</v>
          </cell>
          <cell r="D3216" t="str">
            <v>GXH8328</v>
          </cell>
        </row>
        <row r="3217">
          <cell r="C3217" t="str">
            <v>GXM1176</v>
          </cell>
          <cell r="D3217" t="str">
            <v>GXM1176</v>
          </cell>
        </row>
        <row r="3218">
          <cell r="C3218" t="str">
            <v>GXM7665</v>
          </cell>
          <cell r="D3218" t="str">
            <v>GXM7665</v>
          </cell>
        </row>
        <row r="3219">
          <cell r="C3219" t="str">
            <v>GXS2022</v>
          </cell>
          <cell r="D3219" t="str">
            <v>GXS2022</v>
          </cell>
        </row>
        <row r="3220">
          <cell r="C3220" t="str">
            <v>GXS7304</v>
          </cell>
          <cell r="D3220" t="str">
            <v>GXS7304</v>
          </cell>
        </row>
        <row r="3221">
          <cell r="C3221" t="str">
            <v>GYC2462</v>
          </cell>
          <cell r="D3221" t="str">
            <v>GYC2462</v>
          </cell>
        </row>
        <row r="3222">
          <cell r="C3222" t="str">
            <v>GYI2031</v>
          </cell>
          <cell r="D3222" t="str">
            <v>GYI2031</v>
          </cell>
        </row>
        <row r="3223">
          <cell r="C3223" t="str">
            <v>GYI7408</v>
          </cell>
          <cell r="D3223" t="str">
            <v>GYI7408</v>
          </cell>
        </row>
        <row r="3224">
          <cell r="C3224" t="str">
            <v>GYQ1792</v>
          </cell>
          <cell r="D3224" t="str">
            <v>GYQ1792</v>
          </cell>
        </row>
        <row r="3225">
          <cell r="C3225" t="str">
            <v>GYQ3179</v>
          </cell>
          <cell r="D3225" t="str">
            <v>GYQ3179</v>
          </cell>
        </row>
        <row r="3226">
          <cell r="C3226" t="str">
            <v>GYV7653</v>
          </cell>
          <cell r="D3226" t="str">
            <v>GYV7653</v>
          </cell>
        </row>
        <row r="3227">
          <cell r="C3227" t="str">
            <v>GZE4F88</v>
          </cell>
          <cell r="D3227" t="str">
            <v>GZE4F88</v>
          </cell>
        </row>
        <row r="3228">
          <cell r="C3228" t="str">
            <v>GZG8074</v>
          </cell>
          <cell r="D3228" t="str">
            <v>GZG8074</v>
          </cell>
        </row>
        <row r="3229">
          <cell r="C3229" t="str">
            <v>GZJ9888</v>
          </cell>
          <cell r="D3229" t="str">
            <v>GZJ9888</v>
          </cell>
        </row>
        <row r="3230">
          <cell r="C3230" t="str">
            <v>GZV2405</v>
          </cell>
          <cell r="D3230" t="str">
            <v>GZV2405</v>
          </cell>
        </row>
        <row r="3231">
          <cell r="C3231" t="str">
            <v>HAA0578</v>
          </cell>
          <cell r="D3231" t="str">
            <v>HAA0578</v>
          </cell>
        </row>
        <row r="3232">
          <cell r="C3232" t="str">
            <v>HAA8990</v>
          </cell>
          <cell r="D3232" t="str">
            <v>HAA8990</v>
          </cell>
        </row>
        <row r="3233">
          <cell r="C3233" t="str">
            <v>HAG7396</v>
          </cell>
          <cell r="D3233" t="str">
            <v>HAG7396</v>
          </cell>
        </row>
        <row r="3234">
          <cell r="C3234" t="str">
            <v>HAJ9213</v>
          </cell>
          <cell r="D3234" t="str">
            <v>HAJ9213</v>
          </cell>
        </row>
        <row r="3235">
          <cell r="C3235" t="str">
            <v>HAN5J29</v>
          </cell>
          <cell r="D3235" t="str">
            <v>HAN5J29</v>
          </cell>
        </row>
        <row r="3236">
          <cell r="C3236" t="str">
            <v>HAR1F82</v>
          </cell>
          <cell r="D3236" t="str">
            <v>HAR1F82</v>
          </cell>
        </row>
        <row r="3237">
          <cell r="C3237" t="str">
            <v>HBG0482</v>
          </cell>
          <cell r="D3237" t="str">
            <v>HBG0482</v>
          </cell>
        </row>
        <row r="3238">
          <cell r="C3238" t="str">
            <v>HBG1B86</v>
          </cell>
          <cell r="D3238" t="str">
            <v>HBG1B86</v>
          </cell>
        </row>
        <row r="3239">
          <cell r="C3239" t="str">
            <v>HBH2D10</v>
          </cell>
          <cell r="D3239" t="str">
            <v>HBH2D10</v>
          </cell>
        </row>
        <row r="3240">
          <cell r="C3240" t="str">
            <v>HBI7535</v>
          </cell>
          <cell r="D3240" t="str">
            <v>HBI7535</v>
          </cell>
        </row>
        <row r="3241">
          <cell r="C3241" t="str">
            <v>HBI8555</v>
          </cell>
          <cell r="D3241" t="str">
            <v>HBI8555</v>
          </cell>
        </row>
        <row r="3242">
          <cell r="C3242" t="str">
            <v>HBJ1186</v>
          </cell>
          <cell r="D3242" t="str">
            <v>HBJ1186</v>
          </cell>
        </row>
        <row r="3243">
          <cell r="C3243" t="str">
            <v>HBQ9375</v>
          </cell>
          <cell r="D3243" t="str">
            <v>HBQ9375</v>
          </cell>
        </row>
        <row r="3244">
          <cell r="C3244" t="str">
            <v>HBZ0670</v>
          </cell>
          <cell r="D3244" t="str">
            <v>HBZ0670</v>
          </cell>
        </row>
        <row r="3245">
          <cell r="C3245" t="str">
            <v>HCJ4F36</v>
          </cell>
          <cell r="D3245" t="str">
            <v>HCJ4F36</v>
          </cell>
        </row>
        <row r="3246">
          <cell r="C3246" t="str">
            <v>HCM0929</v>
          </cell>
          <cell r="D3246" t="str">
            <v>HCM0929</v>
          </cell>
        </row>
        <row r="3247">
          <cell r="C3247" t="str">
            <v>HDD6239</v>
          </cell>
          <cell r="D3247" t="str">
            <v>HDD6239</v>
          </cell>
        </row>
        <row r="3248">
          <cell r="C3248" t="str">
            <v>HDI0D03</v>
          </cell>
          <cell r="D3248" t="str">
            <v>HDI0D03</v>
          </cell>
        </row>
        <row r="3249">
          <cell r="C3249" t="str">
            <v>HDI1859</v>
          </cell>
          <cell r="D3249" t="str">
            <v>HDI1859</v>
          </cell>
        </row>
        <row r="3250">
          <cell r="C3250" t="str">
            <v>HDI5103</v>
          </cell>
          <cell r="D3250" t="str">
            <v>HDI5103</v>
          </cell>
        </row>
        <row r="3251">
          <cell r="C3251" t="str">
            <v>HDI7519</v>
          </cell>
          <cell r="D3251" t="str">
            <v>HDI7519</v>
          </cell>
        </row>
        <row r="3252">
          <cell r="C3252" t="str">
            <v>HDR0088</v>
          </cell>
          <cell r="D3252" t="str">
            <v>HDR0088</v>
          </cell>
        </row>
        <row r="3253">
          <cell r="C3253" t="str">
            <v>HDR0571</v>
          </cell>
          <cell r="D3253" t="str">
            <v>HDR0571</v>
          </cell>
        </row>
        <row r="3254">
          <cell r="C3254" t="str">
            <v>HDR6312</v>
          </cell>
          <cell r="D3254" t="str">
            <v>HDR6312</v>
          </cell>
        </row>
        <row r="3255">
          <cell r="C3255" t="str">
            <v>HDR9196</v>
          </cell>
          <cell r="D3255" t="str">
            <v>HDR9196</v>
          </cell>
        </row>
        <row r="3256">
          <cell r="C3256" t="str">
            <v>HDS9067</v>
          </cell>
          <cell r="D3256" t="str">
            <v>HDS9067</v>
          </cell>
        </row>
        <row r="3257">
          <cell r="C3257" t="str">
            <v>HDT5747</v>
          </cell>
          <cell r="D3257" t="str">
            <v>HDT5747</v>
          </cell>
        </row>
        <row r="3258">
          <cell r="C3258" t="str">
            <v>HDV8660</v>
          </cell>
          <cell r="D3258" t="str">
            <v>HDV8660</v>
          </cell>
        </row>
        <row r="3259">
          <cell r="C3259" t="str">
            <v>HDY6155</v>
          </cell>
          <cell r="D3259" t="str">
            <v>HDY6155</v>
          </cell>
        </row>
        <row r="3260">
          <cell r="C3260" t="str">
            <v>HDZ4424</v>
          </cell>
          <cell r="D3260" t="str">
            <v>HDZ4424</v>
          </cell>
        </row>
        <row r="3261">
          <cell r="C3261" t="str">
            <v>HEF8271</v>
          </cell>
          <cell r="D3261" t="str">
            <v>HEF8271</v>
          </cell>
        </row>
        <row r="3262">
          <cell r="C3262" t="str">
            <v>OPL5750</v>
          </cell>
          <cell r="D3262" t="str">
            <v>OPL5750</v>
          </cell>
        </row>
        <row r="3263">
          <cell r="C3263" t="str">
            <v>HTP4400</v>
          </cell>
          <cell r="D3263" t="str">
            <v>HTP4400</v>
          </cell>
        </row>
        <row r="3264">
          <cell r="C3264" t="str">
            <v>HFD3532</v>
          </cell>
          <cell r="D3264" t="str">
            <v>HFD3532</v>
          </cell>
        </row>
        <row r="3265">
          <cell r="C3265" t="str">
            <v>HFH3502</v>
          </cell>
          <cell r="D3265" t="str">
            <v>HFH3502</v>
          </cell>
        </row>
        <row r="3266">
          <cell r="C3266" t="str">
            <v>HFZ3640</v>
          </cell>
          <cell r="D3266" t="str">
            <v>HFZ3640</v>
          </cell>
        </row>
        <row r="3267">
          <cell r="C3267" t="str">
            <v>HGB8120</v>
          </cell>
          <cell r="D3267" t="str">
            <v>HGB8120</v>
          </cell>
        </row>
        <row r="3268">
          <cell r="C3268" t="str">
            <v>HGF4142</v>
          </cell>
          <cell r="D3268" t="str">
            <v>HGF4142</v>
          </cell>
        </row>
        <row r="3269">
          <cell r="C3269" t="str">
            <v>HGZ1011</v>
          </cell>
          <cell r="D3269" t="str">
            <v>HGZ1011</v>
          </cell>
        </row>
        <row r="3270">
          <cell r="C3270" t="str">
            <v>HHD0F77</v>
          </cell>
          <cell r="D3270" t="str">
            <v>HHD0F77</v>
          </cell>
        </row>
        <row r="3271">
          <cell r="C3271" t="str">
            <v>HHI0424</v>
          </cell>
          <cell r="D3271" t="str">
            <v>HHI0424</v>
          </cell>
        </row>
        <row r="3272">
          <cell r="C3272" t="str">
            <v>HHI1397</v>
          </cell>
          <cell r="D3272" t="str">
            <v>HHI1397</v>
          </cell>
        </row>
        <row r="3273">
          <cell r="C3273" t="str">
            <v>HHK1705</v>
          </cell>
          <cell r="D3273" t="str">
            <v>HHK1705</v>
          </cell>
        </row>
        <row r="3274">
          <cell r="C3274" t="str">
            <v>HIC1D47</v>
          </cell>
          <cell r="D3274" t="str">
            <v>HIC1D47</v>
          </cell>
        </row>
        <row r="3275">
          <cell r="C3275" t="str">
            <v>HIG6516</v>
          </cell>
          <cell r="D3275" t="str">
            <v>HIG6516</v>
          </cell>
        </row>
        <row r="3276">
          <cell r="C3276" t="str">
            <v>HIJ9043</v>
          </cell>
          <cell r="D3276" t="str">
            <v>HIJ9043</v>
          </cell>
        </row>
        <row r="3277">
          <cell r="C3277" t="str">
            <v>OOG6322</v>
          </cell>
          <cell r="D3277" t="str">
            <v>OOG6322</v>
          </cell>
        </row>
        <row r="3278">
          <cell r="C3278" t="str">
            <v>HIO2567</v>
          </cell>
          <cell r="D3278" t="str">
            <v>HIO2567</v>
          </cell>
        </row>
        <row r="3279">
          <cell r="C3279" t="str">
            <v>HIO4384</v>
          </cell>
          <cell r="D3279" t="str">
            <v>HIO4384</v>
          </cell>
        </row>
        <row r="3280">
          <cell r="C3280" t="str">
            <v>HJA3336</v>
          </cell>
          <cell r="D3280" t="str">
            <v>HJA3336</v>
          </cell>
        </row>
        <row r="3281">
          <cell r="C3281" t="str">
            <v>HJA3442</v>
          </cell>
          <cell r="D3281" t="str">
            <v>HJA3442</v>
          </cell>
        </row>
        <row r="3282">
          <cell r="C3282" t="str">
            <v>HJR3085</v>
          </cell>
          <cell r="D3282" t="str">
            <v>HJR3085</v>
          </cell>
        </row>
        <row r="3283">
          <cell r="C3283" t="str">
            <v>HKF4702</v>
          </cell>
          <cell r="D3283" t="str">
            <v>HKF4702</v>
          </cell>
        </row>
        <row r="3284">
          <cell r="C3284" t="str">
            <v>HKG3D25</v>
          </cell>
          <cell r="D3284" t="str">
            <v>HKG3D25</v>
          </cell>
        </row>
        <row r="3285">
          <cell r="C3285" t="str">
            <v>HKH0569</v>
          </cell>
          <cell r="D3285" t="str">
            <v>HKH0569</v>
          </cell>
        </row>
        <row r="3286">
          <cell r="C3286" t="str">
            <v>HKN0722</v>
          </cell>
          <cell r="D3286" t="str">
            <v>HKN0722</v>
          </cell>
        </row>
        <row r="3287">
          <cell r="C3287" t="str">
            <v>HKQ5798</v>
          </cell>
          <cell r="D3287" t="str">
            <v>HKQ5798</v>
          </cell>
        </row>
        <row r="3288">
          <cell r="C3288" t="str">
            <v>HKR8112</v>
          </cell>
          <cell r="D3288" t="str">
            <v>HKR8112</v>
          </cell>
        </row>
        <row r="3289">
          <cell r="C3289" t="str">
            <v>HKS4772</v>
          </cell>
          <cell r="D3289" t="str">
            <v>HKS4772</v>
          </cell>
        </row>
        <row r="3290">
          <cell r="C3290" t="str">
            <v>HKV5796</v>
          </cell>
          <cell r="D3290" t="str">
            <v>HKV5796</v>
          </cell>
        </row>
        <row r="3291">
          <cell r="C3291" t="str">
            <v>HKW5914</v>
          </cell>
          <cell r="D3291" t="str">
            <v>HKW5914</v>
          </cell>
        </row>
        <row r="3292">
          <cell r="C3292" t="str">
            <v>HKW5C85</v>
          </cell>
          <cell r="D3292" t="str">
            <v>HKW5C85</v>
          </cell>
        </row>
        <row r="3293">
          <cell r="C3293" t="str">
            <v>HKY1125</v>
          </cell>
          <cell r="D3293" t="str">
            <v>HKY1125</v>
          </cell>
        </row>
        <row r="3294">
          <cell r="C3294" t="str">
            <v>HKY1157</v>
          </cell>
          <cell r="D3294" t="str">
            <v>HKY1157</v>
          </cell>
        </row>
        <row r="3295">
          <cell r="C3295" t="str">
            <v>HLO9A42</v>
          </cell>
          <cell r="D3295" t="str">
            <v>HLO9A42</v>
          </cell>
        </row>
        <row r="3296">
          <cell r="C3296" t="str">
            <v>HMD4416</v>
          </cell>
          <cell r="D3296" t="str">
            <v>HMD4416</v>
          </cell>
        </row>
        <row r="3297">
          <cell r="C3297" t="str">
            <v>HMD9531</v>
          </cell>
          <cell r="D3297" t="str">
            <v>HMD9531</v>
          </cell>
        </row>
        <row r="3298">
          <cell r="C3298" t="str">
            <v>HMH7195</v>
          </cell>
          <cell r="D3298" t="str">
            <v>HMH7195</v>
          </cell>
        </row>
        <row r="3299">
          <cell r="C3299" t="str">
            <v>HMV4045</v>
          </cell>
          <cell r="D3299" t="str">
            <v>HMV4045</v>
          </cell>
        </row>
        <row r="3300">
          <cell r="C3300" t="str">
            <v>HMV4073</v>
          </cell>
          <cell r="D3300" t="str">
            <v>HMV4073</v>
          </cell>
        </row>
        <row r="3301">
          <cell r="C3301" t="str">
            <v>HMY5757</v>
          </cell>
          <cell r="D3301" t="str">
            <v>HMY5757</v>
          </cell>
        </row>
        <row r="3302">
          <cell r="C3302" t="str">
            <v>HMZ3604</v>
          </cell>
          <cell r="D3302" t="str">
            <v>HMZ3604</v>
          </cell>
        </row>
        <row r="3303">
          <cell r="C3303" t="str">
            <v>HNY1H89</v>
          </cell>
          <cell r="D3303" t="str">
            <v>HNY1H89</v>
          </cell>
        </row>
        <row r="3304">
          <cell r="C3304" t="str">
            <v>HNY9527</v>
          </cell>
          <cell r="D3304" t="str">
            <v>HNY9527</v>
          </cell>
        </row>
        <row r="3305">
          <cell r="C3305" t="str">
            <v>HOA8960</v>
          </cell>
          <cell r="D3305" t="str">
            <v>HOA8960</v>
          </cell>
        </row>
        <row r="3306">
          <cell r="C3306" t="str">
            <v>HOG1840</v>
          </cell>
          <cell r="D3306" t="str">
            <v>HOG1840</v>
          </cell>
        </row>
        <row r="3307">
          <cell r="C3307" t="str">
            <v>HOG4335</v>
          </cell>
          <cell r="D3307" t="str">
            <v>HOG4335</v>
          </cell>
        </row>
        <row r="3308">
          <cell r="C3308" t="str">
            <v>HOS7990</v>
          </cell>
          <cell r="D3308" t="str">
            <v>HOS7990</v>
          </cell>
        </row>
        <row r="3309">
          <cell r="C3309" t="str">
            <v>HOT0598</v>
          </cell>
          <cell r="D3309" t="str">
            <v>HOT0598</v>
          </cell>
        </row>
        <row r="3310">
          <cell r="C3310" t="str">
            <v>HOT1157</v>
          </cell>
          <cell r="D3310" t="str">
            <v>HOT1157</v>
          </cell>
        </row>
        <row r="3311">
          <cell r="C3311" t="str">
            <v>HOW0938</v>
          </cell>
          <cell r="D3311" t="str">
            <v>HOW0938</v>
          </cell>
        </row>
        <row r="3312">
          <cell r="C3312" t="str">
            <v>HOW3938</v>
          </cell>
          <cell r="D3312" t="str">
            <v>HOW3938</v>
          </cell>
        </row>
        <row r="3313">
          <cell r="C3313" t="str">
            <v>HOX4686</v>
          </cell>
          <cell r="D3313" t="str">
            <v>HOX4686</v>
          </cell>
        </row>
        <row r="3314">
          <cell r="C3314" t="str">
            <v>HOY0630</v>
          </cell>
          <cell r="D3314" t="str">
            <v>HOY0630</v>
          </cell>
        </row>
        <row r="3315">
          <cell r="C3315" t="str">
            <v>HOY0G30</v>
          </cell>
          <cell r="D3315" t="str">
            <v>HOY0G30</v>
          </cell>
        </row>
        <row r="3316">
          <cell r="C3316" t="str">
            <v>HOY4722</v>
          </cell>
          <cell r="D3316" t="str">
            <v>HOY4722</v>
          </cell>
        </row>
        <row r="3317">
          <cell r="C3317" t="str">
            <v>HPJ3282</v>
          </cell>
          <cell r="D3317" t="str">
            <v>HPJ3282</v>
          </cell>
        </row>
        <row r="3318">
          <cell r="C3318" t="str">
            <v>HPP3542</v>
          </cell>
          <cell r="D3318" t="str">
            <v>HPP3542</v>
          </cell>
        </row>
        <row r="3319">
          <cell r="C3319" t="str">
            <v>HPU2575</v>
          </cell>
          <cell r="D3319" t="str">
            <v>HPU2575</v>
          </cell>
        </row>
        <row r="3320">
          <cell r="C3320" t="str">
            <v>HQB1777</v>
          </cell>
          <cell r="D3320" t="str">
            <v>HQB1777</v>
          </cell>
        </row>
        <row r="3321">
          <cell r="C3321" t="str">
            <v>HQC6517</v>
          </cell>
          <cell r="D3321" t="str">
            <v>HQC6517</v>
          </cell>
        </row>
        <row r="3322">
          <cell r="C3322" t="str">
            <v>HQC8C98</v>
          </cell>
          <cell r="D3322" t="str">
            <v>HQC8C98</v>
          </cell>
        </row>
        <row r="3323">
          <cell r="C3323" t="str">
            <v>HQD5253</v>
          </cell>
          <cell r="D3323" t="str">
            <v>HQD5253</v>
          </cell>
        </row>
        <row r="3324">
          <cell r="C3324" t="str">
            <v>HQD5749</v>
          </cell>
          <cell r="D3324" t="str">
            <v>HQD5749</v>
          </cell>
        </row>
        <row r="3325">
          <cell r="C3325" t="str">
            <v>HQD9409</v>
          </cell>
          <cell r="D3325" t="str">
            <v>HQD9409</v>
          </cell>
        </row>
        <row r="3326">
          <cell r="C3326" t="str">
            <v>HQF3253</v>
          </cell>
          <cell r="D3326" t="str">
            <v>HQF3253</v>
          </cell>
        </row>
        <row r="3327">
          <cell r="C3327" t="str">
            <v>HQF3349</v>
          </cell>
          <cell r="D3327" t="str">
            <v>HQF3349</v>
          </cell>
        </row>
        <row r="3328">
          <cell r="C3328" t="str">
            <v>HQF3728</v>
          </cell>
          <cell r="D3328" t="str">
            <v>HQF3728</v>
          </cell>
        </row>
        <row r="3329">
          <cell r="C3329" t="str">
            <v>HQF4192</v>
          </cell>
          <cell r="D3329" t="str">
            <v>HQF4192</v>
          </cell>
        </row>
        <row r="3330">
          <cell r="C3330" t="str">
            <v>HQF3399</v>
          </cell>
          <cell r="D3330" t="str">
            <v>HQF3399</v>
          </cell>
        </row>
        <row r="3331">
          <cell r="C3331" t="str">
            <v>HQF3453</v>
          </cell>
          <cell r="D3331" t="str">
            <v>HQF3453</v>
          </cell>
        </row>
        <row r="3332">
          <cell r="C3332" t="str">
            <v>HQF3543</v>
          </cell>
          <cell r="D3332" t="str">
            <v>HQF3543</v>
          </cell>
        </row>
        <row r="3333">
          <cell r="C3333" t="str">
            <v>HQF4194</v>
          </cell>
          <cell r="D3333" t="str">
            <v>HQF4194</v>
          </cell>
        </row>
        <row r="3334">
          <cell r="C3334" t="str">
            <v>HQF4772</v>
          </cell>
          <cell r="D3334" t="str">
            <v>HQF4772</v>
          </cell>
        </row>
        <row r="3335">
          <cell r="C3335" t="str">
            <v>HQF4E56</v>
          </cell>
          <cell r="D3335" t="str">
            <v>HQF4E56</v>
          </cell>
        </row>
        <row r="3336">
          <cell r="C3336" t="str">
            <v>HQF5819</v>
          </cell>
          <cell r="D3336" t="str">
            <v>HQF5819</v>
          </cell>
        </row>
        <row r="3337">
          <cell r="C3337" t="str">
            <v>HQF5871</v>
          </cell>
          <cell r="D3337" t="str">
            <v>HQF5871</v>
          </cell>
        </row>
        <row r="3338">
          <cell r="C3338" t="str">
            <v>HQF7B71</v>
          </cell>
          <cell r="D3338" t="str">
            <v>HQF7B71</v>
          </cell>
        </row>
        <row r="3339">
          <cell r="C3339" t="str">
            <v>HQF8962</v>
          </cell>
          <cell r="D3339" t="str">
            <v>HQF8962</v>
          </cell>
        </row>
        <row r="3340">
          <cell r="C3340" t="str">
            <v>HQF9051</v>
          </cell>
          <cell r="D3340" t="str">
            <v>HQF9051</v>
          </cell>
        </row>
        <row r="3341">
          <cell r="C3341" t="str">
            <v>HQF9586</v>
          </cell>
          <cell r="D3341" t="str">
            <v>HQF9586</v>
          </cell>
        </row>
        <row r="3342">
          <cell r="C3342" t="str">
            <v>HQG3325</v>
          </cell>
          <cell r="D3342" t="str">
            <v>HQG3325</v>
          </cell>
        </row>
        <row r="3343">
          <cell r="C3343" t="str">
            <v>HQG6159</v>
          </cell>
          <cell r="D3343" t="str">
            <v>HQG6159</v>
          </cell>
        </row>
        <row r="3344">
          <cell r="C3344" t="str">
            <v>HQG6279</v>
          </cell>
          <cell r="D3344" t="str">
            <v>HQG6279</v>
          </cell>
        </row>
        <row r="3345">
          <cell r="C3345" t="str">
            <v>HQG7580</v>
          </cell>
          <cell r="D3345" t="str">
            <v>HQG7580</v>
          </cell>
        </row>
        <row r="3346">
          <cell r="C3346" t="str">
            <v>HQG7647</v>
          </cell>
          <cell r="D3346" t="str">
            <v>HQG7647</v>
          </cell>
        </row>
        <row r="3347">
          <cell r="C3347" t="str">
            <v>HQG0961</v>
          </cell>
          <cell r="D3347" t="str">
            <v>HQG0961</v>
          </cell>
        </row>
        <row r="3348">
          <cell r="C3348" t="str">
            <v>HQG1019</v>
          </cell>
          <cell r="D3348" t="str">
            <v>HQG1019</v>
          </cell>
        </row>
        <row r="3349">
          <cell r="C3349" t="str">
            <v>HQG1429</v>
          </cell>
          <cell r="D3349" t="str">
            <v>HQG1429</v>
          </cell>
        </row>
        <row r="3350">
          <cell r="C3350" t="str">
            <v>HQG1573</v>
          </cell>
          <cell r="D3350" t="str">
            <v>HQG1573</v>
          </cell>
        </row>
        <row r="3351">
          <cell r="C3351" t="str">
            <v>HQG1G08</v>
          </cell>
          <cell r="D3351" t="str">
            <v>HQG1G08</v>
          </cell>
        </row>
        <row r="3352">
          <cell r="C3352" t="str">
            <v>HQG2107</v>
          </cell>
          <cell r="D3352" t="str">
            <v>HQG2107</v>
          </cell>
        </row>
        <row r="3353">
          <cell r="C3353" t="str">
            <v>HQG2225</v>
          </cell>
          <cell r="D3353" t="str">
            <v>HQG2225</v>
          </cell>
        </row>
        <row r="3354">
          <cell r="C3354" t="str">
            <v>HQG2233</v>
          </cell>
          <cell r="D3354" t="str">
            <v>HQG2233</v>
          </cell>
        </row>
        <row r="3355">
          <cell r="C3355" t="str">
            <v>HQG3162</v>
          </cell>
          <cell r="D3355" t="str">
            <v>HQG3162</v>
          </cell>
        </row>
        <row r="3356">
          <cell r="C3356" t="str">
            <v>HQG4379</v>
          </cell>
          <cell r="D3356" t="str">
            <v>HQG4379</v>
          </cell>
        </row>
        <row r="3357">
          <cell r="C3357" t="str">
            <v>HQG4565</v>
          </cell>
          <cell r="D3357" t="str">
            <v>HQG4565</v>
          </cell>
        </row>
        <row r="3358">
          <cell r="C3358" t="str">
            <v>HQG4656</v>
          </cell>
          <cell r="D3358" t="str">
            <v>HQG4656</v>
          </cell>
        </row>
        <row r="3359">
          <cell r="C3359" t="str">
            <v>HQG4864</v>
          </cell>
          <cell r="D3359" t="str">
            <v>HQG4864</v>
          </cell>
        </row>
        <row r="3360">
          <cell r="C3360" t="str">
            <v>HQG4946</v>
          </cell>
          <cell r="D3360" t="str">
            <v>HQG4946</v>
          </cell>
        </row>
        <row r="3361">
          <cell r="C3361" t="str">
            <v>HQG5E23</v>
          </cell>
          <cell r="D3361" t="str">
            <v>HQG5E23</v>
          </cell>
        </row>
        <row r="3362">
          <cell r="C3362" t="str">
            <v>HQG6246</v>
          </cell>
          <cell r="D3362" t="str">
            <v>HQG6246</v>
          </cell>
        </row>
        <row r="3363">
          <cell r="C3363" t="str">
            <v>HQG6634</v>
          </cell>
          <cell r="D3363" t="str">
            <v>HQG6634</v>
          </cell>
        </row>
        <row r="3364">
          <cell r="C3364" t="str">
            <v>HQG6676</v>
          </cell>
          <cell r="D3364" t="str">
            <v>HQG6676</v>
          </cell>
        </row>
        <row r="3365">
          <cell r="C3365" t="str">
            <v>HQG6721</v>
          </cell>
          <cell r="D3365" t="str">
            <v>HQG6721</v>
          </cell>
        </row>
        <row r="3366">
          <cell r="C3366" t="str">
            <v>HQG6F17</v>
          </cell>
          <cell r="D3366" t="str">
            <v>HQG6F17</v>
          </cell>
        </row>
        <row r="3367">
          <cell r="C3367" t="str">
            <v>HQG7284</v>
          </cell>
          <cell r="D3367" t="str">
            <v>HQG7284</v>
          </cell>
        </row>
        <row r="3368">
          <cell r="C3368" t="str">
            <v>HQG7482</v>
          </cell>
          <cell r="D3368" t="str">
            <v>HQG7482</v>
          </cell>
        </row>
        <row r="3369">
          <cell r="C3369" t="str">
            <v>HQG7673</v>
          </cell>
          <cell r="D3369" t="str">
            <v>HQG7673</v>
          </cell>
        </row>
        <row r="3370">
          <cell r="C3370" t="str">
            <v>HQG7I70</v>
          </cell>
          <cell r="D3370" t="str">
            <v>HQG7I70</v>
          </cell>
        </row>
        <row r="3371">
          <cell r="C3371" t="str">
            <v>HQG7J27</v>
          </cell>
          <cell r="D3371" t="str">
            <v>HQG7J27</v>
          </cell>
        </row>
        <row r="3372">
          <cell r="C3372" t="str">
            <v>HQG8363</v>
          </cell>
          <cell r="D3372" t="str">
            <v>HQG8363</v>
          </cell>
        </row>
        <row r="3373">
          <cell r="C3373" t="str">
            <v>HQG8437</v>
          </cell>
          <cell r="D3373" t="str">
            <v>HQG8437</v>
          </cell>
        </row>
        <row r="3374">
          <cell r="C3374" t="str">
            <v>HQG8462</v>
          </cell>
          <cell r="D3374" t="str">
            <v>HQG8462</v>
          </cell>
        </row>
        <row r="3375">
          <cell r="C3375" t="str">
            <v>HQG8489</v>
          </cell>
          <cell r="D3375" t="str">
            <v>HQG8489</v>
          </cell>
        </row>
        <row r="3376">
          <cell r="C3376" t="str">
            <v>HQG8534</v>
          </cell>
          <cell r="D3376" t="str">
            <v>HQG8534</v>
          </cell>
        </row>
        <row r="3377">
          <cell r="C3377" t="str">
            <v>HQG8781</v>
          </cell>
          <cell r="D3377" t="str">
            <v>HQG8781</v>
          </cell>
        </row>
        <row r="3378">
          <cell r="C3378" t="str">
            <v>HQG8F00</v>
          </cell>
          <cell r="D3378" t="str">
            <v>HQG8F00</v>
          </cell>
        </row>
        <row r="3379">
          <cell r="C3379" t="str">
            <v>HQG9099</v>
          </cell>
          <cell r="D3379" t="str">
            <v>HQG9099</v>
          </cell>
        </row>
        <row r="3380">
          <cell r="C3380" t="str">
            <v>HQG9185</v>
          </cell>
          <cell r="D3380" t="str">
            <v>HQG9185</v>
          </cell>
        </row>
        <row r="3381">
          <cell r="C3381" t="str">
            <v>HQG9193</v>
          </cell>
          <cell r="D3381" t="str">
            <v>HQG9193</v>
          </cell>
        </row>
        <row r="3382">
          <cell r="C3382" t="str">
            <v>HQG9296</v>
          </cell>
          <cell r="D3382" t="str">
            <v>HQG9296</v>
          </cell>
        </row>
        <row r="3383">
          <cell r="C3383" t="str">
            <v>HQG9462</v>
          </cell>
          <cell r="D3383" t="str">
            <v>HQG9462</v>
          </cell>
        </row>
        <row r="3384">
          <cell r="C3384" t="str">
            <v>HQG9919</v>
          </cell>
          <cell r="D3384" t="str">
            <v>HQG9919</v>
          </cell>
        </row>
        <row r="3385">
          <cell r="C3385" t="str">
            <v>HQH5786</v>
          </cell>
          <cell r="D3385" t="str">
            <v>HQH5786</v>
          </cell>
        </row>
        <row r="3386">
          <cell r="C3386" t="str">
            <v>HQH0542</v>
          </cell>
          <cell r="D3386" t="str">
            <v>HQH0542</v>
          </cell>
        </row>
        <row r="3387">
          <cell r="C3387" t="str">
            <v>HQH0621</v>
          </cell>
          <cell r="D3387" t="str">
            <v>HQH0621</v>
          </cell>
        </row>
        <row r="3388">
          <cell r="C3388" t="str">
            <v>HQH3074</v>
          </cell>
          <cell r="D3388" t="str">
            <v>HQH3074</v>
          </cell>
        </row>
        <row r="3389">
          <cell r="C3389" t="str">
            <v>HQH3745</v>
          </cell>
          <cell r="D3389" t="str">
            <v>HQH3745</v>
          </cell>
        </row>
        <row r="3390">
          <cell r="C3390" t="str">
            <v>HQH4974</v>
          </cell>
          <cell r="D3390" t="str">
            <v>HQH4974</v>
          </cell>
        </row>
        <row r="3391">
          <cell r="C3391" t="str">
            <v>HQH7371</v>
          </cell>
          <cell r="D3391" t="str">
            <v>HQH7371</v>
          </cell>
        </row>
        <row r="3392">
          <cell r="C3392" t="str">
            <v>HQH8136</v>
          </cell>
          <cell r="D3392" t="str">
            <v>HQH8136</v>
          </cell>
        </row>
        <row r="3393">
          <cell r="C3393" t="str">
            <v>HQH8378</v>
          </cell>
          <cell r="D3393" t="str">
            <v>HQH8378</v>
          </cell>
        </row>
        <row r="3394">
          <cell r="C3394" t="str">
            <v>HQH8609</v>
          </cell>
          <cell r="D3394" t="str">
            <v>HQH8609</v>
          </cell>
        </row>
        <row r="3395">
          <cell r="C3395" t="str">
            <v>HQH8905</v>
          </cell>
          <cell r="D3395" t="str">
            <v>HQH8905</v>
          </cell>
        </row>
        <row r="3396">
          <cell r="C3396" t="str">
            <v>HQH8917</v>
          </cell>
          <cell r="D3396" t="str">
            <v>HQH8917</v>
          </cell>
        </row>
        <row r="3397">
          <cell r="C3397" t="str">
            <v>HQH8927</v>
          </cell>
          <cell r="D3397" t="str">
            <v>HQH8927</v>
          </cell>
        </row>
        <row r="3398">
          <cell r="C3398" t="str">
            <v>HQH9713</v>
          </cell>
          <cell r="D3398" t="str">
            <v>HQH9713</v>
          </cell>
        </row>
        <row r="3399">
          <cell r="C3399" t="str">
            <v>HQH9975</v>
          </cell>
          <cell r="D3399" t="str">
            <v>HQH9975</v>
          </cell>
        </row>
        <row r="3400">
          <cell r="C3400" t="str">
            <v>HQI1230</v>
          </cell>
          <cell r="D3400" t="str">
            <v>HQI1230</v>
          </cell>
        </row>
        <row r="3401">
          <cell r="C3401" t="str">
            <v>HQI2751</v>
          </cell>
          <cell r="D3401" t="str">
            <v>HQI2751</v>
          </cell>
        </row>
        <row r="3402">
          <cell r="C3402" t="str">
            <v>HQI3442</v>
          </cell>
          <cell r="D3402" t="str">
            <v>HQI3442</v>
          </cell>
        </row>
        <row r="3403">
          <cell r="C3403" t="str">
            <v>HQI4529</v>
          </cell>
          <cell r="D3403" t="str">
            <v>HQI4529</v>
          </cell>
        </row>
        <row r="3404">
          <cell r="C3404" t="str">
            <v>HQJ2052</v>
          </cell>
          <cell r="D3404" t="str">
            <v>HQJ2052</v>
          </cell>
        </row>
        <row r="3405">
          <cell r="C3405" t="str">
            <v>HQJ0685</v>
          </cell>
          <cell r="D3405" t="str">
            <v>HQJ0685</v>
          </cell>
        </row>
        <row r="3406">
          <cell r="C3406" t="str">
            <v>HQJ1777</v>
          </cell>
          <cell r="D3406" t="str">
            <v>HQJ1777</v>
          </cell>
        </row>
        <row r="3407">
          <cell r="C3407" t="str">
            <v>HQJ1989</v>
          </cell>
          <cell r="D3407" t="str">
            <v>HQJ1989</v>
          </cell>
        </row>
        <row r="3408">
          <cell r="C3408" t="str">
            <v>HQJ2173</v>
          </cell>
          <cell r="D3408" t="str">
            <v>HQJ2173</v>
          </cell>
        </row>
        <row r="3409">
          <cell r="C3409" t="str">
            <v>HQJ2279</v>
          </cell>
          <cell r="D3409" t="str">
            <v>HQJ2279</v>
          </cell>
        </row>
        <row r="3410">
          <cell r="C3410" t="str">
            <v>HQJ2418</v>
          </cell>
          <cell r="D3410" t="str">
            <v>HQJ2418</v>
          </cell>
        </row>
        <row r="3411">
          <cell r="C3411" t="str">
            <v>HQJ2779</v>
          </cell>
          <cell r="D3411" t="str">
            <v>HQJ2779</v>
          </cell>
        </row>
        <row r="3412">
          <cell r="C3412" t="str">
            <v>HQJ2879</v>
          </cell>
          <cell r="D3412" t="str">
            <v>HQJ2879</v>
          </cell>
        </row>
        <row r="3413">
          <cell r="C3413" t="str">
            <v>HQJ3312</v>
          </cell>
          <cell r="D3413" t="str">
            <v>HQJ3312</v>
          </cell>
        </row>
        <row r="3414">
          <cell r="C3414" t="str">
            <v>HQJ3715</v>
          </cell>
          <cell r="D3414" t="str">
            <v>HQJ3715</v>
          </cell>
        </row>
        <row r="3415">
          <cell r="C3415" t="str">
            <v>HQJ3898</v>
          </cell>
          <cell r="D3415" t="str">
            <v>HQJ3898</v>
          </cell>
        </row>
        <row r="3416">
          <cell r="C3416" t="str">
            <v>HQJ3A58</v>
          </cell>
          <cell r="D3416" t="str">
            <v>HQJ3A58</v>
          </cell>
        </row>
        <row r="3417">
          <cell r="C3417" t="str">
            <v>HQJ4174</v>
          </cell>
          <cell r="D3417" t="str">
            <v>HQJ4174</v>
          </cell>
        </row>
        <row r="3418">
          <cell r="C3418" t="str">
            <v>HQJ5I20</v>
          </cell>
          <cell r="D3418" t="str">
            <v>HQJ5I20</v>
          </cell>
        </row>
        <row r="3419">
          <cell r="C3419" t="str">
            <v>HQL0187</v>
          </cell>
          <cell r="D3419" t="str">
            <v>HQL0187</v>
          </cell>
        </row>
        <row r="3420">
          <cell r="C3420" t="str">
            <v>HQL1502</v>
          </cell>
          <cell r="D3420" t="str">
            <v>HQL1502</v>
          </cell>
        </row>
        <row r="3421">
          <cell r="C3421" t="str">
            <v>HQL1896</v>
          </cell>
          <cell r="D3421" t="str">
            <v>HQL1896</v>
          </cell>
        </row>
        <row r="3422">
          <cell r="C3422" t="str">
            <v>HQL4082</v>
          </cell>
          <cell r="D3422" t="str">
            <v>HQL4082</v>
          </cell>
        </row>
        <row r="3423">
          <cell r="C3423" t="str">
            <v>HQL5657</v>
          </cell>
          <cell r="D3423" t="str">
            <v>HQL5657</v>
          </cell>
        </row>
        <row r="3424">
          <cell r="C3424" t="str">
            <v>HQL6375</v>
          </cell>
          <cell r="D3424" t="str">
            <v>HQL6375</v>
          </cell>
        </row>
        <row r="3425">
          <cell r="C3425" t="str">
            <v>HQL7083</v>
          </cell>
          <cell r="D3425" t="str">
            <v>HQL7083</v>
          </cell>
        </row>
        <row r="3426">
          <cell r="C3426" t="str">
            <v>HQL9083</v>
          </cell>
          <cell r="D3426" t="str">
            <v>HQL9083</v>
          </cell>
        </row>
        <row r="3427">
          <cell r="C3427" t="str">
            <v>HQL9B62</v>
          </cell>
          <cell r="D3427" t="str">
            <v>HQL9B62</v>
          </cell>
        </row>
        <row r="3428">
          <cell r="C3428" t="str">
            <v>HQM1173</v>
          </cell>
          <cell r="D3428" t="str">
            <v>HQM1173</v>
          </cell>
        </row>
        <row r="3429">
          <cell r="C3429" t="str">
            <v>HQM5604</v>
          </cell>
          <cell r="D3429" t="str">
            <v>HQM5604</v>
          </cell>
        </row>
        <row r="3430">
          <cell r="C3430" t="str">
            <v>HQM1366</v>
          </cell>
          <cell r="D3430" t="str">
            <v>HQM1366</v>
          </cell>
        </row>
        <row r="3431">
          <cell r="C3431" t="str">
            <v>HQM1D45</v>
          </cell>
          <cell r="D3431" t="str">
            <v>HQM1D45</v>
          </cell>
        </row>
        <row r="3432">
          <cell r="C3432" t="str">
            <v>HQM2362</v>
          </cell>
          <cell r="D3432" t="str">
            <v>HQM2362</v>
          </cell>
        </row>
        <row r="3433">
          <cell r="C3433" t="str">
            <v>HQM3564</v>
          </cell>
          <cell r="D3433" t="str">
            <v>HQM3564</v>
          </cell>
        </row>
        <row r="3434">
          <cell r="C3434" t="str">
            <v>HQM4266</v>
          </cell>
          <cell r="D3434" t="str">
            <v>HQM4266</v>
          </cell>
        </row>
        <row r="3435">
          <cell r="C3435" t="str">
            <v>HQM5112</v>
          </cell>
          <cell r="D3435" t="str">
            <v>HQM5112</v>
          </cell>
        </row>
        <row r="3436">
          <cell r="C3436" t="str">
            <v>HQM5670</v>
          </cell>
          <cell r="D3436" t="str">
            <v>HQM5670</v>
          </cell>
        </row>
        <row r="3437">
          <cell r="C3437" t="str">
            <v>HQM5754</v>
          </cell>
          <cell r="D3437" t="str">
            <v>HQM5754</v>
          </cell>
        </row>
        <row r="3438">
          <cell r="C3438" t="str">
            <v>HQM5923</v>
          </cell>
          <cell r="D3438" t="str">
            <v>HQM5923</v>
          </cell>
        </row>
        <row r="3439">
          <cell r="C3439" t="str">
            <v>HQM7130</v>
          </cell>
          <cell r="D3439" t="str">
            <v>HQM7130</v>
          </cell>
        </row>
        <row r="3440">
          <cell r="C3440" t="str">
            <v>HQM7452</v>
          </cell>
          <cell r="D3440" t="str">
            <v>HQM7452</v>
          </cell>
        </row>
        <row r="3441">
          <cell r="C3441" t="str">
            <v>HQM7896</v>
          </cell>
          <cell r="D3441" t="str">
            <v>HQM7896</v>
          </cell>
        </row>
        <row r="3442">
          <cell r="C3442" t="str">
            <v>HQM8310</v>
          </cell>
          <cell r="D3442" t="str">
            <v>HQM8310</v>
          </cell>
        </row>
        <row r="3443">
          <cell r="C3443" t="str">
            <v>HQM8346</v>
          </cell>
          <cell r="D3443" t="str">
            <v>HQM8346</v>
          </cell>
        </row>
        <row r="3444">
          <cell r="C3444" t="str">
            <v>HQM8395</v>
          </cell>
          <cell r="D3444" t="str">
            <v>HQM8395</v>
          </cell>
        </row>
        <row r="3445">
          <cell r="C3445" t="str">
            <v>HQM8873</v>
          </cell>
          <cell r="D3445" t="str">
            <v>HQM8873</v>
          </cell>
        </row>
        <row r="3446">
          <cell r="C3446" t="str">
            <v>HQM8876</v>
          </cell>
          <cell r="D3446" t="str">
            <v>HQM8876</v>
          </cell>
        </row>
        <row r="3447">
          <cell r="C3447" t="str">
            <v>HQM8999</v>
          </cell>
          <cell r="D3447" t="str">
            <v>HQM8999</v>
          </cell>
        </row>
        <row r="3448">
          <cell r="C3448" t="str">
            <v>HQM9053</v>
          </cell>
          <cell r="D3448" t="str">
            <v>HQM9053</v>
          </cell>
        </row>
        <row r="3449">
          <cell r="C3449" t="str">
            <v>HQM9200</v>
          </cell>
          <cell r="D3449" t="str">
            <v>HQM9200</v>
          </cell>
        </row>
        <row r="3450">
          <cell r="C3450" t="str">
            <v>HQM9202</v>
          </cell>
          <cell r="D3450" t="str">
            <v>HQM9202</v>
          </cell>
        </row>
        <row r="3451">
          <cell r="C3451" t="str">
            <v>HQM9383</v>
          </cell>
          <cell r="D3451" t="str">
            <v>HQM9383</v>
          </cell>
        </row>
        <row r="3452">
          <cell r="C3452" t="str">
            <v>HQM9773</v>
          </cell>
          <cell r="D3452" t="str">
            <v>HQM9773</v>
          </cell>
        </row>
        <row r="3453">
          <cell r="C3453" t="str">
            <v>HQN2355</v>
          </cell>
          <cell r="D3453" t="str">
            <v>HQN2355</v>
          </cell>
        </row>
        <row r="3454">
          <cell r="C3454" t="str">
            <v>HQN4414</v>
          </cell>
          <cell r="D3454" t="str">
            <v>HQN4414</v>
          </cell>
        </row>
        <row r="3455">
          <cell r="C3455" t="str">
            <v>HQN4G03</v>
          </cell>
          <cell r="D3455" t="str">
            <v>HQN4G03</v>
          </cell>
        </row>
        <row r="3456">
          <cell r="C3456" t="str">
            <v>HQN7130</v>
          </cell>
          <cell r="D3456" t="str">
            <v>HQN7130</v>
          </cell>
        </row>
        <row r="3457">
          <cell r="C3457" t="str">
            <v>HQN8C58</v>
          </cell>
          <cell r="D3457" t="str">
            <v>HQN8C58</v>
          </cell>
        </row>
        <row r="3458">
          <cell r="C3458" t="str">
            <v>HQN0517</v>
          </cell>
          <cell r="D3458" t="str">
            <v>HQN0517</v>
          </cell>
        </row>
        <row r="3459">
          <cell r="C3459" t="str">
            <v>HQN1266</v>
          </cell>
          <cell r="D3459" t="str">
            <v>HQN1266</v>
          </cell>
        </row>
        <row r="3460">
          <cell r="C3460" t="str">
            <v>HQN1607</v>
          </cell>
          <cell r="D3460" t="str">
            <v>HQN1607</v>
          </cell>
        </row>
        <row r="3461">
          <cell r="C3461" t="str">
            <v>HQN1858</v>
          </cell>
          <cell r="D3461" t="str">
            <v>HQN1858</v>
          </cell>
        </row>
        <row r="3462">
          <cell r="C3462" t="str">
            <v>HQN2024</v>
          </cell>
          <cell r="D3462" t="str">
            <v>HQN2024</v>
          </cell>
        </row>
        <row r="3463">
          <cell r="C3463" t="str">
            <v>HQN4603</v>
          </cell>
          <cell r="D3463" t="str">
            <v>HQN4603</v>
          </cell>
        </row>
        <row r="3464">
          <cell r="C3464" t="str">
            <v>HQN4679</v>
          </cell>
          <cell r="D3464" t="str">
            <v>HQN4679</v>
          </cell>
        </row>
        <row r="3465">
          <cell r="C3465" t="str">
            <v>HQN4875</v>
          </cell>
          <cell r="D3465" t="str">
            <v>HQN4875</v>
          </cell>
        </row>
        <row r="3466">
          <cell r="C3466" t="str">
            <v>HQN5259</v>
          </cell>
          <cell r="D3466" t="str">
            <v>HQN5259</v>
          </cell>
        </row>
        <row r="3467">
          <cell r="C3467" t="str">
            <v>HQN6258</v>
          </cell>
          <cell r="D3467" t="str">
            <v>HQN6258</v>
          </cell>
        </row>
        <row r="3468">
          <cell r="C3468" t="str">
            <v>HQN7452</v>
          </cell>
          <cell r="D3468" t="str">
            <v>HQN7452</v>
          </cell>
        </row>
        <row r="3469">
          <cell r="C3469" t="str">
            <v>HQN7547</v>
          </cell>
          <cell r="D3469" t="str">
            <v>HQN7547</v>
          </cell>
        </row>
        <row r="3470">
          <cell r="C3470" t="str">
            <v>HQN8005</v>
          </cell>
          <cell r="D3470" t="str">
            <v>HQN8005</v>
          </cell>
        </row>
        <row r="3471">
          <cell r="C3471" t="str">
            <v>HQN8199</v>
          </cell>
          <cell r="D3471" t="str">
            <v>HQN8199</v>
          </cell>
        </row>
        <row r="3472">
          <cell r="C3472" t="str">
            <v>HQN8355</v>
          </cell>
          <cell r="D3472" t="str">
            <v>HQN8355</v>
          </cell>
        </row>
        <row r="3473">
          <cell r="C3473" t="str">
            <v>HQN8I28</v>
          </cell>
          <cell r="D3473" t="str">
            <v>HQN8I28</v>
          </cell>
        </row>
        <row r="3474">
          <cell r="C3474" t="str">
            <v>HQN9053</v>
          </cell>
          <cell r="D3474" t="str">
            <v>HQN9053</v>
          </cell>
        </row>
        <row r="3475">
          <cell r="C3475" t="str">
            <v>HQN9141</v>
          </cell>
          <cell r="D3475" t="str">
            <v>HQN9141</v>
          </cell>
        </row>
        <row r="3476">
          <cell r="C3476" t="str">
            <v>HQN9688</v>
          </cell>
          <cell r="D3476" t="str">
            <v>HQN9688</v>
          </cell>
        </row>
        <row r="3477">
          <cell r="C3477" t="str">
            <v>HQO3814</v>
          </cell>
          <cell r="D3477" t="str">
            <v>HQO3814</v>
          </cell>
        </row>
        <row r="3478">
          <cell r="C3478" t="str">
            <v>HQO6305</v>
          </cell>
          <cell r="D3478" t="str">
            <v>HQO6305</v>
          </cell>
        </row>
        <row r="3479">
          <cell r="C3479" t="str">
            <v>HQP1455</v>
          </cell>
          <cell r="D3479" t="str">
            <v>HQP1455</v>
          </cell>
        </row>
        <row r="3480">
          <cell r="C3480" t="str">
            <v>HQP6997</v>
          </cell>
          <cell r="D3480" t="str">
            <v>HQP6997</v>
          </cell>
        </row>
        <row r="3481">
          <cell r="C3481" t="str">
            <v>HQP9772</v>
          </cell>
          <cell r="D3481" t="str">
            <v>HQP9772</v>
          </cell>
        </row>
        <row r="3482">
          <cell r="C3482" t="str">
            <v>HQP1504</v>
          </cell>
          <cell r="D3482" t="str">
            <v>HQP1504</v>
          </cell>
        </row>
        <row r="3483">
          <cell r="C3483" t="str">
            <v>HQP2983</v>
          </cell>
          <cell r="D3483" t="str">
            <v>HQP2983</v>
          </cell>
        </row>
        <row r="3484">
          <cell r="C3484" t="str">
            <v>HQP4231</v>
          </cell>
          <cell r="D3484" t="str">
            <v>HQP4231</v>
          </cell>
        </row>
        <row r="3485">
          <cell r="C3485" t="str">
            <v>HQP5411</v>
          </cell>
          <cell r="D3485" t="str">
            <v>HQP5411</v>
          </cell>
        </row>
        <row r="3486">
          <cell r="C3486" t="str">
            <v>HQP7131</v>
          </cell>
          <cell r="D3486" t="str">
            <v>HQP7131</v>
          </cell>
        </row>
        <row r="3487">
          <cell r="C3487" t="str">
            <v>HQP7244</v>
          </cell>
          <cell r="D3487" t="str">
            <v>HQP7244</v>
          </cell>
        </row>
        <row r="3488">
          <cell r="C3488" t="str">
            <v>HQP7427</v>
          </cell>
          <cell r="D3488" t="str">
            <v>HQP7427</v>
          </cell>
        </row>
        <row r="3489">
          <cell r="C3489" t="str">
            <v>HQP8245</v>
          </cell>
          <cell r="D3489" t="str">
            <v>HQP8245</v>
          </cell>
        </row>
        <row r="3490">
          <cell r="C3490" t="str">
            <v>HQP8730</v>
          </cell>
          <cell r="D3490" t="str">
            <v>HQP8730</v>
          </cell>
        </row>
        <row r="3491">
          <cell r="C3491" t="str">
            <v>HQP8764</v>
          </cell>
          <cell r="D3491" t="str">
            <v>HQP8764</v>
          </cell>
        </row>
        <row r="3492">
          <cell r="C3492" t="str">
            <v>HQP9446</v>
          </cell>
          <cell r="D3492" t="str">
            <v>HQP9446</v>
          </cell>
        </row>
        <row r="3493">
          <cell r="C3493" t="str">
            <v>HQP9912</v>
          </cell>
          <cell r="D3493" t="str">
            <v>HQP9912</v>
          </cell>
        </row>
        <row r="3494">
          <cell r="C3494" t="str">
            <v>HQQ0600</v>
          </cell>
          <cell r="D3494" t="str">
            <v>HQQ0600</v>
          </cell>
        </row>
        <row r="3495">
          <cell r="C3495" t="str">
            <v>HQQ5701</v>
          </cell>
          <cell r="D3495" t="str">
            <v>HQQ5701</v>
          </cell>
        </row>
        <row r="3496">
          <cell r="C3496" t="str">
            <v>HQQ5813</v>
          </cell>
          <cell r="D3496" t="str">
            <v>HQQ5813</v>
          </cell>
        </row>
        <row r="3497">
          <cell r="C3497" t="str">
            <v>HQQ5612</v>
          </cell>
          <cell r="D3497" t="str">
            <v>HQQ5612</v>
          </cell>
        </row>
        <row r="3498">
          <cell r="C3498" t="str">
            <v>HQQ5689</v>
          </cell>
          <cell r="D3498" t="str">
            <v>HQQ5689</v>
          </cell>
        </row>
        <row r="3499">
          <cell r="C3499" t="str">
            <v>HQQ5744</v>
          </cell>
          <cell r="D3499" t="str">
            <v>HQQ5744</v>
          </cell>
        </row>
        <row r="3500">
          <cell r="C3500" t="str">
            <v>HQQ5772</v>
          </cell>
          <cell r="D3500" t="str">
            <v>HQQ5772</v>
          </cell>
        </row>
        <row r="3501">
          <cell r="C3501" t="str">
            <v>HQQ6253</v>
          </cell>
          <cell r="D3501" t="str">
            <v>HQQ6253</v>
          </cell>
        </row>
        <row r="3502">
          <cell r="C3502" t="str">
            <v>HQQ6259</v>
          </cell>
          <cell r="D3502" t="str">
            <v>HQQ6259</v>
          </cell>
        </row>
        <row r="3503">
          <cell r="C3503" t="str">
            <v>HQQ6305</v>
          </cell>
          <cell r="D3503" t="str">
            <v>HQQ6305</v>
          </cell>
        </row>
        <row r="3504">
          <cell r="C3504" t="str">
            <v>HQQ7646</v>
          </cell>
          <cell r="D3504" t="str">
            <v>HQQ7646</v>
          </cell>
        </row>
        <row r="3505">
          <cell r="C3505" t="str">
            <v>HQQ7898</v>
          </cell>
          <cell r="D3505" t="str">
            <v>HQQ7898</v>
          </cell>
        </row>
        <row r="3506">
          <cell r="C3506" t="str">
            <v>HQQ7E79</v>
          </cell>
          <cell r="D3506" t="str">
            <v>HQQ7E79</v>
          </cell>
        </row>
        <row r="3507">
          <cell r="C3507" t="str">
            <v>HQQ8381</v>
          </cell>
          <cell r="D3507" t="str">
            <v>HQQ8381</v>
          </cell>
        </row>
        <row r="3508">
          <cell r="C3508" t="str">
            <v>HQQ8513</v>
          </cell>
          <cell r="D3508" t="str">
            <v>HQQ8513</v>
          </cell>
        </row>
        <row r="3509">
          <cell r="C3509" t="str">
            <v>HQQ8945</v>
          </cell>
          <cell r="D3509" t="str">
            <v>HQQ8945</v>
          </cell>
        </row>
        <row r="3510">
          <cell r="C3510" t="str">
            <v>HQQ9221</v>
          </cell>
          <cell r="D3510" t="str">
            <v>HQQ9221</v>
          </cell>
        </row>
        <row r="3511">
          <cell r="C3511" t="str">
            <v>HQQ9868</v>
          </cell>
          <cell r="D3511" t="str">
            <v>HQQ9868</v>
          </cell>
        </row>
        <row r="3512">
          <cell r="C3512" t="str">
            <v>HQR0598</v>
          </cell>
          <cell r="D3512" t="str">
            <v>HQR0598</v>
          </cell>
        </row>
        <row r="3513">
          <cell r="C3513" t="str">
            <v>HQR2251</v>
          </cell>
          <cell r="D3513" t="str">
            <v>HQR2251</v>
          </cell>
        </row>
        <row r="3514">
          <cell r="C3514" t="str">
            <v>HQR3953</v>
          </cell>
          <cell r="D3514" t="str">
            <v>HQR3953</v>
          </cell>
        </row>
        <row r="3515">
          <cell r="C3515" t="str">
            <v>HQR0182</v>
          </cell>
          <cell r="D3515" t="str">
            <v>HQR0182</v>
          </cell>
        </row>
        <row r="3516">
          <cell r="C3516" t="str">
            <v>HQR0525</v>
          </cell>
          <cell r="D3516" t="str">
            <v>HQR0525</v>
          </cell>
        </row>
        <row r="3517">
          <cell r="C3517" t="str">
            <v>HQR1112</v>
          </cell>
          <cell r="D3517" t="str">
            <v>HQR1112</v>
          </cell>
        </row>
        <row r="3518">
          <cell r="C3518" t="str">
            <v>HQR1199</v>
          </cell>
          <cell r="D3518" t="str">
            <v>HQR1199</v>
          </cell>
        </row>
        <row r="3519">
          <cell r="C3519" t="str">
            <v>HQR2230</v>
          </cell>
          <cell r="D3519" t="str">
            <v>HQR2230</v>
          </cell>
        </row>
        <row r="3520">
          <cell r="C3520" t="str">
            <v>HQR2233</v>
          </cell>
          <cell r="D3520" t="str">
            <v>HQR2233</v>
          </cell>
        </row>
        <row r="3521">
          <cell r="C3521" t="str">
            <v>HQR2678</v>
          </cell>
          <cell r="D3521" t="str">
            <v>HQR2678</v>
          </cell>
        </row>
        <row r="3522">
          <cell r="C3522" t="str">
            <v>HQR2904</v>
          </cell>
          <cell r="D3522" t="str">
            <v>HQR2904</v>
          </cell>
        </row>
        <row r="3523">
          <cell r="C3523" t="str">
            <v>HQR2925</v>
          </cell>
          <cell r="D3523" t="str">
            <v>HQR2925</v>
          </cell>
        </row>
        <row r="3524">
          <cell r="C3524" t="str">
            <v>HQR3073</v>
          </cell>
          <cell r="D3524" t="str">
            <v>HQR3073</v>
          </cell>
        </row>
        <row r="3525">
          <cell r="C3525" t="str">
            <v>HQR3114</v>
          </cell>
          <cell r="D3525" t="str">
            <v>HQR3114</v>
          </cell>
        </row>
        <row r="3526">
          <cell r="C3526" t="str">
            <v>HQR3206</v>
          </cell>
          <cell r="D3526" t="str">
            <v>HQR3206</v>
          </cell>
        </row>
        <row r="3527">
          <cell r="C3527" t="str">
            <v>HQR3454</v>
          </cell>
          <cell r="D3527" t="str">
            <v>HQR3454</v>
          </cell>
        </row>
        <row r="3528">
          <cell r="C3528" t="str">
            <v>HQR3597</v>
          </cell>
          <cell r="D3528" t="str">
            <v>HQR3597</v>
          </cell>
        </row>
        <row r="3529">
          <cell r="C3529" t="str">
            <v>HQR4H25</v>
          </cell>
          <cell r="D3529" t="str">
            <v>HQR4H25</v>
          </cell>
        </row>
        <row r="3530">
          <cell r="C3530" t="str">
            <v>HQR5002</v>
          </cell>
          <cell r="D3530" t="str">
            <v>HQR5002</v>
          </cell>
        </row>
        <row r="3531">
          <cell r="C3531" t="str">
            <v>HQR5336</v>
          </cell>
          <cell r="D3531" t="str">
            <v>HQR5336</v>
          </cell>
        </row>
        <row r="3532">
          <cell r="C3532" t="str">
            <v>HQR5448</v>
          </cell>
          <cell r="D3532" t="str">
            <v>HQR5448</v>
          </cell>
        </row>
        <row r="3533">
          <cell r="C3533" t="str">
            <v>HQR5879</v>
          </cell>
          <cell r="D3533" t="str">
            <v>HQR5879</v>
          </cell>
        </row>
        <row r="3534">
          <cell r="C3534" t="str">
            <v>HQR5G94</v>
          </cell>
          <cell r="D3534" t="str">
            <v>HQR5G94</v>
          </cell>
        </row>
        <row r="3535">
          <cell r="C3535" t="str">
            <v>HQR6113</v>
          </cell>
          <cell r="D3535" t="str">
            <v>HQR6113</v>
          </cell>
        </row>
        <row r="3536">
          <cell r="C3536" t="str">
            <v>HQR6644</v>
          </cell>
          <cell r="D3536" t="str">
            <v>HQR6644</v>
          </cell>
        </row>
        <row r="3537">
          <cell r="C3537" t="str">
            <v>HQR6922</v>
          </cell>
          <cell r="D3537" t="str">
            <v>HQR6922</v>
          </cell>
        </row>
        <row r="3538">
          <cell r="C3538" t="str">
            <v>HQR6932</v>
          </cell>
          <cell r="D3538" t="str">
            <v>HQR6932</v>
          </cell>
        </row>
        <row r="3539">
          <cell r="C3539" t="str">
            <v>HQR7079</v>
          </cell>
          <cell r="D3539" t="str">
            <v>HQR7079</v>
          </cell>
        </row>
        <row r="3540">
          <cell r="C3540" t="str">
            <v>HQR7128</v>
          </cell>
          <cell r="D3540" t="str">
            <v>HQR7128</v>
          </cell>
        </row>
        <row r="3541">
          <cell r="C3541" t="str">
            <v>HQR7130</v>
          </cell>
          <cell r="D3541" t="str">
            <v>HQR7130</v>
          </cell>
        </row>
        <row r="3542">
          <cell r="C3542" t="str">
            <v>HQR7136</v>
          </cell>
          <cell r="D3542" t="str">
            <v>HQR7136</v>
          </cell>
        </row>
        <row r="3543">
          <cell r="C3543" t="str">
            <v>HQR7425</v>
          </cell>
          <cell r="D3543" t="str">
            <v>HQR7425</v>
          </cell>
        </row>
        <row r="3544">
          <cell r="C3544" t="str">
            <v>HQR7B46</v>
          </cell>
          <cell r="D3544" t="str">
            <v>HQR7B46</v>
          </cell>
        </row>
        <row r="3545">
          <cell r="C3545" t="str">
            <v>HQR8638</v>
          </cell>
          <cell r="D3545" t="str">
            <v>HQR8638</v>
          </cell>
        </row>
        <row r="3546">
          <cell r="C3546" t="str">
            <v>HQR8O54</v>
          </cell>
          <cell r="D3546" t="str">
            <v>HQR8O54</v>
          </cell>
        </row>
        <row r="3547">
          <cell r="C3547" t="str">
            <v>HQR9196</v>
          </cell>
          <cell r="D3547" t="str">
            <v>HQR9196</v>
          </cell>
        </row>
        <row r="3548">
          <cell r="C3548" t="str">
            <v>HQR9648</v>
          </cell>
          <cell r="D3548" t="str">
            <v>HQR9648</v>
          </cell>
        </row>
        <row r="3549">
          <cell r="C3549" t="str">
            <v>HQR9946</v>
          </cell>
          <cell r="D3549" t="str">
            <v>HQR9946</v>
          </cell>
        </row>
        <row r="3550">
          <cell r="C3550" t="str">
            <v>HQR9I98</v>
          </cell>
          <cell r="D3550" t="str">
            <v>HQR9I98</v>
          </cell>
        </row>
        <row r="3551">
          <cell r="C3551" t="str">
            <v>HQS2090</v>
          </cell>
          <cell r="D3551" t="str">
            <v>HQS2090</v>
          </cell>
        </row>
        <row r="3552">
          <cell r="C3552" t="str">
            <v>HQS2338</v>
          </cell>
          <cell r="D3552" t="str">
            <v>HQS2338</v>
          </cell>
        </row>
        <row r="3553">
          <cell r="C3553" t="str">
            <v>HQS3769</v>
          </cell>
          <cell r="D3553" t="str">
            <v>HQS3769</v>
          </cell>
        </row>
        <row r="3554">
          <cell r="C3554" t="str">
            <v>HQS7109</v>
          </cell>
          <cell r="D3554" t="str">
            <v>HQS7109</v>
          </cell>
        </row>
        <row r="3555">
          <cell r="C3555" t="str">
            <v>HQS7438</v>
          </cell>
          <cell r="D3555" t="str">
            <v>HQS7438</v>
          </cell>
        </row>
        <row r="3556">
          <cell r="C3556" t="str">
            <v>HQS7779</v>
          </cell>
          <cell r="D3556" t="str">
            <v>HQS7779</v>
          </cell>
        </row>
        <row r="3557">
          <cell r="C3557" t="str">
            <v>HQS7990</v>
          </cell>
          <cell r="D3557" t="str">
            <v>HQS7990</v>
          </cell>
        </row>
        <row r="3558">
          <cell r="C3558" t="str">
            <v>HQS8226</v>
          </cell>
          <cell r="D3558" t="str">
            <v>HQS8226</v>
          </cell>
        </row>
        <row r="3559">
          <cell r="C3559" t="str">
            <v>HQS8548</v>
          </cell>
          <cell r="D3559" t="str">
            <v>HQS8548</v>
          </cell>
        </row>
        <row r="3560">
          <cell r="C3560" t="str">
            <v>HQS9067</v>
          </cell>
          <cell r="D3560" t="str">
            <v>HQS9067</v>
          </cell>
        </row>
        <row r="3561">
          <cell r="C3561" t="str">
            <v>HQT0116</v>
          </cell>
          <cell r="D3561" t="str">
            <v>HQT0116</v>
          </cell>
        </row>
        <row r="3562">
          <cell r="C3562" t="str">
            <v>HQT0807</v>
          </cell>
          <cell r="D3562" t="str">
            <v>HQT0807</v>
          </cell>
        </row>
        <row r="3563">
          <cell r="C3563" t="str">
            <v>HQT1465</v>
          </cell>
          <cell r="D3563" t="str">
            <v>HQT1465</v>
          </cell>
        </row>
        <row r="3564">
          <cell r="C3564" t="str">
            <v>HQT1666</v>
          </cell>
          <cell r="D3564" t="str">
            <v>HQT1666</v>
          </cell>
        </row>
        <row r="3565">
          <cell r="C3565" t="str">
            <v>HQT1791</v>
          </cell>
          <cell r="D3565" t="str">
            <v>HQT1791</v>
          </cell>
        </row>
        <row r="3566">
          <cell r="C3566" t="str">
            <v>HQT2496</v>
          </cell>
          <cell r="D3566" t="str">
            <v>HQT2496</v>
          </cell>
        </row>
        <row r="3567">
          <cell r="C3567" t="str">
            <v>HQT2562</v>
          </cell>
          <cell r="D3567" t="str">
            <v>HQT2562</v>
          </cell>
        </row>
        <row r="3568">
          <cell r="C3568" t="str">
            <v>HQT3741</v>
          </cell>
          <cell r="D3568" t="str">
            <v>HQT3741</v>
          </cell>
        </row>
        <row r="3569">
          <cell r="C3569" t="str">
            <v>HQT5280</v>
          </cell>
          <cell r="D3569" t="str">
            <v>HQT5280</v>
          </cell>
        </row>
        <row r="3570">
          <cell r="C3570" t="str">
            <v>HQT5430</v>
          </cell>
          <cell r="D3570" t="str">
            <v>HQT5430</v>
          </cell>
        </row>
        <row r="3571">
          <cell r="C3571" t="str">
            <v>HQT5747</v>
          </cell>
          <cell r="D3571" t="str">
            <v>HQT5747</v>
          </cell>
        </row>
        <row r="3572">
          <cell r="C3572" t="str">
            <v>HQT5749</v>
          </cell>
          <cell r="D3572" t="str">
            <v>HQT5749</v>
          </cell>
        </row>
        <row r="3573">
          <cell r="C3573" t="str">
            <v>HQT6032</v>
          </cell>
          <cell r="D3573" t="str">
            <v>HQT6032</v>
          </cell>
        </row>
        <row r="3574">
          <cell r="C3574" t="str">
            <v>HQT6070</v>
          </cell>
          <cell r="D3574" t="str">
            <v>HQT6070</v>
          </cell>
        </row>
        <row r="3575">
          <cell r="C3575" t="str">
            <v>HQT6760</v>
          </cell>
          <cell r="D3575" t="str">
            <v>HQT6760</v>
          </cell>
        </row>
        <row r="3576">
          <cell r="C3576" t="str">
            <v>HQT7204</v>
          </cell>
          <cell r="D3576" t="str">
            <v>HQT7204</v>
          </cell>
        </row>
        <row r="3577">
          <cell r="C3577" t="str">
            <v>HQT8280</v>
          </cell>
          <cell r="D3577" t="str">
            <v>HQT8280</v>
          </cell>
        </row>
        <row r="3578">
          <cell r="C3578" t="str">
            <v>HQT8996</v>
          </cell>
          <cell r="D3578" t="str">
            <v>HQT8996</v>
          </cell>
        </row>
        <row r="3579">
          <cell r="C3579" t="str">
            <v>HQT9155</v>
          </cell>
          <cell r="D3579" t="str">
            <v>HQT9155</v>
          </cell>
        </row>
        <row r="3580">
          <cell r="C3580" t="str">
            <v>HQT9562</v>
          </cell>
          <cell r="D3580" t="str">
            <v>HQT9562</v>
          </cell>
        </row>
        <row r="3581">
          <cell r="C3581" t="str">
            <v>HQU0563</v>
          </cell>
          <cell r="D3581" t="str">
            <v>HQU0563</v>
          </cell>
        </row>
        <row r="3582">
          <cell r="C3582" t="str">
            <v>HQU2396</v>
          </cell>
          <cell r="D3582" t="str">
            <v>HQU2396</v>
          </cell>
        </row>
        <row r="3583">
          <cell r="C3583" t="str">
            <v>HQU3006</v>
          </cell>
          <cell r="D3583" t="str">
            <v>HQU3006</v>
          </cell>
        </row>
        <row r="3584">
          <cell r="C3584" t="str">
            <v>HQU5686</v>
          </cell>
          <cell r="D3584" t="str">
            <v>HQU5686</v>
          </cell>
        </row>
        <row r="3585">
          <cell r="C3585" t="str">
            <v>HQU8203</v>
          </cell>
          <cell r="D3585" t="str">
            <v>HQU8203</v>
          </cell>
        </row>
        <row r="3586">
          <cell r="C3586" t="str">
            <v>HQU9487</v>
          </cell>
          <cell r="D3586" t="str">
            <v>HQU9487</v>
          </cell>
        </row>
        <row r="3587">
          <cell r="C3587" t="str">
            <v>HQU9I24</v>
          </cell>
          <cell r="D3587" t="str">
            <v>HQU9I24</v>
          </cell>
        </row>
        <row r="3588">
          <cell r="C3588" t="str">
            <v>HQV2808</v>
          </cell>
          <cell r="D3588" t="str">
            <v>HQV2808</v>
          </cell>
        </row>
        <row r="3589">
          <cell r="C3589" t="str">
            <v>HQV6298</v>
          </cell>
          <cell r="D3589" t="str">
            <v>HQV6298</v>
          </cell>
        </row>
        <row r="3590">
          <cell r="C3590" t="str">
            <v>HQV0292</v>
          </cell>
          <cell r="D3590" t="str">
            <v>HQV0292</v>
          </cell>
        </row>
        <row r="3591">
          <cell r="C3591" t="str">
            <v>HQV2202</v>
          </cell>
          <cell r="D3591" t="str">
            <v>HQV2202</v>
          </cell>
        </row>
        <row r="3592">
          <cell r="C3592" t="str">
            <v>HQV2690</v>
          </cell>
          <cell r="D3592" t="str">
            <v>HQV2690</v>
          </cell>
        </row>
        <row r="3593">
          <cell r="C3593" t="str">
            <v>HQV3251</v>
          </cell>
          <cell r="D3593" t="str">
            <v>HQV3251</v>
          </cell>
        </row>
        <row r="3594">
          <cell r="C3594" t="str">
            <v>HQV3427</v>
          </cell>
          <cell r="D3594" t="str">
            <v>HQV3427</v>
          </cell>
        </row>
        <row r="3595">
          <cell r="C3595" t="str">
            <v>HQV3446</v>
          </cell>
          <cell r="D3595" t="str">
            <v>HQV3446</v>
          </cell>
        </row>
        <row r="3596">
          <cell r="C3596" t="str">
            <v>HQV3729</v>
          </cell>
          <cell r="D3596" t="str">
            <v>HQV3729</v>
          </cell>
        </row>
        <row r="3597">
          <cell r="C3597" t="str">
            <v>HQV3989</v>
          </cell>
          <cell r="D3597" t="str">
            <v>HQV3989</v>
          </cell>
        </row>
        <row r="3598">
          <cell r="C3598" t="str">
            <v>HQV4848</v>
          </cell>
          <cell r="D3598" t="str">
            <v>HQV4848</v>
          </cell>
        </row>
        <row r="3599">
          <cell r="C3599" t="str">
            <v>HQV5380</v>
          </cell>
          <cell r="D3599" t="str">
            <v>HQV5380</v>
          </cell>
        </row>
        <row r="3600">
          <cell r="C3600" t="str">
            <v>HQV5926</v>
          </cell>
          <cell r="D3600" t="str">
            <v>HQV5926</v>
          </cell>
        </row>
        <row r="3601">
          <cell r="C3601" t="str">
            <v>HQV6412</v>
          </cell>
          <cell r="D3601" t="str">
            <v>HQV6412</v>
          </cell>
        </row>
        <row r="3602">
          <cell r="C3602" t="str">
            <v>HQV6605</v>
          </cell>
          <cell r="D3602" t="str">
            <v>HQV6605</v>
          </cell>
        </row>
        <row r="3603">
          <cell r="C3603" t="str">
            <v>HQV6G05</v>
          </cell>
          <cell r="D3603" t="str">
            <v>HQV6G05</v>
          </cell>
        </row>
        <row r="3604">
          <cell r="C3604" t="str">
            <v>HQV7202</v>
          </cell>
          <cell r="D3604" t="str">
            <v>HQV7202</v>
          </cell>
        </row>
        <row r="3605">
          <cell r="C3605" t="str">
            <v>HQV7451</v>
          </cell>
          <cell r="D3605" t="str">
            <v>HQV7451</v>
          </cell>
        </row>
        <row r="3606">
          <cell r="C3606" t="str">
            <v>HQV7612</v>
          </cell>
          <cell r="D3606" t="str">
            <v>HQV7612</v>
          </cell>
        </row>
        <row r="3607">
          <cell r="C3607" t="str">
            <v>HQV7685</v>
          </cell>
          <cell r="D3607" t="str">
            <v>HQV7685</v>
          </cell>
        </row>
        <row r="3608">
          <cell r="C3608" t="str">
            <v>HQV7698</v>
          </cell>
          <cell r="D3608" t="str">
            <v>HQV7698</v>
          </cell>
        </row>
        <row r="3609">
          <cell r="C3609" t="str">
            <v>HQV7703</v>
          </cell>
          <cell r="D3609" t="str">
            <v>HQV7703</v>
          </cell>
        </row>
        <row r="3610">
          <cell r="C3610" t="str">
            <v>HQV8378</v>
          </cell>
          <cell r="D3610" t="str">
            <v>HQV8378</v>
          </cell>
        </row>
        <row r="3611">
          <cell r="C3611" t="str">
            <v>HQV8387</v>
          </cell>
          <cell r="D3611" t="str">
            <v>HQV8387</v>
          </cell>
        </row>
        <row r="3612">
          <cell r="C3612" t="str">
            <v>HQV8939</v>
          </cell>
          <cell r="D3612" t="str">
            <v>HQV8939</v>
          </cell>
        </row>
        <row r="3613">
          <cell r="C3613" t="str">
            <v>HQV8C98</v>
          </cell>
          <cell r="D3613" t="str">
            <v>HQV8C98</v>
          </cell>
        </row>
        <row r="3614">
          <cell r="C3614" t="str">
            <v>HQV8J65</v>
          </cell>
          <cell r="D3614" t="str">
            <v>HQV8J65</v>
          </cell>
        </row>
        <row r="3615">
          <cell r="C3615" t="str">
            <v>HQV9424</v>
          </cell>
          <cell r="D3615" t="str">
            <v>HQV9424</v>
          </cell>
        </row>
        <row r="3616">
          <cell r="C3616" t="str">
            <v>HQW0621</v>
          </cell>
          <cell r="D3616" t="str">
            <v>HQW0621</v>
          </cell>
        </row>
        <row r="3617">
          <cell r="C3617" t="str">
            <v>HQW3828</v>
          </cell>
          <cell r="D3617" t="str">
            <v>HQW3828</v>
          </cell>
        </row>
        <row r="3618">
          <cell r="C3618" t="str">
            <v>HQW6864</v>
          </cell>
          <cell r="D3618" t="str">
            <v>HQW6864</v>
          </cell>
        </row>
        <row r="3619">
          <cell r="C3619" t="str">
            <v>HQW7120</v>
          </cell>
          <cell r="D3619" t="str">
            <v>HQW7120</v>
          </cell>
        </row>
        <row r="3620">
          <cell r="C3620" t="str">
            <v>HQW7547</v>
          </cell>
          <cell r="D3620" t="str">
            <v>HQW7547</v>
          </cell>
        </row>
        <row r="3621">
          <cell r="C3621" t="str">
            <v>HQW8983</v>
          </cell>
          <cell r="D3621" t="str">
            <v>HQW8983</v>
          </cell>
        </row>
        <row r="3622">
          <cell r="C3622" t="str">
            <v>HQW9587</v>
          </cell>
          <cell r="D3622" t="str">
            <v>HQW9587</v>
          </cell>
        </row>
        <row r="3623">
          <cell r="C3623" t="str">
            <v>HQW9597</v>
          </cell>
          <cell r="D3623" t="str">
            <v>HQW9597</v>
          </cell>
        </row>
        <row r="3624">
          <cell r="C3624" t="str">
            <v>HQW9786</v>
          </cell>
          <cell r="D3624" t="str">
            <v>HQW9786</v>
          </cell>
        </row>
        <row r="3625">
          <cell r="C3625" t="str">
            <v>HQW9976</v>
          </cell>
          <cell r="D3625" t="str">
            <v>HQW9976</v>
          </cell>
        </row>
        <row r="3626">
          <cell r="C3626" t="str">
            <v>HQX2165</v>
          </cell>
          <cell r="D3626" t="str">
            <v>HQX2165</v>
          </cell>
        </row>
        <row r="3627">
          <cell r="C3627" t="str">
            <v>HQX2638</v>
          </cell>
          <cell r="D3627" t="str">
            <v>HQX2638</v>
          </cell>
        </row>
        <row r="3628">
          <cell r="C3628" t="str">
            <v>HQX2642</v>
          </cell>
          <cell r="D3628" t="str">
            <v>HQX2642</v>
          </cell>
        </row>
        <row r="3629">
          <cell r="C3629" t="str">
            <v>HQX6463</v>
          </cell>
          <cell r="D3629" t="str">
            <v>HQX6463</v>
          </cell>
        </row>
        <row r="3630">
          <cell r="C3630" t="str">
            <v>HQX7644</v>
          </cell>
          <cell r="D3630" t="str">
            <v>HQX7644</v>
          </cell>
        </row>
        <row r="3631">
          <cell r="C3631" t="str">
            <v>HQX9807</v>
          </cell>
          <cell r="D3631" t="str">
            <v>HQX9807</v>
          </cell>
        </row>
        <row r="3632">
          <cell r="C3632" t="str">
            <v>HQX0308</v>
          </cell>
          <cell r="D3632" t="str">
            <v>HQX0308</v>
          </cell>
        </row>
        <row r="3633">
          <cell r="C3633" t="str">
            <v>HQX0584</v>
          </cell>
          <cell r="D3633" t="str">
            <v>HQX0584</v>
          </cell>
        </row>
        <row r="3634">
          <cell r="C3634" t="str">
            <v>HQX0744</v>
          </cell>
          <cell r="D3634" t="str">
            <v>HQX0744</v>
          </cell>
        </row>
        <row r="3635">
          <cell r="C3635" t="str">
            <v>HQX0864</v>
          </cell>
          <cell r="D3635" t="str">
            <v>HQX0864</v>
          </cell>
        </row>
        <row r="3636">
          <cell r="C3636" t="str">
            <v>HQX1187</v>
          </cell>
          <cell r="D3636" t="str">
            <v>HQX1187</v>
          </cell>
        </row>
        <row r="3637">
          <cell r="C3637" t="str">
            <v>HQX1277</v>
          </cell>
          <cell r="D3637" t="str">
            <v>HQX1277</v>
          </cell>
        </row>
        <row r="3638">
          <cell r="C3638" t="str">
            <v>HQX1278</v>
          </cell>
          <cell r="D3638" t="str">
            <v>HQX1278</v>
          </cell>
        </row>
        <row r="3639">
          <cell r="C3639" t="str">
            <v>HQX1285</v>
          </cell>
          <cell r="D3639" t="str">
            <v>HQX1285</v>
          </cell>
        </row>
        <row r="3640">
          <cell r="C3640" t="str">
            <v>HQX1463</v>
          </cell>
          <cell r="D3640" t="str">
            <v>HQX1463</v>
          </cell>
        </row>
        <row r="3641">
          <cell r="C3641" t="str">
            <v>HQX1476</v>
          </cell>
          <cell r="D3641" t="str">
            <v>HQX1476</v>
          </cell>
        </row>
        <row r="3642">
          <cell r="C3642" t="str">
            <v>HQX1572</v>
          </cell>
          <cell r="D3642" t="str">
            <v>HQX1572</v>
          </cell>
        </row>
        <row r="3643">
          <cell r="C3643" t="str">
            <v>HQX2411</v>
          </cell>
          <cell r="D3643" t="str">
            <v>HQX2411</v>
          </cell>
        </row>
        <row r="3644">
          <cell r="C3644" t="str">
            <v>HQX2883</v>
          </cell>
          <cell r="D3644" t="str">
            <v>HQX2883</v>
          </cell>
        </row>
        <row r="3645">
          <cell r="C3645" t="str">
            <v>HQX2G42</v>
          </cell>
          <cell r="D3645" t="str">
            <v>HQX2G42</v>
          </cell>
        </row>
        <row r="3646">
          <cell r="C3646" t="str">
            <v>HQX3686</v>
          </cell>
          <cell r="D3646" t="str">
            <v>HQX3686</v>
          </cell>
        </row>
        <row r="3647">
          <cell r="C3647" t="str">
            <v>HQX3989</v>
          </cell>
          <cell r="D3647" t="str">
            <v>HQX3989</v>
          </cell>
        </row>
        <row r="3648">
          <cell r="C3648" t="str">
            <v>HQX4182</v>
          </cell>
          <cell r="D3648" t="str">
            <v>HQX4182</v>
          </cell>
        </row>
        <row r="3649">
          <cell r="C3649" t="str">
            <v>HQX4686</v>
          </cell>
          <cell r="D3649" t="str">
            <v>HQX4686</v>
          </cell>
        </row>
        <row r="3650">
          <cell r="C3650" t="str">
            <v>HQX4F08</v>
          </cell>
          <cell r="D3650" t="str">
            <v>HQX4F08</v>
          </cell>
        </row>
        <row r="3651">
          <cell r="C3651" t="str">
            <v>HQX5757</v>
          </cell>
          <cell r="D3651" t="str">
            <v>HQX5757</v>
          </cell>
        </row>
        <row r="3652">
          <cell r="C3652" t="str">
            <v>HQX5F06</v>
          </cell>
          <cell r="D3652" t="str">
            <v>HQX5F06</v>
          </cell>
        </row>
        <row r="3653">
          <cell r="C3653" t="str">
            <v>HQX6093</v>
          </cell>
          <cell r="D3653" t="str">
            <v>HQX6093</v>
          </cell>
        </row>
        <row r="3654">
          <cell r="C3654" t="str">
            <v>HQX6780</v>
          </cell>
          <cell r="D3654" t="str">
            <v>HQX6780</v>
          </cell>
        </row>
        <row r="3655">
          <cell r="C3655" t="str">
            <v>HQX6930</v>
          </cell>
          <cell r="D3655" t="str">
            <v>HQX6930</v>
          </cell>
        </row>
        <row r="3656">
          <cell r="C3656" t="str">
            <v>HQX7276</v>
          </cell>
          <cell r="D3656" t="str">
            <v>HQX7276</v>
          </cell>
        </row>
        <row r="3657">
          <cell r="C3657" t="str">
            <v>HQX7352</v>
          </cell>
          <cell r="D3657" t="str">
            <v>HQX7352</v>
          </cell>
        </row>
        <row r="3658">
          <cell r="C3658" t="str">
            <v>HQX8376</v>
          </cell>
          <cell r="D3658" t="str">
            <v>HQX8376</v>
          </cell>
        </row>
        <row r="3659">
          <cell r="C3659" t="str">
            <v>HQX8415</v>
          </cell>
          <cell r="D3659" t="str">
            <v>HQX8415</v>
          </cell>
        </row>
        <row r="3660">
          <cell r="C3660" t="str">
            <v>HQX8996</v>
          </cell>
          <cell r="D3660" t="str">
            <v>HQX8996</v>
          </cell>
        </row>
        <row r="3661">
          <cell r="C3661" t="str">
            <v>HQX8C53</v>
          </cell>
          <cell r="D3661" t="str">
            <v>HQX8C53</v>
          </cell>
        </row>
        <row r="3662">
          <cell r="C3662" t="str">
            <v>HQY0372</v>
          </cell>
          <cell r="D3662" t="str">
            <v>HQY0372</v>
          </cell>
        </row>
        <row r="3663">
          <cell r="C3663" t="str">
            <v>HQY0739</v>
          </cell>
          <cell r="D3663" t="str">
            <v>HQY0739</v>
          </cell>
        </row>
        <row r="3664">
          <cell r="C3664" t="str">
            <v>HQY0807</v>
          </cell>
          <cell r="D3664" t="str">
            <v>HQY0807</v>
          </cell>
        </row>
        <row r="3665">
          <cell r="C3665" t="str">
            <v>HQY0858</v>
          </cell>
          <cell r="D3665" t="str">
            <v>HQY0858</v>
          </cell>
        </row>
        <row r="3666">
          <cell r="C3666" t="str">
            <v>HQY3435</v>
          </cell>
          <cell r="D3666" t="str">
            <v>HQY3435</v>
          </cell>
        </row>
        <row r="3667">
          <cell r="C3667" t="str">
            <v>HQY4948</v>
          </cell>
          <cell r="D3667" t="str">
            <v>HQY4948</v>
          </cell>
        </row>
        <row r="3668">
          <cell r="C3668" t="str">
            <v>HQY5416</v>
          </cell>
          <cell r="D3668" t="str">
            <v>HQY5416</v>
          </cell>
        </row>
        <row r="3669">
          <cell r="C3669" t="str">
            <v>HQY5736</v>
          </cell>
          <cell r="D3669" t="str">
            <v>HQY5736</v>
          </cell>
        </row>
        <row r="3670">
          <cell r="C3670" t="str">
            <v>HQY5925</v>
          </cell>
          <cell r="D3670" t="str">
            <v>HQY5925</v>
          </cell>
        </row>
        <row r="3671">
          <cell r="C3671" t="str">
            <v>HQY6444</v>
          </cell>
          <cell r="D3671" t="str">
            <v>HQY6444</v>
          </cell>
        </row>
        <row r="3672">
          <cell r="C3672" t="str">
            <v>HQY6780</v>
          </cell>
          <cell r="D3672" t="str">
            <v>HQY6780</v>
          </cell>
        </row>
        <row r="3673">
          <cell r="C3673" t="str">
            <v>HQY7091</v>
          </cell>
          <cell r="D3673" t="str">
            <v>HQY7091</v>
          </cell>
        </row>
        <row r="3674">
          <cell r="C3674" t="str">
            <v>HQY7188</v>
          </cell>
          <cell r="D3674" t="str">
            <v>HQY7188</v>
          </cell>
        </row>
        <row r="3675">
          <cell r="C3675" t="str">
            <v>HQY7706</v>
          </cell>
          <cell r="D3675" t="str">
            <v>HQY7706</v>
          </cell>
        </row>
        <row r="3676">
          <cell r="C3676" t="str">
            <v>HQY9311</v>
          </cell>
          <cell r="D3676" t="str">
            <v>HQY9311</v>
          </cell>
        </row>
        <row r="3677">
          <cell r="C3677" t="str">
            <v>HQY9925</v>
          </cell>
          <cell r="D3677" t="str">
            <v>HQY9925</v>
          </cell>
        </row>
        <row r="3678">
          <cell r="C3678" t="str">
            <v>HQZ2996</v>
          </cell>
          <cell r="D3678" t="str">
            <v>HQZ2996</v>
          </cell>
        </row>
        <row r="3679">
          <cell r="C3679" t="str">
            <v>HQZ0531</v>
          </cell>
          <cell r="D3679" t="str">
            <v>HQZ0531</v>
          </cell>
        </row>
        <row r="3680">
          <cell r="C3680" t="str">
            <v>HQZ1389</v>
          </cell>
          <cell r="D3680" t="str">
            <v>HQZ1389</v>
          </cell>
        </row>
        <row r="3681">
          <cell r="C3681" t="str">
            <v>HQZ2002</v>
          </cell>
          <cell r="D3681" t="str">
            <v>HQZ2002</v>
          </cell>
        </row>
        <row r="3682">
          <cell r="C3682" t="str">
            <v>HQZ3032</v>
          </cell>
          <cell r="D3682" t="str">
            <v>HQZ3032</v>
          </cell>
        </row>
        <row r="3683">
          <cell r="C3683" t="str">
            <v>HQZ3967</v>
          </cell>
          <cell r="D3683" t="str">
            <v>HQZ3967</v>
          </cell>
        </row>
        <row r="3684">
          <cell r="C3684" t="str">
            <v>HQZ4424</v>
          </cell>
          <cell r="D3684" t="str">
            <v>HQZ4424</v>
          </cell>
        </row>
        <row r="3685">
          <cell r="C3685" t="str">
            <v>HQZ6019</v>
          </cell>
          <cell r="D3685" t="str">
            <v>HQZ6019</v>
          </cell>
        </row>
        <row r="3686">
          <cell r="C3686" t="str">
            <v>HQZ7411</v>
          </cell>
          <cell r="D3686" t="str">
            <v>HQZ7411</v>
          </cell>
        </row>
        <row r="3687">
          <cell r="C3687" t="str">
            <v>HQZ7424</v>
          </cell>
          <cell r="D3687" t="str">
            <v>HQZ7424</v>
          </cell>
        </row>
        <row r="3688">
          <cell r="C3688" t="str">
            <v>HQZ7467</v>
          </cell>
          <cell r="D3688" t="str">
            <v>HQZ7467</v>
          </cell>
        </row>
        <row r="3689">
          <cell r="C3689" t="str">
            <v>HQZ7539</v>
          </cell>
          <cell r="D3689" t="str">
            <v>HQZ7539</v>
          </cell>
        </row>
        <row r="3690">
          <cell r="C3690" t="str">
            <v>HQZ7755</v>
          </cell>
          <cell r="D3690" t="str">
            <v>HQZ7755</v>
          </cell>
        </row>
        <row r="3691">
          <cell r="C3691" t="str">
            <v>HQZ7775</v>
          </cell>
          <cell r="D3691" t="str">
            <v>HQZ7775</v>
          </cell>
        </row>
        <row r="3692">
          <cell r="C3692" t="str">
            <v>HQZ7981</v>
          </cell>
          <cell r="D3692" t="str">
            <v>HQZ7981</v>
          </cell>
        </row>
        <row r="3693">
          <cell r="C3693" t="str">
            <v>HQZ8199</v>
          </cell>
          <cell r="D3693" t="str">
            <v>HQZ8199</v>
          </cell>
        </row>
        <row r="3694">
          <cell r="C3694" t="str">
            <v>HQZ8329</v>
          </cell>
          <cell r="D3694" t="str">
            <v>HQZ8329</v>
          </cell>
        </row>
        <row r="3695">
          <cell r="C3695" t="str">
            <v>HQZ8698</v>
          </cell>
          <cell r="D3695" t="str">
            <v>HQZ8698</v>
          </cell>
        </row>
        <row r="3696">
          <cell r="C3696" t="str">
            <v>HQZ9697</v>
          </cell>
          <cell r="D3696" t="str">
            <v>HQZ9697</v>
          </cell>
        </row>
        <row r="3697">
          <cell r="C3697" t="str">
            <v>HRA0543</v>
          </cell>
          <cell r="D3697" t="str">
            <v>HRA0543</v>
          </cell>
        </row>
        <row r="3698">
          <cell r="C3698" t="str">
            <v>HRA3940</v>
          </cell>
          <cell r="D3698" t="str">
            <v>HRA3940</v>
          </cell>
        </row>
        <row r="3699">
          <cell r="C3699" t="str">
            <v>HRA1796</v>
          </cell>
          <cell r="D3699" t="str">
            <v>HRA1796</v>
          </cell>
        </row>
        <row r="3700">
          <cell r="C3700" t="str">
            <v>HRA2596</v>
          </cell>
          <cell r="D3700" t="str">
            <v>HRA2596</v>
          </cell>
        </row>
        <row r="3701">
          <cell r="C3701" t="str">
            <v>HRA2714</v>
          </cell>
          <cell r="D3701" t="str">
            <v>HRA2714</v>
          </cell>
        </row>
        <row r="3702">
          <cell r="C3702" t="str">
            <v>HRA4212</v>
          </cell>
          <cell r="D3702" t="str">
            <v>HRA4212</v>
          </cell>
        </row>
        <row r="3703">
          <cell r="C3703" t="str">
            <v>HRA6399</v>
          </cell>
          <cell r="D3703" t="str">
            <v>HRA6399</v>
          </cell>
        </row>
        <row r="3704">
          <cell r="C3704" t="str">
            <v>HRA7290</v>
          </cell>
          <cell r="D3704" t="str">
            <v>HRA7290</v>
          </cell>
        </row>
        <row r="3705">
          <cell r="C3705" t="str">
            <v>HRA9874</v>
          </cell>
          <cell r="D3705" t="str">
            <v>HRA9874</v>
          </cell>
        </row>
        <row r="3706">
          <cell r="C3706" t="str">
            <v>HRC8287</v>
          </cell>
          <cell r="D3706" t="str">
            <v>HRC8287</v>
          </cell>
        </row>
        <row r="3707">
          <cell r="C3707" t="str">
            <v>HRC1365</v>
          </cell>
          <cell r="D3707" t="str">
            <v>HRC1365</v>
          </cell>
        </row>
        <row r="3708">
          <cell r="C3708" t="str">
            <v>HRC2209</v>
          </cell>
          <cell r="D3708" t="str">
            <v>HRC2209</v>
          </cell>
        </row>
        <row r="3709">
          <cell r="C3709" t="str">
            <v>HRC2C99</v>
          </cell>
          <cell r="D3709" t="str">
            <v>HRC2C99</v>
          </cell>
        </row>
        <row r="3710">
          <cell r="C3710" t="str">
            <v>HRC5135</v>
          </cell>
          <cell r="D3710" t="str">
            <v>HRC5135</v>
          </cell>
        </row>
        <row r="3711">
          <cell r="C3711" t="str">
            <v>HRC5666</v>
          </cell>
          <cell r="D3711" t="str">
            <v>HRC5666</v>
          </cell>
        </row>
        <row r="3712">
          <cell r="C3712" t="str">
            <v>HRC5733</v>
          </cell>
          <cell r="D3712" t="str">
            <v>HRC5733</v>
          </cell>
        </row>
        <row r="3713">
          <cell r="C3713" t="str">
            <v>HRC8210</v>
          </cell>
          <cell r="D3713" t="str">
            <v>HRC8210</v>
          </cell>
        </row>
        <row r="3714">
          <cell r="C3714" t="str">
            <v>HRC8448</v>
          </cell>
          <cell r="D3714" t="str">
            <v>HRC8448</v>
          </cell>
        </row>
        <row r="3715">
          <cell r="C3715" t="str">
            <v>HRC8513</v>
          </cell>
          <cell r="D3715" t="str">
            <v>HRC8513</v>
          </cell>
        </row>
        <row r="3716">
          <cell r="C3716" t="str">
            <v>HRC8565</v>
          </cell>
          <cell r="D3716" t="str">
            <v>HRC8565</v>
          </cell>
        </row>
        <row r="3717">
          <cell r="C3717" t="str">
            <v>HRC9018</v>
          </cell>
          <cell r="D3717" t="str">
            <v>HRC9018</v>
          </cell>
        </row>
        <row r="3718">
          <cell r="C3718" t="str">
            <v>HRD0589</v>
          </cell>
          <cell r="D3718" t="str">
            <v>HRD0589</v>
          </cell>
        </row>
        <row r="3719">
          <cell r="C3719" t="str">
            <v>HRD4441</v>
          </cell>
          <cell r="D3719" t="str">
            <v>HRD4441</v>
          </cell>
        </row>
        <row r="3720">
          <cell r="C3720" t="str">
            <v>HRD0158</v>
          </cell>
          <cell r="D3720" t="str">
            <v>HRD0158</v>
          </cell>
        </row>
        <row r="3721">
          <cell r="C3721" t="str">
            <v>HRD0421</v>
          </cell>
          <cell r="D3721" t="str">
            <v>HRD0421</v>
          </cell>
        </row>
        <row r="3722">
          <cell r="C3722" t="str">
            <v>HRD1315</v>
          </cell>
          <cell r="D3722" t="str">
            <v>HRD1315</v>
          </cell>
        </row>
        <row r="3723">
          <cell r="C3723" t="str">
            <v>HRD2015</v>
          </cell>
          <cell r="D3723" t="str">
            <v>HRD2015</v>
          </cell>
        </row>
        <row r="3724">
          <cell r="C3724" t="str">
            <v>HRD2545</v>
          </cell>
          <cell r="D3724" t="str">
            <v>HRD2545</v>
          </cell>
        </row>
        <row r="3725">
          <cell r="C3725" t="str">
            <v>HRD3829</v>
          </cell>
          <cell r="D3725" t="str">
            <v>HRD3829</v>
          </cell>
        </row>
        <row r="3726">
          <cell r="C3726" t="str">
            <v>HRD3896</v>
          </cell>
          <cell r="D3726" t="str">
            <v>HRD3896</v>
          </cell>
        </row>
        <row r="3727">
          <cell r="C3727" t="str">
            <v>HRD4383</v>
          </cell>
          <cell r="D3727" t="str">
            <v>HRD4383</v>
          </cell>
        </row>
        <row r="3728">
          <cell r="C3728" t="str">
            <v>HRD5288</v>
          </cell>
          <cell r="D3728" t="str">
            <v>HRD5288</v>
          </cell>
        </row>
        <row r="3729">
          <cell r="C3729" t="str">
            <v>HRD5658</v>
          </cell>
          <cell r="D3729" t="str">
            <v>HRD5658</v>
          </cell>
        </row>
        <row r="3730">
          <cell r="C3730" t="str">
            <v>HRD5863</v>
          </cell>
          <cell r="D3730" t="str">
            <v>HRD5863</v>
          </cell>
        </row>
        <row r="3731">
          <cell r="C3731" t="str">
            <v>HRD6715</v>
          </cell>
          <cell r="D3731" t="str">
            <v>HRD6715</v>
          </cell>
        </row>
        <row r="3732">
          <cell r="C3732" t="str">
            <v>HRD9271</v>
          </cell>
          <cell r="D3732" t="str">
            <v>HRD9271</v>
          </cell>
        </row>
        <row r="3733">
          <cell r="C3733" t="str">
            <v>HRE8535</v>
          </cell>
          <cell r="D3733" t="str">
            <v>HRE8535</v>
          </cell>
        </row>
        <row r="3734">
          <cell r="C3734" t="str">
            <v>HRE0597</v>
          </cell>
          <cell r="D3734" t="str">
            <v>HRE0597</v>
          </cell>
        </row>
        <row r="3735">
          <cell r="C3735" t="str">
            <v>HRE0848</v>
          </cell>
          <cell r="D3735" t="str">
            <v>HRE0848</v>
          </cell>
        </row>
        <row r="3736">
          <cell r="C3736" t="str">
            <v>HRE0943</v>
          </cell>
          <cell r="D3736" t="str">
            <v>HRE0943</v>
          </cell>
        </row>
        <row r="3737">
          <cell r="C3737" t="str">
            <v>HRE1042</v>
          </cell>
          <cell r="D3737" t="str">
            <v>HRE1042</v>
          </cell>
        </row>
        <row r="3738">
          <cell r="C3738" t="str">
            <v>HRE1102</v>
          </cell>
          <cell r="D3738" t="str">
            <v>HRE1102</v>
          </cell>
        </row>
        <row r="3739">
          <cell r="C3739" t="str">
            <v>HRE2934</v>
          </cell>
          <cell r="D3739" t="str">
            <v>HRE2934</v>
          </cell>
        </row>
        <row r="3740">
          <cell r="C3740" t="str">
            <v>HRE4776</v>
          </cell>
          <cell r="D3740" t="str">
            <v>HRE4776</v>
          </cell>
        </row>
        <row r="3741">
          <cell r="C3741" t="str">
            <v>HRE5431</v>
          </cell>
          <cell r="D3741" t="str">
            <v>HRE5431</v>
          </cell>
        </row>
        <row r="3742">
          <cell r="C3742" t="str">
            <v>HRE9770</v>
          </cell>
          <cell r="D3742" t="str">
            <v>HRE9770</v>
          </cell>
        </row>
        <row r="3743">
          <cell r="C3743" t="str">
            <v>HRF1219</v>
          </cell>
          <cell r="D3743" t="str">
            <v>HRF1219</v>
          </cell>
        </row>
        <row r="3744">
          <cell r="C3744" t="str">
            <v>HRF2077</v>
          </cell>
          <cell r="D3744" t="str">
            <v>HRF2077</v>
          </cell>
        </row>
        <row r="3745">
          <cell r="C3745" t="str">
            <v>HRF2764</v>
          </cell>
          <cell r="D3745" t="str">
            <v>HRF2764</v>
          </cell>
        </row>
        <row r="3746">
          <cell r="C3746" t="str">
            <v>HRF3316</v>
          </cell>
          <cell r="D3746" t="str">
            <v>HRF3316</v>
          </cell>
        </row>
        <row r="3747">
          <cell r="C3747" t="str">
            <v>HRF4277</v>
          </cell>
          <cell r="D3747" t="str">
            <v>HRF4277</v>
          </cell>
        </row>
        <row r="3748">
          <cell r="C3748" t="str">
            <v>HRF0036</v>
          </cell>
          <cell r="D3748" t="str">
            <v>HRF0036</v>
          </cell>
        </row>
        <row r="3749">
          <cell r="C3749" t="str">
            <v>HRF0597</v>
          </cell>
          <cell r="D3749" t="str">
            <v>HRF0597</v>
          </cell>
        </row>
        <row r="3750">
          <cell r="C3750" t="str">
            <v>HRF0667</v>
          </cell>
          <cell r="D3750" t="str">
            <v>HRF0667</v>
          </cell>
        </row>
        <row r="3751">
          <cell r="C3751" t="str">
            <v>HRF0747</v>
          </cell>
          <cell r="D3751" t="str">
            <v>HRF0747</v>
          </cell>
        </row>
        <row r="3752">
          <cell r="C3752" t="str">
            <v>HRF0896</v>
          </cell>
          <cell r="D3752" t="str">
            <v>HRF0896</v>
          </cell>
        </row>
        <row r="3753">
          <cell r="C3753" t="str">
            <v>HRF0975</v>
          </cell>
          <cell r="D3753" t="str">
            <v>HRF0975</v>
          </cell>
        </row>
        <row r="3754">
          <cell r="C3754" t="str">
            <v>HRF1186</v>
          </cell>
          <cell r="D3754" t="str">
            <v>HRF1186</v>
          </cell>
        </row>
        <row r="3755">
          <cell r="C3755" t="str">
            <v>HRF1481</v>
          </cell>
          <cell r="D3755" t="str">
            <v>HRF1481</v>
          </cell>
        </row>
        <row r="3756">
          <cell r="C3756" t="str">
            <v>HRF1618</v>
          </cell>
          <cell r="D3756" t="str">
            <v>HRF1618</v>
          </cell>
        </row>
        <row r="3757">
          <cell r="C3757" t="str">
            <v>HRF1936</v>
          </cell>
          <cell r="D3757" t="str">
            <v>HRF1936</v>
          </cell>
        </row>
        <row r="3758">
          <cell r="C3758" t="str">
            <v>HRF2139</v>
          </cell>
          <cell r="D3758" t="str">
            <v>HRF2139</v>
          </cell>
        </row>
        <row r="3759">
          <cell r="C3759" t="str">
            <v>HRF2431</v>
          </cell>
          <cell r="D3759" t="str">
            <v>HRF2431</v>
          </cell>
        </row>
        <row r="3760">
          <cell r="C3760" t="str">
            <v>HRF3839</v>
          </cell>
          <cell r="D3760" t="str">
            <v>HRF3839</v>
          </cell>
        </row>
        <row r="3761">
          <cell r="C3761" t="str">
            <v>HRF3939</v>
          </cell>
          <cell r="D3761" t="str">
            <v>HRF3939</v>
          </cell>
        </row>
        <row r="3762">
          <cell r="C3762" t="str">
            <v>HRF3E78</v>
          </cell>
          <cell r="D3762" t="str">
            <v>HRF3E78</v>
          </cell>
        </row>
        <row r="3763">
          <cell r="C3763" t="str">
            <v>HRF4062</v>
          </cell>
          <cell r="D3763" t="str">
            <v>HRF4062</v>
          </cell>
        </row>
        <row r="3764">
          <cell r="C3764" t="str">
            <v>HRF4486</v>
          </cell>
          <cell r="D3764" t="str">
            <v>HRF4486</v>
          </cell>
        </row>
        <row r="3765">
          <cell r="C3765" t="str">
            <v>HRF4487</v>
          </cell>
          <cell r="D3765" t="str">
            <v>HRF4487</v>
          </cell>
        </row>
        <row r="3766">
          <cell r="C3766" t="str">
            <v>HRF4488</v>
          </cell>
          <cell r="D3766" t="str">
            <v>HRF4488</v>
          </cell>
        </row>
        <row r="3767">
          <cell r="C3767" t="str">
            <v>HRF4G97</v>
          </cell>
          <cell r="D3767" t="str">
            <v>HRF4G97</v>
          </cell>
        </row>
        <row r="3768">
          <cell r="C3768" t="str">
            <v>HRF5840</v>
          </cell>
          <cell r="D3768" t="str">
            <v>HRF5840</v>
          </cell>
        </row>
        <row r="3769">
          <cell r="C3769" t="str">
            <v>HRF6006</v>
          </cell>
          <cell r="D3769" t="str">
            <v>HRF6006</v>
          </cell>
        </row>
        <row r="3770">
          <cell r="C3770" t="str">
            <v>HRF6052</v>
          </cell>
          <cell r="D3770" t="str">
            <v>HRF6052</v>
          </cell>
        </row>
        <row r="3771">
          <cell r="C3771" t="str">
            <v>HRF6909</v>
          </cell>
          <cell r="D3771" t="str">
            <v>HRF6909</v>
          </cell>
        </row>
        <row r="3772">
          <cell r="C3772" t="str">
            <v>HRF7116</v>
          </cell>
          <cell r="D3772" t="str">
            <v>HRF7116</v>
          </cell>
        </row>
        <row r="3773">
          <cell r="C3773" t="str">
            <v>HRF8195</v>
          </cell>
          <cell r="D3773" t="str">
            <v>HRF8195</v>
          </cell>
        </row>
        <row r="3774">
          <cell r="C3774" t="str">
            <v>HRF8396</v>
          </cell>
          <cell r="D3774" t="str">
            <v>HRF8396</v>
          </cell>
        </row>
        <row r="3775">
          <cell r="C3775" t="str">
            <v>HRF9643</v>
          </cell>
          <cell r="D3775" t="str">
            <v>HRF9643</v>
          </cell>
        </row>
        <row r="3776">
          <cell r="C3776" t="str">
            <v>HRG0188</v>
          </cell>
          <cell r="D3776" t="str">
            <v>HRG0188</v>
          </cell>
        </row>
        <row r="3777">
          <cell r="C3777" t="str">
            <v>HRG1618</v>
          </cell>
          <cell r="D3777" t="str">
            <v>HRG1618</v>
          </cell>
        </row>
        <row r="3778">
          <cell r="C3778" t="str">
            <v>HRG2542</v>
          </cell>
          <cell r="D3778" t="str">
            <v>HRG2542</v>
          </cell>
        </row>
        <row r="3779">
          <cell r="C3779" t="str">
            <v>HRG4191</v>
          </cell>
          <cell r="D3779" t="str">
            <v>HRG4191</v>
          </cell>
        </row>
        <row r="3780">
          <cell r="C3780" t="str">
            <v>HRG4283</v>
          </cell>
          <cell r="D3780" t="str">
            <v>HRG4283</v>
          </cell>
        </row>
        <row r="3781">
          <cell r="C3781" t="str">
            <v>HRG4885</v>
          </cell>
          <cell r="D3781" t="str">
            <v>HRG4885</v>
          </cell>
        </row>
        <row r="3782">
          <cell r="C3782" t="str">
            <v>HRG5573</v>
          </cell>
          <cell r="D3782" t="str">
            <v>HRG5573</v>
          </cell>
        </row>
        <row r="3783">
          <cell r="C3783" t="str">
            <v>HRG6067</v>
          </cell>
          <cell r="D3783" t="str">
            <v>HRG6067</v>
          </cell>
        </row>
        <row r="3784">
          <cell r="C3784" t="str">
            <v>HRG7014</v>
          </cell>
          <cell r="D3784" t="str">
            <v>HRG7014</v>
          </cell>
        </row>
        <row r="3785">
          <cell r="C3785" t="str">
            <v>HRG7044</v>
          </cell>
          <cell r="D3785" t="str">
            <v>HRG7044</v>
          </cell>
        </row>
        <row r="3786">
          <cell r="C3786" t="str">
            <v>HRG7347</v>
          </cell>
          <cell r="D3786" t="str">
            <v>HRG7347</v>
          </cell>
        </row>
        <row r="3787">
          <cell r="C3787" t="str">
            <v>HRG7375</v>
          </cell>
          <cell r="D3787" t="str">
            <v>HRG7375</v>
          </cell>
        </row>
        <row r="3788">
          <cell r="C3788" t="str">
            <v>HRG7489</v>
          </cell>
          <cell r="D3788" t="str">
            <v>HRG7489</v>
          </cell>
        </row>
        <row r="3789">
          <cell r="C3789" t="str">
            <v>HRG7879</v>
          </cell>
          <cell r="D3789" t="str">
            <v>HRG7879</v>
          </cell>
        </row>
        <row r="3790">
          <cell r="C3790" t="str">
            <v>HRG8417</v>
          </cell>
          <cell r="D3790" t="str">
            <v>HRG8417</v>
          </cell>
        </row>
        <row r="3791">
          <cell r="C3791" t="str">
            <v>HRG8664</v>
          </cell>
          <cell r="D3791" t="str">
            <v>HRG8664</v>
          </cell>
        </row>
        <row r="3792">
          <cell r="C3792" t="str">
            <v>HRG8733</v>
          </cell>
          <cell r="D3792" t="str">
            <v>HRG8733</v>
          </cell>
        </row>
        <row r="3793">
          <cell r="C3793" t="str">
            <v>HRG8H33</v>
          </cell>
          <cell r="D3793" t="str">
            <v>HRG8H33</v>
          </cell>
        </row>
        <row r="3794">
          <cell r="C3794" t="str">
            <v>HRG9722</v>
          </cell>
          <cell r="D3794" t="str">
            <v>HRG9722</v>
          </cell>
        </row>
        <row r="3795">
          <cell r="C3795" t="str">
            <v>HRH6621</v>
          </cell>
          <cell r="D3795" t="str">
            <v>HRH6621</v>
          </cell>
        </row>
        <row r="3796">
          <cell r="C3796" t="str">
            <v>HRH0503</v>
          </cell>
          <cell r="D3796" t="str">
            <v>HRH0503</v>
          </cell>
        </row>
        <row r="3797">
          <cell r="C3797" t="str">
            <v>HRH2515</v>
          </cell>
          <cell r="D3797" t="str">
            <v>HRH2515</v>
          </cell>
        </row>
        <row r="3798">
          <cell r="C3798" t="str">
            <v>HRH4398</v>
          </cell>
          <cell r="D3798" t="str">
            <v>HRH4398</v>
          </cell>
        </row>
        <row r="3799">
          <cell r="C3799" t="str">
            <v>HRH4420</v>
          </cell>
          <cell r="D3799" t="str">
            <v>HRH4420</v>
          </cell>
        </row>
        <row r="3800">
          <cell r="C3800" t="str">
            <v>HRH5415</v>
          </cell>
          <cell r="D3800" t="str">
            <v>HRH5415</v>
          </cell>
        </row>
        <row r="3801">
          <cell r="C3801" t="str">
            <v>HRH5A24</v>
          </cell>
          <cell r="D3801" t="str">
            <v>HRH5A24</v>
          </cell>
        </row>
        <row r="3802">
          <cell r="C3802" t="str">
            <v>HRH6489</v>
          </cell>
          <cell r="D3802" t="str">
            <v>HRH6489</v>
          </cell>
        </row>
        <row r="3803">
          <cell r="C3803" t="str">
            <v>HRH6676</v>
          </cell>
          <cell r="D3803" t="str">
            <v>HRH6676</v>
          </cell>
        </row>
        <row r="3804">
          <cell r="C3804" t="str">
            <v>HRH8436</v>
          </cell>
          <cell r="D3804" t="str">
            <v>HRH8436</v>
          </cell>
        </row>
        <row r="3805">
          <cell r="C3805" t="str">
            <v>HRI3560</v>
          </cell>
          <cell r="D3805" t="str">
            <v>HRI3560</v>
          </cell>
        </row>
        <row r="3806">
          <cell r="C3806" t="str">
            <v>HRI6133</v>
          </cell>
          <cell r="D3806" t="str">
            <v>HRI6133</v>
          </cell>
        </row>
        <row r="3807">
          <cell r="C3807" t="str">
            <v>HRI9344</v>
          </cell>
          <cell r="D3807" t="str">
            <v>HRI9344</v>
          </cell>
        </row>
        <row r="3808">
          <cell r="C3808" t="str">
            <v>HRI0043</v>
          </cell>
          <cell r="D3808" t="str">
            <v>HRI0043</v>
          </cell>
        </row>
        <row r="3809">
          <cell r="C3809" t="str">
            <v>HRI0539</v>
          </cell>
          <cell r="D3809" t="str">
            <v>HRI0539</v>
          </cell>
        </row>
        <row r="3810">
          <cell r="C3810" t="str">
            <v>HRI0677</v>
          </cell>
          <cell r="D3810" t="str">
            <v>HRI0677</v>
          </cell>
        </row>
        <row r="3811">
          <cell r="C3811" t="str">
            <v>HRI1753</v>
          </cell>
          <cell r="D3811" t="str">
            <v>HRI1753</v>
          </cell>
        </row>
        <row r="3812">
          <cell r="C3812" t="str">
            <v>HRI1790</v>
          </cell>
          <cell r="D3812" t="str">
            <v>HRI1790</v>
          </cell>
        </row>
        <row r="3813">
          <cell r="C3813" t="str">
            <v>HRI2185</v>
          </cell>
          <cell r="D3813" t="str">
            <v>HRI2185</v>
          </cell>
        </row>
        <row r="3814">
          <cell r="C3814" t="str">
            <v>HRI2204</v>
          </cell>
          <cell r="D3814" t="str">
            <v>HRI2204</v>
          </cell>
        </row>
        <row r="3815">
          <cell r="C3815" t="str">
            <v>HRI2385</v>
          </cell>
          <cell r="D3815" t="str">
            <v>HRI2385</v>
          </cell>
        </row>
        <row r="3816">
          <cell r="C3816" t="str">
            <v>HRI4249</v>
          </cell>
          <cell r="D3816" t="str">
            <v>HRI4249</v>
          </cell>
        </row>
        <row r="3817">
          <cell r="C3817" t="str">
            <v>HRI4881</v>
          </cell>
          <cell r="D3817" t="str">
            <v>HRI4881</v>
          </cell>
        </row>
        <row r="3818">
          <cell r="C3818" t="str">
            <v>HRI5072</v>
          </cell>
          <cell r="D3818" t="str">
            <v>HRI5072</v>
          </cell>
        </row>
        <row r="3819">
          <cell r="C3819" t="str">
            <v>HRI5145</v>
          </cell>
          <cell r="D3819" t="str">
            <v>HRI5145</v>
          </cell>
        </row>
        <row r="3820">
          <cell r="C3820" t="str">
            <v>HRI5604</v>
          </cell>
          <cell r="D3820" t="str">
            <v>HRI5604</v>
          </cell>
        </row>
        <row r="3821">
          <cell r="C3821" t="str">
            <v>HRI5780</v>
          </cell>
          <cell r="D3821" t="str">
            <v>HRI5780</v>
          </cell>
        </row>
        <row r="3822">
          <cell r="C3822" t="str">
            <v>HRI5868</v>
          </cell>
          <cell r="D3822" t="str">
            <v>HRI5868</v>
          </cell>
        </row>
        <row r="3823">
          <cell r="C3823" t="str">
            <v>HRI6122</v>
          </cell>
          <cell r="D3823" t="str">
            <v>HRI6122</v>
          </cell>
        </row>
        <row r="3824">
          <cell r="C3824" t="str">
            <v>HRI6128</v>
          </cell>
          <cell r="D3824" t="str">
            <v>HRI6128</v>
          </cell>
        </row>
        <row r="3825">
          <cell r="C3825" t="str">
            <v>HRI6153</v>
          </cell>
          <cell r="D3825" t="str">
            <v>HRI6153</v>
          </cell>
        </row>
        <row r="3826">
          <cell r="C3826" t="str">
            <v>HRI6244</v>
          </cell>
          <cell r="D3826" t="str">
            <v>HRI6244</v>
          </cell>
        </row>
        <row r="3827">
          <cell r="C3827" t="str">
            <v>HRI6344</v>
          </cell>
          <cell r="D3827" t="str">
            <v>HRI6344</v>
          </cell>
        </row>
        <row r="3828">
          <cell r="C3828" t="str">
            <v>HRI6436</v>
          </cell>
          <cell r="D3828" t="str">
            <v>HRI6436</v>
          </cell>
        </row>
        <row r="3829">
          <cell r="C3829" t="str">
            <v>HRI6559</v>
          </cell>
          <cell r="D3829" t="str">
            <v>HRI6559</v>
          </cell>
        </row>
        <row r="3830">
          <cell r="C3830" t="str">
            <v>HRI6688</v>
          </cell>
          <cell r="D3830" t="str">
            <v>HRI6688</v>
          </cell>
        </row>
        <row r="3831">
          <cell r="C3831" t="str">
            <v>HRI6F59</v>
          </cell>
          <cell r="D3831" t="str">
            <v>HRI6F59</v>
          </cell>
        </row>
        <row r="3832">
          <cell r="C3832" t="str">
            <v>HRI7151</v>
          </cell>
          <cell r="D3832" t="str">
            <v>HRI7151</v>
          </cell>
        </row>
        <row r="3833">
          <cell r="C3833" t="str">
            <v>HRI7153</v>
          </cell>
          <cell r="D3833" t="str">
            <v>HRI7153</v>
          </cell>
        </row>
        <row r="3834">
          <cell r="C3834" t="str">
            <v>HRI7247</v>
          </cell>
          <cell r="D3834" t="str">
            <v>HRI7247</v>
          </cell>
        </row>
        <row r="3835">
          <cell r="C3835" t="str">
            <v>HRI7265</v>
          </cell>
          <cell r="D3835" t="str">
            <v>HRI7265</v>
          </cell>
        </row>
        <row r="3836">
          <cell r="C3836" t="str">
            <v>HRI7287</v>
          </cell>
          <cell r="D3836" t="str">
            <v>HRI7287</v>
          </cell>
        </row>
        <row r="3837">
          <cell r="C3837" t="str">
            <v>HRI7647</v>
          </cell>
          <cell r="D3837" t="str">
            <v>HRI7647</v>
          </cell>
        </row>
        <row r="3838">
          <cell r="C3838" t="str">
            <v>HRI7737</v>
          </cell>
          <cell r="D3838" t="str">
            <v>HRI7737</v>
          </cell>
        </row>
        <row r="3839">
          <cell r="C3839" t="str">
            <v>HRI7843</v>
          </cell>
          <cell r="D3839" t="str">
            <v>HRI7843</v>
          </cell>
        </row>
        <row r="3840">
          <cell r="C3840" t="str">
            <v>HRI7918</v>
          </cell>
          <cell r="D3840" t="str">
            <v>HRI7918</v>
          </cell>
        </row>
        <row r="3841">
          <cell r="C3841" t="str">
            <v>HRI7939</v>
          </cell>
          <cell r="D3841" t="str">
            <v>HRI7939</v>
          </cell>
        </row>
        <row r="3842">
          <cell r="C3842" t="str">
            <v>HRI8081</v>
          </cell>
          <cell r="D3842" t="str">
            <v>HRI8081</v>
          </cell>
        </row>
        <row r="3843">
          <cell r="C3843" t="str">
            <v>HRI8214</v>
          </cell>
          <cell r="D3843" t="str">
            <v>HRI8214</v>
          </cell>
        </row>
        <row r="3844">
          <cell r="C3844" t="str">
            <v>HRI8442</v>
          </cell>
          <cell r="D3844" t="str">
            <v>HRI8442</v>
          </cell>
        </row>
        <row r="3845">
          <cell r="C3845" t="str">
            <v>HRI8H34</v>
          </cell>
          <cell r="D3845" t="str">
            <v>HRI8H34</v>
          </cell>
        </row>
        <row r="3846">
          <cell r="C3846" t="str">
            <v>HRI9175</v>
          </cell>
          <cell r="D3846" t="str">
            <v>HRI9175</v>
          </cell>
        </row>
        <row r="3847">
          <cell r="C3847" t="str">
            <v>HRI9379</v>
          </cell>
          <cell r="D3847" t="str">
            <v>HRI9379</v>
          </cell>
        </row>
        <row r="3848">
          <cell r="C3848" t="str">
            <v>HRI9870</v>
          </cell>
          <cell r="D3848" t="str">
            <v>HRI9870</v>
          </cell>
        </row>
        <row r="3849">
          <cell r="C3849" t="str">
            <v>HRI9953</v>
          </cell>
          <cell r="D3849" t="str">
            <v>HRI9953</v>
          </cell>
        </row>
        <row r="3850">
          <cell r="C3850" t="str">
            <v>HRI9A25</v>
          </cell>
          <cell r="D3850" t="str">
            <v>HRI9A25</v>
          </cell>
        </row>
        <row r="3851">
          <cell r="C3851" t="str">
            <v>HRJ7586</v>
          </cell>
          <cell r="D3851" t="str">
            <v>HRJ7586</v>
          </cell>
        </row>
        <row r="3852">
          <cell r="C3852" t="str">
            <v>HRJ7814</v>
          </cell>
          <cell r="D3852" t="str">
            <v>HRJ7814</v>
          </cell>
        </row>
        <row r="3853">
          <cell r="C3853" t="str">
            <v>HRJ0458</v>
          </cell>
          <cell r="D3853" t="str">
            <v>HRJ0458</v>
          </cell>
        </row>
        <row r="3854">
          <cell r="C3854" t="str">
            <v>HRJ057</v>
          </cell>
          <cell r="D3854" t="str">
            <v xml:space="preserve">HRJ057 </v>
          </cell>
        </row>
        <row r="3855">
          <cell r="C3855" t="str">
            <v>HRJ1180</v>
          </cell>
          <cell r="D3855" t="str">
            <v>HRJ1180</v>
          </cell>
        </row>
        <row r="3856">
          <cell r="C3856" t="str">
            <v>HRJ2865</v>
          </cell>
          <cell r="D3856" t="str">
            <v>HRJ2865</v>
          </cell>
        </row>
        <row r="3857">
          <cell r="C3857" t="str">
            <v>HRJ3084</v>
          </cell>
          <cell r="D3857" t="str">
            <v>HRJ3084</v>
          </cell>
        </row>
        <row r="3858">
          <cell r="C3858" t="str">
            <v>HRJ3150</v>
          </cell>
          <cell r="D3858" t="str">
            <v>HRJ3150</v>
          </cell>
        </row>
        <row r="3859">
          <cell r="C3859" t="str">
            <v>HRJ3390</v>
          </cell>
          <cell r="D3859" t="str">
            <v>HRJ3390</v>
          </cell>
        </row>
        <row r="3860">
          <cell r="C3860" t="str">
            <v>HRJ3593</v>
          </cell>
          <cell r="D3860" t="str">
            <v>HRJ3593</v>
          </cell>
        </row>
        <row r="3861">
          <cell r="C3861" t="str">
            <v>HRJ5529</v>
          </cell>
          <cell r="D3861" t="str">
            <v>HRJ5529</v>
          </cell>
        </row>
        <row r="3862">
          <cell r="C3862" t="str">
            <v>HRJ5726</v>
          </cell>
          <cell r="D3862" t="str">
            <v>HRJ5726</v>
          </cell>
        </row>
        <row r="3863">
          <cell r="C3863" t="str">
            <v>HRJ7824</v>
          </cell>
          <cell r="D3863" t="str">
            <v>HRJ7824</v>
          </cell>
        </row>
        <row r="3864">
          <cell r="C3864" t="str">
            <v>HRJ9258</v>
          </cell>
          <cell r="D3864" t="str">
            <v>HRJ9258</v>
          </cell>
        </row>
        <row r="3865">
          <cell r="C3865" t="str">
            <v>HRJ9861</v>
          </cell>
          <cell r="D3865" t="str">
            <v>HRJ9861</v>
          </cell>
        </row>
        <row r="3866">
          <cell r="C3866" t="str">
            <v>HRL0461</v>
          </cell>
          <cell r="D3866" t="str">
            <v>HRL0461</v>
          </cell>
        </row>
        <row r="3867">
          <cell r="C3867" t="str">
            <v>HRL0475</v>
          </cell>
          <cell r="D3867" t="str">
            <v>HRL0475</v>
          </cell>
        </row>
        <row r="3868">
          <cell r="C3868" t="str">
            <v>HRL0765</v>
          </cell>
          <cell r="D3868" t="str">
            <v>HRL0765</v>
          </cell>
        </row>
        <row r="3869">
          <cell r="C3869" t="str">
            <v>HRL1612</v>
          </cell>
          <cell r="D3869" t="str">
            <v>HRL1612</v>
          </cell>
        </row>
        <row r="3870">
          <cell r="C3870" t="str">
            <v>HRL1790</v>
          </cell>
          <cell r="D3870" t="str">
            <v>HRL1790</v>
          </cell>
        </row>
        <row r="3871">
          <cell r="C3871" t="str">
            <v>HRL1G12</v>
          </cell>
          <cell r="D3871" t="str">
            <v>HRL1G12</v>
          </cell>
        </row>
        <row r="3872">
          <cell r="C3872" t="str">
            <v>HRL2259</v>
          </cell>
          <cell r="D3872" t="str">
            <v>HRL2259</v>
          </cell>
        </row>
        <row r="3873">
          <cell r="C3873" t="str">
            <v>HRL2535</v>
          </cell>
          <cell r="D3873" t="str">
            <v>HRL2535</v>
          </cell>
        </row>
        <row r="3874">
          <cell r="C3874" t="str">
            <v>HRL2746</v>
          </cell>
          <cell r="D3874" t="str">
            <v>HRL2746</v>
          </cell>
        </row>
        <row r="3875">
          <cell r="C3875" t="str">
            <v>HRL3090</v>
          </cell>
          <cell r="D3875" t="str">
            <v>HRL3090</v>
          </cell>
        </row>
        <row r="3876">
          <cell r="C3876" t="str">
            <v>HRL4977</v>
          </cell>
          <cell r="D3876" t="str">
            <v>HRL4977</v>
          </cell>
        </row>
        <row r="3877">
          <cell r="C3877" t="str">
            <v>HRL5071</v>
          </cell>
          <cell r="D3877" t="str">
            <v>HRL5071</v>
          </cell>
        </row>
        <row r="3878">
          <cell r="C3878" t="str">
            <v>HRL5139</v>
          </cell>
          <cell r="D3878" t="str">
            <v>HRL5139</v>
          </cell>
        </row>
        <row r="3879">
          <cell r="C3879" t="str">
            <v>HRL6066</v>
          </cell>
          <cell r="D3879" t="str">
            <v>HRL6066</v>
          </cell>
        </row>
        <row r="3880">
          <cell r="C3880" t="str">
            <v>HRL6324</v>
          </cell>
          <cell r="D3880" t="str">
            <v>HRL6324</v>
          </cell>
        </row>
        <row r="3881">
          <cell r="C3881" t="str">
            <v>HRL8434</v>
          </cell>
          <cell r="D3881" t="str">
            <v>HRL8434</v>
          </cell>
        </row>
        <row r="3882">
          <cell r="C3882" t="str">
            <v>HRL8551</v>
          </cell>
          <cell r="D3882" t="str">
            <v>HRL8551</v>
          </cell>
        </row>
        <row r="3883">
          <cell r="C3883" t="str">
            <v>HRL8634</v>
          </cell>
          <cell r="D3883" t="str">
            <v>HRL8634</v>
          </cell>
        </row>
        <row r="3884">
          <cell r="C3884" t="str">
            <v>HRL8918</v>
          </cell>
          <cell r="D3884" t="str">
            <v>HRL8918</v>
          </cell>
        </row>
        <row r="3885">
          <cell r="C3885" t="str">
            <v>HRL9586</v>
          </cell>
          <cell r="D3885" t="str">
            <v>HRL9586</v>
          </cell>
        </row>
        <row r="3886">
          <cell r="C3886" t="str">
            <v>HRM 2339</v>
          </cell>
          <cell r="D3886" t="str">
            <v>HRM2339</v>
          </cell>
        </row>
        <row r="3887">
          <cell r="C3887" t="str">
            <v>HRM1165</v>
          </cell>
          <cell r="D3887" t="str">
            <v>HRM1165</v>
          </cell>
        </row>
        <row r="3888">
          <cell r="C3888" t="str">
            <v>HRM2330</v>
          </cell>
          <cell r="D3888" t="str">
            <v>HRM2330</v>
          </cell>
        </row>
        <row r="3889">
          <cell r="C3889" t="str">
            <v>HRM2I17</v>
          </cell>
          <cell r="D3889" t="str">
            <v>HRM2I17</v>
          </cell>
        </row>
        <row r="3890">
          <cell r="C3890" t="str">
            <v>HRM3355</v>
          </cell>
          <cell r="D3890" t="str">
            <v>HRM3355</v>
          </cell>
        </row>
        <row r="3891">
          <cell r="C3891" t="str">
            <v>HRM3828</v>
          </cell>
          <cell r="D3891" t="str">
            <v>HRM3828</v>
          </cell>
        </row>
        <row r="3892">
          <cell r="C3892" t="str">
            <v>HRM4051</v>
          </cell>
          <cell r="D3892" t="str">
            <v>HRM4051</v>
          </cell>
        </row>
        <row r="3893">
          <cell r="C3893" t="str">
            <v>HRM4158</v>
          </cell>
          <cell r="D3893" t="str">
            <v>HRM4158</v>
          </cell>
        </row>
        <row r="3894">
          <cell r="C3894" t="str">
            <v>HRM7899</v>
          </cell>
          <cell r="D3894" t="str">
            <v>HRM7899</v>
          </cell>
        </row>
        <row r="3895">
          <cell r="C3895" t="str">
            <v>HRN9127</v>
          </cell>
          <cell r="D3895" t="str">
            <v>HRN9127</v>
          </cell>
        </row>
        <row r="3896">
          <cell r="C3896" t="str">
            <v>HRN9252</v>
          </cell>
          <cell r="D3896" t="str">
            <v>HRN9252</v>
          </cell>
        </row>
        <row r="3897">
          <cell r="C3897" t="str">
            <v>HRN0588</v>
          </cell>
          <cell r="D3897" t="str">
            <v>HRN0588</v>
          </cell>
        </row>
        <row r="3898">
          <cell r="C3898" t="str">
            <v>HRN0909</v>
          </cell>
          <cell r="D3898" t="str">
            <v>HRN0909</v>
          </cell>
        </row>
        <row r="3899">
          <cell r="C3899" t="str">
            <v>HRN0I95</v>
          </cell>
          <cell r="D3899" t="str">
            <v>HRN0I95</v>
          </cell>
        </row>
        <row r="3900">
          <cell r="C3900" t="str">
            <v>HRN1166</v>
          </cell>
          <cell r="D3900" t="str">
            <v>HRN1166</v>
          </cell>
        </row>
        <row r="3901">
          <cell r="C3901" t="str">
            <v>HRN2293</v>
          </cell>
          <cell r="D3901" t="str">
            <v>HRN2293</v>
          </cell>
        </row>
        <row r="3902">
          <cell r="C3902" t="str">
            <v>HRN3173</v>
          </cell>
          <cell r="D3902" t="str">
            <v>HRN3173</v>
          </cell>
        </row>
        <row r="3903">
          <cell r="C3903" t="str">
            <v>HRN3849</v>
          </cell>
          <cell r="D3903" t="str">
            <v>HRN3849</v>
          </cell>
        </row>
        <row r="3904">
          <cell r="C3904" t="str">
            <v>HRN4406</v>
          </cell>
          <cell r="D3904" t="str">
            <v>HRN4406</v>
          </cell>
        </row>
        <row r="3905">
          <cell r="C3905" t="str">
            <v>HRN4420</v>
          </cell>
          <cell r="D3905" t="str">
            <v>HRN4420</v>
          </cell>
        </row>
        <row r="3906">
          <cell r="C3906" t="str">
            <v>HRN5347</v>
          </cell>
          <cell r="D3906" t="str">
            <v>HRN5347</v>
          </cell>
        </row>
        <row r="3907">
          <cell r="C3907" t="str">
            <v>HRN8947</v>
          </cell>
          <cell r="D3907" t="str">
            <v>HRN8947</v>
          </cell>
        </row>
        <row r="3908">
          <cell r="C3908" t="str">
            <v>HRO8642</v>
          </cell>
          <cell r="D3908" t="str">
            <v>HRO8642</v>
          </cell>
        </row>
        <row r="3909">
          <cell r="C3909" t="str">
            <v>HRO0052</v>
          </cell>
          <cell r="D3909" t="str">
            <v>HRO0052</v>
          </cell>
        </row>
        <row r="3910">
          <cell r="C3910" t="str">
            <v>HRO0437</v>
          </cell>
          <cell r="D3910" t="str">
            <v>HRO0437</v>
          </cell>
        </row>
        <row r="3911">
          <cell r="C3911" t="str">
            <v>HRO0H11</v>
          </cell>
          <cell r="D3911" t="str">
            <v>HRO0H11</v>
          </cell>
        </row>
        <row r="3912">
          <cell r="C3912" t="str">
            <v>HRO0H17</v>
          </cell>
          <cell r="D3912" t="str">
            <v>HRO0H17</v>
          </cell>
        </row>
        <row r="3913">
          <cell r="C3913" t="str">
            <v>HRO0J11</v>
          </cell>
          <cell r="D3913" t="str">
            <v>HRO0J11</v>
          </cell>
        </row>
        <row r="3914">
          <cell r="C3914" t="str">
            <v>HRO1446</v>
          </cell>
          <cell r="D3914" t="str">
            <v>HRO1446</v>
          </cell>
        </row>
        <row r="3915">
          <cell r="C3915" t="str">
            <v>HRO1738</v>
          </cell>
          <cell r="D3915" t="str">
            <v>HRO1738</v>
          </cell>
        </row>
        <row r="3916">
          <cell r="C3916" t="str">
            <v>HRO2179</v>
          </cell>
          <cell r="D3916" t="str">
            <v>HRO2179</v>
          </cell>
        </row>
        <row r="3917">
          <cell r="C3917" t="str">
            <v>HRO2394</v>
          </cell>
          <cell r="D3917" t="str">
            <v>HRO2394</v>
          </cell>
        </row>
        <row r="3918">
          <cell r="C3918" t="str">
            <v>HRO3691</v>
          </cell>
          <cell r="D3918" t="str">
            <v>HRO3691</v>
          </cell>
        </row>
        <row r="3919">
          <cell r="C3919" t="str">
            <v>HRO3949</v>
          </cell>
          <cell r="D3919" t="str">
            <v>HRO3949</v>
          </cell>
        </row>
        <row r="3920">
          <cell r="C3920" t="str">
            <v>HRO4182</v>
          </cell>
          <cell r="D3920" t="str">
            <v>HRO4182</v>
          </cell>
        </row>
        <row r="3921">
          <cell r="C3921" t="str">
            <v>HRO4184</v>
          </cell>
          <cell r="D3921" t="str">
            <v>HRO4184</v>
          </cell>
        </row>
        <row r="3922">
          <cell r="C3922" t="str">
            <v>HRO4194</v>
          </cell>
          <cell r="D3922" t="str">
            <v>HRO4194</v>
          </cell>
        </row>
        <row r="3923">
          <cell r="C3923" t="str">
            <v>HRO4273</v>
          </cell>
          <cell r="D3923" t="str">
            <v>HRO4273</v>
          </cell>
        </row>
        <row r="3924">
          <cell r="C3924" t="str">
            <v>HRO4662</v>
          </cell>
          <cell r="D3924" t="str">
            <v>HRO4662</v>
          </cell>
        </row>
        <row r="3925">
          <cell r="C3925" t="str">
            <v>HRO4699</v>
          </cell>
          <cell r="D3925" t="str">
            <v>HRO4699</v>
          </cell>
        </row>
        <row r="3926">
          <cell r="C3926" t="str">
            <v>HRO4708</v>
          </cell>
          <cell r="D3926" t="str">
            <v>HRO4708</v>
          </cell>
        </row>
        <row r="3927">
          <cell r="C3927" t="str">
            <v>HRO5E08</v>
          </cell>
          <cell r="D3927" t="str">
            <v>HRO5E08</v>
          </cell>
        </row>
        <row r="3928">
          <cell r="C3928" t="str">
            <v>HRO5437</v>
          </cell>
          <cell r="D3928" t="str">
            <v>HRO5437</v>
          </cell>
        </row>
        <row r="3929">
          <cell r="C3929" t="str">
            <v>HRO5835</v>
          </cell>
          <cell r="D3929" t="str">
            <v>HRO5835</v>
          </cell>
        </row>
        <row r="3930">
          <cell r="C3930" t="str">
            <v>HRO5844</v>
          </cell>
          <cell r="D3930" t="str">
            <v>HRO5844</v>
          </cell>
        </row>
        <row r="3931">
          <cell r="C3931" t="str">
            <v>HRO6907</v>
          </cell>
          <cell r="D3931" t="str">
            <v>HRO6907</v>
          </cell>
        </row>
        <row r="3932">
          <cell r="C3932" t="str">
            <v>HRO6J75</v>
          </cell>
          <cell r="D3932" t="str">
            <v>HRO6J75</v>
          </cell>
        </row>
        <row r="3933">
          <cell r="C3933" t="str">
            <v>HRO7478</v>
          </cell>
          <cell r="D3933" t="str">
            <v>HRO7478</v>
          </cell>
        </row>
        <row r="3934">
          <cell r="C3934" t="str">
            <v>HRO7978</v>
          </cell>
          <cell r="D3934" t="str">
            <v>HRO7978</v>
          </cell>
        </row>
        <row r="3935">
          <cell r="C3935" t="str">
            <v>HRO7F19</v>
          </cell>
          <cell r="D3935" t="str">
            <v>HRO7F19</v>
          </cell>
        </row>
        <row r="3936">
          <cell r="C3936" t="str">
            <v>HRO7F30</v>
          </cell>
          <cell r="D3936" t="str">
            <v>HRO7F30</v>
          </cell>
        </row>
        <row r="3937">
          <cell r="C3937" t="str">
            <v>HRO9025</v>
          </cell>
          <cell r="D3937" t="str">
            <v>HRO9025</v>
          </cell>
        </row>
        <row r="3938">
          <cell r="C3938" t="str">
            <v>HRP4142</v>
          </cell>
          <cell r="D3938" t="str">
            <v>HRP4142</v>
          </cell>
        </row>
        <row r="3939">
          <cell r="C3939" t="str">
            <v>HRP4391</v>
          </cell>
          <cell r="D3939" t="str">
            <v>HRP4391</v>
          </cell>
        </row>
        <row r="3940">
          <cell r="C3940" t="str">
            <v>HRP4J06</v>
          </cell>
          <cell r="D3940" t="str">
            <v>HRP4J06</v>
          </cell>
        </row>
        <row r="3941">
          <cell r="C3941" t="str">
            <v>HRP5223</v>
          </cell>
          <cell r="D3941" t="str">
            <v>HRP5223</v>
          </cell>
        </row>
        <row r="3942">
          <cell r="C3942" t="str">
            <v>HRP5A87</v>
          </cell>
          <cell r="D3942" t="str">
            <v>HRP5A87</v>
          </cell>
        </row>
        <row r="3943">
          <cell r="C3943" t="str">
            <v>HRP6A14</v>
          </cell>
          <cell r="D3943" t="str">
            <v>HRP6A14</v>
          </cell>
        </row>
        <row r="3944">
          <cell r="C3944" t="str">
            <v>HRP7971</v>
          </cell>
          <cell r="D3944" t="str">
            <v>HRP7971</v>
          </cell>
        </row>
        <row r="3945">
          <cell r="C3945" t="str">
            <v>HRP8330</v>
          </cell>
          <cell r="D3945" t="str">
            <v>HRP8330</v>
          </cell>
        </row>
        <row r="3946">
          <cell r="C3946" t="str">
            <v>HRP9342</v>
          </cell>
          <cell r="D3946" t="str">
            <v>HRP9342</v>
          </cell>
        </row>
        <row r="3947">
          <cell r="C3947" t="str">
            <v>HRQ4182</v>
          </cell>
          <cell r="D3947" t="str">
            <v>HRQ4182</v>
          </cell>
        </row>
        <row r="3948">
          <cell r="C3948" t="str">
            <v>HRR0039</v>
          </cell>
          <cell r="D3948" t="str">
            <v>HRR0039</v>
          </cell>
        </row>
        <row r="3949">
          <cell r="C3949" t="str">
            <v>HRR0236</v>
          </cell>
          <cell r="D3949" t="str">
            <v>HRR0236</v>
          </cell>
        </row>
        <row r="3950">
          <cell r="C3950" t="str">
            <v>HRR0273</v>
          </cell>
          <cell r="D3950" t="str">
            <v>HRR0273</v>
          </cell>
        </row>
        <row r="3951">
          <cell r="C3951" t="str">
            <v>HRR0D85</v>
          </cell>
          <cell r="D3951" t="str">
            <v>HRR0D85</v>
          </cell>
        </row>
        <row r="3952">
          <cell r="C3952" t="str">
            <v>HRR2134</v>
          </cell>
          <cell r="D3952" t="str">
            <v>HRR2134</v>
          </cell>
        </row>
        <row r="3953">
          <cell r="C3953" t="str">
            <v>HRR4373</v>
          </cell>
          <cell r="D3953" t="str">
            <v>HRR4373</v>
          </cell>
        </row>
        <row r="3954">
          <cell r="C3954" t="str">
            <v>HRR4891</v>
          </cell>
          <cell r="D3954" t="str">
            <v>HRR4891</v>
          </cell>
        </row>
        <row r="3955">
          <cell r="C3955" t="str">
            <v>HRR5200</v>
          </cell>
          <cell r="D3955" t="str">
            <v>HRR5200</v>
          </cell>
        </row>
        <row r="3956">
          <cell r="C3956" t="str">
            <v>HRR5523</v>
          </cell>
          <cell r="D3956" t="str">
            <v>HRR5523</v>
          </cell>
        </row>
        <row r="3957">
          <cell r="C3957" t="str">
            <v>HRR6683</v>
          </cell>
          <cell r="D3957" t="str">
            <v>HRR6683</v>
          </cell>
        </row>
        <row r="3958">
          <cell r="C3958" t="str">
            <v>HRR7320</v>
          </cell>
          <cell r="D3958" t="str">
            <v>HRR7320</v>
          </cell>
        </row>
        <row r="3959">
          <cell r="C3959" t="str">
            <v>HRR7511</v>
          </cell>
          <cell r="D3959" t="str">
            <v>HRR7511</v>
          </cell>
        </row>
        <row r="3960">
          <cell r="C3960" t="str">
            <v>HRR7779</v>
          </cell>
          <cell r="D3960" t="str">
            <v>HRR7779</v>
          </cell>
        </row>
        <row r="3961">
          <cell r="C3961" t="str">
            <v>HRR7A84</v>
          </cell>
          <cell r="D3961" t="str">
            <v>HRR7A84</v>
          </cell>
        </row>
        <row r="3962">
          <cell r="C3962" t="str">
            <v>HRR8544</v>
          </cell>
          <cell r="D3962" t="str">
            <v>HRR8544</v>
          </cell>
        </row>
        <row r="3963">
          <cell r="C3963" t="str">
            <v>HRR8854</v>
          </cell>
          <cell r="D3963" t="str">
            <v>HRR8854</v>
          </cell>
        </row>
        <row r="3964">
          <cell r="C3964" t="str">
            <v>HRROD85</v>
          </cell>
          <cell r="D3964" t="str">
            <v>HRROD85</v>
          </cell>
        </row>
        <row r="3965">
          <cell r="C3965" t="str">
            <v>HRS0536</v>
          </cell>
          <cell r="D3965" t="str">
            <v>HRS0536</v>
          </cell>
        </row>
        <row r="3966">
          <cell r="C3966" t="str">
            <v>HRS6J84</v>
          </cell>
          <cell r="D3966" t="str">
            <v>HRS6J84</v>
          </cell>
        </row>
        <row r="3967">
          <cell r="C3967" t="str">
            <v>HRS6220</v>
          </cell>
          <cell r="D3967" t="str">
            <v>HRS6220</v>
          </cell>
        </row>
        <row r="3968">
          <cell r="C3968" t="str">
            <v>HRS6712</v>
          </cell>
          <cell r="D3968" t="str">
            <v>HRS6712</v>
          </cell>
        </row>
        <row r="3969">
          <cell r="C3969" t="str">
            <v>HRS6949</v>
          </cell>
          <cell r="D3969" t="str">
            <v>HRS6949</v>
          </cell>
        </row>
        <row r="3970">
          <cell r="C3970" t="str">
            <v>HRS6955</v>
          </cell>
          <cell r="D3970" t="str">
            <v>HRS6955</v>
          </cell>
        </row>
        <row r="3971">
          <cell r="C3971" t="str">
            <v>HRS7993</v>
          </cell>
          <cell r="D3971" t="str">
            <v>HRS7993</v>
          </cell>
        </row>
        <row r="3972">
          <cell r="C3972" t="str">
            <v>HRS7994</v>
          </cell>
          <cell r="D3972" t="str">
            <v>HRS7994</v>
          </cell>
        </row>
        <row r="3973">
          <cell r="C3973" t="str">
            <v>HRU0030</v>
          </cell>
          <cell r="D3973" t="str">
            <v>HRU0030</v>
          </cell>
        </row>
        <row r="3974">
          <cell r="C3974" t="str">
            <v>HRU0834</v>
          </cell>
          <cell r="D3974" t="str">
            <v>HRU0834</v>
          </cell>
        </row>
        <row r="3975">
          <cell r="C3975" t="str">
            <v>HRU1889</v>
          </cell>
          <cell r="D3975" t="str">
            <v>HRU1889</v>
          </cell>
        </row>
        <row r="3976">
          <cell r="C3976" t="str">
            <v>HRU2045</v>
          </cell>
          <cell r="D3976" t="str">
            <v>HRU2045</v>
          </cell>
        </row>
        <row r="3977">
          <cell r="C3977" t="str">
            <v>HRU2875</v>
          </cell>
          <cell r="D3977" t="str">
            <v>HRU2875</v>
          </cell>
        </row>
        <row r="3978">
          <cell r="C3978" t="str">
            <v>HRU2937</v>
          </cell>
          <cell r="D3978" t="str">
            <v>HRU2937</v>
          </cell>
        </row>
        <row r="3979">
          <cell r="C3979" t="str">
            <v>HRU2D42</v>
          </cell>
          <cell r="D3979" t="str">
            <v>HRU2D42</v>
          </cell>
        </row>
        <row r="3980">
          <cell r="C3980" t="str">
            <v>HRU3070</v>
          </cell>
          <cell r="D3980" t="str">
            <v>HRU3070</v>
          </cell>
        </row>
        <row r="3981">
          <cell r="C3981" t="str">
            <v>HRU3C41</v>
          </cell>
          <cell r="D3981" t="str">
            <v>HRU3C41</v>
          </cell>
        </row>
        <row r="3982">
          <cell r="C3982" t="str">
            <v>HRU4326</v>
          </cell>
          <cell r="D3982" t="str">
            <v>HRU4326</v>
          </cell>
        </row>
        <row r="3983">
          <cell r="C3983" t="str">
            <v>HRU4622</v>
          </cell>
          <cell r="D3983" t="str">
            <v>HRU4622</v>
          </cell>
        </row>
        <row r="3984">
          <cell r="C3984" t="str">
            <v>HRU4820</v>
          </cell>
          <cell r="D3984" t="str">
            <v>HRU4820</v>
          </cell>
        </row>
        <row r="3985">
          <cell r="C3985" t="str">
            <v>HRU5859</v>
          </cell>
          <cell r="D3985" t="str">
            <v>HRU5859</v>
          </cell>
        </row>
        <row r="3986">
          <cell r="C3986" t="str">
            <v>HRU6289</v>
          </cell>
          <cell r="D3986" t="str">
            <v>HRU6289</v>
          </cell>
        </row>
        <row r="3987">
          <cell r="C3987" t="str">
            <v>HRU6740</v>
          </cell>
          <cell r="D3987" t="str">
            <v>HRU6740</v>
          </cell>
        </row>
        <row r="3988">
          <cell r="C3988" t="str">
            <v>HRU7123</v>
          </cell>
          <cell r="D3988" t="str">
            <v>HRU7123</v>
          </cell>
        </row>
        <row r="3989">
          <cell r="C3989" t="str">
            <v>HRU7151</v>
          </cell>
          <cell r="D3989" t="str">
            <v>HRU7151</v>
          </cell>
        </row>
        <row r="3990">
          <cell r="C3990" t="str">
            <v>HRU9164</v>
          </cell>
          <cell r="D3990" t="str">
            <v>HRU9164</v>
          </cell>
        </row>
        <row r="3991">
          <cell r="C3991" t="str">
            <v>HRU9288</v>
          </cell>
          <cell r="D3991" t="str">
            <v>HRU9288</v>
          </cell>
        </row>
        <row r="3992">
          <cell r="C3992" t="str">
            <v>HRV0J02</v>
          </cell>
          <cell r="D3992" t="str">
            <v>HRV0J02</v>
          </cell>
        </row>
        <row r="3993">
          <cell r="C3993" t="str">
            <v>HRV1053</v>
          </cell>
          <cell r="D3993" t="str">
            <v>HRV1053</v>
          </cell>
        </row>
        <row r="3994">
          <cell r="C3994" t="str">
            <v>HRV9383</v>
          </cell>
          <cell r="D3994" t="str">
            <v>HRV9383</v>
          </cell>
        </row>
        <row r="3995">
          <cell r="C3995" t="str">
            <v>HRV0063</v>
          </cell>
          <cell r="D3995" t="str">
            <v>HRV0063</v>
          </cell>
        </row>
        <row r="3996">
          <cell r="C3996" t="str">
            <v>HRV0282</v>
          </cell>
          <cell r="D3996" t="str">
            <v>HRV0282</v>
          </cell>
        </row>
        <row r="3997">
          <cell r="C3997" t="str">
            <v>HRV0808</v>
          </cell>
          <cell r="D3997" t="str">
            <v>HRV0808</v>
          </cell>
        </row>
        <row r="3998">
          <cell r="C3998" t="str">
            <v>HRV1797</v>
          </cell>
          <cell r="D3998" t="str">
            <v>HRV1797</v>
          </cell>
        </row>
        <row r="3999">
          <cell r="C3999" t="str">
            <v>HRV1968</v>
          </cell>
          <cell r="D3999" t="str">
            <v>HRV1968</v>
          </cell>
        </row>
        <row r="4000">
          <cell r="C4000" t="str">
            <v>HRV2239</v>
          </cell>
          <cell r="D4000" t="str">
            <v>HRV2239</v>
          </cell>
        </row>
        <row r="4001">
          <cell r="C4001" t="str">
            <v>HRV3728</v>
          </cell>
          <cell r="D4001" t="str">
            <v>HRV3728</v>
          </cell>
        </row>
        <row r="4002">
          <cell r="C4002" t="str">
            <v>HRV3H35</v>
          </cell>
          <cell r="D4002" t="str">
            <v>HRV3H35</v>
          </cell>
        </row>
        <row r="4003">
          <cell r="C4003" t="str">
            <v>HRV3H36</v>
          </cell>
          <cell r="D4003" t="str">
            <v>HRV3H36</v>
          </cell>
        </row>
        <row r="4004">
          <cell r="C4004" t="str">
            <v>HRV5313</v>
          </cell>
          <cell r="D4004" t="str">
            <v>HRV5313</v>
          </cell>
        </row>
        <row r="4005">
          <cell r="C4005" t="str">
            <v>HRV9969</v>
          </cell>
          <cell r="D4005" t="str">
            <v>HRV9969</v>
          </cell>
        </row>
        <row r="4006">
          <cell r="C4006" t="str">
            <v>HRV9I65</v>
          </cell>
          <cell r="D4006" t="str">
            <v>HRV9I65</v>
          </cell>
        </row>
        <row r="4007">
          <cell r="C4007" t="str">
            <v>HRX1770</v>
          </cell>
          <cell r="D4007" t="str">
            <v>HRX1770</v>
          </cell>
        </row>
        <row r="4008">
          <cell r="C4008" t="str">
            <v>HRY6484</v>
          </cell>
          <cell r="D4008" t="str">
            <v>HRY6484</v>
          </cell>
        </row>
        <row r="4009">
          <cell r="C4009" t="str">
            <v>HRY1232</v>
          </cell>
          <cell r="D4009" t="str">
            <v>HRY1232</v>
          </cell>
        </row>
        <row r="4010">
          <cell r="C4010" t="str">
            <v>HRY1293</v>
          </cell>
          <cell r="D4010" t="str">
            <v>HRY1293</v>
          </cell>
        </row>
        <row r="4011">
          <cell r="C4011" t="str">
            <v>HRY1547</v>
          </cell>
          <cell r="D4011" t="str">
            <v>HRY1547</v>
          </cell>
        </row>
        <row r="4012">
          <cell r="C4012" t="str">
            <v>HRY3154</v>
          </cell>
          <cell r="D4012" t="str">
            <v>HRY3154</v>
          </cell>
        </row>
        <row r="4013">
          <cell r="C4013" t="str">
            <v>HRY3471</v>
          </cell>
          <cell r="D4013" t="str">
            <v>HRY3471</v>
          </cell>
        </row>
        <row r="4014">
          <cell r="C4014" t="str">
            <v>HRY3513</v>
          </cell>
          <cell r="D4014" t="str">
            <v>HRY3513</v>
          </cell>
        </row>
        <row r="4015">
          <cell r="C4015" t="str">
            <v>HRY3900</v>
          </cell>
          <cell r="D4015" t="str">
            <v>HRY3900</v>
          </cell>
        </row>
        <row r="4016">
          <cell r="C4016" t="str">
            <v>HRY3979</v>
          </cell>
          <cell r="D4016" t="str">
            <v>HRY3979</v>
          </cell>
        </row>
        <row r="4017">
          <cell r="C4017" t="str">
            <v>HRY3J64</v>
          </cell>
          <cell r="D4017" t="str">
            <v>HRY3J64</v>
          </cell>
        </row>
        <row r="4018">
          <cell r="C4018" t="str">
            <v>HRY4085</v>
          </cell>
          <cell r="D4018" t="str">
            <v>HRY4085</v>
          </cell>
        </row>
        <row r="4019">
          <cell r="C4019" t="str">
            <v>HRY4409</v>
          </cell>
          <cell r="D4019" t="str">
            <v>HRY4409</v>
          </cell>
        </row>
        <row r="4020">
          <cell r="C4020" t="str">
            <v>HRY4754</v>
          </cell>
          <cell r="D4020" t="str">
            <v>HRY4754</v>
          </cell>
        </row>
        <row r="4021">
          <cell r="C4021" t="str">
            <v>HRY4788</v>
          </cell>
          <cell r="D4021" t="str">
            <v>HRY4788</v>
          </cell>
        </row>
        <row r="4022">
          <cell r="C4022" t="str">
            <v>HRY5110</v>
          </cell>
          <cell r="D4022" t="str">
            <v>HRY5110</v>
          </cell>
        </row>
        <row r="4023">
          <cell r="C4023" t="str">
            <v>HRY5121</v>
          </cell>
          <cell r="D4023" t="str">
            <v>HRY5121</v>
          </cell>
        </row>
        <row r="4024">
          <cell r="C4024" t="str">
            <v>HRY7696</v>
          </cell>
          <cell r="D4024" t="str">
            <v>HRY7696</v>
          </cell>
        </row>
        <row r="4025">
          <cell r="C4025" t="str">
            <v>HRY8737</v>
          </cell>
          <cell r="D4025" t="str">
            <v>HRY8737</v>
          </cell>
        </row>
        <row r="4026">
          <cell r="C4026" t="str">
            <v>HRZ3319</v>
          </cell>
          <cell r="D4026" t="str">
            <v>HRZ3319</v>
          </cell>
        </row>
        <row r="4027">
          <cell r="C4027" t="str">
            <v>HRZ8888</v>
          </cell>
          <cell r="D4027" t="str">
            <v>HRZ8888</v>
          </cell>
        </row>
        <row r="4028">
          <cell r="C4028" t="str">
            <v>HRZ1070</v>
          </cell>
          <cell r="D4028" t="str">
            <v>HRZ1070</v>
          </cell>
        </row>
        <row r="4029">
          <cell r="C4029" t="str">
            <v>HRZ2020</v>
          </cell>
          <cell r="D4029" t="str">
            <v>HRZ2020</v>
          </cell>
        </row>
        <row r="4030">
          <cell r="C4030" t="str">
            <v>HRZ2115</v>
          </cell>
          <cell r="D4030" t="str">
            <v>HRZ2115</v>
          </cell>
        </row>
        <row r="4031">
          <cell r="C4031" t="str">
            <v>HRZ4052</v>
          </cell>
          <cell r="D4031" t="str">
            <v>HRZ4052</v>
          </cell>
        </row>
        <row r="4032">
          <cell r="C4032" t="str">
            <v>HRZ5087</v>
          </cell>
          <cell r="D4032" t="str">
            <v>HRZ5087</v>
          </cell>
        </row>
        <row r="4033">
          <cell r="C4033" t="str">
            <v>HRZ5537</v>
          </cell>
          <cell r="D4033" t="str">
            <v>HRZ5537</v>
          </cell>
        </row>
        <row r="4034">
          <cell r="C4034" t="str">
            <v>HRZ8059</v>
          </cell>
          <cell r="D4034" t="str">
            <v>HRZ8059</v>
          </cell>
        </row>
        <row r="4035">
          <cell r="C4035" t="str">
            <v>HSA0016</v>
          </cell>
          <cell r="D4035" t="str">
            <v>HSA0016</v>
          </cell>
        </row>
        <row r="4036">
          <cell r="C4036" t="str">
            <v>HSA1850</v>
          </cell>
          <cell r="D4036" t="str">
            <v>HSA1850</v>
          </cell>
        </row>
        <row r="4037">
          <cell r="C4037" t="str">
            <v>HSA1E48</v>
          </cell>
          <cell r="D4037" t="str">
            <v>HSA1E48</v>
          </cell>
        </row>
        <row r="4038">
          <cell r="C4038" t="str">
            <v>HSA2243</v>
          </cell>
          <cell r="D4038" t="str">
            <v>HSA2243</v>
          </cell>
        </row>
        <row r="4039">
          <cell r="C4039" t="str">
            <v>HSA2539</v>
          </cell>
          <cell r="D4039" t="str">
            <v>HSA2539</v>
          </cell>
        </row>
        <row r="4040">
          <cell r="C4040" t="str">
            <v>HSA2554</v>
          </cell>
          <cell r="D4040" t="str">
            <v>HSA2554</v>
          </cell>
        </row>
        <row r="4041">
          <cell r="C4041" t="str">
            <v>HSA2844</v>
          </cell>
          <cell r="D4041" t="str">
            <v>HSA2844</v>
          </cell>
        </row>
        <row r="4042">
          <cell r="C4042" t="str">
            <v>HSA3C03</v>
          </cell>
          <cell r="D4042" t="str">
            <v>HSA3C03</v>
          </cell>
        </row>
        <row r="4043">
          <cell r="C4043" t="str">
            <v>HSA4576</v>
          </cell>
          <cell r="D4043" t="str">
            <v>HSA4576</v>
          </cell>
        </row>
        <row r="4044">
          <cell r="C4044" t="str">
            <v>HSA4756</v>
          </cell>
          <cell r="D4044" t="str">
            <v>HSA4756</v>
          </cell>
        </row>
        <row r="4045">
          <cell r="C4045" t="str">
            <v>HSA5213</v>
          </cell>
          <cell r="D4045" t="str">
            <v>HSA5213</v>
          </cell>
        </row>
        <row r="4046">
          <cell r="C4046" t="str">
            <v>HSA5286</v>
          </cell>
          <cell r="D4046" t="str">
            <v>HSA5286</v>
          </cell>
        </row>
        <row r="4047">
          <cell r="C4047" t="str">
            <v>HSA6172</v>
          </cell>
          <cell r="D4047" t="str">
            <v>HSA6172</v>
          </cell>
        </row>
        <row r="4048">
          <cell r="C4048" t="str">
            <v>HSA7347</v>
          </cell>
          <cell r="D4048" t="str">
            <v>HSA7347</v>
          </cell>
        </row>
        <row r="4049">
          <cell r="C4049" t="str">
            <v>HSA7546</v>
          </cell>
          <cell r="D4049" t="str">
            <v>HSA7546</v>
          </cell>
        </row>
        <row r="4050">
          <cell r="C4050" t="str">
            <v>HSA8154</v>
          </cell>
          <cell r="D4050" t="str">
            <v>HSA8154</v>
          </cell>
        </row>
        <row r="4051">
          <cell r="C4051" t="str">
            <v>HSA8B54</v>
          </cell>
          <cell r="D4051" t="str">
            <v>HSA8B54</v>
          </cell>
        </row>
        <row r="4052">
          <cell r="C4052" t="str">
            <v>HSA8J57</v>
          </cell>
          <cell r="D4052" t="str">
            <v>HSA8J57</v>
          </cell>
        </row>
        <row r="4053">
          <cell r="C4053" t="str">
            <v>HSC2454</v>
          </cell>
          <cell r="D4053" t="str">
            <v>HSC2454</v>
          </cell>
        </row>
        <row r="4054">
          <cell r="C4054" t="str">
            <v>HSC4996</v>
          </cell>
          <cell r="D4054" t="str">
            <v>HSC4996</v>
          </cell>
        </row>
        <row r="4055">
          <cell r="C4055" t="str">
            <v>HSC5993</v>
          </cell>
          <cell r="D4055" t="str">
            <v>HSC5993</v>
          </cell>
        </row>
        <row r="4056">
          <cell r="C4056" t="str">
            <v>HSC1096</v>
          </cell>
          <cell r="D4056" t="str">
            <v>HSC1096</v>
          </cell>
        </row>
        <row r="4057">
          <cell r="C4057" t="str">
            <v>HSC1438</v>
          </cell>
          <cell r="D4057" t="str">
            <v>HSC1438</v>
          </cell>
        </row>
        <row r="4058">
          <cell r="C4058" t="str">
            <v>HSC2436</v>
          </cell>
          <cell r="D4058" t="str">
            <v>HSC2436</v>
          </cell>
        </row>
        <row r="4059">
          <cell r="C4059" t="str">
            <v>HSC2596</v>
          </cell>
          <cell r="D4059" t="str">
            <v>HSC2596</v>
          </cell>
        </row>
        <row r="4060">
          <cell r="C4060" t="str">
            <v>HSC3591</v>
          </cell>
          <cell r="D4060" t="str">
            <v>HSC3591</v>
          </cell>
        </row>
        <row r="4061">
          <cell r="C4061" t="str">
            <v>HSC3991</v>
          </cell>
          <cell r="D4061" t="str">
            <v>HSC3991</v>
          </cell>
        </row>
        <row r="4062">
          <cell r="C4062" t="str">
            <v>HSC4049</v>
          </cell>
          <cell r="D4062" t="str">
            <v>HSC4049</v>
          </cell>
        </row>
        <row r="4063">
          <cell r="C4063" t="str">
            <v>HSC4463</v>
          </cell>
          <cell r="D4063" t="str">
            <v>HSC4463</v>
          </cell>
        </row>
        <row r="4064">
          <cell r="C4064" t="str">
            <v>HSC5163</v>
          </cell>
          <cell r="D4064" t="str">
            <v>HSC5163</v>
          </cell>
        </row>
        <row r="4065">
          <cell r="C4065" t="str">
            <v>HSC5560</v>
          </cell>
          <cell r="D4065" t="str">
            <v>HSC5560</v>
          </cell>
        </row>
        <row r="4066">
          <cell r="C4066" t="str">
            <v>HSC5784</v>
          </cell>
          <cell r="D4066" t="str">
            <v>HSC5784</v>
          </cell>
        </row>
        <row r="4067">
          <cell r="C4067" t="str">
            <v>HSC6355</v>
          </cell>
          <cell r="D4067" t="str">
            <v>HSC6355</v>
          </cell>
        </row>
        <row r="4068">
          <cell r="C4068" t="str">
            <v>HSC6616</v>
          </cell>
          <cell r="D4068" t="str">
            <v>HSC6616</v>
          </cell>
        </row>
        <row r="4069">
          <cell r="C4069" t="str">
            <v>HSC6B47</v>
          </cell>
          <cell r="D4069" t="str">
            <v>HSC6B47</v>
          </cell>
        </row>
        <row r="4070">
          <cell r="C4070" t="str">
            <v>HSC6E03</v>
          </cell>
          <cell r="D4070" t="str">
            <v>HSC6E03</v>
          </cell>
        </row>
        <row r="4071">
          <cell r="C4071" t="str">
            <v>HSC7627</v>
          </cell>
          <cell r="D4071" t="str">
            <v>HSC7627</v>
          </cell>
        </row>
        <row r="4072">
          <cell r="C4072" t="str">
            <v>HSC8227</v>
          </cell>
          <cell r="D4072" t="str">
            <v>HSC8227</v>
          </cell>
        </row>
        <row r="4073">
          <cell r="C4073" t="str">
            <v>HSC9615</v>
          </cell>
          <cell r="D4073" t="str">
            <v>HSC9615</v>
          </cell>
        </row>
        <row r="4074">
          <cell r="C4074" t="str">
            <v>HSC9A52</v>
          </cell>
          <cell r="D4074" t="str">
            <v>HSC9A52</v>
          </cell>
        </row>
        <row r="4075">
          <cell r="C4075" t="str">
            <v>HSC9J45</v>
          </cell>
          <cell r="D4075" t="str">
            <v>HSC9J45</v>
          </cell>
        </row>
        <row r="4076">
          <cell r="C4076" t="str">
            <v>HSD2297</v>
          </cell>
          <cell r="D4076" t="str">
            <v>HSD2297</v>
          </cell>
        </row>
        <row r="4077">
          <cell r="C4077" t="str">
            <v>HSD0025</v>
          </cell>
          <cell r="D4077" t="str">
            <v>HSD0025</v>
          </cell>
        </row>
        <row r="4078">
          <cell r="C4078" t="str">
            <v>HSD0155</v>
          </cell>
          <cell r="D4078" t="str">
            <v>HSD0155</v>
          </cell>
        </row>
        <row r="4079">
          <cell r="C4079" t="str">
            <v>HSD2237</v>
          </cell>
          <cell r="D4079" t="str">
            <v>HSD2237</v>
          </cell>
        </row>
        <row r="4080">
          <cell r="C4080" t="str">
            <v>HSD3094</v>
          </cell>
          <cell r="D4080" t="str">
            <v>HSD3094</v>
          </cell>
        </row>
        <row r="4081">
          <cell r="C4081" t="str">
            <v>HSD3157</v>
          </cell>
          <cell r="D4081" t="str">
            <v>HSD3157</v>
          </cell>
        </row>
        <row r="4082">
          <cell r="C4082" t="str">
            <v>HSD3163</v>
          </cell>
          <cell r="D4082" t="str">
            <v>HSD3163</v>
          </cell>
        </row>
        <row r="4083">
          <cell r="C4083" t="str">
            <v>HSD3657</v>
          </cell>
          <cell r="D4083" t="str">
            <v>HSD3657</v>
          </cell>
        </row>
        <row r="4084">
          <cell r="C4084" t="str">
            <v>HSD4764</v>
          </cell>
          <cell r="D4084" t="str">
            <v>HSD4764</v>
          </cell>
        </row>
        <row r="4085">
          <cell r="C4085" t="str">
            <v>HSD4889</v>
          </cell>
          <cell r="D4085" t="str">
            <v>HSD4889</v>
          </cell>
        </row>
        <row r="4086">
          <cell r="C4086" t="str">
            <v>HSD5042</v>
          </cell>
          <cell r="D4086" t="str">
            <v>HSD5042</v>
          </cell>
        </row>
        <row r="4087">
          <cell r="C4087" t="str">
            <v>HSD5172</v>
          </cell>
          <cell r="D4087" t="str">
            <v>HSD5172</v>
          </cell>
        </row>
        <row r="4088">
          <cell r="C4088" t="str">
            <v>HSD5632</v>
          </cell>
          <cell r="D4088" t="str">
            <v>HSD5632</v>
          </cell>
        </row>
        <row r="4089">
          <cell r="C4089" t="str">
            <v>HSD5722</v>
          </cell>
          <cell r="D4089" t="str">
            <v>HSD5722</v>
          </cell>
        </row>
        <row r="4090">
          <cell r="C4090" t="str">
            <v>HSD6018</v>
          </cell>
          <cell r="D4090" t="str">
            <v>HSD6018</v>
          </cell>
        </row>
        <row r="4091">
          <cell r="C4091" t="str">
            <v>HSD6097</v>
          </cell>
          <cell r="D4091" t="str">
            <v>HSD6097</v>
          </cell>
        </row>
        <row r="4092">
          <cell r="C4092" t="str">
            <v>HSD7472</v>
          </cell>
          <cell r="D4092" t="str">
            <v>HSD7472</v>
          </cell>
        </row>
        <row r="4093">
          <cell r="C4093" t="str">
            <v>HSD9906</v>
          </cell>
          <cell r="D4093" t="str">
            <v>HSD9906</v>
          </cell>
        </row>
        <row r="4094">
          <cell r="C4094" t="str">
            <v>HSE1487</v>
          </cell>
          <cell r="D4094" t="str">
            <v>HSE1487</v>
          </cell>
        </row>
        <row r="4095">
          <cell r="C4095" t="str">
            <v>HSE1621</v>
          </cell>
          <cell r="D4095" t="str">
            <v>HSE1621</v>
          </cell>
        </row>
        <row r="4096">
          <cell r="C4096" t="str">
            <v>HSE8631</v>
          </cell>
          <cell r="D4096" t="str">
            <v>HSE8631</v>
          </cell>
        </row>
        <row r="4097">
          <cell r="C4097" t="str">
            <v>HSE1229</v>
          </cell>
          <cell r="D4097" t="str">
            <v>HSE1229</v>
          </cell>
        </row>
        <row r="4098">
          <cell r="C4098" t="str">
            <v>HSE2875</v>
          </cell>
          <cell r="D4098" t="str">
            <v>HSE2875</v>
          </cell>
        </row>
        <row r="4099">
          <cell r="C4099" t="str">
            <v>HSE3362</v>
          </cell>
          <cell r="D4099" t="str">
            <v>HSE3362</v>
          </cell>
        </row>
        <row r="4100">
          <cell r="C4100" t="str">
            <v>HSE4070</v>
          </cell>
          <cell r="D4100" t="str">
            <v>HSE4070</v>
          </cell>
        </row>
        <row r="4101">
          <cell r="C4101" t="str">
            <v>HSE4622</v>
          </cell>
          <cell r="D4101" t="str">
            <v>HSE4622</v>
          </cell>
        </row>
        <row r="4102">
          <cell r="C4102" t="str">
            <v>HSE5453</v>
          </cell>
          <cell r="D4102" t="str">
            <v>HSE5453</v>
          </cell>
        </row>
        <row r="4103">
          <cell r="C4103" t="str">
            <v>HSE5597</v>
          </cell>
          <cell r="D4103" t="str">
            <v>HSE5597</v>
          </cell>
        </row>
        <row r="4104">
          <cell r="C4104" t="str">
            <v>HSE6951</v>
          </cell>
          <cell r="D4104" t="str">
            <v>HSE6951</v>
          </cell>
        </row>
        <row r="4105">
          <cell r="C4105" t="str">
            <v>HSE6D09</v>
          </cell>
          <cell r="D4105" t="str">
            <v>HSE6D09</v>
          </cell>
        </row>
        <row r="4106">
          <cell r="C4106" t="str">
            <v>HSE7032</v>
          </cell>
          <cell r="D4106" t="str">
            <v>HSE7032</v>
          </cell>
        </row>
        <row r="4107">
          <cell r="C4107" t="str">
            <v>HSE7091</v>
          </cell>
          <cell r="D4107" t="str">
            <v>HSE7091</v>
          </cell>
        </row>
        <row r="4108">
          <cell r="C4108" t="str">
            <v>HSE8C01</v>
          </cell>
          <cell r="D4108" t="str">
            <v>HSE8C01</v>
          </cell>
        </row>
        <row r="4109">
          <cell r="C4109" t="str">
            <v>HSE9353</v>
          </cell>
          <cell r="D4109" t="str">
            <v>HSE9353</v>
          </cell>
        </row>
        <row r="4110">
          <cell r="C4110" t="str">
            <v>HSF0752</v>
          </cell>
          <cell r="D4110" t="str">
            <v>HSF0752</v>
          </cell>
        </row>
        <row r="4111">
          <cell r="C4111" t="str">
            <v>HSF0768</v>
          </cell>
          <cell r="D4111" t="str">
            <v>HSF0768</v>
          </cell>
        </row>
        <row r="4112">
          <cell r="C4112" t="str">
            <v>HSF0878</v>
          </cell>
          <cell r="D4112" t="str">
            <v>HSF0878</v>
          </cell>
        </row>
        <row r="4113">
          <cell r="C4113" t="str">
            <v>HSF1309</v>
          </cell>
          <cell r="D4113" t="str">
            <v>HSF1309</v>
          </cell>
        </row>
        <row r="4114">
          <cell r="C4114" t="str">
            <v>HSF2279</v>
          </cell>
          <cell r="D4114" t="str">
            <v>HSF2279</v>
          </cell>
        </row>
        <row r="4115">
          <cell r="C4115" t="str">
            <v>HSF2565</v>
          </cell>
          <cell r="D4115" t="str">
            <v>HSF2565</v>
          </cell>
        </row>
        <row r="4116">
          <cell r="C4116" t="str">
            <v>HSF2705</v>
          </cell>
          <cell r="D4116" t="str">
            <v>HSF2705</v>
          </cell>
        </row>
        <row r="4117">
          <cell r="C4117" t="str">
            <v>HSF3332</v>
          </cell>
          <cell r="D4117" t="str">
            <v>HSF3332</v>
          </cell>
        </row>
        <row r="4118">
          <cell r="C4118" t="str">
            <v>HSF3721</v>
          </cell>
          <cell r="D4118" t="str">
            <v>HSF3721</v>
          </cell>
        </row>
        <row r="4119">
          <cell r="C4119" t="str">
            <v>HSF3780</v>
          </cell>
          <cell r="D4119" t="str">
            <v>HSF3780</v>
          </cell>
        </row>
        <row r="4120">
          <cell r="C4120" t="str">
            <v>HSF6A35</v>
          </cell>
          <cell r="D4120" t="str">
            <v>HSF6A35</v>
          </cell>
        </row>
        <row r="4121">
          <cell r="C4121" t="str">
            <v>HSF7556</v>
          </cell>
          <cell r="D4121" t="str">
            <v>HSF7556</v>
          </cell>
        </row>
        <row r="4122">
          <cell r="C4122" t="str">
            <v>HSF7632</v>
          </cell>
          <cell r="D4122" t="str">
            <v>HSF7632</v>
          </cell>
        </row>
        <row r="4123">
          <cell r="C4123" t="str">
            <v>HSF8554</v>
          </cell>
          <cell r="D4123" t="str">
            <v>HSF8554</v>
          </cell>
        </row>
        <row r="4124">
          <cell r="C4124" t="str">
            <v>HSF9542</v>
          </cell>
          <cell r="D4124" t="str">
            <v>HSF9542</v>
          </cell>
        </row>
        <row r="4125">
          <cell r="C4125" t="str">
            <v>HSG0516</v>
          </cell>
          <cell r="D4125" t="str">
            <v>HSG0516</v>
          </cell>
        </row>
        <row r="4126">
          <cell r="C4126" t="str">
            <v>HSG3847</v>
          </cell>
          <cell r="D4126" t="str">
            <v>HSG3847</v>
          </cell>
        </row>
        <row r="4127">
          <cell r="C4127" t="str">
            <v>HSG4669</v>
          </cell>
          <cell r="D4127" t="str">
            <v>HSG4669</v>
          </cell>
        </row>
        <row r="4128">
          <cell r="C4128" t="str">
            <v>HSG0I55</v>
          </cell>
          <cell r="D4128" t="str">
            <v>HSG0I55</v>
          </cell>
        </row>
        <row r="4129">
          <cell r="C4129" t="str">
            <v>HSG2547</v>
          </cell>
          <cell r="D4129" t="str">
            <v>HSG2547</v>
          </cell>
        </row>
        <row r="4130">
          <cell r="C4130" t="str">
            <v>HSG3715</v>
          </cell>
          <cell r="D4130" t="str">
            <v>HSG3715</v>
          </cell>
        </row>
        <row r="4131">
          <cell r="C4131" t="str">
            <v>HSG3755</v>
          </cell>
          <cell r="D4131" t="str">
            <v>HSG3755</v>
          </cell>
        </row>
        <row r="4132">
          <cell r="C4132" t="str">
            <v>HSG4H31</v>
          </cell>
          <cell r="D4132" t="str">
            <v>HSG4H31</v>
          </cell>
        </row>
        <row r="4133">
          <cell r="C4133" t="str">
            <v>HSG5972</v>
          </cell>
          <cell r="D4133" t="str">
            <v>HSG5972</v>
          </cell>
        </row>
        <row r="4134">
          <cell r="C4134" t="str">
            <v>HSG6669</v>
          </cell>
          <cell r="D4134" t="str">
            <v>HSG6669</v>
          </cell>
        </row>
        <row r="4135">
          <cell r="C4135" t="str">
            <v>HSG7236</v>
          </cell>
          <cell r="D4135" t="str">
            <v>HSG7236</v>
          </cell>
        </row>
        <row r="4136">
          <cell r="C4136" t="str">
            <v>HSG9965</v>
          </cell>
          <cell r="D4136" t="str">
            <v>HSG9965</v>
          </cell>
        </row>
        <row r="4137">
          <cell r="C4137" t="str">
            <v>HSH0598</v>
          </cell>
          <cell r="D4137" t="str">
            <v>HSH0598</v>
          </cell>
        </row>
        <row r="4138">
          <cell r="C4138" t="str">
            <v>HSI0218</v>
          </cell>
          <cell r="D4138" t="str">
            <v>HSI0218</v>
          </cell>
        </row>
        <row r="4139">
          <cell r="C4139" t="str">
            <v>HSI0238</v>
          </cell>
          <cell r="D4139" t="str">
            <v>HSI0238</v>
          </cell>
        </row>
        <row r="4140">
          <cell r="C4140" t="str">
            <v>HSI0720</v>
          </cell>
          <cell r="D4140" t="str">
            <v>HSI0720</v>
          </cell>
        </row>
        <row r="4141">
          <cell r="C4141" t="str">
            <v>HSI0725</v>
          </cell>
          <cell r="D4141" t="str">
            <v>HSI0725</v>
          </cell>
        </row>
        <row r="4142">
          <cell r="C4142" t="str">
            <v>HSI0837</v>
          </cell>
          <cell r="D4142" t="str">
            <v>HSI0837</v>
          </cell>
        </row>
        <row r="4143">
          <cell r="C4143" t="str">
            <v>HSI0915</v>
          </cell>
          <cell r="D4143" t="str">
            <v>HSI0915</v>
          </cell>
        </row>
        <row r="4144">
          <cell r="C4144" t="str">
            <v>HSI1267</v>
          </cell>
          <cell r="D4144" t="str">
            <v>HSI1267</v>
          </cell>
        </row>
        <row r="4145">
          <cell r="C4145" t="str">
            <v>HSI1371</v>
          </cell>
          <cell r="D4145" t="str">
            <v>HSI1371</v>
          </cell>
        </row>
        <row r="4146">
          <cell r="C4146" t="str">
            <v>HSI2378</v>
          </cell>
          <cell r="D4146" t="str">
            <v>HSI2378</v>
          </cell>
        </row>
        <row r="4147">
          <cell r="C4147" t="str">
            <v>HSI2821</v>
          </cell>
          <cell r="D4147" t="str">
            <v>HSI2821</v>
          </cell>
        </row>
        <row r="4148">
          <cell r="C4148" t="str">
            <v>HSI4898</v>
          </cell>
          <cell r="D4148" t="str">
            <v>HSI4898</v>
          </cell>
        </row>
        <row r="4149">
          <cell r="C4149" t="str">
            <v>HSI5625</v>
          </cell>
          <cell r="D4149" t="str">
            <v>HSI5625</v>
          </cell>
        </row>
        <row r="4150">
          <cell r="C4150" t="str">
            <v>HSI6272</v>
          </cell>
          <cell r="D4150" t="str">
            <v>HSI6272</v>
          </cell>
        </row>
        <row r="4151">
          <cell r="C4151" t="str">
            <v>HSI6390</v>
          </cell>
          <cell r="D4151" t="str">
            <v>HSI6390</v>
          </cell>
        </row>
        <row r="4152">
          <cell r="C4152" t="str">
            <v>HSI6780</v>
          </cell>
          <cell r="D4152" t="str">
            <v>HSI6780</v>
          </cell>
        </row>
        <row r="4153">
          <cell r="C4153" t="str">
            <v>HSI6874</v>
          </cell>
          <cell r="D4153" t="str">
            <v>HSI6874</v>
          </cell>
        </row>
        <row r="4154">
          <cell r="C4154" t="str">
            <v>HSI7715</v>
          </cell>
          <cell r="D4154" t="str">
            <v>HSI7715</v>
          </cell>
        </row>
        <row r="4155">
          <cell r="C4155" t="str">
            <v>HSI9189</v>
          </cell>
          <cell r="D4155" t="str">
            <v>HSI9189</v>
          </cell>
        </row>
        <row r="4156">
          <cell r="C4156" t="str">
            <v>HSI9707</v>
          </cell>
          <cell r="D4156" t="str">
            <v>HSI9707</v>
          </cell>
        </row>
        <row r="4157">
          <cell r="C4157" t="str">
            <v>HSI9B64</v>
          </cell>
          <cell r="D4157" t="str">
            <v>HSI9B64</v>
          </cell>
        </row>
        <row r="4158">
          <cell r="C4158" t="str">
            <v>HSJ 1790</v>
          </cell>
          <cell r="D4158" t="str">
            <v>HSJ1790</v>
          </cell>
        </row>
        <row r="4159">
          <cell r="C4159" t="str">
            <v>HSJ5823</v>
          </cell>
          <cell r="D4159" t="str">
            <v>HSJ5823</v>
          </cell>
        </row>
        <row r="4160">
          <cell r="C4160" t="str">
            <v>HSJ4927</v>
          </cell>
          <cell r="D4160" t="str">
            <v>HSJ4927</v>
          </cell>
        </row>
        <row r="4161">
          <cell r="C4161" t="str">
            <v>HSJ5495</v>
          </cell>
          <cell r="D4161" t="str">
            <v>HSJ5495</v>
          </cell>
        </row>
        <row r="4162">
          <cell r="C4162" t="str">
            <v>HSJ5F76</v>
          </cell>
          <cell r="D4162" t="str">
            <v>HSJ5F76</v>
          </cell>
        </row>
        <row r="4163">
          <cell r="C4163" t="str">
            <v>HSJ7413</v>
          </cell>
          <cell r="D4163" t="str">
            <v>HSJ7413</v>
          </cell>
        </row>
        <row r="4164">
          <cell r="C4164" t="str">
            <v>HSM0013</v>
          </cell>
          <cell r="D4164" t="str">
            <v>HSM0013</v>
          </cell>
        </row>
        <row r="4165">
          <cell r="C4165" t="str">
            <v>HSM3551</v>
          </cell>
          <cell r="D4165" t="str">
            <v>HSM3551</v>
          </cell>
        </row>
        <row r="4166">
          <cell r="C4166" t="str">
            <v>HSN2006</v>
          </cell>
          <cell r="D4166" t="str">
            <v>HSN2006</v>
          </cell>
        </row>
        <row r="4167">
          <cell r="C4167" t="str">
            <v>HSN4949</v>
          </cell>
          <cell r="D4167" t="str">
            <v>HSN4949</v>
          </cell>
        </row>
        <row r="4168">
          <cell r="C4168" t="str">
            <v>HSN5347</v>
          </cell>
          <cell r="D4168" t="str">
            <v>HSN5347</v>
          </cell>
        </row>
        <row r="4169">
          <cell r="C4169" t="str">
            <v>HSP1547</v>
          </cell>
          <cell r="D4169" t="str">
            <v>HSP1547</v>
          </cell>
        </row>
        <row r="4170">
          <cell r="C4170" t="str">
            <v>HSS9706</v>
          </cell>
          <cell r="D4170" t="str">
            <v>HSS9706</v>
          </cell>
        </row>
        <row r="4171">
          <cell r="C4171" t="str">
            <v>HST1336</v>
          </cell>
          <cell r="D4171" t="str">
            <v>HST1336</v>
          </cell>
        </row>
        <row r="4172">
          <cell r="C4172" t="str">
            <v>HST1D36</v>
          </cell>
          <cell r="D4172" t="str">
            <v>HST1D36</v>
          </cell>
        </row>
        <row r="4173">
          <cell r="C4173" t="str">
            <v>HST4086</v>
          </cell>
          <cell r="D4173" t="str">
            <v>HST4086</v>
          </cell>
        </row>
        <row r="4174">
          <cell r="C4174" t="str">
            <v>HSU0420</v>
          </cell>
          <cell r="D4174" t="str">
            <v>HSU0420</v>
          </cell>
        </row>
        <row r="4175">
          <cell r="C4175" t="str">
            <v>HSU3773</v>
          </cell>
          <cell r="D4175" t="str">
            <v>HSU3773</v>
          </cell>
        </row>
        <row r="4176">
          <cell r="C4176" t="str">
            <v>HSU9D49</v>
          </cell>
          <cell r="D4176" t="str">
            <v>HSU9D49</v>
          </cell>
        </row>
        <row r="4177">
          <cell r="C4177" t="str">
            <v>HSV6100</v>
          </cell>
          <cell r="D4177" t="str">
            <v>HSV6100</v>
          </cell>
        </row>
        <row r="4178">
          <cell r="C4178" t="str">
            <v>HSV8999</v>
          </cell>
          <cell r="D4178" t="str">
            <v>HSV8999</v>
          </cell>
        </row>
        <row r="4179">
          <cell r="C4179" t="str">
            <v>HSX9845</v>
          </cell>
          <cell r="D4179" t="str">
            <v>HSX9845</v>
          </cell>
        </row>
        <row r="4180">
          <cell r="C4180" t="str">
            <v>HSX1447</v>
          </cell>
          <cell r="D4180" t="str">
            <v>HSX1447</v>
          </cell>
        </row>
        <row r="4181">
          <cell r="C4181" t="str">
            <v>HSX2773</v>
          </cell>
          <cell r="D4181" t="str">
            <v>HSX2773</v>
          </cell>
        </row>
        <row r="4182">
          <cell r="C4182" t="str">
            <v>HSX7408</v>
          </cell>
          <cell r="D4182" t="str">
            <v>HSX7408</v>
          </cell>
        </row>
        <row r="4183">
          <cell r="C4183" t="str">
            <v>HSX7E08</v>
          </cell>
          <cell r="D4183" t="str">
            <v>HSX7E08</v>
          </cell>
        </row>
        <row r="4184">
          <cell r="C4184" t="str">
            <v>HSX9031</v>
          </cell>
          <cell r="D4184" t="str">
            <v>HSX9031</v>
          </cell>
        </row>
        <row r="4185">
          <cell r="C4185" t="str">
            <v>HSX9051</v>
          </cell>
          <cell r="D4185" t="str">
            <v>HSX9051</v>
          </cell>
        </row>
        <row r="4186">
          <cell r="C4186" t="str">
            <v>HSX9125</v>
          </cell>
          <cell r="D4186" t="str">
            <v>HSX9125</v>
          </cell>
        </row>
        <row r="4187">
          <cell r="C4187" t="str">
            <v>HSX9128</v>
          </cell>
          <cell r="D4187" t="str">
            <v>HSX9128</v>
          </cell>
        </row>
        <row r="4188">
          <cell r="C4188" t="str">
            <v>HSY0222</v>
          </cell>
          <cell r="D4188" t="str">
            <v>HSY0222</v>
          </cell>
        </row>
        <row r="4189">
          <cell r="C4189" t="str">
            <v>HSY0845</v>
          </cell>
          <cell r="D4189" t="str">
            <v>HSY0845</v>
          </cell>
        </row>
        <row r="4190">
          <cell r="C4190" t="str">
            <v>HSY0846</v>
          </cell>
          <cell r="D4190" t="str">
            <v>HSY0846</v>
          </cell>
        </row>
        <row r="4191">
          <cell r="C4191" t="str">
            <v>HSY1600</v>
          </cell>
          <cell r="D4191" t="str">
            <v>HSY1600</v>
          </cell>
        </row>
        <row r="4192">
          <cell r="C4192" t="str">
            <v>HSY1990</v>
          </cell>
          <cell r="D4192" t="str">
            <v>HSY1990</v>
          </cell>
        </row>
        <row r="4193">
          <cell r="C4193" t="str">
            <v>HSY2982</v>
          </cell>
          <cell r="D4193" t="str">
            <v>HSY2982</v>
          </cell>
        </row>
        <row r="4194">
          <cell r="C4194" t="str">
            <v>HSY3789</v>
          </cell>
          <cell r="D4194" t="str">
            <v>HSY3789</v>
          </cell>
        </row>
        <row r="4195">
          <cell r="C4195" t="str">
            <v>HSY6361</v>
          </cell>
          <cell r="D4195" t="str">
            <v>HSY6361</v>
          </cell>
        </row>
        <row r="4196">
          <cell r="C4196" t="str">
            <v>HSY6372</v>
          </cell>
          <cell r="D4196" t="str">
            <v>HSY6372</v>
          </cell>
        </row>
        <row r="4197">
          <cell r="C4197" t="str">
            <v>HSY6999</v>
          </cell>
          <cell r="D4197" t="str">
            <v>HSY6999</v>
          </cell>
        </row>
        <row r="4198">
          <cell r="C4198" t="str">
            <v>HSY7238</v>
          </cell>
          <cell r="D4198" t="str">
            <v>HSY7238</v>
          </cell>
        </row>
        <row r="4199">
          <cell r="C4199" t="str">
            <v>HSY7680</v>
          </cell>
          <cell r="D4199" t="str">
            <v>HSY7680</v>
          </cell>
        </row>
        <row r="4200">
          <cell r="C4200" t="str">
            <v>HSY9754</v>
          </cell>
          <cell r="D4200" t="str">
            <v>HSY9754</v>
          </cell>
        </row>
        <row r="4201">
          <cell r="C4201" t="str">
            <v>HSY9B03</v>
          </cell>
          <cell r="D4201" t="str">
            <v>HSY9B03</v>
          </cell>
        </row>
        <row r="4202">
          <cell r="C4202" t="str">
            <v>HSZ6633</v>
          </cell>
          <cell r="D4202" t="str">
            <v>HSZ6633</v>
          </cell>
        </row>
        <row r="4203">
          <cell r="C4203" t="str">
            <v>HT06726</v>
          </cell>
          <cell r="D4203" t="str">
            <v>HT06726</v>
          </cell>
        </row>
        <row r="4204">
          <cell r="C4204" t="str">
            <v>HTA5078</v>
          </cell>
          <cell r="D4204" t="str">
            <v>HTA5078</v>
          </cell>
        </row>
        <row r="4205">
          <cell r="C4205" t="str">
            <v>HTA1000</v>
          </cell>
          <cell r="D4205" t="str">
            <v>HTA1000</v>
          </cell>
        </row>
        <row r="4206">
          <cell r="C4206" t="str">
            <v>HTA1228</v>
          </cell>
          <cell r="D4206" t="str">
            <v>HTA1228</v>
          </cell>
        </row>
        <row r="4207">
          <cell r="C4207" t="str">
            <v>HTA2685</v>
          </cell>
          <cell r="D4207" t="str">
            <v>HTA2685</v>
          </cell>
        </row>
        <row r="4208">
          <cell r="C4208" t="str">
            <v>HTA3893</v>
          </cell>
          <cell r="D4208" t="str">
            <v>HTA3893</v>
          </cell>
        </row>
        <row r="4209">
          <cell r="C4209" t="str">
            <v>HTA3923</v>
          </cell>
          <cell r="D4209" t="str">
            <v>HTA3923</v>
          </cell>
        </row>
        <row r="4210">
          <cell r="C4210" t="str">
            <v>HTA3950</v>
          </cell>
          <cell r="D4210" t="str">
            <v>HTA3950</v>
          </cell>
        </row>
        <row r="4211">
          <cell r="C4211" t="str">
            <v>HTA5108</v>
          </cell>
          <cell r="D4211" t="str">
            <v>HTA5108</v>
          </cell>
        </row>
        <row r="4212">
          <cell r="C4212" t="str">
            <v>HTA7485</v>
          </cell>
          <cell r="D4212" t="str">
            <v>HTA7485</v>
          </cell>
        </row>
        <row r="4213">
          <cell r="C4213" t="str">
            <v>HTA9C98</v>
          </cell>
          <cell r="D4213" t="str">
            <v>HTA9C98</v>
          </cell>
        </row>
        <row r="4214">
          <cell r="C4214" t="str">
            <v>HTC 0507</v>
          </cell>
          <cell r="D4214" t="str">
            <v>HTC0507</v>
          </cell>
        </row>
        <row r="4215">
          <cell r="C4215" t="str">
            <v>HTC1782</v>
          </cell>
          <cell r="D4215" t="str">
            <v>HTC1782</v>
          </cell>
        </row>
        <row r="4216">
          <cell r="C4216" t="str">
            <v>HTC7264</v>
          </cell>
          <cell r="D4216" t="str">
            <v>HTC7264</v>
          </cell>
        </row>
        <row r="4217">
          <cell r="C4217" t="str">
            <v>HTC0582</v>
          </cell>
          <cell r="D4217" t="str">
            <v>HTC0582</v>
          </cell>
        </row>
        <row r="4218">
          <cell r="C4218" t="str">
            <v>HTC0623</v>
          </cell>
          <cell r="D4218" t="str">
            <v>HTC0623</v>
          </cell>
        </row>
        <row r="4219">
          <cell r="C4219" t="str">
            <v>HTC1466</v>
          </cell>
          <cell r="D4219" t="str">
            <v>HTC1466</v>
          </cell>
        </row>
        <row r="4220">
          <cell r="C4220" t="str">
            <v>HTC1952</v>
          </cell>
          <cell r="D4220" t="str">
            <v>HTC1952</v>
          </cell>
        </row>
        <row r="4221">
          <cell r="C4221" t="str">
            <v>HTC5157</v>
          </cell>
          <cell r="D4221" t="str">
            <v>HTC5157</v>
          </cell>
        </row>
        <row r="4222">
          <cell r="C4222" t="str">
            <v>HTC5873</v>
          </cell>
          <cell r="D4222" t="str">
            <v>HTC5873</v>
          </cell>
        </row>
        <row r="4223">
          <cell r="C4223" t="str">
            <v>HTC5I73</v>
          </cell>
          <cell r="D4223" t="str">
            <v>HTC5I73</v>
          </cell>
        </row>
        <row r="4224">
          <cell r="C4224" t="str">
            <v>HTC6030</v>
          </cell>
          <cell r="D4224" t="str">
            <v>HTC6030</v>
          </cell>
        </row>
        <row r="4225">
          <cell r="C4225" t="str">
            <v>HTC6062</v>
          </cell>
          <cell r="D4225" t="str">
            <v>HTC6062</v>
          </cell>
        </row>
        <row r="4226">
          <cell r="C4226" t="str">
            <v>HTC6115</v>
          </cell>
          <cell r="D4226" t="str">
            <v>HTC6115</v>
          </cell>
        </row>
        <row r="4227">
          <cell r="C4227" t="str">
            <v>HTC6139</v>
          </cell>
          <cell r="D4227" t="str">
            <v>HTC6139</v>
          </cell>
        </row>
        <row r="4228">
          <cell r="C4228" t="str">
            <v>HTC6441</v>
          </cell>
          <cell r="D4228" t="str">
            <v>HTC6441</v>
          </cell>
        </row>
        <row r="4229">
          <cell r="C4229" t="str">
            <v>HTC6523</v>
          </cell>
          <cell r="D4229" t="str">
            <v>HTC6523</v>
          </cell>
        </row>
        <row r="4230">
          <cell r="C4230" t="str">
            <v>HTC6724</v>
          </cell>
          <cell r="D4230" t="str">
            <v>HTC6724</v>
          </cell>
        </row>
        <row r="4231">
          <cell r="C4231" t="str">
            <v>HTC6758</v>
          </cell>
          <cell r="D4231" t="str">
            <v>HTC6758</v>
          </cell>
        </row>
        <row r="4232">
          <cell r="C4232" t="str">
            <v>HTC6811</v>
          </cell>
          <cell r="D4232" t="str">
            <v>HTC6811</v>
          </cell>
        </row>
        <row r="4233">
          <cell r="C4233" t="str">
            <v>HTC6821</v>
          </cell>
          <cell r="D4233" t="str">
            <v>HTC6821</v>
          </cell>
        </row>
        <row r="4234">
          <cell r="C4234" t="str">
            <v>HTC6858</v>
          </cell>
          <cell r="D4234" t="str">
            <v>HTC6858</v>
          </cell>
        </row>
        <row r="4235">
          <cell r="C4235" t="str">
            <v>HTC6I21</v>
          </cell>
          <cell r="D4235" t="str">
            <v>HTC6I21</v>
          </cell>
        </row>
        <row r="4236">
          <cell r="C4236" t="str">
            <v>HTC7423</v>
          </cell>
          <cell r="D4236" t="str">
            <v>HTC7423</v>
          </cell>
        </row>
        <row r="4237">
          <cell r="C4237" t="str">
            <v>HTC7I34</v>
          </cell>
          <cell r="D4237" t="str">
            <v>HTC7I34</v>
          </cell>
        </row>
        <row r="4238">
          <cell r="C4238" t="str">
            <v>HTC8860</v>
          </cell>
          <cell r="D4238" t="str">
            <v>HTC8860</v>
          </cell>
        </row>
        <row r="4239">
          <cell r="C4239" t="str">
            <v>HTC9B02</v>
          </cell>
          <cell r="D4239" t="str">
            <v>HTC9B02</v>
          </cell>
        </row>
        <row r="4240">
          <cell r="C4240" t="str">
            <v>HTD 8858</v>
          </cell>
          <cell r="D4240" t="str">
            <v>HTD 885</v>
          </cell>
        </row>
        <row r="4241">
          <cell r="C4241" t="str">
            <v>HTD8618</v>
          </cell>
          <cell r="D4241" t="str">
            <v>HTD8618</v>
          </cell>
        </row>
        <row r="4242">
          <cell r="C4242" t="str">
            <v>HTD9966</v>
          </cell>
          <cell r="D4242" t="str">
            <v>HTD9966</v>
          </cell>
        </row>
        <row r="4243">
          <cell r="C4243" t="str">
            <v>HTD0623</v>
          </cell>
          <cell r="D4243" t="str">
            <v>HTD0623</v>
          </cell>
        </row>
        <row r="4244">
          <cell r="C4244" t="str">
            <v>HTD2314</v>
          </cell>
          <cell r="D4244" t="str">
            <v>HTD2314</v>
          </cell>
        </row>
        <row r="4245">
          <cell r="C4245" t="str">
            <v>HTD5565</v>
          </cell>
          <cell r="D4245" t="str">
            <v>HTD5565</v>
          </cell>
        </row>
        <row r="4246">
          <cell r="C4246" t="str">
            <v>HTD7623</v>
          </cell>
          <cell r="D4246" t="str">
            <v>HTD7623</v>
          </cell>
        </row>
        <row r="4247">
          <cell r="C4247" t="str">
            <v>HTD7684</v>
          </cell>
          <cell r="D4247" t="str">
            <v>HTD7684</v>
          </cell>
        </row>
        <row r="4248">
          <cell r="C4248" t="str">
            <v>HTD8421</v>
          </cell>
          <cell r="D4248" t="str">
            <v>HTD8421</v>
          </cell>
        </row>
        <row r="4249">
          <cell r="C4249" t="str">
            <v>HTD8653</v>
          </cell>
          <cell r="D4249" t="str">
            <v>HTD8653</v>
          </cell>
        </row>
        <row r="4250">
          <cell r="C4250" t="str">
            <v>HTD8744</v>
          </cell>
          <cell r="D4250" t="str">
            <v>HTD8744</v>
          </cell>
        </row>
        <row r="4251">
          <cell r="C4251" t="str">
            <v>HTD8858</v>
          </cell>
          <cell r="D4251" t="str">
            <v>HTD8858</v>
          </cell>
        </row>
        <row r="4252">
          <cell r="C4252" t="str">
            <v>HTD9132</v>
          </cell>
          <cell r="D4252" t="str">
            <v>HTD9132</v>
          </cell>
        </row>
        <row r="4253">
          <cell r="C4253" t="str">
            <v>HTD9446</v>
          </cell>
          <cell r="D4253" t="str">
            <v>HTD9446</v>
          </cell>
        </row>
        <row r="4254">
          <cell r="C4254" t="str">
            <v>HTE3I91</v>
          </cell>
          <cell r="D4254" t="str">
            <v>HTE3I91</v>
          </cell>
        </row>
        <row r="4255">
          <cell r="C4255" t="str">
            <v>HTF0046</v>
          </cell>
          <cell r="D4255" t="str">
            <v>HTF0046</v>
          </cell>
        </row>
        <row r="4256">
          <cell r="C4256" t="str">
            <v>HTF7004</v>
          </cell>
          <cell r="D4256" t="str">
            <v>HTF7004</v>
          </cell>
        </row>
        <row r="4257">
          <cell r="C4257" t="str">
            <v>HTF7171</v>
          </cell>
          <cell r="D4257" t="str">
            <v>HTF7171</v>
          </cell>
        </row>
        <row r="4258">
          <cell r="C4258" t="str">
            <v>HTF9107</v>
          </cell>
          <cell r="D4258" t="str">
            <v>HTF9107</v>
          </cell>
        </row>
        <row r="4259">
          <cell r="C4259" t="str">
            <v>HTF9125</v>
          </cell>
          <cell r="D4259" t="str">
            <v>HTF9125</v>
          </cell>
        </row>
        <row r="4260">
          <cell r="C4260" t="str">
            <v>HTG1754</v>
          </cell>
          <cell r="D4260" t="str">
            <v>HTG1754</v>
          </cell>
        </row>
        <row r="4261">
          <cell r="C4261" t="str">
            <v>HTG0686</v>
          </cell>
          <cell r="D4261" t="str">
            <v>HTG0686</v>
          </cell>
        </row>
        <row r="4262">
          <cell r="C4262" t="str">
            <v>HTG0807</v>
          </cell>
          <cell r="D4262" t="str">
            <v>HTG0807</v>
          </cell>
        </row>
        <row r="4263">
          <cell r="C4263" t="str">
            <v>HTG0858</v>
          </cell>
          <cell r="D4263" t="str">
            <v>HTG0858</v>
          </cell>
        </row>
        <row r="4264">
          <cell r="C4264" t="str">
            <v>HTG1365</v>
          </cell>
          <cell r="D4264" t="str">
            <v>HTG1365</v>
          </cell>
        </row>
        <row r="4265">
          <cell r="C4265" t="str">
            <v>HTG1937</v>
          </cell>
          <cell r="D4265" t="str">
            <v>HTG1937</v>
          </cell>
        </row>
        <row r="4266">
          <cell r="C4266" t="str">
            <v>HTG2717</v>
          </cell>
          <cell r="D4266" t="str">
            <v>HTG2717</v>
          </cell>
        </row>
        <row r="4267">
          <cell r="C4267" t="str">
            <v>HTG3442</v>
          </cell>
          <cell r="D4267" t="str">
            <v>HTG3442</v>
          </cell>
        </row>
        <row r="4268">
          <cell r="C4268" t="str">
            <v>HTG5437</v>
          </cell>
          <cell r="D4268" t="str">
            <v>HTG5437</v>
          </cell>
        </row>
        <row r="4269">
          <cell r="C4269" t="str">
            <v>HTG5599</v>
          </cell>
          <cell r="D4269" t="str">
            <v>HTG5599</v>
          </cell>
        </row>
        <row r="4270">
          <cell r="C4270" t="str">
            <v>HTG5J30</v>
          </cell>
          <cell r="D4270" t="str">
            <v>HTG5J30</v>
          </cell>
        </row>
        <row r="4271">
          <cell r="C4271" t="str">
            <v>HTG9876</v>
          </cell>
          <cell r="D4271" t="str">
            <v>HTG9876</v>
          </cell>
        </row>
        <row r="4272">
          <cell r="C4272" t="str">
            <v>HTI 3471</v>
          </cell>
          <cell r="D4272" t="str">
            <v>HTI3471</v>
          </cell>
        </row>
        <row r="4273">
          <cell r="C4273" t="str">
            <v>HTI1398</v>
          </cell>
          <cell r="D4273" t="str">
            <v>HTI1398</v>
          </cell>
        </row>
        <row r="4274">
          <cell r="C4274" t="str">
            <v>HTI2607</v>
          </cell>
          <cell r="D4274" t="str">
            <v>HTI2607</v>
          </cell>
        </row>
        <row r="4275">
          <cell r="C4275" t="str">
            <v>HTI5650</v>
          </cell>
          <cell r="D4275" t="str">
            <v>HTI5650</v>
          </cell>
        </row>
        <row r="4276">
          <cell r="C4276" t="str">
            <v>HTI6664</v>
          </cell>
          <cell r="D4276" t="str">
            <v>HTI6664</v>
          </cell>
        </row>
        <row r="4277">
          <cell r="C4277" t="str">
            <v>HTI7241</v>
          </cell>
          <cell r="D4277" t="str">
            <v>HTI7241</v>
          </cell>
        </row>
        <row r="4278">
          <cell r="C4278" t="str">
            <v>HTI9790</v>
          </cell>
          <cell r="D4278" t="str">
            <v>HTI9790</v>
          </cell>
        </row>
        <row r="4279">
          <cell r="C4279" t="str">
            <v>HTJ2562</v>
          </cell>
          <cell r="D4279" t="str">
            <v>HTJ2562</v>
          </cell>
        </row>
        <row r="4280">
          <cell r="C4280" t="str">
            <v>HTJ2779</v>
          </cell>
          <cell r="D4280" t="str">
            <v>HTJ2779</v>
          </cell>
        </row>
        <row r="4281">
          <cell r="C4281" t="str">
            <v>HTJ3165</v>
          </cell>
          <cell r="D4281" t="str">
            <v>HTJ3165</v>
          </cell>
        </row>
        <row r="4282">
          <cell r="C4282" t="str">
            <v>HTJ6710</v>
          </cell>
          <cell r="D4282" t="str">
            <v>HTJ6710</v>
          </cell>
        </row>
        <row r="4283">
          <cell r="C4283" t="str">
            <v>HTJ7130</v>
          </cell>
          <cell r="D4283" t="str">
            <v>HTJ7130</v>
          </cell>
        </row>
        <row r="4284">
          <cell r="C4284" t="str">
            <v>HTJ8037</v>
          </cell>
          <cell r="D4284" t="str">
            <v>HTJ8037</v>
          </cell>
        </row>
        <row r="4285">
          <cell r="C4285" t="str">
            <v>HTJ9F95</v>
          </cell>
          <cell r="D4285" t="str">
            <v>HTJ9F95</v>
          </cell>
        </row>
        <row r="4286">
          <cell r="C4286" t="str">
            <v>HTL6285</v>
          </cell>
          <cell r="D4286" t="str">
            <v>HTL6285</v>
          </cell>
        </row>
        <row r="4287">
          <cell r="C4287" t="str">
            <v>HTM6275</v>
          </cell>
          <cell r="D4287" t="str">
            <v>HTM6275</v>
          </cell>
        </row>
        <row r="4288">
          <cell r="C4288" t="str">
            <v>HTM9786</v>
          </cell>
          <cell r="D4288" t="str">
            <v>HTM9786</v>
          </cell>
        </row>
        <row r="4289">
          <cell r="C4289" t="str">
            <v>HTN1682</v>
          </cell>
          <cell r="D4289" t="str">
            <v>HTN1682</v>
          </cell>
        </row>
        <row r="4290">
          <cell r="C4290" t="str">
            <v>HTN2065</v>
          </cell>
          <cell r="D4290" t="str">
            <v>HTN2065</v>
          </cell>
        </row>
        <row r="4291">
          <cell r="C4291" t="str">
            <v>HTN4709</v>
          </cell>
          <cell r="D4291" t="str">
            <v>HTN4709</v>
          </cell>
        </row>
        <row r="4292">
          <cell r="C4292" t="str">
            <v>HTN5150</v>
          </cell>
          <cell r="D4292" t="str">
            <v>HTN5150</v>
          </cell>
        </row>
        <row r="4293">
          <cell r="C4293" t="str">
            <v>HTN5579</v>
          </cell>
          <cell r="D4293" t="str">
            <v>HTN5579</v>
          </cell>
        </row>
        <row r="4294">
          <cell r="C4294" t="str">
            <v>HTN5675</v>
          </cell>
          <cell r="D4294" t="str">
            <v>HTN5675</v>
          </cell>
        </row>
        <row r="4295">
          <cell r="C4295" t="str">
            <v>HTN5761</v>
          </cell>
          <cell r="D4295" t="str">
            <v>HTN5761</v>
          </cell>
        </row>
        <row r="4296">
          <cell r="C4296" t="str">
            <v>HTN6051</v>
          </cell>
          <cell r="D4296" t="str">
            <v>HTN6051</v>
          </cell>
        </row>
        <row r="4297">
          <cell r="C4297" t="str">
            <v>HTN6092</v>
          </cell>
          <cell r="D4297" t="str">
            <v>HTN6092</v>
          </cell>
        </row>
        <row r="4298">
          <cell r="C4298" t="str">
            <v>HTN6103</v>
          </cell>
          <cell r="D4298" t="str">
            <v>HTN6103</v>
          </cell>
        </row>
        <row r="4299">
          <cell r="C4299" t="str">
            <v>HTN6267</v>
          </cell>
          <cell r="D4299" t="str">
            <v>HTN6267</v>
          </cell>
        </row>
        <row r="4300">
          <cell r="C4300" t="str">
            <v>HTN6285</v>
          </cell>
          <cell r="D4300" t="str">
            <v>HTN6285</v>
          </cell>
        </row>
        <row r="4301">
          <cell r="C4301" t="str">
            <v>HTN8115</v>
          </cell>
          <cell r="D4301" t="str">
            <v>HTN8115</v>
          </cell>
        </row>
        <row r="4302">
          <cell r="C4302" t="str">
            <v>HTN8701</v>
          </cell>
          <cell r="D4302" t="str">
            <v>HTN8701</v>
          </cell>
        </row>
        <row r="4303">
          <cell r="C4303" t="str">
            <v>HTN9639</v>
          </cell>
          <cell r="D4303" t="str">
            <v>HTN9639</v>
          </cell>
        </row>
        <row r="4304">
          <cell r="C4304" t="str">
            <v>HTO6579</v>
          </cell>
          <cell r="D4304" t="str">
            <v>HTO6579</v>
          </cell>
        </row>
        <row r="4305">
          <cell r="C4305" t="str">
            <v>HTO6J88</v>
          </cell>
          <cell r="D4305" t="str">
            <v>HTO6J88</v>
          </cell>
        </row>
        <row r="4306">
          <cell r="C4306" t="str">
            <v>HTO1823</v>
          </cell>
          <cell r="D4306" t="str">
            <v>HTO1823</v>
          </cell>
        </row>
        <row r="4307">
          <cell r="C4307" t="str">
            <v>HTO6641</v>
          </cell>
          <cell r="D4307" t="str">
            <v>HTO6641</v>
          </cell>
        </row>
        <row r="4308">
          <cell r="C4308" t="str">
            <v>HTO7041</v>
          </cell>
          <cell r="D4308" t="str">
            <v>HTO7041</v>
          </cell>
        </row>
        <row r="4309">
          <cell r="C4309" t="str">
            <v>HTO7373</v>
          </cell>
          <cell r="D4309" t="str">
            <v>HTO7373</v>
          </cell>
        </row>
        <row r="4310">
          <cell r="C4310" t="str">
            <v>HTP 0062</v>
          </cell>
          <cell r="D4310" t="str">
            <v>HTP0062</v>
          </cell>
        </row>
        <row r="4311">
          <cell r="C4311" t="str">
            <v>HTP2689</v>
          </cell>
          <cell r="D4311" t="str">
            <v>HTP2689</v>
          </cell>
        </row>
        <row r="4312">
          <cell r="C4312" t="str">
            <v>HTP0137</v>
          </cell>
          <cell r="D4312" t="str">
            <v>HTP0137</v>
          </cell>
        </row>
        <row r="4313">
          <cell r="C4313" t="str">
            <v>HTP0138</v>
          </cell>
          <cell r="D4313" t="str">
            <v>HTP0138</v>
          </cell>
        </row>
        <row r="4314">
          <cell r="C4314" t="str">
            <v>HTP0146</v>
          </cell>
          <cell r="D4314" t="str">
            <v>HTP0146</v>
          </cell>
        </row>
        <row r="4315">
          <cell r="C4315" t="str">
            <v>HTP0875</v>
          </cell>
          <cell r="D4315" t="str">
            <v>HTP0875</v>
          </cell>
        </row>
        <row r="4316">
          <cell r="C4316" t="str">
            <v>HTP0966</v>
          </cell>
          <cell r="D4316" t="str">
            <v>HTP0966</v>
          </cell>
        </row>
        <row r="4317">
          <cell r="C4317" t="str">
            <v>HTP0B80</v>
          </cell>
          <cell r="D4317" t="str">
            <v>HTP0B80</v>
          </cell>
        </row>
        <row r="4318">
          <cell r="C4318" t="str">
            <v>HTP2851</v>
          </cell>
          <cell r="D4318" t="str">
            <v>HTP2851</v>
          </cell>
        </row>
        <row r="4319">
          <cell r="C4319" t="str">
            <v>HTP2902</v>
          </cell>
          <cell r="D4319" t="str">
            <v>HTP2902</v>
          </cell>
        </row>
        <row r="4320">
          <cell r="C4320" t="str">
            <v>HTP2919</v>
          </cell>
          <cell r="D4320" t="str">
            <v>HTP2919</v>
          </cell>
        </row>
        <row r="4321">
          <cell r="C4321" t="str">
            <v>HTP2927</v>
          </cell>
          <cell r="D4321" t="str">
            <v>HTP2927</v>
          </cell>
        </row>
        <row r="4322">
          <cell r="C4322" t="str">
            <v>HTP2I49</v>
          </cell>
          <cell r="D4322" t="str">
            <v>HTP2I49</v>
          </cell>
        </row>
        <row r="4323">
          <cell r="C4323" t="str">
            <v>HTP3683</v>
          </cell>
          <cell r="D4323" t="str">
            <v>HTP3683</v>
          </cell>
        </row>
        <row r="4324">
          <cell r="C4324" t="str">
            <v>HTP6005</v>
          </cell>
          <cell r="D4324" t="str">
            <v>HTP6005</v>
          </cell>
        </row>
        <row r="4325">
          <cell r="C4325" t="str">
            <v>HTP7814</v>
          </cell>
          <cell r="D4325" t="str">
            <v>HTP7814</v>
          </cell>
        </row>
        <row r="4326">
          <cell r="C4326" t="str">
            <v>HTP7852</v>
          </cell>
          <cell r="D4326" t="str">
            <v>HTP7852</v>
          </cell>
        </row>
        <row r="4327">
          <cell r="C4327" t="str">
            <v>HTP7896</v>
          </cell>
          <cell r="D4327" t="str">
            <v>HTP7896</v>
          </cell>
        </row>
        <row r="4328">
          <cell r="C4328" t="str">
            <v>HTP9H24</v>
          </cell>
          <cell r="D4328" t="str">
            <v>HTP9H24</v>
          </cell>
        </row>
        <row r="4329">
          <cell r="C4329" t="str">
            <v>HTP9H25</v>
          </cell>
          <cell r="D4329" t="str">
            <v>HTP9H25</v>
          </cell>
        </row>
        <row r="4330">
          <cell r="C4330" t="str">
            <v>HTQ6502</v>
          </cell>
          <cell r="D4330" t="str">
            <v>HTQ6502</v>
          </cell>
        </row>
        <row r="4331">
          <cell r="C4331" t="str">
            <v>HTQ0003</v>
          </cell>
          <cell r="D4331" t="str">
            <v>HTQ0003</v>
          </cell>
        </row>
        <row r="4332">
          <cell r="C4332" t="str">
            <v>HTQ2714</v>
          </cell>
          <cell r="D4332" t="str">
            <v>HTQ2714</v>
          </cell>
        </row>
        <row r="4333">
          <cell r="C4333" t="str">
            <v>HTQ2B72</v>
          </cell>
          <cell r="D4333" t="str">
            <v>HTQ2B72</v>
          </cell>
        </row>
        <row r="4334">
          <cell r="C4334" t="str">
            <v>HTQ3575</v>
          </cell>
          <cell r="D4334" t="str">
            <v>HTQ3575</v>
          </cell>
        </row>
        <row r="4335">
          <cell r="C4335" t="str">
            <v>HTQ4123</v>
          </cell>
          <cell r="D4335" t="str">
            <v>HTQ4123</v>
          </cell>
        </row>
        <row r="4336">
          <cell r="C4336" t="str">
            <v>HTQ5J24</v>
          </cell>
          <cell r="D4336" t="str">
            <v>HTQ5J24</v>
          </cell>
        </row>
        <row r="4337">
          <cell r="C4337" t="str">
            <v>HTQ8186</v>
          </cell>
          <cell r="D4337" t="str">
            <v>HTQ8186</v>
          </cell>
        </row>
        <row r="4338">
          <cell r="C4338" t="str">
            <v>HTQ8433</v>
          </cell>
          <cell r="D4338" t="str">
            <v>HTQ8433</v>
          </cell>
        </row>
        <row r="4339">
          <cell r="C4339" t="str">
            <v>HTS2D41</v>
          </cell>
          <cell r="D4339" t="str">
            <v>HTS2D41</v>
          </cell>
        </row>
        <row r="4340">
          <cell r="C4340" t="str">
            <v>HTS2D42</v>
          </cell>
          <cell r="D4340" t="str">
            <v>HTS2D42</v>
          </cell>
        </row>
        <row r="4341">
          <cell r="C4341" t="str">
            <v>HTS2D54</v>
          </cell>
          <cell r="D4341" t="str">
            <v>HTS2D54</v>
          </cell>
        </row>
        <row r="4342">
          <cell r="C4342" t="str">
            <v>HTS2F72</v>
          </cell>
          <cell r="D4342" t="str">
            <v>HTS2F72</v>
          </cell>
        </row>
        <row r="4343">
          <cell r="C4343" t="str">
            <v>HTS1131</v>
          </cell>
          <cell r="D4343" t="str">
            <v>HTS1131</v>
          </cell>
        </row>
        <row r="4344">
          <cell r="C4344" t="str">
            <v>HTS1342</v>
          </cell>
          <cell r="D4344" t="str">
            <v>HTS1342</v>
          </cell>
        </row>
        <row r="4345">
          <cell r="C4345" t="str">
            <v>HTS1364</v>
          </cell>
          <cell r="D4345" t="str">
            <v>HTS1364</v>
          </cell>
        </row>
        <row r="4346">
          <cell r="C4346" t="str">
            <v>HTS2333</v>
          </cell>
          <cell r="D4346" t="str">
            <v>HTS2333</v>
          </cell>
        </row>
        <row r="4347">
          <cell r="C4347" t="str">
            <v>HTS5108</v>
          </cell>
          <cell r="D4347" t="str">
            <v>HTS5108</v>
          </cell>
        </row>
        <row r="4348">
          <cell r="C4348" t="str">
            <v>HTS6517</v>
          </cell>
          <cell r="D4348" t="str">
            <v>HTS6517</v>
          </cell>
        </row>
        <row r="4349">
          <cell r="C4349" t="str">
            <v>HTS7132</v>
          </cell>
          <cell r="D4349" t="str">
            <v>HTS7132</v>
          </cell>
        </row>
        <row r="4350">
          <cell r="C4350" t="str">
            <v>HTS7930</v>
          </cell>
          <cell r="D4350" t="str">
            <v>HTS7930</v>
          </cell>
        </row>
        <row r="4351">
          <cell r="C4351" t="str">
            <v>HTS7995</v>
          </cell>
          <cell r="D4351" t="str">
            <v>HTS7995</v>
          </cell>
        </row>
        <row r="4352">
          <cell r="C4352" t="str">
            <v>HTS7J30</v>
          </cell>
          <cell r="D4352" t="str">
            <v>HTS7J30</v>
          </cell>
        </row>
        <row r="4353">
          <cell r="C4353" t="str">
            <v>HTS8531</v>
          </cell>
          <cell r="D4353" t="str">
            <v>HTS8531</v>
          </cell>
        </row>
        <row r="4354">
          <cell r="C4354" t="str">
            <v>HTS8681</v>
          </cell>
          <cell r="D4354" t="str">
            <v>HTS8681</v>
          </cell>
        </row>
        <row r="4355">
          <cell r="C4355" t="str">
            <v>HTS8943</v>
          </cell>
          <cell r="D4355" t="str">
            <v>HTS8943</v>
          </cell>
        </row>
        <row r="4356">
          <cell r="C4356" t="str">
            <v>HTS8981</v>
          </cell>
          <cell r="D4356" t="str">
            <v>HTS8981</v>
          </cell>
        </row>
        <row r="4357">
          <cell r="C4357" t="str">
            <v>HTS8J26</v>
          </cell>
          <cell r="D4357" t="str">
            <v>HTS8J26</v>
          </cell>
        </row>
        <row r="4358">
          <cell r="C4358" t="str">
            <v>HTS9136</v>
          </cell>
          <cell r="D4358" t="str">
            <v>HTS9136</v>
          </cell>
        </row>
        <row r="4359">
          <cell r="C4359" t="str">
            <v>HTT2334</v>
          </cell>
          <cell r="D4359" t="str">
            <v>HTT2334</v>
          </cell>
        </row>
        <row r="4360">
          <cell r="C4360" t="str">
            <v>HTT0137</v>
          </cell>
          <cell r="D4360" t="str">
            <v>HTT0137</v>
          </cell>
        </row>
        <row r="4361">
          <cell r="C4361" t="str">
            <v>HTT0422</v>
          </cell>
          <cell r="D4361" t="str">
            <v>HTT0422</v>
          </cell>
        </row>
        <row r="4362">
          <cell r="C4362" t="str">
            <v>HTT0843</v>
          </cell>
          <cell r="D4362" t="str">
            <v>HTT0843</v>
          </cell>
        </row>
        <row r="4363">
          <cell r="C4363" t="str">
            <v>HTT2028</v>
          </cell>
          <cell r="D4363" t="str">
            <v>HTT2028</v>
          </cell>
        </row>
        <row r="4364">
          <cell r="C4364" t="str">
            <v>HTT2223</v>
          </cell>
          <cell r="D4364" t="str">
            <v>HTT2223</v>
          </cell>
        </row>
        <row r="4365">
          <cell r="C4365" t="str">
            <v>HTT2309</v>
          </cell>
          <cell r="D4365" t="str">
            <v>HTT2309</v>
          </cell>
        </row>
        <row r="4366">
          <cell r="C4366" t="str">
            <v>HTT2369</v>
          </cell>
          <cell r="D4366" t="str">
            <v>HTT2369</v>
          </cell>
        </row>
        <row r="4367">
          <cell r="C4367" t="str">
            <v>HTT2518</v>
          </cell>
          <cell r="D4367" t="str">
            <v>HTT2518</v>
          </cell>
        </row>
        <row r="4368">
          <cell r="C4368" t="str">
            <v>HTT2648</v>
          </cell>
          <cell r="D4368" t="str">
            <v>HTT2648</v>
          </cell>
        </row>
        <row r="4369">
          <cell r="C4369" t="str">
            <v>HTT2972</v>
          </cell>
          <cell r="D4369" t="str">
            <v>HTT2972</v>
          </cell>
        </row>
        <row r="4370">
          <cell r="C4370" t="str">
            <v>HTT3017</v>
          </cell>
          <cell r="D4370" t="str">
            <v>HTT3017</v>
          </cell>
        </row>
        <row r="4371">
          <cell r="C4371" t="str">
            <v>HTT3401</v>
          </cell>
          <cell r="D4371" t="str">
            <v>HTT3401</v>
          </cell>
        </row>
        <row r="4372">
          <cell r="C4372" t="str">
            <v>HTT3463</v>
          </cell>
          <cell r="D4372" t="str">
            <v>HTT3463</v>
          </cell>
        </row>
        <row r="4373">
          <cell r="C4373" t="str">
            <v>HTT3715</v>
          </cell>
          <cell r="D4373" t="str">
            <v>HTT3715</v>
          </cell>
        </row>
        <row r="4374">
          <cell r="C4374" t="str">
            <v>HTT3789</v>
          </cell>
          <cell r="D4374" t="str">
            <v>HTT3789</v>
          </cell>
        </row>
        <row r="4375">
          <cell r="C4375" t="str">
            <v>HTT3972</v>
          </cell>
          <cell r="D4375" t="str">
            <v>HTT3972</v>
          </cell>
        </row>
        <row r="4376">
          <cell r="C4376" t="str">
            <v>HTT3B02</v>
          </cell>
          <cell r="D4376" t="str">
            <v>HTT3B02</v>
          </cell>
        </row>
        <row r="4377">
          <cell r="C4377" t="str">
            <v>HTT3I43</v>
          </cell>
          <cell r="D4377" t="str">
            <v>HTT3I43</v>
          </cell>
        </row>
        <row r="4378">
          <cell r="C4378" t="str">
            <v>HTT4409</v>
          </cell>
          <cell r="D4378" t="str">
            <v>HTT4409</v>
          </cell>
        </row>
        <row r="4379">
          <cell r="C4379" t="str">
            <v>HTT4718</v>
          </cell>
          <cell r="D4379" t="str">
            <v>HTT4718</v>
          </cell>
        </row>
        <row r="4380">
          <cell r="C4380" t="str">
            <v>HTT4755</v>
          </cell>
          <cell r="D4380" t="str">
            <v>HTT4755</v>
          </cell>
        </row>
        <row r="4381">
          <cell r="C4381" t="str">
            <v>HTT5698</v>
          </cell>
          <cell r="D4381" t="str">
            <v>HTT5698</v>
          </cell>
        </row>
        <row r="4382">
          <cell r="C4382" t="str">
            <v>HTT5733</v>
          </cell>
          <cell r="D4382" t="str">
            <v>HTT5733</v>
          </cell>
        </row>
        <row r="4383">
          <cell r="C4383" t="str">
            <v>HTT5G43</v>
          </cell>
          <cell r="D4383" t="str">
            <v>HTT5G43</v>
          </cell>
        </row>
        <row r="4384">
          <cell r="C4384" t="str">
            <v>HTV4789</v>
          </cell>
          <cell r="D4384" t="str">
            <v>HTV4789</v>
          </cell>
        </row>
        <row r="4385">
          <cell r="C4385" t="str">
            <v>HTV0196</v>
          </cell>
          <cell r="D4385" t="str">
            <v>HTV0196</v>
          </cell>
        </row>
        <row r="4386">
          <cell r="C4386" t="str">
            <v>HTV1H61</v>
          </cell>
          <cell r="D4386" t="str">
            <v>HTV1H61</v>
          </cell>
        </row>
        <row r="4387">
          <cell r="C4387" t="str">
            <v>HTV2095</v>
          </cell>
          <cell r="D4387" t="str">
            <v>HTV2095</v>
          </cell>
        </row>
        <row r="4388">
          <cell r="C4388" t="str">
            <v>HTV6223</v>
          </cell>
          <cell r="D4388" t="str">
            <v>HTV6223</v>
          </cell>
        </row>
        <row r="4389">
          <cell r="C4389" t="str">
            <v>HTV6656</v>
          </cell>
          <cell r="D4389" t="str">
            <v>HTV6656</v>
          </cell>
        </row>
        <row r="4390">
          <cell r="C4390" t="str">
            <v>HTV7451</v>
          </cell>
          <cell r="D4390" t="str">
            <v>HTV7451</v>
          </cell>
        </row>
        <row r="4391">
          <cell r="C4391" t="str">
            <v>HTV7I06</v>
          </cell>
          <cell r="D4391" t="str">
            <v>HTV7I06</v>
          </cell>
        </row>
        <row r="4392">
          <cell r="C4392" t="str">
            <v>HTV8660</v>
          </cell>
          <cell r="D4392" t="str">
            <v>HTV8660</v>
          </cell>
        </row>
        <row r="4393">
          <cell r="C4393" t="str">
            <v>HTV9I98</v>
          </cell>
          <cell r="D4393" t="str">
            <v>HTV9I98</v>
          </cell>
        </row>
        <row r="4394">
          <cell r="C4394" t="str">
            <v>HTZ4434</v>
          </cell>
          <cell r="D4394" t="str">
            <v>HTZ4434</v>
          </cell>
        </row>
        <row r="4395">
          <cell r="C4395" t="str">
            <v>HUB0901</v>
          </cell>
          <cell r="D4395" t="str">
            <v>HUB0901</v>
          </cell>
        </row>
        <row r="4396">
          <cell r="C4396" t="str">
            <v>HUJ6538</v>
          </cell>
          <cell r="D4396" t="str">
            <v>HUJ6538</v>
          </cell>
        </row>
        <row r="4397">
          <cell r="C4397" t="str">
            <v>HUM2189</v>
          </cell>
          <cell r="D4397" t="str">
            <v>HUM2189</v>
          </cell>
        </row>
        <row r="4398">
          <cell r="C4398" t="str">
            <v>HUT4042</v>
          </cell>
          <cell r="D4398" t="str">
            <v>HUT4042</v>
          </cell>
        </row>
        <row r="4399">
          <cell r="C4399" t="str">
            <v>HVJ6258</v>
          </cell>
          <cell r="D4399" t="str">
            <v>HVJ6258</v>
          </cell>
        </row>
        <row r="4400">
          <cell r="C4400" t="str">
            <v>HWE7714</v>
          </cell>
          <cell r="D4400" t="str">
            <v>HWE7714</v>
          </cell>
        </row>
        <row r="4401">
          <cell r="C4401" t="str">
            <v>HWI5G42</v>
          </cell>
          <cell r="D4401" t="str">
            <v>HWI5G42</v>
          </cell>
        </row>
        <row r="4402">
          <cell r="C4402" t="str">
            <v>HXW0002</v>
          </cell>
          <cell r="D4402" t="str">
            <v>HXW0002</v>
          </cell>
        </row>
        <row r="4403">
          <cell r="C4403" t="str">
            <v>HZB0314</v>
          </cell>
          <cell r="D4403" t="str">
            <v>HZB0314</v>
          </cell>
        </row>
        <row r="4404">
          <cell r="C4404" t="str">
            <v>HZH7894</v>
          </cell>
          <cell r="D4404" t="str">
            <v>HZH7894</v>
          </cell>
        </row>
        <row r="4405">
          <cell r="C4405" t="str">
            <v>GDS7F95</v>
          </cell>
          <cell r="D4405" t="str">
            <v>GDS7F95</v>
          </cell>
        </row>
        <row r="4406">
          <cell r="C4406" t="str">
            <v>IAQ9537</v>
          </cell>
          <cell r="D4406" t="str">
            <v>IAQ9537</v>
          </cell>
        </row>
        <row r="4407">
          <cell r="C4407" t="str">
            <v>IBM0846</v>
          </cell>
          <cell r="D4407" t="str">
            <v>IBM0846</v>
          </cell>
        </row>
        <row r="4408">
          <cell r="C4408" t="str">
            <v>IBM8181</v>
          </cell>
          <cell r="D4408" t="str">
            <v>IBM8181</v>
          </cell>
        </row>
        <row r="4409">
          <cell r="C4409" t="str">
            <v>IBR0609</v>
          </cell>
          <cell r="D4409" t="str">
            <v>IBR0609</v>
          </cell>
        </row>
        <row r="4410">
          <cell r="C4410" t="str">
            <v>IBR4756</v>
          </cell>
          <cell r="D4410" t="str">
            <v>IBR4756</v>
          </cell>
        </row>
        <row r="4411">
          <cell r="C4411" t="str">
            <v>IBU2518</v>
          </cell>
          <cell r="D4411" t="str">
            <v>IBU2518</v>
          </cell>
        </row>
        <row r="4412">
          <cell r="C4412" t="str">
            <v>IBW0295</v>
          </cell>
          <cell r="D4412" t="str">
            <v>IBW0295</v>
          </cell>
        </row>
        <row r="4413">
          <cell r="C4413" t="str">
            <v>ICD9503</v>
          </cell>
          <cell r="D4413" t="str">
            <v>ICD9503</v>
          </cell>
        </row>
        <row r="4414">
          <cell r="C4414" t="str">
            <v>ICO2379</v>
          </cell>
          <cell r="D4414" t="str">
            <v>ICO2379</v>
          </cell>
        </row>
        <row r="4415">
          <cell r="C4415" t="str">
            <v>ICP0383</v>
          </cell>
          <cell r="D4415" t="str">
            <v>ICP0383</v>
          </cell>
        </row>
        <row r="4416">
          <cell r="C4416" t="str">
            <v>ICQ3214</v>
          </cell>
          <cell r="D4416" t="str">
            <v>ICQ3214</v>
          </cell>
        </row>
        <row r="4417">
          <cell r="C4417" t="str">
            <v>ICV3891</v>
          </cell>
          <cell r="D4417" t="str">
            <v>ICV3891</v>
          </cell>
        </row>
        <row r="4418">
          <cell r="C4418" t="str">
            <v>ICV8C19</v>
          </cell>
          <cell r="D4418" t="str">
            <v>ICV8C19</v>
          </cell>
        </row>
        <row r="4419">
          <cell r="C4419" t="str">
            <v>ICY5025</v>
          </cell>
          <cell r="D4419" t="str">
            <v>ICY5025</v>
          </cell>
        </row>
        <row r="4420">
          <cell r="C4420" t="str">
            <v>ICZ8C84</v>
          </cell>
          <cell r="D4420" t="str">
            <v>ICZ8C84</v>
          </cell>
        </row>
        <row r="4421">
          <cell r="C4421" t="str">
            <v>GXM5499</v>
          </cell>
          <cell r="D4421" t="str">
            <v>GXM5499</v>
          </cell>
        </row>
        <row r="4422">
          <cell r="C4422" t="str">
            <v>IDF7927</v>
          </cell>
          <cell r="D4422" t="str">
            <v>IDF7927</v>
          </cell>
        </row>
        <row r="4423">
          <cell r="C4423" t="str">
            <v>IDI6476</v>
          </cell>
          <cell r="D4423" t="str">
            <v>IDI6476</v>
          </cell>
        </row>
        <row r="4424">
          <cell r="C4424" t="str">
            <v>IDO5D95</v>
          </cell>
          <cell r="D4424" t="str">
            <v>IDO5D95</v>
          </cell>
        </row>
        <row r="4425">
          <cell r="C4425" t="str">
            <v>IDQ2854</v>
          </cell>
          <cell r="D4425" t="str">
            <v>IDQ2854</v>
          </cell>
        </row>
        <row r="4426">
          <cell r="C4426" t="str">
            <v>IEA8E14</v>
          </cell>
          <cell r="D4426" t="str">
            <v>IEA8E14</v>
          </cell>
        </row>
        <row r="4427">
          <cell r="C4427" t="str">
            <v>IEE3834</v>
          </cell>
          <cell r="D4427" t="str">
            <v>IEE3834</v>
          </cell>
        </row>
        <row r="4428">
          <cell r="C4428" t="str">
            <v>IEG7143</v>
          </cell>
          <cell r="D4428" t="str">
            <v>IEG7143</v>
          </cell>
        </row>
        <row r="4429">
          <cell r="C4429" t="str">
            <v>IEI1920</v>
          </cell>
          <cell r="D4429" t="str">
            <v>IEI1920</v>
          </cell>
        </row>
        <row r="4430">
          <cell r="C4430" t="str">
            <v>IEI5179</v>
          </cell>
          <cell r="D4430" t="str">
            <v>IEI5179</v>
          </cell>
        </row>
        <row r="4431">
          <cell r="C4431" t="str">
            <v>IEI5B79</v>
          </cell>
          <cell r="D4431" t="str">
            <v>IEI5B79</v>
          </cell>
        </row>
        <row r="4432">
          <cell r="C4432" t="str">
            <v>IEK7443</v>
          </cell>
          <cell r="D4432" t="str">
            <v>IEK7443</v>
          </cell>
        </row>
        <row r="4433">
          <cell r="C4433" t="str">
            <v>IEM6A23</v>
          </cell>
          <cell r="D4433" t="str">
            <v>IEM6A23</v>
          </cell>
        </row>
        <row r="4434">
          <cell r="C4434" t="str">
            <v>IEM7252</v>
          </cell>
          <cell r="D4434" t="str">
            <v>IEM7252</v>
          </cell>
        </row>
        <row r="4435">
          <cell r="C4435" t="str">
            <v>IEO7J73</v>
          </cell>
          <cell r="D4435" t="str">
            <v>IEO7J73</v>
          </cell>
        </row>
        <row r="4436">
          <cell r="C4436" t="str">
            <v>IES1736</v>
          </cell>
          <cell r="D4436" t="str">
            <v>IES1736</v>
          </cell>
        </row>
        <row r="4437">
          <cell r="C4437" t="str">
            <v>IEX5524</v>
          </cell>
          <cell r="D4437" t="str">
            <v>IEX5524</v>
          </cell>
        </row>
        <row r="4438">
          <cell r="C4438" t="str">
            <v>IFI1587</v>
          </cell>
          <cell r="D4438" t="str">
            <v>IFI1587</v>
          </cell>
        </row>
        <row r="4439">
          <cell r="C4439" t="str">
            <v>IFJ1C11</v>
          </cell>
          <cell r="D4439" t="str">
            <v>IFJ1C11</v>
          </cell>
        </row>
        <row r="4440">
          <cell r="C4440" t="str">
            <v>IFK9438</v>
          </cell>
          <cell r="D4440" t="str">
            <v>IFK9438</v>
          </cell>
        </row>
        <row r="4441">
          <cell r="C4441" t="str">
            <v>IFT5F79</v>
          </cell>
          <cell r="D4441" t="str">
            <v>IFT5F79</v>
          </cell>
        </row>
        <row r="4442">
          <cell r="C4442" t="str">
            <v>IFV3552</v>
          </cell>
          <cell r="D4442" t="str">
            <v>IFV3552</v>
          </cell>
        </row>
        <row r="4443">
          <cell r="C4443" t="str">
            <v>IGU4637</v>
          </cell>
          <cell r="D4443" t="str">
            <v>IGU4637</v>
          </cell>
        </row>
        <row r="4444">
          <cell r="C4444" t="str">
            <v>IGX4J38</v>
          </cell>
          <cell r="D4444" t="str">
            <v>IGX4J38</v>
          </cell>
        </row>
        <row r="4445">
          <cell r="C4445" t="str">
            <v>IGX4938</v>
          </cell>
          <cell r="D4445" t="str">
            <v>IGX4938</v>
          </cell>
        </row>
        <row r="4446">
          <cell r="C4446" t="str">
            <v>IHA0555</v>
          </cell>
          <cell r="D4446" t="str">
            <v>IHA0555</v>
          </cell>
        </row>
        <row r="4447">
          <cell r="C4447" t="str">
            <v>IHA8311</v>
          </cell>
          <cell r="D4447" t="str">
            <v>IHA8311</v>
          </cell>
        </row>
        <row r="4448">
          <cell r="C4448" t="str">
            <v>IHB0G62</v>
          </cell>
          <cell r="D4448" t="str">
            <v>IHB0G62</v>
          </cell>
        </row>
        <row r="4449">
          <cell r="C4449" t="str">
            <v>IHI1656</v>
          </cell>
          <cell r="D4449" t="str">
            <v>IHI1656</v>
          </cell>
        </row>
        <row r="4450">
          <cell r="C4450" t="str">
            <v>IHJ8805</v>
          </cell>
          <cell r="D4450" t="str">
            <v>IHJ8805</v>
          </cell>
        </row>
        <row r="4451">
          <cell r="C4451" t="str">
            <v>IHL6969</v>
          </cell>
          <cell r="D4451" t="str">
            <v>IHL6969</v>
          </cell>
        </row>
        <row r="4452">
          <cell r="C4452" t="str">
            <v>IHP1F66</v>
          </cell>
          <cell r="D4452" t="str">
            <v>IHP1F66</v>
          </cell>
        </row>
        <row r="4453">
          <cell r="C4453" t="str">
            <v>IHP8I03</v>
          </cell>
          <cell r="D4453" t="str">
            <v>IHP8I03</v>
          </cell>
        </row>
        <row r="4454">
          <cell r="C4454" t="str">
            <v>IHS1166</v>
          </cell>
          <cell r="D4454" t="str">
            <v>IHS1166</v>
          </cell>
        </row>
        <row r="4455">
          <cell r="C4455" t="str">
            <v>IHU7C91</v>
          </cell>
          <cell r="D4455" t="str">
            <v>IHU7C91</v>
          </cell>
        </row>
        <row r="4456">
          <cell r="C4456" t="str">
            <v>IHV9695</v>
          </cell>
          <cell r="D4456" t="str">
            <v>IHV9695</v>
          </cell>
        </row>
        <row r="4457">
          <cell r="C4457" t="str">
            <v>IHX2019</v>
          </cell>
          <cell r="D4457" t="str">
            <v>IHX2019</v>
          </cell>
        </row>
        <row r="4458">
          <cell r="C4458" t="str">
            <v>IHZ8850</v>
          </cell>
          <cell r="D4458" t="str">
            <v>IHZ8850</v>
          </cell>
        </row>
        <row r="4459">
          <cell r="C4459" t="str">
            <v>IIC2271</v>
          </cell>
          <cell r="D4459" t="str">
            <v>IIC2271</v>
          </cell>
        </row>
        <row r="4460">
          <cell r="C4460" t="str">
            <v>III6007</v>
          </cell>
          <cell r="D4460" t="str">
            <v>III6007</v>
          </cell>
        </row>
        <row r="4461">
          <cell r="C4461" t="str">
            <v>IIW2896</v>
          </cell>
          <cell r="D4461" t="str">
            <v>IIW2896</v>
          </cell>
        </row>
        <row r="4462">
          <cell r="C4462" t="str">
            <v>IIY7698</v>
          </cell>
          <cell r="D4462" t="str">
            <v>IIY7698</v>
          </cell>
        </row>
        <row r="4463">
          <cell r="C4463" t="str">
            <v>IIZ9920</v>
          </cell>
          <cell r="D4463" t="str">
            <v>IIZ9920</v>
          </cell>
        </row>
        <row r="4464">
          <cell r="C4464" t="str">
            <v>IJC1D39</v>
          </cell>
          <cell r="D4464" t="str">
            <v>IJC1D39</v>
          </cell>
        </row>
        <row r="4465">
          <cell r="C4465" t="str">
            <v>IJC1393</v>
          </cell>
          <cell r="D4465" t="str">
            <v>IJC1393</v>
          </cell>
        </row>
        <row r="4466">
          <cell r="C4466" t="str">
            <v>IJC1D93</v>
          </cell>
          <cell r="D4466" t="str">
            <v>IJC1D93</v>
          </cell>
        </row>
        <row r="4467">
          <cell r="C4467" t="str">
            <v>IJH0870</v>
          </cell>
          <cell r="D4467" t="str">
            <v>IJH0870</v>
          </cell>
        </row>
        <row r="4468">
          <cell r="C4468" t="str">
            <v>IJO5985</v>
          </cell>
          <cell r="D4468" t="str">
            <v>IJO5985</v>
          </cell>
        </row>
        <row r="4469">
          <cell r="C4469" t="str">
            <v>IJP8051</v>
          </cell>
          <cell r="D4469" t="str">
            <v>IJP8051</v>
          </cell>
        </row>
        <row r="4470">
          <cell r="C4470" t="str">
            <v>IJU6085</v>
          </cell>
          <cell r="D4470" t="str">
            <v>IJU6085</v>
          </cell>
        </row>
        <row r="4471">
          <cell r="C4471" t="str">
            <v>IJW6662</v>
          </cell>
          <cell r="D4471" t="str">
            <v>IJW6662</v>
          </cell>
        </row>
        <row r="4472">
          <cell r="C4472" t="str">
            <v>IKC4520</v>
          </cell>
          <cell r="D4472" t="str">
            <v>IKC4520</v>
          </cell>
        </row>
        <row r="4473">
          <cell r="C4473" t="str">
            <v>IKW8756</v>
          </cell>
          <cell r="D4473" t="str">
            <v>IKW8756</v>
          </cell>
        </row>
        <row r="4474">
          <cell r="C4474" t="str">
            <v>ILE5255</v>
          </cell>
          <cell r="D4474" t="str">
            <v>ILE5255</v>
          </cell>
        </row>
        <row r="4475">
          <cell r="C4475" t="str">
            <v>ILO4I85</v>
          </cell>
          <cell r="D4475" t="str">
            <v>ILO4I85</v>
          </cell>
        </row>
        <row r="4476">
          <cell r="C4476" t="str">
            <v>ILS1510</v>
          </cell>
          <cell r="D4476" t="str">
            <v>ILS1510</v>
          </cell>
        </row>
        <row r="4477">
          <cell r="C4477" t="str">
            <v>ILW4847</v>
          </cell>
          <cell r="D4477" t="str">
            <v>ILW4847</v>
          </cell>
        </row>
        <row r="4478">
          <cell r="C4478" t="str">
            <v>ILW4835</v>
          </cell>
          <cell r="D4478" t="str">
            <v>ILW4835</v>
          </cell>
        </row>
        <row r="4479">
          <cell r="C4479" t="str">
            <v>ILW6661</v>
          </cell>
          <cell r="D4479" t="str">
            <v>ILW6661</v>
          </cell>
        </row>
        <row r="4480">
          <cell r="C4480" t="str">
            <v>ILW6672</v>
          </cell>
          <cell r="D4480" t="str">
            <v>ILW6672</v>
          </cell>
        </row>
        <row r="4481">
          <cell r="C4481" t="str">
            <v>IMD1447</v>
          </cell>
          <cell r="D4481" t="str">
            <v>IMD1447</v>
          </cell>
        </row>
        <row r="4482">
          <cell r="C4482" t="str">
            <v>IMH1B81</v>
          </cell>
          <cell r="D4482" t="str">
            <v>IMH1B81</v>
          </cell>
        </row>
        <row r="4483">
          <cell r="C4483" t="str">
            <v>IMM1800</v>
          </cell>
          <cell r="D4483" t="str">
            <v>IMM1800</v>
          </cell>
        </row>
        <row r="4484">
          <cell r="C4484" t="str">
            <v>IMR8307</v>
          </cell>
          <cell r="D4484" t="str">
            <v>IMR8307</v>
          </cell>
        </row>
        <row r="4485">
          <cell r="C4485" t="str">
            <v>IMU1276</v>
          </cell>
          <cell r="D4485" t="str">
            <v>IMU1276</v>
          </cell>
        </row>
        <row r="4486">
          <cell r="C4486" t="str">
            <v>INB1717</v>
          </cell>
          <cell r="D4486" t="str">
            <v>INB1717</v>
          </cell>
        </row>
        <row r="4487">
          <cell r="C4487" t="str">
            <v>INJ3510</v>
          </cell>
          <cell r="D4487" t="str">
            <v>INJ3510</v>
          </cell>
        </row>
        <row r="4488">
          <cell r="C4488" t="str">
            <v>INS6D44</v>
          </cell>
          <cell r="D4488" t="str">
            <v>INS6D44</v>
          </cell>
        </row>
        <row r="4489">
          <cell r="C4489" t="str">
            <v>IPR6F65</v>
          </cell>
          <cell r="D4489" t="str">
            <v>IPR6F65</v>
          </cell>
        </row>
        <row r="4490">
          <cell r="C4490" t="str">
            <v>IPX1350</v>
          </cell>
          <cell r="D4490" t="str">
            <v>IPX1350</v>
          </cell>
        </row>
        <row r="4491">
          <cell r="C4491" t="str">
            <v>IQJ0B32</v>
          </cell>
          <cell r="D4491" t="str">
            <v>IQJ0B32</v>
          </cell>
        </row>
        <row r="4492">
          <cell r="C4492" t="str">
            <v>IQN6639</v>
          </cell>
          <cell r="D4492" t="str">
            <v>IQN6639</v>
          </cell>
        </row>
        <row r="4493">
          <cell r="C4493" t="str">
            <v>IQR8D74</v>
          </cell>
          <cell r="D4493" t="str">
            <v>IQR8D74</v>
          </cell>
        </row>
        <row r="4494">
          <cell r="C4494" t="str">
            <v>IQU6J33</v>
          </cell>
          <cell r="D4494" t="str">
            <v>IQU6J33</v>
          </cell>
        </row>
        <row r="4495">
          <cell r="C4495" t="str">
            <v>HUJ2956</v>
          </cell>
          <cell r="D4495" t="str">
            <v>HUJ2956</v>
          </cell>
        </row>
        <row r="4496">
          <cell r="C4496" t="str">
            <v>IRL1053</v>
          </cell>
          <cell r="D4496" t="str">
            <v>IRL1053</v>
          </cell>
        </row>
        <row r="4497">
          <cell r="C4497" t="str">
            <v>IRL1I67</v>
          </cell>
          <cell r="D4497" t="str">
            <v>IRL1I67</v>
          </cell>
        </row>
        <row r="4498">
          <cell r="C4498" t="str">
            <v>IRR9106</v>
          </cell>
          <cell r="D4498" t="str">
            <v>IRR9106</v>
          </cell>
        </row>
        <row r="4499">
          <cell r="C4499" t="str">
            <v>ISL2236</v>
          </cell>
          <cell r="D4499" t="str">
            <v>ISL2236</v>
          </cell>
        </row>
        <row r="4500">
          <cell r="C4500" t="str">
            <v>ITB9916</v>
          </cell>
          <cell r="D4500" t="str">
            <v>ITB9916</v>
          </cell>
        </row>
        <row r="4501">
          <cell r="C4501" t="str">
            <v>ITH1032</v>
          </cell>
          <cell r="D4501" t="str">
            <v>ITH1032</v>
          </cell>
        </row>
        <row r="4502">
          <cell r="C4502" t="str">
            <v>ITR2C67</v>
          </cell>
          <cell r="D4502" t="str">
            <v>ITR2C67</v>
          </cell>
        </row>
        <row r="4503">
          <cell r="C4503" t="str">
            <v>IUC7326</v>
          </cell>
          <cell r="D4503" t="str">
            <v>IUC7326</v>
          </cell>
        </row>
        <row r="4504">
          <cell r="C4504" t="str">
            <v>IUL5335</v>
          </cell>
          <cell r="D4504" t="str">
            <v>IUL5335</v>
          </cell>
        </row>
        <row r="4505">
          <cell r="C4505" t="str">
            <v>IUM2733</v>
          </cell>
          <cell r="D4505" t="str">
            <v>IUM2733</v>
          </cell>
        </row>
        <row r="4506">
          <cell r="C4506" t="str">
            <v>EGK2845</v>
          </cell>
          <cell r="D4506" t="str">
            <v>EGK2845</v>
          </cell>
        </row>
        <row r="4507">
          <cell r="C4507" t="str">
            <v>HEH9099</v>
          </cell>
          <cell r="D4507" t="str">
            <v>HEH9099</v>
          </cell>
        </row>
        <row r="4508">
          <cell r="C4508" t="str">
            <v>AEH9099</v>
          </cell>
          <cell r="D4508" t="str">
            <v>AEH9099</v>
          </cell>
        </row>
        <row r="4509">
          <cell r="C4509" t="str">
            <v>IVM7F79</v>
          </cell>
          <cell r="D4509" t="str">
            <v>IVM7F79</v>
          </cell>
        </row>
        <row r="4510">
          <cell r="C4510" t="str">
            <v>IVO4J76</v>
          </cell>
          <cell r="D4510" t="str">
            <v>IVO4J76</v>
          </cell>
        </row>
        <row r="4511">
          <cell r="C4511" t="str">
            <v>IVO5941</v>
          </cell>
          <cell r="D4511" t="str">
            <v>IVO5941</v>
          </cell>
        </row>
        <row r="4512">
          <cell r="C4512" t="str">
            <v>IVO7437</v>
          </cell>
          <cell r="D4512" t="str">
            <v>IVO7437</v>
          </cell>
        </row>
        <row r="4513">
          <cell r="C4513" t="str">
            <v>IZB0C38</v>
          </cell>
          <cell r="D4513" t="str">
            <v>IZB0C38</v>
          </cell>
        </row>
        <row r="4514">
          <cell r="C4514" t="str">
            <v>JAG9G92</v>
          </cell>
          <cell r="D4514" t="str">
            <v>JAG9G92</v>
          </cell>
        </row>
        <row r="4515">
          <cell r="C4515" t="str">
            <v>CPJ2252</v>
          </cell>
          <cell r="D4515" t="str">
            <v>CPJ2252</v>
          </cell>
        </row>
        <row r="4516">
          <cell r="C4516" t="str">
            <v>IHJ1723</v>
          </cell>
          <cell r="D4516" t="str">
            <v>IHJ1723</v>
          </cell>
        </row>
        <row r="4517">
          <cell r="C4517" t="str">
            <v>NJX2764</v>
          </cell>
          <cell r="D4517" t="str">
            <v>NJX2764</v>
          </cell>
        </row>
        <row r="4518">
          <cell r="C4518" t="str">
            <v>JBC0002</v>
          </cell>
          <cell r="D4518" t="str">
            <v>JBC0002</v>
          </cell>
        </row>
        <row r="4519">
          <cell r="C4519" t="str">
            <v>JBC0001</v>
          </cell>
          <cell r="D4519" t="str">
            <v>JBC0001</v>
          </cell>
        </row>
        <row r="4520">
          <cell r="C4520" t="str">
            <v>JCK1354</v>
          </cell>
          <cell r="D4520" t="str">
            <v>JCK1354</v>
          </cell>
        </row>
        <row r="4521">
          <cell r="C4521" t="str">
            <v>JDP8108</v>
          </cell>
          <cell r="D4521" t="str">
            <v>JDP8108</v>
          </cell>
        </row>
        <row r="4522">
          <cell r="C4522" t="str">
            <v>JDS4719</v>
          </cell>
          <cell r="D4522" t="str">
            <v>JDS4719</v>
          </cell>
        </row>
        <row r="4523">
          <cell r="C4523" t="str">
            <v>JDW2F12</v>
          </cell>
          <cell r="D4523" t="str">
            <v>JDW2F12</v>
          </cell>
        </row>
        <row r="4524">
          <cell r="C4524" t="str">
            <v>JDZ6293</v>
          </cell>
          <cell r="D4524" t="str">
            <v>JDZ6293</v>
          </cell>
        </row>
        <row r="4525">
          <cell r="C4525" t="str">
            <v>BFZ3067</v>
          </cell>
          <cell r="D4525" t="str">
            <v>BFZ3067</v>
          </cell>
        </row>
        <row r="4526">
          <cell r="C4526" t="str">
            <v>AUK3284</v>
          </cell>
          <cell r="D4526" t="str">
            <v>AUK3284</v>
          </cell>
        </row>
        <row r="4527">
          <cell r="C4527" t="str">
            <v>AKL2541</v>
          </cell>
          <cell r="D4527" t="str">
            <v>AKL2541</v>
          </cell>
        </row>
        <row r="4528">
          <cell r="C4528" t="str">
            <v>JGG0004</v>
          </cell>
          <cell r="D4528" t="str">
            <v>JGG0004</v>
          </cell>
        </row>
        <row r="4529">
          <cell r="C4529" t="str">
            <v>JHR8B13</v>
          </cell>
          <cell r="D4529" t="str">
            <v>JHR8B13</v>
          </cell>
        </row>
        <row r="4530">
          <cell r="C4530" t="str">
            <v>JHU7216</v>
          </cell>
          <cell r="D4530" t="str">
            <v>JHU7216</v>
          </cell>
        </row>
        <row r="4531">
          <cell r="C4531" t="str">
            <v>JJB7937</v>
          </cell>
          <cell r="D4531" t="str">
            <v>JJB7937</v>
          </cell>
        </row>
        <row r="4532">
          <cell r="C4532" t="str">
            <v>JJD5495</v>
          </cell>
          <cell r="D4532" t="str">
            <v>JJD5495</v>
          </cell>
        </row>
        <row r="4533">
          <cell r="C4533" t="str">
            <v>JJK2033</v>
          </cell>
          <cell r="D4533" t="str">
            <v>JJK2033</v>
          </cell>
        </row>
        <row r="4534">
          <cell r="C4534" t="str">
            <v>JJZ6359</v>
          </cell>
          <cell r="D4534" t="str">
            <v>JJZ6359</v>
          </cell>
        </row>
        <row r="4535">
          <cell r="C4535" t="str">
            <v>JJZ1H59</v>
          </cell>
          <cell r="D4535" t="str">
            <v>JJZ1H59</v>
          </cell>
        </row>
        <row r="4536">
          <cell r="C4536" t="str">
            <v>JJZ9442</v>
          </cell>
          <cell r="D4536" t="str">
            <v>JJZ9442</v>
          </cell>
        </row>
        <row r="4537">
          <cell r="C4537" t="str">
            <v>JKS1476</v>
          </cell>
          <cell r="D4537" t="str">
            <v>JKS1476</v>
          </cell>
        </row>
        <row r="4538">
          <cell r="C4538" t="str">
            <v>JLA4C25</v>
          </cell>
          <cell r="D4538" t="str">
            <v>JLA4C25</v>
          </cell>
        </row>
        <row r="4539">
          <cell r="C4539" t="str">
            <v>JLB3792</v>
          </cell>
          <cell r="D4539" t="str">
            <v>JLB3792</v>
          </cell>
        </row>
        <row r="4540">
          <cell r="C4540" t="str">
            <v>JLD7013</v>
          </cell>
          <cell r="D4540" t="str">
            <v>JLD7013</v>
          </cell>
        </row>
        <row r="4541">
          <cell r="C4541" t="str">
            <v>JLQ6616</v>
          </cell>
          <cell r="D4541" t="str">
            <v>JLQ6616</v>
          </cell>
        </row>
        <row r="4542">
          <cell r="C4542" t="str">
            <v>JLT1229</v>
          </cell>
          <cell r="D4542" t="str">
            <v>JLT1229</v>
          </cell>
        </row>
        <row r="4543">
          <cell r="C4543" t="str">
            <v>JLU5A55</v>
          </cell>
          <cell r="D4543" t="str">
            <v>JLU5A55</v>
          </cell>
        </row>
        <row r="4544">
          <cell r="C4544" t="str">
            <v>JLX6D23</v>
          </cell>
          <cell r="D4544" t="str">
            <v>JLX6D23</v>
          </cell>
        </row>
        <row r="4545">
          <cell r="C4545" t="str">
            <v>JLY5364</v>
          </cell>
          <cell r="D4545" t="str">
            <v>JLY5364</v>
          </cell>
        </row>
        <row r="4546">
          <cell r="C4546" t="str">
            <v>JMA 5490</v>
          </cell>
          <cell r="D4546" t="str">
            <v>JMA5490</v>
          </cell>
        </row>
        <row r="4547">
          <cell r="C4547" t="str">
            <v>JMD7649</v>
          </cell>
          <cell r="D4547" t="str">
            <v>JMD7649</v>
          </cell>
        </row>
        <row r="4548">
          <cell r="C4548" t="str">
            <v>JME4363</v>
          </cell>
          <cell r="D4548" t="str">
            <v>JME4363</v>
          </cell>
        </row>
        <row r="4549">
          <cell r="C4549" t="str">
            <v>JMJ1387</v>
          </cell>
          <cell r="D4549" t="str">
            <v>JMJ1387</v>
          </cell>
        </row>
        <row r="4550">
          <cell r="C4550" t="str">
            <v>JMW9598</v>
          </cell>
          <cell r="D4550" t="str">
            <v>JMW9598</v>
          </cell>
        </row>
        <row r="4551">
          <cell r="C4551" t="str">
            <v>JMY2767</v>
          </cell>
          <cell r="D4551" t="str">
            <v>JMY2767</v>
          </cell>
        </row>
        <row r="4552">
          <cell r="C4552" t="str">
            <v>JNT0360</v>
          </cell>
          <cell r="D4552" t="str">
            <v>JNT0360</v>
          </cell>
        </row>
        <row r="4553">
          <cell r="C4553" t="str">
            <v>BWH9190</v>
          </cell>
          <cell r="D4553" t="str">
            <v>BWH9190</v>
          </cell>
        </row>
        <row r="4554">
          <cell r="C4554" t="str">
            <v>BAJ8259</v>
          </cell>
          <cell r="D4554" t="str">
            <v>BAJ8259</v>
          </cell>
        </row>
        <row r="4555">
          <cell r="C4555" t="str">
            <v>ILE9001</v>
          </cell>
          <cell r="D4555" t="str">
            <v>ILE9001</v>
          </cell>
        </row>
        <row r="4556">
          <cell r="C4556" t="str">
            <v>AAN6682</v>
          </cell>
          <cell r="D4556" t="str">
            <v>AAN6682</v>
          </cell>
        </row>
        <row r="4557">
          <cell r="C4557" t="str">
            <v>QBP5155</v>
          </cell>
          <cell r="D4557" t="str">
            <v>QBP5155</v>
          </cell>
        </row>
        <row r="4558">
          <cell r="C4558" t="str">
            <v>BMG2326</v>
          </cell>
          <cell r="D4558" t="str">
            <v>BMG2326</v>
          </cell>
        </row>
        <row r="4559">
          <cell r="C4559" t="str">
            <v>CQD5705</v>
          </cell>
          <cell r="D4559" t="str">
            <v>CQD5705</v>
          </cell>
        </row>
        <row r="4560">
          <cell r="C4560" t="str">
            <v>AYZ6966</v>
          </cell>
          <cell r="D4560" t="str">
            <v>AYZ6966</v>
          </cell>
        </row>
        <row r="4561">
          <cell r="C4561" t="str">
            <v>BML7735</v>
          </cell>
          <cell r="D4561" t="str">
            <v>BML7735</v>
          </cell>
        </row>
        <row r="4562">
          <cell r="C4562" t="str">
            <v>DDB5871</v>
          </cell>
          <cell r="D4562" t="str">
            <v>DDB5871</v>
          </cell>
        </row>
        <row r="4563">
          <cell r="C4563" t="str">
            <v>HRY7978</v>
          </cell>
          <cell r="D4563" t="str">
            <v>HRY7978</v>
          </cell>
        </row>
        <row r="4564">
          <cell r="C4564" t="str">
            <v>JOK0124</v>
          </cell>
          <cell r="D4564" t="str">
            <v>JOK0124</v>
          </cell>
        </row>
        <row r="4565">
          <cell r="C4565" t="str">
            <v>JOM2639</v>
          </cell>
          <cell r="D4565" t="str">
            <v>JOM2639</v>
          </cell>
        </row>
        <row r="4566">
          <cell r="C4566" t="str">
            <v>JOM0854</v>
          </cell>
          <cell r="D4566" t="str">
            <v>JOM0854</v>
          </cell>
        </row>
        <row r="4567">
          <cell r="C4567" t="str">
            <v>JOM0891</v>
          </cell>
          <cell r="D4567" t="str">
            <v>JOM0891</v>
          </cell>
        </row>
        <row r="4568">
          <cell r="C4568" t="str">
            <v>BBX9772</v>
          </cell>
          <cell r="D4568" t="str">
            <v>BBX9772</v>
          </cell>
        </row>
        <row r="4569">
          <cell r="C4569" t="str">
            <v>CPF2476</v>
          </cell>
          <cell r="D4569" t="str">
            <v>CPF2476</v>
          </cell>
        </row>
        <row r="4570">
          <cell r="C4570" t="str">
            <v>JOR1430</v>
          </cell>
          <cell r="D4570" t="str">
            <v>JOR1430</v>
          </cell>
        </row>
        <row r="4571">
          <cell r="C4571" t="str">
            <v>CBR5461</v>
          </cell>
          <cell r="D4571" t="str">
            <v>CBR5461</v>
          </cell>
        </row>
        <row r="4572">
          <cell r="C4572" t="str">
            <v>KVF4335</v>
          </cell>
          <cell r="D4572" t="str">
            <v>KVF4335</v>
          </cell>
        </row>
        <row r="4573">
          <cell r="C4573" t="str">
            <v>CVN0995</v>
          </cell>
          <cell r="D4573" t="str">
            <v>CVN0995</v>
          </cell>
        </row>
        <row r="4574">
          <cell r="C4574" t="str">
            <v>AMR6952</v>
          </cell>
          <cell r="D4574" t="str">
            <v>AMR6952</v>
          </cell>
        </row>
        <row r="4575">
          <cell r="C4575" t="str">
            <v>OOM8568</v>
          </cell>
          <cell r="D4575" t="str">
            <v>OOM8568</v>
          </cell>
        </row>
        <row r="4576">
          <cell r="C4576" t="str">
            <v>QYU9942</v>
          </cell>
          <cell r="D4576" t="str">
            <v>QYU9942</v>
          </cell>
        </row>
        <row r="4577">
          <cell r="C4577" t="str">
            <v>EWU6220</v>
          </cell>
          <cell r="D4577" t="str">
            <v>EWU6220</v>
          </cell>
        </row>
        <row r="4578">
          <cell r="C4578" t="str">
            <v>CYU9942</v>
          </cell>
          <cell r="D4578" t="str">
            <v>CYU9942</v>
          </cell>
        </row>
        <row r="4579">
          <cell r="C4579" t="str">
            <v>LZL4880</v>
          </cell>
          <cell r="D4579" t="str">
            <v>LZL4880</v>
          </cell>
        </row>
        <row r="4580">
          <cell r="C4580" t="str">
            <v>KZL6541</v>
          </cell>
          <cell r="D4580" t="str">
            <v>KZL6541</v>
          </cell>
        </row>
        <row r="4581">
          <cell r="C4581" t="str">
            <v>JZV2359</v>
          </cell>
          <cell r="D4581" t="str">
            <v>JZV2359</v>
          </cell>
        </row>
        <row r="4582">
          <cell r="C4582" t="str">
            <v>AGD7511</v>
          </cell>
          <cell r="D4582" t="str">
            <v>AGD7511</v>
          </cell>
        </row>
        <row r="4583">
          <cell r="C4583" t="str">
            <v>ABB3119</v>
          </cell>
          <cell r="D4583" t="str">
            <v>ABB3119</v>
          </cell>
        </row>
        <row r="4584">
          <cell r="C4584" t="str">
            <v>CUD8497</v>
          </cell>
          <cell r="D4584" t="str">
            <v>CUD8497</v>
          </cell>
        </row>
        <row r="4585">
          <cell r="C4585" t="str">
            <v>LWS3926</v>
          </cell>
          <cell r="D4585" t="str">
            <v>LWS3926</v>
          </cell>
        </row>
        <row r="4586">
          <cell r="C4586" t="str">
            <v>HQT8058</v>
          </cell>
          <cell r="D4586" t="str">
            <v>HQT8058</v>
          </cell>
        </row>
        <row r="4587">
          <cell r="C4587" t="str">
            <v>BLJ6893</v>
          </cell>
          <cell r="D4587" t="str">
            <v>BLJ6893</v>
          </cell>
        </row>
        <row r="4588">
          <cell r="C4588" t="str">
            <v>ANX5173</v>
          </cell>
          <cell r="D4588" t="str">
            <v>ANX5173</v>
          </cell>
        </row>
        <row r="4589">
          <cell r="C4589" t="str">
            <v>BWQ6950</v>
          </cell>
          <cell r="D4589" t="str">
            <v>BWQ6950</v>
          </cell>
        </row>
        <row r="4590">
          <cell r="C4590" t="str">
            <v>KQR0022</v>
          </cell>
          <cell r="D4590" t="str">
            <v>KQR0022</v>
          </cell>
        </row>
        <row r="4591">
          <cell r="C4591" t="str">
            <v>EVO5482</v>
          </cell>
          <cell r="D4591" t="str">
            <v>EVO5482</v>
          </cell>
        </row>
        <row r="4592">
          <cell r="C4592" t="str">
            <v>JOT6599</v>
          </cell>
          <cell r="D4592" t="str">
            <v>JOT6599</v>
          </cell>
        </row>
        <row r="4593">
          <cell r="C4593" t="str">
            <v>JPB6153</v>
          </cell>
          <cell r="D4593" t="str">
            <v>JPB6153</v>
          </cell>
        </row>
        <row r="4594">
          <cell r="C4594" t="str">
            <v>JPC4958</v>
          </cell>
          <cell r="D4594" t="str">
            <v>JPC4958</v>
          </cell>
        </row>
        <row r="4595">
          <cell r="C4595" t="str">
            <v>JPM.3181</v>
          </cell>
          <cell r="D4595">
            <v>23</v>
          </cell>
        </row>
        <row r="4596">
          <cell r="C4596" t="str">
            <v>JRF8783</v>
          </cell>
          <cell r="D4596" t="str">
            <v>JRF8783</v>
          </cell>
        </row>
        <row r="4597">
          <cell r="C4597" t="str">
            <v>JRN0630</v>
          </cell>
          <cell r="D4597" t="str">
            <v>JRN0630</v>
          </cell>
        </row>
        <row r="4598">
          <cell r="C4598" t="str">
            <v>JRN4934</v>
          </cell>
          <cell r="D4598" t="str">
            <v>JRN4934</v>
          </cell>
        </row>
        <row r="4599">
          <cell r="C4599" t="str">
            <v>JRR0167</v>
          </cell>
          <cell r="D4599" t="str">
            <v>JRR0167</v>
          </cell>
        </row>
        <row r="4600">
          <cell r="C4600" t="str">
            <v>JSE0558</v>
          </cell>
          <cell r="D4600" t="str">
            <v>JSE0558</v>
          </cell>
        </row>
        <row r="4601">
          <cell r="C4601" t="str">
            <v>JSS0705</v>
          </cell>
          <cell r="D4601" t="str">
            <v>JSS0705</v>
          </cell>
        </row>
        <row r="4602">
          <cell r="C4602" t="str">
            <v>JSS6676</v>
          </cell>
          <cell r="D4602" t="str">
            <v>JSS6676</v>
          </cell>
        </row>
        <row r="4603">
          <cell r="C4603" t="str">
            <v>JTA4955</v>
          </cell>
          <cell r="D4603" t="str">
            <v>JTA4955</v>
          </cell>
        </row>
        <row r="4604">
          <cell r="C4604" t="str">
            <v>JTM2E33</v>
          </cell>
          <cell r="D4604" t="str">
            <v>JTM2E33</v>
          </cell>
        </row>
        <row r="4605">
          <cell r="C4605" t="str">
            <v>JTM5907</v>
          </cell>
          <cell r="D4605" t="str">
            <v>JTM5907</v>
          </cell>
        </row>
        <row r="4606">
          <cell r="C4606" t="str">
            <v>JTN7102</v>
          </cell>
          <cell r="D4606" t="str">
            <v>JTN7102</v>
          </cell>
        </row>
        <row r="4607">
          <cell r="C4607" t="str">
            <v>JTP4079</v>
          </cell>
          <cell r="D4607" t="str">
            <v>JTP4079</v>
          </cell>
        </row>
        <row r="4608">
          <cell r="C4608" t="str">
            <v>JTW1382</v>
          </cell>
          <cell r="D4608" t="str">
            <v>JTW1382</v>
          </cell>
        </row>
        <row r="4609">
          <cell r="C4609" t="str">
            <v>JTZ4892</v>
          </cell>
          <cell r="D4609" t="str">
            <v>JTZ4892</v>
          </cell>
        </row>
        <row r="4610">
          <cell r="C4610" t="str">
            <v>AAY3899</v>
          </cell>
          <cell r="D4610" t="str">
            <v>AAY3899</v>
          </cell>
        </row>
        <row r="4611">
          <cell r="C4611" t="str">
            <v>AMU0113</v>
          </cell>
          <cell r="D4611" t="str">
            <v>AMU0113</v>
          </cell>
        </row>
        <row r="4612">
          <cell r="C4612" t="str">
            <v>GLS2871</v>
          </cell>
          <cell r="D4612" t="str">
            <v>GLS2871</v>
          </cell>
        </row>
        <row r="4613">
          <cell r="C4613">
            <v>0</v>
          </cell>
          <cell r="D4613" t="str">
            <v>DBX2534</v>
          </cell>
        </row>
        <row r="4614">
          <cell r="C4614" t="str">
            <v>DFK3178</v>
          </cell>
          <cell r="D4614" t="str">
            <v>DFK3178</v>
          </cell>
        </row>
        <row r="4615">
          <cell r="C4615" t="str">
            <v>KRG5721</v>
          </cell>
          <cell r="D4615" t="str">
            <v>KRG5721</v>
          </cell>
        </row>
        <row r="4616">
          <cell r="C4616" t="str">
            <v>JVB3D66</v>
          </cell>
          <cell r="D4616" t="str">
            <v>JVB3D66</v>
          </cell>
        </row>
        <row r="4617">
          <cell r="C4617" t="str">
            <v>JVI9112</v>
          </cell>
          <cell r="D4617" t="str">
            <v>JVI9112</v>
          </cell>
        </row>
        <row r="4618">
          <cell r="C4618" t="str">
            <v>JVL8925</v>
          </cell>
          <cell r="D4618" t="str">
            <v>JVL8925</v>
          </cell>
        </row>
        <row r="4619">
          <cell r="C4619" t="str">
            <v>JVW3510</v>
          </cell>
          <cell r="D4619" t="str">
            <v>JVW3510</v>
          </cell>
        </row>
        <row r="4620">
          <cell r="C4620" t="str">
            <v>JWH4358</v>
          </cell>
          <cell r="D4620" t="str">
            <v>JWH4358</v>
          </cell>
        </row>
        <row r="4621">
          <cell r="C4621" t="str">
            <v>JWM0I18</v>
          </cell>
          <cell r="D4621" t="str">
            <v>JWM0I18</v>
          </cell>
        </row>
        <row r="4622">
          <cell r="C4622" t="str">
            <v>JWN0446</v>
          </cell>
          <cell r="D4622" t="str">
            <v>JWN0446</v>
          </cell>
        </row>
        <row r="4623">
          <cell r="C4623" t="str">
            <v>JWR2046</v>
          </cell>
          <cell r="D4623" t="str">
            <v>JWR2046</v>
          </cell>
        </row>
        <row r="4624">
          <cell r="C4624" t="str">
            <v>JWR5808</v>
          </cell>
          <cell r="D4624" t="str">
            <v>JWR5808</v>
          </cell>
        </row>
        <row r="4625">
          <cell r="C4625" t="str">
            <v>JWR5I08</v>
          </cell>
          <cell r="D4625" t="str">
            <v>JWR5I08</v>
          </cell>
        </row>
        <row r="4626">
          <cell r="C4626" t="str">
            <v>JWW9394</v>
          </cell>
          <cell r="D4626" t="str">
            <v>JWW9394</v>
          </cell>
        </row>
        <row r="4627">
          <cell r="C4627" t="str">
            <v>JXA4506</v>
          </cell>
          <cell r="D4627" t="str">
            <v>JXA4506</v>
          </cell>
        </row>
        <row r="4628">
          <cell r="C4628" t="str">
            <v>JXE4603</v>
          </cell>
          <cell r="D4628" t="str">
            <v>JXE4603</v>
          </cell>
        </row>
        <row r="4629">
          <cell r="C4629" t="str">
            <v>JXI7960</v>
          </cell>
          <cell r="D4629" t="str">
            <v>JXI7960</v>
          </cell>
        </row>
        <row r="4630">
          <cell r="C4630" t="str">
            <v>JXR4437</v>
          </cell>
          <cell r="D4630" t="str">
            <v>JXR4437</v>
          </cell>
        </row>
        <row r="4631">
          <cell r="C4631" t="str">
            <v>JXX3314</v>
          </cell>
          <cell r="D4631" t="str">
            <v>JXX3314</v>
          </cell>
        </row>
        <row r="4632">
          <cell r="C4632" t="str">
            <v>JXZ 4603</v>
          </cell>
          <cell r="D4632" t="str">
            <v>JXZ4603</v>
          </cell>
        </row>
        <row r="4633">
          <cell r="C4633" t="str">
            <v>JXZ4695</v>
          </cell>
          <cell r="D4633" t="str">
            <v>JXZ4695</v>
          </cell>
        </row>
        <row r="4634">
          <cell r="C4634" t="str">
            <v>JXZ8377</v>
          </cell>
          <cell r="D4634" t="str">
            <v>JXZ8377</v>
          </cell>
        </row>
        <row r="4635">
          <cell r="C4635" t="str">
            <v>JYA1724</v>
          </cell>
          <cell r="D4635" t="str">
            <v>JYA1724</v>
          </cell>
        </row>
        <row r="4636">
          <cell r="C4636" t="str">
            <v>JYA2843</v>
          </cell>
          <cell r="D4636" t="str">
            <v>JYA2843</v>
          </cell>
        </row>
        <row r="4637">
          <cell r="C4637" t="str">
            <v>JYA6428</v>
          </cell>
          <cell r="D4637" t="str">
            <v>JYA6428</v>
          </cell>
        </row>
        <row r="4638">
          <cell r="C4638" t="str">
            <v>JYB3828</v>
          </cell>
          <cell r="D4638" t="str">
            <v>JYB3828</v>
          </cell>
        </row>
        <row r="4639">
          <cell r="C4639" t="str">
            <v>JYB6142</v>
          </cell>
          <cell r="D4639" t="str">
            <v>JYB6142</v>
          </cell>
        </row>
        <row r="4640">
          <cell r="C4640" t="str">
            <v>JYC8604</v>
          </cell>
          <cell r="D4640" t="str">
            <v>JYC8604</v>
          </cell>
        </row>
        <row r="4641">
          <cell r="C4641" t="str">
            <v>JYD4737</v>
          </cell>
          <cell r="D4641" t="str">
            <v>JYD4737</v>
          </cell>
        </row>
        <row r="4642">
          <cell r="C4642" t="str">
            <v>JYD4D24</v>
          </cell>
          <cell r="D4642" t="str">
            <v>JYD4D24</v>
          </cell>
        </row>
        <row r="4643">
          <cell r="C4643" t="str">
            <v>JYE9450</v>
          </cell>
          <cell r="D4643" t="str">
            <v>JYE9450</v>
          </cell>
        </row>
        <row r="4644">
          <cell r="C4644" t="str">
            <v>JYE9767</v>
          </cell>
          <cell r="D4644" t="str">
            <v>JYE9767</v>
          </cell>
        </row>
        <row r="4645">
          <cell r="C4645" t="str">
            <v>JYG2295</v>
          </cell>
          <cell r="D4645" t="str">
            <v>JYG2295</v>
          </cell>
        </row>
        <row r="4646">
          <cell r="C4646" t="str">
            <v>JYH9249</v>
          </cell>
          <cell r="D4646" t="str">
            <v>JYH9249</v>
          </cell>
        </row>
        <row r="4647">
          <cell r="C4647" t="str">
            <v>JYI9048</v>
          </cell>
          <cell r="D4647" t="str">
            <v>JYI9048</v>
          </cell>
        </row>
        <row r="4648">
          <cell r="C4648" t="str">
            <v>JYJ6048</v>
          </cell>
          <cell r="D4648" t="str">
            <v>JYJ6048</v>
          </cell>
        </row>
        <row r="4649">
          <cell r="C4649" t="str">
            <v>JYL0269</v>
          </cell>
          <cell r="D4649" t="str">
            <v>JYL0269</v>
          </cell>
        </row>
        <row r="4650">
          <cell r="C4650" t="str">
            <v>JYL2437</v>
          </cell>
          <cell r="D4650" t="str">
            <v>JYL2437</v>
          </cell>
        </row>
        <row r="4651">
          <cell r="C4651" t="str">
            <v>JYL2G93</v>
          </cell>
          <cell r="D4651" t="str">
            <v>JYL2G93</v>
          </cell>
        </row>
        <row r="4652">
          <cell r="C4652" t="str">
            <v>JYL4086</v>
          </cell>
          <cell r="D4652" t="str">
            <v>JYL4086</v>
          </cell>
        </row>
        <row r="4653">
          <cell r="C4653" t="str">
            <v>JYM9F43</v>
          </cell>
          <cell r="D4653" t="str">
            <v>JYM9F43</v>
          </cell>
        </row>
        <row r="4654">
          <cell r="C4654" t="str">
            <v>JYN0330</v>
          </cell>
          <cell r="D4654" t="str">
            <v>JYN0330</v>
          </cell>
        </row>
        <row r="4655">
          <cell r="C4655" t="str">
            <v>JYN3019</v>
          </cell>
          <cell r="D4655" t="str">
            <v>JYN3019</v>
          </cell>
        </row>
        <row r="4656">
          <cell r="C4656" t="str">
            <v>JYO1425</v>
          </cell>
          <cell r="D4656" t="str">
            <v>JYO1425</v>
          </cell>
        </row>
        <row r="4657">
          <cell r="C4657" t="str">
            <v>JYO4781</v>
          </cell>
          <cell r="D4657" t="str">
            <v>JYO4781</v>
          </cell>
        </row>
        <row r="4658">
          <cell r="C4658" t="str">
            <v>JYP0154</v>
          </cell>
          <cell r="D4658" t="str">
            <v>JYP0154</v>
          </cell>
        </row>
        <row r="4659">
          <cell r="C4659" t="str">
            <v>JYP9797</v>
          </cell>
          <cell r="D4659" t="str">
            <v>JYP9797</v>
          </cell>
        </row>
        <row r="4660">
          <cell r="C4660" t="str">
            <v>JYQ0H63</v>
          </cell>
          <cell r="D4660" t="str">
            <v>JYQ0H63</v>
          </cell>
        </row>
        <row r="4661">
          <cell r="C4661" t="str">
            <v>JYR4506</v>
          </cell>
          <cell r="D4661" t="str">
            <v>JYR4506</v>
          </cell>
        </row>
        <row r="4662">
          <cell r="C4662" t="str">
            <v>JYR2088</v>
          </cell>
          <cell r="D4662" t="str">
            <v>JYR2088</v>
          </cell>
        </row>
        <row r="4663">
          <cell r="C4663" t="str">
            <v>JYR5808</v>
          </cell>
          <cell r="D4663" t="str">
            <v>JYR5808</v>
          </cell>
        </row>
        <row r="4664">
          <cell r="C4664" t="str">
            <v>JYR9563</v>
          </cell>
          <cell r="D4664" t="str">
            <v>JYR9563</v>
          </cell>
        </row>
        <row r="4665">
          <cell r="C4665" t="str">
            <v>JYT6865</v>
          </cell>
          <cell r="D4665" t="str">
            <v>JYT6865</v>
          </cell>
        </row>
        <row r="4666">
          <cell r="C4666" t="str">
            <v>JYU8464</v>
          </cell>
          <cell r="D4666" t="str">
            <v>JYU8464</v>
          </cell>
        </row>
        <row r="4667">
          <cell r="C4667" t="str">
            <v>JYV4104</v>
          </cell>
          <cell r="D4667" t="str">
            <v>JYV4104</v>
          </cell>
        </row>
        <row r="4668">
          <cell r="C4668" t="str">
            <v>JYV8032</v>
          </cell>
          <cell r="D4668" t="str">
            <v>JYV8032</v>
          </cell>
        </row>
        <row r="4669">
          <cell r="C4669" t="str">
            <v>JYW1C41</v>
          </cell>
          <cell r="D4669" t="str">
            <v>JYW1C41</v>
          </cell>
        </row>
        <row r="4670">
          <cell r="C4670" t="str">
            <v>JYW3510</v>
          </cell>
          <cell r="D4670" t="str">
            <v>JYW3510</v>
          </cell>
        </row>
        <row r="4671">
          <cell r="C4671" t="str">
            <v>JYW5656</v>
          </cell>
          <cell r="D4671" t="str">
            <v>JYW5656</v>
          </cell>
        </row>
        <row r="4672">
          <cell r="C4672" t="str">
            <v>JYX6987</v>
          </cell>
          <cell r="D4672" t="str">
            <v>JYX6987</v>
          </cell>
        </row>
        <row r="4673">
          <cell r="C4673" t="str">
            <v>JYZ2312</v>
          </cell>
          <cell r="D4673" t="str">
            <v>JYZ2312</v>
          </cell>
        </row>
        <row r="4674">
          <cell r="C4674" t="str">
            <v>JYZ4116</v>
          </cell>
          <cell r="D4674" t="str">
            <v>JYZ4116</v>
          </cell>
        </row>
        <row r="4675">
          <cell r="C4675" t="str">
            <v>JYZ7763</v>
          </cell>
          <cell r="D4675" t="str">
            <v>JYZ7763</v>
          </cell>
        </row>
        <row r="4676">
          <cell r="C4676" t="str">
            <v>JZA3A13</v>
          </cell>
          <cell r="D4676" t="str">
            <v>JZA3A13</v>
          </cell>
        </row>
        <row r="4677">
          <cell r="C4677" t="str">
            <v>JZA4865</v>
          </cell>
          <cell r="D4677" t="str">
            <v>JZA4865</v>
          </cell>
        </row>
        <row r="4678">
          <cell r="C4678" t="str">
            <v>JZB5C08</v>
          </cell>
          <cell r="D4678" t="str">
            <v>JZB5C08</v>
          </cell>
        </row>
        <row r="4679">
          <cell r="C4679" t="str">
            <v>JZG0I55</v>
          </cell>
          <cell r="D4679" t="str">
            <v>JZG0I55</v>
          </cell>
        </row>
        <row r="4680">
          <cell r="C4680" t="str">
            <v>JZG2369</v>
          </cell>
          <cell r="D4680" t="str">
            <v>JZG2369</v>
          </cell>
        </row>
        <row r="4681">
          <cell r="C4681" t="str">
            <v>JZH1783</v>
          </cell>
          <cell r="D4681" t="str">
            <v>JZH1783</v>
          </cell>
        </row>
        <row r="4682">
          <cell r="C4682" t="str">
            <v>JZH4078</v>
          </cell>
          <cell r="D4682" t="str">
            <v>JZH4078</v>
          </cell>
        </row>
        <row r="4683">
          <cell r="C4683" t="str">
            <v>JZH7775</v>
          </cell>
          <cell r="D4683" t="str">
            <v>JZH7775</v>
          </cell>
        </row>
        <row r="4684">
          <cell r="C4684" t="str">
            <v>JZH7779</v>
          </cell>
          <cell r="D4684" t="str">
            <v>JZH7779</v>
          </cell>
        </row>
        <row r="4685">
          <cell r="C4685" t="str">
            <v>JZK2157</v>
          </cell>
          <cell r="D4685" t="str">
            <v>JZK2157</v>
          </cell>
        </row>
        <row r="4686">
          <cell r="C4686" t="str">
            <v>JZM8290</v>
          </cell>
          <cell r="D4686" t="str">
            <v>JZM8290</v>
          </cell>
        </row>
        <row r="4687">
          <cell r="C4687" t="str">
            <v>JZM3432</v>
          </cell>
          <cell r="D4687" t="str">
            <v>JZM3432</v>
          </cell>
        </row>
        <row r="4688">
          <cell r="C4688" t="str">
            <v>JZO7997</v>
          </cell>
          <cell r="D4688" t="str">
            <v>JZO7997</v>
          </cell>
        </row>
        <row r="4689">
          <cell r="C4689" t="str">
            <v>JZO8855</v>
          </cell>
          <cell r="D4689" t="str">
            <v>JZO8855</v>
          </cell>
        </row>
        <row r="4690">
          <cell r="C4690" t="str">
            <v>JZP4940</v>
          </cell>
          <cell r="D4690" t="str">
            <v>JZP4940</v>
          </cell>
        </row>
        <row r="4691">
          <cell r="C4691" t="str">
            <v>JZS8360</v>
          </cell>
          <cell r="D4691" t="str">
            <v>JZS8360</v>
          </cell>
        </row>
        <row r="4692">
          <cell r="C4692" t="str">
            <v>JZU2B47</v>
          </cell>
          <cell r="D4692" t="str">
            <v>JZU2B47</v>
          </cell>
        </row>
        <row r="4693">
          <cell r="C4693" t="str">
            <v>JZV2492</v>
          </cell>
          <cell r="D4693" t="str">
            <v>JZV2492</v>
          </cell>
        </row>
        <row r="4694">
          <cell r="C4694" t="str">
            <v>JZV9789</v>
          </cell>
          <cell r="D4694" t="str">
            <v>JZV9789</v>
          </cell>
        </row>
        <row r="4695">
          <cell r="C4695" t="str">
            <v>JZW4E73</v>
          </cell>
          <cell r="D4695" t="str">
            <v>JZW4E73</v>
          </cell>
        </row>
        <row r="4696">
          <cell r="C4696" t="str">
            <v>JZX0J74</v>
          </cell>
          <cell r="D4696" t="str">
            <v>JZX0J74</v>
          </cell>
        </row>
        <row r="4697">
          <cell r="C4697" t="str">
            <v>JZX5547</v>
          </cell>
          <cell r="D4697" t="str">
            <v>JZX5547</v>
          </cell>
        </row>
        <row r="4698">
          <cell r="C4698" t="str">
            <v>JZY5044</v>
          </cell>
          <cell r="D4698" t="str">
            <v>JZY5044</v>
          </cell>
        </row>
        <row r="4699">
          <cell r="C4699" t="str">
            <v>JZZ9556</v>
          </cell>
          <cell r="D4699" t="str">
            <v>JZZ9556</v>
          </cell>
        </row>
        <row r="4700">
          <cell r="C4700" t="str">
            <v>KAA2370</v>
          </cell>
          <cell r="D4700" t="str">
            <v>KAA2370</v>
          </cell>
        </row>
        <row r="4701">
          <cell r="C4701" t="str">
            <v>KAB7100</v>
          </cell>
          <cell r="D4701" t="str">
            <v>KAB7100</v>
          </cell>
        </row>
        <row r="4702">
          <cell r="C4702" t="str">
            <v>KAC4480</v>
          </cell>
          <cell r="D4702" t="str">
            <v>KAC4480</v>
          </cell>
        </row>
        <row r="4703">
          <cell r="C4703" t="str">
            <v>KAD1080</v>
          </cell>
          <cell r="D4703" t="str">
            <v>KAD1080</v>
          </cell>
        </row>
        <row r="4704">
          <cell r="C4704" t="str">
            <v>KAE4738</v>
          </cell>
          <cell r="D4704" t="str">
            <v>KAE4738</v>
          </cell>
        </row>
        <row r="4705">
          <cell r="C4705" t="str">
            <v>KAG1713</v>
          </cell>
          <cell r="D4705" t="str">
            <v>KAG1713</v>
          </cell>
        </row>
        <row r="4706">
          <cell r="C4706" t="str">
            <v>KAG2267</v>
          </cell>
          <cell r="D4706" t="str">
            <v>KAG2267</v>
          </cell>
        </row>
        <row r="4707">
          <cell r="C4707" t="str">
            <v>KAH8889</v>
          </cell>
          <cell r="D4707" t="str">
            <v>KAH8889</v>
          </cell>
        </row>
        <row r="4708">
          <cell r="C4708" t="str">
            <v>KAI8343</v>
          </cell>
          <cell r="D4708" t="str">
            <v>KAI8343</v>
          </cell>
        </row>
        <row r="4709">
          <cell r="C4709" t="str">
            <v>KAJ0308</v>
          </cell>
          <cell r="D4709" t="str">
            <v>KAJ0308</v>
          </cell>
        </row>
        <row r="4710">
          <cell r="C4710" t="str">
            <v>KAJ6797</v>
          </cell>
          <cell r="D4710" t="str">
            <v>KAJ6797</v>
          </cell>
        </row>
        <row r="4711">
          <cell r="C4711" t="str">
            <v>KAL3720</v>
          </cell>
          <cell r="D4711" t="str">
            <v>KAL3720</v>
          </cell>
        </row>
        <row r="4712">
          <cell r="C4712" t="str">
            <v>KAO4A00</v>
          </cell>
          <cell r="D4712" t="str">
            <v>KAO4A00</v>
          </cell>
        </row>
        <row r="4713">
          <cell r="C4713" t="str">
            <v>KAO8D39</v>
          </cell>
          <cell r="D4713" t="str">
            <v>KAO8D39</v>
          </cell>
        </row>
        <row r="4714">
          <cell r="C4714" t="str">
            <v>KAQ1548</v>
          </cell>
          <cell r="D4714" t="str">
            <v>KAQ1548</v>
          </cell>
        </row>
        <row r="4715">
          <cell r="C4715" t="str">
            <v>KAS1F19</v>
          </cell>
          <cell r="D4715" t="str">
            <v>KAS1F19</v>
          </cell>
        </row>
        <row r="4716">
          <cell r="C4716" t="str">
            <v>KAY5970</v>
          </cell>
          <cell r="D4716" t="str">
            <v>KAY5970</v>
          </cell>
        </row>
        <row r="4717">
          <cell r="C4717" t="str">
            <v>KBB1466</v>
          </cell>
          <cell r="D4717" t="str">
            <v>KBB1466</v>
          </cell>
        </row>
        <row r="4718">
          <cell r="C4718" t="str">
            <v>KBC9874</v>
          </cell>
          <cell r="D4718" t="str">
            <v>KBC9874</v>
          </cell>
        </row>
        <row r="4719">
          <cell r="C4719" t="str">
            <v>KBG3931</v>
          </cell>
          <cell r="D4719" t="str">
            <v>KBG3931</v>
          </cell>
        </row>
        <row r="4720">
          <cell r="C4720" t="str">
            <v>KBG9683</v>
          </cell>
          <cell r="D4720" t="str">
            <v>KBG9683</v>
          </cell>
        </row>
        <row r="4721">
          <cell r="C4721" t="str">
            <v>KBH1786</v>
          </cell>
          <cell r="D4721" t="str">
            <v>KBH1786</v>
          </cell>
        </row>
        <row r="4722">
          <cell r="C4722" t="str">
            <v>KBJ2039</v>
          </cell>
          <cell r="D4722" t="str">
            <v>KBJ2039</v>
          </cell>
        </row>
        <row r="4723">
          <cell r="C4723" t="str">
            <v>KBO2837</v>
          </cell>
          <cell r="D4723" t="str">
            <v>KBO2837</v>
          </cell>
        </row>
        <row r="4724">
          <cell r="C4724" t="str">
            <v>KBO8906</v>
          </cell>
          <cell r="D4724" t="str">
            <v>KBO8906</v>
          </cell>
        </row>
        <row r="4725">
          <cell r="C4725" t="str">
            <v>KBR0J50</v>
          </cell>
          <cell r="D4725" t="str">
            <v>KBR0J50</v>
          </cell>
        </row>
        <row r="4726">
          <cell r="C4726" t="str">
            <v>KBT7855</v>
          </cell>
          <cell r="D4726" t="str">
            <v>KBT7855</v>
          </cell>
        </row>
        <row r="4727">
          <cell r="C4727" t="str">
            <v>KCA9125</v>
          </cell>
          <cell r="D4727" t="str">
            <v>KCA9125</v>
          </cell>
        </row>
        <row r="4728">
          <cell r="C4728" t="str">
            <v>KCF0896</v>
          </cell>
          <cell r="D4728" t="str">
            <v>KCF0896</v>
          </cell>
        </row>
        <row r="4729">
          <cell r="C4729" t="str">
            <v>KCG4988</v>
          </cell>
          <cell r="D4729" t="str">
            <v>KCG4988</v>
          </cell>
        </row>
        <row r="4730">
          <cell r="C4730" t="str">
            <v>KCN6917</v>
          </cell>
          <cell r="D4730" t="str">
            <v>KCN6917</v>
          </cell>
        </row>
        <row r="4731">
          <cell r="C4731" t="str">
            <v>KCU1565</v>
          </cell>
          <cell r="D4731" t="str">
            <v>KCU1565</v>
          </cell>
        </row>
        <row r="4732">
          <cell r="C4732" t="str">
            <v>KCX0341</v>
          </cell>
          <cell r="D4732" t="str">
            <v>KCX0341</v>
          </cell>
        </row>
        <row r="4733">
          <cell r="C4733" t="str">
            <v>KDB6A01</v>
          </cell>
          <cell r="D4733" t="str">
            <v>KDB6A01</v>
          </cell>
        </row>
        <row r="4734">
          <cell r="C4734" t="str">
            <v>KDD9932</v>
          </cell>
          <cell r="D4734" t="str">
            <v>KDD9932</v>
          </cell>
        </row>
        <row r="4735">
          <cell r="C4735" t="str">
            <v>KDJ1014</v>
          </cell>
          <cell r="D4735" t="str">
            <v>KDJ1014</v>
          </cell>
        </row>
        <row r="4736">
          <cell r="C4736" t="str">
            <v>KDN3735</v>
          </cell>
          <cell r="D4736" t="str">
            <v>KDN3735</v>
          </cell>
        </row>
        <row r="4737">
          <cell r="C4737" t="str">
            <v>KDQ1A09</v>
          </cell>
          <cell r="D4737" t="str">
            <v>KDQ1A09</v>
          </cell>
        </row>
        <row r="4738">
          <cell r="C4738" t="str">
            <v>KDQ5491</v>
          </cell>
          <cell r="D4738" t="str">
            <v>KDQ5491</v>
          </cell>
        </row>
        <row r="4739">
          <cell r="C4739" t="str">
            <v>KDS1020</v>
          </cell>
          <cell r="D4739" t="str">
            <v>KDS1020</v>
          </cell>
        </row>
        <row r="4740">
          <cell r="C4740" t="str">
            <v>KDV0F62</v>
          </cell>
          <cell r="D4740" t="str">
            <v>KDV0F62</v>
          </cell>
        </row>
        <row r="4741">
          <cell r="C4741" t="str">
            <v>KDV8829</v>
          </cell>
          <cell r="D4741" t="str">
            <v>KDV8829</v>
          </cell>
        </row>
        <row r="4742">
          <cell r="C4742" t="str">
            <v>KDW 2771</v>
          </cell>
          <cell r="D4742" t="str">
            <v>KDW2771</v>
          </cell>
        </row>
        <row r="4743">
          <cell r="C4743" t="str">
            <v>KDW4J39</v>
          </cell>
          <cell r="D4743" t="str">
            <v>KDW4J39</v>
          </cell>
        </row>
        <row r="4744">
          <cell r="C4744" t="str">
            <v>KDX5265</v>
          </cell>
          <cell r="D4744" t="str">
            <v>KDX5265</v>
          </cell>
        </row>
        <row r="4745">
          <cell r="C4745" t="str">
            <v>KDX5285</v>
          </cell>
          <cell r="D4745" t="str">
            <v>KDX5285</v>
          </cell>
        </row>
        <row r="4746">
          <cell r="C4746" t="str">
            <v>KEA7I08</v>
          </cell>
          <cell r="D4746" t="str">
            <v>KEA7I08</v>
          </cell>
        </row>
        <row r="4747">
          <cell r="C4747" t="str">
            <v>KED9171</v>
          </cell>
          <cell r="D4747" t="str">
            <v>KED9171</v>
          </cell>
        </row>
        <row r="4748">
          <cell r="C4748" t="str">
            <v>KEI6006</v>
          </cell>
          <cell r="D4748" t="str">
            <v>KEI6006</v>
          </cell>
        </row>
        <row r="4749">
          <cell r="C4749" t="str">
            <v>KEJ4162</v>
          </cell>
          <cell r="D4749" t="str">
            <v>KEJ4162</v>
          </cell>
        </row>
        <row r="4750">
          <cell r="C4750" t="str">
            <v>KEL5090</v>
          </cell>
          <cell r="D4750" t="str">
            <v>KEL5090</v>
          </cell>
        </row>
        <row r="4751">
          <cell r="C4751" t="str">
            <v>KEL5A90</v>
          </cell>
          <cell r="D4751" t="str">
            <v>KEL5A90</v>
          </cell>
        </row>
        <row r="4752">
          <cell r="C4752" t="str">
            <v>KEM7607</v>
          </cell>
          <cell r="D4752" t="str">
            <v>KEM7607</v>
          </cell>
        </row>
        <row r="4753">
          <cell r="C4753" t="str">
            <v>KER4F55</v>
          </cell>
          <cell r="D4753" t="str">
            <v>KER4F55</v>
          </cell>
        </row>
        <row r="4754">
          <cell r="C4754" t="str">
            <v>KER5452</v>
          </cell>
          <cell r="D4754" t="str">
            <v>KER5452</v>
          </cell>
        </row>
        <row r="4755">
          <cell r="C4755" t="str">
            <v>KET0079</v>
          </cell>
          <cell r="D4755" t="str">
            <v>KET0079</v>
          </cell>
        </row>
        <row r="4756">
          <cell r="C4756" t="str">
            <v>KEU1813</v>
          </cell>
          <cell r="D4756" t="str">
            <v>KEU1813</v>
          </cell>
        </row>
        <row r="4757">
          <cell r="C4757" t="str">
            <v>KGA4887</v>
          </cell>
          <cell r="D4757" t="str">
            <v>KGA4887</v>
          </cell>
        </row>
        <row r="4758">
          <cell r="C4758" t="str">
            <v>KGB9683</v>
          </cell>
          <cell r="D4758" t="str">
            <v>KGB9683</v>
          </cell>
        </row>
        <row r="4759">
          <cell r="C4759" t="str">
            <v>KGF1146</v>
          </cell>
          <cell r="D4759" t="str">
            <v>KGF1146</v>
          </cell>
        </row>
        <row r="4760">
          <cell r="C4760" t="str">
            <v>KGG4920</v>
          </cell>
          <cell r="D4760" t="str">
            <v>KGG4920</v>
          </cell>
        </row>
        <row r="4761">
          <cell r="C4761" t="str">
            <v>KGO6074</v>
          </cell>
          <cell r="D4761" t="str">
            <v>KGO6074</v>
          </cell>
        </row>
        <row r="4762">
          <cell r="C4762" t="str">
            <v>KGQ6074</v>
          </cell>
          <cell r="D4762" t="str">
            <v>KGQ6074</v>
          </cell>
        </row>
        <row r="4763">
          <cell r="C4763" t="str">
            <v>KHQ0563</v>
          </cell>
          <cell r="D4763" t="str">
            <v>KHQ0563</v>
          </cell>
        </row>
        <row r="4764">
          <cell r="C4764" t="str">
            <v>KHY4I66</v>
          </cell>
          <cell r="D4764" t="str">
            <v>KHY4I66</v>
          </cell>
        </row>
        <row r="4765">
          <cell r="C4765" t="str">
            <v>KHY4866</v>
          </cell>
          <cell r="D4765" t="str">
            <v>KHY4866</v>
          </cell>
        </row>
        <row r="4766">
          <cell r="C4766" t="str">
            <v>KIF6437</v>
          </cell>
          <cell r="D4766" t="str">
            <v>KIF6437</v>
          </cell>
        </row>
        <row r="4767">
          <cell r="C4767" t="str">
            <v>KJJ9259</v>
          </cell>
          <cell r="D4767" t="str">
            <v>KJJ9259</v>
          </cell>
        </row>
        <row r="4768">
          <cell r="C4768" t="str">
            <v>KKC9940</v>
          </cell>
          <cell r="D4768" t="str">
            <v>KKC9940</v>
          </cell>
        </row>
        <row r="4769">
          <cell r="C4769" t="str">
            <v>KKC9J40</v>
          </cell>
          <cell r="D4769" t="str">
            <v>KKC9J40</v>
          </cell>
        </row>
        <row r="4770">
          <cell r="C4770" t="str">
            <v>KKR0297</v>
          </cell>
          <cell r="D4770" t="str">
            <v>KKR0297</v>
          </cell>
        </row>
        <row r="4771">
          <cell r="C4771" t="str">
            <v>KKV3107</v>
          </cell>
          <cell r="D4771" t="str">
            <v>KKV3107</v>
          </cell>
        </row>
        <row r="4772">
          <cell r="C4772" t="str">
            <v>KLR9457</v>
          </cell>
          <cell r="D4772" t="str">
            <v>KLR9457</v>
          </cell>
        </row>
        <row r="4773">
          <cell r="C4773" t="str">
            <v>KLR9597</v>
          </cell>
          <cell r="D4773" t="str">
            <v>KLR9597</v>
          </cell>
        </row>
        <row r="4774">
          <cell r="C4774" t="str">
            <v>KLU4594</v>
          </cell>
          <cell r="D4774" t="str">
            <v>KLU4594</v>
          </cell>
        </row>
        <row r="4775">
          <cell r="C4775" t="str">
            <v>KMF8127</v>
          </cell>
          <cell r="D4775" t="str">
            <v>KMF8127</v>
          </cell>
        </row>
        <row r="4776">
          <cell r="C4776" t="str">
            <v>KMF8194</v>
          </cell>
          <cell r="D4776" t="str">
            <v>KMF8194</v>
          </cell>
        </row>
        <row r="4777">
          <cell r="C4777" t="str">
            <v>KMG4197</v>
          </cell>
          <cell r="D4777" t="str">
            <v>KMG4197</v>
          </cell>
        </row>
        <row r="4778">
          <cell r="C4778" t="str">
            <v>KMJ3288</v>
          </cell>
          <cell r="D4778" t="str">
            <v>KMJ3288</v>
          </cell>
        </row>
        <row r="4779">
          <cell r="C4779" t="str">
            <v>KMK3276</v>
          </cell>
          <cell r="D4779" t="str">
            <v>KMK3276</v>
          </cell>
        </row>
        <row r="4780">
          <cell r="C4780" t="str">
            <v>KMK9559</v>
          </cell>
          <cell r="D4780" t="str">
            <v>KMK9559</v>
          </cell>
        </row>
        <row r="4781">
          <cell r="C4781" t="str">
            <v>KMS1I27</v>
          </cell>
          <cell r="D4781" t="str">
            <v>KMS1I27</v>
          </cell>
        </row>
        <row r="4782">
          <cell r="C4782" t="str">
            <v>KMT3524</v>
          </cell>
          <cell r="D4782" t="str">
            <v>KMT3524</v>
          </cell>
        </row>
        <row r="4783">
          <cell r="C4783" t="str">
            <v>KMT4811</v>
          </cell>
          <cell r="D4783" t="str">
            <v>KMT4811</v>
          </cell>
        </row>
        <row r="4784">
          <cell r="C4784" t="str">
            <v>KMX1228</v>
          </cell>
          <cell r="D4784" t="str">
            <v>KMX1228</v>
          </cell>
        </row>
        <row r="4785">
          <cell r="C4785" t="str">
            <v>KNG2979</v>
          </cell>
          <cell r="D4785" t="str">
            <v>KNG2979</v>
          </cell>
        </row>
        <row r="4786">
          <cell r="C4786" t="str">
            <v>KNJ0275</v>
          </cell>
          <cell r="D4786" t="str">
            <v>KNJ0275</v>
          </cell>
        </row>
        <row r="4787">
          <cell r="C4787" t="str">
            <v>KNL5669</v>
          </cell>
          <cell r="D4787" t="str">
            <v>KNL5669</v>
          </cell>
        </row>
        <row r="4788">
          <cell r="C4788" t="str">
            <v>KNV2151</v>
          </cell>
          <cell r="D4788" t="str">
            <v>KNV2151</v>
          </cell>
        </row>
        <row r="4789">
          <cell r="C4789" t="str">
            <v>KNY7774</v>
          </cell>
          <cell r="D4789" t="str">
            <v>KNY7774</v>
          </cell>
        </row>
        <row r="4790">
          <cell r="C4790" t="str">
            <v>KOE6254</v>
          </cell>
          <cell r="D4790" t="str">
            <v>KOE6254</v>
          </cell>
        </row>
        <row r="4791">
          <cell r="C4791" t="str">
            <v>KOQ8D39</v>
          </cell>
          <cell r="D4791" t="str">
            <v>KOQ8D39</v>
          </cell>
        </row>
        <row r="4792">
          <cell r="C4792" t="str">
            <v>KOW7431</v>
          </cell>
          <cell r="D4792" t="str">
            <v>KOW7431</v>
          </cell>
        </row>
        <row r="4793">
          <cell r="C4793" t="str">
            <v>KOX5285</v>
          </cell>
          <cell r="D4793" t="str">
            <v>KOX5285</v>
          </cell>
        </row>
        <row r="4794">
          <cell r="C4794" t="str">
            <v>KPA7458</v>
          </cell>
          <cell r="D4794" t="str">
            <v>KPA7458</v>
          </cell>
        </row>
        <row r="4795">
          <cell r="C4795" t="str">
            <v>KPN1930</v>
          </cell>
          <cell r="D4795" t="str">
            <v>KPN1930</v>
          </cell>
        </row>
        <row r="4796">
          <cell r="C4796" t="str">
            <v>KPQ2J49</v>
          </cell>
          <cell r="D4796" t="str">
            <v>KPQ2J49</v>
          </cell>
        </row>
        <row r="4797">
          <cell r="C4797" t="str">
            <v>KQG2E20</v>
          </cell>
          <cell r="D4797" t="str">
            <v>KQG2E20</v>
          </cell>
        </row>
        <row r="4798">
          <cell r="C4798" t="str">
            <v>KQI7864</v>
          </cell>
          <cell r="D4798" t="str">
            <v>KQI7864</v>
          </cell>
        </row>
        <row r="4799">
          <cell r="C4799" t="str">
            <v>KQM4169</v>
          </cell>
          <cell r="D4799" t="str">
            <v>KQM4169</v>
          </cell>
        </row>
        <row r="4800">
          <cell r="C4800" t="str">
            <v>KRG5722</v>
          </cell>
          <cell r="D4800" t="str">
            <v>KRG5722</v>
          </cell>
        </row>
        <row r="4801">
          <cell r="C4801" t="str">
            <v>KRJ1140</v>
          </cell>
          <cell r="D4801" t="str">
            <v>KRJ1140</v>
          </cell>
        </row>
        <row r="4802">
          <cell r="C4802" t="str">
            <v>KRZ4304</v>
          </cell>
          <cell r="D4802" t="str">
            <v>KRZ4304</v>
          </cell>
        </row>
        <row r="4803">
          <cell r="C4803" t="str">
            <v>KSB1G63</v>
          </cell>
          <cell r="D4803" t="str">
            <v>KSB1G63</v>
          </cell>
        </row>
        <row r="4804">
          <cell r="C4804" t="str">
            <v>KSB3818</v>
          </cell>
          <cell r="D4804" t="str">
            <v>KSB3818</v>
          </cell>
        </row>
        <row r="4805">
          <cell r="C4805" t="str">
            <v>KSQ2288</v>
          </cell>
          <cell r="D4805" t="str">
            <v>KSQ2288</v>
          </cell>
        </row>
        <row r="4806">
          <cell r="C4806" t="str">
            <v>KUP8009</v>
          </cell>
          <cell r="D4806" t="str">
            <v>KUP8009</v>
          </cell>
        </row>
        <row r="4807">
          <cell r="C4807" t="str">
            <v>KUW6662</v>
          </cell>
          <cell r="D4807" t="str">
            <v>KUW6662</v>
          </cell>
        </row>
        <row r="4808">
          <cell r="C4808" t="str">
            <v>KVD6794</v>
          </cell>
          <cell r="D4808" t="str">
            <v>KVD6794</v>
          </cell>
        </row>
        <row r="4809">
          <cell r="C4809" t="str">
            <v>KVE6272</v>
          </cell>
          <cell r="D4809" t="str">
            <v>KVE6272</v>
          </cell>
        </row>
        <row r="4810">
          <cell r="C4810" t="str">
            <v>KVF9503</v>
          </cell>
          <cell r="D4810" t="str">
            <v>KVF9503</v>
          </cell>
        </row>
        <row r="4811">
          <cell r="C4811" t="str">
            <v>KVI7462</v>
          </cell>
          <cell r="D4811" t="str">
            <v>KVI7462</v>
          </cell>
        </row>
        <row r="4812">
          <cell r="C4812" t="str">
            <v>KVS4D88</v>
          </cell>
          <cell r="D4812" t="str">
            <v>KVS4D88</v>
          </cell>
        </row>
        <row r="4813">
          <cell r="C4813" t="str">
            <v>KWA3160</v>
          </cell>
          <cell r="D4813" t="str">
            <v>KWA3160</v>
          </cell>
        </row>
        <row r="4814">
          <cell r="C4814" t="str">
            <v>KWX3160</v>
          </cell>
          <cell r="D4814" t="str">
            <v>KWX3160</v>
          </cell>
        </row>
        <row r="4815">
          <cell r="C4815" t="str">
            <v>KXG6995</v>
          </cell>
          <cell r="D4815" t="str">
            <v>KXG6995</v>
          </cell>
        </row>
        <row r="4816">
          <cell r="C4816" t="str">
            <v>KXY9382</v>
          </cell>
          <cell r="D4816" t="str">
            <v>KXY9382</v>
          </cell>
        </row>
        <row r="4817">
          <cell r="C4817" t="str">
            <v>KXZ1F82</v>
          </cell>
          <cell r="D4817" t="str">
            <v>KXZ1F82</v>
          </cell>
        </row>
        <row r="4818">
          <cell r="C4818" t="str">
            <v>KYN1875</v>
          </cell>
          <cell r="D4818" t="str">
            <v>KYN1875</v>
          </cell>
        </row>
        <row r="4819">
          <cell r="C4819" t="str">
            <v>KYN6A41</v>
          </cell>
          <cell r="D4819" t="str">
            <v>KYN6A41</v>
          </cell>
        </row>
        <row r="4820">
          <cell r="C4820" t="str">
            <v>KZI3797</v>
          </cell>
          <cell r="D4820" t="str">
            <v>KZI3797</v>
          </cell>
        </row>
        <row r="4821">
          <cell r="C4821" t="str">
            <v>KZK1367</v>
          </cell>
          <cell r="D4821" t="str">
            <v>KZK1367</v>
          </cell>
        </row>
        <row r="4822">
          <cell r="C4822" t="str">
            <v>KZW1C41</v>
          </cell>
          <cell r="D4822" t="str">
            <v>KZW1C41</v>
          </cell>
        </row>
        <row r="4823">
          <cell r="C4823" t="str">
            <v>MCO6671</v>
          </cell>
          <cell r="D4823" t="str">
            <v>MCO6671</v>
          </cell>
        </row>
        <row r="4824">
          <cell r="C4824" t="str">
            <v>ARD0786</v>
          </cell>
          <cell r="D4824" t="str">
            <v>ARD0786</v>
          </cell>
        </row>
        <row r="4825">
          <cell r="C4825" t="str">
            <v>LAF3519</v>
          </cell>
          <cell r="D4825" t="str">
            <v>LAF3519</v>
          </cell>
        </row>
        <row r="4826">
          <cell r="C4826" t="str">
            <v>LAF5855</v>
          </cell>
          <cell r="D4826" t="str">
            <v>LAF5855</v>
          </cell>
        </row>
        <row r="4827">
          <cell r="C4827" t="str">
            <v>LAV3633</v>
          </cell>
          <cell r="D4827" t="str">
            <v>LAV3633</v>
          </cell>
        </row>
        <row r="4828">
          <cell r="C4828" t="str">
            <v>LAV3G33</v>
          </cell>
          <cell r="D4828" t="str">
            <v>LAV3G33</v>
          </cell>
        </row>
        <row r="4829">
          <cell r="C4829" t="str">
            <v>LBB3155</v>
          </cell>
          <cell r="D4829" t="str">
            <v>LBB3155</v>
          </cell>
        </row>
        <row r="4830">
          <cell r="C4830" t="str">
            <v>LBG6747</v>
          </cell>
          <cell r="D4830" t="str">
            <v>LBG6747</v>
          </cell>
        </row>
        <row r="4831">
          <cell r="C4831" t="str">
            <v>LBM5731</v>
          </cell>
          <cell r="D4831" t="str">
            <v>LBM5731</v>
          </cell>
        </row>
        <row r="4832">
          <cell r="C4832" t="str">
            <v>LDA8788</v>
          </cell>
          <cell r="D4832" t="str">
            <v>LDA8788</v>
          </cell>
        </row>
        <row r="4833">
          <cell r="C4833" t="str">
            <v>BXJ8576</v>
          </cell>
          <cell r="D4833" t="str">
            <v>BXJ8576</v>
          </cell>
        </row>
        <row r="4834">
          <cell r="C4834" t="str">
            <v>HSA6861</v>
          </cell>
          <cell r="D4834" t="str">
            <v>HSA6861</v>
          </cell>
        </row>
        <row r="4835">
          <cell r="C4835" t="str">
            <v>ACD0722</v>
          </cell>
          <cell r="D4835" t="str">
            <v>ACD0722</v>
          </cell>
        </row>
        <row r="4836">
          <cell r="C4836" t="str">
            <v>HQN8943</v>
          </cell>
          <cell r="D4836" t="str">
            <v>HQN8943</v>
          </cell>
        </row>
        <row r="4837">
          <cell r="C4837" t="str">
            <v>LHK7412</v>
          </cell>
          <cell r="D4837" t="str">
            <v>LHK7412</v>
          </cell>
        </row>
        <row r="4838">
          <cell r="C4838" t="str">
            <v>LHP8614</v>
          </cell>
          <cell r="D4838" t="str">
            <v>LHP8614</v>
          </cell>
        </row>
        <row r="4839">
          <cell r="C4839" t="str">
            <v>LHS3745</v>
          </cell>
          <cell r="D4839" t="str">
            <v>LHS3745</v>
          </cell>
        </row>
        <row r="4840">
          <cell r="C4840" t="str">
            <v>LIE0925</v>
          </cell>
          <cell r="D4840" t="str">
            <v>LIE0925</v>
          </cell>
        </row>
        <row r="4841">
          <cell r="C4841" t="str">
            <v>LIV9J14</v>
          </cell>
          <cell r="D4841" t="str">
            <v>LIV9J14</v>
          </cell>
        </row>
        <row r="4842">
          <cell r="C4842" t="str">
            <v>LJQ5I15</v>
          </cell>
          <cell r="D4842" t="str">
            <v>LJQ5I15</v>
          </cell>
        </row>
        <row r="4843">
          <cell r="C4843" t="str">
            <v>LJR3867</v>
          </cell>
          <cell r="D4843" t="str">
            <v>LJR3867</v>
          </cell>
        </row>
        <row r="4844">
          <cell r="C4844" t="str">
            <v>LKA8J74</v>
          </cell>
          <cell r="D4844" t="str">
            <v>LKA8J74</v>
          </cell>
        </row>
        <row r="4845">
          <cell r="C4845" t="str">
            <v>LKB9G38</v>
          </cell>
          <cell r="D4845" t="str">
            <v>LKB9G38</v>
          </cell>
        </row>
        <row r="4846">
          <cell r="C4846" t="str">
            <v>LKP4222</v>
          </cell>
          <cell r="D4846" t="str">
            <v>LKP4222</v>
          </cell>
        </row>
        <row r="4847">
          <cell r="C4847" t="str">
            <v>LKV2J34</v>
          </cell>
          <cell r="D4847" t="str">
            <v>LKV2J34</v>
          </cell>
        </row>
        <row r="4848">
          <cell r="C4848" t="str">
            <v>LLD3971</v>
          </cell>
          <cell r="D4848" t="str">
            <v>LLD3971</v>
          </cell>
        </row>
        <row r="4849">
          <cell r="C4849" t="str">
            <v>LLF1054</v>
          </cell>
          <cell r="D4849" t="str">
            <v>LLF1054</v>
          </cell>
        </row>
        <row r="4850">
          <cell r="C4850" t="str">
            <v>LLP4023</v>
          </cell>
          <cell r="D4850" t="str">
            <v>LLP4023</v>
          </cell>
        </row>
        <row r="4851">
          <cell r="C4851" t="str">
            <v>LLQ5132</v>
          </cell>
          <cell r="D4851" t="str">
            <v>LLQ5132</v>
          </cell>
        </row>
        <row r="4852">
          <cell r="C4852" t="str">
            <v>LLR8300</v>
          </cell>
          <cell r="D4852" t="str">
            <v>LLR8300</v>
          </cell>
        </row>
        <row r="4853">
          <cell r="C4853" t="str">
            <v>LLS5051</v>
          </cell>
          <cell r="D4853" t="str">
            <v>LLS5051</v>
          </cell>
        </row>
        <row r="4854">
          <cell r="C4854" t="str">
            <v>LLS7674</v>
          </cell>
          <cell r="D4854" t="str">
            <v>LLS7674</v>
          </cell>
        </row>
        <row r="4855">
          <cell r="C4855" t="str">
            <v>LLW8291</v>
          </cell>
          <cell r="D4855" t="str">
            <v>LLW8291</v>
          </cell>
        </row>
        <row r="4856">
          <cell r="C4856" t="str">
            <v>LML2540</v>
          </cell>
          <cell r="D4856" t="str">
            <v>LML2540</v>
          </cell>
        </row>
        <row r="4857">
          <cell r="C4857" t="str">
            <v>LMY2829</v>
          </cell>
          <cell r="D4857" t="str">
            <v>LMY2829</v>
          </cell>
        </row>
        <row r="4858">
          <cell r="C4858" t="str">
            <v>LNQ2446</v>
          </cell>
          <cell r="D4858" t="str">
            <v>LNQ2446</v>
          </cell>
        </row>
        <row r="4859">
          <cell r="C4859" t="str">
            <v>LNY0466</v>
          </cell>
          <cell r="D4859" t="str">
            <v>LNY0466</v>
          </cell>
        </row>
        <row r="4860">
          <cell r="C4860" t="str">
            <v>LOC0643</v>
          </cell>
          <cell r="D4860" t="str">
            <v>LOC0643</v>
          </cell>
        </row>
        <row r="4861">
          <cell r="C4861" t="str">
            <v>LOCEQUIP</v>
          </cell>
          <cell r="D4861" t="str">
            <v xml:space="preserve">       </v>
          </cell>
        </row>
        <row r="4862">
          <cell r="C4862" t="str">
            <v>MFU6596</v>
          </cell>
          <cell r="D4862" t="str">
            <v>MFU6596</v>
          </cell>
        </row>
        <row r="4863">
          <cell r="C4863" t="str">
            <v>LOF8875</v>
          </cell>
          <cell r="D4863" t="str">
            <v>LOF8875</v>
          </cell>
        </row>
        <row r="4864">
          <cell r="C4864" t="str">
            <v>LOH2422</v>
          </cell>
          <cell r="D4864" t="str">
            <v>LOH2422</v>
          </cell>
        </row>
        <row r="4865">
          <cell r="C4865" t="str">
            <v>MGM2126</v>
          </cell>
          <cell r="D4865" t="str">
            <v>MGM2126</v>
          </cell>
        </row>
        <row r="4866">
          <cell r="C4866" t="str">
            <v>IGM6687</v>
          </cell>
          <cell r="D4866" t="str">
            <v>IGM6687</v>
          </cell>
        </row>
        <row r="4867">
          <cell r="C4867" t="str">
            <v>LPA7I27</v>
          </cell>
          <cell r="D4867" t="str">
            <v>LPA7I27</v>
          </cell>
        </row>
        <row r="4868">
          <cell r="C4868" t="str">
            <v>LPD0599</v>
          </cell>
          <cell r="D4868" t="str">
            <v>LPD0599</v>
          </cell>
        </row>
        <row r="4869">
          <cell r="C4869" t="str">
            <v>LPQ3453</v>
          </cell>
          <cell r="D4869" t="str">
            <v>LPQ3453</v>
          </cell>
        </row>
        <row r="4870">
          <cell r="C4870" t="str">
            <v>LPR1475</v>
          </cell>
          <cell r="D4870" t="str">
            <v>LPR1475</v>
          </cell>
        </row>
        <row r="4871">
          <cell r="C4871" t="str">
            <v>LPV8104</v>
          </cell>
          <cell r="D4871" t="str">
            <v>LPV8104</v>
          </cell>
        </row>
        <row r="4872">
          <cell r="C4872" t="str">
            <v>LQA3I39</v>
          </cell>
          <cell r="D4872" t="str">
            <v>LQA3I39</v>
          </cell>
        </row>
        <row r="4873">
          <cell r="C4873" t="str">
            <v>LQE6129</v>
          </cell>
          <cell r="D4873" t="str">
            <v>LQE6129</v>
          </cell>
        </row>
        <row r="4874">
          <cell r="C4874" t="str">
            <v>LQE6B29</v>
          </cell>
          <cell r="D4874" t="str">
            <v>LQE6B29</v>
          </cell>
        </row>
        <row r="4875">
          <cell r="C4875" t="str">
            <v>LQF7940</v>
          </cell>
          <cell r="D4875" t="str">
            <v>LQF7940</v>
          </cell>
        </row>
        <row r="4876">
          <cell r="C4876" t="str">
            <v>LQQ9254</v>
          </cell>
          <cell r="D4876" t="str">
            <v>LQQ9254</v>
          </cell>
        </row>
        <row r="4877">
          <cell r="C4877" t="str">
            <v>LQV5679</v>
          </cell>
          <cell r="D4877" t="str">
            <v>LQV5679</v>
          </cell>
        </row>
        <row r="4878">
          <cell r="C4878" t="str">
            <v>GGE8044</v>
          </cell>
          <cell r="D4878" t="str">
            <v>GGE8044</v>
          </cell>
        </row>
        <row r="4879">
          <cell r="C4879" t="str">
            <v>LRD9J89</v>
          </cell>
          <cell r="D4879" t="str">
            <v>LRD9J89</v>
          </cell>
        </row>
        <row r="4880">
          <cell r="C4880" t="str">
            <v>LRQ5270</v>
          </cell>
          <cell r="D4880" t="str">
            <v>LRQ5270</v>
          </cell>
        </row>
        <row r="4881">
          <cell r="C4881" t="str">
            <v>LSI1748</v>
          </cell>
          <cell r="D4881" t="str">
            <v>LSI1748</v>
          </cell>
        </row>
        <row r="4882">
          <cell r="C4882" t="str">
            <v>LSP4C61</v>
          </cell>
          <cell r="D4882" t="str">
            <v>LSP4C61</v>
          </cell>
        </row>
        <row r="4883">
          <cell r="C4883" t="str">
            <v>LTX1264</v>
          </cell>
          <cell r="D4883" t="str">
            <v>LTX1264</v>
          </cell>
        </row>
        <row r="4884">
          <cell r="C4884" t="str">
            <v>KIC9676</v>
          </cell>
          <cell r="D4884" t="str">
            <v>KIC9676</v>
          </cell>
        </row>
        <row r="4885">
          <cell r="C4885" t="str">
            <v>JYG7440</v>
          </cell>
          <cell r="D4885" t="str">
            <v>JYG7440</v>
          </cell>
        </row>
        <row r="4886">
          <cell r="C4886" t="str">
            <v>NBU3801</v>
          </cell>
          <cell r="D4886" t="str">
            <v>NBU3801</v>
          </cell>
        </row>
        <row r="4887">
          <cell r="C4887" t="str">
            <v>IEL1851</v>
          </cell>
          <cell r="D4887" t="str">
            <v>IEL1851</v>
          </cell>
        </row>
        <row r="4888">
          <cell r="C4888" t="str">
            <v>AEI2136</v>
          </cell>
          <cell r="D4888" t="str">
            <v>AEI2136</v>
          </cell>
        </row>
        <row r="4889">
          <cell r="C4889" t="str">
            <v>BGG0344</v>
          </cell>
          <cell r="D4889" t="str">
            <v>BGG0344</v>
          </cell>
        </row>
        <row r="4890">
          <cell r="C4890" t="str">
            <v>OOM7094</v>
          </cell>
          <cell r="D4890" t="str">
            <v>OOM7094</v>
          </cell>
        </row>
        <row r="4891">
          <cell r="C4891" t="str">
            <v>MAG1764</v>
          </cell>
          <cell r="D4891" t="str">
            <v>MAG1764</v>
          </cell>
        </row>
        <row r="4892">
          <cell r="C4892" t="str">
            <v>GMZ7724</v>
          </cell>
          <cell r="D4892" t="str">
            <v>GMZ7724</v>
          </cell>
        </row>
        <row r="4893">
          <cell r="C4893" t="str">
            <v>MEE8171</v>
          </cell>
          <cell r="D4893" t="str">
            <v>MEE8171</v>
          </cell>
        </row>
        <row r="4894">
          <cell r="C4894" t="str">
            <v>GLK1774</v>
          </cell>
          <cell r="D4894" t="str">
            <v>GLK1774</v>
          </cell>
        </row>
        <row r="4895">
          <cell r="C4895" t="str">
            <v>MJV8452</v>
          </cell>
          <cell r="D4895" t="str">
            <v>MJV8452</v>
          </cell>
        </row>
        <row r="4896">
          <cell r="C4896" t="str">
            <v>JYI0779</v>
          </cell>
          <cell r="D4896" t="str">
            <v>JYI0779</v>
          </cell>
        </row>
        <row r="4897">
          <cell r="C4897" t="str">
            <v>KNN1759</v>
          </cell>
          <cell r="D4897" t="str">
            <v>KNN1759</v>
          </cell>
        </row>
        <row r="4898">
          <cell r="C4898" t="str">
            <v>HGJ2033</v>
          </cell>
          <cell r="D4898" t="str">
            <v>HGJ2033</v>
          </cell>
        </row>
        <row r="4899">
          <cell r="C4899" t="str">
            <v>MQX9263</v>
          </cell>
          <cell r="D4899" t="str">
            <v>MQX9263</v>
          </cell>
        </row>
        <row r="4900">
          <cell r="C4900" t="str">
            <v>BWE5256</v>
          </cell>
          <cell r="D4900" t="str">
            <v>BWE5256</v>
          </cell>
        </row>
        <row r="4901">
          <cell r="C4901" t="str">
            <v>LUR6592</v>
          </cell>
          <cell r="D4901" t="str">
            <v>LUR6592</v>
          </cell>
        </row>
        <row r="4902">
          <cell r="C4902" t="str">
            <v>LVH9431</v>
          </cell>
          <cell r="D4902" t="str">
            <v>LVH9431</v>
          </cell>
        </row>
        <row r="4903">
          <cell r="C4903" t="str">
            <v>LWF2430</v>
          </cell>
          <cell r="D4903" t="str">
            <v>LWF2430</v>
          </cell>
        </row>
        <row r="4904">
          <cell r="C4904" t="str">
            <v>LWR0283</v>
          </cell>
          <cell r="D4904" t="str">
            <v>LWR0283</v>
          </cell>
        </row>
        <row r="4905">
          <cell r="C4905" t="str">
            <v>LWS2083</v>
          </cell>
          <cell r="D4905" t="str">
            <v>LWS2083</v>
          </cell>
        </row>
        <row r="4906">
          <cell r="C4906" t="str">
            <v>LWS9H42</v>
          </cell>
          <cell r="D4906" t="str">
            <v>LWS9H42</v>
          </cell>
        </row>
        <row r="4907">
          <cell r="C4907" t="str">
            <v>LWS9H92</v>
          </cell>
          <cell r="D4907" t="str">
            <v>LWS9H92</v>
          </cell>
        </row>
        <row r="4908">
          <cell r="C4908" t="str">
            <v>LWT6E12</v>
          </cell>
          <cell r="D4908" t="str">
            <v>LWT6E12</v>
          </cell>
        </row>
        <row r="4909">
          <cell r="C4909" t="str">
            <v>LWU3G31</v>
          </cell>
          <cell r="D4909" t="str">
            <v>LWU3G31</v>
          </cell>
        </row>
        <row r="4910">
          <cell r="C4910" t="str">
            <v>LWU7157</v>
          </cell>
          <cell r="D4910" t="str">
            <v>LWU7157</v>
          </cell>
        </row>
        <row r="4911">
          <cell r="C4911" t="str">
            <v>LWV5E56</v>
          </cell>
          <cell r="D4911" t="str">
            <v>LWV5E56</v>
          </cell>
        </row>
        <row r="4912">
          <cell r="C4912" t="str">
            <v>LWY5360</v>
          </cell>
          <cell r="D4912" t="str">
            <v>LWY5360</v>
          </cell>
        </row>
        <row r="4913">
          <cell r="C4913" t="str">
            <v>LXB5157</v>
          </cell>
          <cell r="D4913" t="str">
            <v>LXB5157</v>
          </cell>
        </row>
        <row r="4914">
          <cell r="C4914" t="str">
            <v>LXF7C11</v>
          </cell>
          <cell r="D4914" t="str">
            <v>LXF7C11</v>
          </cell>
        </row>
        <row r="4915">
          <cell r="C4915" t="str">
            <v>LXG8B76</v>
          </cell>
          <cell r="D4915" t="str">
            <v>LXG8B76</v>
          </cell>
        </row>
        <row r="4916">
          <cell r="C4916" t="str">
            <v>LXI8517</v>
          </cell>
          <cell r="D4916" t="str">
            <v>LXI8517</v>
          </cell>
        </row>
        <row r="4917">
          <cell r="C4917" t="str">
            <v>LXJ4395</v>
          </cell>
          <cell r="D4917" t="str">
            <v>LXJ4395</v>
          </cell>
        </row>
        <row r="4918">
          <cell r="C4918" t="str">
            <v>LXJ7711</v>
          </cell>
          <cell r="D4918" t="str">
            <v>LXJ7711</v>
          </cell>
        </row>
        <row r="4919">
          <cell r="C4919" t="str">
            <v>LXK3684</v>
          </cell>
          <cell r="D4919" t="str">
            <v>LXK3684</v>
          </cell>
        </row>
        <row r="4920">
          <cell r="C4920" t="str">
            <v>LXL5340</v>
          </cell>
          <cell r="D4920" t="str">
            <v>LXL5340</v>
          </cell>
        </row>
        <row r="4921">
          <cell r="C4921" t="str">
            <v>LXM1198</v>
          </cell>
          <cell r="D4921" t="str">
            <v>LXM1198</v>
          </cell>
        </row>
        <row r="4922">
          <cell r="C4922" t="str">
            <v>LXM5831</v>
          </cell>
          <cell r="D4922" t="str">
            <v>LXM5831</v>
          </cell>
        </row>
        <row r="4923">
          <cell r="C4923" t="str">
            <v>LXN5879</v>
          </cell>
          <cell r="D4923" t="str">
            <v>LXN5879</v>
          </cell>
        </row>
        <row r="4924">
          <cell r="C4924" t="str">
            <v>LXP4996</v>
          </cell>
          <cell r="D4924" t="str">
            <v>LXP4996</v>
          </cell>
        </row>
        <row r="4925">
          <cell r="C4925" t="str">
            <v>LXS8501</v>
          </cell>
          <cell r="D4925" t="str">
            <v>LXS8501</v>
          </cell>
        </row>
        <row r="4926">
          <cell r="C4926" t="str">
            <v>LXT1D08</v>
          </cell>
          <cell r="D4926" t="str">
            <v>LXT1D08</v>
          </cell>
        </row>
        <row r="4927">
          <cell r="C4927" t="str">
            <v>LXT6824</v>
          </cell>
          <cell r="D4927" t="str">
            <v>LXT6824</v>
          </cell>
        </row>
        <row r="4928">
          <cell r="C4928" t="str">
            <v>LXZ6124</v>
          </cell>
          <cell r="D4928" t="str">
            <v>LXZ6124</v>
          </cell>
        </row>
        <row r="4929">
          <cell r="C4929" t="str">
            <v>LYA4D00</v>
          </cell>
          <cell r="D4929" t="str">
            <v>LYA4D00</v>
          </cell>
        </row>
        <row r="4930">
          <cell r="C4930" t="str">
            <v>LYB9679</v>
          </cell>
          <cell r="D4930" t="str">
            <v>LYB9679</v>
          </cell>
        </row>
        <row r="4931">
          <cell r="C4931" t="str">
            <v>LYB5987</v>
          </cell>
          <cell r="D4931" t="str">
            <v>LYB5987</v>
          </cell>
        </row>
        <row r="4932">
          <cell r="C4932" t="str">
            <v>LYC4833</v>
          </cell>
          <cell r="D4932" t="str">
            <v>LYC4833</v>
          </cell>
        </row>
        <row r="4933">
          <cell r="C4933" t="str">
            <v>LYC9960</v>
          </cell>
          <cell r="D4933" t="str">
            <v>LYC9960</v>
          </cell>
        </row>
        <row r="4934">
          <cell r="C4934" t="str">
            <v>LYD3224</v>
          </cell>
          <cell r="D4934" t="str">
            <v>LYD3224</v>
          </cell>
        </row>
        <row r="4935">
          <cell r="C4935" t="str">
            <v>LYG5099</v>
          </cell>
          <cell r="D4935" t="str">
            <v>LYG5099</v>
          </cell>
        </row>
        <row r="4936">
          <cell r="C4936" t="str">
            <v>LYI6995</v>
          </cell>
          <cell r="D4936" t="str">
            <v>LYI6995</v>
          </cell>
        </row>
        <row r="4937">
          <cell r="C4937" t="str">
            <v>LYI8511</v>
          </cell>
          <cell r="D4937" t="str">
            <v>LYI8511</v>
          </cell>
        </row>
        <row r="4938">
          <cell r="C4938" t="str">
            <v>LYM1833</v>
          </cell>
          <cell r="D4938" t="str">
            <v>LYM1833</v>
          </cell>
        </row>
        <row r="4939">
          <cell r="C4939" t="str">
            <v>LYO8419</v>
          </cell>
          <cell r="D4939" t="str">
            <v>LYO8419</v>
          </cell>
        </row>
        <row r="4940">
          <cell r="C4940" t="str">
            <v>LYO9078</v>
          </cell>
          <cell r="D4940" t="str">
            <v>LYO9078</v>
          </cell>
        </row>
        <row r="4941">
          <cell r="C4941" t="str">
            <v>LYQ0236</v>
          </cell>
          <cell r="D4941" t="str">
            <v>LYQ0236</v>
          </cell>
        </row>
        <row r="4942">
          <cell r="C4942" t="str">
            <v>LYR0437</v>
          </cell>
          <cell r="D4942" t="str">
            <v>LYR0437</v>
          </cell>
        </row>
        <row r="4943">
          <cell r="C4943" t="str">
            <v>LYT1D09</v>
          </cell>
          <cell r="D4943" t="str">
            <v>LYT1D09</v>
          </cell>
        </row>
        <row r="4944">
          <cell r="C4944" t="str">
            <v>LYW8305</v>
          </cell>
          <cell r="D4944" t="str">
            <v>LYW8305</v>
          </cell>
        </row>
        <row r="4945">
          <cell r="C4945" t="str">
            <v>LYX7696</v>
          </cell>
          <cell r="D4945" t="str">
            <v>LYX7696</v>
          </cell>
        </row>
        <row r="4946">
          <cell r="C4946" t="str">
            <v>LYY7H43</v>
          </cell>
          <cell r="D4946" t="str">
            <v>LYY7H43</v>
          </cell>
        </row>
        <row r="4947">
          <cell r="C4947" t="str">
            <v>LZA8620</v>
          </cell>
          <cell r="D4947" t="str">
            <v>LZA8620</v>
          </cell>
        </row>
        <row r="4948">
          <cell r="C4948" t="str">
            <v>LZB1573</v>
          </cell>
          <cell r="D4948" t="str">
            <v>LZB1573</v>
          </cell>
        </row>
        <row r="4949">
          <cell r="C4949" t="str">
            <v>LZG7464</v>
          </cell>
          <cell r="D4949" t="str">
            <v>LZG7464</v>
          </cell>
        </row>
        <row r="4950">
          <cell r="C4950" t="str">
            <v>LZH8273</v>
          </cell>
          <cell r="D4950" t="str">
            <v>LZH8273</v>
          </cell>
        </row>
        <row r="4951">
          <cell r="C4951" t="str">
            <v>LZM4A31</v>
          </cell>
          <cell r="D4951" t="str">
            <v>LZM4A31</v>
          </cell>
        </row>
        <row r="4952">
          <cell r="C4952" t="str">
            <v>LZN6739</v>
          </cell>
          <cell r="D4952" t="str">
            <v>LZN6739</v>
          </cell>
        </row>
        <row r="4953">
          <cell r="C4953" t="str">
            <v>LZP1657</v>
          </cell>
          <cell r="D4953" t="str">
            <v>LZP1657</v>
          </cell>
        </row>
        <row r="4954">
          <cell r="C4954" t="str">
            <v>LZS6606</v>
          </cell>
          <cell r="D4954" t="str">
            <v>LZS6606</v>
          </cell>
        </row>
        <row r="4955">
          <cell r="C4955" t="str">
            <v>LZT6233</v>
          </cell>
          <cell r="D4955" t="str">
            <v>LZT6233</v>
          </cell>
        </row>
        <row r="4956">
          <cell r="C4956" t="str">
            <v>LZV2G71</v>
          </cell>
          <cell r="D4956" t="str">
            <v>LZV2G71</v>
          </cell>
        </row>
        <row r="4957">
          <cell r="C4957" t="str">
            <v>LZW6G95</v>
          </cell>
          <cell r="D4957" t="str">
            <v>LZW6G95</v>
          </cell>
        </row>
        <row r="4958">
          <cell r="C4958" t="str">
            <v>LZW8801</v>
          </cell>
          <cell r="D4958" t="str">
            <v>LZW8801</v>
          </cell>
        </row>
        <row r="4959">
          <cell r="C4959" t="str">
            <v>LZY3136</v>
          </cell>
          <cell r="D4959" t="str">
            <v>LZY3136</v>
          </cell>
        </row>
        <row r="4960">
          <cell r="C4960" t="str">
            <v>MAA8980</v>
          </cell>
          <cell r="D4960" t="str">
            <v>MAA8980</v>
          </cell>
        </row>
        <row r="4961">
          <cell r="C4961" t="str">
            <v>MAD3093</v>
          </cell>
          <cell r="D4961" t="str">
            <v>MAD3093</v>
          </cell>
        </row>
        <row r="4962">
          <cell r="C4962" t="str">
            <v>MAD5456</v>
          </cell>
          <cell r="D4962" t="str">
            <v>MAD5456</v>
          </cell>
        </row>
        <row r="4963">
          <cell r="C4963" t="str">
            <v>MAD9I55</v>
          </cell>
          <cell r="D4963" t="str">
            <v>MAD9I55</v>
          </cell>
        </row>
        <row r="4964">
          <cell r="C4964" t="str">
            <v>MAH9G76</v>
          </cell>
          <cell r="D4964" t="str">
            <v>MAH9G76</v>
          </cell>
        </row>
        <row r="4965">
          <cell r="C4965" t="str">
            <v>MAH9676</v>
          </cell>
          <cell r="D4965" t="str">
            <v>MAH9676</v>
          </cell>
        </row>
        <row r="4966">
          <cell r="C4966" t="str">
            <v>MAJ7102</v>
          </cell>
          <cell r="D4966" t="str">
            <v>MAJ7102</v>
          </cell>
        </row>
        <row r="4967">
          <cell r="C4967" t="str">
            <v>MAK6J68</v>
          </cell>
          <cell r="D4967" t="str">
            <v>MAK6J68</v>
          </cell>
        </row>
        <row r="4968">
          <cell r="C4968" t="str">
            <v>MAK9447</v>
          </cell>
          <cell r="D4968" t="str">
            <v>MAK9447</v>
          </cell>
        </row>
        <row r="4969">
          <cell r="C4969" t="str">
            <v>BXH5959</v>
          </cell>
          <cell r="D4969" t="str">
            <v>BXH5959</v>
          </cell>
        </row>
        <row r="4970">
          <cell r="C4970" t="str">
            <v>BUD8380</v>
          </cell>
          <cell r="D4970" t="str">
            <v>BUD8380</v>
          </cell>
        </row>
        <row r="4971">
          <cell r="C4971" t="str">
            <v>ARX6167</v>
          </cell>
          <cell r="D4971" t="str">
            <v>ARX6167</v>
          </cell>
        </row>
        <row r="4972">
          <cell r="C4972" t="str">
            <v>BWK7900</v>
          </cell>
          <cell r="D4972" t="str">
            <v>BWK7900</v>
          </cell>
        </row>
        <row r="4973">
          <cell r="C4973" t="str">
            <v>MAQ5301</v>
          </cell>
          <cell r="D4973" t="str">
            <v>MAQ5301</v>
          </cell>
        </row>
        <row r="4974">
          <cell r="C4974">
            <v>2840918</v>
          </cell>
          <cell r="D4974">
            <v>2840918</v>
          </cell>
        </row>
        <row r="4975">
          <cell r="C4975" t="str">
            <v>ATH0408</v>
          </cell>
          <cell r="D4975" t="str">
            <v>ATH0408</v>
          </cell>
        </row>
        <row r="4976">
          <cell r="C4976" t="str">
            <v>AUT5644</v>
          </cell>
          <cell r="D4976" t="str">
            <v>AUT5644</v>
          </cell>
        </row>
        <row r="4977">
          <cell r="C4977" t="str">
            <v>DVT2616</v>
          </cell>
          <cell r="D4977" t="str">
            <v>DVT2616</v>
          </cell>
        </row>
        <row r="4978">
          <cell r="C4978" t="str">
            <v>DTA3718</v>
          </cell>
          <cell r="D4978" t="str">
            <v>DTA3718</v>
          </cell>
        </row>
        <row r="4979">
          <cell r="C4979" t="str">
            <v>BUD9557</v>
          </cell>
          <cell r="D4979" t="str">
            <v>BUD9557</v>
          </cell>
        </row>
        <row r="4980">
          <cell r="C4980" t="str">
            <v>ACB7980</v>
          </cell>
          <cell r="D4980" t="str">
            <v>ACB7980</v>
          </cell>
        </row>
        <row r="4981">
          <cell r="C4981" t="str">
            <v>AYC6119</v>
          </cell>
          <cell r="D4981" t="str">
            <v>AYC6119</v>
          </cell>
        </row>
        <row r="4982">
          <cell r="C4982" t="str">
            <v>IKN4727</v>
          </cell>
          <cell r="D4982" t="str">
            <v>IKN4727</v>
          </cell>
        </row>
        <row r="4983">
          <cell r="C4983" t="str">
            <v>AUD7922</v>
          </cell>
          <cell r="D4983" t="str">
            <v>AUD7922</v>
          </cell>
        </row>
        <row r="4984">
          <cell r="C4984" t="str">
            <v>ABJ4119</v>
          </cell>
          <cell r="D4984" t="str">
            <v>ABJ4119</v>
          </cell>
        </row>
        <row r="4985">
          <cell r="C4985" t="str">
            <v>LSQ9258</v>
          </cell>
          <cell r="D4985" t="str">
            <v>LSQ9258</v>
          </cell>
        </row>
        <row r="4986">
          <cell r="C4986" t="str">
            <v>LHF3057</v>
          </cell>
          <cell r="D4986" t="str">
            <v>LHF3057</v>
          </cell>
        </row>
        <row r="4987">
          <cell r="C4987" t="str">
            <v>IGY2557</v>
          </cell>
          <cell r="D4987" t="str">
            <v>IGY2557</v>
          </cell>
        </row>
        <row r="4988">
          <cell r="C4988" t="str">
            <v>AHS6327</v>
          </cell>
          <cell r="D4988" t="str">
            <v>AHS6327</v>
          </cell>
        </row>
        <row r="4989">
          <cell r="C4989" t="str">
            <v>LXE4440</v>
          </cell>
          <cell r="D4989" t="str">
            <v>LXE4440</v>
          </cell>
        </row>
        <row r="4990">
          <cell r="C4990" t="str">
            <v>CPN7645</v>
          </cell>
          <cell r="D4990" t="str">
            <v>CPN7645</v>
          </cell>
        </row>
        <row r="4991">
          <cell r="C4991" t="str">
            <v>GMI9744</v>
          </cell>
          <cell r="D4991" t="str">
            <v>GMI9744</v>
          </cell>
        </row>
        <row r="4992">
          <cell r="C4992" t="str">
            <v>MAS3185</v>
          </cell>
          <cell r="D4992" t="str">
            <v>MAS3185</v>
          </cell>
        </row>
        <row r="4993">
          <cell r="C4993" t="str">
            <v>MAT8467</v>
          </cell>
          <cell r="D4993" t="str">
            <v>MAT8467</v>
          </cell>
        </row>
        <row r="4994">
          <cell r="C4994" t="str">
            <v>DBM4086</v>
          </cell>
          <cell r="D4994" t="str">
            <v>DBM4086</v>
          </cell>
        </row>
        <row r="4995">
          <cell r="C4995" t="str">
            <v>MAX6763</v>
          </cell>
          <cell r="D4995" t="str">
            <v>MAX6763</v>
          </cell>
        </row>
        <row r="4996">
          <cell r="C4996" t="str">
            <v>MAX9G49</v>
          </cell>
          <cell r="D4996" t="str">
            <v>MAX9G49</v>
          </cell>
        </row>
        <row r="4997">
          <cell r="C4997" t="str">
            <v>MAY5F14</v>
          </cell>
          <cell r="D4997" t="str">
            <v>MAY5F14</v>
          </cell>
        </row>
        <row r="4998">
          <cell r="C4998" t="str">
            <v>MBB8238</v>
          </cell>
          <cell r="D4998" t="str">
            <v>MBB8238</v>
          </cell>
        </row>
        <row r="4999">
          <cell r="C4999" t="str">
            <v>MBC5E90</v>
          </cell>
          <cell r="D4999" t="str">
            <v>MBC5E90</v>
          </cell>
        </row>
        <row r="5000">
          <cell r="C5000" t="str">
            <v>MBD2898</v>
          </cell>
          <cell r="D5000" t="str">
            <v>MBD2898</v>
          </cell>
        </row>
        <row r="5001">
          <cell r="C5001" t="str">
            <v>MBE1121</v>
          </cell>
          <cell r="D5001" t="str">
            <v>MBE1121</v>
          </cell>
        </row>
        <row r="5002">
          <cell r="C5002" t="str">
            <v>MBF1E15</v>
          </cell>
          <cell r="D5002" t="str">
            <v>MBF1E15</v>
          </cell>
        </row>
        <row r="5003">
          <cell r="C5003" t="str">
            <v>MBN4735</v>
          </cell>
          <cell r="D5003" t="str">
            <v>MBN4735</v>
          </cell>
        </row>
        <row r="5004">
          <cell r="C5004" t="str">
            <v>MBP2C62</v>
          </cell>
          <cell r="D5004" t="str">
            <v>MBP2C62</v>
          </cell>
        </row>
        <row r="5005">
          <cell r="C5005" t="str">
            <v>MBP4644</v>
          </cell>
          <cell r="D5005" t="str">
            <v>MBP4644</v>
          </cell>
        </row>
        <row r="5006">
          <cell r="C5006" t="str">
            <v>MBR8008</v>
          </cell>
          <cell r="D5006" t="str">
            <v>MBR8008</v>
          </cell>
        </row>
        <row r="5007">
          <cell r="C5007" t="str">
            <v>MBS3C01</v>
          </cell>
          <cell r="D5007" t="str">
            <v>MBS3C01</v>
          </cell>
        </row>
        <row r="5008">
          <cell r="C5008" t="str">
            <v>MBV2935</v>
          </cell>
          <cell r="D5008" t="str">
            <v>MBV2935</v>
          </cell>
        </row>
        <row r="5009">
          <cell r="C5009" t="str">
            <v>MBX0G73</v>
          </cell>
          <cell r="D5009" t="str">
            <v>MBX0G73</v>
          </cell>
        </row>
        <row r="5010">
          <cell r="C5010" t="str">
            <v>MBX4337</v>
          </cell>
          <cell r="D5010" t="str">
            <v>MBX4337</v>
          </cell>
        </row>
        <row r="5011">
          <cell r="C5011" t="str">
            <v>MBX9C69</v>
          </cell>
          <cell r="D5011" t="str">
            <v>MBX9C69</v>
          </cell>
        </row>
        <row r="5012">
          <cell r="C5012" t="str">
            <v>MCC9G13</v>
          </cell>
          <cell r="D5012" t="str">
            <v>MCC9G13</v>
          </cell>
        </row>
        <row r="5013">
          <cell r="C5013" t="str">
            <v>MCD1F31</v>
          </cell>
          <cell r="D5013" t="str">
            <v>MCD1F31</v>
          </cell>
        </row>
        <row r="5014">
          <cell r="C5014" t="str">
            <v>MCE2420</v>
          </cell>
          <cell r="D5014" t="str">
            <v>MCE2420</v>
          </cell>
        </row>
        <row r="5015">
          <cell r="C5015" t="str">
            <v>MCE3315</v>
          </cell>
          <cell r="D5015" t="str">
            <v>MCR3315</v>
          </cell>
        </row>
        <row r="5016">
          <cell r="C5016" t="str">
            <v>MCE6174</v>
          </cell>
          <cell r="D5016" t="str">
            <v>MCE6174</v>
          </cell>
        </row>
        <row r="5017">
          <cell r="C5017" t="str">
            <v>MCK6790</v>
          </cell>
          <cell r="D5017" t="str">
            <v>MCK6790</v>
          </cell>
        </row>
        <row r="5018">
          <cell r="C5018" t="str">
            <v>MCN8759</v>
          </cell>
          <cell r="D5018" t="str">
            <v>MCN8759</v>
          </cell>
        </row>
        <row r="5019">
          <cell r="C5019" t="str">
            <v>MCO0620</v>
          </cell>
          <cell r="D5019" t="str">
            <v>MCO0620</v>
          </cell>
        </row>
        <row r="5020">
          <cell r="C5020" t="str">
            <v>MCQ6790</v>
          </cell>
          <cell r="D5020" t="str">
            <v>MCQ6790</v>
          </cell>
        </row>
        <row r="5021">
          <cell r="C5021" t="str">
            <v>MCS7B32</v>
          </cell>
          <cell r="D5021" t="str">
            <v>MCS7B32</v>
          </cell>
        </row>
        <row r="5022">
          <cell r="C5022" t="str">
            <v>MCT5130</v>
          </cell>
          <cell r="D5022" t="str">
            <v>MCT5130</v>
          </cell>
        </row>
        <row r="5023">
          <cell r="C5023" t="str">
            <v>MCT2C20</v>
          </cell>
          <cell r="D5023" t="str">
            <v>MCT2C20</v>
          </cell>
        </row>
        <row r="5024">
          <cell r="C5024" t="str">
            <v>MCU7F66</v>
          </cell>
          <cell r="D5024" t="str">
            <v>MCU7F66</v>
          </cell>
        </row>
        <row r="5025">
          <cell r="C5025" t="str">
            <v>MCZ1042</v>
          </cell>
          <cell r="D5025" t="str">
            <v>MCZ1042</v>
          </cell>
        </row>
        <row r="5026">
          <cell r="C5026" t="str">
            <v>MDA0980</v>
          </cell>
          <cell r="D5026" t="str">
            <v>MDA0980</v>
          </cell>
        </row>
        <row r="5027">
          <cell r="C5027" t="str">
            <v>MDB3165</v>
          </cell>
          <cell r="D5027" t="str">
            <v>MDB3165</v>
          </cell>
        </row>
        <row r="5028">
          <cell r="C5028" t="str">
            <v>MDC8456</v>
          </cell>
          <cell r="D5028" t="str">
            <v>MDC8456</v>
          </cell>
        </row>
        <row r="5029">
          <cell r="C5029" t="str">
            <v>MDG9221</v>
          </cell>
          <cell r="D5029" t="str">
            <v>MDG9221</v>
          </cell>
        </row>
        <row r="5030">
          <cell r="C5030" t="str">
            <v>MDH7027</v>
          </cell>
          <cell r="D5030" t="str">
            <v>MDH7027</v>
          </cell>
        </row>
        <row r="5031">
          <cell r="C5031" t="str">
            <v>MDT5109</v>
          </cell>
          <cell r="D5031" t="str">
            <v>MDT5109</v>
          </cell>
        </row>
        <row r="5032">
          <cell r="C5032" t="str">
            <v>MEF2541</v>
          </cell>
          <cell r="D5032" t="str">
            <v>MEF2541</v>
          </cell>
        </row>
        <row r="5033">
          <cell r="C5033" t="str">
            <v>MEG9190</v>
          </cell>
          <cell r="D5033" t="str">
            <v>MEG9190</v>
          </cell>
        </row>
        <row r="5034">
          <cell r="C5034" t="str">
            <v>MEJ7C06</v>
          </cell>
          <cell r="D5034" t="str">
            <v>MEJ7C06</v>
          </cell>
        </row>
        <row r="5035">
          <cell r="C5035" t="str">
            <v>MEK4627</v>
          </cell>
          <cell r="D5035" t="str">
            <v>MEK4627</v>
          </cell>
        </row>
        <row r="5036">
          <cell r="C5036" t="str">
            <v>MEN7C22</v>
          </cell>
          <cell r="D5036" t="str">
            <v>MEN7C22</v>
          </cell>
        </row>
        <row r="5037">
          <cell r="C5037" t="str">
            <v>MEO8148</v>
          </cell>
          <cell r="D5037" t="str">
            <v>MEO8148</v>
          </cell>
        </row>
        <row r="5038">
          <cell r="C5038" t="str">
            <v>MEP 2C62</v>
          </cell>
          <cell r="D5038" t="str">
            <v>MEP2C62</v>
          </cell>
        </row>
        <row r="5039">
          <cell r="C5039" t="str">
            <v>MER6240</v>
          </cell>
          <cell r="D5039" t="str">
            <v>MER6240</v>
          </cell>
        </row>
        <row r="5040">
          <cell r="C5040" t="str">
            <v>NRZ2284</v>
          </cell>
          <cell r="D5040" t="str">
            <v>NRZ2284</v>
          </cell>
        </row>
        <row r="5041">
          <cell r="C5041" t="str">
            <v>MET6426</v>
          </cell>
          <cell r="D5041" t="str">
            <v>MET6426</v>
          </cell>
        </row>
        <row r="5042">
          <cell r="C5042" t="str">
            <v>MEV9I90</v>
          </cell>
          <cell r="D5042" t="str">
            <v>MEV9I90</v>
          </cell>
        </row>
        <row r="5043">
          <cell r="C5043" t="str">
            <v>MEX8834</v>
          </cell>
          <cell r="D5043" t="str">
            <v>MEX8834</v>
          </cell>
        </row>
        <row r="5044">
          <cell r="C5044" t="str">
            <v>MFA2754</v>
          </cell>
          <cell r="D5044" t="str">
            <v>MFA2754</v>
          </cell>
        </row>
        <row r="5045">
          <cell r="C5045" t="str">
            <v>MFB0251</v>
          </cell>
          <cell r="D5045" t="str">
            <v>MFB0251</v>
          </cell>
        </row>
        <row r="5046">
          <cell r="C5046" t="str">
            <v>MFB5I07</v>
          </cell>
          <cell r="D5046" t="str">
            <v>MFB5I07</v>
          </cell>
        </row>
        <row r="5047">
          <cell r="C5047" t="str">
            <v>MFC0037</v>
          </cell>
          <cell r="D5047" t="str">
            <v>MFC0037</v>
          </cell>
        </row>
        <row r="5048">
          <cell r="C5048" t="str">
            <v>MFF7E78</v>
          </cell>
          <cell r="D5048" t="str">
            <v>MFF7E78</v>
          </cell>
        </row>
        <row r="5049">
          <cell r="C5049" t="str">
            <v>MFG6387</v>
          </cell>
          <cell r="D5049" t="str">
            <v>MFG6387</v>
          </cell>
        </row>
        <row r="5050">
          <cell r="C5050" t="str">
            <v>MFK0I96</v>
          </cell>
          <cell r="D5050" t="str">
            <v>MFK0I96</v>
          </cell>
        </row>
        <row r="5051">
          <cell r="C5051" t="str">
            <v>MFT5482</v>
          </cell>
          <cell r="D5051" t="str">
            <v>MFT5482</v>
          </cell>
        </row>
        <row r="5052">
          <cell r="C5052" t="str">
            <v>MGD6353</v>
          </cell>
          <cell r="D5052" t="str">
            <v>MGD6353</v>
          </cell>
        </row>
        <row r="5053">
          <cell r="C5053" t="str">
            <v>MGE2B63</v>
          </cell>
          <cell r="D5053" t="str">
            <v>MGE2B63</v>
          </cell>
        </row>
        <row r="5054">
          <cell r="C5054" t="str">
            <v>MGG0596</v>
          </cell>
          <cell r="D5054" t="str">
            <v>MGG0596</v>
          </cell>
        </row>
        <row r="5055">
          <cell r="C5055" t="str">
            <v>MGY7777</v>
          </cell>
          <cell r="D5055" t="str">
            <v>MGY7777</v>
          </cell>
        </row>
        <row r="5056">
          <cell r="C5056" t="str">
            <v>MHA2257</v>
          </cell>
          <cell r="D5056" t="str">
            <v>MHA2257</v>
          </cell>
        </row>
        <row r="5057">
          <cell r="C5057" t="str">
            <v>MHB9729</v>
          </cell>
          <cell r="D5057" t="str">
            <v>MHB9729</v>
          </cell>
        </row>
        <row r="5058">
          <cell r="C5058" t="str">
            <v>MHG5116</v>
          </cell>
          <cell r="D5058" t="str">
            <v>MHG5116</v>
          </cell>
        </row>
        <row r="5059">
          <cell r="C5059" t="str">
            <v>MHH4728</v>
          </cell>
          <cell r="D5059" t="str">
            <v>MHH4728</v>
          </cell>
        </row>
        <row r="5060">
          <cell r="C5060" t="str">
            <v>MHI5009</v>
          </cell>
          <cell r="D5060" t="str">
            <v>MHI5009</v>
          </cell>
        </row>
        <row r="5061">
          <cell r="C5061" t="str">
            <v>MHN6673</v>
          </cell>
          <cell r="D5061" t="str">
            <v>MHN6673</v>
          </cell>
        </row>
        <row r="5062">
          <cell r="C5062" t="str">
            <v>MHR0H56</v>
          </cell>
          <cell r="D5062" t="str">
            <v>MHR0H56</v>
          </cell>
        </row>
        <row r="5063">
          <cell r="C5063" t="str">
            <v>MHS5256</v>
          </cell>
          <cell r="D5063" t="str">
            <v>MHS5256</v>
          </cell>
        </row>
        <row r="5064">
          <cell r="C5064" t="str">
            <v>MHU4263</v>
          </cell>
          <cell r="D5064" t="str">
            <v>MHU4263</v>
          </cell>
        </row>
        <row r="5065">
          <cell r="C5065" t="str">
            <v>MHV1432</v>
          </cell>
          <cell r="D5065" t="str">
            <v>MHV1432</v>
          </cell>
        </row>
        <row r="5066">
          <cell r="C5066" t="str">
            <v>MHZ5859</v>
          </cell>
          <cell r="D5066" t="str">
            <v>MHZ5859</v>
          </cell>
        </row>
        <row r="5067">
          <cell r="C5067" t="str">
            <v>MHZ5H66</v>
          </cell>
          <cell r="D5067" t="str">
            <v>MHZ5H66</v>
          </cell>
        </row>
        <row r="5068">
          <cell r="C5068" t="str">
            <v>MIC4B01</v>
          </cell>
          <cell r="D5068" t="str">
            <v>MIC4B01</v>
          </cell>
        </row>
        <row r="5069">
          <cell r="C5069" t="str">
            <v>BTT1315</v>
          </cell>
          <cell r="D5069" t="str">
            <v>BTT1315</v>
          </cell>
        </row>
        <row r="5070">
          <cell r="C5070" t="str">
            <v>ANJ9083</v>
          </cell>
          <cell r="D5070" t="str">
            <v>ANJ9083</v>
          </cell>
        </row>
        <row r="5071">
          <cell r="C5071" t="str">
            <v>MIM3D14</v>
          </cell>
          <cell r="D5071" t="str">
            <v>MIM3D14</v>
          </cell>
        </row>
        <row r="5072">
          <cell r="C5072" t="str">
            <v>MIO1607</v>
          </cell>
          <cell r="D5072" t="str">
            <v>MIO1607</v>
          </cell>
        </row>
        <row r="5073">
          <cell r="C5073" t="str">
            <v>CXJ0196</v>
          </cell>
          <cell r="D5073" t="str">
            <v>CXJ0196</v>
          </cell>
        </row>
        <row r="5074">
          <cell r="C5074" t="str">
            <v>MIU6447</v>
          </cell>
          <cell r="D5074" t="str">
            <v>MIU6447</v>
          </cell>
        </row>
        <row r="5075">
          <cell r="C5075" t="str">
            <v>MIZ1056</v>
          </cell>
          <cell r="D5075" t="str">
            <v>MIZ1056</v>
          </cell>
        </row>
        <row r="5076">
          <cell r="C5076" t="str">
            <v>MJA9003</v>
          </cell>
          <cell r="D5076" t="str">
            <v>MJA9003</v>
          </cell>
        </row>
        <row r="5077">
          <cell r="C5077" t="str">
            <v>MJC1H46</v>
          </cell>
          <cell r="D5077" t="str">
            <v>MJC1H46</v>
          </cell>
        </row>
        <row r="5078">
          <cell r="C5078" t="str">
            <v>MJC1H06</v>
          </cell>
          <cell r="D5078" t="str">
            <v>MJC1H06</v>
          </cell>
        </row>
        <row r="5079">
          <cell r="C5079" t="str">
            <v>MJC9J86</v>
          </cell>
          <cell r="D5079" t="str">
            <v>MJC9J86</v>
          </cell>
        </row>
        <row r="5080">
          <cell r="C5080" t="str">
            <v>MJE0D70</v>
          </cell>
          <cell r="D5080" t="str">
            <v>MJE0D70</v>
          </cell>
        </row>
        <row r="5081">
          <cell r="C5081" t="str">
            <v>MJG2D93</v>
          </cell>
          <cell r="D5081" t="str">
            <v>MJG2D93</v>
          </cell>
        </row>
        <row r="5082">
          <cell r="C5082" t="str">
            <v>MJK1D78</v>
          </cell>
          <cell r="D5082" t="str">
            <v>MJK1D78</v>
          </cell>
        </row>
        <row r="5083">
          <cell r="C5083" t="str">
            <v>MJL684</v>
          </cell>
          <cell r="D5083" t="str">
            <v xml:space="preserve">MJL684 </v>
          </cell>
        </row>
        <row r="5084">
          <cell r="C5084" t="str">
            <v>MJL6842</v>
          </cell>
          <cell r="D5084" t="str">
            <v>MJL6842</v>
          </cell>
        </row>
        <row r="5085">
          <cell r="C5085" t="str">
            <v>MJP2200</v>
          </cell>
          <cell r="D5085" t="str">
            <v>MJP2200</v>
          </cell>
        </row>
        <row r="5086">
          <cell r="C5086" t="str">
            <v>MJP3491</v>
          </cell>
          <cell r="D5086" t="str">
            <v>MJP3491</v>
          </cell>
        </row>
        <row r="5087">
          <cell r="C5087" t="str">
            <v>MJS5946</v>
          </cell>
          <cell r="D5087" t="str">
            <v>MJS5946</v>
          </cell>
        </row>
        <row r="5088">
          <cell r="C5088" t="str">
            <v>MJU2924</v>
          </cell>
          <cell r="D5088" t="str">
            <v>MJU2924</v>
          </cell>
        </row>
        <row r="5089">
          <cell r="C5089" t="str">
            <v>MJW1139</v>
          </cell>
          <cell r="D5089" t="str">
            <v>MJW1139</v>
          </cell>
        </row>
        <row r="5090">
          <cell r="C5090" t="str">
            <v>MJY9832</v>
          </cell>
          <cell r="D5090" t="str">
            <v>MJY9832</v>
          </cell>
        </row>
        <row r="5091">
          <cell r="C5091" t="str">
            <v>MKG8059</v>
          </cell>
          <cell r="D5091" t="str">
            <v>MKG8059</v>
          </cell>
        </row>
        <row r="5092">
          <cell r="C5092" t="str">
            <v>MKN9342</v>
          </cell>
          <cell r="D5092" t="str">
            <v>MKN9342</v>
          </cell>
        </row>
        <row r="5093">
          <cell r="C5093" t="str">
            <v>MLC4149</v>
          </cell>
          <cell r="D5093" t="str">
            <v>MLC4149</v>
          </cell>
        </row>
        <row r="5094">
          <cell r="C5094" t="str">
            <v>MLC4I49</v>
          </cell>
          <cell r="D5094" t="str">
            <v>MLC4I49</v>
          </cell>
        </row>
        <row r="5095">
          <cell r="C5095" t="str">
            <v>MLJ3169</v>
          </cell>
          <cell r="D5095" t="str">
            <v>MLJ3169</v>
          </cell>
        </row>
        <row r="5096">
          <cell r="C5096" t="str">
            <v>MLJ8459</v>
          </cell>
          <cell r="D5096" t="str">
            <v>MLJ8459</v>
          </cell>
        </row>
        <row r="5097">
          <cell r="C5097" t="str">
            <v>MLP0G04</v>
          </cell>
          <cell r="D5097" t="str">
            <v>MLP0G04</v>
          </cell>
        </row>
        <row r="5098">
          <cell r="C5098" t="str">
            <v>MLP9J92</v>
          </cell>
          <cell r="D5098" t="str">
            <v>MLP9J92</v>
          </cell>
        </row>
        <row r="5099">
          <cell r="C5099" t="str">
            <v>MLR0J99</v>
          </cell>
          <cell r="D5099" t="str">
            <v>MLR0J99</v>
          </cell>
        </row>
        <row r="5100">
          <cell r="C5100" t="str">
            <v>MLU1530</v>
          </cell>
          <cell r="D5100" t="str">
            <v>MLU1530</v>
          </cell>
        </row>
        <row r="5101">
          <cell r="C5101" t="str">
            <v>MLW2I75</v>
          </cell>
          <cell r="D5101" t="str">
            <v>MLW2I75</v>
          </cell>
        </row>
        <row r="5102">
          <cell r="C5102" t="str">
            <v>MLZ1540</v>
          </cell>
          <cell r="D5102" t="str">
            <v>MLZ1540</v>
          </cell>
        </row>
        <row r="5103">
          <cell r="C5103" t="str">
            <v>MMA3335</v>
          </cell>
          <cell r="D5103" t="str">
            <v>MMA3335</v>
          </cell>
        </row>
        <row r="5104">
          <cell r="C5104" t="str">
            <v>MMA3345</v>
          </cell>
          <cell r="D5104" t="str">
            <v>MMA3345</v>
          </cell>
        </row>
        <row r="5105">
          <cell r="C5105" t="str">
            <v>MMB9420</v>
          </cell>
          <cell r="D5105" t="str">
            <v>MMB9420</v>
          </cell>
        </row>
        <row r="5106">
          <cell r="C5106" t="str">
            <v>MMD0J84</v>
          </cell>
          <cell r="D5106" t="str">
            <v>MMD0J84</v>
          </cell>
        </row>
        <row r="5107">
          <cell r="C5107" t="str">
            <v>MMH2F72</v>
          </cell>
          <cell r="D5107" t="str">
            <v>MMH2F72</v>
          </cell>
        </row>
        <row r="5108">
          <cell r="C5108" t="str">
            <v>MMI9J68</v>
          </cell>
          <cell r="D5108" t="str">
            <v>MMI9J68</v>
          </cell>
        </row>
        <row r="5109">
          <cell r="C5109" t="str">
            <v>MMJ8C48</v>
          </cell>
          <cell r="D5109" t="str">
            <v>MMJ8C48</v>
          </cell>
        </row>
        <row r="5110">
          <cell r="C5110" t="str">
            <v>MMK0125</v>
          </cell>
          <cell r="D5110" t="str">
            <v>MMK0125</v>
          </cell>
        </row>
        <row r="5111">
          <cell r="C5111" t="str">
            <v>MML7471</v>
          </cell>
          <cell r="D5111" t="str">
            <v>MML7471</v>
          </cell>
        </row>
        <row r="5112">
          <cell r="C5112" t="str">
            <v>MMQ0226</v>
          </cell>
          <cell r="D5112" t="str">
            <v>MMQ0226</v>
          </cell>
        </row>
        <row r="5113">
          <cell r="C5113" t="str">
            <v>MMQ7397</v>
          </cell>
          <cell r="D5113" t="str">
            <v>MMQ7397</v>
          </cell>
        </row>
        <row r="5114">
          <cell r="C5114" t="str">
            <v>MNQ2147</v>
          </cell>
          <cell r="D5114" t="str">
            <v>MNQ2147</v>
          </cell>
        </row>
        <row r="5115">
          <cell r="C5115" t="str">
            <v>MNQ7977</v>
          </cell>
          <cell r="D5115" t="str">
            <v>MNQ7977</v>
          </cell>
        </row>
        <row r="5116">
          <cell r="C5116" t="str">
            <v>AJZ6H62</v>
          </cell>
          <cell r="D5116" t="str">
            <v>AJZ6H62</v>
          </cell>
        </row>
        <row r="5117">
          <cell r="C5117" t="str">
            <v>MOVICONTAINER</v>
          </cell>
          <cell r="D5117" t="str">
            <v xml:space="preserve">       </v>
          </cell>
        </row>
        <row r="5118">
          <cell r="C5118" t="str">
            <v>MPB9416</v>
          </cell>
          <cell r="D5118" t="str">
            <v>MPB9416</v>
          </cell>
        </row>
        <row r="5119">
          <cell r="C5119" t="str">
            <v>MPC4539</v>
          </cell>
          <cell r="D5119" t="str">
            <v>MPC4539</v>
          </cell>
        </row>
        <row r="5120">
          <cell r="C5120" t="str">
            <v>MPP3903</v>
          </cell>
          <cell r="D5120" t="str">
            <v>MPP3903</v>
          </cell>
        </row>
        <row r="5121">
          <cell r="C5121" t="str">
            <v>MPT5H28</v>
          </cell>
          <cell r="D5121" t="str">
            <v>MPT5H28</v>
          </cell>
        </row>
        <row r="5122">
          <cell r="C5122" t="str">
            <v>MPV6421</v>
          </cell>
          <cell r="D5122" t="str">
            <v>MPV6421</v>
          </cell>
        </row>
        <row r="5123">
          <cell r="C5123" t="str">
            <v>MQA8790</v>
          </cell>
          <cell r="D5123" t="str">
            <v>MQA8790</v>
          </cell>
        </row>
        <row r="5124">
          <cell r="C5124" t="str">
            <v>MQB6552</v>
          </cell>
          <cell r="D5124" t="str">
            <v>MQB6552</v>
          </cell>
        </row>
        <row r="5125">
          <cell r="C5125" t="str">
            <v>MQC3A34</v>
          </cell>
          <cell r="D5125" t="str">
            <v>MQC3A34</v>
          </cell>
        </row>
        <row r="5126">
          <cell r="C5126" t="str">
            <v>MQD7710</v>
          </cell>
          <cell r="D5126" t="str">
            <v>MQD7710</v>
          </cell>
        </row>
        <row r="5127">
          <cell r="C5127" t="str">
            <v>MQF7160</v>
          </cell>
          <cell r="D5127" t="str">
            <v>MQF7160</v>
          </cell>
        </row>
        <row r="5128">
          <cell r="C5128" t="str">
            <v>MQG5D89</v>
          </cell>
          <cell r="D5128" t="str">
            <v>MQG5D89</v>
          </cell>
        </row>
        <row r="5129">
          <cell r="C5129" t="str">
            <v>MQM2915</v>
          </cell>
          <cell r="D5129" t="str">
            <v>MQM2915</v>
          </cell>
        </row>
        <row r="5130">
          <cell r="C5130" t="str">
            <v>MQN2750</v>
          </cell>
          <cell r="D5130" t="str">
            <v>MQN2750</v>
          </cell>
        </row>
        <row r="5131">
          <cell r="C5131" t="str">
            <v>MQN4B29</v>
          </cell>
          <cell r="D5131" t="str">
            <v>MQN4B29</v>
          </cell>
        </row>
        <row r="5132">
          <cell r="C5132" t="str">
            <v>MQS2668</v>
          </cell>
          <cell r="D5132" t="str">
            <v>MQS2668</v>
          </cell>
        </row>
        <row r="5133">
          <cell r="C5133" t="str">
            <v>MQU8534</v>
          </cell>
          <cell r="D5133" t="str">
            <v>MQU8534</v>
          </cell>
        </row>
        <row r="5134">
          <cell r="C5134" t="str">
            <v>MQV5704</v>
          </cell>
          <cell r="D5134" t="str">
            <v>MQV5704</v>
          </cell>
        </row>
        <row r="5135">
          <cell r="C5135" t="str">
            <v>MQW9538</v>
          </cell>
          <cell r="D5135" t="str">
            <v>MQW9538</v>
          </cell>
        </row>
        <row r="5136">
          <cell r="C5136" t="str">
            <v>MRD0177</v>
          </cell>
          <cell r="D5136" t="str">
            <v>MRD0177</v>
          </cell>
        </row>
        <row r="5137">
          <cell r="C5137" t="str">
            <v>MRE7H40</v>
          </cell>
          <cell r="D5137" t="str">
            <v>MRE7H40</v>
          </cell>
        </row>
        <row r="5138">
          <cell r="C5138" t="str">
            <v>MRH4D46</v>
          </cell>
          <cell r="D5138" t="str">
            <v>MRH4D46</v>
          </cell>
        </row>
        <row r="5139">
          <cell r="C5139" t="str">
            <v>MRI2348</v>
          </cell>
          <cell r="D5139" t="str">
            <v>MRI2348</v>
          </cell>
        </row>
        <row r="5140">
          <cell r="C5140" t="str">
            <v>MRI3004</v>
          </cell>
          <cell r="D5140" t="str">
            <v>MRI3004</v>
          </cell>
        </row>
        <row r="5141">
          <cell r="C5141" t="str">
            <v>MRJ9784</v>
          </cell>
          <cell r="D5141" t="str">
            <v>MRJ9784</v>
          </cell>
        </row>
        <row r="5142">
          <cell r="C5142" t="str">
            <v>MRK4364</v>
          </cell>
          <cell r="D5142" t="str">
            <v>MRK4364</v>
          </cell>
        </row>
        <row r="5143">
          <cell r="C5143" t="str">
            <v>MRM8529</v>
          </cell>
          <cell r="D5143" t="str">
            <v>MRM8529</v>
          </cell>
        </row>
        <row r="5144">
          <cell r="C5144" t="str">
            <v>MRN5651</v>
          </cell>
          <cell r="D5144" t="str">
            <v>MRN5651</v>
          </cell>
        </row>
        <row r="5145">
          <cell r="C5145" t="str">
            <v>MRO1245</v>
          </cell>
          <cell r="D5145" t="str">
            <v>MRO1245</v>
          </cell>
        </row>
        <row r="5146">
          <cell r="C5146" t="str">
            <v>MRO5173</v>
          </cell>
          <cell r="D5146" t="str">
            <v>MRO5173</v>
          </cell>
        </row>
        <row r="5147">
          <cell r="C5147" t="str">
            <v>MRO5J02</v>
          </cell>
          <cell r="D5147" t="str">
            <v>MRO5J02</v>
          </cell>
        </row>
        <row r="5148">
          <cell r="C5148" t="str">
            <v>MRP6131</v>
          </cell>
          <cell r="D5148" t="str">
            <v>MRP6131</v>
          </cell>
        </row>
        <row r="5149">
          <cell r="C5149" t="str">
            <v>MRP6135</v>
          </cell>
          <cell r="D5149" t="str">
            <v>MRP6135</v>
          </cell>
        </row>
        <row r="5150">
          <cell r="C5150" t="str">
            <v>MRP8639</v>
          </cell>
          <cell r="D5150" t="str">
            <v>MRP8639</v>
          </cell>
        </row>
        <row r="5151">
          <cell r="C5151" t="str">
            <v>MRR1110</v>
          </cell>
          <cell r="D5151" t="str">
            <v>MRR1110</v>
          </cell>
        </row>
        <row r="5152">
          <cell r="C5152" t="str">
            <v>MRV5313</v>
          </cell>
          <cell r="D5152" t="str">
            <v>MRV5313</v>
          </cell>
        </row>
        <row r="5153">
          <cell r="C5153" t="str">
            <v>MRZ2A89</v>
          </cell>
          <cell r="D5153" t="str">
            <v>MRZ2A89</v>
          </cell>
        </row>
        <row r="5154">
          <cell r="C5154" t="str">
            <v>MSA5696</v>
          </cell>
          <cell r="D5154" t="str">
            <v>MSA5696</v>
          </cell>
        </row>
        <row r="5155">
          <cell r="C5155" t="str">
            <v>MSB5B02</v>
          </cell>
          <cell r="D5155" t="str">
            <v>MSB5B02</v>
          </cell>
        </row>
        <row r="5156">
          <cell r="C5156" t="str">
            <v>MSC4463</v>
          </cell>
          <cell r="D5156" t="str">
            <v>MSC4463</v>
          </cell>
        </row>
        <row r="5157">
          <cell r="C5157" t="str">
            <v>MSW1J49</v>
          </cell>
          <cell r="D5157" t="str">
            <v>MSW1J49</v>
          </cell>
        </row>
        <row r="5158">
          <cell r="C5158" t="str">
            <v>MSY3430</v>
          </cell>
          <cell r="D5158" t="str">
            <v>MSY3430</v>
          </cell>
        </row>
        <row r="5159">
          <cell r="C5159" t="str">
            <v>MSY5D54</v>
          </cell>
          <cell r="D5159" t="str">
            <v>MSY5D54</v>
          </cell>
        </row>
        <row r="5160">
          <cell r="C5160" t="str">
            <v>MSZ3630</v>
          </cell>
          <cell r="D5160" t="str">
            <v>MSZ3630</v>
          </cell>
        </row>
        <row r="5161">
          <cell r="C5161" t="str">
            <v>MSZ5541</v>
          </cell>
          <cell r="D5161" t="str">
            <v>MSZ5541</v>
          </cell>
        </row>
        <row r="5162">
          <cell r="C5162" t="str">
            <v>MSZ7270</v>
          </cell>
          <cell r="D5162" t="str">
            <v>MSZ7270</v>
          </cell>
        </row>
        <row r="5163">
          <cell r="C5163" t="str">
            <v>MSZ8D66</v>
          </cell>
          <cell r="D5163" t="str">
            <v>MSZ8D66</v>
          </cell>
        </row>
        <row r="5164">
          <cell r="C5164" t="str">
            <v>MTB5E37</v>
          </cell>
          <cell r="D5164" t="str">
            <v>MTB5E37</v>
          </cell>
        </row>
        <row r="5165">
          <cell r="C5165" t="str">
            <v>MTG8898</v>
          </cell>
          <cell r="D5165" t="str">
            <v>MTG8898</v>
          </cell>
        </row>
        <row r="5166">
          <cell r="C5166" t="str">
            <v>MTQ4204</v>
          </cell>
          <cell r="D5166" t="str">
            <v>MTQ4204</v>
          </cell>
        </row>
        <row r="5167">
          <cell r="C5167" t="str">
            <v>MTQ4256</v>
          </cell>
          <cell r="D5167" t="str">
            <v>MTQ4256</v>
          </cell>
        </row>
        <row r="5168">
          <cell r="C5168" t="str">
            <v>MTR3610</v>
          </cell>
          <cell r="D5168" t="str">
            <v>MTR3610</v>
          </cell>
        </row>
        <row r="5169">
          <cell r="C5169" t="str">
            <v>MTW1J49</v>
          </cell>
          <cell r="D5169" t="str">
            <v>MTW1J49</v>
          </cell>
        </row>
        <row r="5170">
          <cell r="C5170" t="str">
            <v>MTZ6552</v>
          </cell>
          <cell r="D5170" t="str">
            <v>MTZ6552</v>
          </cell>
        </row>
        <row r="5171">
          <cell r="C5171" t="str">
            <v>MUC2646</v>
          </cell>
          <cell r="D5171" t="str">
            <v>MUC2646</v>
          </cell>
        </row>
        <row r="5172">
          <cell r="C5172" t="str">
            <v>MUH8533</v>
          </cell>
          <cell r="D5172" t="str">
            <v>MUH8533</v>
          </cell>
        </row>
        <row r="5173">
          <cell r="C5173" t="str">
            <v>MVG3970</v>
          </cell>
          <cell r="D5173" t="str">
            <v>MVG3970</v>
          </cell>
        </row>
        <row r="5174">
          <cell r="C5174" t="str">
            <v>MVL4939</v>
          </cell>
          <cell r="D5174" t="str">
            <v>MVL4939</v>
          </cell>
        </row>
        <row r="5175">
          <cell r="C5175" t="str">
            <v>MVM2560</v>
          </cell>
          <cell r="D5175" t="str">
            <v>MVM2560</v>
          </cell>
        </row>
        <row r="5176">
          <cell r="C5176" t="str">
            <v>MVM4134</v>
          </cell>
          <cell r="D5176" t="str">
            <v>MVM4134</v>
          </cell>
        </row>
        <row r="5177">
          <cell r="C5177" t="str">
            <v>MVU1593</v>
          </cell>
          <cell r="D5177" t="str">
            <v>MVU1593</v>
          </cell>
        </row>
        <row r="5178">
          <cell r="C5178" t="str">
            <v>MWD0903</v>
          </cell>
          <cell r="D5178" t="str">
            <v>MWD0903</v>
          </cell>
        </row>
        <row r="5179">
          <cell r="C5179" t="str">
            <v>MWE0933</v>
          </cell>
          <cell r="D5179" t="str">
            <v>MWE0933</v>
          </cell>
        </row>
        <row r="5180">
          <cell r="C5180" t="str">
            <v>MWM8201</v>
          </cell>
          <cell r="D5180" t="str">
            <v>MWM8201</v>
          </cell>
        </row>
        <row r="5181">
          <cell r="C5181" t="str">
            <v>MWO1691</v>
          </cell>
          <cell r="D5181" t="str">
            <v>MWO1691</v>
          </cell>
        </row>
        <row r="5182">
          <cell r="C5182" t="str">
            <v>MWX5050</v>
          </cell>
          <cell r="D5182" t="str">
            <v>MWX5050</v>
          </cell>
        </row>
        <row r="5183">
          <cell r="C5183" t="str">
            <v>MXG0941</v>
          </cell>
          <cell r="D5183" t="str">
            <v>MXG0941</v>
          </cell>
        </row>
        <row r="5184">
          <cell r="C5184" t="str">
            <v>MYP6980</v>
          </cell>
          <cell r="D5184" t="str">
            <v>MYP6980</v>
          </cell>
        </row>
        <row r="5185">
          <cell r="C5185" t="str">
            <v>MYZ5492</v>
          </cell>
          <cell r="D5185" t="str">
            <v>MYZ5492</v>
          </cell>
        </row>
        <row r="5186">
          <cell r="C5186" t="str">
            <v>MZI7630</v>
          </cell>
          <cell r="D5186" t="str">
            <v>MZI7630</v>
          </cell>
        </row>
        <row r="5187">
          <cell r="C5187" t="str">
            <v>MZQ3160</v>
          </cell>
          <cell r="D5187" t="str">
            <v>MZQ3160</v>
          </cell>
        </row>
        <row r="5188">
          <cell r="C5188" t="str">
            <v>MZT4693</v>
          </cell>
          <cell r="D5188" t="str">
            <v>MZT4693</v>
          </cell>
        </row>
        <row r="5189">
          <cell r="C5189" t="str">
            <v>MZZ5920</v>
          </cell>
          <cell r="D5189" t="str">
            <v>MZZ5920</v>
          </cell>
        </row>
        <row r="5190">
          <cell r="C5190" t="str">
            <v>NAF7G85</v>
          </cell>
          <cell r="D5190" t="str">
            <v>NAF7G85</v>
          </cell>
        </row>
        <row r="5191">
          <cell r="C5191" t="str">
            <v>NAT9I55</v>
          </cell>
          <cell r="D5191" t="str">
            <v>NAT9I55</v>
          </cell>
        </row>
        <row r="5192">
          <cell r="C5192" t="str">
            <v>NBC2996</v>
          </cell>
          <cell r="D5192" t="str">
            <v>NBC2996</v>
          </cell>
        </row>
        <row r="5193">
          <cell r="C5193" t="str">
            <v>NBE1012</v>
          </cell>
          <cell r="D5193" t="str">
            <v>NBE1012</v>
          </cell>
        </row>
        <row r="5194">
          <cell r="C5194" t="str">
            <v>NBE1172</v>
          </cell>
          <cell r="D5194" t="str">
            <v>NBE1172</v>
          </cell>
        </row>
        <row r="5195">
          <cell r="C5195" t="str">
            <v>NBG0935</v>
          </cell>
          <cell r="D5195" t="str">
            <v>NBG0935</v>
          </cell>
        </row>
        <row r="5196">
          <cell r="C5196" t="str">
            <v>NBG6236</v>
          </cell>
          <cell r="D5196" t="str">
            <v>NBG6236</v>
          </cell>
        </row>
        <row r="5197">
          <cell r="C5197" t="str">
            <v>NBH8414</v>
          </cell>
          <cell r="D5197" t="str">
            <v>NBH8414</v>
          </cell>
        </row>
        <row r="5198">
          <cell r="C5198" t="str">
            <v>NBR8008</v>
          </cell>
          <cell r="D5198" t="str">
            <v>NBR8008</v>
          </cell>
        </row>
        <row r="5199">
          <cell r="C5199" t="str">
            <v>NBU0J04</v>
          </cell>
          <cell r="D5199" t="str">
            <v>NBU0J04</v>
          </cell>
        </row>
        <row r="5200">
          <cell r="C5200" t="str">
            <v>NBV2H54</v>
          </cell>
          <cell r="D5200" t="str">
            <v>NBV2H54</v>
          </cell>
        </row>
        <row r="5201">
          <cell r="C5201" t="str">
            <v>NBX3070</v>
          </cell>
          <cell r="D5201" t="str">
            <v>NBX3070</v>
          </cell>
        </row>
        <row r="5202">
          <cell r="C5202" t="str">
            <v>NBZ5H67</v>
          </cell>
          <cell r="D5202" t="str">
            <v>NBZ5H67</v>
          </cell>
        </row>
        <row r="5203">
          <cell r="C5203" t="str">
            <v>NCJ4575</v>
          </cell>
          <cell r="D5203" t="str">
            <v>NCJ4575</v>
          </cell>
        </row>
        <row r="5204">
          <cell r="C5204" t="str">
            <v>NCJ4595</v>
          </cell>
          <cell r="D5204" t="str">
            <v>NCJ4595</v>
          </cell>
        </row>
        <row r="5205">
          <cell r="C5205" t="str">
            <v>NCL8184</v>
          </cell>
          <cell r="D5205" t="str">
            <v>NCL8184</v>
          </cell>
        </row>
        <row r="5206">
          <cell r="C5206" t="str">
            <v>NCQ3802</v>
          </cell>
          <cell r="D5206" t="str">
            <v>NCQ3802</v>
          </cell>
        </row>
        <row r="5207">
          <cell r="C5207" t="str">
            <v>NCS6759</v>
          </cell>
          <cell r="D5207" t="str">
            <v>NCS6759</v>
          </cell>
        </row>
        <row r="5208">
          <cell r="C5208" t="str">
            <v>NDC3790</v>
          </cell>
          <cell r="D5208" t="str">
            <v>NDC3790</v>
          </cell>
        </row>
        <row r="5209">
          <cell r="C5209" t="str">
            <v>NDD3907</v>
          </cell>
          <cell r="D5209" t="str">
            <v>NDD3907</v>
          </cell>
        </row>
        <row r="5210">
          <cell r="C5210" t="str">
            <v>NDQ6E10</v>
          </cell>
          <cell r="D5210" t="str">
            <v>NDQ6E10</v>
          </cell>
        </row>
        <row r="5211">
          <cell r="C5211" t="str">
            <v>NDX6H24</v>
          </cell>
          <cell r="D5211" t="str">
            <v>NDX6H24</v>
          </cell>
        </row>
        <row r="5212">
          <cell r="C5212" t="str">
            <v>NDZ9635</v>
          </cell>
          <cell r="D5212" t="str">
            <v>NDZ9635</v>
          </cell>
        </row>
        <row r="5213">
          <cell r="C5213" t="str">
            <v>BWT6658</v>
          </cell>
          <cell r="D5213" t="str">
            <v>BWT6658</v>
          </cell>
        </row>
        <row r="5214">
          <cell r="C5214" t="str">
            <v>NET6426</v>
          </cell>
          <cell r="D5214" t="str">
            <v>NET6426</v>
          </cell>
        </row>
        <row r="5215">
          <cell r="C5215" t="str">
            <v>NEW8992</v>
          </cell>
          <cell r="D5215" t="str">
            <v>NEW8992</v>
          </cell>
        </row>
        <row r="5216">
          <cell r="C5216" t="str">
            <v>NEY2976</v>
          </cell>
          <cell r="D5216" t="str">
            <v>NEY2976</v>
          </cell>
        </row>
        <row r="5217">
          <cell r="C5217" t="str">
            <v>NFH1357</v>
          </cell>
          <cell r="D5217" t="str">
            <v>NFH1357</v>
          </cell>
        </row>
        <row r="5218">
          <cell r="C5218" t="str">
            <v>NFO7F96</v>
          </cell>
          <cell r="D5218" t="str">
            <v>NFO7F96</v>
          </cell>
        </row>
        <row r="5219">
          <cell r="C5219" t="str">
            <v>NFP2744</v>
          </cell>
          <cell r="D5219" t="str">
            <v>NFP2744</v>
          </cell>
        </row>
        <row r="5220">
          <cell r="C5220" t="str">
            <v>NFR8325</v>
          </cell>
          <cell r="D5220" t="str">
            <v>NFR8325</v>
          </cell>
        </row>
        <row r="5221">
          <cell r="C5221" t="str">
            <v>NFT1699</v>
          </cell>
          <cell r="D5221" t="str">
            <v>NFT1699</v>
          </cell>
        </row>
        <row r="5222">
          <cell r="C5222" t="str">
            <v>NGH1913</v>
          </cell>
          <cell r="D5222" t="str">
            <v>NGH1913</v>
          </cell>
        </row>
        <row r="5223">
          <cell r="C5223" t="str">
            <v>NGL9699</v>
          </cell>
          <cell r="D5223" t="str">
            <v>NGL9699</v>
          </cell>
        </row>
        <row r="5224">
          <cell r="C5224" t="str">
            <v>NGX0832</v>
          </cell>
          <cell r="D5224" t="str">
            <v>NGX0832</v>
          </cell>
        </row>
        <row r="5225">
          <cell r="C5225" t="str">
            <v>NHP5091</v>
          </cell>
          <cell r="D5225" t="str">
            <v>NHP5091</v>
          </cell>
        </row>
        <row r="5226">
          <cell r="C5226" t="str">
            <v>NHR5264</v>
          </cell>
          <cell r="D5226" t="str">
            <v>NHR5264</v>
          </cell>
        </row>
        <row r="5227">
          <cell r="C5227" t="str">
            <v>BWG9923</v>
          </cell>
          <cell r="D5227" t="str">
            <v>BWG9923</v>
          </cell>
        </row>
        <row r="5228">
          <cell r="C5228" t="str">
            <v>AGQ1367</v>
          </cell>
          <cell r="D5228" t="str">
            <v>AGQ1367</v>
          </cell>
        </row>
        <row r="5229">
          <cell r="C5229" t="str">
            <v>NIZ3811</v>
          </cell>
          <cell r="D5229" t="str">
            <v>NIZ3811</v>
          </cell>
        </row>
        <row r="5230">
          <cell r="C5230" t="str">
            <v>NJC9A80</v>
          </cell>
          <cell r="D5230" t="str">
            <v>NJC9A80</v>
          </cell>
        </row>
        <row r="5231">
          <cell r="C5231" t="str">
            <v>NJF7228</v>
          </cell>
          <cell r="D5231" t="str">
            <v>NJF7228</v>
          </cell>
        </row>
        <row r="5232">
          <cell r="C5232" t="str">
            <v>NJF8173</v>
          </cell>
          <cell r="D5232" t="str">
            <v>NJF8173</v>
          </cell>
        </row>
        <row r="5233">
          <cell r="C5233" t="str">
            <v>NJI6708</v>
          </cell>
          <cell r="D5233" t="str">
            <v>NJI6708</v>
          </cell>
        </row>
        <row r="5234">
          <cell r="C5234" t="str">
            <v>NJT7864</v>
          </cell>
          <cell r="D5234" t="str">
            <v>NJT7864</v>
          </cell>
        </row>
        <row r="5235">
          <cell r="C5235" t="str">
            <v>NJU1108</v>
          </cell>
          <cell r="D5235" t="str">
            <v>NJU1108</v>
          </cell>
        </row>
        <row r="5236">
          <cell r="C5236" t="str">
            <v>NJW8B05</v>
          </cell>
          <cell r="D5236" t="str">
            <v>NJW8B05</v>
          </cell>
        </row>
        <row r="5237">
          <cell r="C5237" t="str">
            <v>NKJ7750</v>
          </cell>
          <cell r="D5237" t="str">
            <v>NKJ7750</v>
          </cell>
        </row>
        <row r="5238">
          <cell r="C5238" t="str">
            <v>NKT5E00</v>
          </cell>
          <cell r="D5238" t="str">
            <v>NKT5E00</v>
          </cell>
        </row>
        <row r="5239">
          <cell r="C5239" t="str">
            <v>NKU3029</v>
          </cell>
          <cell r="D5239" t="str">
            <v>NKU3029</v>
          </cell>
        </row>
        <row r="5240">
          <cell r="C5240" t="str">
            <v>NLH0883</v>
          </cell>
          <cell r="D5240" t="str">
            <v>NLH0883</v>
          </cell>
        </row>
        <row r="5241">
          <cell r="C5241" t="str">
            <v>NLI7894</v>
          </cell>
          <cell r="D5241" t="str">
            <v>NLI7894</v>
          </cell>
        </row>
        <row r="5242">
          <cell r="C5242" t="str">
            <v>NLJ7E42</v>
          </cell>
          <cell r="D5242" t="str">
            <v>NLJ7E42</v>
          </cell>
        </row>
        <row r="5243">
          <cell r="C5243" t="str">
            <v>NLS8082</v>
          </cell>
          <cell r="D5243" t="str">
            <v>NLS8082</v>
          </cell>
        </row>
        <row r="5244">
          <cell r="C5244" t="str">
            <v>CYN0882</v>
          </cell>
          <cell r="D5244" t="str">
            <v>CYN0882</v>
          </cell>
        </row>
        <row r="5245">
          <cell r="C5245" t="str">
            <v>NOX8153</v>
          </cell>
          <cell r="D5245" t="str">
            <v>NOX8153</v>
          </cell>
        </row>
        <row r="5246">
          <cell r="C5246" t="str">
            <v>NPG2758</v>
          </cell>
          <cell r="D5246" t="str">
            <v>NPG2758</v>
          </cell>
        </row>
        <row r="5247">
          <cell r="C5247" t="str">
            <v>NPG8737</v>
          </cell>
          <cell r="D5247" t="str">
            <v>NPG8737</v>
          </cell>
        </row>
        <row r="5248">
          <cell r="C5248" t="str">
            <v>NPM2525</v>
          </cell>
          <cell r="D5248" t="str">
            <v>NPM2525</v>
          </cell>
        </row>
        <row r="5249">
          <cell r="C5249" t="str">
            <v>NQV3726</v>
          </cell>
          <cell r="D5249" t="str">
            <v>NQV3726</v>
          </cell>
        </row>
        <row r="5250">
          <cell r="C5250" t="str">
            <v>NRD1010</v>
          </cell>
          <cell r="D5250" t="str">
            <v>NRD1010</v>
          </cell>
        </row>
        <row r="5251">
          <cell r="C5251" t="str">
            <v>NRF6465</v>
          </cell>
          <cell r="D5251" t="str">
            <v>NRF6465</v>
          </cell>
        </row>
        <row r="5252">
          <cell r="C5252" t="str">
            <v>NRF7564</v>
          </cell>
          <cell r="D5252" t="str">
            <v>NRF7564</v>
          </cell>
        </row>
        <row r="5253">
          <cell r="C5253" t="str">
            <v>NRF0366</v>
          </cell>
          <cell r="D5253" t="str">
            <v>NRF0366</v>
          </cell>
        </row>
        <row r="5254">
          <cell r="C5254" t="str">
            <v>NRF0E99</v>
          </cell>
          <cell r="D5254" t="str">
            <v>NRF0E99</v>
          </cell>
        </row>
        <row r="5255">
          <cell r="C5255" t="str">
            <v>NRF1181</v>
          </cell>
          <cell r="D5255" t="str">
            <v>NRF1181</v>
          </cell>
        </row>
        <row r="5256">
          <cell r="C5256" t="str">
            <v>NRF2066</v>
          </cell>
          <cell r="D5256" t="str">
            <v>NRF2066</v>
          </cell>
        </row>
        <row r="5257">
          <cell r="C5257" t="str">
            <v>NRF4E01</v>
          </cell>
          <cell r="D5257" t="str">
            <v>NRF4E01</v>
          </cell>
        </row>
        <row r="5258">
          <cell r="C5258" t="str">
            <v>NRF8937</v>
          </cell>
          <cell r="D5258" t="str">
            <v>NRF8937</v>
          </cell>
        </row>
        <row r="5259">
          <cell r="C5259" t="str">
            <v>NRH0869</v>
          </cell>
          <cell r="D5259" t="str">
            <v>NRH0869</v>
          </cell>
        </row>
        <row r="5260">
          <cell r="C5260" t="str">
            <v>NRH1913</v>
          </cell>
          <cell r="D5260" t="str">
            <v>NRH1913</v>
          </cell>
        </row>
        <row r="5261">
          <cell r="C5261" t="str">
            <v>NRH7242</v>
          </cell>
          <cell r="D5261" t="str">
            <v>NRH7242</v>
          </cell>
        </row>
        <row r="5262">
          <cell r="C5262" t="str">
            <v>NRH0223</v>
          </cell>
          <cell r="D5262" t="str">
            <v>NRH0223</v>
          </cell>
        </row>
        <row r="5263">
          <cell r="C5263" t="str">
            <v>NRH0247</v>
          </cell>
          <cell r="D5263" t="str">
            <v>NRH0247</v>
          </cell>
        </row>
        <row r="5264">
          <cell r="C5264" t="str">
            <v>NRH0454</v>
          </cell>
          <cell r="D5264" t="str">
            <v>NRH0454</v>
          </cell>
        </row>
        <row r="5265">
          <cell r="C5265" t="str">
            <v>NRH0835</v>
          </cell>
          <cell r="D5265" t="str">
            <v>NRH0835</v>
          </cell>
        </row>
        <row r="5266">
          <cell r="C5266" t="str">
            <v>NRH0876</v>
          </cell>
          <cell r="D5266" t="str">
            <v>NRH0876</v>
          </cell>
        </row>
        <row r="5267">
          <cell r="C5267" t="str">
            <v>NRH0896</v>
          </cell>
          <cell r="D5267" t="str">
            <v>NRH0896</v>
          </cell>
        </row>
        <row r="5268">
          <cell r="C5268" t="str">
            <v>NRH1215</v>
          </cell>
          <cell r="D5268" t="str">
            <v>NRH1215</v>
          </cell>
        </row>
        <row r="5269">
          <cell r="C5269" t="str">
            <v>NRH1491</v>
          </cell>
          <cell r="D5269" t="str">
            <v>NRH1491</v>
          </cell>
        </row>
        <row r="5270">
          <cell r="C5270" t="str">
            <v>NRH1705</v>
          </cell>
          <cell r="D5270" t="str">
            <v>NRH1705</v>
          </cell>
        </row>
        <row r="5271">
          <cell r="C5271" t="str">
            <v>NRH2056</v>
          </cell>
          <cell r="D5271" t="str">
            <v>NRH2056</v>
          </cell>
        </row>
        <row r="5272">
          <cell r="C5272" t="str">
            <v>NRH2098</v>
          </cell>
          <cell r="D5272" t="str">
            <v>NRH2098</v>
          </cell>
        </row>
        <row r="5273">
          <cell r="C5273" t="str">
            <v>NRH4693</v>
          </cell>
          <cell r="D5273" t="str">
            <v>NRH4693</v>
          </cell>
        </row>
        <row r="5274">
          <cell r="C5274" t="str">
            <v>NRH4979</v>
          </cell>
          <cell r="D5274" t="str">
            <v>NRH4979</v>
          </cell>
        </row>
        <row r="5275">
          <cell r="C5275" t="str">
            <v>NRH5411</v>
          </cell>
          <cell r="D5275" t="str">
            <v>NRH5411</v>
          </cell>
        </row>
        <row r="5276">
          <cell r="C5276" t="str">
            <v>NRH5447</v>
          </cell>
          <cell r="D5276" t="str">
            <v>NRH5447</v>
          </cell>
        </row>
        <row r="5277">
          <cell r="C5277" t="str">
            <v>NRH5630</v>
          </cell>
          <cell r="D5277" t="str">
            <v>NRH5630</v>
          </cell>
        </row>
        <row r="5278">
          <cell r="C5278" t="str">
            <v>NRH5957</v>
          </cell>
          <cell r="D5278" t="str">
            <v>NRH5957</v>
          </cell>
        </row>
        <row r="5279">
          <cell r="C5279" t="str">
            <v>NRH6033</v>
          </cell>
          <cell r="D5279" t="str">
            <v>NRH6033</v>
          </cell>
        </row>
        <row r="5280">
          <cell r="C5280" t="str">
            <v>NRH6243</v>
          </cell>
          <cell r="D5280" t="str">
            <v>NRH6243</v>
          </cell>
        </row>
        <row r="5281">
          <cell r="C5281" t="str">
            <v>NRH6747</v>
          </cell>
          <cell r="D5281" t="str">
            <v>NRH6747</v>
          </cell>
        </row>
        <row r="5282">
          <cell r="C5282" t="str">
            <v>NRH6A58</v>
          </cell>
          <cell r="D5282" t="str">
            <v>NRH6A58</v>
          </cell>
        </row>
        <row r="5283">
          <cell r="C5283" t="str">
            <v>NRH7414</v>
          </cell>
          <cell r="D5283" t="str">
            <v>NRH7414</v>
          </cell>
        </row>
        <row r="5284">
          <cell r="C5284" t="str">
            <v>NRH7652</v>
          </cell>
          <cell r="D5284" t="str">
            <v>NRH7652</v>
          </cell>
        </row>
        <row r="5285">
          <cell r="C5285" t="str">
            <v>NRH7772</v>
          </cell>
          <cell r="D5285" t="str">
            <v>NRH7772</v>
          </cell>
        </row>
        <row r="5286">
          <cell r="C5286" t="str">
            <v>NRH8239</v>
          </cell>
          <cell r="D5286" t="str">
            <v>NRH8239</v>
          </cell>
        </row>
        <row r="5287">
          <cell r="C5287" t="str">
            <v>NRH8557</v>
          </cell>
          <cell r="D5287" t="str">
            <v>NRH8557</v>
          </cell>
        </row>
        <row r="5288">
          <cell r="C5288" t="str">
            <v>NRH9248</v>
          </cell>
          <cell r="D5288" t="str">
            <v>NRH9248</v>
          </cell>
        </row>
        <row r="5289">
          <cell r="C5289" t="str">
            <v>NRH9614</v>
          </cell>
          <cell r="D5289" t="str">
            <v>NRH9614</v>
          </cell>
        </row>
        <row r="5290">
          <cell r="C5290" t="str">
            <v>NRH9896</v>
          </cell>
          <cell r="D5290" t="str">
            <v>NRH9896</v>
          </cell>
        </row>
        <row r="5291">
          <cell r="C5291" t="str">
            <v>NRI9322</v>
          </cell>
          <cell r="D5291" t="str">
            <v>NRI9322</v>
          </cell>
        </row>
        <row r="5292">
          <cell r="C5292" t="str">
            <v>NRI9404</v>
          </cell>
          <cell r="D5292" t="str">
            <v>NRI9404</v>
          </cell>
        </row>
        <row r="5293">
          <cell r="C5293" t="str">
            <v>NRI9405</v>
          </cell>
          <cell r="D5293" t="str">
            <v>NRI9405</v>
          </cell>
        </row>
        <row r="5294">
          <cell r="C5294" t="str">
            <v>NRI9432</v>
          </cell>
          <cell r="D5294" t="str">
            <v>NRI9432</v>
          </cell>
        </row>
        <row r="5295">
          <cell r="C5295" t="str">
            <v>NRI9888</v>
          </cell>
          <cell r="D5295" t="str">
            <v>NRI9888</v>
          </cell>
        </row>
        <row r="5296">
          <cell r="C5296" t="str">
            <v>NRI9890</v>
          </cell>
          <cell r="D5296" t="str">
            <v>NRI9890</v>
          </cell>
        </row>
        <row r="5297">
          <cell r="C5297" t="str">
            <v>NRI9891</v>
          </cell>
          <cell r="D5297" t="str">
            <v>NRI9891</v>
          </cell>
        </row>
        <row r="5298">
          <cell r="C5298" t="str">
            <v>NRI9C14</v>
          </cell>
          <cell r="D5298" t="str">
            <v>NRI9C14</v>
          </cell>
        </row>
        <row r="5299">
          <cell r="C5299" t="str">
            <v>NRI9D09</v>
          </cell>
          <cell r="D5299" t="str">
            <v>NRI9D09</v>
          </cell>
        </row>
        <row r="5300">
          <cell r="C5300" t="str">
            <v>NRI9D10</v>
          </cell>
          <cell r="D5300" t="str">
            <v>NRI9D10</v>
          </cell>
        </row>
        <row r="5301">
          <cell r="C5301" t="str">
            <v>NRI9E76</v>
          </cell>
          <cell r="D5301" t="str">
            <v>NRI9E76</v>
          </cell>
        </row>
        <row r="5302">
          <cell r="C5302" t="str">
            <v>NRJ0891</v>
          </cell>
          <cell r="D5302" t="str">
            <v>NRJ0891</v>
          </cell>
        </row>
        <row r="5303">
          <cell r="C5303" t="str">
            <v>NRJ1479</v>
          </cell>
          <cell r="D5303" t="str">
            <v>NRJ1479</v>
          </cell>
        </row>
        <row r="5304">
          <cell r="C5304" t="str">
            <v>NRL8320</v>
          </cell>
          <cell r="D5304" t="str">
            <v>NRL8320</v>
          </cell>
        </row>
        <row r="5305">
          <cell r="C5305" t="str">
            <v>NRL0148</v>
          </cell>
          <cell r="D5305" t="str">
            <v>NRL0148</v>
          </cell>
        </row>
        <row r="5306">
          <cell r="C5306" t="str">
            <v>NRL2800</v>
          </cell>
          <cell r="D5306" t="str">
            <v>NRL2800</v>
          </cell>
        </row>
        <row r="5307">
          <cell r="C5307" t="str">
            <v>NRL3513</v>
          </cell>
          <cell r="D5307" t="str">
            <v>NRL3513</v>
          </cell>
        </row>
        <row r="5308">
          <cell r="C5308" t="str">
            <v>NRL3785</v>
          </cell>
          <cell r="D5308" t="str">
            <v>NRL3785</v>
          </cell>
        </row>
        <row r="5309">
          <cell r="C5309" t="str">
            <v>NRL5870</v>
          </cell>
          <cell r="D5309" t="str">
            <v>NRL5870</v>
          </cell>
        </row>
        <row r="5310">
          <cell r="C5310" t="str">
            <v>NRL5987</v>
          </cell>
          <cell r="D5310" t="str">
            <v>NRL5987</v>
          </cell>
        </row>
        <row r="5311">
          <cell r="C5311" t="str">
            <v>NRL5J18</v>
          </cell>
          <cell r="D5311" t="str">
            <v>NRL5J18</v>
          </cell>
        </row>
        <row r="5312">
          <cell r="C5312" t="str">
            <v>NRL6678</v>
          </cell>
          <cell r="D5312" t="str">
            <v>NRL6678</v>
          </cell>
        </row>
        <row r="5313">
          <cell r="C5313" t="str">
            <v>NRM7I09</v>
          </cell>
          <cell r="D5313" t="str">
            <v>NRM7I09</v>
          </cell>
        </row>
        <row r="5314">
          <cell r="C5314" t="str">
            <v>NRM5130</v>
          </cell>
          <cell r="D5314" t="str">
            <v>NRM5130</v>
          </cell>
        </row>
        <row r="5315">
          <cell r="C5315" t="str">
            <v>NRM5264</v>
          </cell>
          <cell r="D5315" t="str">
            <v>NRM5264</v>
          </cell>
        </row>
        <row r="5316">
          <cell r="C5316" t="str">
            <v>NRM8354</v>
          </cell>
          <cell r="D5316" t="str">
            <v>NRM8354</v>
          </cell>
        </row>
        <row r="5317">
          <cell r="C5317" t="str">
            <v>NRM8529</v>
          </cell>
          <cell r="D5317" t="str">
            <v>NRM8529</v>
          </cell>
        </row>
        <row r="5318">
          <cell r="C5318" t="str">
            <v>NRM8D54</v>
          </cell>
          <cell r="D5318" t="str">
            <v>NRM8D54</v>
          </cell>
        </row>
        <row r="5319">
          <cell r="C5319" t="str">
            <v>NRN0482</v>
          </cell>
          <cell r="D5319" t="str">
            <v>NRN0482</v>
          </cell>
        </row>
        <row r="5320">
          <cell r="C5320" t="str">
            <v>NRN6052</v>
          </cell>
          <cell r="D5320" t="str">
            <v>NRN6052</v>
          </cell>
        </row>
        <row r="5321">
          <cell r="C5321" t="str">
            <v>NRN8052</v>
          </cell>
          <cell r="D5321" t="str">
            <v>NRN8052</v>
          </cell>
        </row>
        <row r="5322">
          <cell r="C5322" t="str">
            <v>NRP0D52</v>
          </cell>
          <cell r="D5322" t="str">
            <v>NRP0D52</v>
          </cell>
        </row>
        <row r="5323">
          <cell r="C5323" t="str">
            <v>NRP1A42</v>
          </cell>
          <cell r="D5323" t="str">
            <v>NRP1A42</v>
          </cell>
        </row>
        <row r="5324">
          <cell r="C5324" t="str">
            <v>NRP2128</v>
          </cell>
          <cell r="D5324" t="str">
            <v>NRP2128</v>
          </cell>
        </row>
        <row r="5325">
          <cell r="C5325" t="str">
            <v>NRP3057</v>
          </cell>
          <cell r="D5325" t="str">
            <v>NRP3057</v>
          </cell>
        </row>
        <row r="5326">
          <cell r="C5326" t="str">
            <v>NRP3F68</v>
          </cell>
          <cell r="D5326" t="str">
            <v>NRP3F68</v>
          </cell>
        </row>
        <row r="5327">
          <cell r="C5327" t="str">
            <v>NRP5062</v>
          </cell>
          <cell r="D5327" t="str">
            <v>NRP5062</v>
          </cell>
        </row>
        <row r="5328">
          <cell r="C5328" t="str">
            <v>NRP9104</v>
          </cell>
          <cell r="D5328" t="str">
            <v>NRP9104</v>
          </cell>
        </row>
        <row r="5329">
          <cell r="C5329" t="str">
            <v>NRP9396</v>
          </cell>
          <cell r="D5329" t="str">
            <v>NRP9396</v>
          </cell>
        </row>
        <row r="5330">
          <cell r="C5330" t="str">
            <v>NRQ0102</v>
          </cell>
          <cell r="D5330" t="str">
            <v>NRQ0102</v>
          </cell>
        </row>
        <row r="5331">
          <cell r="C5331" t="str">
            <v>NRQ0D52</v>
          </cell>
          <cell r="D5331" t="str">
            <v>NRQ0D52</v>
          </cell>
        </row>
        <row r="5332">
          <cell r="C5332" t="str">
            <v>NRQ1766</v>
          </cell>
          <cell r="D5332" t="str">
            <v>NRQ1766</v>
          </cell>
        </row>
        <row r="5333">
          <cell r="C5333" t="str">
            <v>NRQ1905</v>
          </cell>
          <cell r="D5333" t="str">
            <v>NRQ1905</v>
          </cell>
        </row>
        <row r="5334">
          <cell r="C5334" t="str">
            <v>NRQ2013</v>
          </cell>
          <cell r="D5334" t="str">
            <v>NRQ2013</v>
          </cell>
        </row>
        <row r="5335">
          <cell r="C5335" t="str">
            <v>NRQ4D53</v>
          </cell>
          <cell r="D5335" t="str">
            <v>NRQ4D53</v>
          </cell>
        </row>
        <row r="5336">
          <cell r="C5336" t="str">
            <v>NRQ5645</v>
          </cell>
          <cell r="D5336" t="str">
            <v>NRQ5645</v>
          </cell>
        </row>
        <row r="5337">
          <cell r="C5337" t="str">
            <v>NRQ5999</v>
          </cell>
          <cell r="D5337" t="str">
            <v>NRQ5999</v>
          </cell>
        </row>
        <row r="5338">
          <cell r="C5338" t="str">
            <v>NRQ7727</v>
          </cell>
          <cell r="D5338" t="str">
            <v>NRQ7727</v>
          </cell>
        </row>
        <row r="5339">
          <cell r="C5339" t="str">
            <v>NRR1110</v>
          </cell>
          <cell r="D5339" t="str">
            <v>NRR1110</v>
          </cell>
        </row>
        <row r="5340">
          <cell r="C5340" t="str">
            <v>NRS0474</v>
          </cell>
          <cell r="D5340" t="str">
            <v>NRS0474</v>
          </cell>
        </row>
        <row r="5341">
          <cell r="C5341" t="str">
            <v>NRS3083</v>
          </cell>
          <cell r="D5341" t="str">
            <v>NRS3083</v>
          </cell>
        </row>
        <row r="5342">
          <cell r="C5342" t="str">
            <v>NRS5206</v>
          </cell>
          <cell r="D5342" t="str">
            <v>NRS5206</v>
          </cell>
        </row>
        <row r="5343">
          <cell r="C5343" t="str">
            <v>NRT1993</v>
          </cell>
          <cell r="D5343" t="str">
            <v>NRT1993</v>
          </cell>
        </row>
        <row r="5344">
          <cell r="C5344" t="str">
            <v>NRU2937</v>
          </cell>
          <cell r="D5344" t="str">
            <v>NRU2937</v>
          </cell>
        </row>
        <row r="5345">
          <cell r="C5345" t="str">
            <v>NRU3139</v>
          </cell>
          <cell r="D5345" t="str">
            <v>NRU3139</v>
          </cell>
        </row>
        <row r="5346">
          <cell r="C5346" t="str">
            <v>NRU6554</v>
          </cell>
          <cell r="D5346" t="str">
            <v>NRU6554</v>
          </cell>
        </row>
        <row r="5347">
          <cell r="C5347" t="str">
            <v>NRU7949</v>
          </cell>
          <cell r="D5347" t="str">
            <v>NRU7949</v>
          </cell>
        </row>
        <row r="5348">
          <cell r="C5348" t="str">
            <v>NRV6F61</v>
          </cell>
          <cell r="D5348" t="str">
            <v>NRV6F61</v>
          </cell>
        </row>
        <row r="5349">
          <cell r="C5349" t="str">
            <v>NRV7727</v>
          </cell>
          <cell r="D5349" t="str">
            <v>NRV7727</v>
          </cell>
        </row>
        <row r="5350">
          <cell r="C5350" t="str">
            <v>NRW1368</v>
          </cell>
          <cell r="D5350" t="str">
            <v>NRW1368</v>
          </cell>
        </row>
        <row r="5351">
          <cell r="C5351" t="str">
            <v>NRW1388</v>
          </cell>
          <cell r="D5351" t="str">
            <v>NRW1388</v>
          </cell>
        </row>
        <row r="5352">
          <cell r="C5352" t="str">
            <v>NRW3105</v>
          </cell>
          <cell r="D5352" t="str">
            <v>NRW3105</v>
          </cell>
        </row>
        <row r="5353">
          <cell r="C5353" t="str">
            <v>NRW3B05</v>
          </cell>
          <cell r="D5353" t="str">
            <v>NRW3B05</v>
          </cell>
        </row>
        <row r="5354">
          <cell r="C5354" t="str">
            <v>NRW4154</v>
          </cell>
          <cell r="D5354" t="str">
            <v>NRW4154</v>
          </cell>
        </row>
        <row r="5355">
          <cell r="C5355" t="str">
            <v>NRW4341</v>
          </cell>
          <cell r="D5355" t="str">
            <v>NRW4341</v>
          </cell>
        </row>
        <row r="5356">
          <cell r="C5356" t="str">
            <v>NRW6501</v>
          </cell>
          <cell r="D5356" t="str">
            <v>NRW6501</v>
          </cell>
        </row>
        <row r="5357">
          <cell r="C5357" t="str">
            <v>NRW7727</v>
          </cell>
          <cell r="D5357" t="str">
            <v>NRW7727</v>
          </cell>
        </row>
        <row r="5358">
          <cell r="C5358" t="str">
            <v>NRY2536</v>
          </cell>
          <cell r="D5358" t="str">
            <v>NRY2536</v>
          </cell>
        </row>
        <row r="5359">
          <cell r="C5359" t="str">
            <v>NRY1350</v>
          </cell>
          <cell r="D5359" t="str">
            <v>NRY1350</v>
          </cell>
        </row>
        <row r="5360">
          <cell r="C5360" t="str">
            <v>NRY1352</v>
          </cell>
          <cell r="D5360" t="str">
            <v>NRY1352</v>
          </cell>
        </row>
        <row r="5361">
          <cell r="C5361" t="str">
            <v>NRY3261</v>
          </cell>
          <cell r="D5361" t="str">
            <v>NRY3261</v>
          </cell>
        </row>
        <row r="5362">
          <cell r="C5362" t="str">
            <v>NRY4143</v>
          </cell>
          <cell r="D5362" t="str">
            <v>NRY4143</v>
          </cell>
        </row>
        <row r="5363">
          <cell r="C5363" t="str">
            <v>NRY8182</v>
          </cell>
          <cell r="D5363" t="str">
            <v>NRY8182</v>
          </cell>
        </row>
        <row r="5364">
          <cell r="C5364" t="str">
            <v>NRZ0322</v>
          </cell>
          <cell r="D5364" t="str">
            <v>NRZ0322</v>
          </cell>
        </row>
        <row r="5365">
          <cell r="C5365" t="str">
            <v>NRZ0781</v>
          </cell>
          <cell r="D5365" t="str">
            <v>NRZ0781</v>
          </cell>
        </row>
        <row r="5366">
          <cell r="C5366" t="str">
            <v>NRZ1353</v>
          </cell>
          <cell r="D5366" t="str">
            <v>NRZ1353</v>
          </cell>
        </row>
        <row r="5367">
          <cell r="C5367" t="str">
            <v>NRZ0019</v>
          </cell>
          <cell r="D5367" t="str">
            <v>NRZ0019</v>
          </cell>
        </row>
        <row r="5368">
          <cell r="C5368" t="str">
            <v>NRZ0696</v>
          </cell>
          <cell r="D5368" t="str">
            <v>NRZ0696</v>
          </cell>
        </row>
        <row r="5369">
          <cell r="C5369" t="str">
            <v>NRZ0697</v>
          </cell>
          <cell r="D5369" t="str">
            <v>NRZ0697</v>
          </cell>
        </row>
        <row r="5370">
          <cell r="C5370" t="str">
            <v>NRZ0699</v>
          </cell>
          <cell r="D5370" t="str">
            <v>NRZ0699</v>
          </cell>
        </row>
        <row r="5371">
          <cell r="C5371" t="str">
            <v>NRZ0794</v>
          </cell>
          <cell r="D5371" t="str">
            <v>NRZ0794</v>
          </cell>
        </row>
        <row r="5372">
          <cell r="C5372" t="str">
            <v>NRZ0D22</v>
          </cell>
          <cell r="D5372" t="str">
            <v>NRZ0D22</v>
          </cell>
        </row>
        <row r="5373">
          <cell r="C5373" t="str">
            <v>NRZ0G96</v>
          </cell>
          <cell r="D5373" t="str">
            <v>NRZ0G96</v>
          </cell>
        </row>
        <row r="5374">
          <cell r="C5374" t="str">
            <v>NRZ0H03</v>
          </cell>
          <cell r="D5374" t="str">
            <v>NRZ0H03</v>
          </cell>
        </row>
        <row r="5375">
          <cell r="C5375" t="str">
            <v>NRZ0H81</v>
          </cell>
          <cell r="D5375" t="str">
            <v>NRZ0H81</v>
          </cell>
        </row>
        <row r="5376">
          <cell r="C5376" t="str">
            <v>NRZ2080</v>
          </cell>
          <cell r="D5376" t="str">
            <v>NRZ2080</v>
          </cell>
        </row>
        <row r="5377">
          <cell r="C5377" t="str">
            <v>NRZ2449</v>
          </cell>
          <cell r="D5377" t="str">
            <v>NRZ2449</v>
          </cell>
        </row>
        <row r="5378">
          <cell r="C5378" t="str">
            <v>NSA4568</v>
          </cell>
          <cell r="D5378" t="str">
            <v>NSA4568</v>
          </cell>
        </row>
        <row r="5379">
          <cell r="C5379" t="str">
            <v>NSA4406</v>
          </cell>
          <cell r="D5379" t="str">
            <v>NSA4406</v>
          </cell>
        </row>
        <row r="5380">
          <cell r="C5380" t="str">
            <v>NSA5396</v>
          </cell>
          <cell r="D5380" t="str">
            <v>NSA5396</v>
          </cell>
        </row>
        <row r="5381">
          <cell r="C5381" t="str">
            <v>NSA6075</v>
          </cell>
          <cell r="D5381" t="str">
            <v>NSA6075</v>
          </cell>
        </row>
        <row r="5382">
          <cell r="C5382" t="str">
            <v>NSA6094</v>
          </cell>
          <cell r="D5382" t="str">
            <v>NSA6094</v>
          </cell>
        </row>
        <row r="5383">
          <cell r="C5383" t="str">
            <v>NSA6109</v>
          </cell>
          <cell r="D5383" t="str">
            <v>NSA6109</v>
          </cell>
        </row>
        <row r="5384">
          <cell r="C5384" t="str">
            <v>NSB7767</v>
          </cell>
          <cell r="D5384" t="str">
            <v>NSB7767</v>
          </cell>
        </row>
        <row r="5385">
          <cell r="C5385" t="str">
            <v>NSB0437</v>
          </cell>
          <cell r="D5385" t="str">
            <v>NSB0437</v>
          </cell>
        </row>
        <row r="5386">
          <cell r="C5386" t="str">
            <v>NSB0525</v>
          </cell>
          <cell r="D5386" t="str">
            <v>NSB0525</v>
          </cell>
        </row>
        <row r="5387">
          <cell r="C5387" t="str">
            <v>NSB2378</v>
          </cell>
          <cell r="D5387" t="str">
            <v>NSB2378</v>
          </cell>
        </row>
        <row r="5388">
          <cell r="C5388" t="str">
            <v>NSB3733</v>
          </cell>
          <cell r="D5388" t="str">
            <v>NSB3733</v>
          </cell>
        </row>
        <row r="5389">
          <cell r="C5389" t="str">
            <v>NSB4321</v>
          </cell>
          <cell r="D5389" t="str">
            <v>NSB4321</v>
          </cell>
        </row>
        <row r="5390">
          <cell r="C5390" t="str">
            <v>NSB6696</v>
          </cell>
          <cell r="D5390" t="str">
            <v>NSB6696</v>
          </cell>
        </row>
        <row r="5391">
          <cell r="C5391" t="str">
            <v>NSB6J93</v>
          </cell>
          <cell r="D5391" t="str">
            <v>NSB6J93</v>
          </cell>
        </row>
        <row r="5392">
          <cell r="C5392" t="str">
            <v>NSB8649</v>
          </cell>
          <cell r="D5392" t="str">
            <v>NSB8649</v>
          </cell>
        </row>
        <row r="5393">
          <cell r="C5393" t="str">
            <v>NSC0645</v>
          </cell>
          <cell r="D5393" t="str">
            <v>NSC0645</v>
          </cell>
        </row>
        <row r="5394">
          <cell r="C5394" t="str">
            <v>NSC0776</v>
          </cell>
          <cell r="D5394" t="str">
            <v>NSC0776</v>
          </cell>
        </row>
        <row r="5395">
          <cell r="C5395" t="str">
            <v>NSC0929</v>
          </cell>
          <cell r="D5395" t="str">
            <v>NSC0929</v>
          </cell>
        </row>
        <row r="5396">
          <cell r="C5396" t="str">
            <v>NSC1501</v>
          </cell>
          <cell r="D5396" t="str">
            <v>NSC1501</v>
          </cell>
        </row>
        <row r="5397">
          <cell r="C5397" t="str">
            <v>NSC1518</v>
          </cell>
          <cell r="D5397" t="str">
            <v>NSC1518</v>
          </cell>
        </row>
        <row r="5398">
          <cell r="C5398" t="str">
            <v>NSC1558</v>
          </cell>
          <cell r="D5398" t="str">
            <v>NSC1558</v>
          </cell>
        </row>
        <row r="5399">
          <cell r="C5399" t="str">
            <v>NSC1756</v>
          </cell>
          <cell r="D5399" t="str">
            <v>NSC1756</v>
          </cell>
        </row>
        <row r="5400">
          <cell r="C5400" t="str">
            <v>NSC2262</v>
          </cell>
          <cell r="D5400" t="str">
            <v>NSC2262</v>
          </cell>
        </row>
        <row r="5401">
          <cell r="C5401" t="str">
            <v>NSC2348</v>
          </cell>
          <cell r="D5401" t="str">
            <v>NSC2348</v>
          </cell>
        </row>
        <row r="5402">
          <cell r="C5402" t="str">
            <v>NSC2680</v>
          </cell>
          <cell r="D5402" t="str">
            <v>NSC2680</v>
          </cell>
        </row>
        <row r="5403">
          <cell r="C5403" t="str">
            <v>NSC2699</v>
          </cell>
          <cell r="D5403" t="str">
            <v>NSC2699</v>
          </cell>
        </row>
        <row r="5404">
          <cell r="C5404" t="str">
            <v>NSC3A16</v>
          </cell>
          <cell r="D5404" t="str">
            <v>NSC3A16</v>
          </cell>
        </row>
        <row r="5405">
          <cell r="C5405" t="str">
            <v>NSD0282</v>
          </cell>
          <cell r="D5405" t="str">
            <v>NSD0282</v>
          </cell>
        </row>
        <row r="5406">
          <cell r="C5406" t="str">
            <v>NSD3783</v>
          </cell>
          <cell r="D5406" t="str">
            <v>NSD3783</v>
          </cell>
        </row>
        <row r="5407">
          <cell r="C5407" t="str">
            <v>NSD5B02</v>
          </cell>
          <cell r="D5407" t="str">
            <v>NSD5B02</v>
          </cell>
        </row>
        <row r="5408">
          <cell r="C5408" t="str">
            <v>NSD8325</v>
          </cell>
          <cell r="D5408" t="str">
            <v>NSD8325</v>
          </cell>
        </row>
        <row r="5409">
          <cell r="C5409" t="str">
            <v>NSD8F57</v>
          </cell>
          <cell r="D5409" t="str">
            <v>NSD8F57</v>
          </cell>
        </row>
        <row r="5410">
          <cell r="C5410" t="str">
            <v>NSE3C12</v>
          </cell>
          <cell r="D5410" t="str">
            <v>NSE3C12</v>
          </cell>
        </row>
        <row r="5411">
          <cell r="C5411" t="str">
            <v>NSF3629</v>
          </cell>
          <cell r="D5411" t="str">
            <v>NSF3629</v>
          </cell>
        </row>
        <row r="5412">
          <cell r="C5412" t="str">
            <v>NSF5387</v>
          </cell>
          <cell r="D5412" t="str">
            <v>NSF5387</v>
          </cell>
        </row>
        <row r="5413">
          <cell r="C5413" t="str">
            <v>NSH5411</v>
          </cell>
          <cell r="D5413" t="str">
            <v>NSH5411</v>
          </cell>
        </row>
        <row r="5414">
          <cell r="C5414" t="str">
            <v>NSH8851</v>
          </cell>
          <cell r="D5414" t="str">
            <v>NSH8851</v>
          </cell>
        </row>
        <row r="5415">
          <cell r="C5415" t="str">
            <v>NSI0837</v>
          </cell>
          <cell r="D5415" t="str">
            <v>NSI0837</v>
          </cell>
        </row>
        <row r="5416">
          <cell r="C5416" t="str">
            <v>NSO8363</v>
          </cell>
          <cell r="D5416" t="str">
            <v>NSO8363</v>
          </cell>
        </row>
        <row r="5417">
          <cell r="C5417" t="str">
            <v>NSP0625</v>
          </cell>
          <cell r="D5417" t="str">
            <v>NSP0625</v>
          </cell>
        </row>
        <row r="5418">
          <cell r="C5418" t="str">
            <v>NSR1H62</v>
          </cell>
          <cell r="D5418" t="str">
            <v>NSR1H62</v>
          </cell>
        </row>
        <row r="5419">
          <cell r="C5419" t="str">
            <v>NSV2378</v>
          </cell>
          <cell r="D5419" t="str">
            <v>NSV2378</v>
          </cell>
        </row>
        <row r="5420">
          <cell r="C5420" t="str">
            <v>NSZ2080</v>
          </cell>
          <cell r="D5420" t="str">
            <v>NSZ2080</v>
          </cell>
        </row>
        <row r="5421">
          <cell r="C5421" t="str">
            <v>NTH2481</v>
          </cell>
          <cell r="D5421" t="str">
            <v>NTH2481</v>
          </cell>
        </row>
        <row r="5422">
          <cell r="C5422" t="str">
            <v>NTJ5238</v>
          </cell>
          <cell r="D5422" t="str">
            <v>NTJ5238</v>
          </cell>
        </row>
        <row r="5423">
          <cell r="C5423" t="str">
            <v>NTN1E66</v>
          </cell>
          <cell r="D5423" t="str">
            <v>NTN1E66</v>
          </cell>
        </row>
        <row r="5424">
          <cell r="C5424" t="str">
            <v>NTU5C02</v>
          </cell>
          <cell r="D5424" t="str">
            <v>NTU5C02</v>
          </cell>
        </row>
        <row r="5425">
          <cell r="C5425" t="str">
            <v>NTU1893</v>
          </cell>
          <cell r="D5425" t="str">
            <v>NTU1893</v>
          </cell>
        </row>
        <row r="5426">
          <cell r="C5426" t="str">
            <v>NUG1197</v>
          </cell>
          <cell r="D5426" t="str">
            <v>NUG1197</v>
          </cell>
        </row>
        <row r="5427">
          <cell r="C5427" t="str">
            <v>NVP5171</v>
          </cell>
          <cell r="D5427" t="str">
            <v>NVP5171</v>
          </cell>
        </row>
        <row r="5428">
          <cell r="C5428" t="str">
            <v>NVQ9B09</v>
          </cell>
          <cell r="D5428" t="str">
            <v>NVQ9B09</v>
          </cell>
        </row>
        <row r="5429">
          <cell r="C5429" t="str">
            <v>NVU1I64</v>
          </cell>
          <cell r="D5429" t="str">
            <v>NVU1I64</v>
          </cell>
        </row>
        <row r="5430">
          <cell r="C5430" t="str">
            <v>NWE4I71</v>
          </cell>
          <cell r="D5430" t="str">
            <v>NWE4I71</v>
          </cell>
        </row>
        <row r="5431">
          <cell r="C5431" t="str">
            <v>NWI3I05</v>
          </cell>
          <cell r="D5431" t="str">
            <v>NWI3I05</v>
          </cell>
        </row>
        <row r="5432">
          <cell r="C5432" t="str">
            <v>NWJ3451</v>
          </cell>
          <cell r="D5432" t="str">
            <v>NWJ3451</v>
          </cell>
        </row>
        <row r="5433">
          <cell r="C5433" t="str">
            <v>NWN2117</v>
          </cell>
          <cell r="D5433" t="str">
            <v>NWN2117</v>
          </cell>
        </row>
        <row r="5434">
          <cell r="C5434" t="str">
            <v>NXA6A70</v>
          </cell>
          <cell r="D5434" t="str">
            <v>NXA6A70</v>
          </cell>
        </row>
        <row r="5435">
          <cell r="C5435" t="str">
            <v>NXJ 7750</v>
          </cell>
          <cell r="D5435" t="str">
            <v>NXJ7750</v>
          </cell>
        </row>
        <row r="5436">
          <cell r="C5436" t="str">
            <v>NYK8044</v>
          </cell>
          <cell r="D5436" t="str">
            <v>NYK8044</v>
          </cell>
        </row>
        <row r="5437">
          <cell r="C5437" t="str">
            <v>NYQ8044</v>
          </cell>
          <cell r="D5437" t="str">
            <v>NYQ8044</v>
          </cell>
        </row>
        <row r="5438">
          <cell r="C5438" t="str">
            <v>NZN9848</v>
          </cell>
          <cell r="D5438" t="str">
            <v>NZN9848</v>
          </cell>
        </row>
        <row r="5439">
          <cell r="C5439" t="str">
            <v>OAU0697</v>
          </cell>
          <cell r="D5439" t="str">
            <v>OAU0697</v>
          </cell>
        </row>
        <row r="5440">
          <cell r="C5440" t="str">
            <v>OAZ8C17</v>
          </cell>
          <cell r="D5440" t="str">
            <v>OAZ8C17</v>
          </cell>
        </row>
        <row r="5441">
          <cell r="C5441" t="str">
            <v>OBA6J69</v>
          </cell>
          <cell r="D5441" t="str">
            <v>OBA6J69</v>
          </cell>
        </row>
        <row r="5442">
          <cell r="C5442" t="str">
            <v>OBB7100</v>
          </cell>
          <cell r="D5442" t="str">
            <v>OBB7100</v>
          </cell>
        </row>
        <row r="5443">
          <cell r="C5443" t="str">
            <v>OBF9892</v>
          </cell>
          <cell r="D5443" t="str">
            <v>OBF9892</v>
          </cell>
        </row>
        <row r="5444">
          <cell r="C5444" t="str">
            <v>OBG5G95</v>
          </cell>
          <cell r="D5444" t="str">
            <v>OBG5G95</v>
          </cell>
        </row>
        <row r="5445">
          <cell r="C5445" t="str">
            <v>OBR9H69</v>
          </cell>
          <cell r="D5445" t="str">
            <v>OBR9H69</v>
          </cell>
        </row>
        <row r="5446">
          <cell r="C5446" t="str">
            <v>OCO2632</v>
          </cell>
          <cell r="D5446" t="str">
            <v>OCO2632</v>
          </cell>
        </row>
        <row r="5447">
          <cell r="C5447" t="str">
            <v>OCX3614</v>
          </cell>
          <cell r="D5447" t="str">
            <v>OCX3614</v>
          </cell>
        </row>
        <row r="5448">
          <cell r="C5448" t="str">
            <v>OCY1458</v>
          </cell>
          <cell r="D5448" t="str">
            <v>OCY1458</v>
          </cell>
        </row>
        <row r="5449">
          <cell r="C5449" t="str">
            <v>ODA4848</v>
          </cell>
          <cell r="D5449" t="str">
            <v>ODA4848</v>
          </cell>
        </row>
        <row r="5450">
          <cell r="C5450" t="str">
            <v>ODG4592</v>
          </cell>
          <cell r="D5450" t="str">
            <v>ODG4592</v>
          </cell>
        </row>
        <row r="5451">
          <cell r="C5451" t="str">
            <v>ODG6657</v>
          </cell>
          <cell r="D5451" t="str">
            <v>ODG6657</v>
          </cell>
        </row>
        <row r="5452">
          <cell r="C5452" t="str">
            <v>ODM7H31</v>
          </cell>
          <cell r="D5452" t="str">
            <v>ODM7H31</v>
          </cell>
        </row>
        <row r="5453">
          <cell r="C5453" t="str">
            <v>ODN6391</v>
          </cell>
          <cell r="D5453" t="str">
            <v>ODN6391</v>
          </cell>
        </row>
        <row r="5454">
          <cell r="C5454" t="str">
            <v>ODN9101</v>
          </cell>
          <cell r="D5454" t="str">
            <v>ODN9101</v>
          </cell>
        </row>
        <row r="5455">
          <cell r="C5455" t="str">
            <v>ODO2144</v>
          </cell>
          <cell r="D5455" t="str">
            <v>ODO2144</v>
          </cell>
        </row>
        <row r="5456">
          <cell r="C5456" t="str">
            <v>ODO2145</v>
          </cell>
          <cell r="D5456" t="str">
            <v>ODO2145</v>
          </cell>
        </row>
        <row r="5457">
          <cell r="C5457" t="str">
            <v>ODP5D62</v>
          </cell>
          <cell r="D5457" t="str">
            <v>ODP5D62</v>
          </cell>
        </row>
        <row r="5458">
          <cell r="C5458" t="str">
            <v>ODQ3F68</v>
          </cell>
          <cell r="D5458" t="str">
            <v>ODQ3F68</v>
          </cell>
        </row>
        <row r="5459">
          <cell r="C5459" t="str">
            <v>OFF2704</v>
          </cell>
          <cell r="D5459" t="str">
            <v>OFF2704</v>
          </cell>
        </row>
        <row r="5460">
          <cell r="C5460" t="str">
            <v>OFI4314</v>
          </cell>
          <cell r="D5460" t="str">
            <v>OFI4314</v>
          </cell>
        </row>
        <row r="5461">
          <cell r="C5461" t="str">
            <v>OFJ4748</v>
          </cell>
          <cell r="D5461" t="str">
            <v>OFJ4748</v>
          </cell>
        </row>
        <row r="5462">
          <cell r="C5462" t="str">
            <v>OGH3415</v>
          </cell>
          <cell r="D5462" t="str">
            <v>OGH3415</v>
          </cell>
        </row>
        <row r="5463">
          <cell r="C5463" t="str">
            <v>OGN5637</v>
          </cell>
          <cell r="D5463" t="str">
            <v>OGN5637</v>
          </cell>
        </row>
        <row r="5464">
          <cell r="C5464" t="str">
            <v>OGU1139</v>
          </cell>
          <cell r="D5464" t="str">
            <v>OGU1139</v>
          </cell>
        </row>
        <row r="5465">
          <cell r="C5465" t="str">
            <v>OKE9B28</v>
          </cell>
          <cell r="D5465" t="str">
            <v>OKE9B28</v>
          </cell>
        </row>
        <row r="5466">
          <cell r="C5466" t="str">
            <v>OKG4857</v>
          </cell>
          <cell r="D5466" t="str">
            <v>OKG4857</v>
          </cell>
        </row>
        <row r="5467">
          <cell r="C5467" t="str">
            <v>OKG5G45</v>
          </cell>
          <cell r="D5467" t="str">
            <v>OKG5G45</v>
          </cell>
        </row>
        <row r="5468">
          <cell r="C5468" t="str">
            <v>OKI9990</v>
          </cell>
          <cell r="D5468" t="str">
            <v>OKI9990</v>
          </cell>
        </row>
        <row r="5469">
          <cell r="C5469" t="str">
            <v>OLF0270</v>
          </cell>
          <cell r="D5469" t="str">
            <v>OLF0270</v>
          </cell>
        </row>
        <row r="5470">
          <cell r="C5470" t="str">
            <v>OLF3G90</v>
          </cell>
          <cell r="D5470" t="str">
            <v>OLF3G90</v>
          </cell>
        </row>
        <row r="5471">
          <cell r="C5471" t="str">
            <v>OLG1J61</v>
          </cell>
          <cell r="D5471" t="str">
            <v>OLG1J61</v>
          </cell>
        </row>
        <row r="5472">
          <cell r="C5472" t="str">
            <v>OLG1961</v>
          </cell>
          <cell r="D5472" t="str">
            <v>OLG1961</v>
          </cell>
        </row>
        <row r="5473">
          <cell r="C5473" t="str">
            <v>OLM0767</v>
          </cell>
          <cell r="D5473" t="str">
            <v>OLM0767</v>
          </cell>
        </row>
        <row r="5474">
          <cell r="C5474" t="str">
            <v>OMC0H76</v>
          </cell>
          <cell r="D5474" t="str">
            <v>OMC0H76</v>
          </cell>
        </row>
        <row r="5475">
          <cell r="C5475" t="str">
            <v>OMY6996</v>
          </cell>
          <cell r="D5475" t="str">
            <v>OMY6996</v>
          </cell>
        </row>
        <row r="5476">
          <cell r="C5476" t="str">
            <v>ONF3E45</v>
          </cell>
          <cell r="D5476" t="str">
            <v>ONF3E45</v>
          </cell>
        </row>
        <row r="5477">
          <cell r="C5477" t="str">
            <v>ONG3422</v>
          </cell>
          <cell r="D5477" t="str">
            <v>ONG3422</v>
          </cell>
        </row>
        <row r="5478">
          <cell r="C5478" t="str">
            <v>ONK7D49</v>
          </cell>
          <cell r="D5478" t="str">
            <v>ONK7D49</v>
          </cell>
        </row>
        <row r="5479">
          <cell r="C5479" t="str">
            <v>ONR6A76</v>
          </cell>
          <cell r="D5479" t="str">
            <v>ONR6A76</v>
          </cell>
        </row>
        <row r="5480">
          <cell r="C5480" t="str">
            <v>ONW6D45</v>
          </cell>
          <cell r="D5480" t="str">
            <v>ONW6D45</v>
          </cell>
        </row>
        <row r="5481">
          <cell r="C5481" t="str">
            <v>OOB9598</v>
          </cell>
          <cell r="D5481" t="str">
            <v>OOB9598</v>
          </cell>
        </row>
        <row r="5482">
          <cell r="C5482" t="str">
            <v>OOG8221</v>
          </cell>
          <cell r="D5482" t="str">
            <v>OOG8221</v>
          </cell>
        </row>
        <row r="5483">
          <cell r="C5483" t="str">
            <v>OOG8483</v>
          </cell>
          <cell r="D5483" t="str">
            <v>OOG8483</v>
          </cell>
        </row>
        <row r="5484">
          <cell r="C5484" t="str">
            <v>OOG9215</v>
          </cell>
          <cell r="D5484" t="str">
            <v>OOG9215</v>
          </cell>
        </row>
        <row r="5485">
          <cell r="C5485" t="str">
            <v>OOG4776</v>
          </cell>
          <cell r="D5485" t="str">
            <v>OOG4776</v>
          </cell>
        </row>
        <row r="5486">
          <cell r="C5486" t="str">
            <v>OOG4H29</v>
          </cell>
          <cell r="D5486" t="str">
            <v>OOG4H29</v>
          </cell>
        </row>
        <row r="5487">
          <cell r="C5487" t="str">
            <v>OOG5005</v>
          </cell>
          <cell r="D5487" t="str">
            <v>OOG5005</v>
          </cell>
        </row>
        <row r="5488">
          <cell r="C5488" t="str">
            <v>OOG5152</v>
          </cell>
          <cell r="D5488" t="str">
            <v>OOG5152</v>
          </cell>
        </row>
        <row r="5489">
          <cell r="C5489" t="str">
            <v>OOG5375</v>
          </cell>
          <cell r="D5489" t="str">
            <v>OOG5375</v>
          </cell>
        </row>
        <row r="5490">
          <cell r="C5490" t="str">
            <v>OOG5563</v>
          </cell>
          <cell r="D5490" t="str">
            <v>OOG5563</v>
          </cell>
        </row>
        <row r="5491">
          <cell r="C5491" t="str">
            <v>OOG5610</v>
          </cell>
          <cell r="D5491" t="str">
            <v>OOG5610</v>
          </cell>
        </row>
        <row r="5492">
          <cell r="C5492" t="str">
            <v>OOG5C65</v>
          </cell>
          <cell r="D5492" t="str">
            <v>OOG5C65</v>
          </cell>
        </row>
        <row r="5493">
          <cell r="C5493" t="str">
            <v>OOG5G92</v>
          </cell>
          <cell r="D5493" t="str">
            <v>OOG5G92</v>
          </cell>
        </row>
        <row r="5494">
          <cell r="C5494" t="str">
            <v>OOG7223</v>
          </cell>
          <cell r="D5494" t="str">
            <v>OOG7223</v>
          </cell>
        </row>
        <row r="5495">
          <cell r="C5495" t="str">
            <v>OOG7E11</v>
          </cell>
          <cell r="D5495" t="str">
            <v>OOG7E11</v>
          </cell>
        </row>
        <row r="5496">
          <cell r="C5496" t="str">
            <v>OOG8020</v>
          </cell>
          <cell r="D5496" t="str">
            <v>OOG8020</v>
          </cell>
        </row>
        <row r="5497">
          <cell r="C5497" t="str">
            <v>OOG8153</v>
          </cell>
          <cell r="D5497" t="str">
            <v>OOG8153</v>
          </cell>
        </row>
        <row r="5498">
          <cell r="C5498" t="str">
            <v>OOG8633</v>
          </cell>
          <cell r="D5498" t="str">
            <v>OOG8633</v>
          </cell>
        </row>
        <row r="5499">
          <cell r="C5499" t="str">
            <v>OOG8965</v>
          </cell>
          <cell r="D5499" t="str">
            <v>OOG8965</v>
          </cell>
        </row>
        <row r="5500">
          <cell r="C5500" t="str">
            <v>OOG9153</v>
          </cell>
          <cell r="D5500" t="str">
            <v>OOG9153</v>
          </cell>
        </row>
        <row r="5501">
          <cell r="C5501" t="str">
            <v>OOG9298</v>
          </cell>
          <cell r="D5501" t="str">
            <v>OOG9298</v>
          </cell>
        </row>
        <row r="5502">
          <cell r="C5502" t="str">
            <v>OOG9876</v>
          </cell>
          <cell r="D5502" t="str">
            <v>OOG9876</v>
          </cell>
        </row>
        <row r="5503">
          <cell r="C5503" t="str">
            <v>OOH2913</v>
          </cell>
          <cell r="D5503" t="str">
            <v>OOH2913</v>
          </cell>
        </row>
        <row r="5504">
          <cell r="C5504" t="str">
            <v>OOH2991</v>
          </cell>
          <cell r="D5504" t="str">
            <v>OOH2991</v>
          </cell>
        </row>
        <row r="5505">
          <cell r="C5505" t="str">
            <v>OOH5C20</v>
          </cell>
          <cell r="D5505" t="str">
            <v>OOH5C20</v>
          </cell>
        </row>
        <row r="5506">
          <cell r="C5506" t="str">
            <v>OOH6085</v>
          </cell>
          <cell r="D5506" t="str">
            <v>OOH6085</v>
          </cell>
        </row>
        <row r="5507">
          <cell r="C5507" t="str">
            <v>OOH7095</v>
          </cell>
          <cell r="D5507" t="str">
            <v>OOH7095</v>
          </cell>
        </row>
        <row r="5508">
          <cell r="C5508" t="str">
            <v>OOH8666</v>
          </cell>
          <cell r="D5508" t="str">
            <v>OOH8666</v>
          </cell>
        </row>
        <row r="5509">
          <cell r="C5509" t="str">
            <v>OOJ0298</v>
          </cell>
          <cell r="D5509" t="str">
            <v>OOJ0298</v>
          </cell>
        </row>
        <row r="5510">
          <cell r="C5510" t="str">
            <v>OOJ3733</v>
          </cell>
          <cell r="D5510" t="str">
            <v>OOJ3733</v>
          </cell>
        </row>
        <row r="5511">
          <cell r="C5511" t="str">
            <v>OOJ5037</v>
          </cell>
          <cell r="D5511" t="str">
            <v>OOJ5037</v>
          </cell>
        </row>
        <row r="5512">
          <cell r="C5512" t="str">
            <v>OOJ5521</v>
          </cell>
          <cell r="D5512" t="str">
            <v>OOJ5521</v>
          </cell>
        </row>
        <row r="5513">
          <cell r="C5513" t="str">
            <v>OOJ5G29</v>
          </cell>
          <cell r="D5513" t="str">
            <v>OOJ5G29</v>
          </cell>
        </row>
        <row r="5514">
          <cell r="C5514" t="str">
            <v>OOJ5J84</v>
          </cell>
          <cell r="D5514" t="str">
            <v>OOJ5J84</v>
          </cell>
        </row>
        <row r="5515">
          <cell r="C5515" t="str">
            <v>OOJ9F78</v>
          </cell>
          <cell r="D5515" t="str">
            <v>OOJ9F78</v>
          </cell>
        </row>
        <row r="5516">
          <cell r="C5516" t="str">
            <v>OOK0818</v>
          </cell>
          <cell r="D5516" t="str">
            <v>OOK0818</v>
          </cell>
        </row>
        <row r="5517">
          <cell r="C5517" t="str">
            <v>OOK2E10</v>
          </cell>
          <cell r="D5517" t="str">
            <v>OOK2E10</v>
          </cell>
        </row>
        <row r="5518">
          <cell r="C5518" t="str">
            <v>OOK4B84</v>
          </cell>
          <cell r="D5518" t="str">
            <v>OOK4B84</v>
          </cell>
        </row>
        <row r="5519">
          <cell r="C5519" t="str">
            <v>OOK4I18</v>
          </cell>
          <cell r="D5519" t="str">
            <v>OOK4I18</v>
          </cell>
        </row>
        <row r="5520">
          <cell r="C5520" t="str">
            <v>OOK6652</v>
          </cell>
          <cell r="D5520" t="str">
            <v>OOK6652</v>
          </cell>
        </row>
        <row r="5521">
          <cell r="C5521" t="str">
            <v>OOK7C28</v>
          </cell>
          <cell r="D5521" t="str">
            <v>OOK7C28</v>
          </cell>
        </row>
        <row r="5522">
          <cell r="C5522" t="str">
            <v>OOL2322</v>
          </cell>
          <cell r="D5522" t="str">
            <v>OOL2322</v>
          </cell>
        </row>
        <row r="5523">
          <cell r="C5523" t="str">
            <v>OOL7093</v>
          </cell>
          <cell r="D5523" t="str">
            <v>OOL7093</v>
          </cell>
        </row>
        <row r="5524">
          <cell r="C5524" t="str">
            <v>OOL7109</v>
          </cell>
          <cell r="D5524" t="str">
            <v>OOL7109</v>
          </cell>
        </row>
        <row r="5525">
          <cell r="C5525" t="str">
            <v>OOL7125</v>
          </cell>
          <cell r="D5525" t="str">
            <v>OOL7125</v>
          </cell>
        </row>
        <row r="5526">
          <cell r="C5526" t="str">
            <v>OOL7227</v>
          </cell>
          <cell r="D5526" t="str">
            <v>OOL7227</v>
          </cell>
        </row>
        <row r="5527">
          <cell r="C5527" t="str">
            <v>OOL8447</v>
          </cell>
          <cell r="D5527" t="str">
            <v>OOL8447</v>
          </cell>
        </row>
        <row r="5528">
          <cell r="C5528" t="str">
            <v>OOL9349</v>
          </cell>
          <cell r="D5528" t="str">
            <v>OOL9349</v>
          </cell>
        </row>
        <row r="5529">
          <cell r="C5529" t="str">
            <v>OOL9706</v>
          </cell>
          <cell r="D5529" t="str">
            <v>OOL9706</v>
          </cell>
        </row>
        <row r="5530">
          <cell r="C5530" t="str">
            <v>OOM3914</v>
          </cell>
          <cell r="D5530" t="str">
            <v>OOM3914</v>
          </cell>
        </row>
        <row r="5531">
          <cell r="C5531" t="str">
            <v>OOM4549</v>
          </cell>
          <cell r="D5531" t="str">
            <v>OOM4549</v>
          </cell>
        </row>
        <row r="5532">
          <cell r="C5532" t="str">
            <v>OOM8563</v>
          </cell>
          <cell r="D5532" t="str">
            <v>OOM8563</v>
          </cell>
        </row>
        <row r="5533">
          <cell r="C5533" t="str">
            <v>OOM3838</v>
          </cell>
          <cell r="D5533" t="str">
            <v>OOM3838</v>
          </cell>
        </row>
        <row r="5534">
          <cell r="C5534" t="str">
            <v>OOM4773</v>
          </cell>
          <cell r="D5534" t="str">
            <v>OOM4773</v>
          </cell>
        </row>
        <row r="5535">
          <cell r="C5535" t="str">
            <v>OOM6204</v>
          </cell>
          <cell r="D5535" t="str">
            <v>OOM6204</v>
          </cell>
        </row>
        <row r="5536">
          <cell r="C5536" t="str">
            <v>OOM6267</v>
          </cell>
          <cell r="D5536" t="str">
            <v>OOM6267</v>
          </cell>
        </row>
        <row r="5537">
          <cell r="C5537" t="str">
            <v>OOM6853</v>
          </cell>
          <cell r="D5537" t="str">
            <v>OOM6853</v>
          </cell>
        </row>
        <row r="5538">
          <cell r="C5538" t="str">
            <v>OOM6855</v>
          </cell>
          <cell r="D5538" t="str">
            <v>OOM6855</v>
          </cell>
        </row>
        <row r="5539">
          <cell r="C5539" t="str">
            <v>OOM6C04</v>
          </cell>
          <cell r="D5539" t="str">
            <v>OOM6C04</v>
          </cell>
        </row>
        <row r="5540">
          <cell r="C5540" t="str">
            <v>OOM6I54</v>
          </cell>
          <cell r="D5540" t="str">
            <v>OOM6I54</v>
          </cell>
        </row>
        <row r="5541">
          <cell r="C5541" t="str">
            <v>OOM6I55</v>
          </cell>
          <cell r="D5541" t="str">
            <v>OOM6I55</v>
          </cell>
        </row>
        <row r="5542">
          <cell r="C5542" t="str">
            <v>OOM7346</v>
          </cell>
          <cell r="D5542" t="str">
            <v>OOM7346</v>
          </cell>
        </row>
        <row r="5543">
          <cell r="C5543" t="str">
            <v>OOM7D32</v>
          </cell>
          <cell r="D5543" t="str">
            <v>OOM7D32</v>
          </cell>
        </row>
        <row r="5544">
          <cell r="C5544" t="str">
            <v>OOM8255</v>
          </cell>
          <cell r="D5544" t="str">
            <v>OOM8255</v>
          </cell>
        </row>
        <row r="5545">
          <cell r="C5545" t="str">
            <v>OOM8305</v>
          </cell>
          <cell r="D5545" t="str">
            <v>OOM8305</v>
          </cell>
        </row>
        <row r="5546">
          <cell r="C5546" t="str">
            <v>OOM8306</v>
          </cell>
          <cell r="D5546" t="str">
            <v>OOM8306</v>
          </cell>
        </row>
        <row r="5547">
          <cell r="C5547" t="str">
            <v>OOM8308</v>
          </cell>
          <cell r="D5547" t="str">
            <v>OOM8308</v>
          </cell>
        </row>
        <row r="5548">
          <cell r="C5548" t="str">
            <v>OOM8565</v>
          </cell>
          <cell r="D5548" t="str">
            <v>OOM8565</v>
          </cell>
        </row>
        <row r="5549">
          <cell r="C5549" t="str">
            <v>OOM8572</v>
          </cell>
          <cell r="D5549" t="str">
            <v>OOM8572</v>
          </cell>
        </row>
        <row r="5550">
          <cell r="C5550" t="str">
            <v>OOM8576</v>
          </cell>
          <cell r="D5550" t="str">
            <v>OOM8576</v>
          </cell>
        </row>
        <row r="5551">
          <cell r="C5551" t="str">
            <v>OOM8578</v>
          </cell>
          <cell r="D5551" t="str">
            <v>OOM8578</v>
          </cell>
        </row>
        <row r="5552">
          <cell r="C5552" t="str">
            <v>OOM8579</v>
          </cell>
          <cell r="D5552" t="str">
            <v>OOM8579</v>
          </cell>
        </row>
        <row r="5553">
          <cell r="C5553" t="str">
            <v>OOM8580</v>
          </cell>
          <cell r="D5553" t="str">
            <v>OOM8580</v>
          </cell>
        </row>
        <row r="5554">
          <cell r="C5554" t="str">
            <v>OOM8D05</v>
          </cell>
          <cell r="D5554" t="str">
            <v>OOM8D05</v>
          </cell>
        </row>
        <row r="5555">
          <cell r="C5555" t="str">
            <v>OOM8D07</v>
          </cell>
          <cell r="D5555" t="str">
            <v>OOM8D07</v>
          </cell>
        </row>
        <row r="5556">
          <cell r="C5556" t="str">
            <v>OOM8D08</v>
          </cell>
          <cell r="D5556" t="str">
            <v>OOM8D08</v>
          </cell>
        </row>
        <row r="5557">
          <cell r="C5557" t="str">
            <v>OOM8D11</v>
          </cell>
          <cell r="D5557" t="str">
            <v>OOM8D11</v>
          </cell>
        </row>
        <row r="5558">
          <cell r="C5558" t="str">
            <v>OOM8D12</v>
          </cell>
          <cell r="D5558" t="str">
            <v>OOM8D12</v>
          </cell>
        </row>
        <row r="5559">
          <cell r="C5559" t="str">
            <v>OOM8D73</v>
          </cell>
          <cell r="D5559" t="str">
            <v>OOM8D73</v>
          </cell>
        </row>
        <row r="5560">
          <cell r="C5560" t="str">
            <v>OOM8F70</v>
          </cell>
          <cell r="D5560" t="str">
            <v>OOM8F70</v>
          </cell>
        </row>
        <row r="5561">
          <cell r="C5561" t="str">
            <v>OOM8F71</v>
          </cell>
          <cell r="D5561" t="str">
            <v>OOM8F71</v>
          </cell>
        </row>
        <row r="5562">
          <cell r="C5562" t="str">
            <v>OOM8F78</v>
          </cell>
          <cell r="D5562" t="str">
            <v>OOM8F78</v>
          </cell>
        </row>
        <row r="5563">
          <cell r="C5563" t="str">
            <v>OOM8F79</v>
          </cell>
          <cell r="D5563" t="str">
            <v>OOM8F79</v>
          </cell>
        </row>
        <row r="5564">
          <cell r="C5564" t="str">
            <v>OOM9277</v>
          </cell>
          <cell r="D5564" t="str">
            <v>OOM9277</v>
          </cell>
        </row>
        <row r="5565">
          <cell r="C5565" t="str">
            <v>OOM9421</v>
          </cell>
          <cell r="D5565" t="str">
            <v>OOM9421</v>
          </cell>
        </row>
        <row r="5566">
          <cell r="C5566" t="str">
            <v>OOM9509</v>
          </cell>
          <cell r="D5566" t="str">
            <v>OOM9509</v>
          </cell>
        </row>
        <row r="5567">
          <cell r="C5567" t="str">
            <v>OOM9954</v>
          </cell>
          <cell r="D5567" t="str">
            <v>OOM9954</v>
          </cell>
        </row>
        <row r="5568">
          <cell r="C5568" t="str">
            <v>OON5140</v>
          </cell>
          <cell r="D5568" t="str">
            <v>OON5140</v>
          </cell>
        </row>
        <row r="5569">
          <cell r="C5569" t="str">
            <v>OON2369</v>
          </cell>
          <cell r="D5569" t="str">
            <v>OON2369</v>
          </cell>
        </row>
        <row r="5570">
          <cell r="C5570" t="str">
            <v>OON2423</v>
          </cell>
          <cell r="D5570" t="str">
            <v>OON2423</v>
          </cell>
        </row>
        <row r="5571">
          <cell r="C5571" t="str">
            <v>OON2524</v>
          </cell>
          <cell r="D5571" t="str">
            <v>OON2524</v>
          </cell>
        </row>
        <row r="5572">
          <cell r="C5572" t="str">
            <v>OON3756</v>
          </cell>
          <cell r="D5572" t="str">
            <v>OON3756</v>
          </cell>
        </row>
        <row r="5573">
          <cell r="C5573" t="str">
            <v>OON3B85</v>
          </cell>
          <cell r="D5573" t="str">
            <v>OON3B85</v>
          </cell>
        </row>
        <row r="5574">
          <cell r="C5574" t="str">
            <v>OON4849</v>
          </cell>
          <cell r="D5574" t="str">
            <v>OON4849</v>
          </cell>
        </row>
        <row r="5575">
          <cell r="C5575" t="str">
            <v>OON5H17</v>
          </cell>
          <cell r="D5575" t="str">
            <v>OON5H17</v>
          </cell>
        </row>
        <row r="5576">
          <cell r="C5576" t="str">
            <v>OOP9016</v>
          </cell>
          <cell r="D5576" t="str">
            <v>OOP9016</v>
          </cell>
        </row>
        <row r="5577">
          <cell r="C5577" t="str">
            <v>OOP1J09</v>
          </cell>
          <cell r="D5577" t="str">
            <v>OOP1J09</v>
          </cell>
        </row>
        <row r="5578">
          <cell r="C5578" t="str">
            <v>OOP5804</v>
          </cell>
          <cell r="D5578" t="str">
            <v>OOP5804</v>
          </cell>
        </row>
        <row r="5579">
          <cell r="C5579" t="str">
            <v>OOP6177</v>
          </cell>
          <cell r="D5579" t="str">
            <v>OOP6177</v>
          </cell>
        </row>
        <row r="5580">
          <cell r="C5580" t="str">
            <v>OOP6351</v>
          </cell>
          <cell r="D5580" t="str">
            <v>OOP6351</v>
          </cell>
        </row>
        <row r="5581">
          <cell r="C5581" t="str">
            <v>OOP6484</v>
          </cell>
          <cell r="D5581" t="str">
            <v>OOP6484</v>
          </cell>
        </row>
        <row r="5582">
          <cell r="C5582" t="str">
            <v>OOP6578</v>
          </cell>
          <cell r="D5582" t="str">
            <v>OOP6578</v>
          </cell>
        </row>
        <row r="5583">
          <cell r="C5583" t="str">
            <v>OOP8581</v>
          </cell>
          <cell r="D5583" t="str">
            <v>OOP8581</v>
          </cell>
        </row>
        <row r="5584">
          <cell r="C5584" t="str">
            <v>OOP8846</v>
          </cell>
          <cell r="D5584" t="str">
            <v>OOP8846</v>
          </cell>
        </row>
        <row r="5585">
          <cell r="C5585" t="str">
            <v>OOP9078</v>
          </cell>
          <cell r="D5585" t="str">
            <v>OOP9078</v>
          </cell>
        </row>
        <row r="5586">
          <cell r="C5586" t="str">
            <v>OOP9139</v>
          </cell>
          <cell r="D5586" t="str">
            <v>OOP9139</v>
          </cell>
        </row>
        <row r="5587">
          <cell r="C5587" t="str">
            <v>OOP9402</v>
          </cell>
          <cell r="D5587" t="str">
            <v>OOP9402</v>
          </cell>
        </row>
        <row r="5588">
          <cell r="C5588" t="str">
            <v>OOP9561</v>
          </cell>
          <cell r="D5588" t="str">
            <v>OOP9561</v>
          </cell>
        </row>
        <row r="5589">
          <cell r="C5589" t="str">
            <v>OOQ8C00</v>
          </cell>
          <cell r="D5589" t="str">
            <v>OOQ8C00</v>
          </cell>
        </row>
        <row r="5590">
          <cell r="C5590" t="str">
            <v>OOR1J53</v>
          </cell>
          <cell r="D5590" t="str">
            <v>OOR1J53</v>
          </cell>
        </row>
        <row r="5591">
          <cell r="C5591" t="str">
            <v>OOS1673</v>
          </cell>
          <cell r="D5591" t="str">
            <v>OOS1673</v>
          </cell>
        </row>
        <row r="5592">
          <cell r="C5592" t="str">
            <v>OOS0C88</v>
          </cell>
          <cell r="D5592" t="str">
            <v>OOS0C88</v>
          </cell>
        </row>
        <row r="5593">
          <cell r="C5593" t="str">
            <v>OOS1308</v>
          </cell>
          <cell r="D5593" t="str">
            <v>OOS1308</v>
          </cell>
        </row>
        <row r="5594">
          <cell r="C5594" t="str">
            <v>OOS1596</v>
          </cell>
          <cell r="D5594" t="str">
            <v>OOS1596</v>
          </cell>
        </row>
        <row r="5595">
          <cell r="C5595" t="str">
            <v>OOS2357</v>
          </cell>
          <cell r="D5595" t="str">
            <v>OOS2357</v>
          </cell>
        </row>
        <row r="5596">
          <cell r="C5596" t="str">
            <v>OOS4271</v>
          </cell>
          <cell r="D5596" t="str">
            <v>OOS4271</v>
          </cell>
        </row>
        <row r="5597">
          <cell r="C5597" t="str">
            <v>OOS6985</v>
          </cell>
          <cell r="D5597" t="str">
            <v>OOS6985</v>
          </cell>
        </row>
        <row r="5598">
          <cell r="C5598" t="str">
            <v>OOS8447</v>
          </cell>
          <cell r="D5598" t="str">
            <v>OOS8447</v>
          </cell>
        </row>
        <row r="5599">
          <cell r="C5599" t="str">
            <v>OOU2583</v>
          </cell>
          <cell r="D5599" t="str">
            <v>OOU2583</v>
          </cell>
        </row>
        <row r="5600">
          <cell r="C5600" t="str">
            <v>OOU0288</v>
          </cell>
          <cell r="D5600" t="str">
            <v>OOU0288</v>
          </cell>
        </row>
        <row r="5601">
          <cell r="C5601" t="str">
            <v>OOU0C88</v>
          </cell>
          <cell r="D5601" t="str">
            <v>OOU0C88</v>
          </cell>
        </row>
        <row r="5602">
          <cell r="C5602" t="str">
            <v>OOU1550</v>
          </cell>
          <cell r="D5602" t="str">
            <v>OOU1550</v>
          </cell>
        </row>
        <row r="5603">
          <cell r="C5603" t="str">
            <v>OOU2551</v>
          </cell>
          <cell r="D5603" t="str">
            <v>OOU2551</v>
          </cell>
        </row>
        <row r="5604">
          <cell r="C5604" t="str">
            <v>OOU2552</v>
          </cell>
          <cell r="D5604" t="str">
            <v>OOU2552</v>
          </cell>
        </row>
        <row r="5605">
          <cell r="C5605" t="str">
            <v>OOU2741</v>
          </cell>
          <cell r="D5605" t="str">
            <v>OOU2741</v>
          </cell>
        </row>
        <row r="5606">
          <cell r="C5606" t="str">
            <v>OOU3927</v>
          </cell>
          <cell r="D5606" t="str">
            <v>OOU3927</v>
          </cell>
        </row>
        <row r="5607">
          <cell r="C5607" t="str">
            <v>OOV9I05</v>
          </cell>
          <cell r="D5607" t="str">
            <v>OOV9I05</v>
          </cell>
        </row>
        <row r="5608">
          <cell r="C5608" t="str">
            <v>OPA0B20</v>
          </cell>
          <cell r="D5608" t="str">
            <v>OPA0B20</v>
          </cell>
        </row>
        <row r="5609">
          <cell r="C5609" t="str">
            <v>OPB0C36</v>
          </cell>
          <cell r="D5609" t="str">
            <v>OPB0C36</v>
          </cell>
        </row>
        <row r="5610">
          <cell r="C5610" t="str">
            <v>OPO4662</v>
          </cell>
          <cell r="D5610" t="str">
            <v>OPO4662</v>
          </cell>
        </row>
        <row r="5611">
          <cell r="C5611" t="str">
            <v>OPS1311</v>
          </cell>
          <cell r="D5611" t="str">
            <v>OPS1311</v>
          </cell>
        </row>
        <row r="5612">
          <cell r="C5612" t="str">
            <v>OPU6129</v>
          </cell>
          <cell r="D5612" t="str">
            <v>OPU6129</v>
          </cell>
        </row>
        <row r="5613">
          <cell r="C5613" t="str">
            <v>OQG9876</v>
          </cell>
          <cell r="D5613" t="str">
            <v>OQG9876</v>
          </cell>
        </row>
        <row r="5614">
          <cell r="C5614" t="str">
            <v>OQM7130</v>
          </cell>
          <cell r="D5614" t="str">
            <v>OQM7130</v>
          </cell>
        </row>
        <row r="5615">
          <cell r="C5615" t="str">
            <v>LLO6946</v>
          </cell>
          <cell r="D5615" t="str">
            <v>LLO6946</v>
          </cell>
        </row>
        <row r="5616">
          <cell r="C5616" t="str">
            <v>MES1345</v>
          </cell>
          <cell r="D5616" t="str">
            <v>MES1345</v>
          </cell>
        </row>
        <row r="5617">
          <cell r="C5617" t="str">
            <v>BBH3137</v>
          </cell>
          <cell r="D5617" t="str">
            <v>BBH3137</v>
          </cell>
        </row>
        <row r="5618">
          <cell r="C5618" t="str">
            <v>CQH0257</v>
          </cell>
          <cell r="D5618" t="str">
            <v>CQH0257</v>
          </cell>
        </row>
        <row r="5619">
          <cell r="C5619" t="str">
            <v>BWQ4914</v>
          </cell>
          <cell r="D5619" t="str">
            <v>BWQ4914</v>
          </cell>
        </row>
        <row r="5620">
          <cell r="C5620" t="str">
            <v>OTD2E66</v>
          </cell>
          <cell r="D5620" t="str">
            <v>OTD2E66</v>
          </cell>
        </row>
        <row r="5621">
          <cell r="C5621" t="str">
            <v>OUI7D80</v>
          </cell>
          <cell r="D5621" t="str">
            <v>OUI7D80</v>
          </cell>
        </row>
        <row r="5622">
          <cell r="C5622" t="str">
            <v>OUT2D07</v>
          </cell>
          <cell r="D5622" t="str">
            <v>OUT2D07</v>
          </cell>
        </row>
        <row r="5623">
          <cell r="C5623" t="str">
            <v>OVI3268</v>
          </cell>
          <cell r="D5623" t="str">
            <v>OVI3268</v>
          </cell>
        </row>
        <row r="5624">
          <cell r="C5624" t="str">
            <v>OVK5G60</v>
          </cell>
          <cell r="D5624" t="str">
            <v>OVK5G60</v>
          </cell>
        </row>
        <row r="5625">
          <cell r="C5625" t="str">
            <v>OVN5731</v>
          </cell>
          <cell r="D5625" t="str">
            <v>OVN5731</v>
          </cell>
        </row>
        <row r="5626">
          <cell r="C5626" t="str">
            <v>OWI1128</v>
          </cell>
          <cell r="D5626" t="str">
            <v>OWI1128</v>
          </cell>
        </row>
        <row r="5627">
          <cell r="C5627" t="str">
            <v>OWJ2887</v>
          </cell>
          <cell r="D5627" t="str">
            <v>OWJ2887</v>
          </cell>
        </row>
        <row r="5628">
          <cell r="C5628" t="str">
            <v>OWS3142</v>
          </cell>
          <cell r="D5628" t="str">
            <v>OWS3142</v>
          </cell>
        </row>
        <row r="5629">
          <cell r="C5629" t="str">
            <v>OYB3828</v>
          </cell>
          <cell r="D5629" t="str">
            <v>OYB3828</v>
          </cell>
        </row>
        <row r="5630">
          <cell r="C5630" t="str">
            <v>OYH4586</v>
          </cell>
          <cell r="D5630" t="str">
            <v>OYH4586</v>
          </cell>
        </row>
        <row r="5631">
          <cell r="C5631" t="str">
            <v>OYI2212</v>
          </cell>
          <cell r="D5631" t="str">
            <v>OYI2212</v>
          </cell>
        </row>
        <row r="5632">
          <cell r="C5632" t="str">
            <v>AFE7716</v>
          </cell>
          <cell r="D5632" t="str">
            <v>AFE7716</v>
          </cell>
        </row>
        <row r="5633">
          <cell r="C5633" t="str">
            <v>HOA1513</v>
          </cell>
          <cell r="D5633" t="str">
            <v>HOA1513</v>
          </cell>
        </row>
        <row r="5634">
          <cell r="C5634" t="str">
            <v>CYA0372</v>
          </cell>
          <cell r="D5634" t="str">
            <v>CYA0372</v>
          </cell>
        </row>
        <row r="5635">
          <cell r="C5635" t="str">
            <v>AUA6338</v>
          </cell>
          <cell r="D5635" t="str">
            <v>AUA6338</v>
          </cell>
        </row>
        <row r="5636">
          <cell r="C5636" t="str">
            <v>DBL2690</v>
          </cell>
          <cell r="D5636" t="str">
            <v>DBL2690</v>
          </cell>
        </row>
        <row r="5637">
          <cell r="C5637" t="str">
            <v>PAZ2479</v>
          </cell>
          <cell r="D5637" t="str">
            <v>PAZ2479</v>
          </cell>
        </row>
        <row r="5638">
          <cell r="C5638" t="str">
            <v>PCS3987</v>
          </cell>
          <cell r="D5638" t="str">
            <v>PCS3987</v>
          </cell>
        </row>
        <row r="5639">
          <cell r="C5639" t="str">
            <v>PCS5J10</v>
          </cell>
          <cell r="D5639" t="str">
            <v>PCS5J10</v>
          </cell>
        </row>
        <row r="5640">
          <cell r="C5640" t="str">
            <v>BWG0346</v>
          </cell>
          <cell r="D5640" t="str">
            <v>BWG0346</v>
          </cell>
        </row>
        <row r="5641">
          <cell r="C5641" t="str">
            <v>PEM5972</v>
          </cell>
          <cell r="D5641" t="str">
            <v>PEM5972</v>
          </cell>
        </row>
        <row r="5642">
          <cell r="C5642" t="str">
            <v>KWG2698</v>
          </cell>
          <cell r="D5642" t="str">
            <v>KWG2698</v>
          </cell>
        </row>
        <row r="5643">
          <cell r="C5643" t="str">
            <v>PAVBA</v>
          </cell>
          <cell r="D5643" t="str">
            <v xml:space="preserve">       </v>
          </cell>
        </row>
        <row r="5644">
          <cell r="C5644" t="str">
            <v>PAREDEPLAST</v>
          </cell>
          <cell r="D5644" t="str">
            <v xml:space="preserve">       </v>
          </cell>
        </row>
        <row r="5645">
          <cell r="C5645" t="str">
            <v>STETSOM</v>
          </cell>
          <cell r="D5645" t="str">
            <v xml:space="preserve">       </v>
          </cell>
        </row>
        <row r="5646">
          <cell r="C5646" t="str">
            <v>PAVVIPP</v>
          </cell>
          <cell r="D5646" t="str">
            <v xml:space="preserve">       </v>
          </cell>
        </row>
        <row r="5647">
          <cell r="C5647" t="str">
            <v>PEW7838</v>
          </cell>
          <cell r="D5647" t="str">
            <v>PEW7838</v>
          </cell>
        </row>
        <row r="5648">
          <cell r="C5648" t="str">
            <v>PHE0030</v>
          </cell>
          <cell r="D5648" t="str">
            <v>PHE0030</v>
          </cell>
        </row>
        <row r="5649">
          <cell r="C5649" t="str">
            <v>PHH0031</v>
          </cell>
          <cell r="D5649" t="str">
            <v>PHH0031</v>
          </cell>
        </row>
        <row r="5650">
          <cell r="C5650" t="str">
            <v>PHH0045</v>
          </cell>
          <cell r="D5650" t="str">
            <v>PHH0045</v>
          </cell>
        </row>
        <row r="5651">
          <cell r="C5651" t="str">
            <v>PHJ0054</v>
          </cell>
          <cell r="D5651" t="str">
            <v>PHJ0054</v>
          </cell>
        </row>
        <row r="5652">
          <cell r="C5652" t="str">
            <v>PHT0025</v>
          </cell>
          <cell r="D5652" t="str">
            <v>PHT0025</v>
          </cell>
        </row>
        <row r="5653">
          <cell r="C5653" t="str">
            <v>PKP4994</v>
          </cell>
          <cell r="D5653" t="str">
            <v>PKP4994</v>
          </cell>
        </row>
        <row r="5654">
          <cell r="C5654" t="str">
            <v>PKU3B39</v>
          </cell>
          <cell r="D5654" t="str">
            <v>PKU3B39</v>
          </cell>
        </row>
        <row r="5655">
          <cell r="C5655" t="str">
            <v>EVU3857</v>
          </cell>
          <cell r="D5655" t="str">
            <v>EVU3857</v>
          </cell>
        </row>
        <row r="5656">
          <cell r="C5656" t="str">
            <v>AHU0078</v>
          </cell>
          <cell r="D5656" t="str">
            <v>AHU0078</v>
          </cell>
        </row>
        <row r="5657">
          <cell r="C5657" t="str">
            <v>AZB3B96</v>
          </cell>
          <cell r="D5657" t="str">
            <v>AZB3B96</v>
          </cell>
        </row>
        <row r="5658">
          <cell r="C5658" t="str">
            <v>JOH7464</v>
          </cell>
          <cell r="D5658" t="str">
            <v>JOH7464</v>
          </cell>
        </row>
        <row r="5659">
          <cell r="C5659" t="str">
            <v>BWI7I49</v>
          </cell>
          <cell r="D5659" t="str">
            <v>BWI7I49</v>
          </cell>
        </row>
        <row r="5660">
          <cell r="C5660" t="str">
            <v>AAG2011</v>
          </cell>
          <cell r="D5660" t="str">
            <v>AAG2011</v>
          </cell>
        </row>
        <row r="5661">
          <cell r="C5661" t="str">
            <v>AAJ1175</v>
          </cell>
          <cell r="D5661" t="str">
            <v>AAJ1175</v>
          </cell>
        </row>
        <row r="5662">
          <cell r="C5662" t="str">
            <v>AAL4576</v>
          </cell>
          <cell r="D5662" t="str">
            <v>AAL4576</v>
          </cell>
        </row>
        <row r="5663">
          <cell r="C5663" t="str">
            <v>AAL7674</v>
          </cell>
          <cell r="D5663" t="str">
            <v>AAL7674</v>
          </cell>
        </row>
        <row r="5664">
          <cell r="C5664" t="str">
            <v>AAO3093</v>
          </cell>
          <cell r="D5664" t="str">
            <v>AAO3093</v>
          </cell>
        </row>
        <row r="5665">
          <cell r="C5665" t="str">
            <v>AAP5603</v>
          </cell>
          <cell r="D5665" t="str">
            <v>AAP5603</v>
          </cell>
        </row>
        <row r="5666">
          <cell r="C5666" t="str">
            <v>AAR2D01</v>
          </cell>
          <cell r="D5666" t="str">
            <v>AAR2D01</v>
          </cell>
        </row>
        <row r="5667">
          <cell r="C5667" t="str">
            <v>ABE0250</v>
          </cell>
          <cell r="D5667" t="str">
            <v>ABE0250</v>
          </cell>
        </row>
        <row r="5668">
          <cell r="C5668" t="str">
            <v>ADF4145</v>
          </cell>
          <cell r="D5668" t="str">
            <v>ADF4145</v>
          </cell>
        </row>
        <row r="5669">
          <cell r="C5669" t="str">
            <v>AFT6382</v>
          </cell>
          <cell r="D5669" t="str">
            <v>AFT6382</v>
          </cell>
        </row>
        <row r="5670">
          <cell r="C5670" t="str">
            <v>AGM2874</v>
          </cell>
          <cell r="D5670" t="str">
            <v>AGM2874</v>
          </cell>
        </row>
        <row r="5671">
          <cell r="C5671" t="str">
            <v>AHZ7476</v>
          </cell>
          <cell r="D5671" t="str">
            <v>AHZ7476</v>
          </cell>
        </row>
        <row r="5672">
          <cell r="C5672" t="str">
            <v>AJA9299</v>
          </cell>
          <cell r="D5672" t="str">
            <v>AJA9299</v>
          </cell>
        </row>
        <row r="5673">
          <cell r="C5673" t="str">
            <v>AKV5168</v>
          </cell>
          <cell r="D5673" t="str">
            <v>AKV5168</v>
          </cell>
        </row>
        <row r="5674">
          <cell r="C5674" t="str">
            <v>ANI2719</v>
          </cell>
          <cell r="D5674" t="str">
            <v>ANI2719</v>
          </cell>
        </row>
        <row r="5675">
          <cell r="C5675" t="str">
            <v>AOQ6B41</v>
          </cell>
          <cell r="D5675" t="str">
            <v>AOQ6B41</v>
          </cell>
        </row>
        <row r="5676">
          <cell r="C5676" t="str">
            <v>AQA1D00</v>
          </cell>
          <cell r="D5676" t="str">
            <v>AQA1D00</v>
          </cell>
        </row>
        <row r="5677">
          <cell r="C5677" t="str">
            <v>ASD7192</v>
          </cell>
          <cell r="D5677" t="str">
            <v>ASD7192</v>
          </cell>
        </row>
        <row r="5678">
          <cell r="C5678" t="str">
            <v>AWC2C23</v>
          </cell>
          <cell r="D5678" t="str">
            <v>AWC2C23</v>
          </cell>
        </row>
        <row r="5679">
          <cell r="C5679" t="str">
            <v>AZD8586</v>
          </cell>
          <cell r="D5679" t="str">
            <v>AZD8586</v>
          </cell>
        </row>
        <row r="5680">
          <cell r="C5680" t="str">
            <v>BKK5H08</v>
          </cell>
          <cell r="D5680" t="str">
            <v>BKK5H08</v>
          </cell>
        </row>
        <row r="5681">
          <cell r="C5681" t="str">
            <v>BMG6913</v>
          </cell>
          <cell r="D5681" t="str">
            <v>BMG6913</v>
          </cell>
        </row>
        <row r="5682">
          <cell r="C5682" t="str">
            <v>BQB6939</v>
          </cell>
          <cell r="D5682" t="str">
            <v>BQB6939</v>
          </cell>
        </row>
        <row r="5683">
          <cell r="C5683" t="str">
            <v>BWC6490</v>
          </cell>
          <cell r="D5683" t="str">
            <v>BWC6490</v>
          </cell>
        </row>
        <row r="5684">
          <cell r="C5684" t="str">
            <v>CDU8497</v>
          </cell>
          <cell r="D5684" t="str">
            <v>CDU8497</v>
          </cell>
        </row>
        <row r="5685">
          <cell r="C5685" t="str">
            <v>CNR7I46</v>
          </cell>
          <cell r="D5685" t="str">
            <v>CNR7I46</v>
          </cell>
        </row>
        <row r="5686">
          <cell r="C5686" t="str">
            <v>DKS9060</v>
          </cell>
          <cell r="D5686" t="str">
            <v>DKS9060</v>
          </cell>
        </row>
        <row r="5687">
          <cell r="C5687" t="str">
            <v>DPE2J88</v>
          </cell>
          <cell r="D5687" t="str">
            <v>DPE2J88</v>
          </cell>
        </row>
        <row r="5688">
          <cell r="C5688" t="str">
            <v>DWO7398</v>
          </cell>
          <cell r="D5688" t="str">
            <v>DWO7398</v>
          </cell>
        </row>
        <row r="5689">
          <cell r="C5689" t="str">
            <v>ESA5763</v>
          </cell>
          <cell r="D5689" t="str">
            <v>ESA5763</v>
          </cell>
        </row>
        <row r="5690">
          <cell r="C5690" t="str">
            <v>EVU2540</v>
          </cell>
          <cell r="D5690" t="str">
            <v>EVU2540</v>
          </cell>
        </row>
        <row r="5691">
          <cell r="C5691" t="str">
            <v>EVU4191</v>
          </cell>
          <cell r="D5691" t="str">
            <v>EVU4191</v>
          </cell>
        </row>
        <row r="5692">
          <cell r="C5692" t="str">
            <v>GPS5D77</v>
          </cell>
          <cell r="D5692" t="str">
            <v>GPS5D77</v>
          </cell>
        </row>
        <row r="5693">
          <cell r="C5693" t="str">
            <v>HRS6637</v>
          </cell>
          <cell r="D5693" t="str">
            <v>HRS6637</v>
          </cell>
        </row>
        <row r="5694">
          <cell r="C5694" t="str">
            <v>HRS6H56</v>
          </cell>
          <cell r="D5694" t="str">
            <v>HRS6H56</v>
          </cell>
        </row>
        <row r="5695">
          <cell r="C5695" t="str">
            <v>IHK3277</v>
          </cell>
          <cell r="D5695" t="str">
            <v>IHK3277</v>
          </cell>
        </row>
        <row r="5696">
          <cell r="C5696" t="str">
            <v>KHN8488</v>
          </cell>
          <cell r="D5696" t="str">
            <v>KHN8488</v>
          </cell>
        </row>
        <row r="5697">
          <cell r="C5697" t="str">
            <v>MBN8832</v>
          </cell>
          <cell r="D5697" t="str">
            <v>MBN8832</v>
          </cell>
        </row>
        <row r="5698">
          <cell r="C5698" t="str">
            <v>MXA5H51</v>
          </cell>
          <cell r="D5698" t="str">
            <v>MXA5H51</v>
          </cell>
        </row>
        <row r="5699">
          <cell r="C5699" t="str">
            <v>OCW6478</v>
          </cell>
          <cell r="D5699" t="str">
            <v>OCW6478</v>
          </cell>
        </row>
        <row r="5700">
          <cell r="C5700" t="str">
            <v>AAA0I16</v>
          </cell>
          <cell r="D5700" t="str">
            <v>AAA0I16</v>
          </cell>
        </row>
        <row r="5701">
          <cell r="C5701" t="str">
            <v>AAB0793</v>
          </cell>
          <cell r="D5701" t="str">
            <v>AAB0793</v>
          </cell>
        </row>
        <row r="5702">
          <cell r="C5702" t="str">
            <v>AAB2455</v>
          </cell>
          <cell r="D5702" t="str">
            <v>AAB2455</v>
          </cell>
        </row>
        <row r="5703">
          <cell r="C5703" t="str">
            <v>AAB9913</v>
          </cell>
          <cell r="D5703" t="str">
            <v>AAB9913</v>
          </cell>
        </row>
        <row r="5704">
          <cell r="C5704" t="str">
            <v>AAC5398</v>
          </cell>
          <cell r="D5704" t="str">
            <v>AAC5398</v>
          </cell>
        </row>
        <row r="5705">
          <cell r="C5705" t="str">
            <v>AAC8042</v>
          </cell>
          <cell r="D5705" t="str">
            <v>AAC8042</v>
          </cell>
        </row>
        <row r="5706">
          <cell r="C5706" t="str">
            <v>AAC9834</v>
          </cell>
          <cell r="D5706" t="str">
            <v>AAC9834</v>
          </cell>
        </row>
        <row r="5707">
          <cell r="C5707" t="str">
            <v>AAC9923</v>
          </cell>
          <cell r="D5707" t="str">
            <v>AAC9923</v>
          </cell>
        </row>
        <row r="5708">
          <cell r="C5708" t="str">
            <v>AAE5A37</v>
          </cell>
          <cell r="D5708" t="str">
            <v>AAE5A37</v>
          </cell>
        </row>
        <row r="5709">
          <cell r="C5709" t="str">
            <v>AAE9E77</v>
          </cell>
          <cell r="D5709" t="str">
            <v>AAE9E77</v>
          </cell>
        </row>
        <row r="5710">
          <cell r="C5710" t="str">
            <v>AAF2028</v>
          </cell>
          <cell r="D5710" t="str">
            <v>AAF2028</v>
          </cell>
        </row>
        <row r="5711">
          <cell r="C5711" t="str">
            <v>AAG3214</v>
          </cell>
          <cell r="D5711" t="str">
            <v>AAG3214</v>
          </cell>
        </row>
        <row r="5712">
          <cell r="C5712" t="str">
            <v>AAG4683</v>
          </cell>
          <cell r="D5712" t="str">
            <v>AAG4683</v>
          </cell>
        </row>
        <row r="5713">
          <cell r="C5713" t="str">
            <v>AAG5520</v>
          </cell>
          <cell r="D5713" t="str">
            <v>AAG5520</v>
          </cell>
        </row>
        <row r="5714">
          <cell r="C5714" t="str">
            <v>AAH1544</v>
          </cell>
          <cell r="D5714" t="str">
            <v>AAH1544</v>
          </cell>
        </row>
        <row r="5715">
          <cell r="C5715" t="str">
            <v>AAH2159</v>
          </cell>
          <cell r="D5715" t="str">
            <v>AAH2159</v>
          </cell>
        </row>
        <row r="5716">
          <cell r="C5716" t="str">
            <v>AAI0348</v>
          </cell>
          <cell r="D5716" t="str">
            <v>AAI0348</v>
          </cell>
        </row>
        <row r="5717">
          <cell r="C5717" t="str">
            <v>AAI0494</v>
          </cell>
          <cell r="D5717" t="str">
            <v>AAI0494</v>
          </cell>
        </row>
        <row r="5718">
          <cell r="C5718" t="str">
            <v>AAI0754</v>
          </cell>
          <cell r="D5718" t="str">
            <v>AAI0754</v>
          </cell>
        </row>
        <row r="5719">
          <cell r="C5719" t="str">
            <v>AAI4104</v>
          </cell>
          <cell r="D5719" t="str">
            <v>AAI4104</v>
          </cell>
        </row>
        <row r="5720">
          <cell r="C5720" t="str">
            <v>AAI8739</v>
          </cell>
          <cell r="D5720" t="str">
            <v>AAI8739</v>
          </cell>
        </row>
        <row r="5721">
          <cell r="C5721" t="str">
            <v>AAI9627</v>
          </cell>
          <cell r="D5721" t="str">
            <v>AAI9627</v>
          </cell>
        </row>
        <row r="5722">
          <cell r="C5722" t="str">
            <v>AAJ4234</v>
          </cell>
          <cell r="D5722" t="str">
            <v>AAJ4234</v>
          </cell>
        </row>
        <row r="5723">
          <cell r="C5723" t="str">
            <v>AAJ4542</v>
          </cell>
          <cell r="D5723" t="str">
            <v>AAJ4542</v>
          </cell>
        </row>
        <row r="5724">
          <cell r="C5724" t="str">
            <v>AAK5F29</v>
          </cell>
          <cell r="D5724" t="str">
            <v>AAK5F29</v>
          </cell>
        </row>
        <row r="5725">
          <cell r="C5725" t="str">
            <v>AAL2542</v>
          </cell>
          <cell r="D5725" t="str">
            <v>AAL2542</v>
          </cell>
        </row>
        <row r="5726">
          <cell r="C5726" t="str">
            <v>AAM0978</v>
          </cell>
          <cell r="D5726" t="str">
            <v>AAM0978</v>
          </cell>
        </row>
        <row r="5727">
          <cell r="C5727" t="str">
            <v>AAM9622</v>
          </cell>
          <cell r="D5727" t="str">
            <v>AAM9622</v>
          </cell>
        </row>
        <row r="5728">
          <cell r="C5728" t="str">
            <v>AAN0978</v>
          </cell>
          <cell r="D5728" t="str">
            <v>AAN0978</v>
          </cell>
        </row>
        <row r="5729">
          <cell r="C5729" t="str">
            <v>AAN7884</v>
          </cell>
          <cell r="D5729" t="str">
            <v>AAN7884</v>
          </cell>
        </row>
        <row r="5730">
          <cell r="C5730" t="str">
            <v>AAN8718</v>
          </cell>
          <cell r="D5730" t="str">
            <v>AAN8718</v>
          </cell>
        </row>
        <row r="5731">
          <cell r="C5731" t="str">
            <v>AAN8E93</v>
          </cell>
          <cell r="D5731" t="str">
            <v>AAN8E93</v>
          </cell>
        </row>
        <row r="5732">
          <cell r="C5732" t="str">
            <v>AAO1801</v>
          </cell>
          <cell r="D5732" t="str">
            <v>AAO1801</v>
          </cell>
        </row>
        <row r="5733">
          <cell r="C5733" t="str">
            <v>AAO1D19</v>
          </cell>
          <cell r="D5733" t="str">
            <v>AAO1D19</v>
          </cell>
        </row>
        <row r="5734">
          <cell r="C5734" t="str">
            <v>AAO5940</v>
          </cell>
          <cell r="D5734" t="str">
            <v>AAO5940</v>
          </cell>
        </row>
        <row r="5735">
          <cell r="C5735" t="str">
            <v>AAP2806</v>
          </cell>
          <cell r="D5735" t="str">
            <v>AAP2806</v>
          </cell>
        </row>
        <row r="5736">
          <cell r="C5736" t="str">
            <v>AAQ7884</v>
          </cell>
          <cell r="D5736" t="str">
            <v>AAQ7884</v>
          </cell>
        </row>
        <row r="5737">
          <cell r="C5737" t="str">
            <v>AAR6470</v>
          </cell>
          <cell r="D5737" t="str">
            <v>AAR6470</v>
          </cell>
        </row>
        <row r="5738">
          <cell r="C5738" t="str">
            <v>AAR9748</v>
          </cell>
          <cell r="D5738" t="str">
            <v>AAR9748</v>
          </cell>
        </row>
        <row r="5739">
          <cell r="C5739" t="str">
            <v>AAS1574</v>
          </cell>
          <cell r="D5739" t="str">
            <v>AAS1574</v>
          </cell>
        </row>
        <row r="5740">
          <cell r="C5740" t="str">
            <v>AAS5895</v>
          </cell>
          <cell r="D5740" t="str">
            <v>AAS5895</v>
          </cell>
        </row>
        <row r="5741">
          <cell r="C5741" t="str">
            <v>AAS7115</v>
          </cell>
          <cell r="D5741" t="str">
            <v>AAS7115</v>
          </cell>
        </row>
        <row r="5742">
          <cell r="C5742" t="str">
            <v>AAS8284</v>
          </cell>
          <cell r="D5742" t="str">
            <v>AAS8284</v>
          </cell>
        </row>
        <row r="5743">
          <cell r="C5743" t="str">
            <v>AAT0448</v>
          </cell>
          <cell r="D5743" t="str">
            <v>AAT0448</v>
          </cell>
        </row>
        <row r="5744">
          <cell r="C5744" t="str">
            <v>AVE0233</v>
          </cell>
          <cell r="D5744" t="str">
            <v>AVE0233</v>
          </cell>
        </row>
        <row r="5745">
          <cell r="C5745" t="str">
            <v>AAX7362</v>
          </cell>
          <cell r="D5745" t="str">
            <v>AAX7362</v>
          </cell>
        </row>
        <row r="5746">
          <cell r="C5746" t="str">
            <v>AAZ4658</v>
          </cell>
          <cell r="D5746" t="str">
            <v>AAZ4658</v>
          </cell>
        </row>
        <row r="5747">
          <cell r="C5747" t="str">
            <v>ABA0729</v>
          </cell>
          <cell r="D5747" t="str">
            <v>ABA0729</v>
          </cell>
        </row>
        <row r="5748">
          <cell r="C5748" t="str">
            <v>ABA4010</v>
          </cell>
          <cell r="D5748" t="str">
            <v>ABA4010</v>
          </cell>
        </row>
        <row r="5749">
          <cell r="C5749" t="str">
            <v>ABA5845</v>
          </cell>
          <cell r="D5749" t="str">
            <v>ABA5845</v>
          </cell>
        </row>
        <row r="5750">
          <cell r="C5750" t="str">
            <v>ABA7916</v>
          </cell>
          <cell r="D5750" t="str">
            <v>ABA7916</v>
          </cell>
        </row>
        <row r="5751">
          <cell r="C5751" t="str">
            <v>ABB7594</v>
          </cell>
          <cell r="D5751" t="str">
            <v>ABB7594</v>
          </cell>
        </row>
        <row r="5752">
          <cell r="C5752" t="str">
            <v>ABB7E49</v>
          </cell>
          <cell r="D5752" t="str">
            <v>ABB7E49</v>
          </cell>
        </row>
        <row r="5753">
          <cell r="C5753" t="str">
            <v>ABB9837</v>
          </cell>
          <cell r="D5753" t="str">
            <v>ABB9837</v>
          </cell>
        </row>
        <row r="5754">
          <cell r="C5754" t="str">
            <v>ABC1768</v>
          </cell>
          <cell r="D5754" t="str">
            <v>ABC1768</v>
          </cell>
        </row>
        <row r="5755">
          <cell r="C5755" t="str">
            <v>ABC2103</v>
          </cell>
          <cell r="D5755" t="str">
            <v>ABC2103</v>
          </cell>
        </row>
        <row r="5756">
          <cell r="C5756" t="str">
            <v>ABC2I03</v>
          </cell>
          <cell r="D5756" t="str">
            <v>ABC2I03</v>
          </cell>
        </row>
        <row r="5757">
          <cell r="C5757" t="str">
            <v>ABC4858</v>
          </cell>
          <cell r="D5757" t="str">
            <v>ABC4858</v>
          </cell>
        </row>
        <row r="5758">
          <cell r="C5758" t="str">
            <v>ABC4C03</v>
          </cell>
          <cell r="D5758" t="str">
            <v>ABC4C03</v>
          </cell>
        </row>
        <row r="5759">
          <cell r="C5759" t="str">
            <v>ABC5659</v>
          </cell>
          <cell r="D5759" t="str">
            <v>ABC5659</v>
          </cell>
        </row>
        <row r="5760">
          <cell r="C5760" t="str">
            <v>ABD5308</v>
          </cell>
          <cell r="D5760" t="str">
            <v>ABD5308</v>
          </cell>
        </row>
        <row r="5761">
          <cell r="C5761" t="str">
            <v>ABD8893</v>
          </cell>
          <cell r="D5761" t="str">
            <v>ABD8893</v>
          </cell>
        </row>
        <row r="5762">
          <cell r="C5762" t="str">
            <v>ABF4C37</v>
          </cell>
          <cell r="D5762" t="str">
            <v>ABF4C37</v>
          </cell>
        </row>
        <row r="5763">
          <cell r="C5763" t="str">
            <v>ABF6324</v>
          </cell>
          <cell r="D5763" t="str">
            <v>ABF6324</v>
          </cell>
        </row>
        <row r="5764">
          <cell r="C5764" t="str">
            <v>ABF7351</v>
          </cell>
          <cell r="D5764" t="str">
            <v>ABF7351</v>
          </cell>
        </row>
        <row r="5765">
          <cell r="C5765" t="str">
            <v>ABG2339</v>
          </cell>
          <cell r="D5765" t="str">
            <v>ABG2339</v>
          </cell>
        </row>
        <row r="5766">
          <cell r="C5766" t="str">
            <v>ABG2927</v>
          </cell>
          <cell r="D5766" t="str">
            <v>ABG2927</v>
          </cell>
        </row>
        <row r="5767">
          <cell r="C5767" t="str">
            <v>ABG2F73</v>
          </cell>
          <cell r="D5767" t="str">
            <v>ABG2F73</v>
          </cell>
        </row>
        <row r="5768">
          <cell r="C5768" t="str">
            <v>ABH0835</v>
          </cell>
          <cell r="D5768" t="str">
            <v>ABH0835</v>
          </cell>
        </row>
        <row r="5769">
          <cell r="C5769" t="str">
            <v>ABI1C76</v>
          </cell>
          <cell r="D5769" t="str">
            <v>ABI1C76</v>
          </cell>
        </row>
        <row r="5770">
          <cell r="C5770" t="str">
            <v>ABI2453</v>
          </cell>
          <cell r="D5770" t="str">
            <v>ABI2453</v>
          </cell>
        </row>
        <row r="5771">
          <cell r="C5771" t="str">
            <v>ABI5E18</v>
          </cell>
          <cell r="D5771" t="str">
            <v>ABI5E18</v>
          </cell>
        </row>
        <row r="5772">
          <cell r="C5772" t="str">
            <v>ABJ7I17</v>
          </cell>
          <cell r="D5772" t="str">
            <v>ABJ7I17</v>
          </cell>
        </row>
        <row r="5773">
          <cell r="C5773" t="str">
            <v>ABK3589</v>
          </cell>
          <cell r="D5773" t="str">
            <v>ABK3589</v>
          </cell>
        </row>
        <row r="5774">
          <cell r="C5774" t="str">
            <v>ABL1837</v>
          </cell>
          <cell r="D5774" t="str">
            <v>ABL1837</v>
          </cell>
        </row>
        <row r="5775">
          <cell r="C5775" t="str">
            <v>ABM2A47</v>
          </cell>
          <cell r="D5775" t="str">
            <v>ABM2A47</v>
          </cell>
        </row>
        <row r="5776">
          <cell r="C5776" t="str">
            <v>ABM3G18</v>
          </cell>
          <cell r="D5776" t="str">
            <v>ABM3G18</v>
          </cell>
        </row>
        <row r="5777">
          <cell r="C5777" t="str">
            <v>ABN2C43</v>
          </cell>
          <cell r="D5777" t="str">
            <v>ABN2C43</v>
          </cell>
        </row>
        <row r="5778">
          <cell r="C5778" t="str">
            <v>ABN8606</v>
          </cell>
          <cell r="D5778" t="str">
            <v>ABN8606</v>
          </cell>
        </row>
        <row r="5779">
          <cell r="C5779" t="str">
            <v>ABO2576</v>
          </cell>
          <cell r="D5779" t="str">
            <v>ABO2576</v>
          </cell>
        </row>
        <row r="5780">
          <cell r="C5780" t="str">
            <v>ABO5154</v>
          </cell>
          <cell r="D5780" t="str">
            <v>ABO5154</v>
          </cell>
        </row>
        <row r="5781">
          <cell r="C5781" t="str">
            <v>ABO5G32</v>
          </cell>
          <cell r="D5781" t="str">
            <v>ABO5G32</v>
          </cell>
        </row>
        <row r="5782">
          <cell r="C5782" t="str">
            <v>ABO6405</v>
          </cell>
          <cell r="D5782" t="str">
            <v>ABO6405</v>
          </cell>
        </row>
        <row r="5783">
          <cell r="C5783" t="str">
            <v>ABO6550</v>
          </cell>
          <cell r="D5783" t="str">
            <v>ABO6550</v>
          </cell>
        </row>
        <row r="5784">
          <cell r="C5784" t="str">
            <v>ABO6H83</v>
          </cell>
          <cell r="D5784" t="str">
            <v>ABO6H83</v>
          </cell>
        </row>
        <row r="5785">
          <cell r="C5785" t="str">
            <v>ABP8782</v>
          </cell>
          <cell r="D5785" t="str">
            <v>ABP8782</v>
          </cell>
        </row>
        <row r="5786">
          <cell r="C5786" t="str">
            <v>ABQ2211</v>
          </cell>
          <cell r="D5786" t="str">
            <v>ABQ2211</v>
          </cell>
        </row>
        <row r="5787">
          <cell r="C5787" t="str">
            <v>ABR1716</v>
          </cell>
          <cell r="D5787" t="str">
            <v>ABR1716</v>
          </cell>
        </row>
        <row r="5788">
          <cell r="C5788">
            <v>904067</v>
          </cell>
          <cell r="D5788">
            <v>904067</v>
          </cell>
        </row>
        <row r="5789">
          <cell r="C5789">
            <v>1533016</v>
          </cell>
          <cell r="D5789">
            <v>1533016</v>
          </cell>
        </row>
        <row r="5790">
          <cell r="C5790">
            <v>2436991</v>
          </cell>
          <cell r="D5790">
            <v>2436991</v>
          </cell>
        </row>
        <row r="5791">
          <cell r="C5791" t="str">
            <v>ABS2897</v>
          </cell>
          <cell r="D5791" t="str">
            <v>ABS2897</v>
          </cell>
        </row>
        <row r="5792">
          <cell r="C5792" t="str">
            <v>ABT2720</v>
          </cell>
          <cell r="D5792" t="str">
            <v>ABT2720</v>
          </cell>
        </row>
        <row r="5793">
          <cell r="C5793" t="str">
            <v>ABT3J25</v>
          </cell>
          <cell r="D5793" t="str">
            <v>ABT3J25</v>
          </cell>
        </row>
        <row r="5794">
          <cell r="C5794" t="str">
            <v>ABT6147</v>
          </cell>
          <cell r="D5794" t="str">
            <v>ABT6147</v>
          </cell>
        </row>
        <row r="5795">
          <cell r="C5795" t="str">
            <v>ABT8199</v>
          </cell>
          <cell r="D5795" t="str">
            <v>ABT8199</v>
          </cell>
        </row>
        <row r="5796">
          <cell r="C5796" t="str">
            <v>ABT8782</v>
          </cell>
          <cell r="D5796" t="str">
            <v>ABT8782</v>
          </cell>
        </row>
        <row r="5797">
          <cell r="C5797" t="str">
            <v>ABU2273</v>
          </cell>
          <cell r="D5797" t="str">
            <v>ABU2273</v>
          </cell>
        </row>
        <row r="5798">
          <cell r="C5798" t="str">
            <v>ABU5671</v>
          </cell>
          <cell r="D5798" t="str">
            <v>ABU5671</v>
          </cell>
        </row>
        <row r="5799">
          <cell r="C5799" t="str">
            <v>ABV0750</v>
          </cell>
          <cell r="D5799" t="str">
            <v>ABV0750</v>
          </cell>
        </row>
        <row r="5800">
          <cell r="C5800" t="str">
            <v>ABV6973</v>
          </cell>
          <cell r="D5800" t="str">
            <v>ABV6973</v>
          </cell>
        </row>
        <row r="5801">
          <cell r="C5801" t="str">
            <v>ABV7374</v>
          </cell>
          <cell r="D5801" t="str">
            <v>ABV7374</v>
          </cell>
        </row>
        <row r="5802">
          <cell r="C5802" t="str">
            <v>ABV7C76</v>
          </cell>
          <cell r="D5802" t="str">
            <v>ABV7C76</v>
          </cell>
        </row>
        <row r="5803">
          <cell r="C5803" t="str">
            <v>ABW4096</v>
          </cell>
          <cell r="D5803" t="str">
            <v>ABW4096</v>
          </cell>
        </row>
        <row r="5804">
          <cell r="C5804" t="str">
            <v>ABW4H10</v>
          </cell>
          <cell r="D5804" t="str">
            <v>ABW4H10</v>
          </cell>
        </row>
        <row r="5805">
          <cell r="C5805" t="str">
            <v>ABX9899</v>
          </cell>
          <cell r="D5805" t="str">
            <v>ABX9899</v>
          </cell>
        </row>
        <row r="5806">
          <cell r="C5806" t="str">
            <v>ABY2627</v>
          </cell>
          <cell r="D5806" t="str">
            <v>ABY2627</v>
          </cell>
        </row>
        <row r="5807">
          <cell r="C5807" t="str">
            <v>ABY7888</v>
          </cell>
          <cell r="D5807" t="str">
            <v>ABY7888</v>
          </cell>
        </row>
        <row r="5808">
          <cell r="C5808" t="str">
            <v>ABZ1182</v>
          </cell>
          <cell r="D5808" t="str">
            <v>ABZ1182</v>
          </cell>
        </row>
        <row r="5809">
          <cell r="C5809" t="str">
            <v>ACA1323</v>
          </cell>
          <cell r="D5809" t="str">
            <v>ACA1323</v>
          </cell>
        </row>
        <row r="5810">
          <cell r="C5810" t="str">
            <v>ACA1853</v>
          </cell>
          <cell r="D5810" t="str">
            <v>ACA1853</v>
          </cell>
        </row>
        <row r="5811">
          <cell r="C5811" t="str">
            <v>ACA1858</v>
          </cell>
          <cell r="D5811" t="str">
            <v>ACA1858</v>
          </cell>
        </row>
        <row r="5812">
          <cell r="C5812" t="str">
            <v>ACB1768</v>
          </cell>
          <cell r="D5812" t="str">
            <v>ACB1768</v>
          </cell>
        </row>
        <row r="5813">
          <cell r="C5813" t="str">
            <v>ACB1F74</v>
          </cell>
          <cell r="D5813" t="str">
            <v>ACB1F74</v>
          </cell>
        </row>
        <row r="5814">
          <cell r="C5814" t="str">
            <v>ACB4J89</v>
          </cell>
          <cell r="D5814" t="str">
            <v>ACB4J89</v>
          </cell>
        </row>
        <row r="5815">
          <cell r="C5815" t="str">
            <v>ACC1318</v>
          </cell>
          <cell r="D5815" t="str">
            <v>ACC1318</v>
          </cell>
        </row>
        <row r="5816">
          <cell r="C5816" t="str">
            <v>ACC2D09</v>
          </cell>
          <cell r="D5816" t="str">
            <v>ACC2D09</v>
          </cell>
        </row>
        <row r="5817">
          <cell r="C5817" t="str">
            <v>ACC3445</v>
          </cell>
          <cell r="D5817" t="str">
            <v>ACC3445</v>
          </cell>
        </row>
        <row r="5818">
          <cell r="C5818" t="str">
            <v>ACC8542</v>
          </cell>
          <cell r="D5818" t="str">
            <v>ACC8542</v>
          </cell>
        </row>
        <row r="5819">
          <cell r="C5819" t="str">
            <v>ACD2053</v>
          </cell>
          <cell r="D5819" t="str">
            <v>ACD2053</v>
          </cell>
        </row>
        <row r="5820">
          <cell r="C5820" t="str">
            <v>ACD5J60</v>
          </cell>
          <cell r="D5820" t="str">
            <v>ACD5J60</v>
          </cell>
        </row>
        <row r="5821">
          <cell r="C5821" t="str">
            <v>ACD8637</v>
          </cell>
          <cell r="D5821" t="str">
            <v>ACD8637</v>
          </cell>
        </row>
        <row r="5822">
          <cell r="C5822" t="str">
            <v>ACD9053</v>
          </cell>
          <cell r="D5822" t="str">
            <v>ACD9053</v>
          </cell>
        </row>
        <row r="5823">
          <cell r="C5823" t="str">
            <v>ACE6732</v>
          </cell>
          <cell r="D5823" t="str">
            <v>ACE6732</v>
          </cell>
        </row>
        <row r="5824">
          <cell r="C5824" t="str">
            <v>ACE7164</v>
          </cell>
          <cell r="D5824" t="str">
            <v>ACE7164</v>
          </cell>
        </row>
        <row r="5825">
          <cell r="C5825" t="str">
            <v>ACE9228</v>
          </cell>
          <cell r="D5825" t="str">
            <v>ACE9228</v>
          </cell>
        </row>
        <row r="5826">
          <cell r="C5826" t="str">
            <v>ACF2797</v>
          </cell>
          <cell r="D5826" t="str">
            <v>ACF2797</v>
          </cell>
        </row>
        <row r="5827">
          <cell r="C5827" t="str">
            <v>ACF9582</v>
          </cell>
          <cell r="D5827" t="str">
            <v>ACF9582</v>
          </cell>
        </row>
        <row r="5828">
          <cell r="C5828" t="str">
            <v>ACG3740</v>
          </cell>
          <cell r="D5828" t="str">
            <v>ACG3740</v>
          </cell>
        </row>
        <row r="5829">
          <cell r="C5829" t="str">
            <v>ACG4I04</v>
          </cell>
          <cell r="D5829" t="str">
            <v>ACG4I04</v>
          </cell>
        </row>
        <row r="5830">
          <cell r="C5830" t="str">
            <v>ACG8B50</v>
          </cell>
          <cell r="D5830" t="str">
            <v>ACG8B50</v>
          </cell>
        </row>
        <row r="5831">
          <cell r="C5831" t="str">
            <v>ACG9624</v>
          </cell>
          <cell r="D5831" t="str">
            <v>ACG9624</v>
          </cell>
        </row>
        <row r="5832">
          <cell r="C5832" t="str">
            <v>ACH0810</v>
          </cell>
          <cell r="D5832" t="str">
            <v>ACH0810</v>
          </cell>
        </row>
        <row r="5833">
          <cell r="C5833" t="str">
            <v>ACH4834</v>
          </cell>
          <cell r="D5833" t="str">
            <v>ACH4834</v>
          </cell>
        </row>
        <row r="5834">
          <cell r="C5834" t="str">
            <v>ACH4I34</v>
          </cell>
          <cell r="D5834" t="str">
            <v>ACH4I34</v>
          </cell>
        </row>
        <row r="5835">
          <cell r="C5835" t="str">
            <v>ACH9395</v>
          </cell>
          <cell r="D5835" t="str">
            <v>ACH9395</v>
          </cell>
        </row>
        <row r="5836">
          <cell r="C5836" t="str">
            <v>ACI5115</v>
          </cell>
          <cell r="D5836" t="str">
            <v>ACI5115</v>
          </cell>
        </row>
        <row r="5837">
          <cell r="C5837" t="str">
            <v>ACJ3969</v>
          </cell>
          <cell r="D5837" t="str">
            <v>ACJ3969</v>
          </cell>
        </row>
        <row r="5838">
          <cell r="C5838" t="str">
            <v>ACJ8761</v>
          </cell>
          <cell r="D5838" t="str">
            <v>ACJ8761</v>
          </cell>
        </row>
        <row r="5839">
          <cell r="C5839" t="str">
            <v>ACK0581</v>
          </cell>
          <cell r="D5839" t="str">
            <v>ACK0581</v>
          </cell>
        </row>
        <row r="5840">
          <cell r="C5840" t="str">
            <v>ACK6208</v>
          </cell>
          <cell r="D5840" t="str">
            <v>ACK6208</v>
          </cell>
        </row>
        <row r="5841">
          <cell r="C5841" t="str">
            <v>ACK6C08</v>
          </cell>
          <cell r="D5841" t="str">
            <v>ACK6C08</v>
          </cell>
        </row>
        <row r="5842">
          <cell r="C5842" t="str">
            <v>ACK9788</v>
          </cell>
          <cell r="D5842" t="str">
            <v>ACK9788</v>
          </cell>
        </row>
        <row r="5843">
          <cell r="C5843" t="str">
            <v>ACL1716</v>
          </cell>
          <cell r="D5843" t="str">
            <v>ACL1716</v>
          </cell>
        </row>
        <row r="5844">
          <cell r="C5844" t="str">
            <v>ACL7349</v>
          </cell>
          <cell r="D5844" t="str">
            <v>ACL7349</v>
          </cell>
        </row>
        <row r="5845">
          <cell r="C5845" t="str">
            <v>ACL7D49</v>
          </cell>
          <cell r="D5845" t="str">
            <v>ACL7D49</v>
          </cell>
        </row>
        <row r="5846">
          <cell r="C5846" t="str">
            <v>ACL9665</v>
          </cell>
          <cell r="D5846" t="str">
            <v>ACL9665</v>
          </cell>
        </row>
        <row r="5847">
          <cell r="C5847" t="str">
            <v>ACM1335</v>
          </cell>
          <cell r="D5847" t="str">
            <v>ACM1335</v>
          </cell>
        </row>
        <row r="5848">
          <cell r="C5848" t="str">
            <v>ACM3585</v>
          </cell>
          <cell r="D5848" t="str">
            <v>ACM3585</v>
          </cell>
        </row>
        <row r="5849">
          <cell r="C5849" t="str">
            <v>ACM5450</v>
          </cell>
          <cell r="D5849" t="str">
            <v>ACM5450</v>
          </cell>
        </row>
        <row r="5850">
          <cell r="C5850" t="str">
            <v>ACM9296</v>
          </cell>
          <cell r="D5850" t="str">
            <v>ACM9296</v>
          </cell>
        </row>
        <row r="5851">
          <cell r="C5851" t="str">
            <v>ACN0881</v>
          </cell>
          <cell r="D5851" t="str">
            <v>ACN0881</v>
          </cell>
        </row>
        <row r="5852">
          <cell r="C5852" t="str">
            <v>ACN3B19</v>
          </cell>
          <cell r="D5852" t="str">
            <v>ACN3B19</v>
          </cell>
        </row>
        <row r="5853">
          <cell r="C5853" t="str">
            <v>ACN9C96</v>
          </cell>
          <cell r="D5853" t="str">
            <v>ACN9C96</v>
          </cell>
        </row>
        <row r="5854">
          <cell r="C5854" t="str">
            <v>ACO3123</v>
          </cell>
          <cell r="D5854" t="str">
            <v>ACO3123</v>
          </cell>
        </row>
        <row r="5855">
          <cell r="C5855" t="str">
            <v>ACO6083</v>
          </cell>
          <cell r="D5855" t="str">
            <v>ACO6083</v>
          </cell>
        </row>
        <row r="5856">
          <cell r="C5856" t="str">
            <v>ACO7083</v>
          </cell>
          <cell r="D5856" t="str">
            <v>ACO7083</v>
          </cell>
        </row>
        <row r="5857">
          <cell r="C5857" t="str">
            <v>ACO7674</v>
          </cell>
          <cell r="D5857" t="str">
            <v>ACO7674</v>
          </cell>
        </row>
        <row r="5858">
          <cell r="C5858" t="str">
            <v>ACP2175</v>
          </cell>
          <cell r="D5858" t="str">
            <v>ACP2175</v>
          </cell>
        </row>
        <row r="5859">
          <cell r="C5859" t="str">
            <v>ACP3301</v>
          </cell>
          <cell r="D5859" t="str">
            <v>ACP3301</v>
          </cell>
        </row>
        <row r="5860">
          <cell r="C5860" t="str">
            <v>ACP5534</v>
          </cell>
          <cell r="D5860" t="str">
            <v>ACP5534</v>
          </cell>
        </row>
        <row r="5861">
          <cell r="C5861" t="str">
            <v>ACP5630</v>
          </cell>
          <cell r="D5861" t="str">
            <v>ACP5630</v>
          </cell>
        </row>
        <row r="5862">
          <cell r="C5862" t="str">
            <v>ACP6284</v>
          </cell>
          <cell r="D5862" t="str">
            <v>ACP6284</v>
          </cell>
        </row>
        <row r="5863">
          <cell r="C5863" t="str">
            <v>ACP6C60</v>
          </cell>
          <cell r="D5863" t="str">
            <v>ACP6C60</v>
          </cell>
        </row>
        <row r="5864">
          <cell r="C5864" t="str">
            <v>ACQ1460</v>
          </cell>
          <cell r="D5864" t="str">
            <v>ACQ1460</v>
          </cell>
        </row>
        <row r="5865">
          <cell r="C5865" t="str">
            <v>ACQ1C90</v>
          </cell>
          <cell r="D5865" t="str">
            <v>ACQ1C90</v>
          </cell>
        </row>
        <row r="5866">
          <cell r="C5866" t="str">
            <v>ACR1271</v>
          </cell>
          <cell r="D5866" t="str">
            <v>ACR1271</v>
          </cell>
        </row>
        <row r="5867">
          <cell r="C5867" t="str">
            <v>ACR1866</v>
          </cell>
          <cell r="D5867" t="str">
            <v>ACR1866</v>
          </cell>
        </row>
        <row r="5868">
          <cell r="C5868" t="str">
            <v>ACR1D16</v>
          </cell>
          <cell r="D5868" t="str">
            <v>ACR1D16</v>
          </cell>
        </row>
        <row r="5869">
          <cell r="C5869" t="str">
            <v>ACT3569</v>
          </cell>
          <cell r="D5869" t="str">
            <v>ACT3569</v>
          </cell>
        </row>
        <row r="5870">
          <cell r="C5870" t="str">
            <v>ACT5534</v>
          </cell>
          <cell r="D5870" t="str">
            <v>ACT5534</v>
          </cell>
        </row>
        <row r="5871">
          <cell r="C5871" t="str">
            <v>ACV1004</v>
          </cell>
          <cell r="D5871" t="str">
            <v>ACV1004</v>
          </cell>
        </row>
        <row r="5872">
          <cell r="C5872" t="str">
            <v>ACV3157</v>
          </cell>
          <cell r="D5872" t="str">
            <v>ACV3157</v>
          </cell>
        </row>
        <row r="5873">
          <cell r="C5873" t="str">
            <v>ACV6E63</v>
          </cell>
          <cell r="D5873" t="str">
            <v>ACV6E63</v>
          </cell>
        </row>
        <row r="5874">
          <cell r="C5874" t="str">
            <v>ACV8462</v>
          </cell>
          <cell r="D5874" t="str">
            <v>ACV8462</v>
          </cell>
        </row>
        <row r="5875">
          <cell r="C5875" t="str">
            <v>ACW0539</v>
          </cell>
          <cell r="D5875" t="str">
            <v>ACW0539</v>
          </cell>
        </row>
        <row r="5876">
          <cell r="C5876" t="str">
            <v>ACW0559</v>
          </cell>
          <cell r="D5876" t="str">
            <v>ACW0559</v>
          </cell>
        </row>
        <row r="5877">
          <cell r="C5877" t="str">
            <v>ACW1290</v>
          </cell>
          <cell r="D5877" t="str">
            <v>ACW1290</v>
          </cell>
        </row>
        <row r="5878">
          <cell r="C5878" t="str">
            <v>ACW5E26</v>
          </cell>
          <cell r="D5878" t="str">
            <v>ACW5E26</v>
          </cell>
        </row>
        <row r="5879">
          <cell r="C5879" t="str">
            <v>ACW5E76</v>
          </cell>
          <cell r="D5879" t="str">
            <v>ACW5E76</v>
          </cell>
        </row>
        <row r="5880">
          <cell r="C5880" t="str">
            <v>ACW9449</v>
          </cell>
          <cell r="D5880" t="str">
            <v>ACW9449</v>
          </cell>
        </row>
        <row r="5881">
          <cell r="C5881" t="str">
            <v>ACX1164</v>
          </cell>
          <cell r="D5881" t="str">
            <v>ACX1164</v>
          </cell>
        </row>
        <row r="5882">
          <cell r="C5882" t="str">
            <v>ACX1680</v>
          </cell>
          <cell r="D5882" t="str">
            <v>ACX1680</v>
          </cell>
        </row>
        <row r="5883">
          <cell r="C5883" t="str">
            <v>ACX1E17</v>
          </cell>
          <cell r="D5883" t="str">
            <v>ACX1E17</v>
          </cell>
        </row>
        <row r="5884">
          <cell r="C5884" t="str">
            <v>ACX9417</v>
          </cell>
          <cell r="D5884" t="str">
            <v>ACX9417</v>
          </cell>
        </row>
        <row r="5885">
          <cell r="C5885" t="str">
            <v>ACY1439</v>
          </cell>
          <cell r="D5885" t="str">
            <v>ACY1439</v>
          </cell>
        </row>
        <row r="5886">
          <cell r="C5886" t="str">
            <v>ACY5864</v>
          </cell>
          <cell r="D5886" t="str">
            <v>ACY5864</v>
          </cell>
        </row>
        <row r="5887">
          <cell r="C5887" t="str">
            <v>ADA1635</v>
          </cell>
          <cell r="D5887" t="str">
            <v>ADA1635</v>
          </cell>
        </row>
        <row r="5888">
          <cell r="C5888" t="str">
            <v>ADA4633</v>
          </cell>
          <cell r="D5888" t="str">
            <v>ADA4633</v>
          </cell>
        </row>
        <row r="5889">
          <cell r="C5889" t="str">
            <v>ADA4G76</v>
          </cell>
          <cell r="D5889" t="str">
            <v>ADA4G76</v>
          </cell>
        </row>
        <row r="5890">
          <cell r="C5890" t="str">
            <v>ADA7916</v>
          </cell>
          <cell r="D5890" t="str">
            <v>ADA7916</v>
          </cell>
        </row>
        <row r="5891">
          <cell r="C5891" t="str">
            <v>ADA9184</v>
          </cell>
          <cell r="D5891" t="str">
            <v>ADA9184</v>
          </cell>
        </row>
        <row r="5892">
          <cell r="C5892" t="str">
            <v>ADB0765</v>
          </cell>
          <cell r="D5892" t="str">
            <v>ADB0765</v>
          </cell>
        </row>
        <row r="5893">
          <cell r="C5893" t="str">
            <v>ADB7253</v>
          </cell>
          <cell r="D5893" t="str">
            <v>ADB7253</v>
          </cell>
        </row>
        <row r="5894">
          <cell r="C5894" t="str">
            <v>ADB9H82</v>
          </cell>
          <cell r="D5894" t="str">
            <v>ADB9H82</v>
          </cell>
        </row>
        <row r="5895">
          <cell r="C5895" t="str">
            <v>ADC2053</v>
          </cell>
          <cell r="D5895" t="str">
            <v>ADC2053</v>
          </cell>
        </row>
        <row r="5896">
          <cell r="C5896" t="str">
            <v>ADC2C34</v>
          </cell>
          <cell r="D5896" t="str">
            <v>ADC2C34</v>
          </cell>
        </row>
        <row r="5897">
          <cell r="C5897" t="str">
            <v>ADC4994</v>
          </cell>
          <cell r="D5897" t="str">
            <v>ADC4994</v>
          </cell>
        </row>
        <row r="5898">
          <cell r="C5898" t="str">
            <v>ADC8740</v>
          </cell>
          <cell r="D5898" t="str">
            <v>ADC8740</v>
          </cell>
        </row>
        <row r="5899">
          <cell r="C5899" t="str">
            <v>ADE0250</v>
          </cell>
          <cell r="D5899" t="str">
            <v>ADE0250</v>
          </cell>
        </row>
        <row r="5900">
          <cell r="C5900" t="str">
            <v>ADE2746</v>
          </cell>
          <cell r="D5900" t="str">
            <v>ADE2746</v>
          </cell>
        </row>
        <row r="5901">
          <cell r="C5901" t="str">
            <v>ADE4230</v>
          </cell>
          <cell r="D5901" t="str">
            <v>ADE4230</v>
          </cell>
        </row>
        <row r="5902">
          <cell r="C5902" t="str">
            <v>ADE4C30</v>
          </cell>
          <cell r="D5902" t="str">
            <v>ADE4C30</v>
          </cell>
        </row>
        <row r="5903">
          <cell r="C5903" t="str">
            <v>ADE7106</v>
          </cell>
          <cell r="D5903" t="str">
            <v>ADE7106</v>
          </cell>
        </row>
        <row r="5904">
          <cell r="C5904" t="str">
            <v>ADE7149</v>
          </cell>
          <cell r="D5904" t="str">
            <v>ADE7149</v>
          </cell>
        </row>
        <row r="5905">
          <cell r="C5905" t="str">
            <v>ADE7725</v>
          </cell>
          <cell r="D5905" t="str">
            <v>ADE7725</v>
          </cell>
        </row>
        <row r="5906">
          <cell r="C5906" t="str">
            <v>ADF1395</v>
          </cell>
          <cell r="D5906" t="str">
            <v>ADF1395</v>
          </cell>
        </row>
        <row r="5907">
          <cell r="C5907" t="str">
            <v>ADF1508</v>
          </cell>
          <cell r="D5907" t="str">
            <v>ADF1508</v>
          </cell>
        </row>
        <row r="5908">
          <cell r="C5908" t="str">
            <v>ADF2126</v>
          </cell>
          <cell r="D5908" t="str">
            <v>ADF2126</v>
          </cell>
        </row>
        <row r="5909">
          <cell r="C5909" t="str">
            <v>ADF3258</v>
          </cell>
          <cell r="D5909" t="str">
            <v>ADF3258</v>
          </cell>
        </row>
        <row r="5910">
          <cell r="C5910" t="str">
            <v>ADF4043</v>
          </cell>
          <cell r="D5910" t="str">
            <v>ADF4043</v>
          </cell>
        </row>
        <row r="5911">
          <cell r="C5911" t="str">
            <v>ADF7971</v>
          </cell>
          <cell r="D5911" t="str">
            <v>ADF7971</v>
          </cell>
        </row>
        <row r="5912">
          <cell r="C5912" t="str">
            <v>ADF9161</v>
          </cell>
          <cell r="D5912" t="str">
            <v>ADF9161</v>
          </cell>
        </row>
        <row r="5913">
          <cell r="C5913" t="str">
            <v>ADG8371</v>
          </cell>
          <cell r="D5913" t="str">
            <v>ADG8371</v>
          </cell>
        </row>
        <row r="5914">
          <cell r="C5914" t="str">
            <v>ADG8995</v>
          </cell>
          <cell r="D5914" t="str">
            <v>ADG8995</v>
          </cell>
        </row>
        <row r="5915">
          <cell r="C5915" t="str">
            <v>ADH0712</v>
          </cell>
          <cell r="D5915" t="str">
            <v>ADH0712</v>
          </cell>
        </row>
        <row r="5916">
          <cell r="C5916" t="str">
            <v>ADH4517</v>
          </cell>
          <cell r="D5916" t="str">
            <v>ADH4517</v>
          </cell>
        </row>
        <row r="5917">
          <cell r="C5917" t="str">
            <v>ADH6469</v>
          </cell>
          <cell r="D5917" t="str">
            <v>ADH6469</v>
          </cell>
        </row>
        <row r="5918">
          <cell r="C5918" t="str">
            <v>ADH7760</v>
          </cell>
          <cell r="D5918" t="str">
            <v>ADH7760</v>
          </cell>
        </row>
        <row r="5919">
          <cell r="C5919" t="str">
            <v>ADH9672</v>
          </cell>
          <cell r="D5919" t="str">
            <v>ADH9672</v>
          </cell>
        </row>
        <row r="5920">
          <cell r="C5920" t="str">
            <v>ADI6466</v>
          </cell>
          <cell r="D5920" t="str">
            <v>ADI6466</v>
          </cell>
        </row>
        <row r="5921">
          <cell r="C5921" t="str">
            <v>ADJ1369</v>
          </cell>
          <cell r="D5921" t="str">
            <v>ADJ1369</v>
          </cell>
        </row>
        <row r="5922">
          <cell r="C5922" t="str">
            <v>ADK5261</v>
          </cell>
          <cell r="D5922" t="str">
            <v>ADK5261</v>
          </cell>
        </row>
        <row r="5923">
          <cell r="C5923" t="str">
            <v>ADK7H57</v>
          </cell>
          <cell r="D5923" t="str">
            <v>ADK7H57</v>
          </cell>
        </row>
        <row r="5924">
          <cell r="C5924" t="str">
            <v>ADK8468</v>
          </cell>
          <cell r="D5924" t="str">
            <v>ADK8468</v>
          </cell>
        </row>
        <row r="5925">
          <cell r="C5925" t="str">
            <v>ADK8E68</v>
          </cell>
          <cell r="D5925" t="str">
            <v>ADK8E68</v>
          </cell>
        </row>
        <row r="5926">
          <cell r="C5926" t="str">
            <v>ADL0813</v>
          </cell>
          <cell r="D5926" t="str">
            <v>ADL0813</v>
          </cell>
        </row>
        <row r="5927">
          <cell r="C5927" t="str">
            <v>ADL2J56</v>
          </cell>
          <cell r="D5927" t="str">
            <v>ADL2J56</v>
          </cell>
        </row>
        <row r="5928">
          <cell r="C5928" t="str">
            <v>ADL5B42</v>
          </cell>
          <cell r="D5928" t="str">
            <v>ADL5B42</v>
          </cell>
        </row>
        <row r="5929">
          <cell r="C5929" t="str">
            <v>ADL7485</v>
          </cell>
          <cell r="D5929" t="str">
            <v>ADL7485</v>
          </cell>
        </row>
        <row r="5930">
          <cell r="C5930" t="str">
            <v>ADL9254</v>
          </cell>
          <cell r="D5930" t="str">
            <v>ADL9254</v>
          </cell>
        </row>
        <row r="5931">
          <cell r="C5931" t="str">
            <v>ADL9860</v>
          </cell>
          <cell r="D5931" t="str">
            <v>ADL9860</v>
          </cell>
        </row>
        <row r="5932">
          <cell r="C5932" t="str">
            <v>ADL9E56</v>
          </cell>
          <cell r="D5932" t="str">
            <v>ADL9E56</v>
          </cell>
        </row>
        <row r="5933">
          <cell r="C5933" t="str">
            <v>ADM1271</v>
          </cell>
          <cell r="D5933" t="str">
            <v>ADM1271</v>
          </cell>
        </row>
        <row r="5934">
          <cell r="C5934" t="str">
            <v>ADM2875</v>
          </cell>
          <cell r="D5934" t="str">
            <v>ADM2875</v>
          </cell>
        </row>
        <row r="5935">
          <cell r="C5935" t="str">
            <v>ADM3205</v>
          </cell>
          <cell r="D5935" t="str">
            <v>ADM3205</v>
          </cell>
        </row>
        <row r="5936">
          <cell r="C5936" t="str">
            <v>ADM7421</v>
          </cell>
          <cell r="D5936" t="str">
            <v>ADM7421</v>
          </cell>
        </row>
        <row r="5937">
          <cell r="C5937" t="str">
            <v>ADN2875</v>
          </cell>
          <cell r="D5937" t="str">
            <v>ADN2875</v>
          </cell>
        </row>
        <row r="5938">
          <cell r="C5938" t="str">
            <v>ADN6135</v>
          </cell>
          <cell r="D5938" t="str">
            <v>ADN6135</v>
          </cell>
        </row>
        <row r="5939">
          <cell r="C5939" t="str">
            <v>ADO2198</v>
          </cell>
          <cell r="D5939" t="str">
            <v>ADO2198</v>
          </cell>
        </row>
        <row r="5940">
          <cell r="C5940" t="str">
            <v>ADO7061</v>
          </cell>
          <cell r="D5940" t="str">
            <v>ADO7061</v>
          </cell>
        </row>
        <row r="5941">
          <cell r="C5941" t="str">
            <v>ADO7794</v>
          </cell>
          <cell r="D5941" t="str">
            <v>ADO7794</v>
          </cell>
        </row>
        <row r="5942">
          <cell r="C5942" t="str">
            <v>ADO9932</v>
          </cell>
          <cell r="D5942" t="str">
            <v>ADO9932</v>
          </cell>
        </row>
        <row r="5943">
          <cell r="C5943" t="str">
            <v>ADP8435</v>
          </cell>
          <cell r="D5943" t="str">
            <v>ADP8435</v>
          </cell>
        </row>
        <row r="5944">
          <cell r="C5944" t="str">
            <v>ADQ1158</v>
          </cell>
          <cell r="D5944" t="str">
            <v>ADQ1158</v>
          </cell>
        </row>
        <row r="5945">
          <cell r="C5945" t="str">
            <v>ADQ5089</v>
          </cell>
          <cell r="D5945" t="str">
            <v>ADQ5089</v>
          </cell>
        </row>
        <row r="5946">
          <cell r="C5946" t="str">
            <v>ADR0386</v>
          </cell>
          <cell r="D5946" t="str">
            <v>ADR0386</v>
          </cell>
        </row>
        <row r="5947">
          <cell r="C5947" t="str">
            <v>ADR2I41</v>
          </cell>
          <cell r="D5947" t="str">
            <v>ADR2I41</v>
          </cell>
        </row>
        <row r="5948">
          <cell r="C5948" t="str">
            <v>ADR4335</v>
          </cell>
          <cell r="D5948" t="str">
            <v>ADR4335</v>
          </cell>
        </row>
        <row r="5949">
          <cell r="C5949" t="str">
            <v>ADT1H40</v>
          </cell>
          <cell r="D5949" t="str">
            <v>ADT1H40</v>
          </cell>
        </row>
        <row r="5950">
          <cell r="C5950" t="str">
            <v>ADV1C66</v>
          </cell>
          <cell r="D5950" t="str">
            <v>ADV1C66</v>
          </cell>
        </row>
        <row r="5951">
          <cell r="C5951" t="str">
            <v>ADW2067</v>
          </cell>
          <cell r="D5951" t="str">
            <v>ADW2067</v>
          </cell>
        </row>
        <row r="5952">
          <cell r="C5952" t="str">
            <v>ADW4487</v>
          </cell>
          <cell r="D5952" t="str">
            <v>ADW4487</v>
          </cell>
        </row>
        <row r="5953">
          <cell r="C5953" t="str">
            <v>ADW4835</v>
          </cell>
          <cell r="D5953" t="str">
            <v>ADW4835</v>
          </cell>
        </row>
        <row r="5954">
          <cell r="C5954" t="str">
            <v>ADW4836</v>
          </cell>
          <cell r="D5954" t="str">
            <v>ADW4836</v>
          </cell>
        </row>
        <row r="5955">
          <cell r="C5955" t="str">
            <v>ADW5038</v>
          </cell>
          <cell r="D5955" t="str">
            <v>ADW5038</v>
          </cell>
        </row>
        <row r="5956">
          <cell r="C5956" t="str">
            <v>ADW5442</v>
          </cell>
          <cell r="D5956" t="str">
            <v>ADW5442</v>
          </cell>
        </row>
        <row r="5957">
          <cell r="C5957" t="str">
            <v>ADW6204</v>
          </cell>
          <cell r="D5957" t="str">
            <v>ADW6204</v>
          </cell>
        </row>
        <row r="5958">
          <cell r="C5958" t="str">
            <v>ADX3702</v>
          </cell>
          <cell r="D5958" t="str">
            <v>ADX3702</v>
          </cell>
        </row>
        <row r="5959">
          <cell r="C5959" t="str">
            <v>ADX5145</v>
          </cell>
          <cell r="D5959" t="str">
            <v>ADX5145</v>
          </cell>
        </row>
        <row r="5960">
          <cell r="C5960" t="str">
            <v>ADX5845</v>
          </cell>
          <cell r="D5960" t="str">
            <v>ADX5845</v>
          </cell>
        </row>
        <row r="5961">
          <cell r="C5961" t="str">
            <v>ADX9728</v>
          </cell>
          <cell r="D5961" t="str">
            <v>ADX9728</v>
          </cell>
        </row>
        <row r="5962">
          <cell r="C5962" t="str">
            <v>ADY0386</v>
          </cell>
          <cell r="D5962" t="str">
            <v>ADY0386</v>
          </cell>
        </row>
        <row r="5963">
          <cell r="C5963" t="str">
            <v>ADY0570</v>
          </cell>
          <cell r="D5963" t="str">
            <v>ADY0570</v>
          </cell>
        </row>
        <row r="5964">
          <cell r="C5964" t="str">
            <v>ADY5438</v>
          </cell>
          <cell r="D5964" t="str">
            <v>ADY5438</v>
          </cell>
        </row>
        <row r="5965">
          <cell r="C5965" t="str">
            <v>ADY6203</v>
          </cell>
          <cell r="D5965" t="str">
            <v>ADY6203</v>
          </cell>
        </row>
        <row r="5966">
          <cell r="C5966" t="str">
            <v>ADY8929</v>
          </cell>
          <cell r="D5966" t="str">
            <v>ADY8929</v>
          </cell>
        </row>
        <row r="5967">
          <cell r="C5967" t="str">
            <v>ADZ0280</v>
          </cell>
          <cell r="D5967" t="str">
            <v>ADZ0280</v>
          </cell>
        </row>
        <row r="5968">
          <cell r="C5968" t="str">
            <v>ADZ0390</v>
          </cell>
          <cell r="D5968" t="str">
            <v>ADZ0390</v>
          </cell>
        </row>
        <row r="5969">
          <cell r="C5969" t="str">
            <v>AEB0B50</v>
          </cell>
          <cell r="D5969" t="str">
            <v>AEB0B50</v>
          </cell>
        </row>
        <row r="5970">
          <cell r="C5970" t="str">
            <v>AEB3368</v>
          </cell>
          <cell r="D5970" t="str">
            <v>AEB3368</v>
          </cell>
        </row>
        <row r="5971">
          <cell r="C5971" t="str">
            <v>AEB3917</v>
          </cell>
          <cell r="D5971" t="str">
            <v>AEB3917</v>
          </cell>
        </row>
        <row r="5972">
          <cell r="C5972" t="str">
            <v>AEB6C11</v>
          </cell>
          <cell r="D5972" t="str">
            <v>AEB6C11</v>
          </cell>
        </row>
        <row r="5973">
          <cell r="C5973" t="str">
            <v>AEB8797</v>
          </cell>
          <cell r="D5973" t="str">
            <v>AEB8797</v>
          </cell>
        </row>
        <row r="5974">
          <cell r="C5974" t="str">
            <v>AEC4803</v>
          </cell>
          <cell r="D5974" t="str">
            <v>AEC4803</v>
          </cell>
        </row>
        <row r="5975">
          <cell r="C5975" t="str">
            <v>AEC7519</v>
          </cell>
          <cell r="D5975" t="str">
            <v>AEC7519</v>
          </cell>
        </row>
        <row r="5976">
          <cell r="C5976" t="str">
            <v>AED7786</v>
          </cell>
          <cell r="D5976" t="str">
            <v>AED7786</v>
          </cell>
        </row>
        <row r="5977">
          <cell r="C5977" t="str">
            <v>AEE1253</v>
          </cell>
          <cell r="D5977" t="str">
            <v>AEE1253</v>
          </cell>
        </row>
        <row r="5978">
          <cell r="C5978" t="str">
            <v>AEE4874</v>
          </cell>
          <cell r="D5978" t="str">
            <v>AEE4874</v>
          </cell>
        </row>
        <row r="5979">
          <cell r="C5979" t="str">
            <v>AEF8642</v>
          </cell>
          <cell r="D5979" t="str">
            <v>AEF8642</v>
          </cell>
        </row>
        <row r="5980">
          <cell r="C5980" t="str">
            <v>AEG0451</v>
          </cell>
          <cell r="D5980" t="str">
            <v>AEG0451</v>
          </cell>
        </row>
        <row r="5981">
          <cell r="C5981" t="str">
            <v>AEG1040</v>
          </cell>
          <cell r="D5981" t="str">
            <v>AEG1040</v>
          </cell>
        </row>
        <row r="5982">
          <cell r="C5982" t="str">
            <v>AEG2A74</v>
          </cell>
          <cell r="D5982" t="str">
            <v>AEG2A74</v>
          </cell>
        </row>
        <row r="5983">
          <cell r="C5983" t="str">
            <v>AEG3836</v>
          </cell>
          <cell r="D5983" t="str">
            <v>AEG3836</v>
          </cell>
        </row>
        <row r="5984">
          <cell r="C5984" t="str">
            <v>AEH1365</v>
          </cell>
          <cell r="D5984" t="str">
            <v>AEH1365</v>
          </cell>
        </row>
        <row r="5985">
          <cell r="C5985" t="str">
            <v>AEH1A83</v>
          </cell>
          <cell r="D5985" t="str">
            <v>AEH1A83</v>
          </cell>
        </row>
        <row r="5986">
          <cell r="C5986" t="str">
            <v>AEH6299</v>
          </cell>
          <cell r="D5986" t="str">
            <v>AEH6299</v>
          </cell>
        </row>
        <row r="5987">
          <cell r="C5987" t="str">
            <v>AEH7598</v>
          </cell>
          <cell r="D5987" t="str">
            <v>AEH7598</v>
          </cell>
        </row>
        <row r="5988">
          <cell r="C5988" t="str">
            <v>AEH9282</v>
          </cell>
          <cell r="D5988" t="str">
            <v>AEH9282</v>
          </cell>
        </row>
        <row r="5989">
          <cell r="C5989" t="str">
            <v>AEH9829</v>
          </cell>
          <cell r="D5989" t="str">
            <v>AEH9829</v>
          </cell>
        </row>
        <row r="5990">
          <cell r="C5990" t="str">
            <v>AEI0J85</v>
          </cell>
          <cell r="D5990" t="str">
            <v>AEI0J85</v>
          </cell>
        </row>
        <row r="5991">
          <cell r="C5991" t="str">
            <v>AEJ2341</v>
          </cell>
          <cell r="D5991" t="str">
            <v>AEJ2341</v>
          </cell>
        </row>
        <row r="5992">
          <cell r="C5992" t="str">
            <v>AEJ5254</v>
          </cell>
          <cell r="D5992" t="str">
            <v>AEJ5254</v>
          </cell>
        </row>
        <row r="5993">
          <cell r="C5993" t="str">
            <v>AEK2054</v>
          </cell>
          <cell r="D5993" t="str">
            <v>AEK2054</v>
          </cell>
        </row>
        <row r="5994">
          <cell r="C5994" t="str">
            <v>AEK8947</v>
          </cell>
          <cell r="D5994" t="str">
            <v>AEK8947</v>
          </cell>
        </row>
        <row r="5995">
          <cell r="C5995" t="str">
            <v>AEN1E57</v>
          </cell>
          <cell r="D5995" t="str">
            <v>AEN1E57</v>
          </cell>
        </row>
        <row r="5996">
          <cell r="C5996" t="str">
            <v>AEN3380</v>
          </cell>
          <cell r="D5996" t="str">
            <v>AEN3380</v>
          </cell>
        </row>
        <row r="5997">
          <cell r="C5997" t="str">
            <v>AEN3433</v>
          </cell>
          <cell r="D5997" t="str">
            <v>AEN3433</v>
          </cell>
        </row>
        <row r="5998">
          <cell r="C5998" t="str">
            <v>AEN3733</v>
          </cell>
          <cell r="D5998" t="str">
            <v>AEN3733</v>
          </cell>
        </row>
        <row r="5999">
          <cell r="C5999" t="str">
            <v>AEN8B47</v>
          </cell>
          <cell r="D5999" t="str">
            <v>AEN8B47</v>
          </cell>
        </row>
        <row r="6000">
          <cell r="C6000" t="str">
            <v>AEO4128</v>
          </cell>
          <cell r="D6000" t="str">
            <v>AEO4128</v>
          </cell>
        </row>
        <row r="6001">
          <cell r="C6001" t="str">
            <v>AEO4500</v>
          </cell>
          <cell r="D6001" t="str">
            <v>AEO4500</v>
          </cell>
        </row>
        <row r="6002">
          <cell r="C6002" t="str">
            <v>AEO6199</v>
          </cell>
          <cell r="D6002" t="str">
            <v>AEO6199</v>
          </cell>
        </row>
        <row r="6003">
          <cell r="C6003" t="str">
            <v>AEO8599</v>
          </cell>
          <cell r="D6003" t="str">
            <v>AEO8599</v>
          </cell>
        </row>
        <row r="6004">
          <cell r="C6004" t="str">
            <v>AEQ2054</v>
          </cell>
          <cell r="D6004" t="str">
            <v>AEQ2054</v>
          </cell>
        </row>
        <row r="6005">
          <cell r="C6005" t="str">
            <v>AEQ3634</v>
          </cell>
          <cell r="D6005" t="str">
            <v>AEQ3634</v>
          </cell>
        </row>
        <row r="6006">
          <cell r="C6006" t="str">
            <v>AEQ6541</v>
          </cell>
          <cell r="D6006" t="str">
            <v>AEQ6541</v>
          </cell>
        </row>
        <row r="6007">
          <cell r="C6007" t="str">
            <v>AEQ8634</v>
          </cell>
          <cell r="D6007" t="str">
            <v>AEQ8634</v>
          </cell>
        </row>
        <row r="6008">
          <cell r="C6008" t="str">
            <v>AER7504</v>
          </cell>
          <cell r="D6008" t="str">
            <v>AER7504</v>
          </cell>
        </row>
        <row r="6009">
          <cell r="C6009" t="str">
            <v>AER7H61</v>
          </cell>
          <cell r="D6009" t="str">
            <v>AER7H61</v>
          </cell>
        </row>
        <row r="6010">
          <cell r="C6010" t="str">
            <v>AER8071</v>
          </cell>
          <cell r="D6010" t="str">
            <v>AER8071</v>
          </cell>
        </row>
        <row r="6011">
          <cell r="C6011" t="str">
            <v>AER8E04</v>
          </cell>
          <cell r="D6011" t="str">
            <v>AER8E04</v>
          </cell>
        </row>
        <row r="6012">
          <cell r="C6012" t="str">
            <v>AES0718</v>
          </cell>
          <cell r="D6012" t="str">
            <v>AES0718</v>
          </cell>
        </row>
        <row r="6013">
          <cell r="C6013" t="str">
            <v>AES9530</v>
          </cell>
          <cell r="D6013" t="str">
            <v>AES9530</v>
          </cell>
        </row>
        <row r="6014">
          <cell r="C6014" t="str">
            <v>AES9990</v>
          </cell>
          <cell r="D6014" t="str">
            <v>AES9990</v>
          </cell>
        </row>
        <row r="6015">
          <cell r="C6015" t="str">
            <v>AET6447</v>
          </cell>
          <cell r="D6015" t="str">
            <v>AET6447</v>
          </cell>
        </row>
        <row r="6016">
          <cell r="C6016" t="str">
            <v>AET9942</v>
          </cell>
          <cell r="D6016" t="str">
            <v>AET9942</v>
          </cell>
        </row>
        <row r="6017">
          <cell r="C6017" t="str">
            <v>AEU4353</v>
          </cell>
          <cell r="D6017" t="str">
            <v>AEU4353</v>
          </cell>
        </row>
        <row r="6018">
          <cell r="C6018" t="str">
            <v>AEU7478</v>
          </cell>
          <cell r="D6018" t="str">
            <v>AEU7478</v>
          </cell>
        </row>
        <row r="6019">
          <cell r="C6019" t="str">
            <v>AEU7E78</v>
          </cell>
          <cell r="D6019" t="str">
            <v>AEU7E78</v>
          </cell>
        </row>
        <row r="6020">
          <cell r="C6020" t="str">
            <v>AEU8043</v>
          </cell>
          <cell r="D6020" t="str">
            <v>AEU8043</v>
          </cell>
        </row>
        <row r="6021">
          <cell r="C6021" t="str">
            <v>AEV4413</v>
          </cell>
          <cell r="D6021" t="str">
            <v>AEV4413</v>
          </cell>
        </row>
        <row r="6022">
          <cell r="C6022" t="str">
            <v>AEV5973</v>
          </cell>
          <cell r="D6022" t="str">
            <v>AEV5973</v>
          </cell>
        </row>
        <row r="6023">
          <cell r="C6023" t="str">
            <v>AEW0458</v>
          </cell>
          <cell r="D6023" t="str">
            <v>AEW0458</v>
          </cell>
        </row>
        <row r="6024">
          <cell r="C6024" t="str">
            <v>AEW2324</v>
          </cell>
          <cell r="D6024" t="str">
            <v>AEW2324</v>
          </cell>
        </row>
        <row r="6025">
          <cell r="C6025" t="str">
            <v>AEW4273</v>
          </cell>
          <cell r="D6025" t="str">
            <v>AEW4273</v>
          </cell>
        </row>
        <row r="6026">
          <cell r="C6026" t="str">
            <v>AEW6H83</v>
          </cell>
          <cell r="D6026" t="str">
            <v>AEW6H83</v>
          </cell>
        </row>
        <row r="6027">
          <cell r="C6027" t="str">
            <v>AEW8189</v>
          </cell>
          <cell r="D6027" t="str">
            <v>AEW8189</v>
          </cell>
        </row>
        <row r="6028">
          <cell r="C6028" t="str">
            <v>AEY0J85</v>
          </cell>
          <cell r="D6028" t="str">
            <v>AEY0J85</v>
          </cell>
        </row>
        <row r="6029">
          <cell r="C6029" t="str">
            <v>AEY1312</v>
          </cell>
          <cell r="D6029" t="str">
            <v>AEY1312</v>
          </cell>
        </row>
        <row r="6030">
          <cell r="C6030" t="str">
            <v>AEY5261</v>
          </cell>
          <cell r="D6030" t="str">
            <v>AEY5261</v>
          </cell>
        </row>
        <row r="6031">
          <cell r="C6031" t="str">
            <v>AEY9863</v>
          </cell>
          <cell r="D6031" t="str">
            <v>AEY9863</v>
          </cell>
        </row>
        <row r="6032">
          <cell r="C6032" t="str">
            <v>AEZ4176</v>
          </cell>
          <cell r="D6032" t="str">
            <v>AEZ4176</v>
          </cell>
        </row>
        <row r="6033">
          <cell r="C6033" t="str">
            <v>AF2637</v>
          </cell>
          <cell r="D6033" t="str">
            <v xml:space="preserve">AF2637 </v>
          </cell>
        </row>
        <row r="6034">
          <cell r="C6034" t="str">
            <v>AFA3482</v>
          </cell>
          <cell r="D6034" t="str">
            <v>AFA3482</v>
          </cell>
        </row>
        <row r="6035">
          <cell r="C6035" t="str">
            <v>AFA5259</v>
          </cell>
          <cell r="D6035" t="str">
            <v>AFA5259</v>
          </cell>
        </row>
        <row r="6036">
          <cell r="C6036" t="str">
            <v>AFA8492</v>
          </cell>
          <cell r="D6036" t="str">
            <v>AFA8492</v>
          </cell>
        </row>
        <row r="6037">
          <cell r="C6037" t="str">
            <v>AFB0793</v>
          </cell>
          <cell r="D6037" t="str">
            <v>AFB0793</v>
          </cell>
        </row>
        <row r="6038">
          <cell r="C6038" t="str">
            <v>AFB0794</v>
          </cell>
          <cell r="D6038" t="str">
            <v>AFB0794</v>
          </cell>
        </row>
        <row r="6039">
          <cell r="C6039" t="str">
            <v>AFB7872</v>
          </cell>
          <cell r="D6039" t="str">
            <v>AFB7872</v>
          </cell>
        </row>
        <row r="6040">
          <cell r="C6040" t="str">
            <v>AFC2034</v>
          </cell>
          <cell r="D6040" t="str">
            <v>AFC2034</v>
          </cell>
        </row>
        <row r="6041">
          <cell r="C6041" t="str">
            <v>AFC6930</v>
          </cell>
          <cell r="D6041" t="str">
            <v>AFC6930</v>
          </cell>
        </row>
        <row r="6042">
          <cell r="C6042" t="str">
            <v>AFD5231</v>
          </cell>
          <cell r="D6042" t="str">
            <v>AFD5231</v>
          </cell>
        </row>
        <row r="6043">
          <cell r="C6043" t="str">
            <v>AFE5193</v>
          </cell>
          <cell r="D6043" t="str">
            <v>AFE5193</v>
          </cell>
        </row>
        <row r="6044">
          <cell r="C6044" t="str">
            <v>AFE5205</v>
          </cell>
          <cell r="D6044" t="str">
            <v>AFE5205</v>
          </cell>
        </row>
        <row r="6045">
          <cell r="C6045" t="str">
            <v>AFE5B93</v>
          </cell>
          <cell r="D6045" t="str">
            <v>AFE5B93</v>
          </cell>
        </row>
        <row r="6046">
          <cell r="C6046" t="str">
            <v>AFE6251</v>
          </cell>
          <cell r="D6046" t="str">
            <v>AFE6251</v>
          </cell>
        </row>
        <row r="6047">
          <cell r="C6047" t="str">
            <v>AFE6423</v>
          </cell>
          <cell r="D6047" t="str">
            <v>AFE6423</v>
          </cell>
        </row>
        <row r="6048">
          <cell r="C6048" t="str">
            <v>AFF1553</v>
          </cell>
          <cell r="D6048" t="str">
            <v>AFF1553</v>
          </cell>
        </row>
        <row r="6049">
          <cell r="C6049" t="str">
            <v>AFF4575</v>
          </cell>
          <cell r="D6049" t="str">
            <v>AFF4575</v>
          </cell>
        </row>
        <row r="6050">
          <cell r="C6050" t="str">
            <v>AFF9702</v>
          </cell>
          <cell r="D6050" t="str">
            <v>AFF9702</v>
          </cell>
        </row>
        <row r="6051">
          <cell r="C6051" t="str">
            <v>AFG0821</v>
          </cell>
          <cell r="D6051" t="str">
            <v>AFG0821</v>
          </cell>
        </row>
        <row r="6052">
          <cell r="C6052" t="str">
            <v>AFG1998</v>
          </cell>
          <cell r="D6052" t="str">
            <v>AFG1998</v>
          </cell>
        </row>
        <row r="6053">
          <cell r="C6053" t="str">
            <v>AFG2849</v>
          </cell>
          <cell r="D6053" t="str">
            <v>AFG2849</v>
          </cell>
        </row>
        <row r="6054">
          <cell r="C6054" t="str">
            <v>AFH0A38</v>
          </cell>
          <cell r="D6054" t="str">
            <v>AFH0A38</v>
          </cell>
        </row>
        <row r="6055">
          <cell r="C6055" t="str">
            <v>AFH1B02</v>
          </cell>
          <cell r="D6055" t="str">
            <v>AFH1B02</v>
          </cell>
        </row>
        <row r="6056">
          <cell r="C6056" t="str">
            <v>AFH1B28</v>
          </cell>
          <cell r="D6056" t="str">
            <v>AFH1B28</v>
          </cell>
        </row>
        <row r="6057">
          <cell r="C6057" t="str">
            <v>AFH8534</v>
          </cell>
          <cell r="D6057" t="str">
            <v>AFH8534</v>
          </cell>
        </row>
        <row r="6058">
          <cell r="C6058" t="str">
            <v>AFI0764</v>
          </cell>
          <cell r="D6058" t="str">
            <v>AFI0764</v>
          </cell>
        </row>
        <row r="6059">
          <cell r="C6059" t="str">
            <v>AFI2452</v>
          </cell>
          <cell r="D6059" t="str">
            <v>AFI2452</v>
          </cell>
        </row>
        <row r="6060">
          <cell r="C6060" t="str">
            <v>AFI2E52</v>
          </cell>
          <cell r="D6060" t="str">
            <v>AFI2E52</v>
          </cell>
        </row>
        <row r="6061">
          <cell r="C6061" t="str">
            <v>AFI7H16</v>
          </cell>
          <cell r="D6061" t="str">
            <v>AFI7H16</v>
          </cell>
        </row>
        <row r="6062">
          <cell r="C6062" t="str">
            <v>AFI9603</v>
          </cell>
          <cell r="D6062" t="str">
            <v>AFI9603</v>
          </cell>
        </row>
        <row r="6063">
          <cell r="C6063" t="str">
            <v>AFJ4307</v>
          </cell>
          <cell r="D6063" t="str">
            <v>AFJ4307</v>
          </cell>
        </row>
        <row r="6064">
          <cell r="C6064" t="str">
            <v>AFJ7564</v>
          </cell>
          <cell r="D6064" t="str">
            <v>AFJ7564</v>
          </cell>
        </row>
        <row r="6065">
          <cell r="C6065" t="str">
            <v>AFK5A48</v>
          </cell>
          <cell r="D6065" t="str">
            <v>AFK5A48</v>
          </cell>
        </row>
        <row r="6066">
          <cell r="C6066" t="str">
            <v>AFK6639</v>
          </cell>
          <cell r="D6066" t="str">
            <v>AFK6639</v>
          </cell>
        </row>
        <row r="6067">
          <cell r="C6067" t="str">
            <v>AFK8426</v>
          </cell>
          <cell r="D6067" t="str">
            <v>AFK8426</v>
          </cell>
        </row>
        <row r="6068">
          <cell r="C6068" t="str">
            <v>AFK8890</v>
          </cell>
          <cell r="D6068" t="str">
            <v>AFK8890</v>
          </cell>
        </row>
        <row r="6069">
          <cell r="C6069" t="str">
            <v>AFL0871</v>
          </cell>
          <cell r="D6069" t="str">
            <v>AFL0871</v>
          </cell>
        </row>
        <row r="6070">
          <cell r="C6070" t="str">
            <v>AFL5451</v>
          </cell>
          <cell r="D6070" t="str">
            <v>AFL5451</v>
          </cell>
        </row>
        <row r="6071">
          <cell r="C6071" t="str">
            <v>AFN1G59</v>
          </cell>
          <cell r="D6071" t="str">
            <v>AFN1G59</v>
          </cell>
        </row>
        <row r="6072">
          <cell r="C6072" t="str">
            <v>AFN5000</v>
          </cell>
          <cell r="D6072" t="str">
            <v>AFN5000</v>
          </cell>
        </row>
        <row r="6073">
          <cell r="C6073" t="str">
            <v>AFN5651</v>
          </cell>
          <cell r="D6073" t="str">
            <v>AFN5651</v>
          </cell>
        </row>
        <row r="6074">
          <cell r="C6074" t="str">
            <v>AFN5G51</v>
          </cell>
          <cell r="D6074" t="str">
            <v>AFN5G51</v>
          </cell>
        </row>
        <row r="6075">
          <cell r="C6075" t="str">
            <v>AFN7393</v>
          </cell>
          <cell r="D6075" t="str">
            <v>AFN7393</v>
          </cell>
        </row>
        <row r="6076">
          <cell r="C6076" t="str">
            <v>AFN8J38</v>
          </cell>
          <cell r="D6076" t="str">
            <v>AFN8J38</v>
          </cell>
        </row>
        <row r="6077">
          <cell r="C6077" t="str">
            <v>AFO1626</v>
          </cell>
          <cell r="D6077" t="str">
            <v>AFO1626</v>
          </cell>
        </row>
        <row r="6078">
          <cell r="C6078" t="str">
            <v>AFO8830</v>
          </cell>
          <cell r="D6078" t="str">
            <v>AFO8830</v>
          </cell>
        </row>
        <row r="6079">
          <cell r="C6079" t="str">
            <v>AFP3H04</v>
          </cell>
          <cell r="D6079" t="str">
            <v>AFP3H04</v>
          </cell>
        </row>
        <row r="6080">
          <cell r="C6080" t="str">
            <v>AFP9417</v>
          </cell>
          <cell r="D6080" t="str">
            <v>AFP9417</v>
          </cell>
        </row>
        <row r="6081">
          <cell r="C6081" t="str">
            <v>AFQ5435</v>
          </cell>
          <cell r="D6081" t="str">
            <v>AFQ5435</v>
          </cell>
        </row>
        <row r="6082">
          <cell r="C6082" t="str">
            <v>AFQ9601</v>
          </cell>
          <cell r="D6082" t="str">
            <v>AFQ9601</v>
          </cell>
        </row>
        <row r="6083">
          <cell r="C6083" t="str">
            <v>AFT0217</v>
          </cell>
          <cell r="D6083" t="str">
            <v>AFT0217</v>
          </cell>
        </row>
        <row r="6084">
          <cell r="C6084" t="str">
            <v>AFT3823</v>
          </cell>
          <cell r="D6084" t="str">
            <v>AFT3823</v>
          </cell>
        </row>
        <row r="6085">
          <cell r="C6085" t="str">
            <v>AFT4008</v>
          </cell>
          <cell r="D6085" t="str">
            <v>AFT4008</v>
          </cell>
        </row>
        <row r="6086">
          <cell r="C6086" t="str">
            <v>AFT5231</v>
          </cell>
          <cell r="D6086" t="str">
            <v>AFT5231</v>
          </cell>
        </row>
        <row r="6087">
          <cell r="C6087" t="str">
            <v>AFU9215</v>
          </cell>
          <cell r="D6087" t="str">
            <v>AFU9215</v>
          </cell>
        </row>
        <row r="6088">
          <cell r="C6088" t="str">
            <v>AFV0165</v>
          </cell>
          <cell r="D6088" t="str">
            <v>AFV0165</v>
          </cell>
        </row>
        <row r="6089">
          <cell r="C6089" t="str">
            <v>AFV2922</v>
          </cell>
          <cell r="D6089" t="str">
            <v>AFV2922</v>
          </cell>
        </row>
        <row r="6090">
          <cell r="C6090" t="str">
            <v>AFV5660</v>
          </cell>
          <cell r="D6090" t="str">
            <v>AFV5660</v>
          </cell>
        </row>
        <row r="6091">
          <cell r="C6091" t="str">
            <v>AFV5813</v>
          </cell>
          <cell r="D6091" t="str">
            <v>AFV5813</v>
          </cell>
        </row>
        <row r="6092">
          <cell r="C6092" t="str">
            <v>AFW6388</v>
          </cell>
          <cell r="D6092" t="str">
            <v>AFW6388</v>
          </cell>
        </row>
        <row r="6093">
          <cell r="C6093" t="str">
            <v>AFW6585</v>
          </cell>
          <cell r="D6093" t="str">
            <v>AFW6585</v>
          </cell>
        </row>
        <row r="6094">
          <cell r="C6094" t="str">
            <v>AFX0940</v>
          </cell>
          <cell r="D6094" t="str">
            <v>AFX0940</v>
          </cell>
        </row>
        <row r="6095">
          <cell r="C6095" t="str">
            <v>AFX6J34</v>
          </cell>
          <cell r="D6095" t="str">
            <v>AFX6J34</v>
          </cell>
        </row>
        <row r="6096">
          <cell r="C6096" t="str">
            <v>AFX9180</v>
          </cell>
          <cell r="D6096" t="str">
            <v>AFX9180</v>
          </cell>
        </row>
        <row r="6097">
          <cell r="C6097" t="str">
            <v>AFY4518</v>
          </cell>
          <cell r="D6097" t="str">
            <v>AFY4518</v>
          </cell>
        </row>
        <row r="6098">
          <cell r="C6098" t="str">
            <v>AFY4984</v>
          </cell>
          <cell r="D6098" t="str">
            <v>AFY4984</v>
          </cell>
        </row>
        <row r="6099">
          <cell r="C6099" t="str">
            <v>AFY9180</v>
          </cell>
          <cell r="D6099" t="str">
            <v>AFY9180</v>
          </cell>
        </row>
        <row r="6100">
          <cell r="C6100" t="str">
            <v>AFZ3890</v>
          </cell>
          <cell r="D6100" t="str">
            <v>AFZ3890</v>
          </cell>
        </row>
        <row r="6101">
          <cell r="C6101" t="str">
            <v>AFZ6H07</v>
          </cell>
          <cell r="D6101" t="str">
            <v>AFZ6H07</v>
          </cell>
        </row>
        <row r="6102">
          <cell r="C6102" t="str">
            <v>AGA0D04</v>
          </cell>
          <cell r="D6102" t="str">
            <v>AGA0D04</v>
          </cell>
        </row>
        <row r="6103">
          <cell r="C6103" t="str">
            <v>AGA5848</v>
          </cell>
          <cell r="D6103" t="str">
            <v>AGA5848</v>
          </cell>
        </row>
        <row r="6104">
          <cell r="C6104" t="str">
            <v>AGB3158</v>
          </cell>
          <cell r="D6104" t="str">
            <v>AGB3158</v>
          </cell>
        </row>
        <row r="6105">
          <cell r="C6105" t="str">
            <v>AGB4193</v>
          </cell>
          <cell r="D6105" t="str">
            <v>AGB4193</v>
          </cell>
        </row>
        <row r="6106">
          <cell r="C6106" t="str">
            <v>AGB5806</v>
          </cell>
          <cell r="D6106" t="str">
            <v>AGB5806</v>
          </cell>
        </row>
        <row r="6107">
          <cell r="C6107" t="str">
            <v>AGB6806</v>
          </cell>
          <cell r="D6107" t="str">
            <v>AGB6806</v>
          </cell>
        </row>
        <row r="6108">
          <cell r="C6108" t="str">
            <v>AGB9598</v>
          </cell>
          <cell r="D6108" t="str">
            <v>AGB9598</v>
          </cell>
        </row>
        <row r="6109">
          <cell r="C6109" t="str">
            <v>AGC4C50</v>
          </cell>
          <cell r="D6109" t="str">
            <v>AGC4C50</v>
          </cell>
        </row>
        <row r="6110">
          <cell r="C6110" t="str">
            <v>AGE1210</v>
          </cell>
          <cell r="D6110" t="str">
            <v>AGE1210</v>
          </cell>
        </row>
        <row r="6111">
          <cell r="C6111" t="str">
            <v>AGF4677</v>
          </cell>
          <cell r="D6111" t="str">
            <v>AGF4677</v>
          </cell>
        </row>
        <row r="6112">
          <cell r="C6112" t="str">
            <v>AGF4J81</v>
          </cell>
          <cell r="D6112" t="str">
            <v>AGF4J81</v>
          </cell>
        </row>
        <row r="6113">
          <cell r="C6113" t="str">
            <v>AGG1311</v>
          </cell>
          <cell r="D6113" t="str">
            <v>AGG1311</v>
          </cell>
        </row>
        <row r="6114">
          <cell r="C6114" t="str">
            <v>AGG1678</v>
          </cell>
          <cell r="D6114" t="str">
            <v>AGG1678</v>
          </cell>
        </row>
        <row r="6115">
          <cell r="C6115" t="str">
            <v>AGG1D61</v>
          </cell>
          <cell r="D6115" t="str">
            <v>AGG1D61</v>
          </cell>
        </row>
        <row r="6116">
          <cell r="C6116" t="str">
            <v>AGH4282</v>
          </cell>
          <cell r="D6116" t="str">
            <v>AGH4282</v>
          </cell>
        </row>
        <row r="6117">
          <cell r="C6117" t="str">
            <v>AGJ3998</v>
          </cell>
          <cell r="D6117" t="str">
            <v>AGJ3998</v>
          </cell>
        </row>
        <row r="6118">
          <cell r="C6118" t="str">
            <v>AGJ9690</v>
          </cell>
          <cell r="D6118" t="str">
            <v>AGJ9690</v>
          </cell>
        </row>
        <row r="6119">
          <cell r="C6119" t="str">
            <v>AGK3945</v>
          </cell>
          <cell r="D6119" t="str">
            <v>AGK3945</v>
          </cell>
        </row>
        <row r="6120">
          <cell r="C6120" t="str">
            <v>AGK3E12</v>
          </cell>
          <cell r="D6120" t="str">
            <v>AGK3E12</v>
          </cell>
        </row>
        <row r="6121">
          <cell r="C6121" t="str">
            <v>AGK5656</v>
          </cell>
          <cell r="D6121" t="str">
            <v>AGK5656</v>
          </cell>
        </row>
        <row r="6122">
          <cell r="C6122" t="str">
            <v>AGK9184</v>
          </cell>
          <cell r="D6122" t="str">
            <v>AGK9184</v>
          </cell>
        </row>
        <row r="6123">
          <cell r="C6123" t="str">
            <v>AGM2609</v>
          </cell>
          <cell r="D6123" t="str">
            <v>AGM2609</v>
          </cell>
        </row>
        <row r="6124">
          <cell r="C6124" t="str">
            <v>AGM4261</v>
          </cell>
          <cell r="D6124" t="str">
            <v>AGM4261</v>
          </cell>
        </row>
        <row r="6125">
          <cell r="C6125" t="str">
            <v>AGM6618</v>
          </cell>
          <cell r="D6125" t="str">
            <v>AGM6618</v>
          </cell>
        </row>
        <row r="6126">
          <cell r="C6126" t="str">
            <v>AGN0F54</v>
          </cell>
          <cell r="D6126" t="str">
            <v>AGN0F54</v>
          </cell>
        </row>
        <row r="6127">
          <cell r="C6127" t="str">
            <v>AGN5124</v>
          </cell>
          <cell r="D6127" t="str">
            <v>AGN5124</v>
          </cell>
        </row>
        <row r="6128">
          <cell r="C6128" t="str">
            <v>AGN8611</v>
          </cell>
          <cell r="D6128" t="str">
            <v>AGN8611</v>
          </cell>
        </row>
        <row r="6129">
          <cell r="C6129" t="str">
            <v>AGN9161</v>
          </cell>
          <cell r="D6129" t="str">
            <v>AGN9161</v>
          </cell>
        </row>
        <row r="6130">
          <cell r="C6130">
            <v>1103977</v>
          </cell>
          <cell r="D6130">
            <v>1103977</v>
          </cell>
        </row>
        <row r="6131">
          <cell r="C6131">
            <v>1935634</v>
          </cell>
          <cell r="D6131">
            <v>1935634</v>
          </cell>
        </row>
        <row r="6132">
          <cell r="C6132">
            <v>2853854</v>
          </cell>
          <cell r="D6132">
            <v>2853854</v>
          </cell>
        </row>
        <row r="6133">
          <cell r="C6133" t="str">
            <v>AGO9H13</v>
          </cell>
          <cell r="D6133" t="str">
            <v>AGO9H13</v>
          </cell>
        </row>
        <row r="6134">
          <cell r="C6134" t="str">
            <v>AGP1A10</v>
          </cell>
          <cell r="D6134" t="str">
            <v>AGP1A10</v>
          </cell>
        </row>
        <row r="6135">
          <cell r="C6135" t="str">
            <v>AGP8542</v>
          </cell>
          <cell r="D6135" t="str">
            <v>AGP8542</v>
          </cell>
        </row>
        <row r="6136">
          <cell r="C6136" t="str">
            <v>AGQ0629</v>
          </cell>
          <cell r="D6136" t="str">
            <v>AGQ0629</v>
          </cell>
        </row>
        <row r="6137">
          <cell r="C6137" t="str">
            <v>AGR3919</v>
          </cell>
          <cell r="D6137" t="str">
            <v>AGR3919</v>
          </cell>
        </row>
        <row r="6138">
          <cell r="C6138" t="str">
            <v>AGS3001</v>
          </cell>
          <cell r="D6138" t="str">
            <v>AGS3001</v>
          </cell>
        </row>
        <row r="6139">
          <cell r="C6139" t="str">
            <v>AGS8055</v>
          </cell>
          <cell r="D6139" t="str">
            <v>AGS8055</v>
          </cell>
        </row>
        <row r="6140">
          <cell r="C6140" t="str">
            <v>AGU1902</v>
          </cell>
          <cell r="D6140" t="str">
            <v>AGU1902</v>
          </cell>
        </row>
        <row r="6141">
          <cell r="C6141" t="str">
            <v>AGU2188</v>
          </cell>
          <cell r="D6141" t="str">
            <v>AGU2188</v>
          </cell>
        </row>
        <row r="6142">
          <cell r="C6142" t="str">
            <v>AGU2H96</v>
          </cell>
          <cell r="D6142" t="str">
            <v>AGU2H96</v>
          </cell>
        </row>
        <row r="6143">
          <cell r="C6143" t="str">
            <v>AGU6C19</v>
          </cell>
          <cell r="D6143" t="str">
            <v>AGU6C19</v>
          </cell>
        </row>
        <row r="6144">
          <cell r="C6144" t="str">
            <v>AGU7823</v>
          </cell>
          <cell r="D6144" t="str">
            <v>AGU7823</v>
          </cell>
        </row>
        <row r="6145">
          <cell r="C6145" t="str">
            <v>AGW3J98</v>
          </cell>
          <cell r="D6145" t="str">
            <v>AGW3J98</v>
          </cell>
        </row>
        <row r="6146">
          <cell r="C6146" t="str">
            <v>AGW7166</v>
          </cell>
          <cell r="D6146" t="str">
            <v>AGW7166</v>
          </cell>
        </row>
        <row r="6147">
          <cell r="C6147" t="str">
            <v>AGW9812</v>
          </cell>
          <cell r="D6147" t="str">
            <v>AGW9812</v>
          </cell>
        </row>
        <row r="6148">
          <cell r="C6148" t="str">
            <v>AGY2683</v>
          </cell>
          <cell r="D6148" t="str">
            <v>AGY2683</v>
          </cell>
        </row>
        <row r="6149">
          <cell r="C6149" t="str">
            <v>AGY7270</v>
          </cell>
          <cell r="D6149" t="str">
            <v>AGY7270</v>
          </cell>
        </row>
        <row r="6150">
          <cell r="C6150" t="str">
            <v>AGY9930</v>
          </cell>
          <cell r="D6150" t="str">
            <v>AGY9930</v>
          </cell>
        </row>
        <row r="6151">
          <cell r="C6151" t="str">
            <v>AGZ5B40</v>
          </cell>
          <cell r="D6151" t="str">
            <v>AGZ5B40</v>
          </cell>
        </row>
        <row r="6152">
          <cell r="C6152" t="str">
            <v>AGZ6709</v>
          </cell>
          <cell r="D6152" t="str">
            <v>AGZ6709</v>
          </cell>
        </row>
        <row r="6153">
          <cell r="C6153" t="str">
            <v>AHA4F47</v>
          </cell>
          <cell r="D6153" t="str">
            <v>AHA4F47</v>
          </cell>
        </row>
        <row r="6154">
          <cell r="C6154" t="str">
            <v>AHB0A13</v>
          </cell>
          <cell r="D6154" t="str">
            <v>AHB0A13</v>
          </cell>
        </row>
        <row r="6155">
          <cell r="C6155" t="str">
            <v>AHB2E29</v>
          </cell>
          <cell r="D6155" t="str">
            <v>AHB2E29</v>
          </cell>
        </row>
        <row r="6156">
          <cell r="C6156" t="str">
            <v>AHB5028</v>
          </cell>
          <cell r="D6156" t="str">
            <v>AHB5028</v>
          </cell>
        </row>
        <row r="6157">
          <cell r="C6157" t="str">
            <v>AHC9187</v>
          </cell>
          <cell r="D6157" t="str">
            <v>AHC9187</v>
          </cell>
        </row>
        <row r="6158">
          <cell r="C6158" t="str">
            <v>AHD8878</v>
          </cell>
          <cell r="D6158" t="str">
            <v>AHD8878</v>
          </cell>
        </row>
        <row r="6159">
          <cell r="C6159" t="str">
            <v>AHE1177</v>
          </cell>
          <cell r="D6159" t="str">
            <v>AHE1177</v>
          </cell>
        </row>
        <row r="6160">
          <cell r="C6160" t="str">
            <v>AHE1B77</v>
          </cell>
          <cell r="D6160" t="str">
            <v>AHE1B77</v>
          </cell>
        </row>
        <row r="6161">
          <cell r="C6161" t="str">
            <v>AHE4509</v>
          </cell>
          <cell r="D6161" t="str">
            <v>AHE4509</v>
          </cell>
        </row>
        <row r="6162">
          <cell r="C6162" t="str">
            <v>AHE9124</v>
          </cell>
          <cell r="D6162" t="str">
            <v>AHE9124</v>
          </cell>
        </row>
        <row r="6163">
          <cell r="C6163" t="str">
            <v>AHF6646</v>
          </cell>
          <cell r="D6163" t="str">
            <v>AHF6646</v>
          </cell>
        </row>
        <row r="6164">
          <cell r="C6164" t="str">
            <v>AHF7528</v>
          </cell>
          <cell r="D6164" t="str">
            <v>AHF7528</v>
          </cell>
        </row>
        <row r="6165">
          <cell r="C6165" t="str">
            <v>AHF7750</v>
          </cell>
          <cell r="D6165" t="str">
            <v>AHF7750</v>
          </cell>
        </row>
        <row r="6166">
          <cell r="C6166" t="str">
            <v>AHF8528</v>
          </cell>
          <cell r="D6166" t="str">
            <v>AHF8528</v>
          </cell>
        </row>
        <row r="6167">
          <cell r="C6167" t="str">
            <v>AHH4547</v>
          </cell>
          <cell r="D6167" t="str">
            <v>AHH4547</v>
          </cell>
        </row>
        <row r="6168">
          <cell r="C6168" t="str">
            <v>AHH8324</v>
          </cell>
          <cell r="D6168" t="str">
            <v>AHH8324</v>
          </cell>
        </row>
        <row r="6169">
          <cell r="C6169" t="str">
            <v>AHI6317</v>
          </cell>
          <cell r="D6169" t="str">
            <v>AHI6317</v>
          </cell>
        </row>
        <row r="6170">
          <cell r="C6170" t="str">
            <v>AHI7528</v>
          </cell>
          <cell r="D6170" t="str">
            <v>AHI7528</v>
          </cell>
        </row>
        <row r="6171">
          <cell r="C6171" t="str">
            <v>AHI7795</v>
          </cell>
          <cell r="D6171" t="str">
            <v>AHI7795</v>
          </cell>
        </row>
        <row r="6172">
          <cell r="C6172" t="str">
            <v>AHJ1245</v>
          </cell>
          <cell r="D6172" t="str">
            <v>AHJ1245</v>
          </cell>
        </row>
        <row r="6173">
          <cell r="C6173" t="str">
            <v>AHJ2202</v>
          </cell>
          <cell r="D6173" t="str">
            <v>AHJ2202</v>
          </cell>
        </row>
        <row r="6174">
          <cell r="C6174" t="str">
            <v>AHJ9923</v>
          </cell>
          <cell r="D6174" t="str">
            <v>AHJ9923</v>
          </cell>
        </row>
        <row r="6175">
          <cell r="C6175" t="str">
            <v>AHK2920</v>
          </cell>
          <cell r="D6175" t="str">
            <v>AHK2920</v>
          </cell>
        </row>
        <row r="6176">
          <cell r="C6176" t="str">
            <v>AHK9109</v>
          </cell>
          <cell r="D6176" t="str">
            <v>AHK9109</v>
          </cell>
        </row>
        <row r="6177">
          <cell r="C6177" t="str">
            <v>AHL7266</v>
          </cell>
          <cell r="D6177" t="str">
            <v>AHL7266</v>
          </cell>
        </row>
        <row r="6178">
          <cell r="C6178" t="str">
            <v>AHN2038</v>
          </cell>
          <cell r="D6178" t="str">
            <v>AHN2038</v>
          </cell>
        </row>
        <row r="6179">
          <cell r="C6179" t="str">
            <v>AHN5027</v>
          </cell>
          <cell r="D6179" t="str">
            <v>AHN5027</v>
          </cell>
        </row>
        <row r="6180">
          <cell r="C6180" t="str">
            <v>AHN5212</v>
          </cell>
          <cell r="D6180" t="str">
            <v>AHN5212</v>
          </cell>
        </row>
        <row r="6181">
          <cell r="C6181" t="str">
            <v>AHN6514</v>
          </cell>
          <cell r="D6181" t="str">
            <v>AHN6514</v>
          </cell>
        </row>
        <row r="6182">
          <cell r="C6182" t="str">
            <v>AHO1546</v>
          </cell>
          <cell r="D6182" t="str">
            <v>AHO1546</v>
          </cell>
        </row>
        <row r="6183">
          <cell r="C6183" t="str">
            <v>AHO8206</v>
          </cell>
          <cell r="D6183" t="str">
            <v>AHO8206</v>
          </cell>
        </row>
        <row r="6184">
          <cell r="C6184" t="str">
            <v>AHO8659</v>
          </cell>
          <cell r="D6184" t="str">
            <v>AHO8659</v>
          </cell>
        </row>
        <row r="6185">
          <cell r="C6185" t="str">
            <v>AHP6252</v>
          </cell>
          <cell r="D6185" t="str">
            <v>AHP6252</v>
          </cell>
        </row>
        <row r="6186">
          <cell r="C6186" t="str">
            <v>AHP9570</v>
          </cell>
          <cell r="D6186" t="str">
            <v>AHP9570</v>
          </cell>
        </row>
        <row r="6187">
          <cell r="C6187" t="str">
            <v>AHQ0454</v>
          </cell>
          <cell r="D6187" t="str">
            <v>AHQ0454</v>
          </cell>
        </row>
        <row r="6188">
          <cell r="C6188" t="str">
            <v>AHQ0889</v>
          </cell>
          <cell r="D6188" t="str">
            <v>AHQ0889</v>
          </cell>
        </row>
        <row r="6189">
          <cell r="C6189" t="str">
            <v>AHQ1451</v>
          </cell>
          <cell r="D6189" t="str">
            <v>AHQ1451</v>
          </cell>
        </row>
        <row r="6190">
          <cell r="C6190" t="str">
            <v>AHR4509</v>
          </cell>
          <cell r="D6190" t="str">
            <v>AHR4509</v>
          </cell>
        </row>
        <row r="6191">
          <cell r="C6191" t="str">
            <v>AHR8308</v>
          </cell>
          <cell r="D6191" t="str">
            <v>AHR8308</v>
          </cell>
        </row>
        <row r="6192">
          <cell r="C6192" t="str">
            <v>AHR8B08</v>
          </cell>
          <cell r="D6192" t="str">
            <v>AHR8B08</v>
          </cell>
        </row>
        <row r="6193">
          <cell r="C6193" t="str">
            <v>AHR8D08</v>
          </cell>
          <cell r="D6193" t="str">
            <v>AHR8D08</v>
          </cell>
        </row>
        <row r="6194">
          <cell r="C6194" t="str">
            <v>AHS4G51</v>
          </cell>
          <cell r="D6194" t="str">
            <v>AHS4G51</v>
          </cell>
        </row>
        <row r="6195">
          <cell r="C6195" t="str">
            <v>AHS6076</v>
          </cell>
          <cell r="D6195" t="str">
            <v>AHS6076</v>
          </cell>
        </row>
        <row r="6196">
          <cell r="C6196" t="str">
            <v>AHU1625</v>
          </cell>
          <cell r="D6196" t="str">
            <v>AHU1625</v>
          </cell>
        </row>
        <row r="6197">
          <cell r="C6197" t="str">
            <v>AHW2117</v>
          </cell>
          <cell r="D6197" t="str">
            <v>AHW2117</v>
          </cell>
        </row>
        <row r="6198">
          <cell r="C6198" t="str">
            <v>AHW7859</v>
          </cell>
          <cell r="D6198" t="str">
            <v>AHW7859</v>
          </cell>
        </row>
        <row r="6199">
          <cell r="C6199" t="str">
            <v>AHX2810</v>
          </cell>
          <cell r="D6199" t="str">
            <v>AHX2810</v>
          </cell>
        </row>
        <row r="6200">
          <cell r="C6200" t="str">
            <v>AHX9317</v>
          </cell>
          <cell r="D6200" t="str">
            <v>AHX9317</v>
          </cell>
        </row>
        <row r="6201">
          <cell r="C6201" t="str">
            <v>AHY2H66</v>
          </cell>
          <cell r="D6201" t="str">
            <v>AHY2H66</v>
          </cell>
        </row>
        <row r="6202">
          <cell r="C6202" t="str">
            <v>AHY4151</v>
          </cell>
          <cell r="D6202" t="str">
            <v>AHY4151</v>
          </cell>
        </row>
        <row r="6203">
          <cell r="C6203" t="str">
            <v>AHY5070</v>
          </cell>
          <cell r="D6203" t="str">
            <v>AHY5070</v>
          </cell>
        </row>
        <row r="6204">
          <cell r="C6204" t="str">
            <v>AHZ6858</v>
          </cell>
          <cell r="D6204" t="str">
            <v>AHZ6858</v>
          </cell>
        </row>
        <row r="6205">
          <cell r="C6205" t="str">
            <v>AIA7108</v>
          </cell>
          <cell r="D6205" t="str">
            <v>AIA7108</v>
          </cell>
        </row>
        <row r="6206">
          <cell r="C6206" t="str">
            <v>AIA7916</v>
          </cell>
          <cell r="D6206" t="str">
            <v>AIA7916</v>
          </cell>
        </row>
        <row r="6207">
          <cell r="C6207" t="str">
            <v>AIA7A84</v>
          </cell>
          <cell r="D6207" t="str">
            <v>AIA7A84</v>
          </cell>
        </row>
        <row r="6208">
          <cell r="C6208" t="str">
            <v>AIB2057</v>
          </cell>
          <cell r="D6208" t="str">
            <v>AIB2057</v>
          </cell>
        </row>
        <row r="6209">
          <cell r="C6209" t="str">
            <v>AID1169</v>
          </cell>
          <cell r="D6209" t="str">
            <v>AID1169</v>
          </cell>
        </row>
        <row r="6210">
          <cell r="C6210" t="str">
            <v>AID1H62</v>
          </cell>
          <cell r="D6210" t="str">
            <v>AID1H62</v>
          </cell>
        </row>
        <row r="6211">
          <cell r="C6211" t="str">
            <v>AID3524</v>
          </cell>
          <cell r="D6211" t="str">
            <v>AID3524</v>
          </cell>
        </row>
        <row r="6212">
          <cell r="C6212" t="str">
            <v>AIE2384</v>
          </cell>
          <cell r="D6212" t="str">
            <v>AIE2384</v>
          </cell>
        </row>
        <row r="6213">
          <cell r="C6213" t="str">
            <v>AIE4H37</v>
          </cell>
          <cell r="D6213" t="str">
            <v>AIE4H37</v>
          </cell>
        </row>
        <row r="6214">
          <cell r="C6214" t="str">
            <v>AIE5919</v>
          </cell>
          <cell r="D6214" t="str">
            <v>AIE5919</v>
          </cell>
        </row>
        <row r="6215">
          <cell r="C6215" t="str">
            <v>AIF3140</v>
          </cell>
          <cell r="D6215" t="str">
            <v>AIF3140</v>
          </cell>
        </row>
        <row r="6216">
          <cell r="C6216" t="str">
            <v>AIF6772</v>
          </cell>
          <cell r="D6216" t="str">
            <v>AIF6772</v>
          </cell>
        </row>
        <row r="6217">
          <cell r="C6217" t="str">
            <v>AIF6872</v>
          </cell>
          <cell r="D6217" t="str">
            <v>AIF6872</v>
          </cell>
        </row>
        <row r="6218">
          <cell r="C6218" t="str">
            <v>AIF9841</v>
          </cell>
          <cell r="D6218" t="str">
            <v>AIF9841</v>
          </cell>
        </row>
        <row r="6219">
          <cell r="C6219" t="str">
            <v>AIG3906</v>
          </cell>
          <cell r="D6219" t="str">
            <v>AIG3906</v>
          </cell>
        </row>
        <row r="6220">
          <cell r="C6220" t="str">
            <v>AIG7572</v>
          </cell>
          <cell r="D6220" t="str">
            <v>AIG7572</v>
          </cell>
        </row>
        <row r="6221">
          <cell r="C6221" t="str">
            <v>AIH0614</v>
          </cell>
          <cell r="D6221" t="str">
            <v>AIH0614</v>
          </cell>
        </row>
        <row r="6222">
          <cell r="C6222" t="str">
            <v>AIH7F84</v>
          </cell>
          <cell r="D6222" t="str">
            <v>AIH7F84</v>
          </cell>
        </row>
        <row r="6223">
          <cell r="C6223" t="str">
            <v>AIH9871</v>
          </cell>
          <cell r="D6223" t="str">
            <v>AIH9871</v>
          </cell>
        </row>
        <row r="6224">
          <cell r="C6224" t="str">
            <v>AII3520</v>
          </cell>
          <cell r="D6224" t="str">
            <v>AII3520</v>
          </cell>
        </row>
        <row r="6225">
          <cell r="C6225" t="str">
            <v>AII5140</v>
          </cell>
          <cell r="D6225" t="str">
            <v>AII5140</v>
          </cell>
        </row>
        <row r="6226">
          <cell r="C6226" t="str">
            <v>AII8149</v>
          </cell>
          <cell r="D6226" t="str">
            <v>AII8149</v>
          </cell>
        </row>
        <row r="6227">
          <cell r="C6227" t="str">
            <v>AIJ3306</v>
          </cell>
          <cell r="D6227" t="str">
            <v>AIJ3306</v>
          </cell>
        </row>
        <row r="6228">
          <cell r="C6228" t="str">
            <v>AIJ4644</v>
          </cell>
          <cell r="D6228" t="str">
            <v>AIJ4644</v>
          </cell>
        </row>
        <row r="6229">
          <cell r="C6229" t="str">
            <v>AIJ5445</v>
          </cell>
          <cell r="D6229" t="str">
            <v>AIJ5445</v>
          </cell>
        </row>
        <row r="6230">
          <cell r="C6230" t="str">
            <v>AIJ5462</v>
          </cell>
          <cell r="D6230" t="str">
            <v>AIJ5462</v>
          </cell>
        </row>
        <row r="6231">
          <cell r="C6231" t="str">
            <v>AIJ6883</v>
          </cell>
          <cell r="D6231" t="str">
            <v>AIJ6883</v>
          </cell>
        </row>
        <row r="6232">
          <cell r="C6232" t="str">
            <v>AIJ9738</v>
          </cell>
          <cell r="D6232" t="str">
            <v>AIJ9738</v>
          </cell>
        </row>
        <row r="6233">
          <cell r="C6233" t="str">
            <v>AIK4664</v>
          </cell>
          <cell r="D6233" t="str">
            <v>AIK4664</v>
          </cell>
        </row>
        <row r="6234">
          <cell r="C6234" t="str">
            <v>AIK4910</v>
          </cell>
          <cell r="D6234" t="str">
            <v>AIK4910</v>
          </cell>
        </row>
        <row r="6235">
          <cell r="C6235" t="str">
            <v>AIL3730</v>
          </cell>
          <cell r="D6235" t="str">
            <v>AIL3730</v>
          </cell>
        </row>
        <row r="6236">
          <cell r="C6236" t="str">
            <v>AIL4106</v>
          </cell>
          <cell r="D6236" t="str">
            <v>AIL4106</v>
          </cell>
        </row>
        <row r="6237">
          <cell r="C6237" t="str">
            <v>AIM9355</v>
          </cell>
          <cell r="D6237" t="str">
            <v>AIM9355</v>
          </cell>
        </row>
        <row r="6238">
          <cell r="C6238" t="str">
            <v>AIN2F82</v>
          </cell>
          <cell r="D6238" t="str">
            <v>AIN2F82</v>
          </cell>
        </row>
        <row r="6239">
          <cell r="C6239" t="str">
            <v>AIN9I33</v>
          </cell>
          <cell r="D6239" t="str">
            <v>AIN9I33</v>
          </cell>
        </row>
        <row r="6240">
          <cell r="C6240" t="str">
            <v>AIO2883</v>
          </cell>
          <cell r="D6240" t="str">
            <v>AIO2883</v>
          </cell>
        </row>
        <row r="6241">
          <cell r="C6241" t="str">
            <v>AIO3133</v>
          </cell>
          <cell r="D6241" t="str">
            <v>AIO3133</v>
          </cell>
        </row>
        <row r="6242">
          <cell r="C6242" t="str">
            <v>AIO3516</v>
          </cell>
          <cell r="D6242" t="str">
            <v>AIO3516</v>
          </cell>
        </row>
        <row r="6243">
          <cell r="C6243" t="str">
            <v>AIO4128</v>
          </cell>
          <cell r="D6243" t="str">
            <v>AIO4128</v>
          </cell>
        </row>
        <row r="6244">
          <cell r="C6244" t="str">
            <v>AIO4604</v>
          </cell>
          <cell r="D6244" t="str">
            <v>AIO4604</v>
          </cell>
        </row>
        <row r="6245">
          <cell r="C6245" t="str">
            <v>AIO6A67</v>
          </cell>
          <cell r="D6245" t="str">
            <v>AIO6A67</v>
          </cell>
        </row>
        <row r="6246">
          <cell r="C6246" t="str">
            <v>AIO7972</v>
          </cell>
          <cell r="D6246" t="str">
            <v>AIO7972</v>
          </cell>
        </row>
        <row r="6247">
          <cell r="C6247" t="str">
            <v>AIO9195</v>
          </cell>
          <cell r="D6247" t="str">
            <v>AIO9195</v>
          </cell>
        </row>
        <row r="6248">
          <cell r="C6248" t="str">
            <v>AIP1169</v>
          </cell>
          <cell r="D6248" t="str">
            <v>AIP1169</v>
          </cell>
        </row>
        <row r="6249">
          <cell r="C6249" t="str">
            <v>AIP2517</v>
          </cell>
          <cell r="D6249" t="str">
            <v>AIP2517</v>
          </cell>
        </row>
        <row r="6250">
          <cell r="C6250" t="str">
            <v>AIP2609</v>
          </cell>
          <cell r="D6250" t="str">
            <v>AIP2609</v>
          </cell>
        </row>
        <row r="6251">
          <cell r="C6251" t="str">
            <v>AIP7828</v>
          </cell>
          <cell r="D6251" t="str">
            <v>AIP7828</v>
          </cell>
        </row>
        <row r="6252">
          <cell r="C6252" t="str">
            <v>AIP9090</v>
          </cell>
          <cell r="D6252" t="str">
            <v>AIP9090</v>
          </cell>
        </row>
        <row r="6253">
          <cell r="C6253" t="str">
            <v>AIQ1047</v>
          </cell>
          <cell r="D6253" t="str">
            <v>AIQ1047</v>
          </cell>
        </row>
        <row r="6254">
          <cell r="C6254" t="str">
            <v>AIQ2640</v>
          </cell>
          <cell r="D6254" t="str">
            <v>AIQ2640</v>
          </cell>
        </row>
        <row r="6255">
          <cell r="C6255" t="str">
            <v>AIQ5206</v>
          </cell>
          <cell r="D6255" t="str">
            <v>AIQ5206</v>
          </cell>
        </row>
        <row r="6256">
          <cell r="C6256" t="str">
            <v>AIQ9831</v>
          </cell>
          <cell r="D6256" t="str">
            <v>AIQ9831</v>
          </cell>
        </row>
        <row r="6257">
          <cell r="C6257" t="str">
            <v>AIR3D16</v>
          </cell>
          <cell r="D6257" t="str">
            <v>AIR3D16</v>
          </cell>
        </row>
        <row r="6258">
          <cell r="C6258" t="str">
            <v>AIR8I16</v>
          </cell>
          <cell r="D6258" t="str">
            <v>AIR8I16</v>
          </cell>
        </row>
        <row r="6259">
          <cell r="C6259" t="str">
            <v>AIR8J01</v>
          </cell>
          <cell r="D6259" t="str">
            <v>AIR8J01</v>
          </cell>
        </row>
        <row r="6260">
          <cell r="C6260" t="str">
            <v>AIS1720</v>
          </cell>
          <cell r="D6260" t="str">
            <v>AIS1720</v>
          </cell>
        </row>
        <row r="6261">
          <cell r="C6261" t="str">
            <v>AIS3651</v>
          </cell>
          <cell r="D6261" t="str">
            <v>AIS3651</v>
          </cell>
        </row>
        <row r="6262">
          <cell r="C6262" t="str">
            <v>AIS4940</v>
          </cell>
          <cell r="D6262" t="str">
            <v>AIS4940</v>
          </cell>
        </row>
        <row r="6263">
          <cell r="C6263" t="str">
            <v>AIS6384</v>
          </cell>
          <cell r="D6263" t="str">
            <v>AIS6384</v>
          </cell>
        </row>
        <row r="6264">
          <cell r="C6264" t="str">
            <v>AIS6939</v>
          </cell>
          <cell r="D6264" t="str">
            <v>AIS6939</v>
          </cell>
        </row>
        <row r="6265">
          <cell r="C6265" t="str">
            <v>AIS9717</v>
          </cell>
          <cell r="D6265" t="str">
            <v>AIS9717</v>
          </cell>
        </row>
        <row r="6266">
          <cell r="C6266" t="str">
            <v>AIT1169</v>
          </cell>
          <cell r="D6266" t="str">
            <v>AIT1169</v>
          </cell>
        </row>
        <row r="6267">
          <cell r="C6267" t="str">
            <v>AIT1669</v>
          </cell>
          <cell r="D6267" t="str">
            <v>AIT1669</v>
          </cell>
        </row>
        <row r="6268">
          <cell r="C6268" t="str">
            <v>AIT1969</v>
          </cell>
          <cell r="D6268" t="str">
            <v>AIT1969</v>
          </cell>
        </row>
        <row r="6269">
          <cell r="C6269" t="str">
            <v>AIT1B69</v>
          </cell>
          <cell r="D6269" t="str">
            <v>AIT1B69</v>
          </cell>
        </row>
        <row r="6270">
          <cell r="C6270" t="str">
            <v>AIT2024</v>
          </cell>
          <cell r="D6270" t="str">
            <v>AIT2024</v>
          </cell>
        </row>
        <row r="6271">
          <cell r="C6271" t="str">
            <v>AIT4551</v>
          </cell>
          <cell r="D6271" t="str">
            <v>AIT4551</v>
          </cell>
        </row>
        <row r="6272">
          <cell r="C6272" t="str">
            <v>AIT4651</v>
          </cell>
          <cell r="D6272" t="str">
            <v>AIT4651</v>
          </cell>
        </row>
        <row r="6273">
          <cell r="C6273" t="str">
            <v>AIT4775</v>
          </cell>
          <cell r="D6273" t="str">
            <v>AIT4775</v>
          </cell>
        </row>
        <row r="6274">
          <cell r="C6274" t="str">
            <v>AIT6951</v>
          </cell>
          <cell r="D6274" t="str">
            <v>AIT6951</v>
          </cell>
        </row>
        <row r="6275">
          <cell r="C6275" t="str">
            <v>AIT7828</v>
          </cell>
          <cell r="D6275" t="str">
            <v>AIT7828</v>
          </cell>
        </row>
        <row r="6276">
          <cell r="C6276" t="str">
            <v>AIT8233</v>
          </cell>
          <cell r="D6276" t="str">
            <v>AIT8233</v>
          </cell>
        </row>
        <row r="6277">
          <cell r="C6277" t="str">
            <v>AIT9C41</v>
          </cell>
          <cell r="D6277" t="str">
            <v>AIT9C41</v>
          </cell>
        </row>
        <row r="6278">
          <cell r="C6278" t="str">
            <v>AIU1C61</v>
          </cell>
          <cell r="D6278" t="str">
            <v>AIU1C61</v>
          </cell>
        </row>
        <row r="6279">
          <cell r="C6279" t="str">
            <v>AIU5322</v>
          </cell>
          <cell r="D6279" t="str">
            <v>AIU5322</v>
          </cell>
        </row>
        <row r="6280">
          <cell r="C6280" t="str">
            <v>AIU7153</v>
          </cell>
          <cell r="D6280" t="str">
            <v>AIU7153</v>
          </cell>
        </row>
        <row r="6281">
          <cell r="C6281" t="str">
            <v>AIU9I15</v>
          </cell>
          <cell r="D6281" t="str">
            <v>AIU9I15</v>
          </cell>
        </row>
        <row r="6282">
          <cell r="C6282" t="str">
            <v>AIV1465</v>
          </cell>
          <cell r="D6282" t="str">
            <v>AIV1465</v>
          </cell>
        </row>
        <row r="6283">
          <cell r="C6283" t="str">
            <v>AIV3539</v>
          </cell>
          <cell r="D6283" t="str">
            <v>AIV3539</v>
          </cell>
        </row>
        <row r="6284">
          <cell r="C6284" t="str">
            <v>AIW5881</v>
          </cell>
          <cell r="D6284" t="str">
            <v>AIW5881</v>
          </cell>
        </row>
        <row r="6285">
          <cell r="C6285" t="str">
            <v>AIX0128</v>
          </cell>
          <cell r="D6285" t="str">
            <v>AIX0128</v>
          </cell>
        </row>
        <row r="6286">
          <cell r="C6286" t="str">
            <v>AIX0G00</v>
          </cell>
          <cell r="D6286" t="str">
            <v>AIX0G00</v>
          </cell>
        </row>
        <row r="6287">
          <cell r="C6287" t="str">
            <v>AIX0H00</v>
          </cell>
          <cell r="D6287" t="str">
            <v>AIX0H00</v>
          </cell>
        </row>
        <row r="6288">
          <cell r="C6288" t="str">
            <v>AIX2108</v>
          </cell>
          <cell r="D6288" t="str">
            <v>AIX2108</v>
          </cell>
        </row>
        <row r="6289">
          <cell r="C6289" t="str">
            <v>AIX2152</v>
          </cell>
          <cell r="D6289" t="str">
            <v>AIX2152</v>
          </cell>
        </row>
        <row r="6290">
          <cell r="C6290" t="str">
            <v>AIX6F03</v>
          </cell>
          <cell r="D6290" t="str">
            <v>AIX6F03</v>
          </cell>
        </row>
        <row r="6291">
          <cell r="C6291" t="str">
            <v>AIX7753</v>
          </cell>
          <cell r="D6291" t="str">
            <v>AIX7753</v>
          </cell>
        </row>
        <row r="6292">
          <cell r="C6292" t="str">
            <v>AIY8560</v>
          </cell>
          <cell r="D6292" t="str">
            <v>AIY8560</v>
          </cell>
        </row>
        <row r="6293">
          <cell r="C6293" t="str">
            <v>AIZ1518</v>
          </cell>
          <cell r="D6293" t="str">
            <v>AIZ1518</v>
          </cell>
        </row>
        <row r="6294">
          <cell r="C6294" t="str">
            <v>AIZ6178</v>
          </cell>
          <cell r="D6294" t="str">
            <v>AIZ6178</v>
          </cell>
        </row>
        <row r="6295">
          <cell r="C6295" t="str">
            <v>AIZ6978</v>
          </cell>
          <cell r="D6295" t="str">
            <v>AIZ6978</v>
          </cell>
        </row>
        <row r="6296">
          <cell r="C6296" t="str">
            <v>AIZ6B78</v>
          </cell>
          <cell r="D6296" t="str">
            <v>AIZ6B78</v>
          </cell>
        </row>
        <row r="6297">
          <cell r="C6297" t="str">
            <v>AJA2718</v>
          </cell>
          <cell r="D6297" t="str">
            <v>AJA2718</v>
          </cell>
        </row>
        <row r="6298">
          <cell r="C6298" t="str">
            <v>AJA4299</v>
          </cell>
          <cell r="D6298" t="str">
            <v>AJA4299</v>
          </cell>
        </row>
        <row r="6299">
          <cell r="C6299" t="str">
            <v>AJA4397</v>
          </cell>
          <cell r="D6299" t="str">
            <v>AJA4397</v>
          </cell>
        </row>
        <row r="6300">
          <cell r="C6300" t="str">
            <v>AJA4938</v>
          </cell>
          <cell r="D6300" t="str">
            <v>AJA4938</v>
          </cell>
        </row>
        <row r="6301">
          <cell r="C6301" t="str">
            <v>AJA4J38</v>
          </cell>
          <cell r="D6301" t="str">
            <v>AJA4J38</v>
          </cell>
        </row>
        <row r="6302">
          <cell r="C6302" t="str">
            <v>AJA7094</v>
          </cell>
          <cell r="D6302" t="str">
            <v>AJA7094</v>
          </cell>
        </row>
        <row r="6303">
          <cell r="C6303" t="str">
            <v>AJB9A91</v>
          </cell>
          <cell r="D6303" t="str">
            <v>AJB9A91</v>
          </cell>
        </row>
        <row r="6304">
          <cell r="C6304" t="str">
            <v>AJB9E05</v>
          </cell>
          <cell r="D6304" t="str">
            <v>AJB9E05</v>
          </cell>
        </row>
        <row r="6305">
          <cell r="C6305" t="str">
            <v>AJC1286</v>
          </cell>
          <cell r="D6305" t="str">
            <v>AJC1286</v>
          </cell>
        </row>
        <row r="6306">
          <cell r="C6306" t="str">
            <v>AJE3348</v>
          </cell>
          <cell r="D6306" t="str">
            <v>AJE3348</v>
          </cell>
        </row>
        <row r="6307">
          <cell r="C6307" t="str">
            <v>AJE5549</v>
          </cell>
          <cell r="D6307" t="str">
            <v>AJE5549</v>
          </cell>
        </row>
        <row r="6308">
          <cell r="C6308" t="str">
            <v>AJE6814</v>
          </cell>
          <cell r="D6308" t="str">
            <v>AJE6814</v>
          </cell>
        </row>
        <row r="6309">
          <cell r="C6309" t="str">
            <v>AJE7325</v>
          </cell>
          <cell r="D6309" t="str">
            <v>AJE7325</v>
          </cell>
        </row>
        <row r="6310">
          <cell r="C6310" t="str">
            <v>AJE7408</v>
          </cell>
          <cell r="D6310" t="str">
            <v>AJE7408</v>
          </cell>
        </row>
        <row r="6311">
          <cell r="C6311" t="str">
            <v>AJF0975</v>
          </cell>
          <cell r="D6311" t="str">
            <v>AJF0975</v>
          </cell>
        </row>
        <row r="6312">
          <cell r="C6312" t="str">
            <v>AJG2592</v>
          </cell>
          <cell r="D6312" t="str">
            <v>AJG2592</v>
          </cell>
        </row>
        <row r="6313">
          <cell r="C6313" t="str">
            <v>AJG6566</v>
          </cell>
          <cell r="D6313" t="str">
            <v>AJG6566</v>
          </cell>
        </row>
        <row r="6314">
          <cell r="C6314" t="str">
            <v>AJG6F66</v>
          </cell>
          <cell r="D6314" t="str">
            <v>AJG6F66</v>
          </cell>
        </row>
        <row r="6315">
          <cell r="C6315" t="str">
            <v>AJH7931</v>
          </cell>
          <cell r="D6315" t="str">
            <v>AJH7931</v>
          </cell>
        </row>
        <row r="6316">
          <cell r="C6316" t="str">
            <v>AJI0571</v>
          </cell>
          <cell r="D6316" t="str">
            <v>AJI0571</v>
          </cell>
        </row>
        <row r="6317">
          <cell r="C6317" t="str">
            <v>AJI0F71</v>
          </cell>
          <cell r="D6317" t="str">
            <v>AJI0F71</v>
          </cell>
        </row>
        <row r="6318">
          <cell r="C6318" t="str">
            <v>AJI6I34</v>
          </cell>
          <cell r="D6318" t="str">
            <v>AJI6I34</v>
          </cell>
        </row>
        <row r="6319">
          <cell r="C6319" t="str">
            <v>AJI9968</v>
          </cell>
          <cell r="D6319" t="str">
            <v>AJI9968</v>
          </cell>
        </row>
        <row r="6320">
          <cell r="C6320" t="str">
            <v>AJK0810</v>
          </cell>
          <cell r="D6320" t="str">
            <v>AJK0810</v>
          </cell>
        </row>
        <row r="6321">
          <cell r="C6321" t="str">
            <v>AJK3371</v>
          </cell>
          <cell r="D6321" t="str">
            <v>AJK3371</v>
          </cell>
        </row>
        <row r="6322">
          <cell r="C6322" t="str">
            <v>AJN0F54</v>
          </cell>
          <cell r="D6322" t="str">
            <v>AJN0F54</v>
          </cell>
        </row>
        <row r="6323">
          <cell r="C6323" t="str">
            <v>AJN8859</v>
          </cell>
          <cell r="D6323" t="str">
            <v>AJN8859</v>
          </cell>
        </row>
        <row r="6324">
          <cell r="C6324" t="str">
            <v>AJO2372</v>
          </cell>
          <cell r="D6324" t="str">
            <v>AJO2372</v>
          </cell>
        </row>
        <row r="6325">
          <cell r="C6325" t="str">
            <v>AJO8308</v>
          </cell>
          <cell r="D6325" t="str">
            <v>AJO8308</v>
          </cell>
        </row>
        <row r="6326">
          <cell r="C6326" t="str">
            <v>AJP7938</v>
          </cell>
          <cell r="D6326" t="str">
            <v>AJP7938</v>
          </cell>
        </row>
        <row r="6327">
          <cell r="C6327" t="str">
            <v>AJR2391</v>
          </cell>
          <cell r="D6327" t="str">
            <v>AJR2391</v>
          </cell>
        </row>
        <row r="6328">
          <cell r="C6328" t="str">
            <v>AJR2906</v>
          </cell>
          <cell r="D6328" t="str">
            <v>AJR2906</v>
          </cell>
        </row>
        <row r="6329">
          <cell r="C6329" t="str">
            <v>AJR3612</v>
          </cell>
          <cell r="D6329" t="str">
            <v>AJR3612</v>
          </cell>
        </row>
        <row r="6330">
          <cell r="C6330" t="str">
            <v>AJS8552</v>
          </cell>
          <cell r="D6330" t="str">
            <v>AJS8552</v>
          </cell>
        </row>
        <row r="6331">
          <cell r="C6331" t="str">
            <v>AJS8901</v>
          </cell>
          <cell r="D6331" t="str">
            <v>AJS8901</v>
          </cell>
        </row>
        <row r="6332">
          <cell r="C6332" t="str">
            <v>AJT8G07</v>
          </cell>
          <cell r="D6332" t="str">
            <v>AJT8G07</v>
          </cell>
        </row>
        <row r="6333">
          <cell r="C6333" t="str">
            <v>AJU1815</v>
          </cell>
          <cell r="D6333" t="str">
            <v>AJU1815</v>
          </cell>
        </row>
        <row r="6334">
          <cell r="C6334" t="str">
            <v>AJV5279</v>
          </cell>
          <cell r="D6334" t="str">
            <v>AJV5279</v>
          </cell>
        </row>
        <row r="6335">
          <cell r="C6335" t="str">
            <v>AJW3J93</v>
          </cell>
          <cell r="D6335" t="str">
            <v>AJW3J93</v>
          </cell>
        </row>
        <row r="6336">
          <cell r="C6336" t="str">
            <v>AJW7903</v>
          </cell>
          <cell r="D6336" t="str">
            <v>AJW7903</v>
          </cell>
        </row>
        <row r="6337">
          <cell r="C6337" t="str">
            <v>AJW8859</v>
          </cell>
          <cell r="D6337" t="str">
            <v>AJW8859</v>
          </cell>
        </row>
        <row r="6338">
          <cell r="C6338" t="str">
            <v>AJW9901</v>
          </cell>
          <cell r="D6338" t="str">
            <v>AJW9901</v>
          </cell>
        </row>
        <row r="6339">
          <cell r="C6339" t="str">
            <v>AKA0D71</v>
          </cell>
          <cell r="D6339" t="str">
            <v>AKA0D71</v>
          </cell>
        </row>
        <row r="6340">
          <cell r="C6340" t="str">
            <v>AKA6795</v>
          </cell>
          <cell r="D6340" t="str">
            <v>AKA6795</v>
          </cell>
        </row>
        <row r="6341">
          <cell r="C6341" t="str">
            <v>AKB1073</v>
          </cell>
          <cell r="D6341" t="str">
            <v>AKB1073</v>
          </cell>
        </row>
        <row r="6342">
          <cell r="C6342" t="str">
            <v>AKB2134</v>
          </cell>
          <cell r="D6342" t="str">
            <v>AKB2134</v>
          </cell>
        </row>
        <row r="6343">
          <cell r="C6343" t="str">
            <v>AKC0672</v>
          </cell>
          <cell r="D6343" t="str">
            <v>AKC0672</v>
          </cell>
        </row>
        <row r="6344">
          <cell r="C6344" t="str">
            <v>AKD2134</v>
          </cell>
          <cell r="D6344" t="str">
            <v>AKD2134</v>
          </cell>
        </row>
        <row r="6345">
          <cell r="C6345" t="str">
            <v>AKD4482</v>
          </cell>
          <cell r="D6345" t="str">
            <v>AKD4482</v>
          </cell>
        </row>
        <row r="6346">
          <cell r="C6346" t="str">
            <v>AKD4I41</v>
          </cell>
          <cell r="D6346" t="str">
            <v>AKD4I41</v>
          </cell>
        </row>
        <row r="6347">
          <cell r="C6347" t="str">
            <v>AKE7261</v>
          </cell>
          <cell r="D6347" t="str">
            <v>AKE7261</v>
          </cell>
        </row>
        <row r="6348">
          <cell r="C6348" t="str">
            <v>AKG3D55</v>
          </cell>
          <cell r="D6348" t="str">
            <v>AKG3D55</v>
          </cell>
        </row>
        <row r="6349">
          <cell r="C6349" t="str">
            <v>AKG5552</v>
          </cell>
          <cell r="D6349" t="str">
            <v>AKG5552</v>
          </cell>
        </row>
        <row r="6350">
          <cell r="C6350" t="str">
            <v>AKG6903</v>
          </cell>
          <cell r="D6350" t="str">
            <v>AKG6903</v>
          </cell>
        </row>
        <row r="6351">
          <cell r="C6351" t="str">
            <v>AKG7912</v>
          </cell>
          <cell r="D6351" t="str">
            <v>AKG7912</v>
          </cell>
        </row>
        <row r="6352">
          <cell r="C6352" t="str">
            <v>AKH5074</v>
          </cell>
          <cell r="D6352" t="str">
            <v>AKH5074</v>
          </cell>
        </row>
        <row r="6353">
          <cell r="C6353" t="str">
            <v>AKH8079</v>
          </cell>
          <cell r="D6353" t="str">
            <v>AKH8079</v>
          </cell>
        </row>
        <row r="6354">
          <cell r="C6354" t="str">
            <v>AKJ4001</v>
          </cell>
          <cell r="D6354" t="str">
            <v>AKJ4001</v>
          </cell>
        </row>
        <row r="6355">
          <cell r="C6355" t="str">
            <v>AKJ9J99</v>
          </cell>
          <cell r="D6355" t="str">
            <v>AKJ9J99</v>
          </cell>
        </row>
        <row r="6356">
          <cell r="C6356" t="str">
            <v>AKM3933</v>
          </cell>
          <cell r="D6356" t="str">
            <v>AKM3933</v>
          </cell>
        </row>
        <row r="6357">
          <cell r="C6357" t="str">
            <v>AKR9259</v>
          </cell>
          <cell r="D6357" t="str">
            <v>AKR9259</v>
          </cell>
        </row>
        <row r="6358">
          <cell r="C6358" t="str">
            <v>AKS6624</v>
          </cell>
          <cell r="D6358" t="str">
            <v>AKS6624</v>
          </cell>
        </row>
        <row r="6359">
          <cell r="C6359" t="str">
            <v>AKT8022</v>
          </cell>
          <cell r="D6359" t="str">
            <v>AKT8022</v>
          </cell>
        </row>
        <row r="6360">
          <cell r="C6360" t="str">
            <v>AKW5945</v>
          </cell>
          <cell r="D6360" t="str">
            <v>AKW5945</v>
          </cell>
        </row>
        <row r="6361">
          <cell r="C6361" t="str">
            <v>AKX1521</v>
          </cell>
          <cell r="D6361" t="str">
            <v>AKX1521</v>
          </cell>
        </row>
        <row r="6362">
          <cell r="C6362" t="str">
            <v>AKX6540</v>
          </cell>
          <cell r="D6362" t="str">
            <v>AKX6540</v>
          </cell>
        </row>
        <row r="6363">
          <cell r="C6363" t="str">
            <v>AKY7677</v>
          </cell>
          <cell r="D6363" t="str">
            <v>AKY7677</v>
          </cell>
        </row>
        <row r="6364">
          <cell r="C6364" t="str">
            <v>AKY7G83</v>
          </cell>
          <cell r="D6364" t="str">
            <v>AKY7G83</v>
          </cell>
        </row>
        <row r="6365">
          <cell r="C6365" t="str">
            <v>AKZ0955</v>
          </cell>
          <cell r="D6365" t="str">
            <v>AKZ0955</v>
          </cell>
        </row>
        <row r="6366">
          <cell r="C6366" t="str">
            <v>AKZ7I30</v>
          </cell>
          <cell r="D6366" t="str">
            <v>AKZ7I30</v>
          </cell>
        </row>
        <row r="6367">
          <cell r="C6367" t="str">
            <v>ALE7772</v>
          </cell>
          <cell r="D6367" t="str">
            <v>ALE7772</v>
          </cell>
        </row>
        <row r="6368">
          <cell r="C6368" t="str">
            <v>ALG0066</v>
          </cell>
          <cell r="D6368" t="str">
            <v>ALG0066</v>
          </cell>
        </row>
        <row r="6369">
          <cell r="C6369" t="str">
            <v>ALH9871</v>
          </cell>
          <cell r="D6369" t="str">
            <v>ALH9871</v>
          </cell>
        </row>
        <row r="6370">
          <cell r="C6370" t="str">
            <v>ALJ2629</v>
          </cell>
          <cell r="D6370" t="str">
            <v>ALJ2629</v>
          </cell>
        </row>
        <row r="6371">
          <cell r="C6371" t="str">
            <v>ALO2188</v>
          </cell>
          <cell r="D6371" t="str">
            <v>ALO2188</v>
          </cell>
        </row>
        <row r="6372">
          <cell r="C6372" t="str">
            <v>ALP8D40</v>
          </cell>
          <cell r="D6372" t="str">
            <v>ALP8D40</v>
          </cell>
        </row>
        <row r="6373">
          <cell r="C6373" t="str">
            <v>ALQ4494</v>
          </cell>
          <cell r="D6373" t="str">
            <v>ALQ4494</v>
          </cell>
        </row>
        <row r="6374">
          <cell r="C6374" t="str">
            <v>ALR7B87</v>
          </cell>
          <cell r="D6374" t="str">
            <v>ALR7B87</v>
          </cell>
        </row>
        <row r="6375">
          <cell r="C6375" t="str">
            <v>ALS7055</v>
          </cell>
          <cell r="D6375" t="str">
            <v>ALS7055</v>
          </cell>
        </row>
        <row r="6376">
          <cell r="C6376" t="str">
            <v>ALT4298</v>
          </cell>
          <cell r="D6376" t="str">
            <v>ALT4298</v>
          </cell>
        </row>
        <row r="6377">
          <cell r="C6377" t="str">
            <v>ALU0911</v>
          </cell>
          <cell r="D6377" t="str">
            <v>ALU0911</v>
          </cell>
        </row>
        <row r="6378">
          <cell r="C6378" t="str">
            <v>ALW1686</v>
          </cell>
          <cell r="D6378" t="str">
            <v>ALW1686</v>
          </cell>
        </row>
        <row r="6379">
          <cell r="C6379" t="str">
            <v>ALW4A41</v>
          </cell>
          <cell r="D6379" t="str">
            <v>ALW4A41</v>
          </cell>
        </row>
        <row r="6380">
          <cell r="C6380" t="str">
            <v>ALX5325</v>
          </cell>
          <cell r="D6380" t="str">
            <v>ALX5325</v>
          </cell>
        </row>
        <row r="6381">
          <cell r="C6381" t="str">
            <v>ALY6814</v>
          </cell>
          <cell r="D6381" t="str">
            <v>ALY6814</v>
          </cell>
        </row>
        <row r="6382">
          <cell r="C6382" t="str">
            <v>ALY8050</v>
          </cell>
          <cell r="D6382" t="str">
            <v>ALY8050</v>
          </cell>
        </row>
        <row r="6383">
          <cell r="C6383" t="str">
            <v>ALZ5555</v>
          </cell>
          <cell r="D6383" t="str">
            <v>ALZ5555</v>
          </cell>
        </row>
        <row r="6384">
          <cell r="C6384" t="str">
            <v>ALZ8275</v>
          </cell>
          <cell r="D6384" t="str">
            <v>ALZ8275</v>
          </cell>
        </row>
        <row r="6385">
          <cell r="C6385" t="str">
            <v>AMC2362</v>
          </cell>
          <cell r="D6385" t="str">
            <v>AMC2362</v>
          </cell>
        </row>
        <row r="6386">
          <cell r="C6386" t="str">
            <v>AMC2500</v>
          </cell>
          <cell r="D6386" t="str">
            <v>AMC2500</v>
          </cell>
        </row>
        <row r="6387">
          <cell r="C6387" t="str">
            <v>AMC2929</v>
          </cell>
          <cell r="D6387" t="str">
            <v>AMC2929</v>
          </cell>
        </row>
        <row r="6388">
          <cell r="C6388" t="str">
            <v>AMC9998</v>
          </cell>
          <cell r="D6388" t="str">
            <v>AMC9998</v>
          </cell>
        </row>
        <row r="6389">
          <cell r="C6389" t="str">
            <v>AMD0202</v>
          </cell>
          <cell r="D6389" t="str">
            <v>AMD0202</v>
          </cell>
        </row>
        <row r="6390">
          <cell r="C6390" t="str">
            <v>AMD6D15</v>
          </cell>
          <cell r="D6390" t="str">
            <v>AMD6D15</v>
          </cell>
        </row>
        <row r="6391">
          <cell r="C6391" t="str">
            <v>AMD9J58</v>
          </cell>
          <cell r="D6391" t="str">
            <v>AMD9J58</v>
          </cell>
        </row>
        <row r="6392">
          <cell r="C6392" t="str">
            <v>AME0265</v>
          </cell>
          <cell r="D6392" t="str">
            <v>AME0265</v>
          </cell>
        </row>
        <row r="6393">
          <cell r="C6393" t="str">
            <v>AME3530</v>
          </cell>
          <cell r="D6393" t="str">
            <v>AME3530</v>
          </cell>
        </row>
        <row r="6394">
          <cell r="C6394" t="str">
            <v>AME8171</v>
          </cell>
          <cell r="D6394" t="str">
            <v>AME8171</v>
          </cell>
        </row>
        <row r="6395">
          <cell r="C6395" t="str">
            <v>AMF9442</v>
          </cell>
          <cell r="D6395" t="str">
            <v>AMF9442</v>
          </cell>
        </row>
        <row r="6396">
          <cell r="C6396" t="str">
            <v>AMH6303</v>
          </cell>
          <cell r="D6396" t="str">
            <v>AMH6303</v>
          </cell>
        </row>
        <row r="6397">
          <cell r="C6397" t="str">
            <v>AMI5258</v>
          </cell>
          <cell r="D6397" t="str">
            <v>AMI5258</v>
          </cell>
        </row>
        <row r="6398">
          <cell r="C6398" t="str">
            <v>AMI6053</v>
          </cell>
          <cell r="D6398" t="str">
            <v>AMI6053</v>
          </cell>
        </row>
        <row r="6399">
          <cell r="C6399" t="str">
            <v>AMJ4579</v>
          </cell>
          <cell r="D6399" t="str">
            <v>AMJ4579</v>
          </cell>
        </row>
        <row r="6400">
          <cell r="C6400" t="str">
            <v>AMK0330</v>
          </cell>
          <cell r="D6400" t="str">
            <v>AMK0330</v>
          </cell>
        </row>
        <row r="6401">
          <cell r="C6401" t="str">
            <v>AMM6A95</v>
          </cell>
          <cell r="D6401" t="str">
            <v>AMM6A95</v>
          </cell>
        </row>
        <row r="6402">
          <cell r="C6402" t="str">
            <v>AMP1H02</v>
          </cell>
          <cell r="D6402" t="str">
            <v>AMP1H02</v>
          </cell>
        </row>
        <row r="6403">
          <cell r="C6403" t="str">
            <v>AMP7B94</v>
          </cell>
          <cell r="D6403" t="str">
            <v>AMP7B94</v>
          </cell>
        </row>
        <row r="6404">
          <cell r="C6404" t="str">
            <v>AMQ1701</v>
          </cell>
          <cell r="D6404" t="str">
            <v>AMQ1701</v>
          </cell>
        </row>
        <row r="6405">
          <cell r="C6405" t="str">
            <v>AMT0F15</v>
          </cell>
          <cell r="D6405" t="str">
            <v>AMT0F15</v>
          </cell>
        </row>
        <row r="6406">
          <cell r="C6406" t="str">
            <v>AMT8D68</v>
          </cell>
          <cell r="D6406" t="str">
            <v>AMT8D68</v>
          </cell>
        </row>
        <row r="6407">
          <cell r="C6407" t="str">
            <v>AMY2894</v>
          </cell>
          <cell r="D6407" t="str">
            <v>AMY2894</v>
          </cell>
        </row>
        <row r="6408">
          <cell r="C6408" t="str">
            <v>ANC1692</v>
          </cell>
          <cell r="D6408" t="str">
            <v>ANC1692</v>
          </cell>
        </row>
        <row r="6409">
          <cell r="C6409" t="str">
            <v>AND1287</v>
          </cell>
          <cell r="D6409" t="str">
            <v>AND1287</v>
          </cell>
        </row>
        <row r="6410">
          <cell r="C6410" t="str">
            <v>AND1944</v>
          </cell>
          <cell r="D6410" t="str">
            <v>AND1944</v>
          </cell>
        </row>
        <row r="6411">
          <cell r="C6411" t="str">
            <v>AND7819</v>
          </cell>
          <cell r="D6411" t="str">
            <v>AND7819</v>
          </cell>
        </row>
        <row r="6412">
          <cell r="C6412" t="str">
            <v>ANE9488</v>
          </cell>
          <cell r="D6412" t="str">
            <v>ANE9488</v>
          </cell>
        </row>
        <row r="6413">
          <cell r="C6413" t="str">
            <v>ANJ3I21</v>
          </cell>
          <cell r="D6413" t="str">
            <v>ANJ3I21</v>
          </cell>
        </row>
        <row r="6414">
          <cell r="C6414" t="str">
            <v>ANM6A95</v>
          </cell>
          <cell r="D6414" t="str">
            <v>ANM6A95</v>
          </cell>
        </row>
        <row r="6415">
          <cell r="C6415" t="str">
            <v>ANM9089</v>
          </cell>
          <cell r="D6415" t="str">
            <v>ANM9089</v>
          </cell>
        </row>
        <row r="6416">
          <cell r="C6416" t="str">
            <v>ANN6A95</v>
          </cell>
          <cell r="D6416" t="str">
            <v>ANN6A95</v>
          </cell>
        </row>
        <row r="6417">
          <cell r="C6417" t="str">
            <v>ANO0097</v>
          </cell>
          <cell r="D6417" t="str">
            <v>ANO0097</v>
          </cell>
        </row>
        <row r="6418">
          <cell r="C6418" t="str">
            <v>ANO0970</v>
          </cell>
          <cell r="D6418" t="str">
            <v>ANO0970</v>
          </cell>
        </row>
        <row r="6419">
          <cell r="C6419" t="str">
            <v>ANO6565</v>
          </cell>
          <cell r="D6419" t="str">
            <v>ANO6565</v>
          </cell>
        </row>
        <row r="6420">
          <cell r="C6420" t="str">
            <v>ANP6738</v>
          </cell>
          <cell r="D6420" t="str">
            <v>ANP6738</v>
          </cell>
        </row>
        <row r="6421">
          <cell r="C6421" t="str">
            <v>ANS1979</v>
          </cell>
          <cell r="D6421" t="str">
            <v>ANS1979</v>
          </cell>
        </row>
        <row r="6422">
          <cell r="C6422" t="str">
            <v>ANT3277</v>
          </cell>
          <cell r="D6422" t="str">
            <v>ANT3277</v>
          </cell>
        </row>
        <row r="6423">
          <cell r="C6423" t="str">
            <v>ANT3526</v>
          </cell>
          <cell r="D6423" t="str">
            <v>ANT3526</v>
          </cell>
        </row>
        <row r="6424">
          <cell r="C6424" t="str">
            <v>ANT8D68</v>
          </cell>
          <cell r="D6424" t="str">
            <v>ANT8D68</v>
          </cell>
        </row>
        <row r="6425">
          <cell r="C6425" t="str">
            <v>ANU9592</v>
          </cell>
          <cell r="D6425" t="str">
            <v>ANU9592</v>
          </cell>
        </row>
        <row r="6426">
          <cell r="C6426" t="str">
            <v>ANX9422</v>
          </cell>
          <cell r="D6426" t="str">
            <v>ANX9422</v>
          </cell>
        </row>
        <row r="6427">
          <cell r="C6427" t="str">
            <v>ANX9482</v>
          </cell>
          <cell r="D6427" t="str">
            <v>ANX9482</v>
          </cell>
        </row>
        <row r="6428">
          <cell r="C6428" t="str">
            <v>AOA1741</v>
          </cell>
          <cell r="D6428" t="str">
            <v>AOA1741</v>
          </cell>
        </row>
        <row r="6429">
          <cell r="C6429" t="str">
            <v>AOA6666</v>
          </cell>
          <cell r="D6429" t="str">
            <v>AOA6666</v>
          </cell>
        </row>
        <row r="6430">
          <cell r="C6430" t="str">
            <v>AOC7979</v>
          </cell>
          <cell r="D6430" t="str">
            <v>AOC7979</v>
          </cell>
        </row>
        <row r="6431">
          <cell r="C6431" t="str">
            <v>AOD4J91</v>
          </cell>
          <cell r="D6431" t="str">
            <v>AOD4J91</v>
          </cell>
        </row>
        <row r="6432">
          <cell r="C6432" t="str">
            <v>AOF1D31</v>
          </cell>
          <cell r="D6432" t="str">
            <v>AOF1D31</v>
          </cell>
        </row>
        <row r="6433">
          <cell r="C6433" t="str">
            <v>AOF3D66</v>
          </cell>
          <cell r="D6433" t="str">
            <v>AOF3D66</v>
          </cell>
        </row>
        <row r="6434">
          <cell r="C6434" t="str">
            <v>AOF8397</v>
          </cell>
          <cell r="D6434" t="str">
            <v>AOF8397</v>
          </cell>
        </row>
        <row r="6435">
          <cell r="C6435" t="str">
            <v>AOG1145</v>
          </cell>
          <cell r="D6435" t="str">
            <v>AOG1145</v>
          </cell>
        </row>
        <row r="6436">
          <cell r="C6436" t="str">
            <v>AOH4214</v>
          </cell>
          <cell r="D6436" t="str">
            <v>AOH4214</v>
          </cell>
        </row>
        <row r="6437">
          <cell r="C6437" t="str">
            <v>AOI7264</v>
          </cell>
          <cell r="D6437" t="str">
            <v>AOI7264</v>
          </cell>
        </row>
        <row r="6438">
          <cell r="C6438" t="str">
            <v>AOJ9047</v>
          </cell>
          <cell r="D6438" t="str">
            <v>AOJ9047</v>
          </cell>
        </row>
        <row r="6439">
          <cell r="C6439" t="str">
            <v>AOK4H33</v>
          </cell>
          <cell r="D6439" t="str">
            <v>AOK4H33</v>
          </cell>
        </row>
        <row r="6440">
          <cell r="C6440" t="str">
            <v>AOK5A45</v>
          </cell>
          <cell r="D6440" t="str">
            <v>AOK5A45</v>
          </cell>
        </row>
        <row r="6441">
          <cell r="C6441" t="str">
            <v>AOK9C77</v>
          </cell>
          <cell r="D6441" t="str">
            <v>AOK9C77</v>
          </cell>
        </row>
        <row r="6442">
          <cell r="C6442" t="str">
            <v>AOM5219</v>
          </cell>
          <cell r="D6442" t="str">
            <v>AOM5219</v>
          </cell>
        </row>
        <row r="6443">
          <cell r="C6443" t="str">
            <v>AON1E57</v>
          </cell>
          <cell r="D6443" t="str">
            <v>AON1E57</v>
          </cell>
        </row>
        <row r="6444">
          <cell r="C6444" t="str">
            <v>AOT0223</v>
          </cell>
          <cell r="D6444" t="str">
            <v>AOT0223</v>
          </cell>
        </row>
        <row r="6445">
          <cell r="C6445" t="str">
            <v>AOX6561</v>
          </cell>
          <cell r="D6445" t="str">
            <v>AOX6561</v>
          </cell>
        </row>
        <row r="6446">
          <cell r="C6446" t="str">
            <v>AOY5B96</v>
          </cell>
          <cell r="D6446" t="str">
            <v>AOY5B96</v>
          </cell>
        </row>
        <row r="6447">
          <cell r="C6447" t="str">
            <v>APA5685</v>
          </cell>
          <cell r="D6447" t="str">
            <v>APA5685</v>
          </cell>
        </row>
        <row r="6448">
          <cell r="C6448" t="str">
            <v>APB6251</v>
          </cell>
          <cell r="D6448" t="str">
            <v>APB6251</v>
          </cell>
        </row>
        <row r="6449">
          <cell r="C6449" t="str">
            <v>APC0I92</v>
          </cell>
          <cell r="D6449" t="str">
            <v>APC0I92</v>
          </cell>
        </row>
        <row r="6450">
          <cell r="C6450" t="str">
            <v>APD7274</v>
          </cell>
          <cell r="D6450" t="str">
            <v>APD7274</v>
          </cell>
        </row>
        <row r="6451">
          <cell r="C6451" t="str">
            <v>APE1G58</v>
          </cell>
          <cell r="D6451" t="str">
            <v>APE1G58</v>
          </cell>
        </row>
        <row r="6452">
          <cell r="C6452" t="str">
            <v>APG1404</v>
          </cell>
          <cell r="D6452" t="str">
            <v>APG1404</v>
          </cell>
        </row>
        <row r="6453">
          <cell r="C6453" t="str">
            <v>APG2573</v>
          </cell>
          <cell r="D6453" t="str">
            <v>APG2573</v>
          </cell>
        </row>
        <row r="6454">
          <cell r="C6454" t="str">
            <v>APG2F73</v>
          </cell>
          <cell r="D6454" t="str">
            <v>APG2F73</v>
          </cell>
        </row>
        <row r="6455">
          <cell r="C6455" t="str">
            <v>APH2593</v>
          </cell>
          <cell r="D6455" t="str">
            <v>APH2593</v>
          </cell>
        </row>
        <row r="6456">
          <cell r="C6456" t="str">
            <v>API6467</v>
          </cell>
          <cell r="D6456" t="str">
            <v>API6467</v>
          </cell>
        </row>
        <row r="6457">
          <cell r="C6457" t="str">
            <v>API8961</v>
          </cell>
          <cell r="D6457" t="str">
            <v>API8961</v>
          </cell>
        </row>
        <row r="6458">
          <cell r="C6458" t="str">
            <v>API9282</v>
          </cell>
          <cell r="D6458" t="str">
            <v>API9282</v>
          </cell>
        </row>
        <row r="6459">
          <cell r="C6459" t="str">
            <v>APJ1323</v>
          </cell>
          <cell r="D6459" t="str">
            <v>APJ1323</v>
          </cell>
        </row>
        <row r="6460">
          <cell r="C6460" t="str">
            <v>APK2H17</v>
          </cell>
          <cell r="D6460" t="str">
            <v>APK2H17</v>
          </cell>
        </row>
        <row r="6461">
          <cell r="C6461" t="str">
            <v>APL5218</v>
          </cell>
          <cell r="D6461" t="str">
            <v>APL5218</v>
          </cell>
        </row>
        <row r="6462">
          <cell r="C6462" t="str">
            <v>APM0991</v>
          </cell>
          <cell r="D6462" t="str">
            <v>APM0991</v>
          </cell>
        </row>
        <row r="6463">
          <cell r="C6463" t="str">
            <v>APR8809</v>
          </cell>
          <cell r="D6463" t="str">
            <v>APR8809</v>
          </cell>
        </row>
        <row r="6464">
          <cell r="C6464" t="str">
            <v>APS9300</v>
          </cell>
          <cell r="D6464" t="str">
            <v>APS9300</v>
          </cell>
        </row>
        <row r="6465">
          <cell r="C6465" t="str">
            <v>APT4212</v>
          </cell>
          <cell r="D6465" t="str">
            <v>APT4212</v>
          </cell>
        </row>
        <row r="6466">
          <cell r="C6466" t="str">
            <v>APT8807</v>
          </cell>
          <cell r="D6466" t="str">
            <v>APT8807</v>
          </cell>
        </row>
        <row r="6467">
          <cell r="C6467" t="str">
            <v>APV3734</v>
          </cell>
          <cell r="D6467" t="str">
            <v>APV3734</v>
          </cell>
        </row>
        <row r="6468">
          <cell r="C6468" t="str">
            <v>APV3973</v>
          </cell>
          <cell r="D6468" t="str">
            <v>APV3973</v>
          </cell>
        </row>
        <row r="6469">
          <cell r="C6469" t="str">
            <v>APW3749</v>
          </cell>
          <cell r="D6469" t="str">
            <v>APW3749</v>
          </cell>
        </row>
        <row r="6470">
          <cell r="C6470" t="str">
            <v>APW3946</v>
          </cell>
          <cell r="D6470" t="str">
            <v>APW3946</v>
          </cell>
        </row>
        <row r="6471">
          <cell r="C6471" t="str">
            <v>APW8636</v>
          </cell>
          <cell r="D6471" t="str">
            <v>APW8636</v>
          </cell>
        </row>
        <row r="6472">
          <cell r="C6472" t="str">
            <v>APX7H33</v>
          </cell>
          <cell r="D6472" t="str">
            <v>APX7H33</v>
          </cell>
        </row>
        <row r="6473">
          <cell r="C6473" t="str">
            <v>APZ5479</v>
          </cell>
          <cell r="D6473" t="str">
            <v>APZ5479</v>
          </cell>
        </row>
        <row r="6474">
          <cell r="C6474" t="str">
            <v>AQA0D71</v>
          </cell>
          <cell r="D6474" t="str">
            <v>AQA0D71</v>
          </cell>
        </row>
        <row r="6475">
          <cell r="C6475" t="str">
            <v>AQB9791</v>
          </cell>
          <cell r="D6475" t="str">
            <v>AQB9791</v>
          </cell>
        </row>
        <row r="6476">
          <cell r="C6476" t="str">
            <v>AQE5727</v>
          </cell>
          <cell r="D6476" t="str">
            <v>AQE5727</v>
          </cell>
        </row>
        <row r="6477">
          <cell r="C6477" t="str">
            <v>AQF3617</v>
          </cell>
          <cell r="D6477" t="str">
            <v>AQF3617</v>
          </cell>
        </row>
        <row r="6478">
          <cell r="C6478" t="str">
            <v>AQF3978</v>
          </cell>
          <cell r="D6478" t="str">
            <v>AQF3978</v>
          </cell>
        </row>
        <row r="6479">
          <cell r="C6479" t="str">
            <v>AQF3979</v>
          </cell>
          <cell r="D6479" t="str">
            <v>AQF3979</v>
          </cell>
        </row>
        <row r="6480">
          <cell r="C6480" t="str">
            <v>AQG6124</v>
          </cell>
          <cell r="D6480" t="str">
            <v>AQG6124</v>
          </cell>
        </row>
        <row r="6481">
          <cell r="C6481" t="str">
            <v>AQI7639</v>
          </cell>
          <cell r="D6481" t="str">
            <v>AQI7639</v>
          </cell>
        </row>
        <row r="6482">
          <cell r="C6482" t="str">
            <v>AQI7G39</v>
          </cell>
          <cell r="D6482" t="str">
            <v>AQI7G39</v>
          </cell>
        </row>
        <row r="6483">
          <cell r="C6483" t="str">
            <v>AQJ8124</v>
          </cell>
          <cell r="D6483" t="str">
            <v>AQJ8124</v>
          </cell>
        </row>
        <row r="6484">
          <cell r="C6484" t="str">
            <v>AQK9411</v>
          </cell>
          <cell r="D6484" t="str">
            <v>AQK9411</v>
          </cell>
        </row>
        <row r="6485">
          <cell r="C6485" t="str">
            <v>AQM3065</v>
          </cell>
          <cell r="D6485" t="str">
            <v>AQM3065</v>
          </cell>
        </row>
        <row r="6486">
          <cell r="C6486" t="str">
            <v>AQN1G65</v>
          </cell>
          <cell r="D6486" t="str">
            <v>AQN1G65</v>
          </cell>
        </row>
        <row r="6487">
          <cell r="C6487" t="str">
            <v>AQN3954</v>
          </cell>
          <cell r="D6487" t="str">
            <v>AQN3954</v>
          </cell>
        </row>
        <row r="6488">
          <cell r="C6488" t="str">
            <v>AQN4185</v>
          </cell>
          <cell r="D6488" t="str">
            <v>AQN4185</v>
          </cell>
        </row>
        <row r="6489">
          <cell r="C6489" t="str">
            <v>AQO1745</v>
          </cell>
          <cell r="D6489" t="str">
            <v>AQO1745</v>
          </cell>
        </row>
        <row r="6490">
          <cell r="C6490" t="str">
            <v>AQP4157</v>
          </cell>
          <cell r="D6490" t="str">
            <v>AQP4157</v>
          </cell>
        </row>
        <row r="6491">
          <cell r="C6491" t="str">
            <v>AQT7110</v>
          </cell>
          <cell r="D6491" t="str">
            <v>AQT7110</v>
          </cell>
        </row>
        <row r="6492">
          <cell r="C6492" t="str">
            <v>AQV1720</v>
          </cell>
          <cell r="D6492" t="str">
            <v>AQV1720</v>
          </cell>
        </row>
        <row r="6493">
          <cell r="C6493" t="str">
            <v>AQW5246</v>
          </cell>
          <cell r="D6493" t="str">
            <v>AQW5246</v>
          </cell>
        </row>
        <row r="6494">
          <cell r="C6494" t="str">
            <v>AQZ4759</v>
          </cell>
          <cell r="D6494" t="str">
            <v>AQZ4759</v>
          </cell>
        </row>
        <row r="6495">
          <cell r="C6495" t="str">
            <v>AQZ7I30</v>
          </cell>
          <cell r="D6495" t="str">
            <v>AQZ7I30</v>
          </cell>
        </row>
        <row r="6496">
          <cell r="C6496" t="str">
            <v>ARD8000</v>
          </cell>
          <cell r="D6496" t="str">
            <v>ARD8000</v>
          </cell>
        </row>
        <row r="6497">
          <cell r="C6497" t="str">
            <v>ARE5181</v>
          </cell>
          <cell r="D6497" t="str">
            <v>ARE5181</v>
          </cell>
        </row>
        <row r="6498">
          <cell r="C6498" t="str">
            <v>ARK0217</v>
          </cell>
          <cell r="D6498" t="str">
            <v>ARK0217</v>
          </cell>
        </row>
        <row r="6499">
          <cell r="C6499" t="str">
            <v>ARK9708</v>
          </cell>
          <cell r="D6499" t="str">
            <v>ARK9708</v>
          </cell>
        </row>
        <row r="6500">
          <cell r="C6500" t="str">
            <v>ARL4543</v>
          </cell>
          <cell r="D6500" t="str">
            <v>ARL4543</v>
          </cell>
        </row>
        <row r="6501">
          <cell r="C6501" t="str">
            <v>ARM0638</v>
          </cell>
          <cell r="D6501" t="str">
            <v>ARM0638</v>
          </cell>
        </row>
        <row r="6502">
          <cell r="C6502" t="str">
            <v>ARP9D89</v>
          </cell>
          <cell r="D6502" t="str">
            <v>ARP9D89</v>
          </cell>
        </row>
        <row r="6503">
          <cell r="C6503" t="str">
            <v>ARQ1501</v>
          </cell>
          <cell r="D6503" t="str">
            <v>ARQ1501</v>
          </cell>
        </row>
        <row r="6504">
          <cell r="C6504" t="str">
            <v>ARQ8804</v>
          </cell>
          <cell r="D6504" t="str">
            <v>ARQ8804</v>
          </cell>
        </row>
        <row r="6505">
          <cell r="C6505" t="str">
            <v>ARR4436</v>
          </cell>
          <cell r="D6505" t="str">
            <v>ARR4436</v>
          </cell>
        </row>
        <row r="6506">
          <cell r="C6506" t="str">
            <v>ARS7719</v>
          </cell>
          <cell r="D6506" t="str">
            <v>ARS7719</v>
          </cell>
        </row>
        <row r="6507">
          <cell r="C6507" t="str">
            <v>ART0656</v>
          </cell>
          <cell r="D6507" t="str">
            <v>ART0656</v>
          </cell>
        </row>
        <row r="6508">
          <cell r="C6508" t="str">
            <v>ARV4893</v>
          </cell>
          <cell r="D6508" t="str">
            <v>ARV4893</v>
          </cell>
        </row>
        <row r="6509">
          <cell r="C6509" t="str">
            <v>ARX6314</v>
          </cell>
          <cell r="D6509" t="str">
            <v>ARX6314</v>
          </cell>
        </row>
        <row r="6510">
          <cell r="C6510" t="str">
            <v>ARX7847</v>
          </cell>
          <cell r="D6510" t="str">
            <v>ARX7847</v>
          </cell>
        </row>
        <row r="6511">
          <cell r="C6511" t="str">
            <v>ARY9I42</v>
          </cell>
          <cell r="D6511" t="str">
            <v>ARY9I42</v>
          </cell>
        </row>
        <row r="6512">
          <cell r="C6512" t="str">
            <v>ARZ4893</v>
          </cell>
          <cell r="D6512" t="str">
            <v>ARZ4893</v>
          </cell>
        </row>
        <row r="6513">
          <cell r="C6513" t="str">
            <v>ASA0897</v>
          </cell>
          <cell r="D6513" t="str">
            <v>ASA0897</v>
          </cell>
        </row>
        <row r="6514">
          <cell r="C6514" t="str">
            <v>ASA6A11</v>
          </cell>
          <cell r="D6514" t="str">
            <v>ASA6A11</v>
          </cell>
        </row>
        <row r="6515">
          <cell r="C6515" t="str">
            <v>ASB6382</v>
          </cell>
          <cell r="D6515" t="str">
            <v>ASB6382</v>
          </cell>
        </row>
        <row r="6516">
          <cell r="C6516" t="str">
            <v>ASD4G79</v>
          </cell>
          <cell r="D6516" t="str">
            <v>ASD4G79</v>
          </cell>
        </row>
        <row r="6517">
          <cell r="C6517" t="str">
            <v>ASE0423</v>
          </cell>
          <cell r="D6517" t="str">
            <v>ASE0423</v>
          </cell>
        </row>
        <row r="6518">
          <cell r="C6518" t="str">
            <v>ASE1845</v>
          </cell>
          <cell r="D6518" t="str">
            <v>ASE1845</v>
          </cell>
        </row>
        <row r="6519">
          <cell r="C6519" t="str">
            <v>ASE3103</v>
          </cell>
          <cell r="D6519" t="str">
            <v>ASE3103</v>
          </cell>
        </row>
        <row r="6520">
          <cell r="C6520" t="str">
            <v>ASF1845</v>
          </cell>
          <cell r="D6520" t="str">
            <v>ASF1845</v>
          </cell>
        </row>
        <row r="6521">
          <cell r="C6521" t="str">
            <v>ASJ2067</v>
          </cell>
          <cell r="D6521" t="str">
            <v>ASJ2067</v>
          </cell>
        </row>
        <row r="6522">
          <cell r="C6522" t="str">
            <v>ASL3842</v>
          </cell>
          <cell r="D6522" t="str">
            <v>ASL3842</v>
          </cell>
        </row>
        <row r="6523">
          <cell r="C6523" t="str">
            <v>ASL7B53</v>
          </cell>
          <cell r="D6523" t="str">
            <v>ASL7B53</v>
          </cell>
        </row>
        <row r="6524">
          <cell r="C6524" t="str">
            <v>ASM1661</v>
          </cell>
          <cell r="D6524" t="str">
            <v>ASM1661</v>
          </cell>
        </row>
        <row r="6525">
          <cell r="C6525" t="str">
            <v>ASP3584</v>
          </cell>
          <cell r="D6525" t="str">
            <v>ASP3584</v>
          </cell>
        </row>
        <row r="6526">
          <cell r="C6526" t="str">
            <v>ASP5048</v>
          </cell>
          <cell r="D6526" t="str">
            <v>ASP5048</v>
          </cell>
        </row>
        <row r="6527">
          <cell r="C6527" t="str">
            <v>ASP5049</v>
          </cell>
          <cell r="D6527" t="str">
            <v>ASP5049</v>
          </cell>
        </row>
        <row r="6528">
          <cell r="C6528" t="str">
            <v>ASP6D59</v>
          </cell>
          <cell r="D6528" t="str">
            <v>ASP6D59</v>
          </cell>
        </row>
        <row r="6529">
          <cell r="C6529" t="str">
            <v>ASP9417</v>
          </cell>
          <cell r="D6529" t="str">
            <v>ASP9417</v>
          </cell>
        </row>
        <row r="6530">
          <cell r="C6530" t="str">
            <v>ASR6253</v>
          </cell>
          <cell r="D6530" t="str">
            <v>ASR6253</v>
          </cell>
        </row>
        <row r="6531">
          <cell r="C6531" t="str">
            <v>AST2F63</v>
          </cell>
          <cell r="D6531" t="str">
            <v>AST2F63</v>
          </cell>
        </row>
        <row r="6532">
          <cell r="C6532" t="str">
            <v>AST6996</v>
          </cell>
          <cell r="D6532" t="str">
            <v>AST6996</v>
          </cell>
        </row>
        <row r="6533">
          <cell r="C6533" t="str">
            <v>ASV2371</v>
          </cell>
          <cell r="D6533" t="str">
            <v>ASV2371</v>
          </cell>
        </row>
        <row r="6534">
          <cell r="C6534" t="str">
            <v>ASV4806</v>
          </cell>
          <cell r="D6534" t="str">
            <v>ASV4806</v>
          </cell>
        </row>
        <row r="6535">
          <cell r="C6535" t="str">
            <v>ASW8553</v>
          </cell>
          <cell r="D6535" t="str">
            <v>ASW8553</v>
          </cell>
        </row>
        <row r="6536">
          <cell r="C6536" t="str">
            <v>ASW8F53</v>
          </cell>
          <cell r="D6536" t="str">
            <v>ASW8F53</v>
          </cell>
        </row>
        <row r="6537">
          <cell r="C6537" t="str">
            <v>ASX2171</v>
          </cell>
          <cell r="D6537" t="str">
            <v>ASX2171</v>
          </cell>
        </row>
        <row r="6538">
          <cell r="C6538" t="str">
            <v>ASY6574</v>
          </cell>
          <cell r="D6538" t="str">
            <v>ASY6574</v>
          </cell>
        </row>
        <row r="6539">
          <cell r="C6539" t="str">
            <v>ASZ4656</v>
          </cell>
          <cell r="D6539" t="str">
            <v>ASZ4656</v>
          </cell>
        </row>
        <row r="6540">
          <cell r="C6540" t="str">
            <v>ASZ5708</v>
          </cell>
          <cell r="D6540" t="str">
            <v>ASZ5708</v>
          </cell>
        </row>
        <row r="6541">
          <cell r="C6541" t="str">
            <v>ATA0F55</v>
          </cell>
          <cell r="D6541" t="str">
            <v>ATA0F55</v>
          </cell>
        </row>
        <row r="6542">
          <cell r="C6542" t="str">
            <v>ATA5268</v>
          </cell>
          <cell r="D6542" t="str">
            <v>ATA5268</v>
          </cell>
        </row>
        <row r="6543">
          <cell r="C6543" t="str">
            <v>ATA9206</v>
          </cell>
          <cell r="D6543" t="str">
            <v>ATA9206</v>
          </cell>
        </row>
        <row r="6544">
          <cell r="C6544" t="str">
            <v>ATB4982</v>
          </cell>
          <cell r="D6544" t="str">
            <v>ATB4982</v>
          </cell>
        </row>
        <row r="6545">
          <cell r="C6545" t="str">
            <v>ATD7274</v>
          </cell>
          <cell r="D6545" t="str">
            <v>ATD7274</v>
          </cell>
        </row>
        <row r="6546">
          <cell r="C6546" t="str">
            <v>ATD7I22</v>
          </cell>
          <cell r="D6546" t="str">
            <v>ATD7I22</v>
          </cell>
        </row>
        <row r="6547">
          <cell r="C6547" t="str">
            <v>ATE2D40</v>
          </cell>
          <cell r="D6547" t="str">
            <v>ATE2D40</v>
          </cell>
        </row>
        <row r="6548">
          <cell r="C6548" t="str">
            <v>ATE6460</v>
          </cell>
          <cell r="D6548" t="str">
            <v>ATE6460</v>
          </cell>
        </row>
        <row r="6549">
          <cell r="C6549" t="str">
            <v>ATE8883</v>
          </cell>
          <cell r="D6549" t="str">
            <v>ATE8883</v>
          </cell>
        </row>
        <row r="6550">
          <cell r="C6550" t="str">
            <v>ATG1666</v>
          </cell>
          <cell r="D6550" t="str">
            <v>ATG1666</v>
          </cell>
        </row>
        <row r="6551">
          <cell r="C6551" t="str">
            <v>ATG4B41</v>
          </cell>
          <cell r="D6551" t="str">
            <v>ATG4B41</v>
          </cell>
        </row>
        <row r="6552">
          <cell r="C6552" t="str">
            <v>ATI3600</v>
          </cell>
          <cell r="D6552" t="str">
            <v>ATI3600</v>
          </cell>
        </row>
        <row r="6553">
          <cell r="C6553" t="str">
            <v>ATI6234</v>
          </cell>
          <cell r="D6553" t="str">
            <v>ATI6234</v>
          </cell>
        </row>
        <row r="6554">
          <cell r="C6554" t="str">
            <v>ATI8961</v>
          </cell>
          <cell r="D6554" t="str">
            <v>ATI8961</v>
          </cell>
        </row>
        <row r="6555">
          <cell r="C6555" t="str">
            <v>ATJ4256</v>
          </cell>
          <cell r="D6555" t="str">
            <v>ATJ4256</v>
          </cell>
        </row>
        <row r="6556">
          <cell r="C6556" t="str">
            <v>ATK4264</v>
          </cell>
          <cell r="D6556" t="str">
            <v>ATK4264</v>
          </cell>
        </row>
        <row r="6557">
          <cell r="C6557" t="str">
            <v>ATL3693</v>
          </cell>
          <cell r="D6557" t="str">
            <v>ATL3693</v>
          </cell>
        </row>
        <row r="6558">
          <cell r="C6558" t="str">
            <v>ATL5641</v>
          </cell>
          <cell r="D6558" t="str">
            <v>ATL5641</v>
          </cell>
        </row>
        <row r="6559">
          <cell r="C6559" t="str">
            <v>ATM0J34</v>
          </cell>
          <cell r="D6559" t="str">
            <v>ATM0J34</v>
          </cell>
        </row>
        <row r="6560">
          <cell r="C6560" t="str">
            <v>ATO1655</v>
          </cell>
          <cell r="D6560" t="str">
            <v>ATO1655</v>
          </cell>
        </row>
        <row r="6561">
          <cell r="C6561" t="str">
            <v>ATO2623</v>
          </cell>
          <cell r="D6561" t="str">
            <v>ATO2623</v>
          </cell>
        </row>
        <row r="6562">
          <cell r="C6562" t="str">
            <v>ATO4622</v>
          </cell>
          <cell r="D6562" t="str">
            <v>ATO4622</v>
          </cell>
        </row>
        <row r="6563">
          <cell r="C6563" t="str">
            <v>ATO5H07</v>
          </cell>
          <cell r="D6563" t="str">
            <v>ATO5H07</v>
          </cell>
        </row>
        <row r="6564">
          <cell r="C6564" t="str">
            <v>ATR1158</v>
          </cell>
          <cell r="D6564" t="str">
            <v>ATR1158</v>
          </cell>
        </row>
        <row r="6565">
          <cell r="C6565" t="str">
            <v>ATR1231</v>
          </cell>
          <cell r="D6565" t="str">
            <v>ATR1231</v>
          </cell>
        </row>
        <row r="6566">
          <cell r="C6566" t="str">
            <v>ATR7662</v>
          </cell>
          <cell r="D6566" t="str">
            <v>ATR7662</v>
          </cell>
        </row>
        <row r="6567">
          <cell r="C6567" t="str">
            <v>ATR8H69</v>
          </cell>
          <cell r="D6567" t="str">
            <v>ATR8H69</v>
          </cell>
        </row>
        <row r="6568">
          <cell r="C6568" t="str">
            <v>ATS1368</v>
          </cell>
          <cell r="D6568" t="str">
            <v>ATS1368</v>
          </cell>
        </row>
        <row r="6569">
          <cell r="C6569" t="str">
            <v>ATS4G29</v>
          </cell>
          <cell r="D6569" t="str">
            <v>ATS4G29</v>
          </cell>
        </row>
        <row r="6570">
          <cell r="C6570" t="str">
            <v>ATT2580</v>
          </cell>
          <cell r="D6570" t="str">
            <v>ATT2580</v>
          </cell>
        </row>
        <row r="6571">
          <cell r="C6571" t="str">
            <v>ATT3974</v>
          </cell>
          <cell r="D6571" t="str">
            <v>ATT3974</v>
          </cell>
        </row>
        <row r="6572">
          <cell r="C6572" t="str">
            <v>ATU1418</v>
          </cell>
          <cell r="D6572" t="str">
            <v>ATU1418</v>
          </cell>
        </row>
        <row r="6573">
          <cell r="C6573" t="str">
            <v>ATU3078</v>
          </cell>
          <cell r="D6573" t="str">
            <v>ATU3078</v>
          </cell>
        </row>
        <row r="6574">
          <cell r="C6574" t="str">
            <v>ATU5314</v>
          </cell>
          <cell r="D6574" t="str">
            <v>ATU5314</v>
          </cell>
        </row>
        <row r="6575">
          <cell r="C6575" t="str">
            <v>ATU5383</v>
          </cell>
          <cell r="D6575" t="str">
            <v>ATU5383</v>
          </cell>
        </row>
        <row r="6576">
          <cell r="C6576" t="str">
            <v>ATU8839</v>
          </cell>
          <cell r="D6576" t="str">
            <v>ATU8839</v>
          </cell>
        </row>
        <row r="6577">
          <cell r="C6577" t="str">
            <v>ATW8613</v>
          </cell>
          <cell r="D6577" t="str">
            <v>ATW8613</v>
          </cell>
        </row>
        <row r="6578">
          <cell r="C6578" t="str">
            <v>ATW9424</v>
          </cell>
          <cell r="D6578" t="str">
            <v>ATW9424</v>
          </cell>
        </row>
        <row r="6579">
          <cell r="C6579" t="str">
            <v>ATX5040</v>
          </cell>
          <cell r="D6579" t="str">
            <v>ATX5040</v>
          </cell>
        </row>
        <row r="6580">
          <cell r="C6580" t="str">
            <v>ATX8372</v>
          </cell>
          <cell r="D6580" t="str">
            <v>ATX8372</v>
          </cell>
        </row>
        <row r="6581">
          <cell r="C6581" t="str">
            <v>ATX9036</v>
          </cell>
          <cell r="D6581" t="str">
            <v>ATX9036</v>
          </cell>
        </row>
        <row r="6582">
          <cell r="C6582" t="str">
            <v>ATY0570</v>
          </cell>
          <cell r="D6582" t="str">
            <v>ATY0570</v>
          </cell>
        </row>
        <row r="6583">
          <cell r="C6583" t="str">
            <v>ATY7624</v>
          </cell>
          <cell r="D6583" t="str">
            <v>ATY7624</v>
          </cell>
        </row>
        <row r="6584">
          <cell r="C6584" t="str">
            <v>ATY9057</v>
          </cell>
          <cell r="D6584" t="str">
            <v>ATY9057</v>
          </cell>
        </row>
        <row r="6585">
          <cell r="C6585" t="str">
            <v>ATZ4086</v>
          </cell>
          <cell r="D6585" t="str">
            <v>ATZ4086</v>
          </cell>
        </row>
        <row r="6586">
          <cell r="C6586" t="str">
            <v>ATZ6738</v>
          </cell>
          <cell r="D6586" t="str">
            <v>ATZ6738</v>
          </cell>
        </row>
        <row r="6587">
          <cell r="C6587" t="str">
            <v>AUC2754</v>
          </cell>
          <cell r="D6587" t="str">
            <v>AUC2754</v>
          </cell>
        </row>
        <row r="6588">
          <cell r="C6588" t="str">
            <v>AUC6170</v>
          </cell>
          <cell r="D6588" t="str">
            <v>AUC6170</v>
          </cell>
        </row>
        <row r="6589">
          <cell r="C6589" t="str">
            <v>AUD1I36</v>
          </cell>
          <cell r="D6589" t="str">
            <v>AUD1I36</v>
          </cell>
        </row>
        <row r="6590">
          <cell r="C6590" t="str">
            <v>AUD3911</v>
          </cell>
          <cell r="D6590" t="str">
            <v>AUD3911</v>
          </cell>
        </row>
        <row r="6591">
          <cell r="C6591" t="str">
            <v>AUD5815</v>
          </cell>
          <cell r="D6591" t="str">
            <v>AUD5815</v>
          </cell>
        </row>
        <row r="6592">
          <cell r="C6592" t="str">
            <v>AUE3784</v>
          </cell>
          <cell r="D6592" t="str">
            <v>AUE3784</v>
          </cell>
        </row>
        <row r="6593">
          <cell r="C6593" t="str">
            <v>AUE9913</v>
          </cell>
          <cell r="D6593" t="str">
            <v>AUE9913</v>
          </cell>
        </row>
        <row r="6594">
          <cell r="C6594" t="str">
            <v>AUH9530</v>
          </cell>
          <cell r="D6594" t="str">
            <v>AUH9530</v>
          </cell>
        </row>
        <row r="6595">
          <cell r="C6595" t="str">
            <v>AUI7117</v>
          </cell>
          <cell r="D6595" t="str">
            <v>AUI7117</v>
          </cell>
        </row>
        <row r="6596">
          <cell r="C6596" t="str">
            <v>AUK7853</v>
          </cell>
          <cell r="D6596" t="str">
            <v>AUK7853</v>
          </cell>
        </row>
        <row r="6597">
          <cell r="C6597" t="str">
            <v>AUM2020</v>
          </cell>
          <cell r="D6597" t="str">
            <v>AUM2020</v>
          </cell>
        </row>
        <row r="6598">
          <cell r="C6598" t="str">
            <v>AUN1263</v>
          </cell>
          <cell r="D6598" t="str">
            <v>AUN1263</v>
          </cell>
        </row>
        <row r="6599">
          <cell r="C6599" t="str">
            <v>AUN3914</v>
          </cell>
          <cell r="D6599" t="str">
            <v>AUN3914</v>
          </cell>
        </row>
        <row r="6600">
          <cell r="C6600" t="str">
            <v>AUP2D25</v>
          </cell>
          <cell r="D6600" t="str">
            <v>AUP2D25</v>
          </cell>
        </row>
        <row r="6601">
          <cell r="C6601" t="str">
            <v>AUQ1898</v>
          </cell>
          <cell r="D6601" t="str">
            <v>AUQ1898</v>
          </cell>
        </row>
        <row r="6602">
          <cell r="C6602" t="str">
            <v>AUR3380</v>
          </cell>
          <cell r="D6602" t="str">
            <v>AUR3380</v>
          </cell>
        </row>
        <row r="6603">
          <cell r="C6603" t="str">
            <v>AUW1J33</v>
          </cell>
          <cell r="D6603" t="str">
            <v>AUW1J33</v>
          </cell>
        </row>
        <row r="6604">
          <cell r="C6604" t="str">
            <v>AUW9519</v>
          </cell>
          <cell r="D6604" t="str">
            <v>AUW9519</v>
          </cell>
        </row>
        <row r="6605">
          <cell r="C6605" t="str">
            <v>AUY5259</v>
          </cell>
          <cell r="D6605" t="str">
            <v>AUY5259</v>
          </cell>
        </row>
        <row r="6606">
          <cell r="C6606" t="str">
            <v>AUZ5165</v>
          </cell>
          <cell r="D6606" t="str">
            <v>AUZ5165</v>
          </cell>
        </row>
        <row r="6607">
          <cell r="C6607" t="str">
            <v>AUZ7993</v>
          </cell>
          <cell r="D6607" t="str">
            <v>AUZ7993</v>
          </cell>
        </row>
        <row r="6608">
          <cell r="C6608" t="str">
            <v>AVA2F94</v>
          </cell>
          <cell r="D6608" t="str">
            <v>AVA2F94</v>
          </cell>
        </row>
        <row r="6609">
          <cell r="C6609" t="str">
            <v>AVA6E12</v>
          </cell>
          <cell r="D6609" t="str">
            <v>AVA6E12</v>
          </cell>
        </row>
        <row r="6610">
          <cell r="C6610" t="str">
            <v>AVB8264</v>
          </cell>
          <cell r="D6610" t="str">
            <v>AVB8264</v>
          </cell>
        </row>
        <row r="6611">
          <cell r="C6611" t="str">
            <v>AVC4302</v>
          </cell>
          <cell r="D6611" t="str">
            <v>AVC4302</v>
          </cell>
        </row>
        <row r="6612">
          <cell r="C6612" t="str">
            <v>AVE2413</v>
          </cell>
          <cell r="D6612" t="str">
            <v>AVE2413</v>
          </cell>
        </row>
        <row r="6613">
          <cell r="C6613" t="str">
            <v>AVE4117</v>
          </cell>
          <cell r="D6613" t="str">
            <v>AVE4117</v>
          </cell>
        </row>
        <row r="6614">
          <cell r="C6614" t="str">
            <v>AVE9G54</v>
          </cell>
          <cell r="D6614" t="str">
            <v>AVE9G54</v>
          </cell>
        </row>
        <row r="6615">
          <cell r="C6615" t="str">
            <v>AVG2339</v>
          </cell>
          <cell r="D6615" t="str">
            <v>AVG2339</v>
          </cell>
        </row>
        <row r="6616">
          <cell r="C6616" t="str">
            <v>AVI4651</v>
          </cell>
          <cell r="D6616" t="str">
            <v>AVI4651</v>
          </cell>
        </row>
        <row r="6617">
          <cell r="C6617" t="str">
            <v>AVI4925</v>
          </cell>
          <cell r="D6617" t="str">
            <v>AVI4925</v>
          </cell>
        </row>
        <row r="6618">
          <cell r="C6618" t="str">
            <v>AVJ1586</v>
          </cell>
          <cell r="D6618" t="str">
            <v>AVJ1586</v>
          </cell>
        </row>
        <row r="6619">
          <cell r="C6619" t="str">
            <v>AVJ6608</v>
          </cell>
          <cell r="D6619" t="str">
            <v>AVJ6608</v>
          </cell>
        </row>
        <row r="6620">
          <cell r="C6620" t="str">
            <v>AVK2402</v>
          </cell>
          <cell r="D6620" t="str">
            <v>AVK2402</v>
          </cell>
        </row>
        <row r="6621">
          <cell r="C6621" t="str">
            <v>AVK8671</v>
          </cell>
          <cell r="D6621" t="str">
            <v>AVK8671</v>
          </cell>
        </row>
        <row r="6622">
          <cell r="C6622" t="str">
            <v>AVN0734</v>
          </cell>
          <cell r="D6622" t="str">
            <v>AVN0734</v>
          </cell>
        </row>
        <row r="6623">
          <cell r="C6623" t="str">
            <v>AVN4449</v>
          </cell>
          <cell r="D6623" t="str">
            <v>AVN4449</v>
          </cell>
        </row>
        <row r="6624">
          <cell r="C6624" t="str">
            <v>AVN5I18</v>
          </cell>
          <cell r="D6624" t="str">
            <v>AVN5I18</v>
          </cell>
        </row>
        <row r="6625">
          <cell r="C6625" t="str">
            <v>AVN8A11</v>
          </cell>
          <cell r="D6625" t="str">
            <v>AVN8A11</v>
          </cell>
        </row>
        <row r="6626">
          <cell r="C6626" t="str">
            <v>AVN9075</v>
          </cell>
          <cell r="D6626" t="str">
            <v>AVN9075</v>
          </cell>
        </row>
        <row r="6627">
          <cell r="C6627" t="str">
            <v>AVO4D85</v>
          </cell>
          <cell r="D6627" t="str">
            <v>AVO4D85</v>
          </cell>
        </row>
        <row r="6628">
          <cell r="C6628" t="str">
            <v>AVP1C30</v>
          </cell>
          <cell r="D6628" t="str">
            <v>AVP1C30</v>
          </cell>
        </row>
        <row r="6629">
          <cell r="C6629" t="str">
            <v>AVS8031</v>
          </cell>
          <cell r="D6629" t="str">
            <v>AVS8031</v>
          </cell>
        </row>
        <row r="6630">
          <cell r="C6630" t="str">
            <v>AVT5662</v>
          </cell>
          <cell r="D6630" t="str">
            <v>AVT5662</v>
          </cell>
        </row>
        <row r="6631">
          <cell r="C6631" t="str">
            <v>AVU4368</v>
          </cell>
          <cell r="D6631" t="str">
            <v>AVU4368</v>
          </cell>
        </row>
        <row r="6632">
          <cell r="C6632" t="str">
            <v>AVV2152</v>
          </cell>
          <cell r="D6632" t="str">
            <v>AVV2152</v>
          </cell>
        </row>
        <row r="6633">
          <cell r="C6633" t="str">
            <v>AVV8D90</v>
          </cell>
          <cell r="D6633" t="str">
            <v>AVV8D90</v>
          </cell>
        </row>
        <row r="6634">
          <cell r="C6634" t="str">
            <v>AWB5371</v>
          </cell>
          <cell r="D6634" t="str">
            <v>AWB5371</v>
          </cell>
        </row>
        <row r="6635">
          <cell r="C6635" t="str">
            <v>AWB8902</v>
          </cell>
          <cell r="D6635" t="str">
            <v>AWB8902</v>
          </cell>
        </row>
        <row r="6636">
          <cell r="C6636" t="str">
            <v>AWF7762</v>
          </cell>
          <cell r="D6636" t="str">
            <v>AWF7762</v>
          </cell>
        </row>
        <row r="6637">
          <cell r="C6637" t="str">
            <v>AWF9303</v>
          </cell>
          <cell r="D6637" t="str">
            <v>AWF9303</v>
          </cell>
        </row>
        <row r="6638">
          <cell r="C6638" t="str">
            <v>AWI1I88</v>
          </cell>
          <cell r="D6638" t="str">
            <v>AWI1I88</v>
          </cell>
        </row>
        <row r="6639">
          <cell r="C6639" t="str">
            <v>AWI2237</v>
          </cell>
          <cell r="D6639" t="str">
            <v>AWI2237</v>
          </cell>
        </row>
        <row r="6640">
          <cell r="C6640" t="str">
            <v>AWI2572</v>
          </cell>
          <cell r="D6640" t="str">
            <v>AWI2572</v>
          </cell>
        </row>
        <row r="6641">
          <cell r="C6641" t="str">
            <v>AWK9B23</v>
          </cell>
          <cell r="D6641" t="str">
            <v>AWK9B23</v>
          </cell>
        </row>
        <row r="6642">
          <cell r="C6642" t="str">
            <v>AWL0102</v>
          </cell>
          <cell r="D6642" t="str">
            <v>AWL0102</v>
          </cell>
        </row>
        <row r="6643">
          <cell r="C6643" t="str">
            <v>AWL7050</v>
          </cell>
          <cell r="D6643" t="str">
            <v>AWL7050</v>
          </cell>
        </row>
        <row r="6644">
          <cell r="C6644" t="str">
            <v>AWL8775</v>
          </cell>
          <cell r="D6644" t="str">
            <v>AWL8775</v>
          </cell>
        </row>
        <row r="6645">
          <cell r="C6645" t="str">
            <v>AWM1E64</v>
          </cell>
          <cell r="D6645" t="str">
            <v>AWM1E64</v>
          </cell>
        </row>
        <row r="6646">
          <cell r="C6646" t="str">
            <v>AWN1445</v>
          </cell>
          <cell r="D6646" t="str">
            <v>AWN1445</v>
          </cell>
        </row>
        <row r="6647">
          <cell r="C6647" t="str">
            <v>AWN1I32</v>
          </cell>
          <cell r="D6647" t="str">
            <v>AWN1I32</v>
          </cell>
        </row>
        <row r="6648">
          <cell r="C6648" t="str">
            <v>AWN5780</v>
          </cell>
          <cell r="D6648" t="str">
            <v>AWN5780</v>
          </cell>
        </row>
        <row r="6649">
          <cell r="C6649" t="str">
            <v>AWN8498</v>
          </cell>
          <cell r="D6649" t="str">
            <v>AWN8498</v>
          </cell>
        </row>
        <row r="6650">
          <cell r="C6650" t="str">
            <v>AWN8948</v>
          </cell>
          <cell r="D6650" t="str">
            <v>AWN8948</v>
          </cell>
        </row>
        <row r="6651">
          <cell r="C6651" t="str">
            <v>AWP0093</v>
          </cell>
          <cell r="D6651" t="str">
            <v>AWP0093</v>
          </cell>
        </row>
        <row r="6652">
          <cell r="C6652" t="str">
            <v>AWP8165</v>
          </cell>
          <cell r="D6652" t="str">
            <v>AWP8165</v>
          </cell>
        </row>
        <row r="6653">
          <cell r="C6653" t="str">
            <v>AWP8B65</v>
          </cell>
          <cell r="D6653" t="str">
            <v>AWP8B65</v>
          </cell>
        </row>
        <row r="6654">
          <cell r="C6654" t="str">
            <v>AWR1893</v>
          </cell>
          <cell r="D6654" t="str">
            <v>AWR1893</v>
          </cell>
        </row>
        <row r="6655">
          <cell r="C6655" t="str">
            <v>AWR3874</v>
          </cell>
          <cell r="D6655" t="str">
            <v>AWR3874</v>
          </cell>
        </row>
        <row r="6656">
          <cell r="C6656" t="str">
            <v>AWV1D29</v>
          </cell>
          <cell r="D6656" t="str">
            <v>AWV1D29</v>
          </cell>
        </row>
        <row r="6657">
          <cell r="C6657" t="str">
            <v>AWV2572</v>
          </cell>
          <cell r="D6657" t="str">
            <v>AWV2572</v>
          </cell>
        </row>
        <row r="6658">
          <cell r="C6658" t="str">
            <v>AWV8024</v>
          </cell>
          <cell r="D6658" t="str">
            <v>AWV8024</v>
          </cell>
        </row>
        <row r="6659">
          <cell r="C6659" t="str">
            <v>AWY2894</v>
          </cell>
          <cell r="D6659" t="str">
            <v>AWY2894</v>
          </cell>
        </row>
        <row r="6660">
          <cell r="C6660" t="str">
            <v>AXA2152</v>
          </cell>
          <cell r="D6660" t="str">
            <v>AXA2152</v>
          </cell>
        </row>
        <row r="6661">
          <cell r="C6661" t="str">
            <v>AXA6010</v>
          </cell>
          <cell r="D6661" t="str">
            <v>AXA6010</v>
          </cell>
        </row>
        <row r="6662">
          <cell r="C6662" t="str">
            <v>AXA7C10</v>
          </cell>
          <cell r="D6662" t="str">
            <v>AXA7C10</v>
          </cell>
        </row>
        <row r="6663">
          <cell r="C6663" t="str">
            <v>AXB0D52</v>
          </cell>
          <cell r="D6663" t="str">
            <v>AXB0D52</v>
          </cell>
        </row>
        <row r="6664">
          <cell r="C6664" t="str">
            <v>AXB9476</v>
          </cell>
          <cell r="D6664" t="str">
            <v>AXB9476</v>
          </cell>
        </row>
        <row r="6665">
          <cell r="C6665" t="str">
            <v>AXD0878</v>
          </cell>
          <cell r="D6665" t="str">
            <v>AXD0878</v>
          </cell>
        </row>
        <row r="6666">
          <cell r="C6666" t="str">
            <v>AXD6F64</v>
          </cell>
          <cell r="D6666" t="str">
            <v>AXD6F64</v>
          </cell>
        </row>
        <row r="6667">
          <cell r="C6667" t="str">
            <v>AXE4A23</v>
          </cell>
          <cell r="D6667" t="str">
            <v>AXE4A23</v>
          </cell>
        </row>
        <row r="6668">
          <cell r="C6668" t="str">
            <v>AXE7309</v>
          </cell>
          <cell r="D6668" t="str">
            <v>AXE7309</v>
          </cell>
        </row>
        <row r="6669">
          <cell r="C6669" t="str">
            <v>AXF4923</v>
          </cell>
          <cell r="D6669" t="str">
            <v>AXF4923</v>
          </cell>
        </row>
        <row r="6670">
          <cell r="C6670" t="str">
            <v>AXH8F78</v>
          </cell>
          <cell r="D6670" t="str">
            <v>AXH8F78</v>
          </cell>
        </row>
        <row r="6671">
          <cell r="C6671" t="str">
            <v>AXI2185</v>
          </cell>
          <cell r="D6671" t="str">
            <v>AXI2185</v>
          </cell>
        </row>
        <row r="6672">
          <cell r="C6672" t="str">
            <v>AXI2C13</v>
          </cell>
          <cell r="D6672" t="str">
            <v>AXI2C13</v>
          </cell>
        </row>
        <row r="6673">
          <cell r="C6673" t="str">
            <v>AXI5064</v>
          </cell>
          <cell r="D6673" t="str">
            <v>AXI5064</v>
          </cell>
        </row>
        <row r="6674">
          <cell r="C6674" t="str">
            <v>AXJ7900</v>
          </cell>
          <cell r="D6674" t="str">
            <v>AXJ7900</v>
          </cell>
        </row>
        <row r="6675">
          <cell r="C6675" t="str">
            <v>AXK6665</v>
          </cell>
          <cell r="D6675" t="str">
            <v>AXK6665</v>
          </cell>
        </row>
        <row r="6676">
          <cell r="C6676" t="str">
            <v>AXM2975</v>
          </cell>
          <cell r="D6676" t="str">
            <v>AXM2975</v>
          </cell>
        </row>
        <row r="6677">
          <cell r="C6677" t="str">
            <v>AXN2868</v>
          </cell>
          <cell r="D6677" t="str">
            <v>AXN2868</v>
          </cell>
        </row>
        <row r="6678">
          <cell r="C6678" t="str">
            <v>AXN5412</v>
          </cell>
          <cell r="D6678" t="str">
            <v>AXN5412</v>
          </cell>
        </row>
        <row r="6679">
          <cell r="C6679" t="str">
            <v>AXO4562</v>
          </cell>
          <cell r="D6679" t="str">
            <v>AXO4562</v>
          </cell>
        </row>
        <row r="6680">
          <cell r="C6680" t="str">
            <v>AXP3821</v>
          </cell>
          <cell r="D6680" t="str">
            <v>AXP3821</v>
          </cell>
        </row>
        <row r="6681">
          <cell r="C6681" t="str">
            <v>AXQ3210</v>
          </cell>
          <cell r="D6681" t="str">
            <v>AXQ3210</v>
          </cell>
        </row>
        <row r="6682">
          <cell r="C6682" t="str">
            <v>AXQ3214</v>
          </cell>
          <cell r="D6682" t="str">
            <v>AXQ3214</v>
          </cell>
        </row>
        <row r="6683">
          <cell r="C6683" t="str">
            <v>AXQ3479</v>
          </cell>
          <cell r="D6683" t="str">
            <v>AXQ3479</v>
          </cell>
        </row>
        <row r="6684">
          <cell r="C6684" t="str">
            <v>AXR1F27</v>
          </cell>
          <cell r="D6684" t="str">
            <v>AXR1F27</v>
          </cell>
        </row>
        <row r="6685">
          <cell r="C6685" t="str">
            <v>AXR1F29</v>
          </cell>
          <cell r="D6685" t="str">
            <v>AXR1F29</v>
          </cell>
        </row>
        <row r="6686">
          <cell r="C6686" t="str">
            <v>AXR6I70</v>
          </cell>
          <cell r="D6686" t="str">
            <v>AXR6I70</v>
          </cell>
        </row>
        <row r="6687">
          <cell r="C6687" t="str">
            <v>AXR8156</v>
          </cell>
          <cell r="D6687" t="str">
            <v>AXR8156</v>
          </cell>
        </row>
        <row r="6688">
          <cell r="C6688" t="str">
            <v>AXY7463</v>
          </cell>
          <cell r="D6688" t="str">
            <v>AXY7463</v>
          </cell>
        </row>
        <row r="6689">
          <cell r="C6689" t="str">
            <v>AXZ7426</v>
          </cell>
          <cell r="D6689" t="str">
            <v>AXZ7426</v>
          </cell>
        </row>
        <row r="6690">
          <cell r="C6690" t="str">
            <v>AXZ7931</v>
          </cell>
          <cell r="D6690" t="str">
            <v>AXZ7931</v>
          </cell>
        </row>
        <row r="6691">
          <cell r="C6691" t="str">
            <v>AXZ9256</v>
          </cell>
          <cell r="D6691" t="str">
            <v>AXZ9256</v>
          </cell>
        </row>
        <row r="6692">
          <cell r="C6692" t="str">
            <v>AYB9531</v>
          </cell>
          <cell r="D6692" t="str">
            <v>AYB9531</v>
          </cell>
        </row>
        <row r="6693">
          <cell r="C6693" t="str">
            <v>AYC6355</v>
          </cell>
          <cell r="D6693" t="str">
            <v>AYC6355</v>
          </cell>
        </row>
        <row r="6694">
          <cell r="C6694" t="str">
            <v>AYC7259</v>
          </cell>
          <cell r="D6694" t="str">
            <v>AYC7259</v>
          </cell>
        </row>
        <row r="6695">
          <cell r="C6695" t="str">
            <v>AYC7D02</v>
          </cell>
          <cell r="D6695" t="str">
            <v>AYC7D02</v>
          </cell>
        </row>
        <row r="6696">
          <cell r="C6696" t="str">
            <v>AYC8741</v>
          </cell>
          <cell r="D6696" t="str">
            <v>AYC8741</v>
          </cell>
        </row>
        <row r="6697">
          <cell r="C6697" t="str">
            <v>AYD3969</v>
          </cell>
          <cell r="D6697" t="str">
            <v>AYD3969</v>
          </cell>
        </row>
        <row r="6698">
          <cell r="C6698" t="str">
            <v>AYH7442</v>
          </cell>
          <cell r="D6698" t="str">
            <v>AYH7442</v>
          </cell>
        </row>
        <row r="6699">
          <cell r="C6699" t="str">
            <v>AYJ0370</v>
          </cell>
          <cell r="D6699" t="str">
            <v>AYJ0370</v>
          </cell>
        </row>
        <row r="6700">
          <cell r="C6700" t="str">
            <v>AYJ9633</v>
          </cell>
          <cell r="D6700" t="str">
            <v>AYJ9633</v>
          </cell>
        </row>
        <row r="6701">
          <cell r="C6701" t="str">
            <v>AYK9502</v>
          </cell>
          <cell r="D6701" t="str">
            <v>AYK9502</v>
          </cell>
        </row>
        <row r="6702">
          <cell r="C6702" t="str">
            <v>AYL7G83</v>
          </cell>
          <cell r="D6702" t="str">
            <v>AYL7G83</v>
          </cell>
        </row>
        <row r="6703">
          <cell r="C6703" t="str">
            <v>AYM1G29</v>
          </cell>
          <cell r="D6703" t="str">
            <v>AYM1G29</v>
          </cell>
        </row>
        <row r="6704">
          <cell r="C6704" t="str">
            <v>AYN6A01</v>
          </cell>
          <cell r="D6704" t="str">
            <v>AYN6A01</v>
          </cell>
        </row>
        <row r="6705">
          <cell r="C6705" t="str">
            <v>AYN6G11</v>
          </cell>
          <cell r="D6705" t="str">
            <v>AYN6G11</v>
          </cell>
        </row>
        <row r="6706">
          <cell r="C6706" t="str">
            <v>AYN8D83</v>
          </cell>
          <cell r="D6706" t="str">
            <v>AYN8D83</v>
          </cell>
        </row>
        <row r="6707">
          <cell r="C6707" t="str">
            <v>AYN8I83</v>
          </cell>
          <cell r="D6707" t="str">
            <v>AYN8I83</v>
          </cell>
        </row>
        <row r="6708">
          <cell r="C6708" t="str">
            <v>AYN9A91</v>
          </cell>
          <cell r="D6708" t="str">
            <v>AYN9A91</v>
          </cell>
        </row>
        <row r="6709">
          <cell r="C6709" t="str">
            <v>AYP6783</v>
          </cell>
          <cell r="D6709" t="str">
            <v>AYP6783</v>
          </cell>
        </row>
        <row r="6710">
          <cell r="C6710" t="str">
            <v>AYU9422</v>
          </cell>
          <cell r="D6710" t="str">
            <v>AYU9422</v>
          </cell>
        </row>
        <row r="6711">
          <cell r="C6711" t="str">
            <v>AYV6365</v>
          </cell>
          <cell r="D6711" t="str">
            <v>AYV6365</v>
          </cell>
        </row>
        <row r="6712">
          <cell r="C6712" t="str">
            <v>AYW5659</v>
          </cell>
          <cell r="D6712" t="str">
            <v>AYW5659</v>
          </cell>
        </row>
        <row r="6713">
          <cell r="C6713" t="str">
            <v>AYX5044</v>
          </cell>
          <cell r="D6713" t="str">
            <v>AYX5044</v>
          </cell>
        </row>
        <row r="6714">
          <cell r="C6714" t="str">
            <v>AYY7098</v>
          </cell>
          <cell r="D6714" t="str">
            <v>AYY7098</v>
          </cell>
        </row>
        <row r="6715">
          <cell r="C6715" t="str">
            <v>AYY7C83</v>
          </cell>
          <cell r="D6715" t="str">
            <v>AYY7C83</v>
          </cell>
        </row>
        <row r="6716">
          <cell r="C6716" t="str">
            <v>AYY8101</v>
          </cell>
          <cell r="D6716" t="str">
            <v>AYY8101</v>
          </cell>
        </row>
        <row r="6717">
          <cell r="C6717" t="str">
            <v>AYY8560</v>
          </cell>
          <cell r="D6717" t="str">
            <v>AYY8560</v>
          </cell>
        </row>
        <row r="6718">
          <cell r="C6718" t="str">
            <v>AYZ2675</v>
          </cell>
          <cell r="D6718" t="str">
            <v>AYZ2675</v>
          </cell>
        </row>
        <row r="6719">
          <cell r="C6719" t="str">
            <v>AYZ6D53</v>
          </cell>
          <cell r="D6719" t="str">
            <v>AYZ6D53</v>
          </cell>
        </row>
        <row r="6720">
          <cell r="C6720" t="str">
            <v>AZA8458</v>
          </cell>
          <cell r="D6720" t="str">
            <v>AZA8458</v>
          </cell>
        </row>
        <row r="6721">
          <cell r="C6721" t="str">
            <v>AZA8464</v>
          </cell>
          <cell r="D6721" t="str">
            <v>AZA8464</v>
          </cell>
        </row>
        <row r="6722">
          <cell r="C6722" t="str">
            <v>AZA8465</v>
          </cell>
          <cell r="D6722" t="str">
            <v>AZA8465</v>
          </cell>
        </row>
        <row r="6723">
          <cell r="C6723" t="str">
            <v>AZB3A64</v>
          </cell>
          <cell r="D6723" t="str">
            <v>AZB3A64</v>
          </cell>
        </row>
        <row r="6724">
          <cell r="C6724" t="str">
            <v>AZC5J53</v>
          </cell>
          <cell r="D6724" t="str">
            <v>AZC5J53</v>
          </cell>
        </row>
        <row r="6725">
          <cell r="C6725" t="str">
            <v>AZC6C30</v>
          </cell>
          <cell r="D6725" t="str">
            <v>AZC6C30</v>
          </cell>
        </row>
        <row r="6726">
          <cell r="C6726" t="str">
            <v>AZG2884</v>
          </cell>
          <cell r="D6726" t="str">
            <v>AZG2884</v>
          </cell>
        </row>
        <row r="6727">
          <cell r="C6727" t="str">
            <v>AZG2C89</v>
          </cell>
          <cell r="D6727" t="str">
            <v>AZG2C89</v>
          </cell>
        </row>
        <row r="6728">
          <cell r="C6728" t="str">
            <v>AZG3739</v>
          </cell>
          <cell r="D6728" t="str">
            <v>AZG3739</v>
          </cell>
        </row>
        <row r="6729">
          <cell r="C6729" t="str">
            <v>AZI1818</v>
          </cell>
          <cell r="D6729" t="str">
            <v>AZI1818</v>
          </cell>
        </row>
        <row r="6730">
          <cell r="C6730" t="str">
            <v>AZK2744</v>
          </cell>
          <cell r="D6730" t="str">
            <v>AZK2744</v>
          </cell>
        </row>
        <row r="6731">
          <cell r="C6731" t="str">
            <v>AZN0110</v>
          </cell>
          <cell r="D6731" t="str">
            <v>AZN0110</v>
          </cell>
        </row>
        <row r="6732">
          <cell r="C6732" t="str">
            <v>AZO5I21</v>
          </cell>
          <cell r="D6732" t="str">
            <v>AZO5I21</v>
          </cell>
        </row>
        <row r="6733">
          <cell r="C6733" t="str">
            <v>AZO8586</v>
          </cell>
          <cell r="D6733" t="str">
            <v>AZO8586</v>
          </cell>
        </row>
        <row r="6734">
          <cell r="C6734" t="str">
            <v>AZP4695</v>
          </cell>
          <cell r="D6734" t="str">
            <v>AZP4695</v>
          </cell>
        </row>
        <row r="6735">
          <cell r="C6735" t="str">
            <v>AZQ0A70</v>
          </cell>
          <cell r="D6735" t="str">
            <v>AZQ0A70</v>
          </cell>
        </row>
        <row r="6736">
          <cell r="C6736" t="str">
            <v>AZR7776</v>
          </cell>
          <cell r="D6736" t="str">
            <v>AZR7776</v>
          </cell>
        </row>
        <row r="6737">
          <cell r="C6737" t="str">
            <v>AZS4358</v>
          </cell>
          <cell r="D6737" t="str">
            <v>AZS4358</v>
          </cell>
        </row>
        <row r="6738">
          <cell r="C6738" t="str">
            <v>AZT9993</v>
          </cell>
          <cell r="D6738" t="str">
            <v>AZT9993</v>
          </cell>
        </row>
        <row r="6739">
          <cell r="C6739" t="str">
            <v>AZU0755</v>
          </cell>
          <cell r="D6739" t="str">
            <v>AZU0755</v>
          </cell>
        </row>
        <row r="6740">
          <cell r="C6740" t="str">
            <v>AZV2312</v>
          </cell>
          <cell r="D6740" t="str">
            <v>AZV2312</v>
          </cell>
        </row>
        <row r="6741">
          <cell r="C6741" t="str">
            <v>AZX3281</v>
          </cell>
          <cell r="D6741" t="str">
            <v>AZX3281</v>
          </cell>
        </row>
        <row r="6742">
          <cell r="C6742" t="str">
            <v>AZZ6381</v>
          </cell>
          <cell r="D6742" t="str">
            <v>AZZ6381</v>
          </cell>
        </row>
        <row r="6743">
          <cell r="C6743" t="str">
            <v>BAE1G72</v>
          </cell>
          <cell r="D6743" t="str">
            <v>BAE1G72</v>
          </cell>
        </row>
        <row r="6744">
          <cell r="C6744" t="str">
            <v>BAF9461</v>
          </cell>
          <cell r="D6744" t="str">
            <v>BAF9461</v>
          </cell>
        </row>
        <row r="6745">
          <cell r="C6745" t="str">
            <v>BAM0282</v>
          </cell>
          <cell r="D6745" t="str">
            <v>BAM0282</v>
          </cell>
        </row>
        <row r="6746">
          <cell r="C6746" t="str">
            <v>BAM1I35</v>
          </cell>
          <cell r="D6746" t="str">
            <v>BAM1I35</v>
          </cell>
        </row>
        <row r="6747">
          <cell r="C6747" t="str">
            <v>BAM5158</v>
          </cell>
          <cell r="D6747" t="str">
            <v>BAM5158</v>
          </cell>
        </row>
        <row r="6748">
          <cell r="C6748" t="str">
            <v>BAM5796</v>
          </cell>
          <cell r="D6748" t="str">
            <v>BAM5796</v>
          </cell>
        </row>
        <row r="6749">
          <cell r="C6749" t="str">
            <v>BAP3918</v>
          </cell>
          <cell r="D6749" t="str">
            <v>BAP3918</v>
          </cell>
        </row>
        <row r="6750">
          <cell r="C6750" t="str">
            <v>BAQ2087</v>
          </cell>
          <cell r="D6750" t="str">
            <v>BAQ2087</v>
          </cell>
        </row>
        <row r="6751">
          <cell r="C6751" t="str">
            <v>BAQ9H81</v>
          </cell>
          <cell r="D6751" t="str">
            <v>BAQ9H81</v>
          </cell>
        </row>
        <row r="6752">
          <cell r="C6752" t="str">
            <v>BAS0515</v>
          </cell>
          <cell r="D6752" t="str">
            <v>BAS0515</v>
          </cell>
        </row>
        <row r="6753">
          <cell r="C6753" t="str">
            <v>BAT2864</v>
          </cell>
          <cell r="D6753" t="str">
            <v>BAT2864</v>
          </cell>
        </row>
        <row r="6754">
          <cell r="C6754" t="str">
            <v>BAU0A59</v>
          </cell>
          <cell r="D6754" t="str">
            <v>BAU0A59</v>
          </cell>
        </row>
        <row r="6755">
          <cell r="C6755" t="str">
            <v>BAU3741</v>
          </cell>
          <cell r="D6755" t="str">
            <v>BAU3741</v>
          </cell>
        </row>
        <row r="6756">
          <cell r="C6756" t="str">
            <v>BAV2489</v>
          </cell>
          <cell r="D6756" t="str">
            <v>BAV2489</v>
          </cell>
        </row>
        <row r="6757">
          <cell r="C6757" t="str">
            <v>BAV7849</v>
          </cell>
          <cell r="D6757" t="str">
            <v>BAV7849</v>
          </cell>
        </row>
        <row r="6758">
          <cell r="C6758" t="str">
            <v>BAX7C25</v>
          </cell>
          <cell r="D6758" t="str">
            <v>BAX7C25</v>
          </cell>
        </row>
        <row r="6759">
          <cell r="C6759" t="str">
            <v>BAX9664</v>
          </cell>
          <cell r="D6759" t="str">
            <v>BAX9664</v>
          </cell>
        </row>
        <row r="6760">
          <cell r="C6760" t="str">
            <v>BAY1G79</v>
          </cell>
          <cell r="D6760" t="str">
            <v>BAY1G79</v>
          </cell>
        </row>
        <row r="6761">
          <cell r="C6761" t="str">
            <v>BAY3722</v>
          </cell>
          <cell r="D6761" t="str">
            <v>BAY3722</v>
          </cell>
        </row>
        <row r="6762">
          <cell r="C6762" t="str">
            <v>BBB5A96</v>
          </cell>
          <cell r="D6762" t="str">
            <v>BBB5A96</v>
          </cell>
        </row>
        <row r="6763">
          <cell r="C6763" t="str">
            <v>BBB5A98</v>
          </cell>
          <cell r="D6763" t="str">
            <v>BBB5A98</v>
          </cell>
        </row>
        <row r="6764">
          <cell r="C6764" t="str">
            <v>BBB8153</v>
          </cell>
          <cell r="D6764" t="str">
            <v>BBB8153</v>
          </cell>
        </row>
        <row r="6765">
          <cell r="C6765" t="str">
            <v>BBB8155</v>
          </cell>
          <cell r="D6765" t="str">
            <v>BBB8155</v>
          </cell>
        </row>
        <row r="6766">
          <cell r="C6766" t="str">
            <v>BBD1194</v>
          </cell>
          <cell r="D6766" t="str">
            <v>BBD1194</v>
          </cell>
        </row>
        <row r="6767">
          <cell r="C6767" t="str">
            <v>BBE8101</v>
          </cell>
          <cell r="D6767" t="str">
            <v>BBE8101</v>
          </cell>
        </row>
        <row r="6768">
          <cell r="C6768" t="str">
            <v>BBH5I88</v>
          </cell>
          <cell r="D6768" t="str">
            <v>BBH5I88</v>
          </cell>
        </row>
        <row r="6769">
          <cell r="C6769" t="str">
            <v>BBI6020</v>
          </cell>
          <cell r="D6769" t="str">
            <v>BBI6020</v>
          </cell>
        </row>
        <row r="6770">
          <cell r="C6770" t="str">
            <v>BBL1728</v>
          </cell>
          <cell r="D6770" t="str">
            <v>BBL1728</v>
          </cell>
        </row>
        <row r="6771">
          <cell r="C6771" t="str">
            <v>BBM3579</v>
          </cell>
          <cell r="D6771" t="str">
            <v>BBM3579</v>
          </cell>
        </row>
        <row r="6772">
          <cell r="C6772" t="str">
            <v>BBN2C44</v>
          </cell>
          <cell r="D6772" t="str">
            <v>BBN2C44</v>
          </cell>
        </row>
        <row r="6773">
          <cell r="C6773" t="str">
            <v>BBV0883</v>
          </cell>
          <cell r="D6773" t="str">
            <v>BBV0883</v>
          </cell>
        </row>
        <row r="6774">
          <cell r="C6774" t="str">
            <v>BBX1700</v>
          </cell>
          <cell r="D6774" t="str">
            <v>BBX1700</v>
          </cell>
        </row>
        <row r="6775">
          <cell r="C6775" t="str">
            <v>BBX9774</v>
          </cell>
          <cell r="D6775" t="str">
            <v>BBX9774</v>
          </cell>
        </row>
        <row r="6776">
          <cell r="C6776" t="str">
            <v>BBY4836</v>
          </cell>
          <cell r="D6776" t="str">
            <v>BBY4836</v>
          </cell>
        </row>
        <row r="6777">
          <cell r="C6777" t="str">
            <v>BCA5944</v>
          </cell>
          <cell r="D6777" t="str">
            <v>BCA5944</v>
          </cell>
        </row>
        <row r="6778">
          <cell r="C6778" t="str">
            <v>BCB8B54</v>
          </cell>
          <cell r="D6778" t="str">
            <v>BCB8B54</v>
          </cell>
        </row>
        <row r="6779">
          <cell r="C6779" t="str">
            <v>BCD9828</v>
          </cell>
          <cell r="D6779" t="str">
            <v>BCD9828</v>
          </cell>
        </row>
        <row r="6780">
          <cell r="C6780" t="str">
            <v>BCH5415</v>
          </cell>
          <cell r="D6780" t="str">
            <v>BCH5415</v>
          </cell>
        </row>
        <row r="6781">
          <cell r="C6781" t="str">
            <v>BCJ7786</v>
          </cell>
          <cell r="D6781" t="str">
            <v>BCJ7786</v>
          </cell>
        </row>
        <row r="6782">
          <cell r="C6782" t="str">
            <v>BCK3550</v>
          </cell>
          <cell r="D6782" t="str">
            <v>BCK3550</v>
          </cell>
        </row>
        <row r="6783">
          <cell r="C6783" t="str">
            <v>BCM3714</v>
          </cell>
          <cell r="D6783" t="str">
            <v>BCM3714</v>
          </cell>
        </row>
        <row r="6784">
          <cell r="C6784" t="str">
            <v>BCN2B44</v>
          </cell>
          <cell r="D6784" t="str">
            <v>BCN2B44</v>
          </cell>
        </row>
        <row r="6785">
          <cell r="C6785" t="str">
            <v>BCN5200</v>
          </cell>
          <cell r="D6785" t="str">
            <v>BCN5200</v>
          </cell>
        </row>
        <row r="6786">
          <cell r="C6786" t="str">
            <v>BCN5368</v>
          </cell>
          <cell r="D6786" t="str">
            <v>BCN5368</v>
          </cell>
        </row>
        <row r="6787">
          <cell r="C6787" t="str">
            <v>BCN5D68</v>
          </cell>
          <cell r="D6787" t="str">
            <v>BCN5D68</v>
          </cell>
        </row>
        <row r="6788">
          <cell r="C6788" t="str">
            <v>BCS0G23</v>
          </cell>
          <cell r="D6788" t="str">
            <v>BCS0G23</v>
          </cell>
        </row>
        <row r="6789">
          <cell r="C6789" t="str">
            <v>BCT7465</v>
          </cell>
          <cell r="D6789" t="str">
            <v>BCT7465</v>
          </cell>
        </row>
        <row r="6790">
          <cell r="C6790" t="str">
            <v>BCZ4E36</v>
          </cell>
          <cell r="D6790" t="str">
            <v>BCZ4E36</v>
          </cell>
        </row>
        <row r="6791">
          <cell r="C6791" t="str">
            <v>BCZ6B67</v>
          </cell>
          <cell r="D6791" t="str">
            <v>BCZ6B67</v>
          </cell>
        </row>
        <row r="6792">
          <cell r="C6792" t="str">
            <v>BCZ9G99</v>
          </cell>
          <cell r="D6792" t="str">
            <v>BCZ9G99</v>
          </cell>
        </row>
        <row r="6793">
          <cell r="C6793" t="str">
            <v>BDB5G89</v>
          </cell>
          <cell r="D6793" t="str">
            <v>BDB5G89</v>
          </cell>
        </row>
        <row r="6794">
          <cell r="C6794" t="str">
            <v>BDB6B78</v>
          </cell>
          <cell r="D6794" t="str">
            <v>BDB6B78</v>
          </cell>
        </row>
        <row r="6795">
          <cell r="C6795" t="str">
            <v>BDB6B79</v>
          </cell>
          <cell r="D6795" t="str">
            <v>BDB6B79</v>
          </cell>
        </row>
        <row r="6796">
          <cell r="C6796" t="str">
            <v>BDD5F90</v>
          </cell>
          <cell r="D6796" t="str">
            <v>BDD5F90</v>
          </cell>
        </row>
        <row r="6797">
          <cell r="C6797" t="str">
            <v>BDD5G89</v>
          </cell>
          <cell r="D6797" t="str">
            <v>BDD5G89</v>
          </cell>
        </row>
        <row r="6798">
          <cell r="C6798" t="str">
            <v>BDE0D92</v>
          </cell>
          <cell r="D6798" t="str">
            <v>BDE0D92</v>
          </cell>
        </row>
        <row r="6799">
          <cell r="C6799" t="str">
            <v>BDE1121</v>
          </cell>
          <cell r="D6799" t="str">
            <v>BDE1121</v>
          </cell>
        </row>
        <row r="6800">
          <cell r="C6800" t="str">
            <v>BDF2I74</v>
          </cell>
          <cell r="D6800" t="str">
            <v>BDF2I74</v>
          </cell>
        </row>
        <row r="6801">
          <cell r="C6801" t="str">
            <v>BDF9C08</v>
          </cell>
          <cell r="D6801" t="str">
            <v>BDF9C08</v>
          </cell>
        </row>
        <row r="6802">
          <cell r="C6802" t="str">
            <v>BDF9C11</v>
          </cell>
          <cell r="D6802" t="str">
            <v>BDF9C11</v>
          </cell>
        </row>
        <row r="6803">
          <cell r="C6803" t="str">
            <v>BDH7I94</v>
          </cell>
          <cell r="D6803" t="str">
            <v>BDH7I94</v>
          </cell>
        </row>
        <row r="6804">
          <cell r="C6804" t="str">
            <v>BDI5F62</v>
          </cell>
          <cell r="D6804" t="str">
            <v>BDI5F62</v>
          </cell>
        </row>
        <row r="6805">
          <cell r="C6805" t="str">
            <v>BDM2E78</v>
          </cell>
          <cell r="D6805" t="str">
            <v>BDM2E78</v>
          </cell>
        </row>
        <row r="6806">
          <cell r="C6806" t="str">
            <v>BDN9G97</v>
          </cell>
          <cell r="D6806" t="str">
            <v>BDN9G97</v>
          </cell>
        </row>
        <row r="6807">
          <cell r="C6807" t="str">
            <v>BDO2710</v>
          </cell>
          <cell r="D6807" t="str">
            <v>BDO2710</v>
          </cell>
        </row>
        <row r="6808">
          <cell r="C6808" t="str">
            <v>BDQ6J41</v>
          </cell>
          <cell r="D6808" t="str">
            <v>BDQ6J41</v>
          </cell>
        </row>
        <row r="6809">
          <cell r="C6809" t="str">
            <v>BDR3G91</v>
          </cell>
          <cell r="D6809" t="str">
            <v>BDR3G91</v>
          </cell>
        </row>
        <row r="6810">
          <cell r="C6810" t="str">
            <v>BDT0I25</v>
          </cell>
          <cell r="D6810" t="str">
            <v>BDT0I25</v>
          </cell>
        </row>
        <row r="6811">
          <cell r="C6811" t="str">
            <v>BDT1121</v>
          </cell>
          <cell r="D6811" t="str">
            <v>BDT1121</v>
          </cell>
        </row>
        <row r="6812">
          <cell r="C6812" t="str">
            <v>BDX4E17</v>
          </cell>
          <cell r="D6812" t="str">
            <v>BDX4E17</v>
          </cell>
        </row>
        <row r="6813">
          <cell r="C6813" t="str">
            <v>BEC4F58</v>
          </cell>
          <cell r="D6813" t="str">
            <v>BEC4F58</v>
          </cell>
        </row>
        <row r="6814">
          <cell r="C6814" t="str">
            <v>BEC4F81</v>
          </cell>
          <cell r="D6814" t="str">
            <v>BEC4F81</v>
          </cell>
        </row>
        <row r="6815">
          <cell r="C6815" t="str">
            <v>BEE3008</v>
          </cell>
          <cell r="D6815" t="str">
            <v>BEE3008</v>
          </cell>
        </row>
        <row r="6816">
          <cell r="C6816" t="str">
            <v>BEH4J36</v>
          </cell>
          <cell r="D6816" t="str">
            <v>BEH4J36</v>
          </cell>
        </row>
        <row r="6817">
          <cell r="C6817" t="str">
            <v>BEI3I22</v>
          </cell>
          <cell r="D6817" t="str">
            <v>BEI3I22</v>
          </cell>
        </row>
        <row r="6818">
          <cell r="C6818" t="str">
            <v>BEI7B97</v>
          </cell>
          <cell r="D6818" t="str">
            <v>BEI7B97</v>
          </cell>
        </row>
        <row r="6819">
          <cell r="C6819" t="str">
            <v>BEL0727</v>
          </cell>
          <cell r="D6819" t="str">
            <v>BEL0727</v>
          </cell>
        </row>
        <row r="6820">
          <cell r="C6820" t="str">
            <v>BEP1470</v>
          </cell>
          <cell r="D6820" t="str">
            <v>BEP1470</v>
          </cell>
        </row>
        <row r="6821">
          <cell r="C6821" t="str">
            <v>BEP7A98</v>
          </cell>
          <cell r="D6821" t="str">
            <v>BEP7A98</v>
          </cell>
        </row>
        <row r="6822">
          <cell r="C6822" t="str">
            <v>BEQ9E61</v>
          </cell>
          <cell r="D6822" t="str">
            <v>BEQ9E61</v>
          </cell>
        </row>
        <row r="6823">
          <cell r="C6823" t="str">
            <v>BER0029</v>
          </cell>
          <cell r="D6823" t="str">
            <v>BER0029</v>
          </cell>
        </row>
        <row r="6824">
          <cell r="C6824" t="str">
            <v>BES5A39</v>
          </cell>
          <cell r="D6824" t="str">
            <v>BES5A39</v>
          </cell>
        </row>
        <row r="6825">
          <cell r="C6825" t="str">
            <v>BEV0643</v>
          </cell>
          <cell r="D6825" t="str">
            <v>BEV0643</v>
          </cell>
        </row>
        <row r="6826">
          <cell r="C6826" t="str">
            <v>BEY6I98</v>
          </cell>
          <cell r="D6826" t="str">
            <v>BEY6I98</v>
          </cell>
        </row>
        <row r="6827">
          <cell r="C6827" t="str">
            <v>BFE0418</v>
          </cell>
          <cell r="D6827" t="str">
            <v>BFE0418</v>
          </cell>
        </row>
        <row r="6828">
          <cell r="C6828" t="str">
            <v>BFE1266</v>
          </cell>
          <cell r="D6828" t="str">
            <v>BFE1266</v>
          </cell>
        </row>
        <row r="6829">
          <cell r="C6829" t="str">
            <v>BFE9875</v>
          </cell>
          <cell r="D6829" t="str">
            <v>BFE9875</v>
          </cell>
        </row>
        <row r="6830">
          <cell r="C6830" t="str">
            <v>BFF0819</v>
          </cell>
          <cell r="D6830" t="str">
            <v>BFF0819</v>
          </cell>
        </row>
        <row r="6831">
          <cell r="C6831" t="str">
            <v>BFH1566</v>
          </cell>
          <cell r="D6831" t="str">
            <v>BFH1566</v>
          </cell>
        </row>
        <row r="6832">
          <cell r="C6832" t="str">
            <v>BFL2936</v>
          </cell>
          <cell r="D6832" t="str">
            <v>BFL2936</v>
          </cell>
        </row>
        <row r="6833">
          <cell r="C6833" t="str">
            <v>BFL9033</v>
          </cell>
          <cell r="D6833" t="str">
            <v>BFL9033</v>
          </cell>
        </row>
        <row r="6834">
          <cell r="C6834" t="str">
            <v>BFO7567</v>
          </cell>
          <cell r="D6834" t="str">
            <v>BFO7567</v>
          </cell>
        </row>
        <row r="6835">
          <cell r="C6835" t="str">
            <v>BFP3G18</v>
          </cell>
          <cell r="D6835" t="str">
            <v>BFP3G18</v>
          </cell>
        </row>
        <row r="6836">
          <cell r="C6836" t="str">
            <v>BFP8626</v>
          </cell>
          <cell r="D6836" t="str">
            <v>BFP8626</v>
          </cell>
        </row>
        <row r="6837">
          <cell r="C6837" t="str">
            <v>BGE7104</v>
          </cell>
          <cell r="D6837" t="str">
            <v>BGE7104</v>
          </cell>
        </row>
        <row r="6838">
          <cell r="C6838" t="str">
            <v>BGF5856</v>
          </cell>
          <cell r="D6838" t="str">
            <v>BGF5856</v>
          </cell>
        </row>
        <row r="6839">
          <cell r="C6839" t="str">
            <v>BGJ3345</v>
          </cell>
          <cell r="D6839" t="str">
            <v>BGJ3345</v>
          </cell>
        </row>
        <row r="6840">
          <cell r="C6840" t="str">
            <v>BGY7D17</v>
          </cell>
          <cell r="D6840" t="str">
            <v>BGY7D17</v>
          </cell>
        </row>
        <row r="6841">
          <cell r="C6841" t="str">
            <v>BGY8549</v>
          </cell>
          <cell r="D6841" t="str">
            <v>BGY8549</v>
          </cell>
        </row>
        <row r="6842">
          <cell r="C6842" t="str">
            <v>BGZ4496</v>
          </cell>
          <cell r="D6842" t="str">
            <v>BGZ4496</v>
          </cell>
        </row>
        <row r="6843">
          <cell r="C6843" t="str">
            <v>BHA7685</v>
          </cell>
          <cell r="D6843" t="str">
            <v>BHA7685</v>
          </cell>
        </row>
        <row r="6844">
          <cell r="C6844" t="str">
            <v>BHB2815</v>
          </cell>
          <cell r="D6844" t="str">
            <v>BHB2815</v>
          </cell>
        </row>
        <row r="6845">
          <cell r="C6845" t="str">
            <v>BHD7C79</v>
          </cell>
          <cell r="D6845" t="str">
            <v>BHD7C79</v>
          </cell>
        </row>
        <row r="6846">
          <cell r="C6846" t="str">
            <v>BHI4756</v>
          </cell>
          <cell r="D6846" t="str">
            <v>BHI4756</v>
          </cell>
        </row>
        <row r="6847">
          <cell r="C6847" t="str">
            <v>BHQ9221</v>
          </cell>
          <cell r="D6847" t="str">
            <v>BHQ9221</v>
          </cell>
        </row>
        <row r="6848">
          <cell r="C6848" t="str">
            <v>BHT4127</v>
          </cell>
          <cell r="D6848" t="str">
            <v>BHT4127</v>
          </cell>
        </row>
        <row r="6849">
          <cell r="C6849" t="str">
            <v>BHY6277</v>
          </cell>
          <cell r="D6849" t="str">
            <v>BHY6277</v>
          </cell>
        </row>
        <row r="6850">
          <cell r="C6850" t="str">
            <v>BII2582</v>
          </cell>
          <cell r="D6850" t="str">
            <v>BII2582</v>
          </cell>
        </row>
        <row r="6851">
          <cell r="C6851" t="str">
            <v>BII2992</v>
          </cell>
          <cell r="D6851" t="str">
            <v>BII2992</v>
          </cell>
        </row>
        <row r="6852">
          <cell r="C6852" t="str">
            <v>BIJ4756</v>
          </cell>
          <cell r="D6852" t="str">
            <v>BIJ4756</v>
          </cell>
        </row>
        <row r="6853">
          <cell r="C6853" t="str">
            <v>BIL5738</v>
          </cell>
          <cell r="D6853" t="str">
            <v>BIL5738</v>
          </cell>
        </row>
        <row r="6854">
          <cell r="C6854" t="str">
            <v>BIU9848</v>
          </cell>
          <cell r="D6854" t="str">
            <v>BIU9848</v>
          </cell>
        </row>
        <row r="6855">
          <cell r="C6855" t="str">
            <v>BIW7A78</v>
          </cell>
          <cell r="D6855" t="str">
            <v>BIW7A78</v>
          </cell>
        </row>
        <row r="6856">
          <cell r="C6856" t="str">
            <v>BJC0756</v>
          </cell>
          <cell r="D6856" t="str">
            <v>BJC0756</v>
          </cell>
        </row>
        <row r="6857">
          <cell r="C6857" t="str">
            <v>BJC6633</v>
          </cell>
          <cell r="D6857" t="str">
            <v>BJC6633</v>
          </cell>
        </row>
        <row r="6858">
          <cell r="C6858" t="str">
            <v>BJD3809</v>
          </cell>
          <cell r="D6858" t="str">
            <v>BJD3809</v>
          </cell>
        </row>
        <row r="6859">
          <cell r="C6859" t="str">
            <v>BJF1733</v>
          </cell>
          <cell r="D6859" t="str">
            <v>BJF1733</v>
          </cell>
        </row>
        <row r="6860">
          <cell r="C6860" t="str">
            <v>BJF7713</v>
          </cell>
          <cell r="D6860" t="str">
            <v>BJF7713</v>
          </cell>
        </row>
        <row r="6861">
          <cell r="C6861" t="str">
            <v>BJK5979</v>
          </cell>
          <cell r="D6861" t="str">
            <v>BJK5979</v>
          </cell>
        </row>
        <row r="6862">
          <cell r="C6862" t="str">
            <v>BJK5J79</v>
          </cell>
          <cell r="D6862" t="str">
            <v>BJK5J79</v>
          </cell>
        </row>
        <row r="6863">
          <cell r="C6863" t="str">
            <v>BJM2994</v>
          </cell>
          <cell r="D6863" t="str">
            <v>BJM2994</v>
          </cell>
        </row>
        <row r="6864">
          <cell r="C6864" t="str">
            <v>BJQ2207</v>
          </cell>
          <cell r="D6864" t="str">
            <v>BJQ2207</v>
          </cell>
        </row>
        <row r="6865">
          <cell r="C6865" t="str">
            <v>BJZ6633</v>
          </cell>
          <cell r="D6865" t="str">
            <v>BJZ6633</v>
          </cell>
        </row>
        <row r="6866">
          <cell r="C6866" t="str">
            <v>BKB6038</v>
          </cell>
          <cell r="D6866" t="str">
            <v>BKB6038</v>
          </cell>
        </row>
        <row r="6867">
          <cell r="C6867" t="str">
            <v>BKE9C36</v>
          </cell>
          <cell r="D6867" t="str">
            <v>BKE9C36</v>
          </cell>
        </row>
        <row r="6868">
          <cell r="C6868" t="str">
            <v>BKF1334</v>
          </cell>
          <cell r="D6868" t="str">
            <v>BKF1334</v>
          </cell>
        </row>
        <row r="6869">
          <cell r="C6869" t="str">
            <v>BKP1738</v>
          </cell>
          <cell r="D6869" t="str">
            <v>BKP1738</v>
          </cell>
        </row>
        <row r="6870">
          <cell r="C6870" t="str">
            <v>BKP6038</v>
          </cell>
          <cell r="D6870" t="str">
            <v>BKP6038</v>
          </cell>
        </row>
        <row r="6871">
          <cell r="C6871" t="str">
            <v>BKT5773</v>
          </cell>
          <cell r="D6871" t="str">
            <v>BKT5773</v>
          </cell>
        </row>
        <row r="6872">
          <cell r="C6872" t="str">
            <v>BLB0253</v>
          </cell>
          <cell r="D6872" t="str">
            <v>BLB0253</v>
          </cell>
        </row>
        <row r="6873">
          <cell r="C6873" t="str">
            <v>BLB3482</v>
          </cell>
          <cell r="D6873" t="str">
            <v>BLB3482</v>
          </cell>
        </row>
        <row r="6874">
          <cell r="C6874" t="str">
            <v>BLF4861</v>
          </cell>
          <cell r="D6874" t="str">
            <v>BLF4861</v>
          </cell>
        </row>
        <row r="6875">
          <cell r="C6875" t="str">
            <v>BLG4418</v>
          </cell>
          <cell r="D6875" t="str">
            <v>BLG4418</v>
          </cell>
        </row>
        <row r="6876">
          <cell r="C6876" t="str">
            <v>BLW2082</v>
          </cell>
          <cell r="D6876" t="str">
            <v>BLW2082</v>
          </cell>
        </row>
        <row r="6877">
          <cell r="C6877" t="str">
            <v>BLW5831</v>
          </cell>
          <cell r="D6877" t="str">
            <v>BLW5831</v>
          </cell>
        </row>
        <row r="6878">
          <cell r="C6878" t="str">
            <v>BLZ4445</v>
          </cell>
          <cell r="D6878" t="str">
            <v>BLZ4445</v>
          </cell>
        </row>
        <row r="6879">
          <cell r="C6879" t="str">
            <v>BME0635</v>
          </cell>
          <cell r="D6879" t="str">
            <v>BME0635</v>
          </cell>
        </row>
        <row r="6880">
          <cell r="C6880" t="str">
            <v>BMG2410</v>
          </cell>
          <cell r="D6880" t="str">
            <v>BMG2410</v>
          </cell>
        </row>
        <row r="6881">
          <cell r="C6881" t="str">
            <v>BML9G97</v>
          </cell>
          <cell r="D6881" t="str">
            <v>BML9G97</v>
          </cell>
        </row>
        <row r="6882">
          <cell r="C6882" t="str">
            <v>BMT4470</v>
          </cell>
          <cell r="D6882" t="str">
            <v>BMT4470</v>
          </cell>
        </row>
        <row r="6883">
          <cell r="C6883" t="str">
            <v>BNB3G18</v>
          </cell>
          <cell r="D6883" t="str">
            <v>BNB3G18</v>
          </cell>
        </row>
        <row r="6884">
          <cell r="C6884" t="str">
            <v>BNC0012</v>
          </cell>
          <cell r="D6884" t="str">
            <v>BNC0012</v>
          </cell>
        </row>
        <row r="6885">
          <cell r="C6885" t="str">
            <v>BNC3747</v>
          </cell>
          <cell r="D6885" t="str">
            <v>BNC3747</v>
          </cell>
        </row>
        <row r="6886">
          <cell r="C6886" t="str">
            <v>BNL4F02</v>
          </cell>
          <cell r="D6886" t="str">
            <v>BNL4F02</v>
          </cell>
        </row>
        <row r="6887">
          <cell r="C6887" t="str">
            <v>BNL6570</v>
          </cell>
          <cell r="D6887" t="str">
            <v>BNL6570</v>
          </cell>
        </row>
        <row r="6888">
          <cell r="C6888" t="str">
            <v>BNM0004</v>
          </cell>
          <cell r="D6888" t="str">
            <v>BNM0004</v>
          </cell>
        </row>
        <row r="6889">
          <cell r="C6889" t="str">
            <v>BNT5064</v>
          </cell>
          <cell r="D6889" t="str">
            <v>BNT5064</v>
          </cell>
        </row>
        <row r="6890">
          <cell r="C6890" t="str">
            <v>BNX0771</v>
          </cell>
          <cell r="D6890" t="str">
            <v>BNX0771</v>
          </cell>
        </row>
        <row r="6891">
          <cell r="C6891" t="str">
            <v>BNX7910</v>
          </cell>
          <cell r="D6891" t="str">
            <v>BNX7910</v>
          </cell>
        </row>
        <row r="6892">
          <cell r="C6892" t="str">
            <v>BNZ5393</v>
          </cell>
          <cell r="D6892" t="str">
            <v>BNZ5393</v>
          </cell>
        </row>
        <row r="6893">
          <cell r="C6893" t="str">
            <v>BOD7327</v>
          </cell>
          <cell r="D6893" t="str">
            <v>BOD7327</v>
          </cell>
        </row>
        <row r="6894">
          <cell r="C6894" t="str">
            <v>BOF9917</v>
          </cell>
          <cell r="D6894" t="str">
            <v>BOF9917</v>
          </cell>
        </row>
        <row r="6895">
          <cell r="C6895" t="str">
            <v>BOG1030</v>
          </cell>
          <cell r="D6895" t="str">
            <v>BOG1030</v>
          </cell>
        </row>
        <row r="6896">
          <cell r="C6896" t="str">
            <v>BOJ4221</v>
          </cell>
          <cell r="D6896" t="str">
            <v>BOJ4221</v>
          </cell>
        </row>
        <row r="6897">
          <cell r="C6897" t="str">
            <v>BOQ0604</v>
          </cell>
          <cell r="D6897" t="str">
            <v>BOQ0604</v>
          </cell>
        </row>
        <row r="6898">
          <cell r="C6898" t="str">
            <v>BOQ3019</v>
          </cell>
          <cell r="D6898" t="str">
            <v>BOQ3019</v>
          </cell>
        </row>
        <row r="6899">
          <cell r="C6899" t="str">
            <v>BPZ5412</v>
          </cell>
          <cell r="D6899" t="str">
            <v>BPZ5412</v>
          </cell>
        </row>
        <row r="6900">
          <cell r="C6900" t="str">
            <v>BPZ6641</v>
          </cell>
          <cell r="D6900" t="str">
            <v>BPZ6641</v>
          </cell>
        </row>
        <row r="6901">
          <cell r="C6901" t="str">
            <v>BQB5796</v>
          </cell>
          <cell r="D6901" t="str">
            <v>BQB5796</v>
          </cell>
        </row>
        <row r="6902">
          <cell r="C6902" t="str">
            <v>BQE1458</v>
          </cell>
          <cell r="D6902" t="str">
            <v>BQE1458</v>
          </cell>
        </row>
        <row r="6903">
          <cell r="C6903" t="str">
            <v>BQG9D03</v>
          </cell>
          <cell r="D6903" t="str">
            <v>BQG9D03</v>
          </cell>
        </row>
        <row r="6904">
          <cell r="C6904" t="str">
            <v>BQH4852</v>
          </cell>
          <cell r="D6904" t="str">
            <v>BQH4852</v>
          </cell>
        </row>
        <row r="6905">
          <cell r="C6905" t="str">
            <v>BQI5046</v>
          </cell>
          <cell r="D6905" t="str">
            <v>BQI5046</v>
          </cell>
        </row>
        <row r="6906">
          <cell r="C6906" t="str">
            <v>BQI7104</v>
          </cell>
          <cell r="D6906" t="str">
            <v>BQI7104</v>
          </cell>
        </row>
        <row r="6907">
          <cell r="C6907" t="str">
            <v>BQJ5752</v>
          </cell>
          <cell r="D6907" t="str">
            <v>BQJ5752</v>
          </cell>
        </row>
        <row r="6908">
          <cell r="C6908" t="str">
            <v>BQP0F47</v>
          </cell>
          <cell r="D6908" t="str">
            <v>BQP0F47</v>
          </cell>
        </row>
        <row r="6909">
          <cell r="C6909" t="str">
            <v>BQP6038</v>
          </cell>
          <cell r="D6909" t="str">
            <v>BQP6038</v>
          </cell>
        </row>
        <row r="6910">
          <cell r="C6910" t="str">
            <v>BQP8791</v>
          </cell>
          <cell r="D6910" t="str">
            <v>BQP8791</v>
          </cell>
        </row>
        <row r="6911">
          <cell r="C6911" t="str">
            <v>BRA7360</v>
          </cell>
          <cell r="D6911" t="str">
            <v>BRA7360</v>
          </cell>
        </row>
        <row r="6912">
          <cell r="C6912" t="str">
            <v>BRG8237</v>
          </cell>
          <cell r="D6912" t="str">
            <v>BRG8237</v>
          </cell>
        </row>
        <row r="6913">
          <cell r="C6913" t="str">
            <v>BRZ5366</v>
          </cell>
          <cell r="D6913" t="str">
            <v>BRZ5366</v>
          </cell>
        </row>
        <row r="6914">
          <cell r="C6914" t="str">
            <v>BSE8214</v>
          </cell>
          <cell r="D6914" t="str">
            <v>BSE8214</v>
          </cell>
        </row>
        <row r="6915">
          <cell r="C6915" t="str">
            <v>BSE9577</v>
          </cell>
          <cell r="D6915" t="str">
            <v>BSE9577</v>
          </cell>
        </row>
        <row r="6916">
          <cell r="C6916" t="str">
            <v>BSG4424</v>
          </cell>
          <cell r="D6916" t="str">
            <v>BSG4424</v>
          </cell>
        </row>
        <row r="6917">
          <cell r="C6917" t="str">
            <v>BSI7A73</v>
          </cell>
          <cell r="D6917" t="str">
            <v>BSI7A73</v>
          </cell>
        </row>
        <row r="6918">
          <cell r="C6918" t="str">
            <v>BSQ9870</v>
          </cell>
          <cell r="D6918" t="str">
            <v>BSQ9870</v>
          </cell>
        </row>
        <row r="6919">
          <cell r="C6919" t="str">
            <v>BTA0I72</v>
          </cell>
          <cell r="D6919" t="str">
            <v>BTA0I72</v>
          </cell>
        </row>
        <row r="6920">
          <cell r="C6920" t="str">
            <v>BTB8F56</v>
          </cell>
          <cell r="D6920" t="str">
            <v>BTB8F56</v>
          </cell>
        </row>
        <row r="6921">
          <cell r="C6921" t="str">
            <v>BTC9114</v>
          </cell>
          <cell r="D6921" t="str">
            <v>BTC9114</v>
          </cell>
        </row>
        <row r="6922">
          <cell r="C6922" t="str">
            <v>BTG5171</v>
          </cell>
          <cell r="D6922" t="str">
            <v>BTG5171</v>
          </cell>
        </row>
        <row r="6923">
          <cell r="C6923" t="str">
            <v>BTO6653</v>
          </cell>
          <cell r="D6923" t="str">
            <v>BTO6653</v>
          </cell>
        </row>
        <row r="6924">
          <cell r="C6924" t="str">
            <v>BTR1029</v>
          </cell>
          <cell r="D6924" t="str">
            <v>BTR1029</v>
          </cell>
        </row>
        <row r="6925">
          <cell r="C6925" t="str">
            <v>BTS5379</v>
          </cell>
          <cell r="D6925" t="str">
            <v>BTS5379</v>
          </cell>
        </row>
        <row r="6926">
          <cell r="C6926" t="str">
            <v>BTS8809</v>
          </cell>
          <cell r="D6926" t="str">
            <v>BTS8809</v>
          </cell>
        </row>
        <row r="6927">
          <cell r="C6927" t="str">
            <v>BTT4670</v>
          </cell>
          <cell r="D6927" t="str">
            <v>BTT4670</v>
          </cell>
        </row>
        <row r="6928">
          <cell r="C6928" t="str">
            <v>BTU1E89</v>
          </cell>
          <cell r="D6928" t="str">
            <v>BTU1E89</v>
          </cell>
        </row>
        <row r="6929">
          <cell r="C6929" t="str">
            <v>BTU3267</v>
          </cell>
          <cell r="D6929" t="str">
            <v>BTU3267</v>
          </cell>
        </row>
        <row r="6930">
          <cell r="C6930" t="str">
            <v>BTU3564</v>
          </cell>
          <cell r="D6930" t="str">
            <v>BTU3564</v>
          </cell>
        </row>
        <row r="6931">
          <cell r="C6931" t="str">
            <v>BUA0106</v>
          </cell>
          <cell r="D6931" t="str">
            <v>BUA0106</v>
          </cell>
        </row>
        <row r="6932">
          <cell r="C6932" t="str">
            <v>BUD1369</v>
          </cell>
          <cell r="D6932" t="str">
            <v>BUD1369</v>
          </cell>
        </row>
        <row r="6933">
          <cell r="C6933" t="str">
            <v>BUF8470</v>
          </cell>
          <cell r="D6933" t="str">
            <v>BUF8470</v>
          </cell>
        </row>
        <row r="6934">
          <cell r="C6934" t="str">
            <v>BUH9576</v>
          </cell>
          <cell r="D6934" t="str">
            <v>BUH9576</v>
          </cell>
        </row>
        <row r="6935">
          <cell r="C6935" t="str">
            <v>BUP5994</v>
          </cell>
          <cell r="D6935" t="str">
            <v>BUP5994</v>
          </cell>
        </row>
        <row r="6936">
          <cell r="C6936" t="str">
            <v>BUR9J01</v>
          </cell>
          <cell r="D6936" t="str">
            <v>BUR9J01</v>
          </cell>
        </row>
        <row r="6937">
          <cell r="C6937" t="str">
            <v>BVN4549</v>
          </cell>
          <cell r="D6937" t="str">
            <v>BVN4549</v>
          </cell>
        </row>
        <row r="6938">
          <cell r="C6938" t="str">
            <v>BVN8242</v>
          </cell>
          <cell r="D6938" t="str">
            <v>BVN8242</v>
          </cell>
        </row>
        <row r="6939">
          <cell r="C6939" t="str">
            <v>BVP8900</v>
          </cell>
          <cell r="D6939" t="str">
            <v>BVP8900</v>
          </cell>
        </row>
        <row r="6940">
          <cell r="C6940" t="str">
            <v>BVR0H97</v>
          </cell>
          <cell r="D6940" t="str">
            <v>BVR0H97</v>
          </cell>
        </row>
        <row r="6941">
          <cell r="C6941" t="str">
            <v>BWB6F11</v>
          </cell>
          <cell r="D6941" t="str">
            <v>BWB6F11</v>
          </cell>
        </row>
        <row r="6942">
          <cell r="C6942" t="str">
            <v>BWG1953</v>
          </cell>
          <cell r="D6942" t="str">
            <v>BWG1953</v>
          </cell>
        </row>
        <row r="6943">
          <cell r="C6943" t="str">
            <v>BWI3453</v>
          </cell>
          <cell r="D6943" t="str">
            <v>BWI3453</v>
          </cell>
        </row>
        <row r="6944">
          <cell r="C6944" t="str">
            <v>BWI7296</v>
          </cell>
          <cell r="D6944" t="str">
            <v>BWI7296</v>
          </cell>
        </row>
        <row r="6945">
          <cell r="C6945" t="str">
            <v>BWJ1020</v>
          </cell>
          <cell r="D6945" t="str">
            <v>BWJ1020</v>
          </cell>
        </row>
        <row r="6946">
          <cell r="C6946" t="str">
            <v>BWJ7011</v>
          </cell>
          <cell r="D6946" t="str">
            <v>BWJ7011</v>
          </cell>
        </row>
        <row r="6947">
          <cell r="C6947" t="str">
            <v>BWK1771</v>
          </cell>
          <cell r="D6947" t="str">
            <v>BWK1771</v>
          </cell>
        </row>
        <row r="6948">
          <cell r="C6948" t="str">
            <v>BWK2788</v>
          </cell>
          <cell r="D6948" t="str">
            <v>BWK2788</v>
          </cell>
        </row>
        <row r="6949">
          <cell r="C6949" t="str">
            <v>BWK5E58</v>
          </cell>
          <cell r="D6949" t="str">
            <v>BWK5E58</v>
          </cell>
        </row>
        <row r="6950">
          <cell r="C6950" t="str">
            <v>BWK9156</v>
          </cell>
          <cell r="D6950" t="str">
            <v>BWK9156</v>
          </cell>
        </row>
        <row r="6951">
          <cell r="C6951" t="str">
            <v>BWL3161</v>
          </cell>
          <cell r="D6951" t="str">
            <v>BWL3161</v>
          </cell>
        </row>
        <row r="6952">
          <cell r="C6952" t="str">
            <v>BWM0728</v>
          </cell>
          <cell r="D6952" t="str">
            <v>BWM0728</v>
          </cell>
        </row>
        <row r="6953">
          <cell r="C6953" t="str">
            <v>BWM3426</v>
          </cell>
          <cell r="D6953" t="str">
            <v>BWM3426</v>
          </cell>
        </row>
        <row r="6954">
          <cell r="C6954" t="str">
            <v>BWN8242</v>
          </cell>
          <cell r="D6954" t="str">
            <v>BWN8242</v>
          </cell>
        </row>
        <row r="6955">
          <cell r="C6955" t="str">
            <v>BWO5641</v>
          </cell>
          <cell r="D6955" t="str">
            <v>BWO5641</v>
          </cell>
        </row>
        <row r="6956">
          <cell r="C6956" t="str">
            <v>BWO7998</v>
          </cell>
          <cell r="D6956" t="str">
            <v>BWO7998</v>
          </cell>
        </row>
        <row r="6957">
          <cell r="C6957" t="str">
            <v>BWQ9F54</v>
          </cell>
          <cell r="D6957" t="str">
            <v>BWQ9F54</v>
          </cell>
        </row>
        <row r="6958">
          <cell r="C6958" t="str">
            <v>BWS3958</v>
          </cell>
          <cell r="D6958" t="str">
            <v>BWS3958</v>
          </cell>
        </row>
        <row r="6959">
          <cell r="C6959" t="str">
            <v>BWU7897</v>
          </cell>
          <cell r="D6959" t="str">
            <v>BWU7897</v>
          </cell>
        </row>
        <row r="6960">
          <cell r="C6960" t="str">
            <v>BWY1422</v>
          </cell>
          <cell r="D6960" t="str">
            <v>BWY1422</v>
          </cell>
        </row>
        <row r="6961">
          <cell r="C6961" t="str">
            <v>BWY7540</v>
          </cell>
          <cell r="D6961" t="str">
            <v>BWY7540</v>
          </cell>
        </row>
        <row r="6962">
          <cell r="C6962" t="str">
            <v>BWZ3H07</v>
          </cell>
          <cell r="D6962" t="str">
            <v>BWZ3H07</v>
          </cell>
        </row>
        <row r="6963">
          <cell r="C6963" t="str">
            <v>BWZ5473</v>
          </cell>
          <cell r="D6963" t="str">
            <v>BWZ5473</v>
          </cell>
        </row>
        <row r="6964">
          <cell r="C6964" t="str">
            <v>BXA4555</v>
          </cell>
          <cell r="D6964" t="str">
            <v>BXA4555</v>
          </cell>
        </row>
        <row r="6965">
          <cell r="C6965" t="str">
            <v>BXC6B99</v>
          </cell>
          <cell r="D6965" t="str">
            <v>BXC6B99</v>
          </cell>
        </row>
        <row r="6966">
          <cell r="C6966" t="str">
            <v>BXC6D99</v>
          </cell>
          <cell r="D6966" t="str">
            <v>BXC6D99</v>
          </cell>
        </row>
        <row r="6967">
          <cell r="C6967" t="str">
            <v>BXE6832</v>
          </cell>
          <cell r="D6967" t="str">
            <v>BXE6832</v>
          </cell>
        </row>
        <row r="6968">
          <cell r="C6968" t="str">
            <v>BXE8G78</v>
          </cell>
          <cell r="D6968" t="str">
            <v>BXE8G78</v>
          </cell>
        </row>
        <row r="6969">
          <cell r="C6969" t="str">
            <v>BXF6653</v>
          </cell>
          <cell r="D6969" t="str">
            <v>BXF6653</v>
          </cell>
        </row>
        <row r="6970">
          <cell r="C6970" t="str">
            <v>BXH2228</v>
          </cell>
          <cell r="D6970" t="str">
            <v>BXH2228</v>
          </cell>
        </row>
        <row r="6971">
          <cell r="C6971" t="str">
            <v>BXI6898</v>
          </cell>
          <cell r="D6971" t="str">
            <v>BXI6898</v>
          </cell>
        </row>
        <row r="6972">
          <cell r="C6972" t="str">
            <v>BXL9827</v>
          </cell>
          <cell r="D6972" t="str">
            <v>BXL9827</v>
          </cell>
        </row>
        <row r="6973">
          <cell r="C6973" t="str">
            <v>BXL9927</v>
          </cell>
          <cell r="D6973" t="str">
            <v>BXL9927</v>
          </cell>
        </row>
        <row r="6974">
          <cell r="C6974" t="str">
            <v>BXY6898</v>
          </cell>
          <cell r="D6974" t="str">
            <v>BXY6898</v>
          </cell>
        </row>
        <row r="6975">
          <cell r="C6975" t="str">
            <v>BYA4186</v>
          </cell>
          <cell r="D6975" t="str">
            <v>BYA4186</v>
          </cell>
        </row>
        <row r="6976">
          <cell r="C6976" t="str">
            <v>BYA9655</v>
          </cell>
          <cell r="D6976" t="str">
            <v>BYA9655</v>
          </cell>
        </row>
        <row r="6977">
          <cell r="C6977" t="str">
            <v>BYB1381</v>
          </cell>
          <cell r="D6977" t="str">
            <v>BYB1381</v>
          </cell>
        </row>
        <row r="6978">
          <cell r="C6978" t="str">
            <v>BYD2736</v>
          </cell>
          <cell r="D6978" t="str">
            <v>BYD2736</v>
          </cell>
        </row>
        <row r="6979">
          <cell r="C6979" t="str">
            <v>BYF4F43</v>
          </cell>
          <cell r="D6979" t="str">
            <v>BYF4F43</v>
          </cell>
        </row>
        <row r="6980">
          <cell r="C6980" t="str">
            <v>BYH0951</v>
          </cell>
          <cell r="D6980" t="str">
            <v>BYH0951</v>
          </cell>
        </row>
        <row r="6981">
          <cell r="C6981" t="str">
            <v>BYM4385</v>
          </cell>
          <cell r="D6981" t="str">
            <v>BYM4385</v>
          </cell>
        </row>
        <row r="6982">
          <cell r="C6982" t="str">
            <v>BYM7535</v>
          </cell>
          <cell r="D6982" t="str">
            <v>BYM7535</v>
          </cell>
        </row>
        <row r="6983">
          <cell r="C6983" t="str">
            <v>BYU5A50</v>
          </cell>
          <cell r="D6983" t="str">
            <v>BYU5A50</v>
          </cell>
        </row>
        <row r="6984">
          <cell r="C6984" t="str">
            <v>BYZ9439</v>
          </cell>
          <cell r="D6984" t="str">
            <v>BYZ9439</v>
          </cell>
        </row>
        <row r="6985">
          <cell r="C6985" t="str">
            <v>BZH5415</v>
          </cell>
          <cell r="D6985" t="str">
            <v>BZH5415</v>
          </cell>
        </row>
        <row r="6986">
          <cell r="C6986" t="str">
            <v>BZH6883</v>
          </cell>
          <cell r="D6986" t="str">
            <v>BZH6883</v>
          </cell>
        </row>
        <row r="6987">
          <cell r="C6987" t="str">
            <v>BZM5785</v>
          </cell>
          <cell r="D6987" t="str">
            <v>BZM5785</v>
          </cell>
        </row>
        <row r="6988">
          <cell r="C6988" t="str">
            <v>BZW7423</v>
          </cell>
          <cell r="D6988" t="str">
            <v>BZW7423</v>
          </cell>
        </row>
        <row r="6989">
          <cell r="C6989" t="str">
            <v>CAE7350</v>
          </cell>
          <cell r="D6989" t="str">
            <v>CAE7350</v>
          </cell>
        </row>
        <row r="6990">
          <cell r="C6990" t="str">
            <v>CAJ2952</v>
          </cell>
          <cell r="D6990" t="str">
            <v>CAJ2952</v>
          </cell>
        </row>
        <row r="6991">
          <cell r="C6991" t="str">
            <v>CAL3284</v>
          </cell>
          <cell r="D6991" t="str">
            <v>CAL3284</v>
          </cell>
        </row>
        <row r="6992">
          <cell r="C6992" t="str">
            <v>CAR5657</v>
          </cell>
          <cell r="D6992" t="str">
            <v>CAR5657</v>
          </cell>
        </row>
        <row r="6993">
          <cell r="C6993" t="str">
            <v>CAX4833</v>
          </cell>
          <cell r="D6993" t="str">
            <v>CAX4833</v>
          </cell>
        </row>
        <row r="6994">
          <cell r="C6994" t="str">
            <v>CBP3975</v>
          </cell>
          <cell r="D6994" t="str">
            <v>CBP3975</v>
          </cell>
        </row>
        <row r="6995">
          <cell r="C6995" t="str">
            <v>CBR1863</v>
          </cell>
          <cell r="D6995" t="str">
            <v>CBR1863</v>
          </cell>
        </row>
        <row r="6996">
          <cell r="C6996" t="str">
            <v>CBR4660</v>
          </cell>
          <cell r="D6996" t="str">
            <v>CBR4660</v>
          </cell>
        </row>
        <row r="6997">
          <cell r="C6997" t="str">
            <v>CBS5G39</v>
          </cell>
          <cell r="D6997" t="str">
            <v>CBS5G39</v>
          </cell>
        </row>
        <row r="6998">
          <cell r="C6998" t="str">
            <v>CBS6516</v>
          </cell>
          <cell r="D6998" t="str">
            <v>CBS6516</v>
          </cell>
        </row>
        <row r="6999">
          <cell r="C6999" t="str">
            <v>CBY6225</v>
          </cell>
          <cell r="D6999" t="str">
            <v>CBY6225</v>
          </cell>
        </row>
        <row r="7000">
          <cell r="C7000" t="str">
            <v>CCE3713</v>
          </cell>
          <cell r="D7000" t="str">
            <v>CCE3713</v>
          </cell>
        </row>
        <row r="7001">
          <cell r="C7001" t="str">
            <v>CCP6760</v>
          </cell>
          <cell r="D7001" t="str">
            <v>CCP6760</v>
          </cell>
        </row>
        <row r="7002">
          <cell r="C7002" t="str">
            <v>CDB9302</v>
          </cell>
          <cell r="D7002" t="str">
            <v>CDB9302</v>
          </cell>
        </row>
        <row r="7003">
          <cell r="C7003" t="str">
            <v>CDC0286</v>
          </cell>
          <cell r="D7003" t="str">
            <v>CDC0286</v>
          </cell>
        </row>
        <row r="7004">
          <cell r="C7004" t="str">
            <v>CDE8916</v>
          </cell>
          <cell r="D7004" t="str">
            <v>CDE8916</v>
          </cell>
        </row>
        <row r="7005">
          <cell r="C7005" t="str">
            <v>CDL8B38</v>
          </cell>
          <cell r="D7005" t="str">
            <v>CDL8B38</v>
          </cell>
        </row>
        <row r="7006">
          <cell r="C7006" t="str">
            <v>CDM7121</v>
          </cell>
          <cell r="D7006" t="str">
            <v>CDM7121</v>
          </cell>
        </row>
        <row r="7007">
          <cell r="C7007" t="str">
            <v>CDN7113</v>
          </cell>
          <cell r="D7007" t="str">
            <v>CDN7113</v>
          </cell>
        </row>
        <row r="7008">
          <cell r="C7008" t="str">
            <v>CDP9302</v>
          </cell>
          <cell r="D7008" t="str">
            <v>CDP9302</v>
          </cell>
        </row>
        <row r="7009">
          <cell r="C7009" t="str">
            <v>CDQ6959</v>
          </cell>
          <cell r="D7009" t="str">
            <v>CDQ6959</v>
          </cell>
        </row>
        <row r="7010">
          <cell r="C7010" t="str">
            <v>CDV2529</v>
          </cell>
          <cell r="D7010" t="str">
            <v>CDV2529</v>
          </cell>
        </row>
        <row r="7011">
          <cell r="C7011" t="str">
            <v>CDV2H83</v>
          </cell>
          <cell r="D7011" t="str">
            <v>CDV2H83</v>
          </cell>
        </row>
        <row r="7012">
          <cell r="C7012" t="str">
            <v>CDY2375</v>
          </cell>
          <cell r="D7012" t="str">
            <v>CDY2375</v>
          </cell>
        </row>
        <row r="7013">
          <cell r="C7013" t="str">
            <v>CDY6225</v>
          </cell>
          <cell r="D7013" t="str">
            <v>CDY6225</v>
          </cell>
        </row>
        <row r="7014">
          <cell r="C7014" t="str">
            <v>CEC2828</v>
          </cell>
          <cell r="D7014" t="str">
            <v>CEC2828</v>
          </cell>
        </row>
        <row r="7015">
          <cell r="C7015" t="str">
            <v>CEE3713</v>
          </cell>
          <cell r="D7015" t="str">
            <v>CEE3713</v>
          </cell>
        </row>
        <row r="7016">
          <cell r="C7016" t="str">
            <v>CEG2865</v>
          </cell>
          <cell r="D7016" t="str">
            <v>CEG2865</v>
          </cell>
        </row>
        <row r="7017">
          <cell r="C7017" t="str">
            <v>CEG2I65</v>
          </cell>
          <cell r="D7017" t="str">
            <v>CEG2I65</v>
          </cell>
        </row>
        <row r="7018">
          <cell r="C7018" t="str">
            <v>CEW4064</v>
          </cell>
          <cell r="D7018" t="str">
            <v>CEW4064</v>
          </cell>
        </row>
        <row r="7019">
          <cell r="C7019" t="str">
            <v>CEZ2967</v>
          </cell>
          <cell r="D7019" t="str">
            <v>CEZ2967</v>
          </cell>
        </row>
        <row r="7020">
          <cell r="C7020" t="str">
            <v>CFA1823</v>
          </cell>
          <cell r="D7020" t="str">
            <v>CFA1823</v>
          </cell>
        </row>
        <row r="7021">
          <cell r="C7021" t="str">
            <v>CFC0898</v>
          </cell>
          <cell r="D7021" t="str">
            <v>CFC0898</v>
          </cell>
        </row>
        <row r="7022">
          <cell r="C7022" t="str">
            <v>CFC1476</v>
          </cell>
          <cell r="D7022" t="str">
            <v>CFC1476</v>
          </cell>
        </row>
        <row r="7023">
          <cell r="C7023" t="str">
            <v>CFC2893</v>
          </cell>
          <cell r="D7023" t="str">
            <v>CFC2893</v>
          </cell>
        </row>
        <row r="7024">
          <cell r="C7024" t="str">
            <v>CFH2476</v>
          </cell>
          <cell r="D7024" t="str">
            <v>CFH2476</v>
          </cell>
        </row>
        <row r="7025">
          <cell r="C7025" t="str">
            <v>CFQ8573</v>
          </cell>
          <cell r="D7025" t="str">
            <v>CFQ8573</v>
          </cell>
        </row>
        <row r="7026">
          <cell r="C7026" t="str">
            <v>CGB9J84</v>
          </cell>
          <cell r="D7026" t="str">
            <v>CGB9J84</v>
          </cell>
        </row>
        <row r="7027">
          <cell r="C7027" t="str">
            <v>CGE6011</v>
          </cell>
          <cell r="D7027" t="str">
            <v>CGE6011</v>
          </cell>
        </row>
        <row r="7028">
          <cell r="C7028" t="str">
            <v>CGL0937</v>
          </cell>
          <cell r="D7028" t="str">
            <v>CGL0937</v>
          </cell>
        </row>
        <row r="7029">
          <cell r="C7029" t="str">
            <v>CGO1380</v>
          </cell>
          <cell r="D7029" t="str">
            <v>CGO1380</v>
          </cell>
        </row>
        <row r="7030">
          <cell r="C7030" t="str">
            <v>CGR0G04</v>
          </cell>
          <cell r="D7030" t="str">
            <v>CGR0G04</v>
          </cell>
        </row>
        <row r="7031">
          <cell r="C7031" t="str">
            <v>CHH7846</v>
          </cell>
          <cell r="D7031" t="str">
            <v>CHH7846</v>
          </cell>
        </row>
        <row r="7032">
          <cell r="C7032" t="str">
            <v>CHN2397</v>
          </cell>
          <cell r="D7032" t="str">
            <v>CHN2397</v>
          </cell>
        </row>
        <row r="7033">
          <cell r="C7033" t="str">
            <v>CHO1B60</v>
          </cell>
          <cell r="D7033" t="str">
            <v>CHO1B60</v>
          </cell>
        </row>
        <row r="7034">
          <cell r="C7034" t="str">
            <v>CHO7441</v>
          </cell>
          <cell r="D7034" t="str">
            <v>CHO7441</v>
          </cell>
        </row>
        <row r="7035">
          <cell r="C7035" t="str">
            <v>CHP5636</v>
          </cell>
          <cell r="D7035" t="str">
            <v>CHP5636</v>
          </cell>
        </row>
        <row r="7036">
          <cell r="C7036" t="str">
            <v>CHP5910</v>
          </cell>
          <cell r="D7036" t="str">
            <v>CHP5910</v>
          </cell>
        </row>
        <row r="7037">
          <cell r="C7037" t="str">
            <v>CHW0739</v>
          </cell>
          <cell r="D7037" t="str">
            <v>CHW0739</v>
          </cell>
        </row>
        <row r="7038">
          <cell r="C7038" t="str">
            <v>CIB0124</v>
          </cell>
          <cell r="D7038" t="str">
            <v>CIB0124</v>
          </cell>
        </row>
        <row r="7039">
          <cell r="C7039" t="str">
            <v>CIB1E36</v>
          </cell>
          <cell r="D7039" t="str">
            <v>CIB1E36</v>
          </cell>
        </row>
        <row r="7040">
          <cell r="C7040" t="str">
            <v>CIE7B18</v>
          </cell>
          <cell r="D7040" t="str">
            <v>CIE7B18</v>
          </cell>
        </row>
        <row r="7041">
          <cell r="C7041" t="str">
            <v>CIK6331</v>
          </cell>
          <cell r="D7041" t="str">
            <v>CIK6331</v>
          </cell>
        </row>
        <row r="7042">
          <cell r="C7042" t="str">
            <v>CIV0353</v>
          </cell>
          <cell r="D7042" t="str">
            <v>CIV0353</v>
          </cell>
        </row>
        <row r="7043">
          <cell r="C7043" t="str">
            <v>CIV1999</v>
          </cell>
          <cell r="D7043" t="str">
            <v>CIV1999</v>
          </cell>
        </row>
        <row r="7044">
          <cell r="C7044" t="str">
            <v>CJJ4210</v>
          </cell>
          <cell r="D7044" t="str">
            <v>CJJ4210</v>
          </cell>
        </row>
        <row r="7045">
          <cell r="C7045" t="str">
            <v>CJQ7109</v>
          </cell>
          <cell r="D7045" t="str">
            <v>CJQ7109</v>
          </cell>
        </row>
        <row r="7046">
          <cell r="C7046" t="str">
            <v>CJR5446</v>
          </cell>
          <cell r="D7046" t="str">
            <v>CJR5446</v>
          </cell>
        </row>
        <row r="7047">
          <cell r="C7047" t="str">
            <v>CKA6795</v>
          </cell>
          <cell r="D7047" t="str">
            <v>CKA6795</v>
          </cell>
        </row>
        <row r="7048">
          <cell r="C7048" t="str">
            <v>CKE9444</v>
          </cell>
          <cell r="D7048" t="str">
            <v>CKE9444</v>
          </cell>
        </row>
        <row r="7049">
          <cell r="C7049" t="str">
            <v>CKG2411</v>
          </cell>
          <cell r="D7049" t="str">
            <v>CKG2411</v>
          </cell>
        </row>
        <row r="7050">
          <cell r="C7050" t="str">
            <v>CKH1753</v>
          </cell>
          <cell r="D7050" t="str">
            <v>CKH1753</v>
          </cell>
        </row>
        <row r="7051">
          <cell r="C7051" t="str">
            <v>CKX1248</v>
          </cell>
          <cell r="D7051" t="str">
            <v>CKX1248</v>
          </cell>
        </row>
        <row r="7052">
          <cell r="C7052" t="str">
            <v>CKZ5422</v>
          </cell>
          <cell r="D7052" t="str">
            <v>CKZ5422</v>
          </cell>
        </row>
        <row r="7053">
          <cell r="C7053" t="str">
            <v>CKZ5624</v>
          </cell>
          <cell r="D7053" t="str">
            <v>CKZ5624</v>
          </cell>
        </row>
        <row r="7054">
          <cell r="C7054" t="str">
            <v>CLE1023</v>
          </cell>
          <cell r="D7054" t="str">
            <v>CLE1023</v>
          </cell>
        </row>
        <row r="7055">
          <cell r="C7055" t="str">
            <v>CLK4421</v>
          </cell>
          <cell r="D7055" t="str">
            <v>CLK4421</v>
          </cell>
        </row>
        <row r="7056">
          <cell r="C7056" t="str">
            <v>CLK8301</v>
          </cell>
          <cell r="D7056" t="str">
            <v>CLK8301</v>
          </cell>
        </row>
        <row r="7057">
          <cell r="C7057" t="str">
            <v>CLU5B52</v>
          </cell>
          <cell r="D7057" t="str">
            <v>CLU5B52</v>
          </cell>
        </row>
        <row r="7058">
          <cell r="C7058" t="str">
            <v>CLY9449</v>
          </cell>
          <cell r="D7058" t="str">
            <v>CLY9449</v>
          </cell>
        </row>
        <row r="7059">
          <cell r="C7059" t="str">
            <v>CLZ2129</v>
          </cell>
          <cell r="D7059" t="str">
            <v>CLZ2129</v>
          </cell>
        </row>
        <row r="7060">
          <cell r="C7060" t="str">
            <v>CMP3412</v>
          </cell>
          <cell r="D7060" t="str">
            <v>CMP3412</v>
          </cell>
        </row>
        <row r="7061">
          <cell r="C7061" t="str">
            <v>CMR6358</v>
          </cell>
          <cell r="D7061" t="str">
            <v>CMR6358</v>
          </cell>
        </row>
        <row r="7062">
          <cell r="C7062" t="str">
            <v>CNB6363</v>
          </cell>
          <cell r="D7062" t="str">
            <v>CNB6363</v>
          </cell>
        </row>
        <row r="7063">
          <cell r="C7063" t="str">
            <v>CNF0695</v>
          </cell>
          <cell r="D7063" t="str">
            <v>CNF0695</v>
          </cell>
        </row>
        <row r="7064">
          <cell r="C7064" t="str">
            <v>CNI4141</v>
          </cell>
          <cell r="D7064" t="str">
            <v>CNI4141</v>
          </cell>
        </row>
        <row r="7065">
          <cell r="C7065" t="str">
            <v>CNI4E08</v>
          </cell>
          <cell r="D7065" t="str">
            <v>CNI4E08</v>
          </cell>
        </row>
        <row r="7066">
          <cell r="C7066" t="str">
            <v>CNI6889</v>
          </cell>
          <cell r="D7066" t="str">
            <v>CNI6889</v>
          </cell>
        </row>
        <row r="7067">
          <cell r="C7067" t="str">
            <v>CNR4247</v>
          </cell>
          <cell r="D7067" t="str">
            <v>CNR4247</v>
          </cell>
        </row>
        <row r="7068">
          <cell r="C7068" t="str">
            <v>CNU2H06</v>
          </cell>
          <cell r="D7068" t="str">
            <v>CNU2H06</v>
          </cell>
        </row>
        <row r="7069">
          <cell r="C7069" t="str">
            <v>CPF0I96</v>
          </cell>
          <cell r="D7069" t="str">
            <v>CPF0I96</v>
          </cell>
        </row>
        <row r="7070">
          <cell r="C7070" t="str">
            <v>CPF7951</v>
          </cell>
          <cell r="D7070" t="str">
            <v>CPF7951</v>
          </cell>
        </row>
        <row r="7071">
          <cell r="C7071" t="str">
            <v>CPI0498</v>
          </cell>
          <cell r="D7071" t="str">
            <v>CPI0498</v>
          </cell>
        </row>
        <row r="7072">
          <cell r="C7072" t="str">
            <v>CPJ8H30</v>
          </cell>
          <cell r="D7072" t="str">
            <v>CPJ8H30</v>
          </cell>
        </row>
        <row r="7073">
          <cell r="C7073" t="str">
            <v>CPM6112</v>
          </cell>
          <cell r="D7073" t="str">
            <v>CPM6112</v>
          </cell>
        </row>
        <row r="7074">
          <cell r="C7074" t="str">
            <v>CPN6112</v>
          </cell>
          <cell r="D7074" t="str">
            <v>CPN6112</v>
          </cell>
        </row>
        <row r="7075">
          <cell r="C7075" t="str">
            <v>CPR9840</v>
          </cell>
          <cell r="D7075" t="str">
            <v>CPR9840</v>
          </cell>
        </row>
        <row r="7076">
          <cell r="C7076" t="str">
            <v>CQI8269</v>
          </cell>
          <cell r="D7076" t="str">
            <v>CQI8269</v>
          </cell>
        </row>
        <row r="7077">
          <cell r="C7077" t="str">
            <v>CQJ0684</v>
          </cell>
          <cell r="D7077" t="str">
            <v>CQJ0684</v>
          </cell>
        </row>
        <row r="7078">
          <cell r="C7078" t="str">
            <v>CQX3170</v>
          </cell>
          <cell r="D7078" t="str">
            <v>CQX3170</v>
          </cell>
        </row>
        <row r="7079">
          <cell r="C7079" t="str">
            <v>CQY0764</v>
          </cell>
          <cell r="D7079" t="str">
            <v>CQY0764</v>
          </cell>
        </row>
        <row r="7080">
          <cell r="C7080" t="str">
            <v>CRC7641</v>
          </cell>
          <cell r="D7080" t="str">
            <v>CRC7641</v>
          </cell>
        </row>
        <row r="7081">
          <cell r="C7081" t="str">
            <v>CRH7118</v>
          </cell>
          <cell r="D7081" t="str">
            <v>CRH7118</v>
          </cell>
        </row>
        <row r="7082">
          <cell r="C7082" t="str">
            <v>CRN4296</v>
          </cell>
          <cell r="D7082" t="str">
            <v>CRN4296</v>
          </cell>
        </row>
        <row r="7083">
          <cell r="C7083" t="str">
            <v>CRT8347</v>
          </cell>
          <cell r="D7083" t="str">
            <v>CRT8347</v>
          </cell>
        </row>
        <row r="7084">
          <cell r="C7084" t="str">
            <v>CRZ1404</v>
          </cell>
          <cell r="D7084" t="str">
            <v>CRZ1404</v>
          </cell>
        </row>
        <row r="7085">
          <cell r="C7085" t="str">
            <v>CSK2213</v>
          </cell>
          <cell r="D7085" t="str">
            <v>CSK2213</v>
          </cell>
        </row>
        <row r="7086">
          <cell r="C7086" t="str">
            <v>CSV9309</v>
          </cell>
          <cell r="D7086" t="str">
            <v>CSV9309</v>
          </cell>
        </row>
        <row r="7087">
          <cell r="C7087" t="str">
            <v>CSZ0061</v>
          </cell>
          <cell r="D7087" t="str">
            <v>CSZ0061</v>
          </cell>
        </row>
        <row r="7088">
          <cell r="C7088" t="str">
            <v>CSZ2852</v>
          </cell>
          <cell r="D7088" t="str">
            <v>CSZ2852</v>
          </cell>
        </row>
        <row r="7089">
          <cell r="C7089" t="str">
            <v>CTO8945</v>
          </cell>
          <cell r="D7089" t="str">
            <v>CTO8945</v>
          </cell>
        </row>
        <row r="7090">
          <cell r="C7090" t="str">
            <v>CTP2083</v>
          </cell>
          <cell r="D7090" t="str">
            <v>CTP2083</v>
          </cell>
        </row>
        <row r="7091">
          <cell r="C7091" t="str">
            <v>CTQ3401</v>
          </cell>
          <cell r="D7091" t="str">
            <v>CTQ3401</v>
          </cell>
        </row>
        <row r="7092">
          <cell r="C7092" t="str">
            <v>CUE4530</v>
          </cell>
          <cell r="D7092" t="str">
            <v>CUE4530</v>
          </cell>
        </row>
        <row r="7093">
          <cell r="C7093" t="str">
            <v>CUE4684</v>
          </cell>
          <cell r="D7093" t="str">
            <v>CUE4684</v>
          </cell>
        </row>
        <row r="7094">
          <cell r="C7094" t="str">
            <v>CUE5362</v>
          </cell>
          <cell r="D7094" t="str">
            <v>CUE5362</v>
          </cell>
        </row>
        <row r="7095">
          <cell r="C7095" t="str">
            <v>CUE5804</v>
          </cell>
          <cell r="D7095" t="str">
            <v>CUE5804</v>
          </cell>
        </row>
        <row r="7096">
          <cell r="C7096" t="str">
            <v>CVN1085</v>
          </cell>
          <cell r="D7096" t="str">
            <v>CVN1085</v>
          </cell>
        </row>
        <row r="7097">
          <cell r="C7097" t="str">
            <v>CVP6721</v>
          </cell>
          <cell r="D7097" t="str">
            <v>CVP6721</v>
          </cell>
        </row>
        <row r="7098">
          <cell r="C7098" t="str">
            <v>CVT7519</v>
          </cell>
          <cell r="D7098" t="str">
            <v>CVT7519</v>
          </cell>
        </row>
        <row r="7099">
          <cell r="C7099" t="str">
            <v>CVZ5985</v>
          </cell>
          <cell r="D7099" t="str">
            <v>CVZ5985</v>
          </cell>
        </row>
        <row r="7100">
          <cell r="C7100" t="str">
            <v>CWJ1194</v>
          </cell>
          <cell r="D7100" t="str">
            <v>CWJ1194</v>
          </cell>
        </row>
        <row r="7101">
          <cell r="C7101" t="str">
            <v>CWJ6692</v>
          </cell>
          <cell r="D7101" t="str">
            <v>CWJ6692</v>
          </cell>
        </row>
        <row r="7102">
          <cell r="C7102" t="str">
            <v>CWK2H71</v>
          </cell>
          <cell r="D7102" t="str">
            <v>CWK2H71</v>
          </cell>
        </row>
        <row r="7103">
          <cell r="C7103" t="str">
            <v>CWO1496</v>
          </cell>
          <cell r="D7103" t="str">
            <v>CWO1496</v>
          </cell>
        </row>
        <row r="7104">
          <cell r="C7104" t="str">
            <v>CWO9797</v>
          </cell>
          <cell r="D7104" t="str">
            <v>CWO9797</v>
          </cell>
        </row>
        <row r="7105">
          <cell r="C7105" t="str">
            <v>CXA0634</v>
          </cell>
          <cell r="D7105" t="str">
            <v>CXA0634</v>
          </cell>
        </row>
        <row r="7106">
          <cell r="C7106" t="str">
            <v>CXA4082</v>
          </cell>
          <cell r="D7106" t="str">
            <v>CXA4082</v>
          </cell>
        </row>
        <row r="7107">
          <cell r="C7107" t="str">
            <v>CXA6175</v>
          </cell>
          <cell r="D7107" t="str">
            <v>CXA6175</v>
          </cell>
        </row>
        <row r="7108">
          <cell r="C7108" t="str">
            <v>CXC0783</v>
          </cell>
          <cell r="D7108" t="str">
            <v>CXC0783</v>
          </cell>
        </row>
        <row r="7109">
          <cell r="C7109" t="str">
            <v>CXM9671</v>
          </cell>
          <cell r="D7109" t="str">
            <v>CXM9671</v>
          </cell>
        </row>
        <row r="7110">
          <cell r="C7110" t="str">
            <v>CXU1037</v>
          </cell>
          <cell r="D7110" t="str">
            <v>CXU1037</v>
          </cell>
        </row>
        <row r="7111">
          <cell r="C7111" t="str">
            <v>CXX9001</v>
          </cell>
          <cell r="D7111" t="str">
            <v>CXX9001</v>
          </cell>
        </row>
        <row r="7112">
          <cell r="C7112" t="str">
            <v>CYA4152</v>
          </cell>
          <cell r="D7112" t="str">
            <v>CYA4152</v>
          </cell>
        </row>
        <row r="7113">
          <cell r="C7113" t="str">
            <v>CYB8088</v>
          </cell>
          <cell r="D7113" t="str">
            <v>CYB8088</v>
          </cell>
        </row>
        <row r="7114">
          <cell r="C7114" t="str">
            <v>CYC4152</v>
          </cell>
          <cell r="D7114" t="str">
            <v>CYC4152</v>
          </cell>
        </row>
        <row r="7115">
          <cell r="C7115" t="str">
            <v>CYJ1194</v>
          </cell>
          <cell r="D7115" t="str">
            <v>CYJ1194</v>
          </cell>
        </row>
        <row r="7116">
          <cell r="C7116" t="str">
            <v>CYM0587</v>
          </cell>
          <cell r="D7116" t="str">
            <v>CYM0587</v>
          </cell>
        </row>
        <row r="7117">
          <cell r="C7117" t="str">
            <v>CYM7811</v>
          </cell>
          <cell r="D7117" t="str">
            <v>CYM7811</v>
          </cell>
        </row>
        <row r="7118">
          <cell r="C7118" t="str">
            <v>CYN9880</v>
          </cell>
          <cell r="D7118" t="str">
            <v>CYN9880</v>
          </cell>
        </row>
        <row r="7119">
          <cell r="C7119" t="str">
            <v>CYO6375</v>
          </cell>
          <cell r="D7119" t="str">
            <v>CYO6375</v>
          </cell>
        </row>
        <row r="7120">
          <cell r="C7120" t="str">
            <v>CYU7781</v>
          </cell>
          <cell r="D7120" t="str">
            <v>CYU7781</v>
          </cell>
        </row>
        <row r="7121">
          <cell r="C7121" t="str">
            <v>CYX6097</v>
          </cell>
          <cell r="D7121" t="str">
            <v>CYX6097</v>
          </cell>
        </row>
        <row r="7122">
          <cell r="C7122" t="str">
            <v>CYZ4870</v>
          </cell>
          <cell r="D7122" t="str">
            <v>CYZ4870</v>
          </cell>
        </row>
        <row r="7123">
          <cell r="C7123" t="str">
            <v>CZA7766</v>
          </cell>
          <cell r="D7123" t="str">
            <v>CZA7766</v>
          </cell>
        </row>
        <row r="7124">
          <cell r="C7124" t="str">
            <v>CZB9J28</v>
          </cell>
          <cell r="D7124" t="str">
            <v>CZB9J28</v>
          </cell>
        </row>
        <row r="7125">
          <cell r="C7125" t="str">
            <v>CZC6A54</v>
          </cell>
          <cell r="D7125" t="str">
            <v>CZC6A54</v>
          </cell>
        </row>
        <row r="7126">
          <cell r="C7126" t="str">
            <v>CZL9023</v>
          </cell>
          <cell r="D7126" t="str">
            <v>CZL9023</v>
          </cell>
        </row>
        <row r="7127">
          <cell r="C7127" t="str">
            <v>CZM0C96</v>
          </cell>
          <cell r="D7127" t="str">
            <v>CZM0C96</v>
          </cell>
        </row>
        <row r="7128">
          <cell r="C7128" t="str">
            <v>CZN0C96</v>
          </cell>
          <cell r="D7128" t="str">
            <v>CZN0C96</v>
          </cell>
        </row>
        <row r="7129">
          <cell r="C7129" t="str">
            <v>CZP3169</v>
          </cell>
          <cell r="D7129" t="str">
            <v>CZP3169</v>
          </cell>
        </row>
        <row r="7130">
          <cell r="C7130" t="str">
            <v>CZU0406</v>
          </cell>
          <cell r="D7130" t="str">
            <v>CZU0406</v>
          </cell>
        </row>
        <row r="7131">
          <cell r="C7131" t="str">
            <v>CZZ6252</v>
          </cell>
          <cell r="D7131" t="str">
            <v>CZZ6252</v>
          </cell>
        </row>
        <row r="7132">
          <cell r="C7132" t="str">
            <v>CZZ7728</v>
          </cell>
          <cell r="D7132" t="str">
            <v>CZZ7728</v>
          </cell>
        </row>
        <row r="7133">
          <cell r="C7133" t="str">
            <v>DAE4689</v>
          </cell>
          <cell r="D7133" t="str">
            <v>DAE4689</v>
          </cell>
        </row>
        <row r="7134">
          <cell r="C7134" t="str">
            <v>DAH7008</v>
          </cell>
          <cell r="D7134" t="str">
            <v>DAH7008</v>
          </cell>
        </row>
        <row r="7135">
          <cell r="C7135" t="str">
            <v>DAO3631</v>
          </cell>
          <cell r="D7135" t="str">
            <v>DAO3631</v>
          </cell>
        </row>
        <row r="7136">
          <cell r="C7136" t="str">
            <v>DAO3645</v>
          </cell>
          <cell r="D7136" t="str">
            <v>DAO3645</v>
          </cell>
        </row>
        <row r="7137">
          <cell r="C7137" t="str">
            <v>DAO3J35</v>
          </cell>
          <cell r="D7137" t="str">
            <v>DAO3J35</v>
          </cell>
        </row>
        <row r="7138">
          <cell r="C7138" t="str">
            <v>DAV1167</v>
          </cell>
          <cell r="D7138" t="str">
            <v>DAV1167</v>
          </cell>
        </row>
        <row r="7139">
          <cell r="C7139" t="str">
            <v>DAW2612</v>
          </cell>
          <cell r="D7139" t="str">
            <v>DAW2612</v>
          </cell>
        </row>
        <row r="7140">
          <cell r="C7140" t="str">
            <v>DAX9B82</v>
          </cell>
          <cell r="D7140" t="str">
            <v>DAX9B82</v>
          </cell>
        </row>
        <row r="7141">
          <cell r="C7141" t="str">
            <v>DAY3492</v>
          </cell>
          <cell r="D7141" t="str">
            <v>DAY3492</v>
          </cell>
        </row>
        <row r="7142">
          <cell r="C7142" t="str">
            <v>DAZ5747</v>
          </cell>
          <cell r="D7142" t="str">
            <v>DAZ5747</v>
          </cell>
        </row>
        <row r="7143">
          <cell r="C7143" t="str">
            <v>DAZ8466</v>
          </cell>
          <cell r="D7143" t="str">
            <v>DAZ8466</v>
          </cell>
        </row>
        <row r="7144">
          <cell r="C7144" t="str">
            <v>DBB3F51</v>
          </cell>
          <cell r="D7144" t="str">
            <v>DBB3F51</v>
          </cell>
        </row>
        <row r="7145">
          <cell r="C7145" t="str">
            <v>DBB7305</v>
          </cell>
          <cell r="D7145" t="str">
            <v>DBB7305</v>
          </cell>
        </row>
        <row r="7146">
          <cell r="C7146" t="str">
            <v>DBB8C54</v>
          </cell>
          <cell r="D7146" t="str">
            <v>DBB8C54</v>
          </cell>
        </row>
        <row r="7147">
          <cell r="C7147" t="str">
            <v>DBL0091</v>
          </cell>
          <cell r="D7147" t="str">
            <v>DBL0091</v>
          </cell>
        </row>
        <row r="7148">
          <cell r="C7148" t="str">
            <v>DBL1B46</v>
          </cell>
          <cell r="D7148" t="str">
            <v>DBL1B46</v>
          </cell>
        </row>
        <row r="7149">
          <cell r="C7149" t="str">
            <v>DBU2878</v>
          </cell>
          <cell r="D7149" t="str">
            <v>DBU2878</v>
          </cell>
        </row>
        <row r="7150">
          <cell r="C7150" t="str">
            <v>DCH0909</v>
          </cell>
          <cell r="D7150" t="str">
            <v>DCH0909</v>
          </cell>
        </row>
        <row r="7151">
          <cell r="C7151" t="str">
            <v>DCO2755</v>
          </cell>
          <cell r="D7151" t="str">
            <v>DCO2755</v>
          </cell>
        </row>
        <row r="7152">
          <cell r="C7152" t="str">
            <v>DDF3351</v>
          </cell>
          <cell r="D7152" t="str">
            <v>DDF3351</v>
          </cell>
        </row>
        <row r="7153">
          <cell r="C7153" t="str">
            <v>DDF8559</v>
          </cell>
          <cell r="D7153" t="str">
            <v>DDF8559</v>
          </cell>
        </row>
        <row r="7154">
          <cell r="C7154" t="str">
            <v>DDX2424</v>
          </cell>
          <cell r="D7154" t="str">
            <v>DDX2424</v>
          </cell>
        </row>
        <row r="7155">
          <cell r="C7155" t="str">
            <v>DEH5215</v>
          </cell>
          <cell r="D7155" t="str">
            <v>DEH5215</v>
          </cell>
        </row>
        <row r="7156">
          <cell r="C7156" t="str">
            <v>DFI3274</v>
          </cell>
          <cell r="D7156" t="str">
            <v>DFI3274</v>
          </cell>
        </row>
        <row r="7157">
          <cell r="C7157" t="str">
            <v>DFV6314</v>
          </cell>
          <cell r="D7157" t="str">
            <v>DFV6314</v>
          </cell>
        </row>
        <row r="7158">
          <cell r="C7158" t="str">
            <v>DGD7E12</v>
          </cell>
          <cell r="D7158" t="str">
            <v>DGD7E12</v>
          </cell>
        </row>
        <row r="7159">
          <cell r="C7159" t="str">
            <v>DGU9467</v>
          </cell>
          <cell r="D7159" t="str">
            <v>DGU9467</v>
          </cell>
        </row>
        <row r="7160">
          <cell r="C7160" t="str">
            <v>DID4074</v>
          </cell>
          <cell r="D7160" t="str">
            <v>DID4074</v>
          </cell>
        </row>
        <row r="7161">
          <cell r="C7161" t="str">
            <v>DIL5738</v>
          </cell>
          <cell r="D7161" t="str">
            <v>DIL5738</v>
          </cell>
        </row>
        <row r="7162">
          <cell r="C7162" t="str">
            <v>DJB3D00</v>
          </cell>
          <cell r="D7162" t="str">
            <v>DJB3D00</v>
          </cell>
        </row>
        <row r="7163">
          <cell r="C7163" t="str">
            <v>DJB6481</v>
          </cell>
          <cell r="D7163" t="str">
            <v>DJB6481</v>
          </cell>
        </row>
        <row r="7164">
          <cell r="C7164" t="str">
            <v>DJC0756</v>
          </cell>
          <cell r="D7164" t="str">
            <v>DJC0756</v>
          </cell>
        </row>
        <row r="7165">
          <cell r="C7165" t="str">
            <v>DJD1792</v>
          </cell>
          <cell r="D7165" t="str">
            <v>DJD1792</v>
          </cell>
        </row>
        <row r="7166">
          <cell r="C7166" t="str">
            <v>DJE1942</v>
          </cell>
          <cell r="D7166" t="str">
            <v>DJE1942</v>
          </cell>
        </row>
        <row r="7167">
          <cell r="C7167" t="str">
            <v>DJE1999</v>
          </cell>
          <cell r="D7167" t="str">
            <v>DJE1999</v>
          </cell>
        </row>
        <row r="7168">
          <cell r="C7168" t="str">
            <v>DJG0112</v>
          </cell>
          <cell r="D7168" t="str">
            <v>DJG0112</v>
          </cell>
        </row>
        <row r="7169">
          <cell r="C7169" t="str">
            <v>DJN2J08</v>
          </cell>
          <cell r="D7169" t="str">
            <v>DJN2J08</v>
          </cell>
        </row>
        <row r="7170">
          <cell r="C7170" t="str">
            <v>DKA3680</v>
          </cell>
          <cell r="D7170" t="str">
            <v>DKA3680</v>
          </cell>
        </row>
        <row r="7171">
          <cell r="C7171" t="str">
            <v>DKA7041</v>
          </cell>
          <cell r="D7171" t="str">
            <v>DKA7041</v>
          </cell>
        </row>
        <row r="7172">
          <cell r="C7172" t="str">
            <v>DKW0561</v>
          </cell>
          <cell r="D7172" t="str">
            <v>DKW0561</v>
          </cell>
        </row>
        <row r="7173">
          <cell r="C7173" t="str">
            <v>DKW3A31</v>
          </cell>
          <cell r="D7173" t="str">
            <v>DKW3A31</v>
          </cell>
        </row>
        <row r="7174">
          <cell r="C7174" t="str">
            <v>DMB6796</v>
          </cell>
          <cell r="D7174" t="str">
            <v>DMB6796</v>
          </cell>
        </row>
        <row r="7175">
          <cell r="C7175" t="str">
            <v>DMI1489</v>
          </cell>
          <cell r="D7175" t="str">
            <v>DMI1489</v>
          </cell>
        </row>
        <row r="7176">
          <cell r="C7176" t="str">
            <v>DMJ3G00</v>
          </cell>
          <cell r="D7176" t="str">
            <v>DMJ3G00</v>
          </cell>
        </row>
        <row r="7177">
          <cell r="C7177" t="str">
            <v>DMM7E89</v>
          </cell>
          <cell r="D7177" t="str">
            <v>DMM7E89</v>
          </cell>
        </row>
        <row r="7178">
          <cell r="C7178" t="str">
            <v>DMQ6091</v>
          </cell>
          <cell r="D7178" t="str">
            <v>DMQ6091</v>
          </cell>
        </row>
        <row r="7179">
          <cell r="C7179" t="str">
            <v>DNO7049</v>
          </cell>
          <cell r="D7179" t="str">
            <v>DNO7049</v>
          </cell>
        </row>
        <row r="7180">
          <cell r="C7180" t="str">
            <v>DNS5156</v>
          </cell>
          <cell r="D7180" t="str">
            <v>DNS5156</v>
          </cell>
        </row>
        <row r="7181">
          <cell r="C7181" t="str">
            <v>DNX7910</v>
          </cell>
          <cell r="D7181" t="str">
            <v>DNX7910</v>
          </cell>
        </row>
        <row r="7182">
          <cell r="C7182" t="str">
            <v>DPE7419</v>
          </cell>
          <cell r="D7182" t="str">
            <v>DPE7419</v>
          </cell>
        </row>
        <row r="7183">
          <cell r="C7183" t="str">
            <v>DPF1228</v>
          </cell>
          <cell r="D7183" t="str">
            <v>DPF1228</v>
          </cell>
        </row>
        <row r="7184">
          <cell r="C7184" t="str">
            <v>DPG8647</v>
          </cell>
          <cell r="D7184" t="str">
            <v>DPG8647</v>
          </cell>
        </row>
        <row r="7185">
          <cell r="C7185" t="str">
            <v>DQK1623</v>
          </cell>
          <cell r="D7185" t="str">
            <v>DQK1623</v>
          </cell>
        </row>
        <row r="7186">
          <cell r="C7186" t="str">
            <v>DQK7826</v>
          </cell>
          <cell r="D7186" t="str">
            <v>DQK7826</v>
          </cell>
        </row>
        <row r="7187">
          <cell r="C7187" t="str">
            <v>DQW3A31</v>
          </cell>
          <cell r="D7187" t="str">
            <v>DQW3A31</v>
          </cell>
        </row>
        <row r="7188">
          <cell r="C7188" t="str">
            <v>DQZ1364</v>
          </cell>
          <cell r="D7188" t="str">
            <v>DQZ1364</v>
          </cell>
        </row>
        <row r="7189">
          <cell r="C7189" t="str">
            <v>DQZ9549</v>
          </cell>
          <cell r="D7189" t="str">
            <v>DQZ9549</v>
          </cell>
        </row>
        <row r="7190">
          <cell r="C7190" t="str">
            <v>DSI4587</v>
          </cell>
          <cell r="D7190" t="str">
            <v>DSI4587</v>
          </cell>
        </row>
        <row r="7191">
          <cell r="C7191" t="str">
            <v>DSL2470</v>
          </cell>
          <cell r="D7191" t="str">
            <v>DSL2470</v>
          </cell>
        </row>
        <row r="7192">
          <cell r="C7192" t="str">
            <v>DTB1931</v>
          </cell>
          <cell r="D7192" t="str">
            <v>DTB1931</v>
          </cell>
        </row>
        <row r="7193">
          <cell r="C7193" t="str">
            <v>DTB7315</v>
          </cell>
          <cell r="D7193" t="str">
            <v>DTB7315</v>
          </cell>
        </row>
        <row r="7194">
          <cell r="C7194" t="str">
            <v>DTC2H19</v>
          </cell>
          <cell r="D7194" t="str">
            <v>DTC2H19</v>
          </cell>
        </row>
        <row r="7195">
          <cell r="C7195" t="str">
            <v>DTC8333</v>
          </cell>
          <cell r="D7195" t="str">
            <v>DTC8333</v>
          </cell>
        </row>
        <row r="7196">
          <cell r="C7196" t="str">
            <v>DTD5246</v>
          </cell>
          <cell r="D7196" t="str">
            <v>DTD5246</v>
          </cell>
        </row>
        <row r="7197">
          <cell r="C7197" t="str">
            <v>DTE1805</v>
          </cell>
          <cell r="D7197" t="str">
            <v>DTE1805</v>
          </cell>
        </row>
        <row r="7198">
          <cell r="C7198" t="str">
            <v>DTE1931</v>
          </cell>
          <cell r="D7198" t="str">
            <v>DTE1931</v>
          </cell>
        </row>
        <row r="7199">
          <cell r="C7199" t="str">
            <v>DTY1090</v>
          </cell>
          <cell r="D7199" t="str">
            <v>DTY1090</v>
          </cell>
        </row>
        <row r="7200">
          <cell r="C7200" t="str">
            <v>DUC4062</v>
          </cell>
          <cell r="D7200" t="str">
            <v>DUC4062</v>
          </cell>
        </row>
        <row r="7201">
          <cell r="C7201" t="str">
            <v>DUG0686</v>
          </cell>
          <cell r="D7201" t="str">
            <v>DUG0686</v>
          </cell>
        </row>
        <row r="7202">
          <cell r="C7202" t="str">
            <v>DUM4504</v>
          </cell>
          <cell r="D7202" t="str">
            <v>DUM4504</v>
          </cell>
        </row>
        <row r="7203">
          <cell r="C7203" t="str">
            <v>DUP4582</v>
          </cell>
          <cell r="D7203" t="str">
            <v>DUP4582</v>
          </cell>
        </row>
        <row r="7204">
          <cell r="C7204" t="str">
            <v>DWZ5473</v>
          </cell>
          <cell r="D7204" t="str">
            <v>DWZ5473</v>
          </cell>
        </row>
        <row r="7205">
          <cell r="C7205" t="str">
            <v>DXU8C92</v>
          </cell>
          <cell r="D7205" t="str">
            <v>DXU8C92</v>
          </cell>
        </row>
        <row r="7206">
          <cell r="C7206" t="str">
            <v>DXY7251</v>
          </cell>
          <cell r="D7206" t="str">
            <v>DXY7251</v>
          </cell>
        </row>
        <row r="7207">
          <cell r="C7207" t="str">
            <v>DYB1381</v>
          </cell>
          <cell r="D7207" t="str">
            <v>DYB1381</v>
          </cell>
        </row>
        <row r="7208">
          <cell r="C7208" t="str">
            <v>DYD7301</v>
          </cell>
          <cell r="D7208" t="str">
            <v>DYD7301</v>
          </cell>
        </row>
        <row r="7209">
          <cell r="C7209" t="str">
            <v>EAB3H09</v>
          </cell>
          <cell r="D7209" t="str">
            <v>EAB3H09</v>
          </cell>
        </row>
        <row r="7210">
          <cell r="C7210" t="str">
            <v>EAD9311</v>
          </cell>
          <cell r="D7210" t="str">
            <v>EAD9311</v>
          </cell>
        </row>
        <row r="7211">
          <cell r="C7211" t="str">
            <v>EAX9664</v>
          </cell>
          <cell r="D7211" t="str">
            <v>EAX9664</v>
          </cell>
        </row>
        <row r="7212">
          <cell r="C7212" t="str">
            <v>EAY2022</v>
          </cell>
          <cell r="D7212" t="str">
            <v>EAY2022</v>
          </cell>
        </row>
        <row r="7213">
          <cell r="C7213" t="str">
            <v>ECJ8908</v>
          </cell>
          <cell r="D7213" t="str">
            <v>ECJ8908</v>
          </cell>
        </row>
        <row r="7214">
          <cell r="C7214" t="str">
            <v>ECT7F30</v>
          </cell>
          <cell r="D7214" t="str">
            <v>ECT7F30</v>
          </cell>
        </row>
        <row r="7215">
          <cell r="C7215" t="str">
            <v>EDD0A43</v>
          </cell>
          <cell r="D7215" t="str">
            <v>EDD0A43</v>
          </cell>
        </row>
        <row r="7216">
          <cell r="C7216" t="str">
            <v>EDL0A78</v>
          </cell>
          <cell r="D7216" t="str">
            <v>EDL0A78</v>
          </cell>
        </row>
        <row r="7217">
          <cell r="C7217" t="str">
            <v>EEY5290</v>
          </cell>
          <cell r="D7217" t="str">
            <v>EEY5290</v>
          </cell>
        </row>
        <row r="7218">
          <cell r="C7218" t="str">
            <v>EFO0340</v>
          </cell>
          <cell r="D7218" t="str">
            <v>EFO0340</v>
          </cell>
        </row>
        <row r="7219">
          <cell r="C7219" t="str">
            <v>EFO1626</v>
          </cell>
          <cell r="D7219" t="str">
            <v>EFO1626</v>
          </cell>
        </row>
        <row r="7220">
          <cell r="C7220" t="str">
            <v>EFS5038</v>
          </cell>
          <cell r="D7220" t="str">
            <v>EFS5038</v>
          </cell>
        </row>
        <row r="7221">
          <cell r="C7221" t="str">
            <v>EFW1743</v>
          </cell>
          <cell r="D7221" t="str">
            <v>EFW1743</v>
          </cell>
        </row>
        <row r="7222">
          <cell r="C7222" t="str">
            <v>EGH9334</v>
          </cell>
          <cell r="D7222" t="str">
            <v>EGH9334</v>
          </cell>
        </row>
        <row r="7223">
          <cell r="C7223" t="str">
            <v>EGJ7059</v>
          </cell>
          <cell r="D7223" t="str">
            <v>EGJ7059</v>
          </cell>
        </row>
        <row r="7224">
          <cell r="C7224" t="str">
            <v>EGK8999</v>
          </cell>
          <cell r="D7224" t="str">
            <v>EGK8999</v>
          </cell>
        </row>
        <row r="7225">
          <cell r="C7225" t="str">
            <v>EHH7673</v>
          </cell>
          <cell r="D7225" t="str">
            <v>EHH7673</v>
          </cell>
        </row>
        <row r="7226">
          <cell r="C7226" t="str">
            <v>EHH7A87</v>
          </cell>
          <cell r="D7226" t="str">
            <v>EHH7A87</v>
          </cell>
        </row>
        <row r="7227">
          <cell r="C7227" t="str">
            <v>EJG4J66</v>
          </cell>
          <cell r="D7227" t="str">
            <v>EJG4J66</v>
          </cell>
        </row>
        <row r="7228">
          <cell r="C7228" t="str">
            <v>EJW2901</v>
          </cell>
          <cell r="D7228" t="str">
            <v>EJW2901</v>
          </cell>
        </row>
        <row r="7229">
          <cell r="C7229" t="str">
            <v>EJY1562</v>
          </cell>
          <cell r="D7229" t="str">
            <v>EJY1562</v>
          </cell>
        </row>
        <row r="7230">
          <cell r="C7230" t="str">
            <v>EJZ5336</v>
          </cell>
          <cell r="D7230" t="str">
            <v>EJZ5336</v>
          </cell>
        </row>
        <row r="7231">
          <cell r="C7231" t="str">
            <v>EKH6646</v>
          </cell>
          <cell r="D7231" t="str">
            <v>EKH6646</v>
          </cell>
        </row>
        <row r="7232">
          <cell r="C7232" t="str">
            <v>EKH8680</v>
          </cell>
          <cell r="D7232" t="str">
            <v>EKH8680</v>
          </cell>
        </row>
        <row r="7233">
          <cell r="C7233" t="str">
            <v>EKT6831</v>
          </cell>
          <cell r="D7233" t="str">
            <v>EKT6831</v>
          </cell>
        </row>
        <row r="7234">
          <cell r="C7234" t="str">
            <v>ELK0J20</v>
          </cell>
          <cell r="D7234" t="str">
            <v>ELK0J20</v>
          </cell>
        </row>
        <row r="7235">
          <cell r="C7235" t="str">
            <v>ELN3211</v>
          </cell>
          <cell r="D7235" t="str">
            <v>ELN3211</v>
          </cell>
        </row>
        <row r="7236">
          <cell r="C7236" t="str">
            <v>EMU3H34</v>
          </cell>
          <cell r="D7236" t="str">
            <v>EMU3H34</v>
          </cell>
        </row>
        <row r="7237">
          <cell r="C7237" t="str">
            <v>EMU6079</v>
          </cell>
          <cell r="D7237" t="str">
            <v>EMU6079</v>
          </cell>
        </row>
        <row r="7238">
          <cell r="C7238" t="str">
            <v>EMY0H67</v>
          </cell>
          <cell r="D7238" t="str">
            <v>EMY0H67</v>
          </cell>
        </row>
        <row r="7239">
          <cell r="C7239" t="str">
            <v>EPO0447</v>
          </cell>
          <cell r="D7239" t="str">
            <v>EPO0447</v>
          </cell>
        </row>
        <row r="7240">
          <cell r="C7240" t="str">
            <v>EPX0585</v>
          </cell>
          <cell r="D7240" t="str">
            <v>EPX0585</v>
          </cell>
        </row>
        <row r="7241">
          <cell r="C7241" t="str">
            <v>ERK0J20</v>
          </cell>
          <cell r="D7241" t="str">
            <v>ERK0J20</v>
          </cell>
        </row>
        <row r="7242">
          <cell r="C7242" t="str">
            <v>ERR0141</v>
          </cell>
          <cell r="D7242" t="str">
            <v>ERR0141</v>
          </cell>
        </row>
        <row r="7243">
          <cell r="C7243" t="str">
            <v>ESU4E25</v>
          </cell>
          <cell r="D7243" t="str">
            <v>ESU4E25</v>
          </cell>
        </row>
        <row r="7244">
          <cell r="C7244" t="str">
            <v>EVF8173</v>
          </cell>
          <cell r="D7244" t="str">
            <v>EVF8173</v>
          </cell>
        </row>
        <row r="7245">
          <cell r="C7245" t="str">
            <v>EVO5488</v>
          </cell>
          <cell r="D7245" t="str">
            <v>EVO5488</v>
          </cell>
        </row>
        <row r="7246">
          <cell r="C7246" t="str">
            <v>EVO5495</v>
          </cell>
          <cell r="D7246" t="str">
            <v>EVO5495</v>
          </cell>
        </row>
        <row r="7247">
          <cell r="C7247" t="str">
            <v>EVU3862</v>
          </cell>
          <cell r="D7247" t="str">
            <v>EVU3862</v>
          </cell>
        </row>
        <row r="7248">
          <cell r="C7248" t="str">
            <v>EVU4267</v>
          </cell>
          <cell r="D7248" t="str">
            <v>EVU4267</v>
          </cell>
        </row>
        <row r="7249">
          <cell r="C7249" t="str">
            <v>EWE5C34</v>
          </cell>
          <cell r="D7249" t="str">
            <v>EWE5C34</v>
          </cell>
        </row>
        <row r="7250">
          <cell r="C7250" t="str">
            <v>EWG4348</v>
          </cell>
          <cell r="D7250" t="str">
            <v>EWG4348</v>
          </cell>
        </row>
        <row r="7251">
          <cell r="C7251" t="str">
            <v>EWJ0G17</v>
          </cell>
          <cell r="D7251" t="str">
            <v>EWJ0G17</v>
          </cell>
        </row>
        <row r="7252">
          <cell r="C7252" t="str">
            <v>EWK9156</v>
          </cell>
          <cell r="D7252" t="str">
            <v>EWK9156</v>
          </cell>
        </row>
        <row r="7253">
          <cell r="C7253" t="str">
            <v>EWY4581</v>
          </cell>
          <cell r="D7253" t="str">
            <v>EWY4581</v>
          </cell>
        </row>
        <row r="7254">
          <cell r="C7254" t="str">
            <v>EZN6731</v>
          </cell>
          <cell r="D7254" t="str">
            <v>EZN6731</v>
          </cell>
        </row>
        <row r="7255">
          <cell r="C7255" t="str">
            <v>FCB2G13</v>
          </cell>
          <cell r="D7255" t="str">
            <v>FCB2G13</v>
          </cell>
        </row>
        <row r="7256">
          <cell r="C7256" t="str">
            <v>FCF4H88</v>
          </cell>
          <cell r="D7256" t="str">
            <v>FCF4H88</v>
          </cell>
        </row>
        <row r="7257">
          <cell r="C7257" t="str">
            <v>FCN3I98</v>
          </cell>
          <cell r="D7257" t="str">
            <v>FCN3I98</v>
          </cell>
        </row>
        <row r="7258">
          <cell r="C7258" t="str">
            <v>FDB6463</v>
          </cell>
          <cell r="D7258" t="str">
            <v>FDB6463</v>
          </cell>
        </row>
        <row r="7259">
          <cell r="C7259" t="str">
            <v>FDJ1833</v>
          </cell>
          <cell r="D7259" t="str">
            <v>FDJ1833</v>
          </cell>
        </row>
        <row r="7260">
          <cell r="C7260" t="str">
            <v>FDP6463</v>
          </cell>
          <cell r="D7260" t="str">
            <v>FDP6463</v>
          </cell>
        </row>
        <row r="7261">
          <cell r="C7261" t="str">
            <v>FEC9292</v>
          </cell>
          <cell r="D7261" t="str">
            <v>FEC9292</v>
          </cell>
        </row>
        <row r="7262">
          <cell r="C7262" t="str">
            <v>FEJ8306</v>
          </cell>
          <cell r="D7262" t="str">
            <v>FEJ8306</v>
          </cell>
        </row>
        <row r="7263">
          <cell r="C7263" t="str">
            <v>FEK5298</v>
          </cell>
          <cell r="D7263" t="str">
            <v>FEK5298</v>
          </cell>
        </row>
        <row r="7264">
          <cell r="C7264" t="str">
            <v>FFN0687</v>
          </cell>
          <cell r="D7264" t="str">
            <v>FFN0687</v>
          </cell>
        </row>
        <row r="7265">
          <cell r="C7265" t="str">
            <v>FFN2F53</v>
          </cell>
          <cell r="D7265" t="str">
            <v>FFN2F53</v>
          </cell>
        </row>
        <row r="7266">
          <cell r="C7266" t="str">
            <v>FGK4824</v>
          </cell>
          <cell r="D7266" t="str">
            <v>FGK4824</v>
          </cell>
        </row>
        <row r="7267">
          <cell r="C7267" t="str">
            <v>FGN3744</v>
          </cell>
          <cell r="D7267" t="str">
            <v>FGN3744</v>
          </cell>
        </row>
        <row r="7268">
          <cell r="C7268" t="str">
            <v>FGZ5000</v>
          </cell>
          <cell r="D7268" t="str">
            <v>FGZ5000</v>
          </cell>
        </row>
        <row r="7269">
          <cell r="C7269" t="str">
            <v>FLH1C44</v>
          </cell>
          <cell r="D7269" t="str">
            <v>FLH1C44</v>
          </cell>
        </row>
        <row r="7270">
          <cell r="C7270" t="str">
            <v>FQY3D93</v>
          </cell>
          <cell r="D7270" t="str">
            <v>FQY3D93</v>
          </cell>
        </row>
        <row r="7271">
          <cell r="C7271" t="str">
            <v>FRV7325</v>
          </cell>
          <cell r="D7271" t="str">
            <v>FRV7325</v>
          </cell>
        </row>
        <row r="7272">
          <cell r="C7272" t="str">
            <v>FVP0460</v>
          </cell>
          <cell r="D7272" t="str">
            <v>FVP0460</v>
          </cell>
        </row>
        <row r="7273">
          <cell r="C7273" t="str">
            <v>FVU2858</v>
          </cell>
          <cell r="D7273" t="str">
            <v>FVU2858</v>
          </cell>
        </row>
        <row r="7274">
          <cell r="C7274" t="str">
            <v>GAL3284</v>
          </cell>
          <cell r="D7274" t="str">
            <v>GAL3284</v>
          </cell>
        </row>
        <row r="7275">
          <cell r="C7275" t="str">
            <v>GBD4318</v>
          </cell>
          <cell r="D7275" t="str">
            <v>GBD4318</v>
          </cell>
        </row>
        <row r="7276">
          <cell r="C7276" t="str">
            <v>GBN4326</v>
          </cell>
          <cell r="D7276" t="str">
            <v>GBN4326</v>
          </cell>
        </row>
        <row r="7277">
          <cell r="C7277" t="str">
            <v>GCI0807</v>
          </cell>
          <cell r="D7277" t="str">
            <v>GCI0807</v>
          </cell>
        </row>
        <row r="7278">
          <cell r="C7278" t="str">
            <v>GEL0408</v>
          </cell>
          <cell r="D7278" t="str">
            <v>GEL0408</v>
          </cell>
        </row>
        <row r="7279">
          <cell r="C7279" t="str">
            <v>GGP5621</v>
          </cell>
          <cell r="D7279" t="str">
            <v>GGP5621</v>
          </cell>
        </row>
        <row r="7280">
          <cell r="C7280" t="str">
            <v>GHH7770</v>
          </cell>
          <cell r="D7280" t="str">
            <v>GHH7770</v>
          </cell>
        </row>
        <row r="7281">
          <cell r="C7281" t="str">
            <v>GII0250</v>
          </cell>
          <cell r="D7281" t="str">
            <v>GII0250</v>
          </cell>
        </row>
        <row r="7282">
          <cell r="C7282" t="str">
            <v>GIL6410</v>
          </cell>
          <cell r="D7282" t="str">
            <v>GIL6410</v>
          </cell>
        </row>
        <row r="7283">
          <cell r="C7283" t="str">
            <v>GIS0E42</v>
          </cell>
          <cell r="D7283" t="str">
            <v>GIS0E42</v>
          </cell>
        </row>
        <row r="7284">
          <cell r="C7284" t="str">
            <v>GLK9322</v>
          </cell>
          <cell r="D7284" t="str">
            <v>GLK9322</v>
          </cell>
        </row>
        <row r="7285">
          <cell r="C7285" t="str">
            <v>GLQ5769</v>
          </cell>
          <cell r="D7285" t="str">
            <v>GLQ5769</v>
          </cell>
        </row>
        <row r="7286">
          <cell r="C7286" t="str">
            <v>GLS5C88</v>
          </cell>
          <cell r="D7286" t="str">
            <v>GLS5C88</v>
          </cell>
        </row>
        <row r="7287">
          <cell r="C7287" t="str">
            <v>GMG5103</v>
          </cell>
          <cell r="D7287" t="str">
            <v>GMG5103</v>
          </cell>
        </row>
        <row r="7288">
          <cell r="C7288" t="str">
            <v>GMH1230</v>
          </cell>
          <cell r="D7288" t="str">
            <v>GMH1230</v>
          </cell>
        </row>
        <row r="7289">
          <cell r="C7289" t="str">
            <v>GMV8647</v>
          </cell>
          <cell r="D7289" t="str">
            <v>GMV8647</v>
          </cell>
        </row>
        <row r="7290">
          <cell r="C7290" t="str">
            <v>GMZ7305</v>
          </cell>
          <cell r="D7290" t="str">
            <v>GMZ7305</v>
          </cell>
        </row>
        <row r="7291">
          <cell r="C7291" t="str">
            <v>GOY1940</v>
          </cell>
          <cell r="D7291" t="str">
            <v>GOY1940</v>
          </cell>
        </row>
        <row r="7292">
          <cell r="C7292" t="str">
            <v>GPD6207</v>
          </cell>
          <cell r="D7292" t="str">
            <v>GPD6207</v>
          </cell>
        </row>
        <row r="7293">
          <cell r="C7293" t="str">
            <v>GPG6598</v>
          </cell>
          <cell r="D7293" t="str">
            <v>GPG6598</v>
          </cell>
        </row>
        <row r="7294">
          <cell r="C7294" t="str">
            <v>GPR1565</v>
          </cell>
          <cell r="D7294" t="str">
            <v>GPR1565</v>
          </cell>
        </row>
        <row r="7295">
          <cell r="C7295" t="str">
            <v>GPW3786</v>
          </cell>
          <cell r="D7295" t="str">
            <v>GPW3786</v>
          </cell>
        </row>
        <row r="7296">
          <cell r="C7296" t="str">
            <v>GPZ5548</v>
          </cell>
          <cell r="D7296" t="str">
            <v>GPZ5548</v>
          </cell>
        </row>
        <row r="7297">
          <cell r="C7297" t="str">
            <v>GQH2618</v>
          </cell>
          <cell r="D7297" t="str">
            <v>GQH2618</v>
          </cell>
        </row>
        <row r="7298">
          <cell r="C7298" t="str">
            <v>GQP0495</v>
          </cell>
          <cell r="D7298" t="str">
            <v>GQP0495</v>
          </cell>
        </row>
        <row r="7299">
          <cell r="C7299" t="str">
            <v>GQW2618</v>
          </cell>
          <cell r="D7299" t="str">
            <v>GQW2618</v>
          </cell>
        </row>
        <row r="7300">
          <cell r="C7300" t="str">
            <v>GQY1681</v>
          </cell>
          <cell r="D7300" t="str">
            <v>GQY1681</v>
          </cell>
        </row>
        <row r="7301">
          <cell r="C7301" t="str">
            <v>GRP0A01</v>
          </cell>
          <cell r="D7301" t="str">
            <v>GRP0A01</v>
          </cell>
        </row>
        <row r="7302">
          <cell r="C7302" t="str">
            <v>GSH8286</v>
          </cell>
          <cell r="D7302" t="str">
            <v>GSH8286</v>
          </cell>
        </row>
        <row r="7303">
          <cell r="C7303" t="str">
            <v>GSM2H57</v>
          </cell>
          <cell r="D7303" t="str">
            <v>GSM2H57</v>
          </cell>
        </row>
        <row r="7304">
          <cell r="C7304" t="str">
            <v>GSO0077</v>
          </cell>
          <cell r="D7304" t="str">
            <v>GSO0077</v>
          </cell>
        </row>
        <row r="7305">
          <cell r="C7305" t="str">
            <v>GSV0421</v>
          </cell>
          <cell r="D7305" t="str">
            <v>GSV0421</v>
          </cell>
        </row>
        <row r="7306">
          <cell r="C7306" t="str">
            <v>GSW6B78</v>
          </cell>
          <cell r="D7306" t="str">
            <v>GSW6B78</v>
          </cell>
        </row>
        <row r="7307">
          <cell r="C7307" t="str">
            <v>GTV2I27</v>
          </cell>
          <cell r="D7307" t="str">
            <v>GTV2I27</v>
          </cell>
        </row>
        <row r="7308">
          <cell r="C7308" t="str">
            <v>GUD1449</v>
          </cell>
          <cell r="D7308" t="str">
            <v>GUD1449</v>
          </cell>
        </row>
        <row r="7309">
          <cell r="C7309" t="str">
            <v>GUF8I29</v>
          </cell>
          <cell r="D7309" t="str">
            <v>GUF8I29</v>
          </cell>
        </row>
        <row r="7310">
          <cell r="C7310" t="str">
            <v>GUH3979</v>
          </cell>
          <cell r="D7310" t="str">
            <v>GUH3979</v>
          </cell>
        </row>
        <row r="7311">
          <cell r="C7311" t="str">
            <v>GVQ6B49</v>
          </cell>
          <cell r="D7311" t="str">
            <v>GVQ6B49</v>
          </cell>
        </row>
        <row r="7312">
          <cell r="C7312" t="str">
            <v>GVT2I27</v>
          </cell>
          <cell r="D7312" t="str">
            <v>GVT2I27</v>
          </cell>
        </row>
        <row r="7313">
          <cell r="C7313" t="str">
            <v>GWI7C52</v>
          </cell>
          <cell r="D7313" t="str">
            <v>GWI7C52</v>
          </cell>
        </row>
        <row r="7314">
          <cell r="C7314" t="str">
            <v>GWJ4348</v>
          </cell>
          <cell r="D7314" t="str">
            <v>GWJ4348</v>
          </cell>
        </row>
        <row r="7315">
          <cell r="C7315" t="str">
            <v>GWR7D73</v>
          </cell>
          <cell r="D7315" t="str">
            <v>GWR7D73</v>
          </cell>
        </row>
        <row r="7316">
          <cell r="C7316" t="str">
            <v>GWR8675</v>
          </cell>
          <cell r="D7316" t="str">
            <v>GWR8675</v>
          </cell>
        </row>
        <row r="7317">
          <cell r="C7317" t="str">
            <v>GWW7770</v>
          </cell>
          <cell r="D7317" t="str">
            <v>GWW7770</v>
          </cell>
        </row>
        <row r="7318">
          <cell r="C7318" t="str">
            <v>GXH7506</v>
          </cell>
          <cell r="D7318" t="str">
            <v>GXH7506</v>
          </cell>
        </row>
        <row r="7319">
          <cell r="C7319" t="str">
            <v>GXS7108</v>
          </cell>
          <cell r="D7319" t="str">
            <v>GXS7108</v>
          </cell>
        </row>
        <row r="7320">
          <cell r="C7320" t="str">
            <v>GXS7154</v>
          </cell>
          <cell r="D7320" t="str">
            <v>GXS7154</v>
          </cell>
        </row>
        <row r="7321">
          <cell r="C7321" t="str">
            <v>GXS7253</v>
          </cell>
          <cell r="D7321" t="str">
            <v>GXS7253</v>
          </cell>
        </row>
        <row r="7322">
          <cell r="C7322" t="str">
            <v>GXS7258</v>
          </cell>
          <cell r="D7322" t="str">
            <v>GXS7258</v>
          </cell>
        </row>
        <row r="7323">
          <cell r="C7323" t="str">
            <v>GZV1577</v>
          </cell>
          <cell r="D7323" t="str">
            <v>GZV1577</v>
          </cell>
        </row>
        <row r="7324">
          <cell r="C7324" t="str">
            <v>GZV4645</v>
          </cell>
          <cell r="D7324" t="str">
            <v>GZV4645</v>
          </cell>
        </row>
        <row r="7325">
          <cell r="C7325" t="str">
            <v>HAA7970</v>
          </cell>
          <cell r="D7325" t="str">
            <v>HAA7970</v>
          </cell>
        </row>
        <row r="7326">
          <cell r="C7326" t="str">
            <v>HCI0004</v>
          </cell>
          <cell r="D7326" t="str">
            <v>HCI0004</v>
          </cell>
        </row>
        <row r="7327">
          <cell r="C7327" t="str">
            <v>HDH4517</v>
          </cell>
          <cell r="D7327" t="str">
            <v>HDH4517</v>
          </cell>
        </row>
        <row r="7328">
          <cell r="C7328" t="str">
            <v>HDI5264</v>
          </cell>
          <cell r="D7328" t="str">
            <v>HDI5264</v>
          </cell>
        </row>
        <row r="7329">
          <cell r="C7329" t="str">
            <v>HDI7851</v>
          </cell>
          <cell r="D7329" t="str">
            <v>HDI7851</v>
          </cell>
        </row>
        <row r="7330">
          <cell r="C7330" t="str">
            <v>HDL3828</v>
          </cell>
          <cell r="D7330" t="str">
            <v>HDL3828</v>
          </cell>
        </row>
        <row r="7331">
          <cell r="C7331" t="str">
            <v>HDO3659</v>
          </cell>
          <cell r="D7331" t="str">
            <v>HDO3659</v>
          </cell>
        </row>
        <row r="7332">
          <cell r="C7332" t="str">
            <v>HDV7D47</v>
          </cell>
          <cell r="D7332" t="str">
            <v>HDV7D47</v>
          </cell>
        </row>
        <row r="7333">
          <cell r="C7333" t="str">
            <v>HGO9656</v>
          </cell>
          <cell r="D7333" t="str">
            <v>HGO9656</v>
          </cell>
        </row>
        <row r="7334">
          <cell r="C7334" t="str">
            <v>HGU2396</v>
          </cell>
          <cell r="D7334" t="str">
            <v>HGU2396</v>
          </cell>
        </row>
        <row r="7335">
          <cell r="C7335" t="str">
            <v>HIA1J33</v>
          </cell>
          <cell r="D7335" t="str">
            <v>HIA1J33</v>
          </cell>
        </row>
        <row r="7336">
          <cell r="C7336" t="str">
            <v>HKL9381</v>
          </cell>
          <cell r="D7336" t="str">
            <v>HKL9381</v>
          </cell>
        </row>
        <row r="7337">
          <cell r="C7337" t="str">
            <v>HKW5787</v>
          </cell>
          <cell r="D7337" t="str">
            <v>HKW5787</v>
          </cell>
        </row>
        <row r="7338">
          <cell r="C7338" t="str">
            <v>HLC5A63</v>
          </cell>
          <cell r="D7338" t="str">
            <v>HLC5A63</v>
          </cell>
        </row>
        <row r="7339">
          <cell r="C7339" t="str">
            <v>HLG1083</v>
          </cell>
          <cell r="D7339" t="str">
            <v>HLG1083</v>
          </cell>
        </row>
        <row r="7340">
          <cell r="C7340" t="str">
            <v>HNH2899</v>
          </cell>
          <cell r="D7340" t="str">
            <v>HNH2899</v>
          </cell>
        </row>
        <row r="7341">
          <cell r="C7341" t="str">
            <v>HOE4124</v>
          </cell>
          <cell r="D7341" t="str">
            <v>HOE4124</v>
          </cell>
        </row>
        <row r="7342">
          <cell r="C7342" t="str">
            <v>HOF9667</v>
          </cell>
          <cell r="D7342" t="str">
            <v>HOF9667</v>
          </cell>
        </row>
        <row r="7343">
          <cell r="C7343" t="str">
            <v>HOW8250</v>
          </cell>
          <cell r="D7343" t="str">
            <v>HOW8250</v>
          </cell>
        </row>
        <row r="7344">
          <cell r="C7344" t="str">
            <v>HPQ2704</v>
          </cell>
          <cell r="D7344" t="str">
            <v>HPQ2704</v>
          </cell>
        </row>
        <row r="7345">
          <cell r="C7345" t="str">
            <v>HQE1164</v>
          </cell>
          <cell r="D7345" t="str">
            <v>HQE1164</v>
          </cell>
        </row>
        <row r="7346">
          <cell r="C7346" t="str">
            <v>HQG3087</v>
          </cell>
          <cell r="D7346" t="str">
            <v>HQG3087</v>
          </cell>
        </row>
        <row r="7347">
          <cell r="C7347" t="str">
            <v>HQG3780</v>
          </cell>
          <cell r="D7347" t="str">
            <v>HQG3780</v>
          </cell>
        </row>
        <row r="7348">
          <cell r="C7348" t="str">
            <v>HQG7787</v>
          </cell>
          <cell r="D7348" t="str">
            <v>HQG7787</v>
          </cell>
        </row>
        <row r="7349">
          <cell r="C7349" t="str">
            <v>HQG8072</v>
          </cell>
          <cell r="D7349" t="str">
            <v>HQG8072</v>
          </cell>
        </row>
        <row r="7350">
          <cell r="C7350" t="str">
            <v>HQH2648</v>
          </cell>
          <cell r="D7350" t="str">
            <v>HQH2648</v>
          </cell>
        </row>
        <row r="7351">
          <cell r="C7351" t="str">
            <v>HQI3828</v>
          </cell>
          <cell r="D7351" t="str">
            <v>HQI3828</v>
          </cell>
        </row>
        <row r="7352">
          <cell r="C7352" t="str">
            <v>HQJ7787</v>
          </cell>
          <cell r="D7352" t="str">
            <v>HQJ7787</v>
          </cell>
        </row>
        <row r="7353">
          <cell r="C7353" t="str">
            <v>HQN9B41</v>
          </cell>
          <cell r="D7353" t="str">
            <v>HQN9B41</v>
          </cell>
        </row>
        <row r="7354">
          <cell r="C7354" t="str">
            <v>HQP2028</v>
          </cell>
          <cell r="D7354" t="str">
            <v>HQP2028</v>
          </cell>
        </row>
        <row r="7355">
          <cell r="C7355" t="str">
            <v>HQP6817</v>
          </cell>
          <cell r="D7355" t="str">
            <v>HQP6817</v>
          </cell>
        </row>
        <row r="7356">
          <cell r="C7356" t="str">
            <v>HQP9524</v>
          </cell>
          <cell r="D7356" t="str">
            <v>HQP9524</v>
          </cell>
        </row>
        <row r="7357">
          <cell r="C7357" t="str">
            <v>HQQ3911</v>
          </cell>
          <cell r="D7357" t="str">
            <v>HQQ3911</v>
          </cell>
        </row>
        <row r="7358">
          <cell r="C7358" t="str">
            <v>HQR3955</v>
          </cell>
          <cell r="D7358" t="str">
            <v>HQR3955</v>
          </cell>
        </row>
        <row r="7359">
          <cell r="C7359" t="str">
            <v>HQR5457</v>
          </cell>
          <cell r="D7359" t="str">
            <v>HQR5457</v>
          </cell>
        </row>
        <row r="7360">
          <cell r="C7360" t="str">
            <v>HQT0711</v>
          </cell>
          <cell r="D7360" t="str">
            <v>HQT0711</v>
          </cell>
        </row>
        <row r="7361">
          <cell r="C7361" t="str">
            <v>HQT6817</v>
          </cell>
          <cell r="D7361" t="str">
            <v>HQT6817</v>
          </cell>
        </row>
        <row r="7362">
          <cell r="C7362" t="str">
            <v>HQV3422</v>
          </cell>
          <cell r="D7362" t="str">
            <v>HQV3422</v>
          </cell>
        </row>
        <row r="7363">
          <cell r="C7363" t="str">
            <v>HQV8445</v>
          </cell>
          <cell r="D7363" t="str">
            <v>HQV8445</v>
          </cell>
        </row>
        <row r="7364">
          <cell r="C7364" t="str">
            <v>HQW1459</v>
          </cell>
          <cell r="D7364" t="str">
            <v>HQW1459</v>
          </cell>
        </row>
        <row r="7365">
          <cell r="C7365" t="str">
            <v>HQW9756</v>
          </cell>
          <cell r="D7365" t="str">
            <v>HQW9756</v>
          </cell>
        </row>
        <row r="7366">
          <cell r="C7366" t="str">
            <v>HQX6066</v>
          </cell>
          <cell r="D7366" t="str">
            <v>HQX6066</v>
          </cell>
        </row>
        <row r="7367">
          <cell r="C7367" t="str">
            <v>HQX6836</v>
          </cell>
          <cell r="D7367" t="str">
            <v>HQX6836</v>
          </cell>
        </row>
        <row r="7368">
          <cell r="C7368" t="str">
            <v>HQY3333</v>
          </cell>
          <cell r="D7368" t="str">
            <v>HQY3333</v>
          </cell>
        </row>
        <row r="7369">
          <cell r="C7369" t="str">
            <v>HQY7510</v>
          </cell>
          <cell r="D7369" t="str">
            <v>HQY7510</v>
          </cell>
        </row>
        <row r="7370">
          <cell r="C7370" t="str">
            <v>HRA0497</v>
          </cell>
          <cell r="D7370" t="str">
            <v>HRA0497</v>
          </cell>
        </row>
        <row r="7371">
          <cell r="C7371" t="str">
            <v>HRC5558</v>
          </cell>
          <cell r="D7371" t="str">
            <v>HRC5558</v>
          </cell>
        </row>
        <row r="7372">
          <cell r="C7372" t="str">
            <v>HRC5A63</v>
          </cell>
          <cell r="D7372" t="str">
            <v>HRC5A63</v>
          </cell>
        </row>
        <row r="7373">
          <cell r="C7373" t="str">
            <v>HRE6J05</v>
          </cell>
          <cell r="D7373" t="str">
            <v>HRE6J05</v>
          </cell>
        </row>
        <row r="7374">
          <cell r="C7374" t="str">
            <v>HRH0967</v>
          </cell>
          <cell r="D7374" t="str">
            <v>HRH0967</v>
          </cell>
        </row>
        <row r="7375">
          <cell r="C7375" t="str">
            <v>HRH1B22</v>
          </cell>
          <cell r="D7375" t="str">
            <v>HRH1B22</v>
          </cell>
        </row>
        <row r="7376">
          <cell r="C7376" t="str">
            <v>HRH7359</v>
          </cell>
          <cell r="D7376" t="str">
            <v>HRH7359</v>
          </cell>
        </row>
        <row r="7377">
          <cell r="C7377" t="str">
            <v>HRN3F03</v>
          </cell>
          <cell r="D7377" t="str">
            <v>HRN3F03</v>
          </cell>
        </row>
        <row r="7378">
          <cell r="C7378" t="str">
            <v>HRV2H52</v>
          </cell>
          <cell r="D7378" t="str">
            <v>HRV2H52</v>
          </cell>
        </row>
        <row r="7379">
          <cell r="C7379" t="str">
            <v>HRY5J41</v>
          </cell>
          <cell r="D7379" t="str">
            <v>HRY5J41</v>
          </cell>
        </row>
        <row r="7380">
          <cell r="C7380" t="str">
            <v>HSC1486</v>
          </cell>
          <cell r="D7380" t="str">
            <v>HSC1486</v>
          </cell>
        </row>
        <row r="7381">
          <cell r="C7381" t="str">
            <v>HSI1H26</v>
          </cell>
          <cell r="D7381" t="str">
            <v>HSI1H26</v>
          </cell>
        </row>
        <row r="7382">
          <cell r="C7382" t="str">
            <v>HSX5762</v>
          </cell>
          <cell r="D7382" t="str">
            <v>HSX5762</v>
          </cell>
        </row>
        <row r="7383">
          <cell r="C7383" t="str">
            <v>HTC0B23</v>
          </cell>
          <cell r="D7383" t="str">
            <v>HTC0B23</v>
          </cell>
        </row>
        <row r="7384">
          <cell r="C7384" t="str">
            <v>HTP9G70</v>
          </cell>
          <cell r="D7384" t="str">
            <v>HTP9G70</v>
          </cell>
        </row>
        <row r="7385">
          <cell r="C7385" t="str">
            <v>HTQ2704</v>
          </cell>
          <cell r="D7385" t="str">
            <v>HTQ2704</v>
          </cell>
        </row>
        <row r="7386">
          <cell r="C7386" t="str">
            <v>HTS7I32</v>
          </cell>
          <cell r="D7386" t="str">
            <v>HTS7I32</v>
          </cell>
        </row>
        <row r="7387">
          <cell r="C7387" t="str">
            <v>HUF2A03</v>
          </cell>
          <cell r="D7387" t="str">
            <v>HUF2A03</v>
          </cell>
        </row>
        <row r="7388">
          <cell r="C7388" t="str">
            <v>HUG8731</v>
          </cell>
          <cell r="D7388" t="str">
            <v>HUG8731</v>
          </cell>
        </row>
        <row r="7389">
          <cell r="C7389" t="str">
            <v>HWE3931</v>
          </cell>
          <cell r="D7389" t="str">
            <v>HWE3931</v>
          </cell>
        </row>
        <row r="7390">
          <cell r="C7390" t="str">
            <v>HWE9E65</v>
          </cell>
          <cell r="D7390" t="str">
            <v>HWE9E65</v>
          </cell>
        </row>
        <row r="7391">
          <cell r="C7391" t="str">
            <v>HWL6126</v>
          </cell>
          <cell r="D7391" t="str">
            <v>HWL6126</v>
          </cell>
        </row>
        <row r="7392">
          <cell r="C7392" t="str">
            <v>HXL0C08</v>
          </cell>
          <cell r="D7392" t="str">
            <v>HXL0C08</v>
          </cell>
        </row>
        <row r="7393">
          <cell r="C7393" t="str">
            <v>HZB3534</v>
          </cell>
          <cell r="D7393" t="str">
            <v>HZB3534</v>
          </cell>
        </row>
        <row r="7394">
          <cell r="C7394" t="str">
            <v>HZD8586</v>
          </cell>
          <cell r="D7394" t="str">
            <v>HZD8586</v>
          </cell>
        </row>
        <row r="7395">
          <cell r="C7395" t="str">
            <v>IAS8856</v>
          </cell>
          <cell r="D7395" t="str">
            <v>IAS8856</v>
          </cell>
        </row>
        <row r="7396">
          <cell r="C7396" t="str">
            <v>IBB7J16</v>
          </cell>
          <cell r="D7396" t="str">
            <v>IBB7J16</v>
          </cell>
        </row>
        <row r="7397">
          <cell r="C7397" t="str">
            <v>IBC9428</v>
          </cell>
          <cell r="D7397" t="str">
            <v>IBC9428</v>
          </cell>
        </row>
        <row r="7398">
          <cell r="C7398" t="str">
            <v>IBD7J16</v>
          </cell>
          <cell r="D7398" t="str">
            <v>IBD7J16</v>
          </cell>
        </row>
        <row r="7399">
          <cell r="C7399" t="str">
            <v>IBQ8764</v>
          </cell>
          <cell r="D7399" t="str">
            <v>IBQ8764</v>
          </cell>
        </row>
        <row r="7400">
          <cell r="C7400" t="str">
            <v>IBV3C77</v>
          </cell>
          <cell r="D7400" t="str">
            <v>IBV3C77</v>
          </cell>
        </row>
        <row r="7401">
          <cell r="C7401" t="str">
            <v>ICD3488</v>
          </cell>
          <cell r="D7401" t="str">
            <v>ICD3488</v>
          </cell>
        </row>
        <row r="7402">
          <cell r="C7402" t="str">
            <v>ICP3364</v>
          </cell>
          <cell r="D7402" t="str">
            <v>ICP3364</v>
          </cell>
        </row>
        <row r="7403">
          <cell r="C7403" t="str">
            <v>ICV3488</v>
          </cell>
          <cell r="D7403" t="str">
            <v>ICV3488</v>
          </cell>
        </row>
        <row r="7404">
          <cell r="C7404" t="str">
            <v>ICX6513</v>
          </cell>
          <cell r="D7404" t="str">
            <v>ICX6513</v>
          </cell>
        </row>
        <row r="7405">
          <cell r="C7405" t="str">
            <v>ICX8A22</v>
          </cell>
          <cell r="D7405" t="str">
            <v>ICX8A22</v>
          </cell>
        </row>
        <row r="7406">
          <cell r="C7406" t="str">
            <v>IDD9681</v>
          </cell>
          <cell r="D7406" t="str">
            <v>IDD9681</v>
          </cell>
        </row>
        <row r="7407">
          <cell r="C7407" t="str">
            <v>IDG4290</v>
          </cell>
          <cell r="D7407" t="str">
            <v>IDG4290</v>
          </cell>
        </row>
        <row r="7408">
          <cell r="C7408" t="str">
            <v>IDG4C90</v>
          </cell>
          <cell r="D7408" t="str">
            <v>IDG4C90</v>
          </cell>
        </row>
        <row r="7409">
          <cell r="C7409" t="str">
            <v>IDJ7E95</v>
          </cell>
          <cell r="D7409" t="str">
            <v>IDJ7E95</v>
          </cell>
        </row>
        <row r="7410">
          <cell r="C7410" t="str">
            <v>IDQ8764</v>
          </cell>
          <cell r="D7410" t="str">
            <v>IDQ8764</v>
          </cell>
        </row>
        <row r="7411">
          <cell r="C7411" t="str">
            <v>IDY8912</v>
          </cell>
          <cell r="D7411" t="str">
            <v>IDY8912</v>
          </cell>
        </row>
        <row r="7412">
          <cell r="C7412" t="str">
            <v>IGF7H09</v>
          </cell>
          <cell r="D7412" t="str">
            <v>IGF7H09</v>
          </cell>
        </row>
        <row r="7413">
          <cell r="C7413" t="str">
            <v>IGJ0G43</v>
          </cell>
          <cell r="D7413" t="str">
            <v>IGJ0G43</v>
          </cell>
        </row>
        <row r="7414">
          <cell r="C7414" t="str">
            <v>IGQ6500</v>
          </cell>
          <cell r="D7414" t="str">
            <v>IGQ6500</v>
          </cell>
        </row>
        <row r="7415">
          <cell r="C7415" t="str">
            <v>IHB6184</v>
          </cell>
          <cell r="D7415" t="str">
            <v>IHB6184</v>
          </cell>
        </row>
        <row r="7416">
          <cell r="C7416" t="str">
            <v>IHC0A77</v>
          </cell>
          <cell r="D7416" t="str">
            <v>IHC0A77</v>
          </cell>
        </row>
        <row r="7417">
          <cell r="C7417" t="str">
            <v>IHF4F61</v>
          </cell>
          <cell r="D7417" t="str">
            <v>IHF4F61</v>
          </cell>
        </row>
        <row r="7418">
          <cell r="C7418" t="str">
            <v>IHL4J61</v>
          </cell>
          <cell r="D7418" t="str">
            <v>IHL4J61</v>
          </cell>
        </row>
        <row r="7419">
          <cell r="C7419" t="str">
            <v>IHQ3265</v>
          </cell>
          <cell r="D7419" t="str">
            <v>IHQ3265</v>
          </cell>
        </row>
        <row r="7420">
          <cell r="C7420" t="str">
            <v>IHY3277</v>
          </cell>
          <cell r="D7420" t="str">
            <v>IHY3277</v>
          </cell>
        </row>
        <row r="7421">
          <cell r="C7421" t="str">
            <v>IJH2J07</v>
          </cell>
          <cell r="D7421" t="str">
            <v>IJH2J07</v>
          </cell>
        </row>
        <row r="7422">
          <cell r="C7422" t="str">
            <v>IJL7444</v>
          </cell>
          <cell r="D7422" t="str">
            <v>IJL7444</v>
          </cell>
        </row>
        <row r="7423">
          <cell r="C7423" t="str">
            <v>IJL7E44</v>
          </cell>
          <cell r="D7423" t="str">
            <v>IJL7E44</v>
          </cell>
        </row>
        <row r="7424">
          <cell r="C7424" t="str">
            <v>IJN1810</v>
          </cell>
          <cell r="D7424" t="str">
            <v>IJN1810</v>
          </cell>
        </row>
        <row r="7425">
          <cell r="C7425" t="str">
            <v>IJN8485</v>
          </cell>
          <cell r="D7425" t="str">
            <v>IJN8485</v>
          </cell>
        </row>
        <row r="7426">
          <cell r="C7426" t="str">
            <v>IJU7E85</v>
          </cell>
          <cell r="D7426" t="str">
            <v>IJU7E85</v>
          </cell>
        </row>
        <row r="7427">
          <cell r="C7427" t="str">
            <v>IJV4972</v>
          </cell>
          <cell r="D7427" t="str">
            <v>IJV4972</v>
          </cell>
        </row>
        <row r="7428">
          <cell r="C7428" t="str">
            <v>IMN9E09</v>
          </cell>
          <cell r="D7428" t="str">
            <v>IMN9E09</v>
          </cell>
        </row>
        <row r="7429">
          <cell r="C7429" t="str">
            <v>INM9E09</v>
          </cell>
          <cell r="D7429" t="str">
            <v>INM9E09</v>
          </cell>
        </row>
        <row r="7430">
          <cell r="C7430" t="str">
            <v>INT0E70</v>
          </cell>
          <cell r="D7430" t="str">
            <v>INT0E70</v>
          </cell>
        </row>
        <row r="7431">
          <cell r="C7431" t="str">
            <v>INT5203</v>
          </cell>
          <cell r="D7431" t="str">
            <v>INT5203</v>
          </cell>
        </row>
        <row r="7432">
          <cell r="C7432" t="str">
            <v>IPX1D50</v>
          </cell>
          <cell r="D7432" t="str">
            <v>IPX1D50</v>
          </cell>
        </row>
        <row r="7433">
          <cell r="C7433" t="str">
            <v>ISE1065</v>
          </cell>
          <cell r="D7433" t="str">
            <v>ISE1065</v>
          </cell>
        </row>
        <row r="7434">
          <cell r="C7434" t="str">
            <v>ISP4283</v>
          </cell>
          <cell r="D7434" t="str">
            <v>ISP4283</v>
          </cell>
        </row>
        <row r="7435">
          <cell r="C7435" t="str">
            <v>IVQ0639</v>
          </cell>
          <cell r="D7435" t="str">
            <v>IVQ0639</v>
          </cell>
        </row>
        <row r="7436">
          <cell r="C7436" t="str">
            <v>JEC9551</v>
          </cell>
          <cell r="D7436" t="str">
            <v>JEC9551</v>
          </cell>
        </row>
        <row r="7437">
          <cell r="C7437" t="str">
            <v>JEL0408</v>
          </cell>
          <cell r="D7437" t="str">
            <v>JEL0408</v>
          </cell>
        </row>
        <row r="7438">
          <cell r="C7438" t="str">
            <v>JEX8I20</v>
          </cell>
          <cell r="D7438" t="str">
            <v>JEX8I20</v>
          </cell>
        </row>
        <row r="7439">
          <cell r="C7439" t="str">
            <v>JFT3256</v>
          </cell>
          <cell r="D7439" t="str">
            <v>JFT3256</v>
          </cell>
        </row>
        <row r="7440">
          <cell r="C7440" t="str">
            <v>JFT3276</v>
          </cell>
          <cell r="D7440" t="str">
            <v>JFT3276</v>
          </cell>
        </row>
        <row r="7441">
          <cell r="C7441" t="str">
            <v>JIP1J93</v>
          </cell>
          <cell r="D7441" t="str">
            <v>JIP1J93</v>
          </cell>
        </row>
        <row r="7442">
          <cell r="C7442" t="str">
            <v>JKW6264</v>
          </cell>
          <cell r="D7442" t="str">
            <v>JKW6264</v>
          </cell>
        </row>
        <row r="7443">
          <cell r="C7443" t="str">
            <v>JLD0068</v>
          </cell>
          <cell r="D7443" t="str">
            <v>JLD0068</v>
          </cell>
        </row>
        <row r="7444">
          <cell r="C7444" t="str">
            <v>JMA5E90</v>
          </cell>
          <cell r="D7444" t="str">
            <v>JMA5E90</v>
          </cell>
        </row>
        <row r="7445">
          <cell r="C7445" t="str">
            <v>JMC8367</v>
          </cell>
          <cell r="D7445" t="str">
            <v>JMC8367</v>
          </cell>
        </row>
        <row r="7446">
          <cell r="C7446" t="str">
            <v>JMD1027</v>
          </cell>
          <cell r="D7446" t="str">
            <v>JMD1027</v>
          </cell>
        </row>
        <row r="7447">
          <cell r="C7447" t="str">
            <v>JMI9807</v>
          </cell>
          <cell r="D7447" t="str">
            <v>JMI9807</v>
          </cell>
        </row>
        <row r="7448">
          <cell r="C7448" t="str">
            <v>JMK5797</v>
          </cell>
          <cell r="D7448" t="str">
            <v>JMK5797</v>
          </cell>
        </row>
        <row r="7449">
          <cell r="C7449" t="str">
            <v>JMR6547</v>
          </cell>
          <cell r="D7449" t="str">
            <v>JMR6547</v>
          </cell>
        </row>
        <row r="7450">
          <cell r="C7450" t="str">
            <v>JNR6547</v>
          </cell>
          <cell r="D7450" t="str">
            <v>JNR6547</v>
          </cell>
        </row>
        <row r="7451">
          <cell r="C7451" t="str">
            <v>JNR6870</v>
          </cell>
          <cell r="D7451" t="str">
            <v>JNR6870</v>
          </cell>
        </row>
        <row r="7452">
          <cell r="C7452" t="str">
            <v>JOH5718</v>
          </cell>
          <cell r="D7452" t="str">
            <v>JOH5718</v>
          </cell>
        </row>
        <row r="7453">
          <cell r="C7453" t="str">
            <v>JOZ4011</v>
          </cell>
          <cell r="D7453" t="str">
            <v>JOZ4011</v>
          </cell>
        </row>
        <row r="7454">
          <cell r="C7454" t="str">
            <v>JPC6390</v>
          </cell>
          <cell r="D7454" t="str">
            <v>JPC6390</v>
          </cell>
        </row>
        <row r="7455">
          <cell r="C7455" t="str">
            <v>JPZ3G59</v>
          </cell>
          <cell r="D7455" t="str">
            <v>JPZ3G59</v>
          </cell>
        </row>
        <row r="7456">
          <cell r="C7456" t="str">
            <v>JPZ3J59</v>
          </cell>
          <cell r="D7456" t="str">
            <v>JPZ3J59</v>
          </cell>
        </row>
        <row r="7457">
          <cell r="C7457" t="str">
            <v>JQH5249</v>
          </cell>
          <cell r="D7457" t="str">
            <v>JQH5249</v>
          </cell>
        </row>
        <row r="7458">
          <cell r="C7458" t="str">
            <v>JQJ4698</v>
          </cell>
          <cell r="D7458" t="str">
            <v>JQJ4698</v>
          </cell>
        </row>
        <row r="7459">
          <cell r="C7459" t="str">
            <v>JQM4314</v>
          </cell>
          <cell r="D7459" t="str">
            <v>JQM4314</v>
          </cell>
        </row>
        <row r="7460">
          <cell r="C7460" t="str">
            <v>JQS4129</v>
          </cell>
          <cell r="D7460" t="str">
            <v>JQS4129</v>
          </cell>
        </row>
        <row r="7461">
          <cell r="C7461" t="str">
            <v>JRO7041</v>
          </cell>
          <cell r="D7461" t="str">
            <v>JRO7041</v>
          </cell>
        </row>
        <row r="7462">
          <cell r="C7462" t="str">
            <v>JSN2E93</v>
          </cell>
          <cell r="D7462" t="str">
            <v>JSN2E93</v>
          </cell>
        </row>
        <row r="7463">
          <cell r="C7463" t="str">
            <v>JTC6390</v>
          </cell>
          <cell r="D7463" t="str">
            <v>JTC6390</v>
          </cell>
        </row>
        <row r="7464">
          <cell r="C7464" t="str">
            <v>JTJ1001</v>
          </cell>
          <cell r="D7464" t="str">
            <v>JTJ1001</v>
          </cell>
        </row>
        <row r="7465">
          <cell r="C7465" t="str">
            <v>JTJ7522</v>
          </cell>
          <cell r="D7465" t="str">
            <v>JTJ7522</v>
          </cell>
        </row>
        <row r="7466">
          <cell r="C7466" t="str">
            <v>JTJ7806</v>
          </cell>
          <cell r="D7466" t="str">
            <v>JTJ7806</v>
          </cell>
        </row>
        <row r="7467">
          <cell r="C7467" t="str">
            <v>JTJ8522</v>
          </cell>
          <cell r="D7467" t="str">
            <v>JTJ8522</v>
          </cell>
        </row>
        <row r="7468">
          <cell r="C7468" t="str">
            <v>JTN0965</v>
          </cell>
          <cell r="D7468" t="str">
            <v>JTN0965</v>
          </cell>
        </row>
        <row r="7469">
          <cell r="C7469" t="str">
            <v>JTU9964</v>
          </cell>
          <cell r="D7469" t="str">
            <v>JTU9964</v>
          </cell>
        </row>
        <row r="7470">
          <cell r="C7470" t="str">
            <v>JUW1517</v>
          </cell>
          <cell r="D7470" t="str">
            <v>JUW1517</v>
          </cell>
        </row>
        <row r="7471">
          <cell r="C7471" t="str">
            <v>JWK1539</v>
          </cell>
          <cell r="D7471" t="str">
            <v>JWK1539</v>
          </cell>
        </row>
        <row r="7472">
          <cell r="C7472" t="str">
            <v>JXG3363</v>
          </cell>
          <cell r="D7472" t="str">
            <v>JXG3363</v>
          </cell>
        </row>
        <row r="7473">
          <cell r="C7473" t="str">
            <v>JXZ4395</v>
          </cell>
          <cell r="D7473" t="str">
            <v>JXZ4395</v>
          </cell>
        </row>
        <row r="7474">
          <cell r="C7474" t="str">
            <v>JYA5463</v>
          </cell>
          <cell r="D7474" t="str">
            <v>JYA5463</v>
          </cell>
        </row>
        <row r="7475">
          <cell r="C7475" t="str">
            <v>JYA6480</v>
          </cell>
          <cell r="D7475" t="str">
            <v>JYA6480</v>
          </cell>
        </row>
        <row r="7476">
          <cell r="C7476" t="str">
            <v>JYB1943</v>
          </cell>
          <cell r="D7476" t="str">
            <v>JYB1943</v>
          </cell>
        </row>
        <row r="7477">
          <cell r="C7477" t="str">
            <v>JYC0752</v>
          </cell>
          <cell r="D7477" t="str">
            <v>JYC0752</v>
          </cell>
        </row>
        <row r="7478">
          <cell r="C7478" t="str">
            <v>JYC1315</v>
          </cell>
          <cell r="D7478" t="str">
            <v>JYC1315</v>
          </cell>
        </row>
        <row r="7479">
          <cell r="C7479" t="str">
            <v>JYF1160</v>
          </cell>
          <cell r="D7479" t="str">
            <v>JYF1160</v>
          </cell>
        </row>
        <row r="7480">
          <cell r="C7480" t="str">
            <v>JYF1514</v>
          </cell>
          <cell r="D7480" t="str">
            <v>JYF1514</v>
          </cell>
        </row>
        <row r="7481">
          <cell r="C7481" t="str">
            <v>JYF6187</v>
          </cell>
          <cell r="D7481" t="str">
            <v>JYF6187</v>
          </cell>
        </row>
        <row r="7482">
          <cell r="C7482" t="str">
            <v>JYH2886</v>
          </cell>
          <cell r="D7482" t="str">
            <v>JYH2886</v>
          </cell>
        </row>
        <row r="7483">
          <cell r="C7483" t="str">
            <v>JYI4139</v>
          </cell>
          <cell r="D7483" t="str">
            <v>JYI4139</v>
          </cell>
        </row>
        <row r="7484">
          <cell r="C7484" t="str">
            <v>JYK9076</v>
          </cell>
          <cell r="D7484" t="str">
            <v>JYK9076</v>
          </cell>
        </row>
        <row r="7485">
          <cell r="C7485" t="str">
            <v>JYO0011</v>
          </cell>
          <cell r="D7485" t="str">
            <v>JYO0011</v>
          </cell>
        </row>
        <row r="7486">
          <cell r="C7486" t="str">
            <v>JYX9987</v>
          </cell>
          <cell r="D7486" t="str">
            <v>JYX9987</v>
          </cell>
        </row>
        <row r="7487">
          <cell r="C7487" t="str">
            <v>JZC5052</v>
          </cell>
          <cell r="D7487" t="str">
            <v>JZC5052</v>
          </cell>
        </row>
        <row r="7488">
          <cell r="C7488" t="str">
            <v>JZG0058</v>
          </cell>
          <cell r="D7488" t="str">
            <v>JZG0058</v>
          </cell>
        </row>
        <row r="7489">
          <cell r="C7489" t="str">
            <v>JZH4644</v>
          </cell>
          <cell r="D7489" t="str">
            <v>JZH4644</v>
          </cell>
        </row>
        <row r="7490">
          <cell r="C7490" t="str">
            <v>KAA0023</v>
          </cell>
          <cell r="D7490" t="str">
            <v>KAA0023</v>
          </cell>
        </row>
        <row r="7491">
          <cell r="C7491" t="str">
            <v>KAF1547</v>
          </cell>
          <cell r="D7491" t="str">
            <v>KAF1547</v>
          </cell>
        </row>
        <row r="7492">
          <cell r="C7492" t="str">
            <v>KBD2967</v>
          </cell>
          <cell r="D7492" t="str">
            <v>KBD2967</v>
          </cell>
        </row>
        <row r="7493">
          <cell r="C7493" t="str">
            <v>KBF7412</v>
          </cell>
          <cell r="D7493" t="str">
            <v>KBF7412</v>
          </cell>
        </row>
        <row r="7494">
          <cell r="C7494" t="str">
            <v>KBV1353</v>
          </cell>
          <cell r="D7494" t="str">
            <v>KBV1353</v>
          </cell>
        </row>
        <row r="7495">
          <cell r="C7495" t="str">
            <v>KBX8255</v>
          </cell>
          <cell r="D7495" t="str">
            <v>KBX8255</v>
          </cell>
        </row>
        <row r="7496">
          <cell r="C7496" t="str">
            <v>KCB4593</v>
          </cell>
          <cell r="D7496" t="str">
            <v>KCB4593</v>
          </cell>
        </row>
        <row r="7497">
          <cell r="C7497" t="str">
            <v>KCB8154</v>
          </cell>
          <cell r="D7497" t="str">
            <v>KCB8154</v>
          </cell>
        </row>
        <row r="7498">
          <cell r="C7498" t="str">
            <v>KDB2214</v>
          </cell>
          <cell r="D7498" t="str">
            <v>KDB2214</v>
          </cell>
        </row>
        <row r="7499">
          <cell r="C7499" t="str">
            <v>KDC2378</v>
          </cell>
          <cell r="D7499" t="str">
            <v>KDC2378</v>
          </cell>
        </row>
        <row r="7500">
          <cell r="C7500" t="str">
            <v>KDL0752</v>
          </cell>
          <cell r="D7500" t="str">
            <v>KDL0752</v>
          </cell>
        </row>
        <row r="7501">
          <cell r="C7501" t="str">
            <v>KDL5460</v>
          </cell>
          <cell r="D7501" t="str">
            <v>KDL5460</v>
          </cell>
        </row>
        <row r="7502">
          <cell r="C7502" t="str">
            <v>KDN9616</v>
          </cell>
          <cell r="D7502" t="str">
            <v>KDN9616</v>
          </cell>
        </row>
        <row r="7503">
          <cell r="C7503" t="str">
            <v>KDS1H49</v>
          </cell>
          <cell r="D7503" t="str">
            <v>KDS1H49</v>
          </cell>
        </row>
        <row r="7504">
          <cell r="C7504" t="str">
            <v>KEA4A72</v>
          </cell>
          <cell r="D7504" t="str">
            <v>KEA4A72</v>
          </cell>
        </row>
        <row r="7505">
          <cell r="C7505" t="str">
            <v>KEZ0637</v>
          </cell>
          <cell r="D7505" t="str">
            <v>KEZ0637</v>
          </cell>
        </row>
        <row r="7506">
          <cell r="C7506" t="str">
            <v>KFJ5128</v>
          </cell>
          <cell r="D7506" t="str">
            <v>KFJ5128</v>
          </cell>
        </row>
        <row r="7507">
          <cell r="C7507" t="str">
            <v>KFO3495</v>
          </cell>
          <cell r="D7507" t="str">
            <v>KFO3495</v>
          </cell>
        </row>
        <row r="7508">
          <cell r="C7508" t="str">
            <v>KFR3208</v>
          </cell>
          <cell r="D7508" t="str">
            <v>KFR3208</v>
          </cell>
        </row>
        <row r="7509">
          <cell r="C7509" t="str">
            <v>KFS0279</v>
          </cell>
          <cell r="D7509" t="str">
            <v>KFS0279</v>
          </cell>
        </row>
        <row r="7510">
          <cell r="C7510" t="str">
            <v>KGC0911</v>
          </cell>
          <cell r="D7510" t="str">
            <v>KGC0911</v>
          </cell>
        </row>
        <row r="7511">
          <cell r="C7511" t="str">
            <v>KGV8626</v>
          </cell>
          <cell r="D7511" t="str">
            <v>KGV8626</v>
          </cell>
        </row>
        <row r="7512">
          <cell r="C7512" t="str">
            <v>KHW6568</v>
          </cell>
          <cell r="D7512" t="str">
            <v>KHW6568</v>
          </cell>
        </row>
        <row r="7513">
          <cell r="C7513" t="str">
            <v>KJG8526</v>
          </cell>
          <cell r="D7513" t="str">
            <v>KJG8526</v>
          </cell>
        </row>
        <row r="7514">
          <cell r="C7514" t="str">
            <v>KKC9910</v>
          </cell>
          <cell r="D7514" t="str">
            <v>KKC9910</v>
          </cell>
        </row>
        <row r="7515">
          <cell r="C7515" t="str">
            <v>KLM8343</v>
          </cell>
          <cell r="D7515" t="str">
            <v>KLM8343</v>
          </cell>
        </row>
        <row r="7516">
          <cell r="C7516" t="str">
            <v>KLW8I48</v>
          </cell>
          <cell r="D7516" t="str">
            <v>KLW8I48</v>
          </cell>
        </row>
        <row r="7517">
          <cell r="C7517" t="str">
            <v>KMR7001</v>
          </cell>
          <cell r="D7517" t="str">
            <v>KMR7001</v>
          </cell>
        </row>
        <row r="7518">
          <cell r="C7518" t="str">
            <v>KMT1673</v>
          </cell>
          <cell r="D7518" t="str">
            <v>KMT1673</v>
          </cell>
        </row>
        <row r="7519">
          <cell r="C7519" t="str">
            <v>KNN8201</v>
          </cell>
          <cell r="D7519" t="str">
            <v>KNN8201</v>
          </cell>
        </row>
        <row r="7520">
          <cell r="C7520" t="str">
            <v>KOC0498</v>
          </cell>
          <cell r="D7520" t="str">
            <v>KOC0498</v>
          </cell>
        </row>
        <row r="7521">
          <cell r="C7521" t="str">
            <v>KPL8095</v>
          </cell>
          <cell r="D7521" t="str">
            <v>KPL8095</v>
          </cell>
        </row>
        <row r="7522">
          <cell r="C7522" t="str">
            <v>KPL8B67</v>
          </cell>
          <cell r="D7522" t="str">
            <v>KPL8B67</v>
          </cell>
        </row>
        <row r="7523">
          <cell r="C7523" t="str">
            <v>KRK1002</v>
          </cell>
          <cell r="D7523" t="str">
            <v>KRK1002</v>
          </cell>
        </row>
        <row r="7524">
          <cell r="C7524" t="str">
            <v>KSM2913</v>
          </cell>
          <cell r="D7524" t="str">
            <v>KSM2913</v>
          </cell>
        </row>
        <row r="7525">
          <cell r="C7525" t="str">
            <v>KSS6687</v>
          </cell>
          <cell r="D7525" t="str">
            <v>KSS6687</v>
          </cell>
        </row>
        <row r="7526">
          <cell r="C7526" t="str">
            <v>KTK5B76</v>
          </cell>
          <cell r="D7526" t="str">
            <v>KTK5B76</v>
          </cell>
        </row>
        <row r="7527">
          <cell r="C7527" t="str">
            <v>KTN7D23</v>
          </cell>
          <cell r="D7527" t="str">
            <v>KTN7D23</v>
          </cell>
        </row>
        <row r="7528">
          <cell r="C7528" t="str">
            <v>KUD4I23</v>
          </cell>
          <cell r="D7528" t="str">
            <v>KUD4I23</v>
          </cell>
        </row>
        <row r="7529">
          <cell r="C7529" t="str">
            <v>KXE5570</v>
          </cell>
          <cell r="D7529" t="str">
            <v>KXE5570</v>
          </cell>
        </row>
        <row r="7530">
          <cell r="C7530" t="str">
            <v>LAS3527</v>
          </cell>
          <cell r="D7530" t="str">
            <v>LAS3527</v>
          </cell>
        </row>
        <row r="7531">
          <cell r="C7531" t="str">
            <v>LBV3B67</v>
          </cell>
          <cell r="D7531" t="str">
            <v>LBV3B67</v>
          </cell>
        </row>
        <row r="7532">
          <cell r="C7532" t="str">
            <v>LBZ3262</v>
          </cell>
          <cell r="D7532" t="str">
            <v>LBZ3262</v>
          </cell>
        </row>
        <row r="7533">
          <cell r="C7533" t="str">
            <v>LCG8440</v>
          </cell>
          <cell r="D7533" t="str">
            <v>LCG8440</v>
          </cell>
        </row>
        <row r="7534">
          <cell r="C7534" t="str">
            <v>LCV8196</v>
          </cell>
          <cell r="D7534" t="str">
            <v>LCV8196</v>
          </cell>
        </row>
        <row r="7535">
          <cell r="C7535" t="str">
            <v>LHA4234</v>
          </cell>
          <cell r="D7535" t="str">
            <v>LHA4234</v>
          </cell>
        </row>
        <row r="7536">
          <cell r="C7536" t="str">
            <v>LIV2717</v>
          </cell>
          <cell r="D7536" t="str">
            <v>LIV2717</v>
          </cell>
        </row>
        <row r="7537">
          <cell r="C7537" t="str">
            <v>LIX2H62</v>
          </cell>
          <cell r="D7537" t="str">
            <v>LIX2H62</v>
          </cell>
        </row>
        <row r="7538">
          <cell r="C7538" t="str">
            <v>LJV9364</v>
          </cell>
          <cell r="D7538" t="str">
            <v>LJV9364</v>
          </cell>
        </row>
        <row r="7539">
          <cell r="C7539" t="str">
            <v>LNI0107</v>
          </cell>
          <cell r="D7539" t="str">
            <v>LNI0107</v>
          </cell>
        </row>
        <row r="7540">
          <cell r="C7540" t="str">
            <v>LNK5444</v>
          </cell>
          <cell r="D7540" t="str">
            <v>LNK5444</v>
          </cell>
        </row>
        <row r="7541">
          <cell r="C7541" t="str">
            <v>LOY7264</v>
          </cell>
          <cell r="D7541" t="str">
            <v>LOY7264</v>
          </cell>
        </row>
        <row r="7542">
          <cell r="C7542" t="str">
            <v>LPN5593</v>
          </cell>
          <cell r="D7542" t="str">
            <v>LPN5593</v>
          </cell>
        </row>
        <row r="7543">
          <cell r="C7543" t="str">
            <v>LPO8D24</v>
          </cell>
          <cell r="D7543" t="str">
            <v>LPO8D24</v>
          </cell>
        </row>
        <row r="7544">
          <cell r="C7544" t="str">
            <v>LQN8E52</v>
          </cell>
          <cell r="D7544" t="str">
            <v>LQN8E52</v>
          </cell>
        </row>
        <row r="7545">
          <cell r="C7545" t="str">
            <v>LSX5324</v>
          </cell>
          <cell r="D7545" t="str">
            <v>LSX5324</v>
          </cell>
        </row>
        <row r="7546">
          <cell r="C7546" t="str">
            <v>LUZ8037</v>
          </cell>
          <cell r="D7546" t="str">
            <v>LUZ8037</v>
          </cell>
        </row>
        <row r="7547">
          <cell r="C7547" t="str">
            <v>LVF1668</v>
          </cell>
          <cell r="D7547" t="str">
            <v>LVF1668</v>
          </cell>
        </row>
        <row r="7548">
          <cell r="C7548" t="str">
            <v>LVL2620</v>
          </cell>
          <cell r="D7548" t="str">
            <v>LVL2620</v>
          </cell>
        </row>
        <row r="7549">
          <cell r="C7549" t="str">
            <v>LWC7G71</v>
          </cell>
          <cell r="D7549" t="str">
            <v>LWC7G71</v>
          </cell>
        </row>
        <row r="7550">
          <cell r="C7550" t="str">
            <v>LWK0326</v>
          </cell>
          <cell r="D7550" t="str">
            <v>LWK0326</v>
          </cell>
        </row>
        <row r="7551">
          <cell r="C7551" t="str">
            <v>LWQ0323</v>
          </cell>
          <cell r="D7551" t="str">
            <v>LWQ0323</v>
          </cell>
        </row>
        <row r="7552">
          <cell r="C7552" t="str">
            <v>LXG8853</v>
          </cell>
          <cell r="D7552" t="str">
            <v>LXG8853</v>
          </cell>
        </row>
        <row r="7553">
          <cell r="C7553" t="str">
            <v>LXP5394</v>
          </cell>
          <cell r="D7553" t="str">
            <v>LXP5394</v>
          </cell>
        </row>
        <row r="7554">
          <cell r="C7554" t="str">
            <v>LXU8559</v>
          </cell>
          <cell r="D7554" t="str">
            <v>LXU8559</v>
          </cell>
        </row>
        <row r="7555">
          <cell r="C7555" t="str">
            <v>LXV4428</v>
          </cell>
          <cell r="D7555" t="str">
            <v>LXV4428</v>
          </cell>
        </row>
        <row r="7556">
          <cell r="C7556" t="str">
            <v>LYT9146</v>
          </cell>
          <cell r="D7556" t="str">
            <v>LYT9146</v>
          </cell>
        </row>
        <row r="7557">
          <cell r="C7557" t="str">
            <v>LYW7G17</v>
          </cell>
          <cell r="D7557" t="str">
            <v>LYW7G17</v>
          </cell>
        </row>
        <row r="7558">
          <cell r="C7558" t="str">
            <v>LYZ6957</v>
          </cell>
          <cell r="D7558" t="str">
            <v>LYZ6957</v>
          </cell>
        </row>
        <row r="7559">
          <cell r="C7559" t="str">
            <v>LZB7082</v>
          </cell>
          <cell r="D7559" t="str">
            <v>LZB7082</v>
          </cell>
        </row>
        <row r="7560">
          <cell r="C7560" t="str">
            <v>LZE5808</v>
          </cell>
          <cell r="D7560" t="str">
            <v>LZE5808</v>
          </cell>
        </row>
        <row r="7561">
          <cell r="C7561" t="str">
            <v>LZK8996</v>
          </cell>
          <cell r="D7561" t="str">
            <v>LZK8996</v>
          </cell>
        </row>
        <row r="7562">
          <cell r="C7562" t="str">
            <v>LZL3439</v>
          </cell>
          <cell r="D7562" t="str">
            <v>LZL3439</v>
          </cell>
        </row>
        <row r="7563">
          <cell r="C7563" t="str">
            <v>LZX7327</v>
          </cell>
          <cell r="D7563" t="str">
            <v>LZX7327</v>
          </cell>
        </row>
        <row r="7564">
          <cell r="C7564" t="str">
            <v>LZY6880</v>
          </cell>
          <cell r="D7564" t="str">
            <v>LZY6880</v>
          </cell>
        </row>
        <row r="7565">
          <cell r="C7565" t="str">
            <v>LZY7082</v>
          </cell>
          <cell r="D7565" t="str">
            <v>LZY7082</v>
          </cell>
        </row>
        <row r="7566">
          <cell r="C7566" t="str">
            <v>MAE8628</v>
          </cell>
          <cell r="D7566" t="str">
            <v>MAE8628</v>
          </cell>
        </row>
        <row r="7567">
          <cell r="C7567" t="str">
            <v>MAE8G28</v>
          </cell>
          <cell r="D7567" t="str">
            <v>MAE8G28</v>
          </cell>
        </row>
        <row r="7568">
          <cell r="C7568" t="str">
            <v>MAF6B58</v>
          </cell>
          <cell r="D7568" t="str">
            <v>MAF6B58</v>
          </cell>
        </row>
        <row r="7569">
          <cell r="C7569" t="str">
            <v>MAK1H87</v>
          </cell>
          <cell r="D7569" t="str">
            <v>MAK1H87</v>
          </cell>
        </row>
        <row r="7570">
          <cell r="C7570" t="str">
            <v>MAM3937</v>
          </cell>
          <cell r="D7570" t="str">
            <v>MAM3937</v>
          </cell>
        </row>
        <row r="7571">
          <cell r="C7571" t="str">
            <v>MAO1551</v>
          </cell>
          <cell r="D7571" t="str">
            <v>MAO1551</v>
          </cell>
        </row>
        <row r="7572">
          <cell r="C7572" t="str">
            <v>MAP5473</v>
          </cell>
          <cell r="D7572" t="str">
            <v>MAP5473</v>
          </cell>
        </row>
        <row r="7573">
          <cell r="C7573" t="str">
            <v>MAT0314</v>
          </cell>
          <cell r="D7573" t="str">
            <v>MAT0314</v>
          </cell>
        </row>
        <row r="7574">
          <cell r="C7574" t="str">
            <v>MBA8697</v>
          </cell>
          <cell r="D7574" t="str">
            <v>MBA8697</v>
          </cell>
        </row>
        <row r="7575">
          <cell r="C7575" t="str">
            <v>MBC4D21</v>
          </cell>
          <cell r="D7575" t="str">
            <v>MBC4D21</v>
          </cell>
        </row>
        <row r="7576">
          <cell r="C7576" t="str">
            <v>MBE8G06</v>
          </cell>
          <cell r="D7576" t="str">
            <v>MBE8G06</v>
          </cell>
        </row>
        <row r="7577">
          <cell r="C7577" t="str">
            <v>MBH9J33</v>
          </cell>
          <cell r="D7577" t="str">
            <v>MBH9J33</v>
          </cell>
        </row>
        <row r="7578">
          <cell r="C7578" t="str">
            <v>MBI5420</v>
          </cell>
          <cell r="D7578" t="str">
            <v>MBI5420</v>
          </cell>
        </row>
        <row r="7579">
          <cell r="C7579" t="str">
            <v>MBK1780</v>
          </cell>
          <cell r="D7579" t="str">
            <v>MBK1780</v>
          </cell>
        </row>
        <row r="7580">
          <cell r="C7580" t="str">
            <v>MBW1197</v>
          </cell>
          <cell r="D7580" t="str">
            <v>MBW1197</v>
          </cell>
        </row>
        <row r="7581">
          <cell r="C7581" t="str">
            <v>MBW3E72</v>
          </cell>
          <cell r="D7581" t="str">
            <v>MBW3E72</v>
          </cell>
        </row>
        <row r="7582">
          <cell r="C7582" t="str">
            <v>MCB2973</v>
          </cell>
          <cell r="D7582" t="str">
            <v>MCB2973</v>
          </cell>
        </row>
        <row r="7583">
          <cell r="C7583" t="str">
            <v>MCB5150</v>
          </cell>
          <cell r="D7583" t="str">
            <v>MCB5150</v>
          </cell>
        </row>
        <row r="7584">
          <cell r="C7584" t="str">
            <v>MCD2858</v>
          </cell>
          <cell r="D7584" t="str">
            <v>MCD2858</v>
          </cell>
        </row>
        <row r="7585">
          <cell r="C7585" t="str">
            <v>MCD2973</v>
          </cell>
          <cell r="D7585" t="str">
            <v>MCD2973</v>
          </cell>
        </row>
        <row r="7586">
          <cell r="C7586" t="str">
            <v>MCE0J54</v>
          </cell>
          <cell r="D7586" t="str">
            <v>MCE0J54</v>
          </cell>
        </row>
        <row r="7587">
          <cell r="C7587" t="str">
            <v>MCG8440</v>
          </cell>
          <cell r="D7587" t="str">
            <v>MCG8440</v>
          </cell>
        </row>
        <row r="7588">
          <cell r="C7588" t="str">
            <v>MCK0703</v>
          </cell>
          <cell r="D7588" t="str">
            <v>MCK0703</v>
          </cell>
        </row>
        <row r="7589">
          <cell r="C7589" t="str">
            <v>MDB3365</v>
          </cell>
          <cell r="D7589" t="str">
            <v>MDB3365</v>
          </cell>
        </row>
        <row r="7590">
          <cell r="C7590" t="str">
            <v>MDH1086</v>
          </cell>
          <cell r="D7590" t="str">
            <v>MDH1086</v>
          </cell>
        </row>
        <row r="7591">
          <cell r="C7591" t="str">
            <v>MDL7938</v>
          </cell>
          <cell r="D7591" t="str">
            <v>MDL7938</v>
          </cell>
        </row>
        <row r="7592">
          <cell r="C7592" t="str">
            <v>MDP0788</v>
          </cell>
          <cell r="D7592" t="str">
            <v>MDP0788</v>
          </cell>
        </row>
        <row r="7593">
          <cell r="C7593" t="str">
            <v>MDQ8140</v>
          </cell>
          <cell r="D7593" t="str">
            <v>MDQ8140</v>
          </cell>
        </row>
        <row r="7594">
          <cell r="C7594" t="str">
            <v>MDS5B60</v>
          </cell>
          <cell r="D7594" t="str">
            <v>MDS5B60</v>
          </cell>
        </row>
        <row r="7595">
          <cell r="C7595" t="str">
            <v>MDT0721</v>
          </cell>
          <cell r="D7595" t="str">
            <v>MDT0721</v>
          </cell>
        </row>
        <row r="7596">
          <cell r="C7596" t="str">
            <v>MDU2014</v>
          </cell>
          <cell r="D7596" t="str">
            <v>MDU2014</v>
          </cell>
        </row>
        <row r="7597">
          <cell r="C7597" t="str">
            <v>MDW5I72</v>
          </cell>
          <cell r="D7597" t="str">
            <v>MDW5I72</v>
          </cell>
        </row>
        <row r="7598">
          <cell r="C7598" t="str">
            <v>MED5808</v>
          </cell>
          <cell r="D7598" t="str">
            <v>MED5808</v>
          </cell>
        </row>
        <row r="7599">
          <cell r="C7599" t="str">
            <v>MEK0B25</v>
          </cell>
          <cell r="D7599" t="str">
            <v>MEK0B25</v>
          </cell>
        </row>
        <row r="7600">
          <cell r="C7600" t="str">
            <v>MEK6753</v>
          </cell>
          <cell r="D7600" t="str">
            <v>MEK6753</v>
          </cell>
        </row>
        <row r="7601">
          <cell r="C7601" t="str">
            <v>MEK6J66</v>
          </cell>
          <cell r="D7601" t="str">
            <v>MEK6J66</v>
          </cell>
        </row>
        <row r="7602">
          <cell r="C7602" t="str">
            <v>MEW2213</v>
          </cell>
          <cell r="D7602" t="str">
            <v>MEW2213</v>
          </cell>
        </row>
        <row r="7603">
          <cell r="C7603" t="str">
            <v>MFM3878</v>
          </cell>
          <cell r="D7603" t="str">
            <v>MFM3878</v>
          </cell>
        </row>
        <row r="7604">
          <cell r="C7604" t="str">
            <v>MFT6673</v>
          </cell>
          <cell r="D7604" t="str">
            <v>MFT6673</v>
          </cell>
        </row>
        <row r="7605">
          <cell r="C7605" t="str">
            <v>MFZ4217</v>
          </cell>
          <cell r="D7605" t="str">
            <v>MFZ4217</v>
          </cell>
        </row>
        <row r="7606">
          <cell r="C7606" t="str">
            <v>MGB6600</v>
          </cell>
          <cell r="D7606" t="str">
            <v>MGB6600</v>
          </cell>
        </row>
        <row r="7607">
          <cell r="C7607" t="str">
            <v>MGC5C77</v>
          </cell>
          <cell r="D7607" t="str">
            <v>MGC5C77</v>
          </cell>
        </row>
        <row r="7608">
          <cell r="C7608" t="str">
            <v>MGD9221</v>
          </cell>
          <cell r="D7608" t="str">
            <v>MGD9221</v>
          </cell>
        </row>
        <row r="7609">
          <cell r="C7609" t="str">
            <v>MGL2635</v>
          </cell>
          <cell r="D7609" t="str">
            <v>MGL2635</v>
          </cell>
        </row>
        <row r="7610">
          <cell r="C7610" t="str">
            <v>MGW3970</v>
          </cell>
          <cell r="D7610" t="str">
            <v>MGW3970</v>
          </cell>
        </row>
        <row r="7611">
          <cell r="C7611" t="str">
            <v>MGZ9213</v>
          </cell>
          <cell r="D7611" t="str">
            <v>MGZ9213</v>
          </cell>
        </row>
        <row r="7612">
          <cell r="C7612" t="str">
            <v>MHE7B95</v>
          </cell>
          <cell r="D7612" t="str">
            <v>MHE7B95</v>
          </cell>
        </row>
        <row r="7613">
          <cell r="C7613" t="str">
            <v>MID2605</v>
          </cell>
          <cell r="D7613" t="str">
            <v>MID2605</v>
          </cell>
        </row>
        <row r="7614">
          <cell r="C7614" t="str">
            <v>MIH7492</v>
          </cell>
          <cell r="D7614" t="str">
            <v>MIH7492</v>
          </cell>
        </row>
        <row r="7615">
          <cell r="C7615" t="str">
            <v>MIP5J30</v>
          </cell>
          <cell r="D7615" t="str">
            <v>MIP5J30</v>
          </cell>
        </row>
        <row r="7616">
          <cell r="C7616" t="str">
            <v>MIQ8601</v>
          </cell>
          <cell r="D7616" t="str">
            <v>MIQ8601</v>
          </cell>
        </row>
        <row r="7617">
          <cell r="C7617" t="str">
            <v>MJN7359</v>
          </cell>
          <cell r="D7617" t="str">
            <v>MJN7359</v>
          </cell>
        </row>
        <row r="7618">
          <cell r="C7618" t="str">
            <v>MJT2285</v>
          </cell>
          <cell r="D7618" t="str">
            <v>MJT2285</v>
          </cell>
        </row>
        <row r="7619">
          <cell r="C7619" t="str">
            <v>MJU4115</v>
          </cell>
          <cell r="D7619" t="str">
            <v>MJU4115</v>
          </cell>
        </row>
        <row r="7620">
          <cell r="C7620" t="str">
            <v>MJV1295</v>
          </cell>
          <cell r="D7620" t="str">
            <v>MJV1295</v>
          </cell>
        </row>
        <row r="7621">
          <cell r="C7621" t="str">
            <v>MJV1C95</v>
          </cell>
          <cell r="D7621" t="str">
            <v>MJV1C95</v>
          </cell>
        </row>
        <row r="7622">
          <cell r="C7622" t="str">
            <v>MKC2861</v>
          </cell>
          <cell r="D7622" t="str">
            <v>MKC2861</v>
          </cell>
        </row>
        <row r="7623">
          <cell r="C7623" t="str">
            <v>MKC3727</v>
          </cell>
          <cell r="D7623" t="str">
            <v>MKC3727</v>
          </cell>
        </row>
        <row r="7624">
          <cell r="C7624" t="str">
            <v>MKC3974</v>
          </cell>
          <cell r="D7624" t="str">
            <v>MKC3974</v>
          </cell>
        </row>
        <row r="7625">
          <cell r="C7625" t="str">
            <v>MKH8504</v>
          </cell>
          <cell r="D7625" t="str">
            <v>MKH8504</v>
          </cell>
        </row>
        <row r="7626">
          <cell r="C7626" t="str">
            <v>MKI7165</v>
          </cell>
          <cell r="D7626" t="str">
            <v>MKI7165</v>
          </cell>
        </row>
        <row r="7627">
          <cell r="C7627" t="str">
            <v>MKI7205</v>
          </cell>
          <cell r="D7627" t="str">
            <v>MKI7205</v>
          </cell>
        </row>
        <row r="7628">
          <cell r="C7628" t="str">
            <v>MKJ9J77</v>
          </cell>
          <cell r="D7628" t="str">
            <v>MKJ9J77</v>
          </cell>
        </row>
        <row r="7629">
          <cell r="C7629" t="str">
            <v>MLC6864</v>
          </cell>
          <cell r="D7629" t="str">
            <v>MLC6864</v>
          </cell>
        </row>
        <row r="7630">
          <cell r="C7630" t="str">
            <v>MLC6880</v>
          </cell>
          <cell r="D7630" t="str">
            <v>MLC6880</v>
          </cell>
        </row>
        <row r="7631">
          <cell r="C7631" t="str">
            <v>MLP0413</v>
          </cell>
          <cell r="D7631" t="str">
            <v>MLP0413</v>
          </cell>
        </row>
        <row r="7632">
          <cell r="C7632" t="str">
            <v>MLW2175</v>
          </cell>
          <cell r="D7632" t="str">
            <v>MLW2175</v>
          </cell>
        </row>
        <row r="7633">
          <cell r="C7633" t="str">
            <v>MLW2875</v>
          </cell>
          <cell r="D7633" t="str">
            <v>MLW2875</v>
          </cell>
        </row>
        <row r="7634">
          <cell r="C7634" t="str">
            <v>MME6194</v>
          </cell>
          <cell r="D7634" t="str">
            <v>MME6194</v>
          </cell>
        </row>
        <row r="7635">
          <cell r="C7635" t="str">
            <v>MME6794</v>
          </cell>
          <cell r="D7635" t="str">
            <v>MME6794</v>
          </cell>
        </row>
        <row r="7636">
          <cell r="C7636" t="str">
            <v>MME7240</v>
          </cell>
          <cell r="D7636" t="str">
            <v>MME7240</v>
          </cell>
        </row>
        <row r="7637">
          <cell r="C7637" t="str">
            <v>MMJ6789</v>
          </cell>
          <cell r="D7637" t="str">
            <v>MMJ6789</v>
          </cell>
        </row>
        <row r="7638">
          <cell r="C7638" t="str">
            <v>MML2661</v>
          </cell>
          <cell r="D7638" t="str">
            <v>MML2661</v>
          </cell>
        </row>
        <row r="7639">
          <cell r="C7639" t="str">
            <v>MMT7340</v>
          </cell>
          <cell r="D7639" t="str">
            <v>MMT7340</v>
          </cell>
        </row>
        <row r="7640">
          <cell r="C7640" t="str">
            <v>MMW2875</v>
          </cell>
          <cell r="D7640" t="str">
            <v>MMW2875</v>
          </cell>
        </row>
        <row r="7641">
          <cell r="C7641" t="str">
            <v>MNR6D07</v>
          </cell>
          <cell r="D7641" t="str">
            <v>MNR6D07</v>
          </cell>
        </row>
        <row r="7642">
          <cell r="C7642" t="str">
            <v>MPP6G23</v>
          </cell>
          <cell r="D7642" t="str">
            <v>MPP6G23</v>
          </cell>
        </row>
        <row r="7643">
          <cell r="C7643" t="str">
            <v>MQJ2G66</v>
          </cell>
          <cell r="D7643" t="str">
            <v>MQJ2G66</v>
          </cell>
        </row>
        <row r="7644">
          <cell r="C7644" t="str">
            <v>MQK0B25</v>
          </cell>
          <cell r="D7644" t="str">
            <v>MQK0B25</v>
          </cell>
        </row>
        <row r="7645">
          <cell r="C7645" t="str">
            <v>MQK4631</v>
          </cell>
          <cell r="D7645" t="str">
            <v>MQK4631</v>
          </cell>
        </row>
        <row r="7646">
          <cell r="C7646" t="str">
            <v>MQX7506</v>
          </cell>
          <cell r="D7646" t="str">
            <v>MQX7506</v>
          </cell>
        </row>
        <row r="7647">
          <cell r="C7647" t="str">
            <v>MRA1386</v>
          </cell>
          <cell r="D7647" t="str">
            <v>MRA1386</v>
          </cell>
        </row>
        <row r="7648">
          <cell r="C7648" t="str">
            <v>MRG4614</v>
          </cell>
          <cell r="D7648" t="str">
            <v>MRG4614</v>
          </cell>
        </row>
        <row r="7649">
          <cell r="C7649" t="str">
            <v>MRH0B07</v>
          </cell>
          <cell r="D7649" t="str">
            <v>MRH0B07</v>
          </cell>
        </row>
        <row r="7650">
          <cell r="C7650" t="str">
            <v>MRK0106</v>
          </cell>
          <cell r="D7650" t="str">
            <v>MRK0106</v>
          </cell>
        </row>
        <row r="7651">
          <cell r="C7651" t="str">
            <v>MRR2588</v>
          </cell>
          <cell r="D7651" t="str">
            <v>MRR2588</v>
          </cell>
        </row>
        <row r="7652">
          <cell r="C7652" t="str">
            <v>MRR2593</v>
          </cell>
          <cell r="D7652" t="str">
            <v>MRR2593</v>
          </cell>
        </row>
        <row r="7653">
          <cell r="C7653" t="str">
            <v>MSA7287</v>
          </cell>
          <cell r="D7653" t="str">
            <v>MSA7287</v>
          </cell>
        </row>
        <row r="7654">
          <cell r="C7654" t="str">
            <v>MSF5J33</v>
          </cell>
          <cell r="D7654" t="str">
            <v>MSF5J33</v>
          </cell>
        </row>
        <row r="7655">
          <cell r="C7655" t="str">
            <v>MSJ2004</v>
          </cell>
          <cell r="D7655" t="str">
            <v>MSJ2004</v>
          </cell>
        </row>
        <row r="7656">
          <cell r="C7656" t="str">
            <v>MSJ4014</v>
          </cell>
          <cell r="D7656" t="str">
            <v>MSJ4014</v>
          </cell>
        </row>
        <row r="7657">
          <cell r="C7657" t="str">
            <v>MSJ4015</v>
          </cell>
          <cell r="D7657" t="str">
            <v>MSJ4015</v>
          </cell>
        </row>
        <row r="7658">
          <cell r="C7658" t="str">
            <v>MSK9870</v>
          </cell>
          <cell r="D7658" t="str">
            <v>MSK9870</v>
          </cell>
        </row>
        <row r="7659">
          <cell r="C7659" t="str">
            <v>MTR8294</v>
          </cell>
          <cell r="D7659" t="str">
            <v>MTR8294</v>
          </cell>
        </row>
        <row r="7660">
          <cell r="C7660" t="str">
            <v>MTT7335</v>
          </cell>
          <cell r="D7660" t="str">
            <v>MTT7335</v>
          </cell>
        </row>
        <row r="7661">
          <cell r="C7661" t="str">
            <v>MTT7341</v>
          </cell>
          <cell r="D7661" t="str">
            <v>MTT7341</v>
          </cell>
        </row>
        <row r="7662">
          <cell r="C7662" t="str">
            <v>MTW1J43</v>
          </cell>
          <cell r="D7662" t="str">
            <v>MTW1J43</v>
          </cell>
        </row>
        <row r="7663">
          <cell r="C7663" t="str">
            <v>MTX5617</v>
          </cell>
          <cell r="D7663" t="str">
            <v>MTX5617</v>
          </cell>
        </row>
        <row r="7664">
          <cell r="C7664" t="str">
            <v>MUH5730</v>
          </cell>
          <cell r="D7664" t="str">
            <v>MUH5730</v>
          </cell>
        </row>
        <row r="7665">
          <cell r="C7665" t="str">
            <v>MUL7D12</v>
          </cell>
          <cell r="D7665" t="str">
            <v>MUL7D12</v>
          </cell>
        </row>
        <row r="7666">
          <cell r="C7666" t="str">
            <v>MUO9A76</v>
          </cell>
          <cell r="D7666" t="str">
            <v>MUO9A76</v>
          </cell>
        </row>
        <row r="7667">
          <cell r="C7667" t="str">
            <v>MUV1070</v>
          </cell>
          <cell r="D7667" t="str">
            <v>MUV1070</v>
          </cell>
        </row>
        <row r="7668">
          <cell r="C7668" t="str">
            <v>MUZ0069</v>
          </cell>
          <cell r="D7668" t="str">
            <v>MUZ0069</v>
          </cell>
        </row>
        <row r="7669">
          <cell r="C7669" t="str">
            <v>MXC3974</v>
          </cell>
          <cell r="D7669" t="str">
            <v>MXC3974</v>
          </cell>
        </row>
        <row r="7670">
          <cell r="C7670" t="str">
            <v>MYE0240</v>
          </cell>
          <cell r="D7670" t="str">
            <v>MYE0240</v>
          </cell>
        </row>
        <row r="7671">
          <cell r="C7671" t="str">
            <v>MZA0214</v>
          </cell>
          <cell r="D7671" t="str">
            <v>MZA0214</v>
          </cell>
        </row>
        <row r="7672">
          <cell r="C7672" t="str">
            <v>NBD4950</v>
          </cell>
          <cell r="D7672" t="str">
            <v>NBD4950</v>
          </cell>
        </row>
        <row r="7673">
          <cell r="C7673" t="str">
            <v>NBK1095</v>
          </cell>
          <cell r="D7673" t="str">
            <v>NBK1095</v>
          </cell>
        </row>
        <row r="7674">
          <cell r="C7674" t="str">
            <v>NBS8967</v>
          </cell>
          <cell r="D7674" t="str">
            <v>NBS8967</v>
          </cell>
        </row>
        <row r="7675">
          <cell r="C7675" t="str">
            <v>NDB8381</v>
          </cell>
          <cell r="D7675" t="str">
            <v>NDB8381</v>
          </cell>
        </row>
        <row r="7676">
          <cell r="C7676" t="str">
            <v>NDY5603</v>
          </cell>
          <cell r="D7676" t="str">
            <v>NDY5603</v>
          </cell>
        </row>
        <row r="7677">
          <cell r="C7677" t="str">
            <v>NEC1B63</v>
          </cell>
          <cell r="D7677" t="str">
            <v>NEC1B63</v>
          </cell>
        </row>
        <row r="7678">
          <cell r="C7678" t="str">
            <v>NEK1073</v>
          </cell>
          <cell r="D7678" t="str">
            <v>NEK1073</v>
          </cell>
        </row>
        <row r="7679">
          <cell r="C7679" t="str">
            <v>NEP0898</v>
          </cell>
          <cell r="D7679" t="str">
            <v>NEP0898</v>
          </cell>
        </row>
        <row r="7680">
          <cell r="C7680" t="str">
            <v>NFG7660</v>
          </cell>
          <cell r="D7680" t="str">
            <v>NFG7660</v>
          </cell>
        </row>
        <row r="7681">
          <cell r="C7681" t="str">
            <v>NGU8860</v>
          </cell>
          <cell r="D7681" t="str">
            <v>NGU8860</v>
          </cell>
        </row>
        <row r="7682">
          <cell r="C7682" t="str">
            <v>NHY5H12</v>
          </cell>
          <cell r="D7682" t="str">
            <v>NHY5H12</v>
          </cell>
        </row>
        <row r="7683">
          <cell r="C7683" t="str">
            <v>NKN8I13</v>
          </cell>
          <cell r="D7683" t="str">
            <v>NKN8I13</v>
          </cell>
        </row>
        <row r="7684">
          <cell r="C7684" t="str">
            <v>NLT6132</v>
          </cell>
          <cell r="D7684" t="str">
            <v>NLT6132</v>
          </cell>
        </row>
        <row r="7685">
          <cell r="C7685" t="str">
            <v>NMT1973</v>
          </cell>
          <cell r="D7685" t="str">
            <v>NMT1973</v>
          </cell>
        </row>
        <row r="7686">
          <cell r="C7686" t="str">
            <v>NPC7078</v>
          </cell>
          <cell r="D7686" t="str">
            <v>NPC7078</v>
          </cell>
        </row>
        <row r="7687">
          <cell r="C7687" t="str">
            <v>NRQ5145</v>
          </cell>
          <cell r="D7687" t="str">
            <v>NRQ5145</v>
          </cell>
        </row>
        <row r="7688">
          <cell r="C7688" t="str">
            <v>NSN8931</v>
          </cell>
          <cell r="D7688" t="str">
            <v>NSN8931</v>
          </cell>
        </row>
        <row r="7689">
          <cell r="C7689" t="str">
            <v>NUG2819</v>
          </cell>
          <cell r="D7689" t="str">
            <v>NUG2819</v>
          </cell>
        </row>
        <row r="7690">
          <cell r="C7690" t="str">
            <v>NVQ4758</v>
          </cell>
          <cell r="D7690" t="str">
            <v>NVQ4758</v>
          </cell>
        </row>
        <row r="7691">
          <cell r="C7691" t="str">
            <v>NWQ8708</v>
          </cell>
          <cell r="D7691" t="str">
            <v>NWQ8708</v>
          </cell>
        </row>
        <row r="7692">
          <cell r="C7692" t="str">
            <v>NWR5578</v>
          </cell>
          <cell r="D7692" t="str">
            <v>NWR5578</v>
          </cell>
        </row>
        <row r="7693">
          <cell r="C7693" t="str">
            <v>NZW7423</v>
          </cell>
          <cell r="D7693" t="str">
            <v>NZW7423</v>
          </cell>
        </row>
        <row r="7694">
          <cell r="C7694" t="str">
            <v>OAV1G07</v>
          </cell>
          <cell r="D7694" t="str">
            <v>OAV1G07</v>
          </cell>
        </row>
        <row r="7695">
          <cell r="C7695" t="str">
            <v>OAZ2868</v>
          </cell>
          <cell r="D7695" t="str">
            <v>OAZ2868</v>
          </cell>
        </row>
        <row r="7696">
          <cell r="C7696" t="str">
            <v>OCV5E79</v>
          </cell>
          <cell r="D7696" t="str">
            <v>OCV5E79</v>
          </cell>
        </row>
        <row r="7697">
          <cell r="C7697" t="str">
            <v>ODN9201</v>
          </cell>
          <cell r="D7697" t="str">
            <v>ODN9201</v>
          </cell>
        </row>
        <row r="7698">
          <cell r="C7698" t="str">
            <v>ODN9202</v>
          </cell>
          <cell r="D7698" t="str">
            <v>ODN9202</v>
          </cell>
        </row>
        <row r="7699">
          <cell r="C7699" t="str">
            <v>ODO2143</v>
          </cell>
          <cell r="D7699" t="str">
            <v>ODO2143</v>
          </cell>
        </row>
        <row r="7700">
          <cell r="C7700" t="str">
            <v>OIF1C37</v>
          </cell>
          <cell r="D7700" t="str">
            <v>OIF1C37</v>
          </cell>
        </row>
        <row r="7701">
          <cell r="C7701" t="str">
            <v>OJL0566</v>
          </cell>
          <cell r="D7701" t="str">
            <v>OJL0566</v>
          </cell>
        </row>
        <row r="7702">
          <cell r="C7702" t="str">
            <v>OKD1528</v>
          </cell>
          <cell r="D7702" t="str">
            <v>OKD1528</v>
          </cell>
        </row>
        <row r="7703">
          <cell r="C7703" t="str">
            <v>OKE1627</v>
          </cell>
          <cell r="D7703" t="str">
            <v>OKE1627</v>
          </cell>
        </row>
        <row r="7704">
          <cell r="C7704" t="str">
            <v>OLJ7F39</v>
          </cell>
          <cell r="D7704" t="str">
            <v>OLJ7F39</v>
          </cell>
        </row>
        <row r="7705">
          <cell r="C7705" t="str">
            <v>OQD2644</v>
          </cell>
          <cell r="D7705" t="str">
            <v>OQD2644</v>
          </cell>
        </row>
        <row r="7706">
          <cell r="C7706" t="str">
            <v>OQD7A61</v>
          </cell>
          <cell r="D7706" t="str">
            <v>OQD7A61</v>
          </cell>
        </row>
        <row r="7707">
          <cell r="C7707" t="str">
            <v>OTB9853</v>
          </cell>
          <cell r="D7707" t="str">
            <v>OTB9853</v>
          </cell>
        </row>
        <row r="7708">
          <cell r="C7708" t="str">
            <v>OUR5542</v>
          </cell>
          <cell r="D7708" t="str">
            <v>OUR5542</v>
          </cell>
        </row>
        <row r="7709">
          <cell r="C7709" t="str">
            <v>OVH4J76</v>
          </cell>
          <cell r="D7709" t="str">
            <v>OVH4J76</v>
          </cell>
        </row>
        <row r="7710">
          <cell r="C7710" t="str">
            <v>OXA6I94</v>
          </cell>
          <cell r="D7710" t="str">
            <v>OXA6I94</v>
          </cell>
        </row>
        <row r="7711">
          <cell r="C7711" t="str">
            <v>PCN5D68</v>
          </cell>
          <cell r="D7711" t="str">
            <v>PCN5D68</v>
          </cell>
        </row>
        <row r="7712">
          <cell r="C7712" t="str">
            <v>PDF2I74</v>
          </cell>
          <cell r="D7712" t="str">
            <v>PDF2I74</v>
          </cell>
        </row>
        <row r="7713">
          <cell r="C7713" t="str">
            <v>PDN9H01</v>
          </cell>
          <cell r="D7713" t="str">
            <v>PDN9H01</v>
          </cell>
        </row>
        <row r="7714">
          <cell r="C7714" t="str">
            <v>PJL7932</v>
          </cell>
          <cell r="D7714" t="str">
            <v>PJL7932</v>
          </cell>
        </row>
        <row r="7715">
          <cell r="C7715" t="str">
            <v>PLZ4445</v>
          </cell>
          <cell r="D7715" t="str">
            <v>PLZ4445</v>
          </cell>
        </row>
        <row r="7716">
          <cell r="C7716" t="str">
            <v>PNM0004</v>
          </cell>
          <cell r="D7716" t="str">
            <v>PNM0004</v>
          </cell>
        </row>
        <row r="7717">
          <cell r="C7717" t="str">
            <v>PPV1261</v>
          </cell>
          <cell r="D7717" t="str">
            <v>PPV1261</v>
          </cell>
        </row>
        <row r="7718">
          <cell r="C7718" t="str">
            <v>PPZ6641</v>
          </cell>
          <cell r="D7718" t="str">
            <v>PPZ6641</v>
          </cell>
        </row>
        <row r="7719">
          <cell r="C7719" t="str">
            <v>PQA8C11</v>
          </cell>
          <cell r="D7719" t="str">
            <v>PQA8C11</v>
          </cell>
        </row>
        <row r="7720">
          <cell r="C7720" t="str">
            <v>PTS8809</v>
          </cell>
          <cell r="D7720" t="str">
            <v>PTS8809</v>
          </cell>
        </row>
        <row r="7721">
          <cell r="C7721" t="str">
            <v>PVV3978</v>
          </cell>
          <cell r="D7721" t="str">
            <v>PVV3978</v>
          </cell>
        </row>
        <row r="7722">
          <cell r="C7722" t="str">
            <v>PWI7296</v>
          </cell>
          <cell r="D7722" t="str">
            <v>PWI7296</v>
          </cell>
        </row>
        <row r="7723">
          <cell r="C7723" t="str">
            <v>PXV7E13</v>
          </cell>
          <cell r="D7723" t="str">
            <v>PXV7E13</v>
          </cell>
        </row>
        <row r="7724">
          <cell r="C7724" t="str">
            <v>QAA0023</v>
          </cell>
          <cell r="D7724" t="str">
            <v>QAA0023</v>
          </cell>
        </row>
        <row r="7725">
          <cell r="C7725" t="str">
            <v>QBG4J36</v>
          </cell>
          <cell r="D7725" t="str">
            <v>QBG4J36</v>
          </cell>
        </row>
        <row r="7726">
          <cell r="C7726" t="str">
            <v>QDG4H63</v>
          </cell>
          <cell r="D7726" t="str">
            <v>QDG4H63</v>
          </cell>
        </row>
        <row r="7727">
          <cell r="C7727" t="str">
            <v>QER5726</v>
          </cell>
          <cell r="D7727" t="str">
            <v>QER5726</v>
          </cell>
        </row>
        <row r="7728">
          <cell r="C7728" t="str">
            <v>QER5746</v>
          </cell>
          <cell r="D7728" t="str">
            <v>QER5746</v>
          </cell>
        </row>
        <row r="7729">
          <cell r="C7729" t="str">
            <v>QET6F70</v>
          </cell>
          <cell r="D7729" t="str">
            <v>QET6F70</v>
          </cell>
        </row>
        <row r="7730">
          <cell r="C7730" t="str">
            <v>QHW5970</v>
          </cell>
          <cell r="D7730" t="str">
            <v>QHW5970</v>
          </cell>
        </row>
        <row r="7731">
          <cell r="C7731" t="str">
            <v>QHZ7648</v>
          </cell>
          <cell r="D7731" t="str">
            <v>QHZ7648</v>
          </cell>
        </row>
        <row r="7732">
          <cell r="C7732" t="str">
            <v>QIA3319</v>
          </cell>
          <cell r="D7732" t="str">
            <v>QIA3319</v>
          </cell>
        </row>
        <row r="7733">
          <cell r="C7733" t="str">
            <v>QIB0785</v>
          </cell>
          <cell r="D7733" t="str">
            <v>QIB0785</v>
          </cell>
        </row>
        <row r="7734">
          <cell r="C7734" t="str">
            <v>QIP0369</v>
          </cell>
          <cell r="D7734" t="str">
            <v>QIP0369</v>
          </cell>
        </row>
        <row r="7735">
          <cell r="C7735" t="str">
            <v>QIV2468</v>
          </cell>
          <cell r="D7735" t="str">
            <v>QIV2468</v>
          </cell>
        </row>
        <row r="7736">
          <cell r="C7736" t="str">
            <v>QJG7497</v>
          </cell>
          <cell r="D7736" t="str">
            <v>QJG7497</v>
          </cell>
        </row>
        <row r="7737">
          <cell r="C7737" t="str">
            <v>QJH4963</v>
          </cell>
          <cell r="D7737" t="str">
            <v>QJH4963</v>
          </cell>
        </row>
        <row r="7738">
          <cell r="C7738" t="str">
            <v>QJH4993</v>
          </cell>
          <cell r="D7738" t="str">
            <v>QJH4993</v>
          </cell>
        </row>
        <row r="7739">
          <cell r="C7739" t="str">
            <v>QJM4074</v>
          </cell>
          <cell r="D7739" t="str">
            <v>QJM4074</v>
          </cell>
        </row>
        <row r="7740">
          <cell r="C7740" t="str">
            <v>QJN4011</v>
          </cell>
          <cell r="D7740" t="str">
            <v>QJN4011</v>
          </cell>
        </row>
        <row r="7741">
          <cell r="C7741" t="str">
            <v>QJN6392</v>
          </cell>
          <cell r="D7741" t="str">
            <v>QJN6392</v>
          </cell>
        </row>
        <row r="7742">
          <cell r="C7742" t="str">
            <v>QJN6422</v>
          </cell>
          <cell r="D7742" t="str">
            <v>QJN6422</v>
          </cell>
        </row>
        <row r="7743">
          <cell r="C7743" t="str">
            <v>QJO8377</v>
          </cell>
          <cell r="D7743" t="str">
            <v>QJO8377</v>
          </cell>
        </row>
        <row r="7744">
          <cell r="C7744" t="str">
            <v>QJQ3720</v>
          </cell>
          <cell r="D7744" t="str">
            <v>QJQ3720</v>
          </cell>
        </row>
        <row r="7745">
          <cell r="C7745" t="str">
            <v>QJR3694</v>
          </cell>
          <cell r="D7745" t="str">
            <v>QJR3694</v>
          </cell>
        </row>
        <row r="7746">
          <cell r="C7746" t="str">
            <v>QJS6972</v>
          </cell>
          <cell r="D7746" t="str">
            <v>QJS6972</v>
          </cell>
        </row>
        <row r="7747">
          <cell r="C7747" t="str">
            <v>QJT5842</v>
          </cell>
          <cell r="D7747" t="str">
            <v>QJT5842</v>
          </cell>
        </row>
        <row r="7748">
          <cell r="C7748" t="str">
            <v>QJT5843</v>
          </cell>
          <cell r="D7748" t="str">
            <v>QJT5843</v>
          </cell>
        </row>
        <row r="7749">
          <cell r="C7749" t="str">
            <v>QOR8A75</v>
          </cell>
          <cell r="D7749" t="str">
            <v>QOR8A75</v>
          </cell>
        </row>
        <row r="7750">
          <cell r="C7750" t="str">
            <v>QQE1458</v>
          </cell>
          <cell r="D7750" t="str">
            <v>QQE1458</v>
          </cell>
        </row>
        <row r="7751">
          <cell r="C7751" t="str">
            <v>QRG4A48</v>
          </cell>
          <cell r="D7751" t="str">
            <v>QRG4A48</v>
          </cell>
        </row>
        <row r="7752">
          <cell r="C7752" t="str">
            <v>QRK0J20</v>
          </cell>
          <cell r="D7752" t="str">
            <v>QRK0J20</v>
          </cell>
        </row>
        <row r="7753">
          <cell r="C7753" t="str">
            <v>QRKOJ20</v>
          </cell>
          <cell r="D7753" t="str">
            <v>QRKOJ20</v>
          </cell>
        </row>
        <row r="7754">
          <cell r="C7754" t="str">
            <v>QRL2B18</v>
          </cell>
          <cell r="D7754" t="str">
            <v>QRL2B18</v>
          </cell>
        </row>
        <row r="7755">
          <cell r="C7755" t="str">
            <v>QTM6534</v>
          </cell>
          <cell r="D7755" t="str">
            <v>QTM6534</v>
          </cell>
        </row>
        <row r="7756">
          <cell r="C7756" t="str">
            <v>QUL0605</v>
          </cell>
          <cell r="D7756" t="str">
            <v>QUL0605</v>
          </cell>
        </row>
        <row r="7757">
          <cell r="C7757" t="str">
            <v>QUM5J83</v>
          </cell>
          <cell r="D7757" t="str">
            <v>QUM5J83</v>
          </cell>
        </row>
        <row r="7758">
          <cell r="C7758" t="str">
            <v>QUP8700</v>
          </cell>
          <cell r="D7758" t="str">
            <v>QUP8700</v>
          </cell>
        </row>
        <row r="7759">
          <cell r="C7759" t="str">
            <v>QVB9604</v>
          </cell>
          <cell r="D7759" t="str">
            <v>QVB9604</v>
          </cell>
        </row>
        <row r="7760">
          <cell r="C7760" t="str">
            <v>QVB9634</v>
          </cell>
          <cell r="D7760" t="str">
            <v>QVB9634</v>
          </cell>
        </row>
        <row r="7761">
          <cell r="C7761" t="str">
            <v>RAD4B13</v>
          </cell>
          <cell r="D7761" t="str">
            <v>RAD4B13</v>
          </cell>
        </row>
        <row r="7762">
          <cell r="C7762" t="str">
            <v>RDV3B20</v>
          </cell>
          <cell r="D7762" t="str">
            <v>RDV3B20</v>
          </cell>
        </row>
        <row r="7763">
          <cell r="C7763" t="str">
            <v>RDV3B30</v>
          </cell>
          <cell r="D7763" t="str">
            <v>RDV3B30</v>
          </cell>
        </row>
        <row r="7764">
          <cell r="C7764" t="str">
            <v>RDY1D05</v>
          </cell>
          <cell r="D7764" t="str">
            <v>RDY1D05</v>
          </cell>
        </row>
        <row r="7765">
          <cell r="C7765" t="str">
            <v>RHC7F14</v>
          </cell>
          <cell r="D7765" t="str">
            <v>RHC7F14</v>
          </cell>
        </row>
        <row r="7766">
          <cell r="C7766" t="str">
            <v>RHH3D71</v>
          </cell>
          <cell r="D7766" t="str">
            <v>RHH3D71</v>
          </cell>
        </row>
        <row r="7767">
          <cell r="C7767" t="str">
            <v>TDD5246</v>
          </cell>
          <cell r="D7767" t="str">
            <v>TDD5246</v>
          </cell>
        </row>
        <row r="7768">
          <cell r="C7768" t="str">
            <v>VAQ8098</v>
          </cell>
          <cell r="D7768" t="str">
            <v>VAQ8098</v>
          </cell>
        </row>
        <row r="7769">
          <cell r="C7769" t="str">
            <v>VAY3492</v>
          </cell>
          <cell r="D7769" t="str">
            <v>VAY3492</v>
          </cell>
        </row>
        <row r="7770">
          <cell r="C7770" t="str">
            <v>AID8F42</v>
          </cell>
          <cell r="D7770" t="str">
            <v>AID8F42</v>
          </cell>
        </row>
        <row r="7771">
          <cell r="C7771" t="str">
            <v>AID8F68</v>
          </cell>
          <cell r="D7771" t="str">
            <v>AID8F68</v>
          </cell>
        </row>
        <row r="7772">
          <cell r="C7772" t="str">
            <v>CUB8F67</v>
          </cell>
          <cell r="D7772" t="str">
            <v>CUB8F67</v>
          </cell>
        </row>
        <row r="7773">
          <cell r="C7773" t="str">
            <v>GJD7G35</v>
          </cell>
          <cell r="D7773" t="str">
            <v>GJD7G35</v>
          </cell>
        </row>
        <row r="7774">
          <cell r="C7774" t="str">
            <v>VQS8047</v>
          </cell>
          <cell r="D7774" t="str">
            <v>VQS8047</v>
          </cell>
        </row>
        <row r="7775">
          <cell r="C7775" t="str">
            <v>VQW3A31</v>
          </cell>
          <cell r="D7775" t="str">
            <v>VQW3A31</v>
          </cell>
        </row>
        <row r="7776">
          <cell r="C7776" t="str">
            <v>VUJ6299</v>
          </cell>
          <cell r="D7776" t="str">
            <v>VUJ6299</v>
          </cell>
        </row>
        <row r="7777">
          <cell r="C7777" t="str">
            <v>VYB2A67</v>
          </cell>
          <cell r="D7777" t="str">
            <v>VYB2A67</v>
          </cell>
        </row>
        <row r="7778">
          <cell r="C7778" t="str">
            <v>VZH5415</v>
          </cell>
          <cell r="D7778" t="str">
            <v>VZH5415</v>
          </cell>
        </row>
        <row r="7779">
          <cell r="C7779" t="str">
            <v>WRW1B22</v>
          </cell>
          <cell r="D7779" t="str">
            <v>WRW1B22</v>
          </cell>
        </row>
        <row r="7780">
          <cell r="C7780" t="str">
            <v>XBY6225</v>
          </cell>
          <cell r="D7780" t="str">
            <v>XBY6225</v>
          </cell>
        </row>
        <row r="7781">
          <cell r="C7781" t="str">
            <v>XZB0560</v>
          </cell>
          <cell r="D7781" t="str">
            <v>XZB0560</v>
          </cell>
        </row>
        <row r="7782">
          <cell r="C7782" t="str">
            <v>ZQX3170</v>
          </cell>
          <cell r="D7782" t="str">
            <v>ZQX3170</v>
          </cell>
        </row>
        <row r="7783">
          <cell r="C7783" t="str">
            <v>EQ0006</v>
          </cell>
          <cell r="D7783" t="str">
            <v xml:space="preserve">       </v>
          </cell>
        </row>
        <row r="7784">
          <cell r="C7784" t="str">
            <v>AVE0145</v>
          </cell>
          <cell r="D7784" t="str">
            <v>AVE0145</v>
          </cell>
        </row>
        <row r="7785">
          <cell r="C7785" t="str">
            <v>CIU5228</v>
          </cell>
          <cell r="D7785" t="str">
            <v>CIU5228</v>
          </cell>
        </row>
        <row r="7786">
          <cell r="C7786" t="str">
            <v>PLJ2826</v>
          </cell>
          <cell r="D7786" t="str">
            <v>PLJ2826</v>
          </cell>
        </row>
        <row r="7787">
          <cell r="C7787" t="str">
            <v>AED0747</v>
          </cell>
          <cell r="D7787" t="str">
            <v>AED0747</v>
          </cell>
        </row>
        <row r="7788">
          <cell r="C7788" t="str">
            <v>PPC8377</v>
          </cell>
          <cell r="D7788" t="str">
            <v>PPC8377</v>
          </cell>
        </row>
        <row r="7789">
          <cell r="C7789" t="str">
            <v>PPH3C44</v>
          </cell>
          <cell r="D7789" t="str">
            <v>PPH3C44</v>
          </cell>
        </row>
        <row r="7790">
          <cell r="C7790" t="str">
            <v>PPV1302</v>
          </cell>
          <cell r="D7790" t="str">
            <v>PPV1302</v>
          </cell>
        </row>
        <row r="7791">
          <cell r="C7791" t="str">
            <v>PPY0757</v>
          </cell>
          <cell r="D7791" t="str">
            <v>PPY0757</v>
          </cell>
        </row>
        <row r="7792">
          <cell r="C7792" t="str">
            <v>PPY0758</v>
          </cell>
          <cell r="D7792" t="str">
            <v>PPY0758</v>
          </cell>
        </row>
        <row r="7793">
          <cell r="C7793" t="str">
            <v>PQJD264</v>
          </cell>
          <cell r="D7793" t="str">
            <v>PQJD264</v>
          </cell>
        </row>
        <row r="7794">
          <cell r="C7794" t="str">
            <v>PQK3094</v>
          </cell>
          <cell r="D7794" t="str">
            <v>PQK3094</v>
          </cell>
        </row>
        <row r="7795">
          <cell r="C7795" t="str">
            <v>CQH7591</v>
          </cell>
          <cell r="D7795" t="str">
            <v>CQH7591</v>
          </cell>
        </row>
        <row r="7796">
          <cell r="C7796" t="str">
            <v>EHH0015</v>
          </cell>
          <cell r="D7796" t="str">
            <v>EHH0015</v>
          </cell>
        </row>
        <row r="7797">
          <cell r="C7797" t="str">
            <v>EQ0016</v>
          </cell>
          <cell r="D7797" t="str">
            <v xml:space="preserve">       </v>
          </cell>
        </row>
        <row r="7798">
          <cell r="C7798" t="str">
            <v>PRX4670</v>
          </cell>
          <cell r="D7798" t="str">
            <v>PRX4670</v>
          </cell>
        </row>
        <row r="7799">
          <cell r="C7799" t="str">
            <v>PUA8D56</v>
          </cell>
          <cell r="D7799" t="str">
            <v>PUA8D56</v>
          </cell>
        </row>
        <row r="7800">
          <cell r="C7800" t="str">
            <v>PUU5518</v>
          </cell>
          <cell r="D7800" t="str">
            <v>PUU5518</v>
          </cell>
        </row>
        <row r="7801">
          <cell r="C7801" t="str">
            <v>PUV7A85</v>
          </cell>
          <cell r="D7801" t="str">
            <v>PUV7A85</v>
          </cell>
        </row>
        <row r="7802">
          <cell r="C7802" t="str">
            <v>PUY2831</v>
          </cell>
          <cell r="D7802" t="str">
            <v>PUY2831</v>
          </cell>
        </row>
        <row r="7803">
          <cell r="C7803" t="str">
            <v>PVA1255</v>
          </cell>
          <cell r="D7803" t="str">
            <v>PVA1255</v>
          </cell>
        </row>
        <row r="7804">
          <cell r="C7804" t="str">
            <v>PVH1387</v>
          </cell>
          <cell r="D7804" t="str">
            <v>PVH1387</v>
          </cell>
        </row>
        <row r="7805">
          <cell r="C7805" t="str">
            <v>PWC8014</v>
          </cell>
          <cell r="D7805" t="str">
            <v>PWC8014</v>
          </cell>
        </row>
        <row r="7806">
          <cell r="C7806" t="str">
            <v>PWH4674</v>
          </cell>
          <cell r="D7806" t="str">
            <v>PWH4674</v>
          </cell>
        </row>
        <row r="7807">
          <cell r="C7807" t="str">
            <v>PWS4251</v>
          </cell>
          <cell r="D7807" t="str">
            <v>PWS4251</v>
          </cell>
        </row>
        <row r="7808">
          <cell r="C7808" t="str">
            <v>PXF8663</v>
          </cell>
          <cell r="D7808" t="str">
            <v>PXF8663</v>
          </cell>
        </row>
        <row r="7809">
          <cell r="C7809" t="str">
            <v>PXT0543</v>
          </cell>
          <cell r="D7809" t="str">
            <v>PXT0543</v>
          </cell>
        </row>
        <row r="7810">
          <cell r="C7810" t="str">
            <v>PZC2376</v>
          </cell>
          <cell r="D7810" t="str">
            <v>PZC2376</v>
          </cell>
        </row>
        <row r="7811">
          <cell r="C7811" t="str">
            <v>PZC2D76</v>
          </cell>
          <cell r="D7811" t="str">
            <v>PZC2D76</v>
          </cell>
        </row>
        <row r="7812">
          <cell r="C7812" t="str">
            <v>PZD1125</v>
          </cell>
          <cell r="D7812" t="str">
            <v>PZD1125</v>
          </cell>
        </row>
        <row r="7813">
          <cell r="C7813" t="str">
            <v>PZG2J71</v>
          </cell>
          <cell r="D7813" t="str">
            <v>PZG2J71</v>
          </cell>
        </row>
        <row r="7814">
          <cell r="C7814" t="str">
            <v>PZQ3930</v>
          </cell>
          <cell r="D7814" t="str">
            <v>PZQ3930</v>
          </cell>
        </row>
        <row r="7815">
          <cell r="C7815" t="str">
            <v>PZR3721</v>
          </cell>
          <cell r="D7815" t="str">
            <v>PZR3721</v>
          </cell>
        </row>
        <row r="7816">
          <cell r="C7816" t="str">
            <v>QAA3857</v>
          </cell>
          <cell r="D7816" t="str">
            <v>QAA3857</v>
          </cell>
        </row>
        <row r="7817">
          <cell r="C7817" t="str">
            <v>QAA4015</v>
          </cell>
          <cell r="D7817" t="str">
            <v>QAA4015</v>
          </cell>
        </row>
        <row r="7818">
          <cell r="C7818" t="str">
            <v>QAA5793</v>
          </cell>
          <cell r="D7818" t="str">
            <v>QAA5793</v>
          </cell>
        </row>
        <row r="7819">
          <cell r="C7819" t="str">
            <v>QAA5941</v>
          </cell>
          <cell r="D7819" t="str">
            <v>QAA5941</v>
          </cell>
        </row>
        <row r="7820">
          <cell r="C7820" t="str">
            <v>QAA5C64</v>
          </cell>
          <cell r="D7820" t="str">
            <v>QAA5C64</v>
          </cell>
        </row>
        <row r="7821">
          <cell r="C7821" t="str">
            <v>QAA5J85</v>
          </cell>
          <cell r="D7821" t="str">
            <v>QAA5J85</v>
          </cell>
        </row>
        <row r="7822">
          <cell r="C7822" t="str">
            <v>QAA6377</v>
          </cell>
          <cell r="D7822" t="str">
            <v>QAA6377</v>
          </cell>
        </row>
        <row r="7823">
          <cell r="C7823" t="str">
            <v>QAA9692</v>
          </cell>
          <cell r="D7823" t="str">
            <v>QAA9692</v>
          </cell>
        </row>
        <row r="7824">
          <cell r="C7824" t="str">
            <v>QAACJ08</v>
          </cell>
          <cell r="D7824" t="str">
            <v>QAACJ08</v>
          </cell>
        </row>
        <row r="7825">
          <cell r="C7825" t="str">
            <v>QAB0172</v>
          </cell>
          <cell r="D7825" t="str">
            <v>QAB0172</v>
          </cell>
        </row>
        <row r="7826">
          <cell r="C7826" t="str">
            <v>QAB0174</v>
          </cell>
          <cell r="D7826" t="str">
            <v>QAB0174</v>
          </cell>
        </row>
        <row r="7827">
          <cell r="C7827" t="str">
            <v>QAB3005</v>
          </cell>
          <cell r="D7827" t="str">
            <v>QAB3005</v>
          </cell>
        </row>
        <row r="7828">
          <cell r="C7828" t="str">
            <v>QAB7700</v>
          </cell>
          <cell r="D7828" t="str">
            <v>QAB7700</v>
          </cell>
        </row>
        <row r="7829">
          <cell r="C7829" t="str">
            <v>QAB7A47</v>
          </cell>
          <cell r="D7829" t="str">
            <v>QAB7A47</v>
          </cell>
        </row>
        <row r="7830">
          <cell r="C7830" t="str">
            <v>QAB7D82</v>
          </cell>
          <cell r="D7830" t="str">
            <v>QAB7D82</v>
          </cell>
        </row>
        <row r="7831">
          <cell r="C7831" t="str">
            <v>QAB7J89</v>
          </cell>
          <cell r="D7831" t="str">
            <v>QAB7J89</v>
          </cell>
        </row>
        <row r="7832">
          <cell r="C7832" t="str">
            <v>QAD0948</v>
          </cell>
          <cell r="D7832" t="str">
            <v>QAD0948</v>
          </cell>
        </row>
        <row r="7833">
          <cell r="C7833" t="str">
            <v>QAD4073</v>
          </cell>
          <cell r="D7833" t="str">
            <v>QAD4073</v>
          </cell>
        </row>
        <row r="7834">
          <cell r="C7834" t="str">
            <v>QAD4180</v>
          </cell>
          <cell r="D7834" t="str">
            <v>QAD4180</v>
          </cell>
        </row>
        <row r="7835">
          <cell r="C7835" t="str">
            <v>QAD4327</v>
          </cell>
          <cell r="D7835" t="str">
            <v>QAD4327</v>
          </cell>
        </row>
        <row r="7836">
          <cell r="C7836" t="str">
            <v>QAD5041</v>
          </cell>
          <cell r="D7836" t="str">
            <v>QAD5041</v>
          </cell>
        </row>
        <row r="7837">
          <cell r="C7837" t="str">
            <v>QAD5A41</v>
          </cell>
          <cell r="D7837" t="str">
            <v>QAD5A41</v>
          </cell>
        </row>
        <row r="7838">
          <cell r="C7838" t="str">
            <v>QAD6226</v>
          </cell>
          <cell r="D7838" t="str">
            <v>QAD6226</v>
          </cell>
        </row>
        <row r="7839">
          <cell r="C7839" t="str">
            <v>QAE2340</v>
          </cell>
          <cell r="D7839" t="str">
            <v>QAE2340</v>
          </cell>
        </row>
        <row r="7840">
          <cell r="C7840" t="str">
            <v>QAE2432</v>
          </cell>
          <cell r="D7840" t="str">
            <v>QAE2432</v>
          </cell>
        </row>
        <row r="7841">
          <cell r="C7841" t="str">
            <v>QAE2578</v>
          </cell>
          <cell r="D7841" t="str">
            <v>QAE2578</v>
          </cell>
        </row>
        <row r="7842">
          <cell r="C7842" t="str">
            <v>QAF6055</v>
          </cell>
          <cell r="D7842" t="str">
            <v>QAF6055</v>
          </cell>
        </row>
        <row r="7843">
          <cell r="C7843" t="str">
            <v>QAF6138</v>
          </cell>
          <cell r="D7843" t="str">
            <v>QAF6138</v>
          </cell>
        </row>
        <row r="7844">
          <cell r="C7844" t="str">
            <v>QAF7400</v>
          </cell>
          <cell r="D7844" t="str">
            <v>QAF7400</v>
          </cell>
        </row>
        <row r="7845">
          <cell r="C7845" t="str">
            <v>QAF9677</v>
          </cell>
          <cell r="D7845" t="str">
            <v>QAF9677</v>
          </cell>
        </row>
        <row r="7846">
          <cell r="C7846" t="str">
            <v>QAF9715</v>
          </cell>
          <cell r="D7846" t="str">
            <v>QAF9715</v>
          </cell>
        </row>
        <row r="7847">
          <cell r="C7847" t="str">
            <v>QAF9758</v>
          </cell>
          <cell r="D7847" t="str">
            <v>QAF9758</v>
          </cell>
        </row>
        <row r="7848">
          <cell r="C7848" t="str">
            <v>QAF9802</v>
          </cell>
          <cell r="D7848" t="str">
            <v>QAF9802</v>
          </cell>
        </row>
        <row r="7849">
          <cell r="C7849" t="str">
            <v>QAF9G77</v>
          </cell>
          <cell r="D7849" t="str">
            <v>QAF9G77</v>
          </cell>
        </row>
        <row r="7850">
          <cell r="C7850" t="str">
            <v>QAG6F11</v>
          </cell>
          <cell r="D7850" t="str">
            <v>QAG6F11</v>
          </cell>
        </row>
        <row r="7851">
          <cell r="C7851" t="str">
            <v>QAG7792</v>
          </cell>
          <cell r="D7851" t="str">
            <v>QAG7792</v>
          </cell>
        </row>
        <row r="7852">
          <cell r="C7852" t="str">
            <v>QAH1664</v>
          </cell>
          <cell r="D7852" t="str">
            <v>QAH1664</v>
          </cell>
        </row>
        <row r="7853">
          <cell r="C7853" t="str">
            <v>QAH2219</v>
          </cell>
          <cell r="D7853" t="str">
            <v>QAH2219</v>
          </cell>
        </row>
        <row r="7854">
          <cell r="C7854" t="str">
            <v>QAH4464</v>
          </cell>
          <cell r="D7854" t="str">
            <v>QAH4464</v>
          </cell>
        </row>
        <row r="7855">
          <cell r="C7855" t="str">
            <v>QAH5381</v>
          </cell>
          <cell r="D7855" t="str">
            <v>QAH5381</v>
          </cell>
        </row>
        <row r="7856">
          <cell r="C7856" t="str">
            <v>QAH5601</v>
          </cell>
          <cell r="D7856" t="str">
            <v>QAH5601</v>
          </cell>
        </row>
        <row r="7857">
          <cell r="C7857" t="str">
            <v>QAH9C53</v>
          </cell>
          <cell r="D7857" t="str">
            <v>QAH9C53</v>
          </cell>
        </row>
        <row r="7858">
          <cell r="C7858" t="str">
            <v>QAI7948</v>
          </cell>
          <cell r="D7858" t="str">
            <v>QAI7948</v>
          </cell>
        </row>
        <row r="7859">
          <cell r="C7859" t="str">
            <v>QAI7868</v>
          </cell>
          <cell r="D7859" t="str">
            <v>QAI7868</v>
          </cell>
        </row>
        <row r="7860">
          <cell r="C7860" t="str">
            <v>QAI9663</v>
          </cell>
          <cell r="D7860" t="str">
            <v>QAI9663</v>
          </cell>
        </row>
        <row r="7861">
          <cell r="C7861" t="str">
            <v>QAI9G66</v>
          </cell>
          <cell r="D7861" t="str">
            <v>QAI9G66</v>
          </cell>
        </row>
        <row r="7862">
          <cell r="C7862" t="str">
            <v>QAJ3664</v>
          </cell>
          <cell r="D7862" t="str">
            <v>QAJ3664</v>
          </cell>
        </row>
        <row r="7863">
          <cell r="C7863" t="str">
            <v>QAJ0308</v>
          </cell>
          <cell r="D7863" t="str">
            <v>QAJ0308</v>
          </cell>
        </row>
        <row r="7864">
          <cell r="C7864" t="str">
            <v>QAJ2025</v>
          </cell>
          <cell r="D7864" t="str">
            <v>QAJ2025</v>
          </cell>
        </row>
        <row r="7865">
          <cell r="C7865" t="str">
            <v>QAJ4E42</v>
          </cell>
          <cell r="D7865" t="str">
            <v>QAJ4E42</v>
          </cell>
        </row>
        <row r="7866">
          <cell r="C7866" t="str">
            <v>QAJ9095</v>
          </cell>
          <cell r="D7866" t="str">
            <v>QAJ9095</v>
          </cell>
        </row>
        <row r="7867">
          <cell r="C7867" t="str">
            <v>QAJ9124</v>
          </cell>
          <cell r="D7867" t="str">
            <v>QAJ9124</v>
          </cell>
        </row>
        <row r="7868">
          <cell r="C7868" t="str">
            <v>QAJ9135</v>
          </cell>
          <cell r="D7868" t="str">
            <v>QAJ9135</v>
          </cell>
        </row>
        <row r="7869">
          <cell r="C7869" t="str">
            <v>QAK0261</v>
          </cell>
          <cell r="D7869" t="str">
            <v>QAK0261</v>
          </cell>
        </row>
        <row r="7870">
          <cell r="C7870" t="str">
            <v>QAK1329</v>
          </cell>
          <cell r="D7870" t="str">
            <v>QAK1329</v>
          </cell>
        </row>
        <row r="7871">
          <cell r="C7871" t="str">
            <v>QAK5983</v>
          </cell>
          <cell r="D7871" t="str">
            <v>QAK5983</v>
          </cell>
        </row>
        <row r="7872">
          <cell r="C7872" t="str">
            <v>QAK6H89</v>
          </cell>
          <cell r="D7872" t="str">
            <v>QAK6H89</v>
          </cell>
        </row>
        <row r="7873">
          <cell r="C7873" t="str">
            <v>QAK7369</v>
          </cell>
          <cell r="D7873" t="str">
            <v>QAK7369</v>
          </cell>
        </row>
        <row r="7874">
          <cell r="C7874" t="str">
            <v>QAK7D25</v>
          </cell>
          <cell r="D7874" t="str">
            <v>QAK7D25</v>
          </cell>
        </row>
        <row r="7875">
          <cell r="C7875" t="str">
            <v>QAL0465</v>
          </cell>
          <cell r="D7875" t="str">
            <v>QAL0465</v>
          </cell>
        </row>
        <row r="7876">
          <cell r="C7876" t="str">
            <v>QAL2F11</v>
          </cell>
          <cell r="D7876" t="str">
            <v>QAL2F11</v>
          </cell>
        </row>
        <row r="7877">
          <cell r="C7877" t="str">
            <v>QAL4464</v>
          </cell>
          <cell r="D7877" t="str">
            <v>QAL4464</v>
          </cell>
        </row>
        <row r="7878">
          <cell r="C7878" t="str">
            <v>QAL4526</v>
          </cell>
          <cell r="D7878" t="str">
            <v>QAL4526</v>
          </cell>
        </row>
        <row r="7879">
          <cell r="C7879" t="str">
            <v>QAL4626</v>
          </cell>
          <cell r="D7879" t="str">
            <v>QAL4626</v>
          </cell>
        </row>
        <row r="7880">
          <cell r="C7880" t="str">
            <v>QAL4D50</v>
          </cell>
          <cell r="D7880" t="str">
            <v>QAL4D50</v>
          </cell>
        </row>
        <row r="7881">
          <cell r="C7881" t="str">
            <v>QAM2494</v>
          </cell>
          <cell r="D7881" t="str">
            <v>QAM2494</v>
          </cell>
        </row>
        <row r="7882">
          <cell r="C7882" t="str">
            <v>QAM3944</v>
          </cell>
          <cell r="D7882" t="str">
            <v>QAM3944</v>
          </cell>
        </row>
        <row r="7883">
          <cell r="C7883" t="str">
            <v>QAM4327</v>
          </cell>
          <cell r="D7883" t="str">
            <v>QAM4327</v>
          </cell>
        </row>
        <row r="7884">
          <cell r="C7884" t="str">
            <v>QAM4618</v>
          </cell>
          <cell r="D7884" t="str">
            <v>QAM4618</v>
          </cell>
        </row>
        <row r="7885">
          <cell r="C7885" t="str">
            <v>QAN4583</v>
          </cell>
          <cell r="D7885" t="str">
            <v>QAN4583</v>
          </cell>
        </row>
        <row r="7886">
          <cell r="C7886" t="str">
            <v>QAN4581</v>
          </cell>
          <cell r="D7886" t="str">
            <v>QAN4581</v>
          </cell>
        </row>
        <row r="7887">
          <cell r="C7887" t="str">
            <v>QAN4584</v>
          </cell>
          <cell r="D7887" t="str">
            <v>QAN4584</v>
          </cell>
        </row>
        <row r="7888">
          <cell r="C7888" t="str">
            <v>QAN4586</v>
          </cell>
          <cell r="D7888" t="str">
            <v>QAN4586</v>
          </cell>
        </row>
        <row r="7889">
          <cell r="C7889" t="str">
            <v>QAN4589</v>
          </cell>
          <cell r="D7889" t="str">
            <v>QAN4589</v>
          </cell>
        </row>
        <row r="7890">
          <cell r="C7890" t="str">
            <v>QAN5432</v>
          </cell>
          <cell r="D7890" t="str">
            <v>QAN5432</v>
          </cell>
        </row>
        <row r="7891">
          <cell r="C7891" t="str">
            <v>QAN7584</v>
          </cell>
          <cell r="D7891" t="str">
            <v>QAN7584</v>
          </cell>
        </row>
        <row r="7892">
          <cell r="C7892" t="str">
            <v>QAN7585</v>
          </cell>
          <cell r="D7892" t="str">
            <v>QAN7585</v>
          </cell>
        </row>
        <row r="7893">
          <cell r="C7893" t="str">
            <v>QAN7603</v>
          </cell>
          <cell r="D7893" t="str">
            <v>QAN7603</v>
          </cell>
        </row>
        <row r="7894">
          <cell r="C7894" t="str">
            <v>QAO4A53</v>
          </cell>
          <cell r="D7894" t="str">
            <v>QAO4A53</v>
          </cell>
        </row>
        <row r="7895">
          <cell r="C7895" t="str">
            <v>QAO5583</v>
          </cell>
          <cell r="D7895" t="str">
            <v>QAO5583</v>
          </cell>
        </row>
        <row r="7896">
          <cell r="C7896" t="str">
            <v>QAP0006</v>
          </cell>
          <cell r="D7896" t="str">
            <v>QAP0006</v>
          </cell>
        </row>
        <row r="7897">
          <cell r="C7897" t="str">
            <v>QAP0018</v>
          </cell>
          <cell r="D7897" t="str">
            <v>QAP0018</v>
          </cell>
        </row>
        <row r="7898">
          <cell r="C7898" t="str">
            <v>QAP0021</v>
          </cell>
          <cell r="D7898" t="str">
            <v>QAP0021</v>
          </cell>
        </row>
        <row r="7899">
          <cell r="C7899" t="str">
            <v>QAP3081</v>
          </cell>
          <cell r="D7899" t="str">
            <v>QAP3081</v>
          </cell>
        </row>
        <row r="7900">
          <cell r="C7900" t="str">
            <v>QAP6872</v>
          </cell>
          <cell r="D7900" t="str">
            <v>QAP6872</v>
          </cell>
        </row>
        <row r="7901">
          <cell r="C7901" t="str">
            <v>QAP7478</v>
          </cell>
          <cell r="D7901" t="str">
            <v>QAP7478</v>
          </cell>
        </row>
        <row r="7902">
          <cell r="C7902" t="str">
            <v>QAQ5983</v>
          </cell>
          <cell r="D7902" t="str">
            <v>QAQ5983</v>
          </cell>
        </row>
        <row r="7903">
          <cell r="C7903" t="str">
            <v>QAQ9462</v>
          </cell>
          <cell r="D7903" t="str">
            <v>QAQ9462</v>
          </cell>
        </row>
        <row r="7904">
          <cell r="C7904" t="str">
            <v>QAR0103</v>
          </cell>
          <cell r="D7904" t="str">
            <v>QAR0103</v>
          </cell>
        </row>
        <row r="7905">
          <cell r="C7905" t="str">
            <v>QAR1958</v>
          </cell>
          <cell r="D7905" t="str">
            <v>QAR1958</v>
          </cell>
        </row>
        <row r="7906">
          <cell r="C7906" t="str">
            <v>QAR3615</v>
          </cell>
          <cell r="D7906" t="str">
            <v>QAR3615</v>
          </cell>
        </row>
        <row r="7907">
          <cell r="C7907" t="str">
            <v>QAR3740</v>
          </cell>
          <cell r="D7907" t="str">
            <v>QAR3740</v>
          </cell>
        </row>
        <row r="7908">
          <cell r="C7908" t="str">
            <v>QAR4208</v>
          </cell>
          <cell r="D7908" t="str">
            <v>QAR4208</v>
          </cell>
        </row>
        <row r="7909">
          <cell r="C7909" t="str">
            <v>QAR5073</v>
          </cell>
          <cell r="D7909" t="str">
            <v>QAR5073</v>
          </cell>
        </row>
        <row r="7910">
          <cell r="C7910" t="str">
            <v>QAR5527</v>
          </cell>
          <cell r="D7910" t="str">
            <v>QAR5527</v>
          </cell>
        </row>
        <row r="7911">
          <cell r="C7911" t="str">
            <v>QAS8220</v>
          </cell>
          <cell r="D7911" t="str">
            <v>QAS8220</v>
          </cell>
        </row>
        <row r="7912">
          <cell r="C7912" t="str">
            <v>QAT1111</v>
          </cell>
          <cell r="D7912" t="str">
            <v>QAT1111</v>
          </cell>
        </row>
        <row r="7913">
          <cell r="C7913" t="str">
            <v>QAT1C28</v>
          </cell>
          <cell r="D7913" t="str">
            <v>QAT1C28</v>
          </cell>
        </row>
        <row r="7914">
          <cell r="C7914" t="str">
            <v>QAT3D67</v>
          </cell>
          <cell r="D7914" t="str">
            <v>QAT3D67</v>
          </cell>
        </row>
        <row r="7915">
          <cell r="C7915" t="str">
            <v>QAT9A64</v>
          </cell>
          <cell r="D7915" t="str">
            <v>QAT9A64</v>
          </cell>
        </row>
        <row r="7916">
          <cell r="C7916" t="str">
            <v>QAU4D62</v>
          </cell>
          <cell r="D7916" t="str">
            <v>QAU4D62</v>
          </cell>
        </row>
        <row r="7917">
          <cell r="C7917" t="str">
            <v>QAU4E59</v>
          </cell>
          <cell r="D7917" t="str">
            <v>QAU4E59</v>
          </cell>
        </row>
        <row r="7918">
          <cell r="C7918" t="str">
            <v>QAU5J84</v>
          </cell>
          <cell r="D7918" t="str">
            <v>QAU5J84</v>
          </cell>
        </row>
        <row r="7919">
          <cell r="C7919" t="str">
            <v>QAU6E20</v>
          </cell>
          <cell r="D7919" t="str">
            <v>QAU6E20</v>
          </cell>
        </row>
        <row r="7920">
          <cell r="C7920" t="str">
            <v>QAU9D91</v>
          </cell>
          <cell r="D7920" t="str">
            <v>QAU9D91</v>
          </cell>
        </row>
        <row r="7921">
          <cell r="C7921" t="str">
            <v>QAV7E22</v>
          </cell>
          <cell r="D7921" t="str">
            <v>QAV7E22</v>
          </cell>
        </row>
        <row r="7922">
          <cell r="C7922" t="str">
            <v>QAW0H06</v>
          </cell>
          <cell r="D7922" t="str">
            <v>QAW0H06</v>
          </cell>
        </row>
        <row r="7923">
          <cell r="C7923" t="str">
            <v>QAW1B96</v>
          </cell>
          <cell r="D7923" t="str">
            <v>QAW1B96</v>
          </cell>
        </row>
        <row r="7924">
          <cell r="C7924" t="str">
            <v>QAW2H71</v>
          </cell>
          <cell r="D7924" t="str">
            <v>QAW2H71</v>
          </cell>
        </row>
        <row r="7925">
          <cell r="C7925" t="str">
            <v>QAW5C60</v>
          </cell>
          <cell r="D7925" t="str">
            <v>QAW5C60</v>
          </cell>
        </row>
        <row r="7926">
          <cell r="C7926" t="str">
            <v>QAW5C61</v>
          </cell>
          <cell r="D7926" t="str">
            <v>QAW5C61</v>
          </cell>
        </row>
        <row r="7927">
          <cell r="C7927" t="str">
            <v>QAW8F02</v>
          </cell>
          <cell r="D7927" t="str">
            <v>QAW8F02</v>
          </cell>
        </row>
        <row r="7928">
          <cell r="C7928" t="str">
            <v>QAX6I25</v>
          </cell>
          <cell r="D7928" t="str">
            <v>QAX6I25</v>
          </cell>
        </row>
        <row r="7929">
          <cell r="C7929" t="str">
            <v>QAX8B76</v>
          </cell>
          <cell r="D7929" t="str">
            <v>QAX8B76</v>
          </cell>
        </row>
        <row r="7930">
          <cell r="C7930" t="str">
            <v>QAY3B07</v>
          </cell>
          <cell r="D7930" t="str">
            <v>QAY3B07</v>
          </cell>
        </row>
        <row r="7931">
          <cell r="C7931" t="str">
            <v>QAY1753</v>
          </cell>
          <cell r="D7931" t="str">
            <v>QAY1753</v>
          </cell>
        </row>
        <row r="7932">
          <cell r="C7932" t="str">
            <v>QAY2E55</v>
          </cell>
          <cell r="D7932" t="str">
            <v>QAY2E55</v>
          </cell>
        </row>
        <row r="7933">
          <cell r="C7933" t="str">
            <v>QAY2E56</v>
          </cell>
          <cell r="D7933" t="str">
            <v>QAY2E56</v>
          </cell>
        </row>
        <row r="7934">
          <cell r="C7934" t="str">
            <v>QAY3161</v>
          </cell>
          <cell r="D7934" t="str">
            <v>QAY3161</v>
          </cell>
        </row>
        <row r="7935">
          <cell r="C7935" t="str">
            <v>QAY3H48</v>
          </cell>
          <cell r="D7935" t="str">
            <v>QAY3H48</v>
          </cell>
        </row>
        <row r="7936">
          <cell r="C7936" t="str">
            <v>QAY3I58</v>
          </cell>
          <cell r="D7936" t="str">
            <v>QAY3I58</v>
          </cell>
        </row>
        <row r="7937">
          <cell r="C7937" t="str">
            <v>QAY3I60</v>
          </cell>
          <cell r="D7937" t="str">
            <v>QAY3I60</v>
          </cell>
        </row>
        <row r="7938">
          <cell r="C7938" t="str">
            <v>QAY3I61</v>
          </cell>
          <cell r="D7938" t="str">
            <v>QAY3I61</v>
          </cell>
        </row>
        <row r="7939">
          <cell r="C7939" t="str">
            <v>QAY4G24</v>
          </cell>
          <cell r="D7939" t="str">
            <v>QAY4G24</v>
          </cell>
        </row>
        <row r="7940">
          <cell r="C7940" t="str">
            <v>QAY4G62</v>
          </cell>
          <cell r="D7940" t="str">
            <v>QAY4G62</v>
          </cell>
        </row>
        <row r="7941">
          <cell r="C7941" t="str">
            <v>QAY5A49</v>
          </cell>
          <cell r="D7941" t="str">
            <v>QAY5A49</v>
          </cell>
        </row>
        <row r="7942">
          <cell r="C7942" t="str">
            <v>QAY5D45</v>
          </cell>
          <cell r="D7942" t="str">
            <v>QAY5D45</v>
          </cell>
        </row>
        <row r="7943">
          <cell r="C7943" t="str">
            <v>QAY8C39</v>
          </cell>
          <cell r="D7943" t="str">
            <v>QAY8C39</v>
          </cell>
        </row>
        <row r="7944">
          <cell r="C7944" t="str">
            <v>QAY9B21</v>
          </cell>
          <cell r="D7944" t="str">
            <v>QAY9B21</v>
          </cell>
        </row>
        <row r="7945">
          <cell r="C7945" t="str">
            <v>QAY9B22</v>
          </cell>
          <cell r="D7945" t="str">
            <v>QAY9B22</v>
          </cell>
        </row>
        <row r="7946">
          <cell r="C7946" t="str">
            <v>QAY9B23</v>
          </cell>
          <cell r="D7946" t="str">
            <v>QAY9B23</v>
          </cell>
        </row>
        <row r="7947">
          <cell r="C7947" t="str">
            <v>QAY9B26</v>
          </cell>
          <cell r="D7947" t="str">
            <v>QAY9B26</v>
          </cell>
        </row>
        <row r="7948">
          <cell r="C7948" t="str">
            <v>QAY9B29</v>
          </cell>
          <cell r="D7948" t="str">
            <v>QAY9B29</v>
          </cell>
        </row>
        <row r="7949">
          <cell r="C7949" t="str">
            <v>QAZ0114</v>
          </cell>
          <cell r="D7949" t="str">
            <v>QAZ0114</v>
          </cell>
        </row>
        <row r="7950">
          <cell r="C7950" t="str">
            <v>QAZ2F03</v>
          </cell>
          <cell r="D7950" t="str">
            <v>QAZ2F03</v>
          </cell>
        </row>
        <row r="7951">
          <cell r="C7951" t="str">
            <v>QAZ5D35</v>
          </cell>
          <cell r="D7951" t="str">
            <v>QAZ5D35</v>
          </cell>
        </row>
        <row r="7952">
          <cell r="C7952" t="str">
            <v>QBC6856</v>
          </cell>
          <cell r="D7952" t="str">
            <v>QBC6856</v>
          </cell>
        </row>
        <row r="7953">
          <cell r="C7953" t="str">
            <v>QBD7855</v>
          </cell>
          <cell r="D7953" t="str">
            <v>QBD7855</v>
          </cell>
        </row>
        <row r="7954">
          <cell r="C7954" t="str">
            <v>QBE2086</v>
          </cell>
          <cell r="D7954" t="str">
            <v>QBE2086</v>
          </cell>
        </row>
        <row r="7955">
          <cell r="C7955" t="str">
            <v>QBH0H60</v>
          </cell>
          <cell r="D7955" t="str">
            <v>QBH0H60</v>
          </cell>
        </row>
        <row r="7956">
          <cell r="C7956" t="str">
            <v>QBL0G00</v>
          </cell>
          <cell r="D7956" t="str">
            <v>QBL0G00</v>
          </cell>
        </row>
        <row r="7957">
          <cell r="C7957" t="str">
            <v>QBM0G00</v>
          </cell>
          <cell r="D7957" t="str">
            <v>QBM0G00</v>
          </cell>
        </row>
        <row r="7958">
          <cell r="C7958" t="str">
            <v>QBN0G00</v>
          </cell>
          <cell r="D7958" t="str">
            <v>QBN0G00</v>
          </cell>
        </row>
        <row r="7959">
          <cell r="C7959" t="str">
            <v>QBR3E52</v>
          </cell>
          <cell r="D7959" t="str">
            <v>QBR3E52</v>
          </cell>
        </row>
        <row r="7960">
          <cell r="C7960" t="str">
            <v>QCE7E14</v>
          </cell>
          <cell r="D7960" t="str">
            <v>QCE7E14</v>
          </cell>
        </row>
        <row r="7961">
          <cell r="C7961" t="str">
            <v>QCE7E34</v>
          </cell>
          <cell r="D7961" t="str">
            <v>QCE7E34</v>
          </cell>
        </row>
        <row r="7962">
          <cell r="C7962" t="str">
            <v>QDS1020</v>
          </cell>
          <cell r="D7962" t="str">
            <v>QDS1020</v>
          </cell>
        </row>
        <row r="7963">
          <cell r="C7963" t="str">
            <v>QDV0F62</v>
          </cell>
          <cell r="D7963" t="str">
            <v>QDV0F62</v>
          </cell>
        </row>
        <row r="7964">
          <cell r="C7964" t="str">
            <v>QG5I20</v>
          </cell>
          <cell r="D7964" t="str">
            <v xml:space="preserve">QG5I20 </v>
          </cell>
        </row>
        <row r="7965">
          <cell r="C7965" t="str">
            <v>QHA8315</v>
          </cell>
          <cell r="D7965" t="str">
            <v>QHA8315</v>
          </cell>
        </row>
        <row r="7966">
          <cell r="C7966" t="str">
            <v>QHL5D62</v>
          </cell>
          <cell r="D7966" t="str">
            <v>QHL5D62</v>
          </cell>
        </row>
        <row r="7967">
          <cell r="C7967" t="str">
            <v>QHM4993</v>
          </cell>
          <cell r="D7967" t="str">
            <v>QHM4993</v>
          </cell>
        </row>
        <row r="7968">
          <cell r="C7968" t="str">
            <v>QHM6485</v>
          </cell>
          <cell r="D7968" t="str">
            <v>QHM6485</v>
          </cell>
        </row>
        <row r="7969">
          <cell r="C7969" t="str">
            <v>QHN0F32</v>
          </cell>
          <cell r="D7969" t="str">
            <v>QHN0F32</v>
          </cell>
        </row>
        <row r="7970">
          <cell r="C7970" t="str">
            <v>QHN0F42</v>
          </cell>
          <cell r="D7970" t="str">
            <v>QHN0F42</v>
          </cell>
        </row>
        <row r="7971">
          <cell r="C7971" t="str">
            <v>QHN6943</v>
          </cell>
          <cell r="D7971" t="str">
            <v>QHN6943</v>
          </cell>
        </row>
        <row r="7972">
          <cell r="C7972" t="str">
            <v>QHV2148</v>
          </cell>
          <cell r="D7972" t="str">
            <v>QHV2148</v>
          </cell>
        </row>
        <row r="7973">
          <cell r="C7973" t="str">
            <v>QHV7C95</v>
          </cell>
          <cell r="D7973" t="str">
            <v>QHV7C95</v>
          </cell>
        </row>
        <row r="7974">
          <cell r="C7974" t="str">
            <v>QHV7D05</v>
          </cell>
          <cell r="D7974" t="str">
            <v>QHV7D05</v>
          </cell>
        </row>
        <row r="7975">
          <cell r="C7975" t="str">
            <v>QIK4206</v>
          </cell>
          <cell r="D7975" t="str">
            <v>QIK4206</v>
          </cell>
        </row>
        <row r="7976">
          <cell r="C7976" t="str">
            <v>QIM3F77</v>
          </cell>
          <cell r="D7976" t="str">
            <v>QIM3F77</v>
          </cell>
        </row>
        <row r="7977">
          <cell r="C7977" t="str">
            <v>QIS0E42</v>
          </cell>
          <cell r="D7977" t="str">
            <v>QIS0E42</v>
          </cell>
        </row>
        <row r="7978">
          <cell r="C7978" t="str">
            <v>QJH2G33</v>
          </cell>
          <cell r="D7978" t="str">
            <v>QJH2G33</v>
          </cell>
        </row>
        <row r="7979">
          <cell r="C7979" t="str">
            <v>QJH4793</v>
          </cell>
          <cell r="D7979" t="str">
            <v>QJH4793</v>
          </cell>
        </row>
        <row r="7980">
          <cell r="C7980" t="str">
            <v>QJH4843</v>
          </cell>
          <cell r="D7980" t="str">
            <v>QJH4843</v>
          </cell>
        </row>
        <row r="7981">
          <cell r="C7981" t="str">
            <v>QJH4896</v>
          </cell>
          <cell r="D7981" t="str">
            <v>QJH4896</v>
          </cell>
        </row>
        <row r="7982">
          <cell r="C7982" t="str">
            <v>QJO9H56</v>
          </cell>
          <cell r="D7982" t="str">
            <v>QJO9H56</v>
          </cell>
        </row>
        <row r="7983">
          <cell r="C7983" t="str">
            <v>QJR6673</v>
          </cell>
          <cell r="D7983" t="str">
            <v>QJR6673</v>
          </cell>
        </row>
        <row r="7984">
          <cell r="C7984" t="str">
            <v>QJT8483</v>
          </cell>
          <cell r="D7984" t="str">
            <v>QJT8483</v>
          </cell>
        </row>
        <row r="7985">
          <cell r="C7985" t="str">
            <v>QKO7728</v>
          </cell>
          <cell r="D7985" t="str">
            <v>QKO7728</v>
          </cell>
        </row>
        <row r="7986">
          <cell r="C7986" t="str">
            <v>QNE5554</v>
          </cell>
          <cell r="D7986" t="str">
            <v>QNE5554</v>
          </cell>
        </row>
        <row r="7987">
          <cell r="C7987" t="str">
            <v>QNV6H88</v>
          </cell>
          <cell r="D7987" t="str">
            <v>QNV6H88</v>
          </cell>
        </row>
        <row r="7988">
          <cell r="C7988" t="str">
            <v>QOE5509</v>
          </cell>
          <cell r="D7988" t="str">
            <v>QOE5509</v>
          </cell>
        </row>
        <row r="7989">
          <cell r="C7989" t="str">
            <v>QOE5511</v>
          </cell>
          <cell r="D7989" t="str">
            <v>QOE5511</v>
          </cell>
        </row>
        <row r="7990">
          <cell r="C7990" t="str">
            <v>QOE5535</v>
          </cell>
          <cell r="D7990" t="str">
            <v>QOE5535</v>
          </cell>
        </row>
        <row r="7991">
          <cell r="C7991" t="str">
            <v>QOG8633</v>
          </cell>
          <cell r="D7991" t="str">
            <v>QOG8633</v>
          </cell>
        </row>
        <row r="7992">
          <cell r="C7992" t="str">
            <v>QOI7037</v>
          </cell>
          <cell r="D7992" t="str">
            <v>QOI7037</v>
          </cell>
        </row>
        <row r="7993">
          <cell r="C7993" t="str">
            <v>QOI7A37</v>
          </cell>
          <cell r="D7993" t="str">
            <v>QOI7A37</v>
          </cell>
        </row>
        <row r="7994">
          <cell r="C7994" t="str">
            <v>QOP5832</v>
          </cell>
          <cell r="D7994" t="str">
            <v>QOP5832</v>
          </cell>
        </row>
        <row r="7995">
          <cell r="C7995" t="str">
            <v>QOT6595</v>
          </cell>
          <cell r="D7995" t="str">
            <v>QOT6595</v>
          </cell>
        </row>
        <row r="7996">
          <cell r="C7996" t="str">
            <v>QPA2702</v>
          </cell>
          <cell r="D7996" t="str">
            <v>QPA2702</v>
          </cell>
        </row>
        <row r="7997">
          <cell r="C7997" t="str">
            <v>QPF7202</v>
          </cell>
          <cell r="D7997" t="str">
            <v>QPF7202</v>
          </cell>
        </row>
        <row r="7998">
          <cell r="C7998" t="str">
            <v>QPF7203</v>
          </cell>
          <cell r="D7998" t="str">
            <v>QPF7203</v>
          </cell>
        </row>
        <row r="7999">
          <cell r="C7999" t="str">
            <v>QPF7204</v>
          </cell>
          <cell r="D7999" t="str">
            <v>QPF7204</v>
          </cell>
        </row>
        <row r="8000">
          <cell r="C8000" t="str">
            <v>QPF7205</v>
          </cell>
          <cell r="D8000" t="str">
            <v>QPF7205</v>
          </cell>
        </row>
        <row r="8001">
          <cell r="C8001" t="str">
            <v>QPJ9678</v>
          </cell>
          <cell r="D8001" t="str">
            <v>QPJ9678</v>
          </cell>
        </row>
        <row r="8002">
          <cell r="C8002" t="str">
            <v>QPW4416</v>
          </cell>
          <cell r="D8002" t="str">
            <v>QPW4416</v>
          </cell>
        </row>
        <row r="8003">
          <cell r="C8003" t="str">
            <v>QQC6C28</v>
          </cell>
          <cell r="D8003" t="str">
            <v>QQC6C28</v>
          </cell>
        </row>
        <row r="8004">
          <cell r="C8004" t="str">
            <v>QQN7401</v>
          </cell>
          <cell r="D8004" t="str">
            <v>QQN7401</v>
          </cell>
        </row>
        <row r="8005">
          <cell r="C8005" t="str">
            <v>QQN7402</v>
          </cell>
          <cell r="D8005" t="str">
            <v>QQN7402</v>
          </cell>
        </row>
        <row r="8006">
          <cell r="C8006" t="str">
            <v>QQV5501</v>
          </cell>
          <cell r="D8006" t="str">
            <v>QQV5501</v>
          </cell>
        </row>
        <row r="8007">
          <cell r="C8007" t="str">
            <v>QQV5502</v>
          </cell>
          <cell r="D8007" t="str">
            <v>QQV5502</v>
          </cell>
        </row>
        <row r="8008">
          <cell r="C8008" t="str">
            <v>QQZ7506</v>
          </cell>
          <cell r="D8008" t="str">
            <v>QQZ7506</v>
          </cell>
        </row>
        <row r="8009">
          <cell r="C8009" t="str">
            <v>QQZ7517</v>
          </cell>
          <cell r="D8009" t="str">
            <v>QQZ7517</v>
          </cell>
        </row>
        <row r="8010">
          <cell r="C8010" t="str">
            <v>QRD4538</v>
          </cell>
          <cell r="D8010" t="str">
            <v>QRD4538</v>
          </cell>
        </row>
        <row r="8011">
          <cell r="C8011" t="str">
            <v>QRG8G35</v>
          </cell>
          <cell r="D8011" t="str">
            <v>QRG8G35</v>
          </cell>
        </row>
        <row r="8012">
          <cell r="C8012" t="str">
            <v>QRH1J20</v>
          </cell>
          <cell r="D8012" t="str">
            <v>QRH1J20</v>
          </cell>
        </row>
        <row r="8013">
          <cell r="C8013" t="str">
            <v>QRJ2C84</v>
          </cell>
          <cell r="D8013" t="str">
            <v>QRJ2C84</v>
          </cell>
        </row>
        <row r="8014">
          <cell r="C8014" t="str">
            <v>QRS6E85</v>
          </cell>
          <cell r="D8014" t="str">
            <v>QRS6E85</v>
          </cell>
        </row>
        <row r="8015">
          <cell r="C8015" t="str">
            <v>QTL1F12</v>
          </cell>
          <cell r="D8015" t="str">
            <v>QTL1F12</v>
          </cell>
        </row>
        <row r="8016">
          <cell r="C8016" t="str">
            <v>QTL1F52</v>
          </cell>
          <cell r="D8016" t="str">
            <v>QTL1F52</v>
          </cell>
        </row>
        <row r="8017">
          <cell r="C8017" t="str">
            <v>QUA8F46</v>
          </cell>
          <cell r="D8017" t="str">
            <v>QUA8F46</v>
          </cell>
        </row>
        <row r="8018">
          <cell r="C8018" t="str">
            <v>QUB7539</v>
          </cell>
          <cell r="D8018" t="str">
            <v>QUB7539</v>
          </cell>
        </row>
        <row r="8019">
          <cell r="C8019" t="str">
            <v>QUB7540</v>
          </cell>
          <cell r="D8019" t="str">
            <v>QUB7540</v>
          </cell>
        </row>
        <row r="8020">
          <cell r="C8020" t="str">
            <v>QUB7542</v>
          </cell>
          <cell r="D8020" t="str">
            <v>QUB7542</v>
          </cell>
        </row>
        <row r="8021">
          <cell r="C8021" t="str">
            <v>QUM9539</v>
          </cell>
          <cell r="D8021" t="str">
            <v>QUM9539</v>
          </cell>
        </row>
        <row r="8022">
          <cell r="C8022" t="str">
            <v>QUS7411</v>
          </cell>
          <cell r="D8022" t="str">
            <v>QUS7411</v>
          </cell>
        </row>
        <row r="8023">
          <cell r="C8023" t="str">
            <v>QUS7415</v>
          </cell>
          <cell r="D8023" t="str">
            <v>QUS7415</v>
          </cell>
        </row>
        <row r="8024">
          <cell r="C8024" t="str">
            <v>QUS7420</v>
          </cell>
          <cell r="D8024" t="str">
            <v>QUS7420</v>
          </cell>
        </row>
        <row r="8025">
          <cell r="C8025" t="str">
            <v>QUY6B10</v>
          </cell>
          <cell r="D8025" t="str">
            <v>QUY6B10</v>
          </cell>
        </row>
        <row r="8026">
          <cell r="C8026" t="str">
            <v>QVT0466</v>
          </cell>
          <cell r="D8026" t="str">
            <v>QVT0466</v>
          </cell>
        </row>
        <row r="8027">
          <cell r="C8027" t="str">
            <v>QWV9482</v>
          </cell>
          <cell r="D8027" t="str">
            <v>QWV9482</v>
          </cell>
        </row>
        <row r="8028">
          <cell r="C8028" t="str">
            <v>QWW7512</v>
          </cell>
          <cell r="D8028" t="str">
            <v>QWW7512</v>
          </cell>
        </row>
        <row r="8029">
          <cell r="C8029" t="str">
            <v>QXH5997</v>
          </cell>
          <cell r="D8029" t="str">
            <v>QXH5997</v>
          </cell>
        </row>
        <row r="8030">
          <cell r="C8030" t="str">
            <v>QXR4J43</v>
          </cell>
          <cell r="D8030" t="str">
            <v>QXR4J43</v>
          </cell>
        </row>
        <row r="8031">
          <cell r="C8031" t="str">
            <v>RAF1J13</v>
          </cell>
          <cell r="D8031" t="str">
            <v>RAF1J13</v>
          </cell>
        </row>
        <row r="8032">
          <cell r="C8032" t="str">
            <v>AZP9601</v>
          </cell>
          <cell r="D8032" t="str">
            <v>AZP9601</v>
          </cell>
        </row>
        <row r="8033">
          <cell r="C8033" t="str">
            <v>EPU1050</v>
          </cell>
          <cell r="D8033" t="str">
            <v>EPU1050</v>
          </cell>
        </row>
        <row r="8034">
          <cell r="C8034" t="str">
            <v>FJX5151</v>
          </cell>
          <cell r="D8034" t="str">
            <v>FJX5151</v>
          </cell>
        </row>
        <row r="8035">
          <cell r="C8035" t="str">
            <v>FJX5150</v>
          </cell>
          <cell r="D8035" t="str">
            <v>FJX5150</v>
          </cell>
        </row>
        <row r="8036">
          <cell r="C8036" t="str">
            <v>RBB8E98</v>
          </cell>
          <cell r="D8036" t="str">
            <v>RBB8E98</v>
          </cell>
        </row>
        <row r="8037">
          <cell r="C8037" t="str">
            <v>RBG1J64</v>
          </cell>
          <cell r="D8037" t="str">
            <v>RBG1J64</v>
          </cell>
        </row>
        <row r="8038">
          <cell r="C8038" t="str">
            <v>RDY2J85</v>
          </cell>
          <cell r="D8038" t="str">
            <v>RDY2J85</v>
          </cell>
        </row>
        <row r="8039">
          <cell r="C8039" t="str">
            <v>BWJ9737</v>
          </cell>
          <cell r="D8039" t="str">
            <v>BWJ9737</v>
          </cell>
        </row>
        <row r="8040">
          <cell r="C8040" t="str">
            <v>LQF8849</v>
          </cell>
          <cell r="D8040" t="str">
            <v>LQF8849</v>
          </cell>
        </row>
        <row r="8041">
          <cell r="C8041" t="str">
            <v>BXE2500</v>
          </cell>
          <cell r="D8041" t="str">
            <v>BXE2500</v>
          </cell>
        </row>
        <row r="8042">
          <cell r="C8042" t="str">
            <v>REM0I57</v>
          </cell>
          <cell r="D8042" t="str">
            <v>REM0I57</v>
          </cell>
        </row>
        <row r="8043">
          <cell r="C8043" t="str">
            <v>ABF0259</v>
          </cell>
          <cell r="D8043" t="str">
            <v>ABF0259</v>
          </cell>
        </row>
        <row r="8044">
          <cell r="C8044" t="str">
            <v>AYD1620</v>
          </cell>
          <cell r="D8044" t="str">
            <v>AYD1620</v>
          </cell>
        </row>
        <row r="8045">
          <cell r="C8045" t="str">
            <v>REW2F95</v>
          </cell>
          <cell r="D8045" t="str">
            <v>REW2F95</v>
          </cell>
        </row>
        <row r="8046">
          <cell r="C8046" t="str">
            <v>REW9023</v>
          </cell>
          <cell r="D8046" t="str">
            <v>REW9023</v>
          </cell>
        </row>
        <row r="8047">
          <cell r="C8047" t="str">
            <v>REW9H16</v>
          </cell>
          <cell r="D8047" t="str">
            <v>REW9H16</v>
          </cell>
        </row>
        <row r="8048">
          <cell r="C8048" t="str">
            <v>REW9H23</v>
          </cell>
          <cell r="D8048" t="str">
            <v>REW9H23</v>
          </cell>
        </row>
        <row r="8049">
          <cell r="C8049" t="str">
            <v>REZ0F37</v>
          </cell>
          <cell r="D8049" t="str">
            <v>REZ0F37</v>
          </cell>
        </row>
        <row r="8050">
          <cell r="C8050" t="str">
            <v>REZ1D34</v>
          </cell>
          <cell r="D8050" t="str">
            <v>REZ1D34</v>
          </cell>
        </row>
        <row r="8051">
          <cell r="C8051" t="str">
            <v>REZ1H24</v>
          </cell>
          <cell r="D8051" t="str">
            <v>REZ1H24</v>
          </cell>
        </row>
        <row r="8052">
          <cell r="C8052" t="str">
            <v>RFO5B04</v>
          </cell>
          <cell r="D8052" t="str">
            <v>RFO5B04</v>
          </cell>
        </row>
        <row r="8053">
          <cell r="C8053" t="str">
            <v>RFV8E28</v>
          </cell>
          <cell r="D8053" t="str">
            <v>RFV8E28</v>
          </cell>
        </row>
        <row r="8054">
          <cell r="C8054" t="str">
            <v>RHE4E53</v>
          </cell>
          <cell r="D8054" t="str">
            <v>RHE4E53</v>
          </cell>
        </row>
        <row r="8055">
          <cell r="C8055" t="str">
            <v>RHE9A22</v>
          </cell>
          <cell r="D8055" t="str">
            <v>RHE9A22</v>
          </cell>
        </row>
        <row r="8056">
          <cell r="C8056" t="str">
            <v>RHM1C05</v>
          </cell>
          <cell r="D8056" t="str">
            <v>RHM1C05</v>
          </cell>
        </row>
        <row r="8057">
          <cell r="C8057" t="str">
            <v>ABY4636</v>
          </cell>
          <cell r="D8057" t="str">
            <v>ABY4636</v>
          </cell>
        </row>
        <row r="8058">
          <cell r="C8058" t="str">
            <v>AKP6446</v>
          </cell>
          <cell r="D8058" t="str">
            <v>AKP6446</v>
          </cell>
        </row>
        <row r="8059">
          <cell r="C8059" t="str">
            <v>MDI2988</v>
          </cell>
          <cell r="D8059" t="str">
            <v>MDI2988</v>
          </cell>
        </row>
        <row r="8060">
          <cell r="C8060" t="str">
            <v>RLH6A75</v>
          </cell>
          <cell r="D8060" t="str">
            <v>RLH6A75</v>
          </cell>
        </row>
        <row r="8061">
          <cell r="C8061" t="str">
            <v>RMF3J47</v>
          </cell>
          <cell r="D8061" t="str">
            <v>RMF3J47</v>
          </cell>
        </row>
        <row r="8062">
          <cell r="C8062" t="str">
            <v>RMK9E93</v>
          </cell>
          <cell r="D8062" t="str">
            <v>RMK9E93</v>
          </cell>
        </row>
        <row r="8063">
          <cell r="C8063" t="str">
            <v>RNG4G10</v>
          </cell>
          <cell r="D8063" t="str">
            <v>RNG4G10</v>
          </cell>
        </row>
        <row r="8064">
          <cell r="C8064" t="str">
            <v>BWK3317</v>
          </cell>
          <cell r="D8064" t="str">
            <v>BWK3317</v>
          </cell>
        </row>
        <row r="8065">
          <cell r="C8065" t="str">
            <v>GPC9567</v>
          </cell>
          <cell r="D8065" t="str">
            <v>GPC9567</v>
          </cell>
        </row>
        <row r="8066">
          <cell r="C8066" t="str">
            <v>BSG6590</v>
          </cell>
          <cell r="D8066" t="str">
            <v>BSG6590</v>
          </cell>
        </row>
        <row r="8067">
          <cell r="C8067" t="str">
            <v>BBC4981</v>
          </cell>
          <cell r="D8067" t="str">
            <v>BBC4981</v>
          </cell>
        </row>
        <row r="8068">
          <cell r="C8068" t="str">
            <v>OXL6287</v>
          </cell>
          <cell r="D8068" t="str">
            <v>OXL6287</v>
          </cell>
        </row>
        <row r="8069">
          <cell r="C8069" t="str">
            <v>ROC 001</v>
          </cell>
          <cell r="D8069">
            <v>31</v>
          </cell>
        </row>
        <row r="8070">
          <cell r="C8070" t="str">
            <v>CUD2338</v>
          </cell>
          <cell r="D8070" t="str">
            <v>CUD2338</v>
          </cell>
        </row>
        <row r="8071">
          <cell r="C8071" t="str">
            <v>BWY2110</v>
          </cell>
          <cell r="D8071" t="str">
            <v>BWY2110</v>
          </cell>
        </row>
        <row r="8072">
          <cell r="C8072" t="str">
            <v>HOA1624</v>
          </cell>
          <cell r="D8072" t="str">
            <v>HOA1624</v>
          </cell>
        </row>
        <row r="8073">
          <cell r="C8073" t="str">
            <v>QBW3630</v>
          </cell>
          <cell r="D8073" t="str">
            <v>QBW3630</v>
          </cell>
        </row>
        <row r="8074">
          <cell r="C8074" t="str">
            <v>AUU8166</v>
          </cell>
          <cell r="D8074" t="str">
            <v>AUU8166</v>
          </cell>
        </row>
        <row r="8075">
          <cell r="C8075" t="str">
            <v>MTH0528</v>
          </cell>
          <cell r="D8075" t="str">
            <v>MTH0528</v>
          </cell>
        </row>
        <row r="8076">
          <cell r="C8076" t="str">
            <v>IJW0663</v>
          </cell>
          <cell r="D8076" t="str">
            <v>IJW0663</v>
          </cell>
        </row>
        <row r="8077">
          <cell r="C8077" t="str">
            <v>RQM6B49</v>
          </cell>
          <cell r="D8077" t="str">
            <v>RQM6B49</v>
          </cell>
        </row>
        <row r="8078">
          <cell r="C8078" t="str">
            <v>RUS4J68</v>
          </cell>
          <cell r="D8078" t="str">
            <v>RUS4J68</v>
          </cell>
        </row>
        <row r="8079">
          <cell r="C8079" t="str">
            <v>RWA5H57</v>
          </cell>
          <cell r="D8079" t="str">
            <v>RWA5H57</v>
          </cell>
        </row>
        <row r="8080">
          <cell r="C8080" t="str">
            <v>RWB7H56</v>
          </cell>
          <cell r="D8080" t="str">
            <v>RWB7H56</v>
          </cell>
        </row>
        <row r="8081">
          <cell r="C8081" t="str">
            <v>RWD4E97</v>
          </cell>
          <cell r="D8081" t="str">
            <v>RWD4E97</v>
          </cell>
        </row>
        <row r="8082">
          <cell r="C8082" t="str">
            <v>RXO6D14</v>
          </cell>
          <cell r="D8082" t="str">
            <v>RXO6D14</v>
          </cell>
        </row>
        <row r="8083">
          <cell r="C8083" t="str">
            <v>RXR2G66</v>
          </cell>
          <cell r="D8083" t="str">
            <v>RXR2G66</v>
          </cell>
        </row>
        <row r="8084">
          <cell r="C8084" t="str">
            <v>RYE7C29</v>
          </cell>
          <cell r="D8084" t="str">
            <v>RYE7C29</v>
          </cell>
        </row>
        <row r="8085">
          <cell r="C8085" t="str">
            <v>RYI7I31</v>
          </cell>
          <cell r="D8085" t="str">
            <v>RYI7I31</v>
          </cell>
        </row>
        <row r="8086">
          <cell r="C8086" t="str">
            <v>RYY6E12</v>
          </cell>
          <cell r="D8086" t="str">
            <v>RYY6E12</v>
          </cell>
        </row>
        <row r="8087">
          <cell r="C8087" t="str">
            <v>KEU1030</v>
          </cell>
          <cell r="D8087" t="str">
            <v>KEU1030</v>
          </cell>
        </row>
        <row r="8088">
          <cell r="C8088" t="str">
            <v>SBW5E26</v>
          </cell>
          <cell r="D8088" t="str">
            <v>SBW5E26</v>
          </cell>
        </row>
        <row r="8089">
          <cell r="C8089" t="str">
            <v>SEQ4B03</v>
          </cell>
          <cell r="D8089" t="str">
            <v>SEQ4B03</v>
          </cell>
        </row>
        <row r="8090">
          <cell r="C8090" t="str">
            <v>SEY2A32</v>
          </cell>
          <cell r="D8090" t="str">
            <v>SEY2A32</v>
          </cell>
        </row>
        <row r="8091">
          <cell r="C8091" t="str">
            <v>SFP2J93</v>
          </cell>
          <cell r="D8091" t="str">
            <v>SFP2J93</v>
          </cell>
        </row>
        <row r="8092">
          <cell r="C8092" t="str">
            <v>AXF5407</v>
          </cell>
          <cell r="D8092" t="str">
            <v>AXF5407</v>
          </cell>
        </row>
        <row r="8093">
          <cell r="C8093" t="str">
            <v>HQN7245</v>
          </cell>
          <cell r="D8093" t="str">
            <v>HQN7245</v>
          </cell>
        </row>
        <row r="8094">
          <cell r="C8094" t="str">
            <v>HZC3636</v>
          </cell>
          <cell r="D8094" t="str">
            <v>HZC3636</v>
          </cell>
        </row>
        <row r="8095">
          <cell r="C8095" t="str">
            <v>MMJ3077</v>
          </cell>
          <cell r="D8095" t="str">
            <v>MMJ3077</v>
          </cell>
        </row>
        <row r="8096">
          <cell r="C8096" t="str">
            <v>DVS1129</v>
          </cell>
          <cell r="D8096" t="str">
            <v>DVS1129</v>
          </cell>
        </row>
        <row r="8097">
          <cell r="C8097" t="str">
            <v>CUE4197</v>
          </cell>
          <cell r="D8097" t="str">
            <v>CUE4197</v>
          </cell>
        </row>
        <row r="8098">
          <cell r="C8098" t="str">
            <v>STF9C60</v>
          </cell>
          <cell r="D8098" t="str">
            <v>STF9C60</v>
          </cell>
        </row>
        <row r="8099">
          <cell r="C8099" t="str">
            <v>SUE1E15</v>
          </cell>
          <cell r="D8099" t="str">
            <v>SUE1E15</v>
          </cell>
        </row>
        <row r="8100">
          <cell r="C8100" t="str">
            <v>SUH7G32</v>
          </cell>
          <cell r="D8100" t="str">
            <v>SUH7G32</v>
          </cell>
        </row>
        <row r="8101">
          <cell r="C8101" t="str">
            <v>TAHQA78</v>
          </cell>
          <cell r="D8101" t="str">
            <v>TAHQA78</v>
          </cell>
        </row>
        <row r="8102">
          <cell r="C8102" t="str">
            <v>TNQ 0001</v>
          </cell>
          <cell r="D8102">
            <v>2</v>
          </cell>
        </row>
        <row r="8103">
          <cell r="C8103" t="str">
            <v>OVL7131</v>
          </cell>
          <cell r="D8103" t="str">
            <v>OVL7131</v>
          </cell>
        </row>
        <row r="8104">
          <cell r="C8104" t="str">
            <v>BYE2834</v>
          </cell>
          <cell r="D8104" t="str">
            <v>BYE2834</v>
          </cell>
        </row>
        <row r="8105">
          <cell r="C8105" t="str">
            <v>LQY7870</v>
          </cell>
          <cell r="D8105" t="str">
            <v>LQY7870</v>
          </cell>
        </row>
        <row r="8106">
          <cell r="C8106" t="str">
            <v>MTX4310</v>
          </cell>
          <cell r="D8106" t="str">
            <v>MTX4310</v>
          </cell>
        </row>
        <row r="8107">
          <cell r="C8107" t="str">
            <v>OUI5846</v>
          </cell>
          <cell r="D8107" t="str">
            <v>OUI5846</v>
          </cell>
        </row>
        <row r="8108">
          <cell r="C8108" t="str">
            <v>EWU6220</v>
          </cell>
          <cell r="D8108">
            <v>13</v>
          </cell>
        </row>
        <row r="8109">
          <cell r="C8109" t="str">
            <v>EJV2533</v>
          </cell>
          <cell r="D8109" t="str">
            <v>EJV2533</v>
          </cell>
        </row>
        <row r="8110">
          <cell r="C8110" t="str">
            <v>EVO5486</v>
          </cell>
          <cell r="D8110" t="str">
            <v>EVO5486</v>
          </cell>
        </row>
        <row r="8111">
          <cell r="C8111" t="str">
            <v>AUA7844</v>
          </cell>
          <cell r="D8111" t="str">
            <v>AUA7844</v>
          </cell>
        </row>
        <row r="8112">
          <cell r="C8112" t="str">
            <v>IEM6240</v>
          </cell>
          <cell r="D8112" t="str">
            <v>IEM6240</v>
          </cell>
        </row>
        <row r="8113">
          <cell r="C8113" t="str">
            <v>BSG9961</v>
          </cell>
          <cell r="D8113" t="str">
            <v>BSG9961</v>
          </cell>
        </row>
        <row r="8114">
          <cell r="C8114" t="str">
            <v>DAH9120</v>
          </cell>
          <cell r="D8114" t="str">
            <v>DAH9120</v>
          </cell>
        </row>
        <row r="8115">
          <cell r="C8115" t="str">
            <v>CLU5601</v>
          </cell>
          <cell r="D8115" t="str">
            <v>CLU5601</v>
          </cell>
        </row>
        <row r="8116">
          <cell r="C8116" t="str">
            <v>CLU56011</v>
          </cell>
          <cell r="D8116">
            <v>17</v>
          </cell>
        </row>
        <row r="8117">
          <cell r="C8117" t="str">
            <v>AKH6731</v>
          </cell>
          <cell r="D8117" t="str">
            <v>AKH6731</v>
          </cell>
        </row>
        <row r="8118">
          <cell r="C8118" t="str">
            <v>AKH67311</v>
          </cell>
          <cell r="D8118">
            <v>21</v>
          </cell>
        </row>
        <row r="8119">
          <cell r="C8119" t="str">
            <v>DBM3272</v>
          </cell>
          <cell r="D8119" t="str">
            <v>DBM3272</v>
          </cell>
        </row>
        <row r="8120">
          <cell r="C8120" t="str">
            <v>BWQ6739</v>
          </cell>
          <cell r="D8120" t="str">
            <v>BWQ6739</v>
          </cell>
        </row>
        <row r="8121">
          <cell r="C8121" t="str">
            <v>CPI91244</v>
          </cell>
          <cell r="D8121">
            <v>16</v>
          </cell>
        </row>
        <row r="8122">
          <cell r="C8122" t="str">
            <v>CUE5159</v>
          </cell>
          <cell r="D8122" t="str">
            <v>CUE5159</v>
          </cell>
        </row>
        <row r="8123">
          <cell r="C8123" t="str">
            <v>CUE5002</v>
          </cell>
          <cell r="D8123" t="str">
            <v>CUE5002</v>
          </cell>
        </row>
        <row r="8124">
          <cell r="C8124" t="str">
            <v>CUE4393</v>
          </cell>
          <cell r="D8124" t="str">
            <v>CUE4393</v>
          </cell>
        </row>
        <row r="8125">
          <cell r="C8125" t="str">
            <v>CUE43933</v>
          </cell>
          <cell r="D8125">
            <v>22</v>
          </cell>
        </row>
        <row r="8126">
          <cell r="C8126" t="str">
            <v>DAO3568</v>
          </cell>
          <cell r="D8126" t="str">
            <v>DAO3568</v>
          </cell>
        </row>
        <row r="8127">
          <cell r="C8127" t="str">
            <v>HQN9056</v>
          </cell>
          <cell r="D8127" t="str">
            <v>HQN9056</v>
          </cell>
        </row>
        <row r="8128">
          <cell r="C8128" t="str">
            <v>DJF1192</v>
          </cell>
          <cell r="D8128" t="str">
            <v>DJF1192</v>
          </cell>
        </row>
        <row r="8129">
          <cell r="C8129" t="str">
            <v>HBS5634</v>
          </cell>
          <cell r="D8129" t="str">
            <v>HBS5634</v>
          </cell>
        </row>
        <row r="8130">
          <cell r="C8130" t="str">
            <v>DJB7092</v>
          </cell>
          <cell r="D8130">
            <v>6</v>
          </cell>
        </row>
        <row r="8131">
          <cell r="C8131" t="str">
            <v>BWB7995</v>
          </cell>
          <cell r="D8131" t="str">
            <v>BWB7995</v>
          </cell>
        </row>
        <row r="8132">
          <cell r="C8132" t="str">
            <v>BWT0157</v>
          </cell>
          <cell r="D8132" t="str">
            <v>BWT0157</v>
          </cell>
        </row>
        <row r="8133">
          <cell r="C8133" t="str">
            <v>EQ0007</v>
          </cell>
          <cell r="D8133" t="str">
            <v xml:space="preserve">       </v>
          </cell>
        </row>
        <row r="8134">
          <cell r="C8134" t="str">
            <v>GTI1821</v>
          </cell>
          <cell r="D8134" t="str">
            <v>GTI1821</v>
          </cell>
        </row>
        <row r="8135">
          <cell r="C8135" t="str">
            <v>CPI8934</v>
          </cell>
          <cell r="D8135" t="str">
            <v>CPI8934</v>
          </cell>
        </row>
        <row r="8136">
          <cell r="C8136" t="str">
            <v>DBM3185</v>
          </cell>
          <cell r="D8136" t="str">
            <v>DBM3185</v>
          </cell>
        </row>
        <row r="8137">
          <cell r="C8137" t="str">
            <v>BXJ2677</v>
          </cell>
          <cell r="D8137" t="str">
            <v>BXJ2677</v>
          </cell>
        </row>
        <row r="8138">
          <cell r="C8138" t="str">
            <v>CUE51599</v>
          </cell>
          <cell r="D8138">
            <v>19</v>
          </cell>
        </row>
        <row r="8139">
          <cell r="C8139" t="str">
            <v>CPI9134</v>
          </cell>
          <cell r="D8139" t="str">
            <v>CPI9134</v>
          </cell>
        </row>
        <row r="8140">
          <cell r="C8140" t="str">
            <v>DAO3348</v>
          </cell>
          <cell r="D8140" t="str">
            <v>DAO3348</v>
          </cell>
        </row>
        <row r="8141">
          <cell r="C8141" t="str">
            <v>DAO33488</v>
          </cell>
          <cell r="D8141">
            <v>4</v>
          </cell>
        </row>
        <row r="8142">
          <cell r="C8142" t="str">
            <v>KBM8643</v>
          </cell>
          <cell r="D8142" t="str">
            <v>KBM8643</v>
          </cell>
        </row>
        <row r="8143">
          <cell r="C8143" t="str">
            <v>TYO0H21</v>
          </cell>
          <cell r="D8143" t="str">
            <v>TYO0H21</v>
          </cell>
        </row>
        <row r="8144">
          <cell r="C8144" t="str">
            <v>BXH7779</v>
          </cell>
          <cell r="D8144" t="str">
            <v>BXH7779</v>
          </cell>
        </row>
        <row r="8145">
          <cell r="C8145" t="str">
            <v>HTR8338</v>
          </cell>
          <cell r="D8145" t="str">
            <v>HTR8338</v>
          </cell>
        </row>
        <row r="8146">
          <cell r="C8146" t="str">
            <v>ISO6936</v>
          </cell>
          <cell r="D8146" t="str">
            <v>ISO6936</v>
          </cell>
        </row>
        <row r="8147">
          <cell r="C8147" t="str">
            <v>BEB0977</v>
          </cell>
          <cell r="D8147" t="str">
            <v>BEB0977</v>
          </cell>
        </row>
        <row r="8148">
          <cell r="C8148" t="str">
            <v>AUF0574</v>
          </cell>
          <cell r="D8148" t="str">
            <v>AUF0574</v>
          </cell>
        </row>
        <row r="8149">
          <cell r="C8149" t="str">
            <v>FSZ8309</v>
          </cell>
          <cell r="D8149" t="str">
            <v>FSZ8309</v>
          </cell>
        </row>
        <row r="8150">
          <cell r="C8150" t="str">
            <v>HUQ1280</v>
          </cell>
          <cell r="D8150" t="str">
            <v>HUQ1280</v>
          </cell>
        </row>
        <row r="8151">
          <cell r="C8151" t="str">
            <v>MHU4273</v>
          </cell>
          <cell r="D8151" t="str">
            <v>MHU4273</v>
          </cell>
        </row>
        <row r="8152">
          <cell r="C8152" t="str">
            <v>QJJ1530</v>
          </cell>
          <cell r="D8152" t="str">
            <v>QJJ1530</v>
          </cell>
        </row>
        <row r="8153">
          <cell r="C8153" t="str">
            <v>VAO0133</v>
          </cell>
          <cell r="D8153" t="str">
            <v>VAO0133</v>
          </cell>
        </row>
        <row r="8154">
          <cell r="C8154" t="str">
            <v>MLB0696</v>
          </cell>
          <cell r="D8154" t="str">
            <v>MLB0696</v>
          </cell>
        </row>
        <row r="8155">
          <cell r="C8155" t="str">
            <v>ADA6299</v>
          </cell>
          <cell r="D8155" t="str">
            <v>ADA6299</v>
          </cell>
        </row>
        <row r="8156">
          <cell r="C8156" t="str">
            <v>BQQ8921</v>
          </cell>
          <cell r="D8156" t="str">
            <v>BQQ8921</v>
          </cell>
        </row>
        <row r="8157">
          <cell r="C8157" t="str">
            <v>ADO2031</v>
          </cell>
          <cell r="D8157" t="str">
            <v>ADO2031</v>
          </cell>
        </row>
        <row r="8158">
          <cell r="C8158" t="str">
            <v>ADV7826</v>
          </cell>
          <cell r="D8158" t="str">
            <v>ADV7826</v>
          </cell>
        </row>
        <row r="8159">
          <cell r="C8159" t="str">
            <v>AGG4918</v>
          </cell>
          <cell r="D8159" t="str">
            <v>AGG4918</v>
          </cell>
        </row>
        <row r="8160">
          <cell r="C8160" t="str">
            <v>AII8526</v>
          </cell>
          <cell r="D8160" t="str">
            <v>AII8526</v>
          </cell>
        </row>
        <row r="8161">
          <cell r="C8161" t="str">
            <v>AMM1344</v>
          </cell>
          <cell r="D8161" t="str">
            <v>AMM1344</v>
          </cell>
        </row>
        <row r="8162">
          <cell r="C8162" t="str">
            <v>AMU6111</v>
          </cell>
          <cell r="D8162" t="str">
            <v>AMU6111</v>
          </cell>
        </row>
        <row r="8163">
          <cell r="C8163" t="str">
            <v>AVC6683</v>
          </cell>
          <cell r="D8163" t="str">
            <v>AVC6683</v>
          </cell>
        </row>
        <row r="8164">
          <cell r="C8164" t="str">
            <v>BMO3479</v>
          </cell>
          <cell r="D8164" t="str">
            <v>BMO3479</v>
          </cell>
        </row>
        <row r="8165">
          <cell r="C8165" t="str">
            <v>BTA4060</v>
          </cell>
          <cell r="D8165" t="str">
            <v>BTA4060</v>
          </cell>
        </row>
        <row r="8166">
          <cell r="C8166" t="str">
            <v>BWF4257</v>
          </cell>
          <cell r="D8166" t="str">
            <v>BWF4257</v>
          </cell>
        </row>
        <row r="8167">
          <cell r="C8167" t="str">
            <v>BWJ9780</v>
          </cell>
          <cell r="D8167" t="str">
            <v>BWJ9780</v>
          </cell>
        </row>
        <row r="8168">
          <cell r="C8168" t="str">
            <v>BWT6458</v>
          </cell>
          <cell r="D8168" t="str">
            <v>BWT6458</v>
          </cell>
        </row>
        <row r="8169">
          <cell r="C8169" t="str">
            <v>BWT8668</v>
          </cell>
          <cell r="D8169" t="str">
            <v>BWT8668</v>
          </cell>
        </row>
        <row r="8170">
          <cell r="C8170" t="str">
            <v>CDL7104</v>
          </cell>
          <cell r="D8170" t="str">
            <v>CDL7104</v>
          </cell>
        </row>
        <row r="8171">
          <cell r="C8171" t="str">
            <v>CDM2775</v>
          </cell>
          <cell r="D8171" t="str">
            <v>CDM2775</v>
          </cell>
        </row>
        <row r="8172">
          <cell r="C8172" t="str">
            <v>CIV4145</v>
          </cell>
          <cell r="D8172" t="str">
            <v>CIV4145</v>
          </cell>
        </row>
        <row r="8173">
          <cell r="C8173" t="str">
            <v>CPJ5456</v>
          </cell>
          <cell r="D8173" t="str">
            <v>CPJ5456</v>
          </cell>
        </row>
        <row r="8174">
          <cell r="C8174" t="str">
            <v>CRY5453</v>
          </cell>
          <cell r="D8174" t="str">
            <v>CRY5453</v>
          </cell>
        </row>
        <row r="8175">
          <cell r="C8175" t="str">
            <v>CUB8567</v>
          </cell>
          <cell r="D8175" t="str">
            <v>CUB8567</v>
          </cell>
        </row>
        <row r="8176">
          <cell r="C8176" t="str">
            <v>CUE4912</v>
          </cell>
          <cell r="D8176" t="str">
            <v>CUE4912</v>
          </cell>
        </row>
        <row r="8177">
          <cell r="C8177" t="str">
            <v>DAJ0970</v>
          </cell>
          <cell r="D8177" t="str">
            <v>DAJ0970</v>
          </cell>
        </row>
        <row r="8178">
          <cell r="C8178" t="str">
            <v>DBM2960</v>
          </cell>
          <cell r="D8178" t="str">
            <v>DBM2960</v>
          </cell>
        </row>
        <row r="8179">
          <cell r="C8179" t="str">
            <v>DCY5709</v>
          </cell>
          <cell r="D8179" t="str">
            <v>DCY5709</v>
          </cell>
        </row>
        <row r="8180">
          <cell r="C8180" t="str">
            <v>DFZ4584</v>
          </cell>
          <cell r="D8180" t="str">
            <v>DFZ4584</v>
          </cell>
        </row>
        <row r="8181">
          <cell r="C8181" t="str">
            <v>DVT1521</v>
          </cell>
          <cell r="D8181" t="str">
            <v>DVT1521</v>
          </cell>
        </row>
        <row r="8182">
          <cell r="C8182" t="str">
            <v>EJV5525</v>
          </cell>
          <cell r="D8182" t="str">
            <v>EJV5525</v>
          </cell>
        </row>
        <row r="8183">
          <cell r="C8183" t="str">
            <v>EKH4512</v>
          </cell>
          <cell r="D8183" t="str">
            <v>EKH4512</v>
          </cell>
        </row>
        <row r="8184">
          <cell r="C8184" t="str">
            <v>EVU3317</v>
          </cell>
          <cell r="D8184" t="str">
            <v>EVU3317</v>
          </cell>
        </row>
        <row r="8185">
          <cell r="C8185" t="str">
            <v>FNA8812</v>
          </cell>
          <cell r="D8185" t="str">
            <v>FNA8812</v>
          </cell>
        </row>
        <row r="8186">
          <cell r="C8186" t="str">
            <v>GOV6514</v>
          </cell>
          <cell r="D8186" t="str">
            <v>GOV6514</v>
          </cell>
        </row>
        <row r="8187">
          <cell r="C8187" t="str">
            <v>GRD9794</v>
          </cell>
          <cell r="D8187" t="str">
            <v>GRD9794</v>
          </cell>
        </row>
        <row r="8188">
          <cell r="C8188" t="str">
            <v>GUQ6941</v>
          </cell>
          <cell r="D8188" t="str">
            <v>GUQ6941</v>
          </cell>
        </row>
        <row r="8189">
          <cell r="C8189" t="str">
            <v>HBG5733</v>
          </cell>
          <cell r="D8189" t="str">
            <v>HBG5733</v>
          </cell>
        </row>
        <row r="8190">
          <cell r="C8190" t="str">
            <v>HMD4347</v>
          </cell>
          <cell r="D8190" t="str">
            <v>HMD4347</v>
          </cell>
        </row>
        <row r="8191">
          <cell r="C8191" t="str">
            <v>HQN3368</v>
          </cell>
          <cell r="D8191" t="str">
            <v>HQN3368</v>
          </cell>
        </row>
        <row r="8192">
          <cell r="C8192" t="str">
            <v>HTN7727</v>
          </cell>
          <cell r="D8192" t="str">
            <v>HTN7727</v>
          </cell>
        </row>
        <row r="8193">
          <cell r="C8193" t="str">
            <v>HUC5519</v>
          </cell>
          <cell r="D8193" t="str">
            <v>HUC5519</v>
          </cell>
        </row>
        <row r="8194">
          <cell r="C8194" t="str">
            <v>ICD6262</v>
          </cell>
          <cell r="D8194" t="str">
            <v>ICD6262</v>
          </cell>
        </row>
        <row r="8195">
          <cell r="C8195" t="str">
            <v>IGZ8021</v>
          </cell>
          <cell r="D8195" t="str">
            <v>IGZ8021</v>
          </cell>
        </row>
        <row r="8196">
          <cell r="C8196" t="str">
            <v>JNW9747</v>
          </cell>
          <cell r="D8196" t="str">
            <v>JNW9747</v>
          </cell>
        </row>
        <row r="8197">
          <cell r="C8197" t="str">
            <v>JOC0596</v>
          </cell>
          <cell r="D8197" t="str">
            <v>JOC0596</v>
          </cell>
        </row>
        <row r="8198">
          <cell r="C8198" t="str">
            <v>JOZ5819</v>
          </cell>
          <cell r="D8198" t="str">
            <v>JOZ5819</v>
          </cell>
        </row>
        <row r="8199">
          <cell r="C8199" t="str">
            <v>JQZ1327</v>
          </cell>
          <cell r="D8199" t="str">
            <v>JQZ1327</v>
          </cell>
        </row>
        <row r="8200">
          <cell r="C8200" t="str">
            <v>JRJ6285</v>
          </cell>
          <cell r="D8200" t="str">
            <v>JRJ6285</v>
          </cell>
        </row>
        <row r="8201">
          <cell r="C8201" t="str">
            <v>KCY2083</v>
          </cell>
          <cell r="D8201" t="str">
            <v>KCY2083</v>
          </cell>
        </row>
        <row r="8202">
          <cell r="C8202" t="str">
            <v>KPG4876</v>
          </cell>
          <cell r="D8202" t="str">
            <v>KPG4876</v>
          </cell>
        </row>
        <row r="8203">
          <cell r="C8203" t="str">
            <v>KTA9894</v>
          </cell>
          <cell r="D8203" t="str">
            <v>KTA9894</v>
          </cell>
        </row>
        <row r="8204">
          <cell r="C8204" t="str">
            <v>KTC3555</v>
          </cell>
          <cell r="D8204" t="str">
            <v>KTC3555</v>
          </cell>
        </row>
        <row r="8205">
          <cell r="C8205" t="str">
            <v>KVW3604</v>
          </cell>
          <cell r="D8205" t="str">
            <v>KVW3604</v>
          </cell>
        </row>
        <row r="8206">
          <cell r="C8206" t="str">
            <v>KXB1884</v>
          </cell>
          <cell r="D8206" t="str">
            <v>KXB1884</v>
          </cell>
        </row>
        <row r="8207">
          <cell r="C8207" t="str">
            <v>KXD1963</v>
          </cell>
          <cell r="D8207" t="str">
            <v>KXD1963</v>
          </cell>
        </row>
        <row r="8208">
          <cell r="C8208" t="str">
            <v>KYN7774</v>
          </cell>
          <cell r="D8208" t="str">
            <v>KYN7774</v>
          </cell>
        </row>
        <row r="8209">
          <cell r="C8209" t="str">
            <v>LPO3882</v>
          </cell>
          <cell r="D8209" t="str">
            <v>LPO3882</v>
          </cell>
        </row>
        <row r="8210">
          <cell r="C8210" t="str">
            <v>LPO8324</v>
          </cell>
          <cell r="D8210" t="str">
            <v>LPO8324</v>
          </cell>
        </row>
        <row r="8211">
          <cell r="C8211" t="str">
            <v>LRQ5394</v>
          </cell>
          <cell r="D8211" t="str">
            <v>LRQ5394</v>
          </cell>
        </row>
        <row r="8212">
          <cell r="C8212" t="str">
            <v>LRR8088</v>
          </cell>
          <cell r="D8212" t="str">
            <v>LRR8088</v>
          </cell>
        </row>
        <row r="8213">
          <cell r="C8213" t="str">
            <v>LSC8998</v>
          </cell>
          <cell r="D8213" t="str">
            <v>LSC8998</v>
          </cell>
        </row>
        <row r="8214">
          <cell r="C8214" t="str">
            <v>LYZ2583</v>
          </cell>
          <cell r="D8214" t="str">
            <v>LYZ2583</v>
          </cell>
        </row>
        <row r="8215">
          <cell r="C8215" t="str">
            <v>LZX7875</v>
          </cell>
          <cell r="D8215" t="str">
            <v>LZX7875</v>
          </cell>
        </row>
        <row r="8216">
          <cell r="C8216" t="str">
            <v>MAF6979</v>
          </cell>
          <cell r="D8216" t="str">
            <v>MAF6979</v>
          </cell>
        </row>
        <row r="8217">
          <cell r="C8217" t="str">
            <v>MBB9720</v>
          </cell>
          <cell r="D8217" t="str">
            <v>MBB9720</v>
          </cell>
        </row>
        <row r="8218">
          <cell r="C8218" t="str">
            <v>MBD7456</v>
          </cell>
          <cell r="D8218" t="str">
            <v>MBD7456</v>
          </cell>
        </row>
        <row r="8219">
          <cell r="C8219" t="str">
            <v>MDI7519</v>
          </cell>
          <cell r="D8219" t="str">
            <v>MDI7519</v>
          </cell>
        </row>
        <row r="8220">
          <cell r="C8220" t="str">
            <v>MFR4386</v>
          </cell>
          <cell r="D8220" t="str">
            <v>MFR4386</v>
          </cell>
        </row>
        <row r="8221">
          <cell r="C8221" t="str">
            <v>MND4563</v>
          </cell>
          <cell r="D8221" t="str">
            <v>MND4563</v>
          </cell>
        </row>
        <row r="8222">
          <cell r="C8222" t="str">
            <v>MPB6182</v>
          </cell>
          <cell r="D8222" t="str">
            <v>MPB6182</v>
          </cell>
        </row>
        <row r="8223">
          <cell r="C8223" t="str">
            <v>MPQ4943</v>
          </cell>
          <cell r="D8223" t="str">
            <v>MPQ4943</v>
          </cell>
        </row>
        <row r="8224">
          <cell r="C8224" t="str">
            <v>NCC5030</v>
          </cell>
          <cell r="D8224" t="str">
            <v>NCC5030</v>
          </cell>
        </row>
        <row r="8225">
          <cell r="C8225" t="str">
            <v>NKD6753</v>
          </cell>
          <cell r="D8225" t="str">
            <v>NKD6753</v>
          </cell>
        </row>
        <row r="8226">
          <cell r="C8226" t="str">
            <v>NRR7727</v>
          </cell>
          <cell r="D8226" t="str">
            <v>NRR7727</v>
          </cell>
        </row>
        <row r="8227">
          <cell r="C8227" t="str">
            <v>ABD1350</v>
          </cell>
          <cell r="D8227" t="str">
            <v>ABD1350</v>
          </cell>
        </row>
        <row r="8228">
          <cell r="C8228" t="str">
            <v>ABE4564</v>
          </cell>
          <cell r="D8228" t="str">
            <v>ABE4564</v>
          </cell>
        </row>
        <row r="8229">
          <cell r="C8229" t="str">
            <v>AEI9832</v>
          </cell>
          <cell r="D8229" t="str">
            <v>AEI9832</v>
          </cell>
        </row>
        <row r="8230">
          <cell r="C8230" t="str">
            <v>APW4473</v>
          </cell>
          <cell r="D8230" t="str">
            <v>APW4473</v>
          </cell>
        </row>
        <row r="8231">
          <cell r="C8231" t="str">
            <v>AQA8599</v>
          </cell>
          <cell r="D8231" t="str">
            <v>AQA8599</v>
          </cell>
        </row>
        <row r="8232">
          <cell r="C8232" t="str">
            <v>BTO7936</v>
          </cell>
          <cell r="D8232" t="str">
            <v>BTO7936</v>
          </cell>
        </row>
        <row r="8233">
          <cell r="C8233" t="str">
            <v>BTS9141</v>
          </cell>
          <cell r="D8233" t="str">
            <v>BTS9141</v>
          </cell>
        </row>
        <row r="8234">
          <cell r="C8234" t="str">
            <v>BWY1024</v>
          </cell>
          <cell r="D8234" t="str">
            <v>BWY1024</v>
          </cell>
        </row>
        <row r="8235">
          <cell r="C8235" t="str">
            <v>BWY6877</v>
          </cell>
          <cell r="D8235" t="str">
            <v>BWY6877</v>
          </cell>
        </row>
        <row r="8236">
          <cell r="C8236" t="str">
            <v>BWZ5378</v>
          </cell>
          <cell r="D8236" t="str">
            <v>BWZ5378</v>
          </cell>
        </row>
        <row r="8237">
          <cell r="C8237" t="str">
            <v>BXJ9494</v>
          </cell>
          <cell r="D8237" t="str">
            <v>BXJ9494</v>
          </cell>
        </row>
        <row r="8238">
          <cell r="C8238" t="str">
            <v>CAR0001</v>
          </cell>
          <cell r="D8238" t="str">
            <v>CAR0001</v>
          </cell>
        </row>
        <row r="8239">
          <cell r="C8239" t="str">
            <v>CAT2013</v>
          </cell>
          <cell r="D8239" t="str">
            <v>CAT2013</v>
          </cell>
        </row>
        <row r="8240">
          <cell r="C8240" t="str">
            <v>CDM1223</v>
          </cell>
          <cell r="D8240" t="str">
            <v>CDM1223</v>
          </cell>
        </row>
        <row r="8241">
          <cell r="C8241" t="str">
            <v>CLK7821</v>
          </cell>
          <cell r="D8241" t="str">
            <v>CLK7821</v>
          </cell>
        </row>
        <row r="8242">
          <cell r="C8242" t="str">
            <v>CPF4660</v>
          </cell>
          <cell r="D8242" t="str">
            <v>CPF4660</v>
          </cell>
        </row>
        <row r="8243">
          <cell r="C8243" t="str">
            <v>CUE4189</v>
          </cell>
          <cell r="D8243" t="str">
            <v>CUE4189</v>
          </cell>
        </row>
        <row r="8244">
          <cell r="C8244" t="str">
            <v>CZC4523</v>
          </cell>
          <cell r="D8244" t="str">
            <v>CZC4523</v>
          </cell>
        </row>
        <row r="8245">
          <cell r="C8245" t="str">
            <v>EFV9242</v>
          </cell>
          <cell r="D8245" t="str">
            <v>EFV9242</v>
          </cell>
        </row>
        <row r="8246">
          <cell r="C8246" t="str">
            <v>EJZ7484</v>
          </cell>
          <cell r="D8246" t="str">
            <v>EJZ7484</v>
          </cell>
        </row>
        <row r="8247">
          <cell r="C8247" t="str">
            <v>EKH6547</v>
          </cell>
          <cell r="D8247" t="str">
            <v>EKH6547</v>
          </cell>
        </row>
        <row r="8248">
          <cell r="C8248" t="str">
            <v>EVF8608</v>
          </cell>
          <cell r="D8248" t="str">
            <v>EVF8608</v>
          </cell>
        </row>
        <row r="8249">
          <cell r="C8249" t="str">
            <v>EWY6877</v>
          </cell>
          <cell r="D8249" t="str">
            <v>EWY6877</v>
          </cell>
        </row>
        <row r="8250">
          <cell r="C8250" t="str">
            <v>FHL1694</v>
          </cell>
          <cell r="D8250" t="str">
            <v>FHL1694</v>
          </cell>
        </row>
        <row r="8251">
          <cell r="C8251" t="str">
            <v>FIA0001</v>
          </cell>
          <cell r="D8251" t="str">
            <v>FIA0001</v>
          </cell>
        </row>
        <row r="8252">
          <cell r="C8252" t="str">
            <v>FJX2892</v>
          </cell>
          <cell r="D8252" t="str">
            <v>FJX2892</v>
          </cell>
        </row>
        <row r="8253">
          <cell r="C8253" t="str">
            <v>GAL0000</v>
          </cell>
          <cell r="D8253" t="str">
            <v>GAL0000</v>
          </cell>
        </row>
        <row r="8254">
          <cell r="C8254" t="str">
            <v>GAR1014</v>
          </cell>
          <cell r="D8254" t="str">
            <v>GAR1014</v>
          </cell>
        </row>
        <row r="8255">
          <cell r="C8255" t="str">
            <v>GVJ5344</v>
          </cell>
          <cell r="D8255" t="str">
            <v>GVJ5344</v>
          </cell>
        </row>
        <row r="8256">
          <cell r="C8256" t="str">
            <v>HMD4374</v>
          </cell>
          <cell r="D8256" t="str">
            <v>HMD4374</v>
          </cell>
        </row>
        <row r="8257">
          <cell r="C8257" t="str">
            <v>HRV3094</v>
          </cell>
          <cell r="D8257" t="str">
            <v>HRV3094</v>
          </cell>
        </row>
        <row r="8258">
          <cell r="C8258" t="str">
            <v>IEN1585</v>
          </cell>
          <cell r="D8258" t="str">
            <v>IEN1585</v>
          </cell>
        </row>
        <row r="8259">
          <cell r="C8259" t="str">
            <v>IFL6241</v>
          </cell>
          <cell r="D8259" t="str">
            <v>IFL6241</v>
          </cell>
        </row>
        <row r="8260">
          <cell r="C8260" t="str">
            <v>JOD0447</v>
          </cell>
          <cell r="D8260" t="str">
            <v>JOD0447</v>
          </cell>
        </row>
        <row r="8261">
          <cell r="C8261" t="str">
            <v>JSB8872</v>
          </cell>
          <cell r="D8261" t="str">
            <v>JSB8872</v>
          </cell>
        </row>
        <row r="8262">
          <cell r="C8262" t="str">
            <v>JVC3658</v>
          </cell>
          <cell r="D8262" t="str">
            <v>JVC3658</v>
          </cell>
        </row>
        <row r="8263">
          <cell r="C8263" t="str">
            <v>JYB4852</v>
          </cell>
          <cell r="D8263" t="str">
            <v>JYB4852</v>
          </cell>
        </row>
        <row r="8264">
          <cell r="C8264" t="str">
            <v>KEV5800</v>
          </cell>
          <cell r="D8264" t="str">
            <v>KEV5800</v>
          </cell>
        </row>
        <row r="8265">
          <cell r="C8265" t="str">
            <v>KLI1745</v>
          </cell>
          <cell r="D8265" t="str">
            <v>KLI1745</v>
          </cell>
        </row>
        <row r="8266">
          <cell r="C8266" t="str">
            <v>LIE0924</v>
          </cell>
          <cell r="D8266" t="str">
            <v>LIE0924</v>
          </cell>
        </row>
        <row r="8267">
          <cell r="C8267" t="str">
            <v>LNM1086</v>
          </cell>
          <cell r="D8267" t="str">
            <v>LNM1086</v>
          </cell>
        </row>
        <row r="8268">
          <cell r="C8268" t="str">
            <v>LUR4139</v>
          </cell>
          <cell r="D8268" t="str">
            <v>LUR4139</v>
          </cell>
        </row>
        <row r="8269">
          <cell r="C8269" t="str">
            <v>LZR4345</v>
          </cell>
          <cell r="D8269" t="str">
            <v>LZR4345</v>
          </cell>
        </row>
        <row r="8270">
          <cell r="C8270" t="str">
            <v>LZR4645</v>
          </cell>
          <cell r="D8270" t="str">
            <v>LZR4645</v>
          </cell>
        </row>
        <row r="8271">
          <cell r="C8271" t="str">
            <v>MAQ1111</v>
          </cell>
          <cell r="D8271" t="str">
            <v>MAQ1111</v>
          </cell>
        </row>
        <row r="8272">
          <cell r="C8272" t="str">
            <v>MGX2144</v>
          </cell>
          <cell r="D8272" t="str">
            <v>MGX2144</v>
          </cell>
        </row>
        <row r="8273">
          <cell r="C8273" t="str">
            <v>MGY1620</v>
          </cell>
          <cell r="D8273" t="str">
            <v>MGY1620</v>
          </cell>
        </row>
        <row r="8274">
          <cell r="C8274" t="str">
            <v>MKK1503</v>
          </cell>
          <cell r="D8274" t="str">
            <v>MKK1503</v>
          </cell>
        </row>
        <row r="8275">
          <cell r="C8275" t="str">
            <v>MSZ5533</v>
          </cell>
          <cell r="D8275" t="str">
            <v>MSZ5533</v>
          </cell>
        </row>
        <row r="8276">
          <cell r="C8276" t="str">
            <v>OQF2278</v>
          </cell>
          <cell r="D8276" t="str">
            <v>OQF2278</v>
          </cell>
        </row>
        <row r="8277">
          <cell r="C8277" t="str">
            <v>PAC0001</v>
          </cell>
          <cell r="D8277" t="str">
            <v>PAC0001</v>
          </cell>
        </row>
        <row r="8278">
          <cell r="C8278" t="str">
            <v>POC1012</v>
          </cell>
          <cell r="D8278" t="str">
            <v>POC1012</v>
          </cell>
        </row>
        <row r="8279">
          <cell r="C8279" t="str">
            <v>POC1013</v>
          </cell>
          <cell r="D8279" t="str">
            <v>POC1013</v>
          </cell>
        </row>
        <row r="8280">
          <cell r="C8280" t="str">
            <v>PRE2013</v>
          </cell>
          <cell r="D8280" t="str">
            <v>PRE2013</v>
          </cell>
        </row>
        <row r="8281">
          <cell r="C8281" t="str">
            <v>PRN0002</v>
          </cell>
          <cell r="D8281" t="str">
            <v>PRN0002</v>
          </cell>
        </row>
        <row r="8282">
          <cell r="C8282" t="str">
            <v>RET001</v>
          </cell>
          <cell r="D8282" t="str">
            <v xml:space="preserve">RET001 </v>
          </cell>
        </row>
        <row r="8283">
          <cell r="C8283" t="str">
            <v>VOL9657</v>
          </cell>
          <cell r="D8283" t="str">
            <v>VOL9657</v>
          </cell>
        </row>
        <row r="8284">
          <cell r="C8284" t="str">
            <v>VOL9926</v>
          </cell>
          <cell r="D8284" t="str">
            <v>VOL9926</v>
          </cell>
        </row>
        <row r="8285">
          <cell r="C8285" t="str">
            <v>VOL9927</v>
          </cell>
          <cell r="D8285" t="str">
            <v>VOL9927</v>
          </cell>
        </row>
        <row r="8286">
          <cell r="C8286" t="str">
            <v>VOL9929</v>
          </cell>
          <cell r="D8286" t="str">
            <v>VOL9929</v>
          </cell>
        </row>
        <row r="8287">
          <cell r="C8287" t="str">
            <v>YHU1010</v>
          </cell>
          <cell r="D8287" t="str">
            <v>YHU1010</v>
          </cell>
        </row>
        <row r="8288">
          <cell r="C8288" t="str">
            <v>FNK8040</v>
          </cell>
          <cell r="D8288" t="str">
            <v>FNK8040</v>
          </cell>
        </row>
        <row r="8289">
          <cell r="C8289" t="str">
            <v>QAN4618</v>
          </cell>
          <cell r="D8289" t="str">
            <v>QAN4618</v>
          </cell>
        </row>
        <row r="8290">
          <cell r="C8290" t="str">
            <v>LPS9589</v>
          </cell>
          <cell r="D8290" t="str">
            <v>LPS9589</v>
          </cell>
        </row>
        <row r="8291">
          <cell r="C8291" t="str">
            <v>BGE2051</v>
          </cell>
          <cell r="D8291" t="str">
            <v>BGE2051</v>
          </cell>
        </row>
        <row r="8292">
          <cell r="C8292" t="str">
            <v>VHV5H79</v>
          </cell>
          <cell r="D8292" t="str">
            <v>VHV5H79</v>
          </cell>
        </row>
        <row r="8293">
          <cell r="C8293" t="str">
            <v>BXJ3308</v>
          </cell>
          <cell r="D8293" t="str">
            <v>BXJ3308</v>
          </cell>
        </row>
        <row r="8294">
          <cell r="C8294" t="str">
            <v>VOJ5109</v>
          </cell>
          <cell r="D8294" t="str">
            <v>VOJ5109</v>
          </cell>
        </row>
        <row r="8295">
          <cell r="C8295" t="str">
            <v>FYC7D43</v>
          </cell>
          <cell r="D8295" t="str">
            <v>FYC7D43</v>
          </cell>
        </row>
        <row r="8296">
          <cell r="C8296" t="str">
            <v>FYA7J92</v>
          </cell>
          <cell r="D8296" t="str">
            <v>FYA7J92</v>
          </cell>
        </row>
        <row r="8297">
          <cell r="C8297" t="str">
            <v>HQM9200</v>
          </cell>
          <cell r="D8297">
            <v>12</v>
          </cell>
        </row>
        <row r="8298">
          <cell r="C8298" t="str">
            <v>BWY0294</v>
          </cell>
          <cell r="D8298" t="str">
            <v>BWY0294</v>
          </cell>
        </row>
        <row r="8299">
          <cell r="C8299" t="str">
            <v>DTE7454</v>
          </cell>
          <cell r="D8299" t="str">
            <v>DTE7454</v>
          </cell>
        </row>
        <row r="8300">
          <cell r="C8300" t="str">
            <v>BXJ3554</v>
          </cell>
          <cell r="D8300" t="str">
            <v>BXJ3554</v>
          </cell>
        </row>
        <row r="8301">
          <cell r="C8301" t="str">
            <v>BNM8237</v>
          </cell>
          <cell r="D8301" t="str">
            <v>BNM8237</v>
          </cell>
        </row>
        <row r="8302">
          <cell r="C8302" t="str">
            <v>JPW3181</v>
          </cell>
          <cell r="D8302" t="str">
            <v>JPW3181</v>
          </cell>
        </row>
        <row r="8303">
          <cell r="C8303" t="str">
            <v>WBUK505</v>
          </cell>
          <cell r="D8303" t="str">
            <v>WBUK505</v>
          </cell>
        </row>
        <row r="8304">
          <cell r="C8304" t="str">
            <v>CPF7140</v>
          </cell>
          <cell r="D8304" t="str">
            <v>CPF7140</v>
          </cell>
        </row>
        <row r="8305">
          <cell r="C8305" t="str">
            <v>MWG5556</v>
          </cell>
          <cell r="D8305" t="str">
            <v>MWG5556</v>
          </cell>
        </row>
        <row r="8306">
          <cell r="C8306" t="str">
            <v>KMK0237</v>
          </cell>
          <cell r="D8306" t="str">
            <v>KMK0237</v>
          </cell>
        </row>
        <row r="8307">
          <cell r="C8307" t="str">
            <v>AIB9768</v>
          </cell>
          <cell r="D8307" t="str">
            <v>AIB9768</v>
          </cell>
        </row>
        <row r="8308">
          <cell r="C8308" t="str">
            <v>AAJ9877</v>
          </cell>
          <cell r="D8308" t="str">
            <v>AAJ9877</v>
          </cell>
        </row>
        <row r="8309">
          <cell r="C8309" t="str">
            <v>LLW8202</v>
          </cell>
          <cell r="D8309" t="str">
            <v>LLW8202</v>
          </cell>
        </row>
        <row r="8310">
          <cell r="C8310" t="str">
            <v>ANL1938</v>
          </cell>
          <cell r="D8310" t="str">
            <v>ANL1938</v>
          </cell>
        </row>
        <row r="8311">
          <cell r="C8311" t="str">
            <v>AIV3319</v>
          </cell>
          <cell r="D8311" t="str">
            <v>AIV3319</v>
          </cell>
        </row>
        <row r="8312">
          <cell r="C8312" t="str">
            <v>WVC2J59</v>
          </cell>
          <cell r="D8312" t="str">
            <v>WVC2J59</v>
          </cell>
        </row>
        <row r="8313">
          <cell r="C8313" t="str">
            <v>XER4F55</v>
          </cell>
          <cell r="D8313" t="str">
            <v>XER4F55</v>
          </cell>
        </row>
        <row r="8314">
          <cell r="C8314" t="str">
            <v>XH55942</v>
          </cell>
          <cell r="D8314" t="str">
            <v>XH55942</v>
          </cell>
        </row>
        <row r="8315">
          <cell r="C8315" t="str">
            <v>ZIV2746</v>
          </cell>
          <cell r="D8315" t="str">
            <v>ZIV2746</v>
          </cell>
        </row>
        <row r="8316">
          <cell r="C8316">
            <v>0</v>
          </cell>
          <cell r="D8316">
            <v>0</v>
          </cell>
        </row>
        <row r="8317">
          <cell r="C8317">
            <v>0</v>
          </cell>
          <cell r="D8317">
            <v>0</v>
          </cell>
        </row>
        <row r="8318">
          <cell r="C8318" t="str">
            <v>ABC2I03</v>
          </cell>
          <cell r="D8318" t="str">
            <v>ABC2I0</v>
          </cell>
        </row>
        <row r="8319">
          <cell r="C8319" t="str">
            <v>IHX7089</v>
          </cell>
          <cell r="D8319" t="str">
            <v>IHX7089</v>
          </cell>
        </row>
        <row r="8320">
          <cell r="C8320" t="str">
            <v>ADG4065</v>
          </cell>
          <cell r="D8320" t="str">
            <v xml:space="preserve">ADG    </v>
          </cell>
        </row>
        <row r="8321">
          <cell r="C8321" t="str">
            <v>ADS1854</v>
          </cell>
          <cell r="D8321" t="str">
            <v>ADS1854</v>
          </cell>
        </row>
        <row r="8322">
          <cell r="C8322" t="str">
            <v>AHT1418</v>
          </cell>
          <cell r="D8322" t="str">
            <v>AHT1418</v>
          </cell>
        </row>
        <row r="8323">
          <cell r="C8323" t="str">
            <v>AJV6A51</v>
          </cell>
          <cell r="D8323" t="str">
            <v>AJV6A51</v>
          </cell>
        </row>
        <row r="8324">
          <cell r="C8324" t="str">
            <v>AKE7204</v>
          </cell>
          <cell r="D8324" t="str">
            <v xml:space="preserve">AKE720 </v>
          </cell>
        </row>
        <row r="8325">
          <cell r="C8325" t="str">
            <v>ALJ7D92</v>
          </cell>
          <cell r="D8325" t="str">
            <v>ALJ7D92</v>
          </cell>
        </row>
        <row r="8326">
          <cell r="C8326" t="str">
            <v>AYT3519</v>
          </cell>
          <cell r="D8326" t="str">
            <v>A000001</v>
          </cell>
        </row>
        <row r="8327">
          <cell r="C8327" t="str">
            <v>AYT3519</v>
          </cell>
          <cell r="D8327" t="str">
            <v>AYT3519</v>
          </cell>
        </row>
        <row r="8328">
          <cell r="C8328" t="str">
            <v>AYY7C83</v>
          </cell>
          <cell r="D8328" t="str">
            <v>AYY7C8</v>
          </cell>
        </row>
        <row r="8329">
          <cell r="C8329" t="str">
            <v>AZB3A64</v>
          </cell>
          <cell r="D8329" t="str">
            <v>AZB3A6</v>
          </cell>
        </row>
        <row r="8330">
          <cell r="C8330" t="str">
            <v>BFO6788</v>
          </cell>
          <cell r="D8330" t="str">
            <v>BFO6788</v>
          </cell>
        </row>
        <row r="8331">
          <cell r="C8331" t="str">
            <v>BFV3067</v>
          </cell>
          <cell r="D8331" t="str">
            <v>BFV3067</v>
          </cell>
        </row>
        <row r="8332">
          <cell r="C8332" t="str">
            <v>ATV8812</v>
          </cell>
          <cell r="D8332" t="str">
            <v>ATV8812</v>
          </cell>
        </row>
        <row r="8333">
          <cell r="C8333" t="str">
            <v>AYK8072</v>
          </cell>
          <cell r="D8333" t="str">
            <v>AYK8072</v>
          </cell>
        </row>
        <row r="8334">
          <cell r="C8334" t="str">
            <v>FFH5639</v>
          </cell>
          <cell r="D8334" t="str">
            <v>FFH5639</v>
          </cell>
        </row>
        <row r="8335">
          <cell r="C8335" t="str">
            <v>CBS5B58</v>
          </cell>
          <cell r="D8335" t="str">
            <v>CBS5B58</v>
          </cell>
        </row>
        <row r="8336">
          <cell r="C8336" t="str">
            <v>CTF0309</v>
          </cell>
          <cell r="D8336" t="str">
            <v xml:space="preserve">       </v>
          </cell>
        </row>
        <row r="8337">
          <cell r="C8337" t="str">
            <v>CTF0371</v>
          </cell>
          <cell r="D8337" t="str">
            <v xml:space="preserve">       </v>
          </cell>
        </row>
        <row r="8338">
          <cell r="C8338" t="str">
            <v>CTF0367</v>
          </cell>
          <cell r="D8338" t="str">
            <v xml:space="preserve">       </v>
          </cell>
        </row>
        <row r="8339">
          <cell r="C8339" t="str">
            <v>CTF0362</v>
          </cell>
          <cell r="D8339" t="str">
            <v xml:space="preserve">       </v>
          </cell>
        </row>
        <row r="8340">
          <cell r="C8340" t="str">
            <v>CTF0203</v>
          </cell>
          <cell r="D8340" t="str">
            <v xml:space="preserve">       </v>
          </cell>
        </row>
        <row r="8341">
          <cell r="C8341" t="str">
            <v>CZB9994</v>
          </cell>
          <cell r="D8341" t="str">
            <v>CZB9994</v>
          </cell>
        </row>
        <row r="8342">
          <cell r="C8342" t="str">
            <v>DDC2G89</v>
          </cell>
          <cell r="D8342" t="str">
            <v>DDC2G89</v>
          </cell>
        </row>
        <row r="8343">
          <cell r="C8343" t="str">
            <v>EEG9C30</v>
          </cell>
          <cell r="D8343" t="str">
            <v>EEG9C30</v>
          </cell>
        </row>
        <row r="8344">
          <cell r="C8344" t="str">
            <v>EJZ7305</v>
          </cell>
          <cell r="D8344" t="str">
            <v>EJZ7305</v>
          </cell>
        </row>
        <row r="8345">
          <cell r="C8345" t="str">
            <v>EJZ7349</v>
          </cell>
          <cell r="D8345" t="str">
            <v>EJZ7349</v>
          </cell>
        </row>
        <row r="8346">
          <cell r="C8346" t="str">
            <v>EJZ7366</v>
          </cell>
          <cell r="D8346" t="str">
            <v>EJZ7366</v>
          </cell>
        </row>
        <row r="8347">
          <cell r="C8347" t="str">
            <v>EJZ7367</v>
          </cell>
          <cell r="D8347" t="str">
            <v>EJZ7367</v>
          </cell>
        </row>
        <row r="8348">
          <cell r="C8348" t="str">
            <v>EJZ7392</v>
          </cell>
          <cell r="D8348" t="str">
            <v>EJZ7392</v>
          </cell>
        </row>
        <row r="8349">
          <cell r="C8349" t="str">
            <v>EJZ7609</v>
          </cell>
          <cell r="D8349" t="str">
            <v>EJZ7609</v>
          </cell>
        </row>
        <row r="8350">
          <cell r="C8350" t="str">
            <v>EJZ7716</v>
          </cell>
          <cell r="D8350" t="str">
            <v>EJZ7716</v>
          </cell>
        </row>
        <row r="8351">
          <cell r="C8351" t="str">
            <v>EJZ7734</v>
          </cell>
          <cell r="D8351" t="str">
            <v>EJZ7734</v>
          </cell>
        </row>
        <row r="8352">
          <cell r="C8352" t="str">
            <v>EJZ7735</v>
          </cell>
          <cell r="D8352" t="str">
            <v>EJZ7735</v>
          </cell>
        </row>
        <row r="8353">
          <cell r="C8353" t="str">
            <v>EJZ7778</v>
          </cell>
          <cell r="D8353" t="str">
            <v>EJZ7778</v>
          </cell>
        </row>
        <row r="8354">
          <cell r="C8354" t="str">
            <v>EJZ7D68</v>
          </cell>
          <cell r="D8354" t="str">
            <v>EJZ7D68</v>
          </cell>
        </row>
        <row r="8355">
          <cell r="C8355" t="str">
            <v>EJZ7G08</v>
          </cell>
          <cell r="D8355" t="str">
            <v>EJZ7G08</v>
          </cell>
        </row>
        <row r="8356">
          <cell r="C8356" t="str">
            <v>HYU0002</v>
          </cell>
          <cell r="D8356" t="str">
            <v>HYU0002</v>
          </cell>
        </row>
        <row r="8357">
          <cell r="C8357" t="str">
            <v>EMF0J29</v>
          </cell>
          <cell r="D8357" t="str">
            <v>EMF0J29</v>
          </cell>
        </row>
        <row r="8358">
          <cell r="C8358" t="str">
            <v>ENG4A84</v>
          </cell>
          <cell r="D8358" t="str">
            <v>ENG4A84</v>
          </cell>
        </row>
        <row r="8359">
          <cell r="C8359" t="str">
            <v>ERE2098</v>
          </cell>
          <cell r="D8359" t="str">
            <v>ERE2098</v>
          </cell>
        </row>
        <row r="8360">
          <cell r="C8360" t="str">
            <v>AEV6866</v>
          </cell>
          <cell r="D8360" t="str">
            <v>AEV6866</v>
          </cell>
        </row>
        <row r="8361">
          <cell r="C8361" t="str">
            <v>EWU 5986</v>
          </cell>
          <cell r="D8361" t="str">
            <v>EWU 598</v>
          </cell>
        </row>
        <row r="8362">
          <cell r="C8362" t="str">
            <v>EWU 6143</v>
          </cell>
          <cell r="D8362" t="str">
            <v>EWU 614</v>
          </cell>
        </row>
        <row r="8363">
          <cell r="C8363" t="str">
            <v>EWU5984</v>
          </cell>
          <cell r="D8363">
            <v>8</v>
          </cell>
        </row>
        <row r="8364">
          <cell r="C8364" t="str">
            <v>EWU5969</v>
          </cell>
          <cell r="D8364" t="str">
            <v>EWU5969</v>
          </cell>
        </row>
        <row r="8365">
          <cell r="C8365" t="str">
            <v>FCE5F96</v>
          </cell>
          <cell r="D8365" t="str">
            <v>FCE5F96</v>
          </cell>
        </row>
        <row r="8366">
          <cell r="C8366" t="str">
            <v>FCL4A82</v>
          </cell>
          <cell r="D8366" t="str">
            <v>FCL4A82</v>
          </cell>
        </row>
        <row r="8367">
          <cell r="C8367" t="str">
            <v>FLH1694</v>
          </cell>
          <cell r="D8367" t="str">
            <v>FLH1694</v>
          </cell>
        </row>
        <row r="8368">
          <cell r="C8368" t="str">
            <v>FTE9154</v>
          </cell>
          <cell r="D8368" t="str">
            <v>FTE9154</v>
          </cell>
        </row>
        <row r="8369">
          <cell r="C8369" t="str">
            <v>FZP8F67</v>
          </cell>
          <cell r="D8369" t="str">
            <v>FZP8F67</v>
          </cell>
        </row>
        <row r="8370">
          <cell r="C8370" t="str">
            <v>LIEBHERR</v>
          </cell>
          <cell r="D8370" t="str">
            <v>LIE0001</v>
          </cell>
        </row>
        <row r="8371">
          <cell r="C8371" t="str">
            <v>HYU0001</v>
          </cell>
          <cell r="D8371" t="str">
            <v>HYU0001</v>
          </cell>
        </row>
        <row r="8372">
          <cell r="C8372" t="str">
            <v>HYU0003</v>
          </cell>
          <cell r="D8372" t="str">
            <v>HYU0003</v>
          </cell>
        </row>
        <row r="8373">
          <cell r="C8373" t="str">
            <v>GEV3A59</v>
          </cell>
          <cell r="D8373" t="str">
            <v>GEV3A59</v>
          </cell>
        </row>
        <row r="8374">
          <cell r="C8374" t="str">
            <v>GFC0I97</v>
          </cell>
          <cell r="D8374" t="str">
            <v>GFC0I97</v>
          </cell>
        </row>
        <row r="8375">
          <cell r="C8375" t="str">
            <v>GFI7E03</v>
          </cell>
          <cell r="D8375" t="str">
            <v>GFI7E03</v>
          </cell>
        </row>
        <row r="8376">
          <cell r="C8376" t="str">
            <v>HQR6804</v>
          </cell>
          <cell r="D8376" t="str">
            <v>HQR6804</v>
          </cell>
        </row>
        <row r="8377">
          <cell r="C8377" t="str">
            <v>HSA4D03</v>
          </cell>
          <cell r="D8377" t="str">
            <v>HSA4D03</v>
          </cell>
        </row>
        <row r="8378">
          <cell r="C8378" t="str">
            <v>HSU9349</v>
          </cell>
          <cell r="D8378" t="str">
            <v>HSU9349</v>
          </cell>
        </row>
        <row r="8379">
          <cell r="C8379" t="str">
            <v>HTD9966</v>
          </cell>
          <cell r="D8379" t="str">
            <v>HTD996</v>
          </cell>
        </row>
        <row r="8380">
          <cell r="C8380" t="str">
            <v>EH06</v>
          </cell>
          <cell r="D8380" t="str">
            <v xml:space="preserve">EH06   </v>
          </cell>
        </row>
        <row r="8381">
          <cell r="C8381" t="str">
            <v>AQS9849</v>
          </cell>
          <cell r="D8381" t="str">
            <v>AQS9854</v>
          </cell>
        </row>
        <row r="8382">
          <cell r="C8382" t="str">
            <v>KMR7001</v>
          </cell>
          <cell r="D8382" t="str">
            <v>KMR700</v>
          </cell>
        </row>
        <row r="8383">
          <cell r="C8383" t="str">
            <v>KNZ2F41</v>
          </cell>
          <cell r="D8383" t="str">
            <v>KNZ2F41</v>
          </cell>
        </row>
        <row r="8384">
          <cell r="C8384" t="str">
            <v>NBH84144</v>
          </cell>
          <cell r="D8384" t="str">
            <v>NBH8444</v>
          </cell>
        </row>
        <row r="8385">
          <cell r="C8385" t="str">
            <v>BWI4240</v>
          </cell>
          <cell r="D8385" t="str">
            <v>BWI4240</v>
          </cell>
        </row>
        <row r="8386">
          <cell r="C8386" t="str">
            <v>EH 02</v>
          </cell>
          <cell r="D8386">
            <v>11</v>
          </cell>
        </row>
        <row r="8387">
          <cell r="C8387" t="str">
            <v>ESK7688</v>
          </cell>
          <cell r="D8387" t="str">
            <v>ESK7688</v>
          </cell>
        </row>
        <row r="8388">
          <cell r="C8388" t="str">
            <v>AED3168</v>
          </cell>
          <cell r="D8388">
            <v>20</v>
          </cell>
        </row>
        <row r="8389">
          <cell r="C8389" t="str">
            <v>ERE1520</v>
          </cell>
          <cell r="D8389" t="str">
            <v>ERE1520</v>
          </cell>
        </row>
        <row r="8390">
          <cell r="C8390" t="str">
            <v>NRZ2087</v>
          </cell>
          <cell r="D8390" t="str">
            <v>NRZ2087</v>
          </cell>
        </row>
        <row r="8391">
          <cell r="C8391" t="str">
            <v>OON3185</v>
          </cell>
          <cell r="D8391" t="str">
            <v>OON3185</v>
          </cell>
        </row>
        <row r="8392">
          <cell r="C8392" t="str">
            <v>BLH6651</v>
          </cell>
          <cell r="D8392" t="str">
            <v>BHL6651</v>
          </cell>
        </row>
        <row r="8393">
          <cell r="C8393" t="str">
            <v>PEN0001</v>
          </cell>
          <cell r="D8393" t="str">
            <v>PEN0001</v>
          </cell>
        </row>
        <row r="8394">
          <cell r="C8394" t="str">
            <v>AHR 8308</v>
          </cell>
          <cell r="D8394" t="str">
            <v>AHR 830</v>
          </cell>
        </row>
        <row r="8395">
          <cell r="C8395" t="str">
            <v>CFC4H88</v>
          </cell>
          <cell r="D8395" t="str">
            <v>CFC4H88</v>
          </cell>
        </row>
        <row r="8396">
          <cell r="C8396" t="str">
            <v>FJO5A08</v>
          </cell>
          <cell r="D8396" t="str">
            <v>FJO5A08</v>
          </cell>
        </row>
        <row r="8397">
          <cell r="C8397" t="str">
            <v>QAU6A20</v>
          </cell>
          <cell r="D8397" t="str">
            <v>QAU6A20</v>
          </cell>
        </row>
        <row r="8398">
          <cell r="C8398" t="str">
            <v>ROC001</v>
          </cell>
          <cell r="D8398" t="str">
            <v xml:space="preserve">ROC001 </v>
          </cell>
        </row>
        <row r="8399">
          <cell r="C8399" t="str">
            <v>CQC 8527</v>
          </cell>
          <cell r="D8399" t="str">
            <v>CQC8527</v>
          </cell>
        </row>
        <row r="8400">
          <cell r="C8400" t="str">
            <v>ATV8805</v>
          </cell>
          <cell r="D8400" t="str">
            <v>ATV8805</v>
          </cell>
        </row>
        <row r="8401">
          <cell r="C8401" t="str">
            <v>AJB6101</v>
          </cell>
          <cell r="D8401" t="str">
            <v>AJB6101</v>
          </cell>
        </row>
        <row r="8402">
          <cell r="C8402" t="str">
            <v>CKJ4925</v>
          </cell>
          <cell r="D8402" t="str">
            <v>CKJ4925</v>
          </cell>
        </row>
        <row r="8403">
          <cell r="C8403" t="str">
            <v>DWC4723</v>
          </cell>
          <cell r="D8403" t="str">
            <v>DWC4723</v>
          </cell>
        </row>
        <row r="8404">
          <cell r="C8404" t="str">
            <v>ERE1335</v>
          </cell>
          <cell r="D8404" t="str">
            <v>ERE1335</v>
          </cell>
        </row>
        <row r="8405">
          <cell r="C8405" t="str">
            <v>ESK6637</v>
          </cell>
          <cell r="D8405" t="str">
            <v>ESK6637</v>
          </cell>
        </row>
        <row r="8406">
          <cell r="C8406" t="str">
            <v>EVF8567</v>
          </cell>
          <cell r="D8406" t="str">
            <v>EVF8567</v>
          </cell>
        </row>
        <row r="8407">
          <cell r="C8407" t="str">
            <v>EVF8607</v>
          </cell>
          <cell r="D8407" t="str">
            <v>EVF8607</v>
          </cell>
        </row>
        <row r="8408">
          <cell r="C8408" t="str">
            <v>EVF8807</v>
          </cell>
          <cell r="D8408" t="str">
            <v>EVF8807</v>
          </cell>
        </row>
        <row r="8409">
          <cell r="C8409" t="str">
            <v>EVF9485</v>
          </cell>
          <cell r="D8409" t="str">
            <v>EVF9485</v>
          </cell>
        </row>
        <row r="8410">
          <cell r="C8410" t="str">
            <v>EVF9749</v>
          </cell>
          <cell r="D8410" t="str">
            <v>EVF9749</v>
          </cell>
        </row>
        <row r="8411">
          <cell r="C8411" t="str">
            <v>EWU5896</v>
          </cell>
          <cell r="D8411" t="str">
            <v>EWU5896</v>
          </cell>
        </row>
        <row r="8412">
          <cell r="C8412" t="str">
            <v>EWU5995</v>
          </cell>
          <cell r="D8412" t="str">
            <v>EWU5995</v>
          </cell>
        </row>
        <row r="8413">
          <cell r="C8413" t="str">
            <v>FEC4201</v>
          </cell>
          <cell r="D8413" t="str">
            <v>FEC4201</v>
          </cell>
        </row>
        <row r="8414">
          <cell r="C8414" t="str">
            <v>GER0001</v>
          </cell>
          <cell r="D8414" t="str">
            <v>GER0001</v>
          </cell>
        </row>
        <row r="8415">
          <cell r="C8415" t="str">
            <v>HRS2163</v>
          </cell>
          <cell r="D8415" t="str">
            <v>HRS2163</v>
          </cell>
        </row>
        <row r="8416">
          <cell r="C8416" t="str">
            <v>HYU1011</v>
          </cell>
          <cell r="D8416" t="str">
            <v>HYU1011</v>
          </cell>
        </row>
        <row r="8417">
          <cell r="C8417" t="str">
            <v>NRS7727</v>
          </cell>
          <cell r="D8417" t="str">
            <v>NRS7727</v>
          </cell>
        </row>
        <row r="8418">
          <cell r="C8418" t="str">
            <v>SIE1011</v>
          </cell>
          <cell r="D8418" t="str">
            <v>SIE1011</v>
          </cell>
        </row>
        <row r="8419">
          <cell r="C8419" t="str">
            <v>VOL0000</v>
          </cell>
          <cell r="D8419" t="str">
            <v>VOL0000</v>
          </cell>
        </row>
        <row r="8420">
          <cell r="C8420" t="str">
            <v>ATV8816</v>
          </cell>
          <cell r="D8420" t="str">
            <v>ATV8816</v>
          </cell>
        </row>
        <row r="8421">
          <cell r="C8421" t="str">
            <v>CVP3211</v>
          </cell>
          <cell r="D8421">
            <v>5</v>
          </cell>
        </row>
        <row r="8422">
          <cell r="C8422" t="str">
            <v>CTR0426</v>
          </cell>
          <cell r="D8422" t="str">
            <v>CTR0426</v>
          </cell>
        </row>
      </sheetData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S0ZGZyHNbUKCr4QasdfNKJjLBG2NeNRPhXa7FumXH2yDH8Bg6z0qT7TaVzCQzzJl" itemId="01XKOT6GWWDH2XJNCB4JD3635H747NDDEY">
      <xxl21:absoluteUrl r:id="rId2"/>
    </xxl21:alternateUrls>
    <sheetNames>
      <sheetName val="Planilha1"/>
      <sheetName val="Julio 05092023"/>
      <sheetName val="Equip Julio"/>
      <sheetName val="Protocolo de Entrega"/>
      <sheetName val="Relacao Dourados"/>
      <sheetName val="Checklist - Zero"/>
      <sheetName val="Equipamentos"/>
      <sheetName val="Veículos"/>
      <sheetName val="IPVA 2021"/>
      <sheetName val="IPVA 2022"/>
      <sheetName val="IPVA 2023"/>
      <sheetName val="Frota"/>
      <sheetName val="IPVA 2024"/>
      <sheetName val="RSR x RSS"/>
      <sheetName val="Resumo IPVA 2024"/>
      <sheetName val="Atualizacao Mercosul"/>
      <sheetName val="Gestor de Frota"/>
      <sheetName val="AN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D2" t="str">
            <v>AAR6870</v>
          </cell>
          <cell r="E2" t="str">
            <v>00530813424</v>
          </cell>
          <cell r="F2" t="str">
            <v>34403212326416</v>
          </cell>
          <cell r="G2" t="str">
            <v>Mercedes Benz</v>
          </cell>
          <cell r="H2" t="str">
            <v>L 1113</v>
          </cell>
          <cell r="I2" t="str">
            <v>-</v>
          </cell>
          <cell r="J2" t="str">
            <v>-</v>
          </cell>
          <cell r="K2" t="str">
            <v>Caminhão</v>
          </cell>
          <cell r="L2" t="str">
            <v>Diesel</v>
          </cell>
          <cell r="M2" t="str">
            <v>Vermelha</v>
          </cell>
          <cell r="N2" t="str">
            <v>-</v>
          </cell>
          <cell r="O2" t="str">
            <v>1.6.1</v>
          </cell>
          <cell r="P2" t="str">
            <v>-</v>
          </cell>
          <cell r="Q2" t="str">
            <v>Regular</v>
          </cell>
          <cell r="R2" t="str">
            <v>-</v>
          </cell>
          <cell r="S2" t="str">
            <v>-</v>
          </cell>
          <cell r="T2" t="str">
            <v>-</v>
          </cell>
          <cell r="U2" t="str">
            <v>E-mail</v>
          </cell>
          <cell r="V2" t="str">
            <v>-</v>
          </cell>
          <cell r="W2" t="str">
            <v>Não possui</v>
          </cell>
          <cell r="X2" t="str">
            <v>Não possui</v>
          </cell>
          <cell r="Y2" t="str">
            <v>?</v>
          </cell>
          <cell r="Z2" t="str">
            <v>-</v>
          </cell>
          <cell r="AA2" t="str">
            <v>Isento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Não possui</v>
          </cell>
          <cell r="AF2" t="str">
            <v>Não possui</v>
          </cell>
          <cell r="AG2" t="str">
            <v>Não precisa de seguro - ricardinho de andradina - caminhao desaparecido - endereco desATualizado - licenciado no Parana</v>
          </cell>
          <cell r="AH2" t="str">
            <v>Não possui</v>
          </cell>
          <cell r="AI2" t="str">
            <v>Ñ CONSTA</v>
          </cell>
          <cell r="AJ2" t="str">
            <v xml:space="preserve">Ñ CONSTA </v>
          </cell>
          <cell r="AK2" t="str">
            <v>Sicoob</v>
          </cell>
          <cell r="AL2" t="str">
            <v>-</v>
          </cell>
          <cell r="AM2" t="str">
            <v>-</v>
          </cell>
          <cell r="AN2" t="str">
            <v>-</v>
          </cell>
          <cell r="AO2" t="str">
            <v>-</v>
          </cell>
          <cell r="AP2" t="str">
            <v>-</v>
          </cell>
          <cell r="AQ2" t="str">
            <v>-</v>
          </cell>
          <cell r="AR2" t="str">
            <v>-</v>
          </cell>
          <cell r="AS2" t="str">
            <v>-</v>
          </cell>
          <cell r="AT2" t="str">
            <v>-</v>
          </cell>
          <cell r="AU2" t="str">
            <v>-</v>
          </cell>
          <cell r="AV2" t="str">
            <v>-</v>
          </cell>
        </row>
        <row r="3">
          <cell r="D3" t="str">
            <v>AHT1418</v>
          </cell>
          <cell r="E3" t="str">
            <v>00630276790</v>
          </cell>
          <cell r="F3" t="str">
            <v>9BM384024RB033719</v>
          </cell>
          <cell r="G3" t="str">
            <v>Mercedes Benz</v>
          </cell>
          <cell r="H3" t="str">
            <v>L 1418 E</v>
          </cell>
          <cell r="I3">
            <v>1994</v>
          </cell>
          <cell r="J3">
            <v>1994</v>
          </cell>
          <cell r="K3" t="str">
            <v>Caminhão</v>
          </cell>
          <cell r="L3" t="str">
            <v xml:space="preserve">Diesel </v>
          </cell>
          <cell r="M3" t="str">
            <v>Branca</v>
          </cell>
          <cell r="N3" t="str">
            <v>Presidente Prudente</v>
          </cell>
          <cell r="O3" t="str">
            <v>1.6.1</v>
          </cell>
          <cell r="P3" t="str">
            <v>Para Venda</v>
          </cell>
          <cell r="Q3" t="str">
            <v>Regular</v>
          </cell>
          <cell r="R3" t="str">
            <v>Ta na oficina sendo preparada para ir para Dourados - Ta na Chacara - Renato disse que não vai usar mas já que foi pago o seguro manter, não renovaremos - mas vai ser mandado para Dourados - manter no seguro</v>
          </cell>
          <cell r="S3" t="str">
            <v>-</v>
          </cell>
          <cell r="T3" t="str">
            <v>Sagi</v>
          </cell>
          <cell r="U3" t="str">
            <v>Ok</v>
          </cell>
          <cell r="V3" t="str">
            <v>CMG-0002</v>
          </cell>
          <cell r="W3" t="str">
            <v>Ativo</v>
          </cell>
          <cell r="X3" t="str">
            <v>Ativo</v>
          </cell>
          <cell r="Y3" t="str">
            <v>AHT-1418</v>
          </cell>
          <cell r="Z3">
            <v>43139</v>
          </cell>
          <cell r="AA3" t="str">
            <v>ok</v>
          </cell>
          <cell r="AB3" t="str">
            <v>ok</v>
          </cell>
          <cell r="AC3" t="str">
            <v>-</v>
          </cell>
          <cell r="AD3" t="str">
            <v>OK</v>
          </cell>
          <cell r="AE3" t="str">
            <v>Não possui</v>
          </cell>
          <cell r="AF3" t="str">
            <v>Não possui</v>
          </cell>
          <cell r="AG3" t="str">
            <v>HDI</v>
          </cell>
          <cell r="AH3" t="str">
            <v>ok, 19/12</v>
          </cell>
          <cell r="AI3" t="str">
            <v>OK</v>
          </cell>
          <cell r="AJ3" t="str">
            <v>VENCIMENTO 08-07-23</v>
          </cell>
          <cell r="AK3" t="str">
            <v>sem reserVA</v>
          </cell>
          <cell r="AL3">
            <v>4036</v>
          </cell>
          <cell r="AM3">
            <v>42945</v>
          </cell>
          <cell r="AN3">
            <v>30000</v>
          </cell>
          <cell r="AO3" t="str">
            <v>Relacao Aquisiççao - MD Ferro Velho Dourados - Renato 11/12/2017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</row>
        <row r="4">
          <cell r="D4" t="str">
            <v>AJV6A51</v>
          </cell>
          <cell r="E4" t="str">
            <v>00757128785</v>
          </cell>
          <cell r="F4" t="str">
            <v>9BM6953011B259823</v>
          </cell>
          <cell r="G4" t="str">
            <v>Mercedes Benz</v>
          </cell>
          <cell r="H4" t="str">
            <v>L 1620</v>
          </cell>
          <cell r="I4">
            <v>2001</v>
          </cell>
          <cell r="J4">
            <v>2001</v>
          </cell>
          <cell r="K4" t="str">
            <v>Caminhão / Aberta / Mecanismo Operacional</v>
          </cell>
          <cell r="L4" t="str">
            <v>Diesel</v>
          </cell>
          <cell r="M4" t="str">
            <v>Branca</v>
          </cell>
          <cell r="N4" t="str">
            <v>Campo Grande</v>
          </cell>
          <cell r="O4" t="str">
            <v>1.2.7.4</v>
          </cell>
          <cell r="P4" t="str">
            <v>-</v>
          </cell>
          <cell r="Q4" t="str">
            <v>Regular</v>
          </cell>
          <cell r="R4" t="str">
            <v>-</v>
          </cell>
          <cell r="S4" t="str">
            <v>-</v>
          </cell>
          <cell r="T4" t="str">
            <v>Sagi</v>
          </cell>
          <cell r="U4" t="str">
            <v>Ok</v>
          </cell>
          <cell r="V4" t="str">
            <v>-</v>
          </cell>
          <cell r="W4" t="str">
            <v>-</v>
          </cell>
          <cell r="X4" t="str">
            <v>Ativo</v>
          </cell>
          <cell r="Y4" t="str">
            <v>-</v>
          </cell>
          <cell r="Z4" t="str">
            <v>-</v>
          </cell>
          <cell r="AA4" t="str">
            <v>-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 t="str">
            <v>-</v>
          </cell>
          <cell r="AH4" t="str">
            <v>-</v>
          </cell>
          <cell r="AI4" t="str">
            <v>Ñ CONSTA</v>
          </cell>
          <cell r="AJ4" t="str">
            <v>VENCIMENTO 10-11-24</v>
          </cell>
          <cell r="AK4" t="str">
            <v>-</v>
          </cell>
          <cell r="AL4" t="str">
            <v>-</v>
          </cell>
          <cell r="AM4" t="str">
            <v>-</v>
          </cell>
          <cell r="AN4" t="str">
            <v>-</v>
          </cell>
          <cell r="AO4" t="str">
            <v>-</v>
          </cell>
          <cell r="AP4" t="str">
            <v>-</v>
          </cell>
          <cell r="AQ4" t="str">
            <v>-</v>
          </cell>
          <cell r="AR4" t="str">
            <v>-</v>
          </cell>
          <cell r="AS4" t="str">
            <v>-</v>
          </cell>
          <cell r="AT4" t="str">
            <v>-</v>
          </cell>
          <cell r="AU4" t="str">
            <v>-</v>
          </cell>
          <cell r="AV4" t="str">
            <v>-</v>
          </cell>
        </row>
        <row r="5">
          <cell r="D5" t="str">
            <v>ALJ7D92</v>
          </cell>
          <cell r="E5" t="str">
            <v>00817061398</v>
          </cell>
          <cell r="F5" t="str">
            <v>9BFYTHZF33B820120</v>
          </cell>
          <cell r="G5" t="str">
            <v>Ford</v>
          </cell>
          <cell r="H5" t="str">
            <v>Cargo 1721</v>
          </cell>
          <cell r="I5">
            <v>2002</v>
          </cell>
          <cell r="J5">
            <v>2003</v>
          </cell>
          <cell r="K5" t="str">
            <v>Caminhão Munk</v>
          </cell>
          <cell r="L5" t="str">
            <v>Diesel</v>
          </cell>
          <cell r="M5" t="str">
            <v>Branca</v>
          </cell>
          <cell r="N5" t="str">
            <v>Presidente Prudente</v>
          </cell>
          <cell r="O5" t="str">
            <v>1.5.1.4</v>
          </cell>
          <cell r="P5" t="str">
            <v>-</v>
          </cell>
          <cell r="Q5" t="str">
            <v>Regular</v>
          </cell>
          <cell r="R5" t="str">
            <v>Distrito - Jorge/Renato</v>
          </cell>
          <cell r="S5" t="str">
            <v>-</v>
          </cell>
          <cell r="T5" t="str">
            <v>Sagi</v>
          </cell>
          <cell r="U5" t="str">
            <v>Ok</v>
          </cell>
          <cell r="V5" t="str">
            <v>CFM-0003</v>
          </cell>
          <cell r="W5" t="str">
            <v>Ativo</v>
          </cell>
          <cell r="X5" t="str">
            <v>Ativo</v>
          </cell>
          <cell r="Y5" t="str">
            <v>ALJ-7392</v>
          </cell>
          <cell r="Z5">
            <v>43145</v>
          </cell>
          <cell r="AA5" t="str">
            <v>-</v>
          </cell>
          <cell r="AB5" t="str">
            <v>-</v>
          </cell>
          <cell r="AC5" t="str">
            <v>-</v>
          </cell>
          <cell r="AD5" t="str">
            <v>OK</v>
          </cell>
          <cell r="AE5" t="str">
            <v>Não possui</v>
          </cell>
          <cell r="AF5" t="str">
            <v>Não possui</v>
          </cell>
          <cell r="AG5" t="str">
            <v>HDI</v>
          </cell>
          <cell r="AH5" t="str">
            <v>ok, 19/12</v>
          </cell>
          <cell r="AI5" t="str">
            <v>OK</v>
          </cell>
          <cell r="AJ5" t="str">
            <v>VENCIMENTO 05-10-24</v>
          </cell>
          <cell r="AK5" t="str">
            <v>Sem reserVA</v>
          </cell>
          <cell r="AL5" t="str">
            <v>-</v>
          </cell>
          <cell r="AM5" t="str">
            <v>-</v>
          </cell>
          <cell r="AN5" t="str">
            <v>-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</row>
        <row r="6">
          <cell r="D6" t="str">
            <v>BFO6788</v>
          </cell>
          <cell r="E6" t="str">
            <v>00372189245</v>
          </cell>
          <cell r="F6" t="str">
            <v>OJ85806</v>
          </cell>
          <cell r="G6" t="str">
            <v>Toyota</v>
          </cell>
          <cell r="H6" t="str">
            <v>Bandeirante</v>
          </cell>
          <cell r="I6" t="str">
            <v>-</v>
          </cell>
          <cell r="J6" t="str">
            <v>-</v>
          </cell>
          <cell r="K6" t="str">
            <v>Veículo de Passeio</v>
          </cell>
          <cell r="L6" t="str">
            <v xml:space="preserve">Diesel </v>
          </cell>
          <cell r="M6" t="str">
            <v>Bege</v>
          </cell>
          <cell r="N6" t="str">
            <v>Presidente Prudente</v>
          </cell>
          <cell r="O6" t="str">
            <v>1.1.17</v>
          </cell>
          <cell r="P6" t="str">
            <v>-</v>
          </cell>
          <cell r="Q6" t="str">
            <v>Regular</v>
          </cell>
          <cell r="R6" t="str">
            <v>Distrito - Antonio</v>
          </cell>
          <cell r="S6" t="str">
            <v>-</v>
          </cell>
          <cell r="T6" t="str">
            <v>Sagi</v>
          </cell>
          <cell r="U6" t="str">
            <v>Ok</v>
          </cell>
          <cell r="V6" t="str">
            <v>-</v>
          </cell>
          <cell r="W6" t="str">
            <v>Ativo</v>
          </cell>
          <cell r="X6" t="str">
            <v>Ativo</v>
          </cell>
          <cell r="Y6" t="str">
            <v>Não tem</v>
          </cell>
          <cell r="Z6" t="str">
            <v>-</v>
          </cell>
          <cell r="AA6" t="str">
            <v>ok</v>
          </cell>
          <cell r="AB6" t="str">
            <v>ok</v>
          </cell>
          <cell r="AC6" t="str">
            <v>-</v>
          </cell>
          <cell r="AD6" t="str">
            <v>OK</v>
          </cell>
          <cell r="AE6" t="str">
            <v>Não possui</v>
          </cell>
          <cell r="AF6" t="str">
            <v>Não possui</v>
          </cell>
          <cell r="AG6" t="str">
            <v>HDI - km 300</v>
          </cell>
          <cell r="AH6" t="str">
            <v>ok, 19/12</v>
          </cell>
          <cell r="AI6" t="str">
            <v>PASSEIO</v>
          </cell>
          <cell r="AJ6" t="str">
            <v>PASSEIO</v>
          </cell>
          <cell r="AK6" t="str">
            <v>Sem reserVA</v>
          </cell>
          <cell r="AL6" t="str">
            <v>-</v>
          </cell>
          <cell r="AM6" t="str">
            <v>-</v>
          </cell>
          <cell r="AN6" t="str">
            <v>-</v>
          </cell>
          <cell r="AO6" t="str">
            <v>-</v>
          </cell>
          <cell r="AP6" t="str">
            <v>-</v>
          </cell>
          <cell r="AQ6" t="str">
            <v>-</v>
          </cell>
          <cell r="AR6" t="str">
            <v>-</v>
          </cell>
          <cell r="AS6" t="str">
            <v>-</v>
          </cell>
          <cell r="AT6" t="str">
            <v>-</v>
          </cell>
          <cell r="AU6" t="str">
            <v>-</v>
          </cell>
          <cell r="AV6" t="str">
            <v>-</v>
          </cell>
        </row>
        <row r="7">
          <cell r="D7" t="str">
            <v>BKW9I57</v>
          </cell>
          <cell r="E7" t="str">
            <v>01274597380</v>
          </cell>
          <cell r="F7" t="str">
            <v>93KP0S1F4ME171053</v>
          </cell>
          <cell r="G7" t="str">
            <v>Volvo</v>
          </cell>
          <cell r="H7" t="str">
            <v>VM 330 8X2 R</v>
          </cell>
          <cell r="I7">
            <v>2021</v>
          </cell>
          <cell r="J7">
            <v>2021</v>
          </cell>
          <cell r="K7" t="str">
            <v>Caminhão / Rollon + Guindaste</v>
          </cell>
          <cell r="L7" t="str">
            <v>Diesel</v>
          </cell>
          <cell r="M7" t="str">
            <v>Branca</v>
          </cell>
          <cell r="N7" t="str">
            <v>Dourados</v>
          </cell>
          <cell r="O7" t="str">
            <v>1.2.2.4</v>
          </cell>
          <cell r="P7" t="str">
            <v>-</v>
          </cell>
          <cell r="Q7" t="str">
            <v>Regular</v>
          </cell>
          <cell r="R7" t="str">
            <v>Pgto realizado em 13/01/21 - Negociado com Odirlei. - 8x2 - 4º eixo retirado</v>
          </cell>
          <cell r="S7" t="str">
            <v>-</v>
          </cell>
          <cell r="T7" t="str">
            <v>Sagi</v>
          </cell>
          <cell r="U7" t="str">
            <v>Ok</v>
          </cell>
          <cell r="V7" t="str">
            <v>-</v>
          </cell>
          <cell r="W7" t="str">
            <v>Não possui</v>
          </cell>
          <cell r="X7" t="str">
            <v>Ativo</v>
          </cell>
          <cell r="Y7" t="str">
            <v>BKW9I57</v>
          </cell>
          <cell r="Z7" t="str">
            <v>-</v>
          </cell>
          <cell r="AA7" t="str">
            <v>-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Possui</v>
          </cell>
          <cell r="AF7" t="str">
            <v>Não possui</v>
          </cell>
          <cell r="AG7" t="str">
            <v>-</v>
          </cell>
          <cell r="AH7" t="str">
            <v>Online</v>
          </cell>
          <cell r="AI7" t="str">
            <v>OK</v>
          </cell>
          <cell r="AJ7" t="str">
            <v>VENCIMENTO 13-08-24</v>
          </cell>
          <cell r="AK7" t="str">
            <v>Sem reserVA</v>
          </cell>
          <cell r="AL7">
            <v>179219</v>
          </cell>
          <cell r="AM7">
            <v>44209</v>
          </cell>
          <cell r="AN7">
            <v>350000</v>
          </cell>
          <cell r="AO7" t="str">
            <v>LAPONIA SUDESTE Ltda</v>
          </cell>
          <cell r="AP7" t="str">
            <v>-</v>
          </cell>
          <cell r="AQ7" t="str">
            <v>-</v>
          </cell>
          <cell r="AR7" t="str">
            <v>-</v>
          </cell>
          <cell r="AS7" t="str">
            <v>-</v>
          </cell>
          <cell r="AT7" t="str">
            <v>-</v>
          </cell>
          <cell r="AU7" t="str">
            <v>-</v>
          </cell>
          <cell r="AV7" t="str">
            <v>-</v>
          </cell>
        </row>
        <row r="8">
          <cell r="D8" t="str">
            <v>BNJ9314</v>
          </cell>
          <cell r="E8" t="str">
            <v>00410084425</v>
          </cell>
          <cell r="F8" t="str">
            <v>-</v>
          </cell>
          <cell r="G8" t="str">
            <v>Mercedes Benz</v>
          </cell>
          <cell r="H8" t="str">
            <v>L 1113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Vermelha</v>
          </cell>
          <cell r="N8" t="str">
            <v>-</v>
          </cell>
          <cell r="O8" t="str">
            <v>1.6.1</v>
          </cell>
          <cell r="P8" t="str">
            <v>-</v>
          </cell>
          <cell r="Q8" t="str">
            <v>Regular</v>
          </cell>
          <cell r="R8" t="str">
            <v>-</v>
          </cell>
          <cell r="S8" t="str">
            <v>-</v>
          </cell>
          <cell r="T8" t="str">
            <v>-</v>
          </cell>
          <cell r="U8" t="str">
            <v>E-mail</v>
          </cell>
          <cell r="V8" t="str">
            <v>-</v>
          </cell>
          <cell r="W8" t="str">
            <v>Não possui</v>
          </cell>
          <cell r="X8" t="str">
            <v>Não possui</v>
          </cell>
          <cell r="Y8" t="str">
            <v>?</v>
          </cell>
          <cell r="Z8" t="str">
            <v>-</v>
          </cell>
          <cell r="AA8" t="str">
            <v>-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Não possui</v>
          </cell>
          <cell r="AF8" t="str">
            <v>Não possui</v>
          </cell>
          <cell r="AG8" t="str">
            <v>Negocio desfeito em fev/2018</v>
          </cell>
          <cell r="AH8" t="str">
            <v>-</v>
          </cell>
          <cell r="AI8" t="str">
            <v>Ñ CONSTA</v>
          </cell>
          <cell r="AJ8" t="str">
            <v>Ñ CONSTA</v>
          </cell>
          <cell r="AK8" t="str">
            <v>-</v>
          </cell>
          <cell r="AL8" t="str">
            <v>-</v>
          </cell>
          <cell r="AM8" t="str">
            <v>-</v>
          </cell>
          <cell r="AN8" t="str">
            <v>-</v>
          </cell>
          <cell r="AO8" t="str">
            <v>-</v>
          </cell>
          <cell r="AP8" t="str">
            <v>-</v>
          </cell>
          <cell r="AQ8" t="str">
            <v>-</v>
          </cell>
          <cell r="AR8" t="str">
            <v>-</v>
          </cell>
          <cell r="AS8" t="str">
            <v>-</v>
          </cell>
          <cell r="AT8" t="str">
            <v>-</v>
          </cell>
          <cell r="AU8" t="str">
            <v>-</v>
          </cell>
          <cell r="AV8" t="str">
            <v>-</v>
          </cell>
        </row>
        <row r="9">
          <cell r="D9" t="str">
            <v>BTS7191</v>
          </cell>
          <cell r="E9" t="str">
            <v>00384958222</v>
          </cell>
          <cell r="F9" t="str">
            <v>45817</v>
          </cell>
          <cell r="G9" t="str">
            <v>Randon</v>
          </cell>
          <cell r="H9" t="str">
            <v>-</v>
          </cell>
          <cell r="I9">
            <v>1979</v>
          </cell>
          <cell r="J9">
            <v>1979</v>
          </cell>
          <cell r="K9" t="str">
            <v>Reboque</v>
          </cell>
          <cell r="L9" t="str">
            <v>-</v>
          </cell>
          <cell r="M9" t="str">
            <v>Preta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Regular</v>
          </cell>
          <cell r="R9" t="str">
            <v>-</v>
          </cell>
          <cell r="S9" t="str">
            <v>-</v>
          </cell>
          <cell r="T9" t="str">
            <v>Sagi</v>
          </cell>
          <cell r="U9" t="str">
            <v>-</v>
          </cell>
          <cell r="V9" t="str">
            <v>-</v>
          </cell>
          <cell r="W9" t="str">
            <v>Não possui</v>
          </cell>
          <cell r="X9" t="str">
            <v>Não possui</v>
          </cell>
          <cell r="Y9" t="str">
            <v>BTS-7191</v>
          </cell>
          <cell r="Z9">
            <v>43145</v>
          </cell>
          <cell r="AA9" t="str">
            <v>ok</v>
          </cell>
          <cell r="AB9" t="str">
            <v>ok</v>
          </cell>
          <cell r="AC9" t="str">
            <v>-</v>
          </cell>
          <cell r="AD9" t="str">
            <v>-</v>
          </cell>
          <cell r="AE9" t="str">
            <v>Não possui</v>
          </cell>
          <cell r="AF9" t="str">
            <v>Não possui</v>
          </cell>
          <cell r="AG9" t="str">
            <v>-</v>
          </cell>
          <cell r="AH9" t="str">
            <v>ok, 19/12</v>
          </cell>
          <cell r="AI9" t="str">
            <v>OK</v>
          </cell>
          <cell r="AJ9" t="str">
            <v>Ñ CONSTA</v>
          </cell>
          <cell r="AK9" t="str">
            <v>Sem reserVA</v>
          </cell>
          <cell r="AL9" t="str">
            <v>-</v>
          </cell>
          <cell r="AM9" t="str">
            <v>-</v>
          </cell>
          <cell r="AN9" t="str">
            <v>-</v>
          </cell>
          <cell r="AO9" t="str">
            <v>-</v>
          </cell>
          <cell r="AP9" t="str">
            <v>-</v>
          </cell>
          <cell r="AQ9" t="str">
            <v>-</v>
          </cell>
          <cell r="AR9" t="str">
            <v>-</v>
          </cell>
          <cell r="AS9" t="str">
            <v>-</v>
          </cell>
          <cell r="AT9" t="str">
            <v>-</v>
          </cell>
          <cell r="AU9" t="str">
            <v>-</v>
          </cell>
          <cell r="AV9" t="str">
            <v>-</v>
          </cell>
        </row>
        <row r="10">
          <cell r="D10" t="str">
            <v>BTZ8D36</v>
          </cell>
          <cell r="E10" t="str">
            <v>01272096294</v>
          </cell>
          <cell r="F10" t="str">
            <v>93KP0S1F1ME171052</v>
          </cell>
          <cell r="G10" t="str">
            <v>Volvo</v>
          </cell>
          <cell r="H10" t="str">
            <v>VM 330 8X2 R</v>
          </cell>
          <cell r="I10">
            <v>2021</v>
          </cell>
          <cell r="J10">
            <v>2021</v>
          </cell>
          <cell r="K10" t="str">
            <v>Caminhão / Rollon + Guindaste</v>
          </cell>
          <cell r="L10" t="str">
            <v>Diesel</v>
          </cell>
          <cell r="M10" t="str">
            <v>Branca</v>
          </cell>
          <cell r="N10" t="str">
            <v>Dourados</v>
          </cell>
          <cell r="O10" t="str">
            <v>1.2.2.4</v>
          </cell>
          <cell r="P10" t="str">
            <v>-</v>
          </cell>
          <cell r="Q10" t="str">
            <v>Regular</v>
          </cell>
          <cell r="R10" t="str">
            <v>Pgto realizado em 13/01/21 - Negociado com Odirlei. - 8x2 - 4º eixo retirado</v>
          </cell>
          <cell r="S10" t="str">
            <v>-</v>
          </cell>
          <cell r="T10" t="str">
            <v>Sagi</v>
          </cell>
          <cell r="U10" t="str">
            <v>Ok</v>
          </cell>
          <cell r="V10" t="str">
            <v>-</v>
          </cell>
          <cell r="W10" t="str">
            <v>-</v>
          </cell>
          <cell r="X10" t="str">
            <v>Ativo</v>
          </cell>
          <cell r="Y10" t="str">
            <v>BTZ8D36</v>
          </cell>
          <cell r="Z10" t="str">
            <v>-</v>
          </cell>
          <cell r="AA10" t="str">
            <v>-</v>
          </cell>
          <cell r="AB10" t="str">
            <v>-</v>
          </cell>
          <cell r="AC10" t="str">
            <v>-</v>
          </cell>
          <cell r="AD10" t="str">
            <v>OK</v>
          </cell>
          <cell r="AE10" t="str">
            <v>Possui</v>
          </cell>
          <cell r="AF10" t="str">
            <v>-</v>
          </cell>
          <cell r="AG10" t="str">
            <v>-</v>
          </cell>
          <cell r="AH10" t="str">
            <v>Online</v>
          </cell>
          <cell r="AI10" t="str">
            <v>OK</v>
          </cell>
          <cell r="AJ10" t="str">
            <v>Ñ CONSTA</v>
          </cell>
          <cell r="AK10" t="str">
            <v>Sem reserVA</v>
          </cell>
          <cell r="AL10">
            <v>179221</v>
          </cell>
          <cell r="AM10">
            <v>44209</v>
          </cell>
          <cell r="AN10">
            <v>350000</v>
          </cell>
          <cell r="AO10" t="str">
            <v>LAPONIA SUDESTE Ltda</v>
          </cell>
          <cell r="AP10" t="str">
            <v>-</v>
          </cell>
          <cell r="AQ10" t="str">
            <v>-</v>
          </cell>
          <cell r="AR10" t="str">
            <v>-</v>
          </cell>
          <cell r="AS10" t="str">
            <v>-</v>
          </cell>
          <cell r="AT10" t="str">
            <v>-</v>
          </cell>
          <cell r="AU10" t="str">
            <v>-</v>
          </cell>
          <cell r="AV10" t="str">
            <v>-</v>
          </cell>
        </row>
        <row r="11">
          <cell r="D11" t="str">
            <v>BWH7839</v>
          </cell>
          <cell r="E11" t="str">
            <v>00416819109</v>
          </cell>
          <cell r="F11" t="str">
            <v>9BM384091LB888718</v>
          </cell>
          <cell r="G11" t="str">
            <v>Mercedes Benz</v>
          </cell>
          <cell r="H11" t="str">
            <v>L 1115</v>
          </cell>
          <cell r="I11">
            <v>1990</v>
          </cell>
          <cell r="J11">
            <v>1991</v>
          </cell>
          <cell r="K11" t="str">
            <v>-</v>
          </cell>
          <cell r="L11" t="str">
            <v>-</v>
          </cell>
          <cell r="M11" t="str">
            <v>Branca</v>
          </cell>
          <cell r="N11" t="str">
            <v>-</v>
          </cell>
          <cell r="O11" t="str">
            <v>1.6.1</v>
          </cell>
          <cell r="P11" t="str">
            <v>-</v>
          </cell>
          <cell r="Q11" t="str">
            <v>Regular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E-mail</v>
          </cell>
          <cell r="V11" t="str">
            <v>-</v>
          </cell>
          <cell r="W11" t="str">
            <v>Não possui</v>
          </cell>
          <cell r="X11" t="str">
            <v>Não possui</v>
          </cell>
          <cell r="Y11" t="str">
            <v>BWH-7839</v>
          </cell>
          <cell r="Z11">
            <v>43139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Não possui</v>
          </cell>
          <cell r="AF11" t="str">
            <v>Não possui</v>
          </cell>
          <cell r="AG11" t="str">
            <v>Onibus de Dourados</v>
          </cell>
          <cell r="AH11" t="str">
            <v>-</v>
          </cell>
          <cell r="AI11" t="str">
            <v>Ñ CONSTA</v>
          </cell>
          <cell r="AJ11" t="str">
            <v>Ñ CONSTA</v>
          </cell>
          <cell r="AK11" t="str">
            <v>-</v>
          </cell>
          <cell r="AL11" t="str">
            <v>-</v>
          </cell>
          <cell r="AM11" t="str">
            <v>-</v>
          </cell>
          <cell r="AN11">
            <v>15000</v>
          </cell>
          <cell r="AO11" t="str">
            <v>Relacao Dourados - Renato 11/12/2017</v>
          </cell>
          <cell r="AP11" t="str">
            <v>-</v>
          </cell>
          <cell r="AQ11" t="str">
            <v>-</v>
          </cell>
          <cell r="AR11" t="str">
            <v>-</v>
          </cell>
          <cell r="AS11" t="str">
            <v>-</v>
          </cell>
          <cell r="AT11" t="str">
            <v>-</v>
          </cell>
          <cell r="AU11" t="str">
            <v>-</v>
          </cell>
          <cell r="AV11" t="str">
            <v>-</v>
          </cell>
        </row>
        <row r="12">
          <cell r="D12" t="str">
            <v>BWJ9737</v>
          </cell>
          <cell r="E12" t="str">
            <v>00436604272</v>
          </cell>
          <cell r="F12" t="str">
            <v>9A9G12430P1AVB033</v>
          </cell>
          <cell r="G12" t="str">
            <v>Noma</v>
          </cell>
          <cell r="H12" t="str">
            <v>Noma</v>
          </cell>
          <cell r="I12">
            <v>1993</v>
          </cell>
          <cell r="J12">
            <v>1993</v>
          </cell>
          <cell r="K12" t="str">
            <v>Reboque</v>
          </cell>
          <cell r="L12" t="str">
            <v>-</v>
          </cell>
          <cell r="M12" t="str">
            <v>Preta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Regular</v>
          </cell>
          <cell r="R12" t="str">
            <v>Esta é o reboque de 12 metros que usamos para transportar conteineres</v>
          </cell>
          <cell r="S12" t="str">
            <v>-</v>
          </cell>
          <cell r="T12" t="str">
            <v>Sagi</v>
          </cell>
          <cell r="U12" t="str">
            <v>Ok</v>
          </cell>
          <cell r="V12" t="str">
            <v>-</v>
          </cell>
          <cell r="W12" t="str">
            <v>Não possui</v>
          </cell>
          <cell r="X12" t="str">
            <v>Não possui</v>
          </cell>
          <cell r="Y12" t="str">
            <v>BWJ-9737</v>
          </cell>
          <cell r="Z12">
            <v>43138</v>
          </cell>
          <cell r="AA12" t="str">
            <v>ok</v>
          </cell>
          <cell r="AB12" t="str">
            <v>ok</v>
          </cell>
          <cell r="AC12" t="str">
            <v>-</v>
          </cell>
          <cell r="AD12" t="str">
            <v>-</v>
          </cell>
          <cell r="AE12" t="str">
            <v>Não possui</v>
          </cell>
          <cell r="AF12" t="str">
            <v>Não possui</v>
          </cell>
          <cell r="AG12" t="str">
            <v>-</v>
          </cell>
          <cell r="AH12" t="str">
            <v>ok, 19/12</v>
          </cell>
          <cell r="AI12" t="str">
            <v>Ñ CONSTA</v>
          </cell>
          <cell r="AJ12" t="str">
            <v>Ñ CONSTA</v>
          </cell>
          <cell r="AK12" t="str">
            <v>Sem reserVA</v>
          </cell>
          <cell r="AL12" t="str">
            <v>-</v>
          </cell>
          <cell r="AM12" t="str">
            <v>-</v>
          </cell>
          <cell r="AN12" t="str">
            <v>-</v>
          </cell>
          <cell r="AO12" t="str">
            <v>-</v>
          </cell>
          <cell r="AP12" t="str">
            <v>-</v>
          </cell>
          <cell r="AQ12" t="str">
            <v>-</v>
          </cell>
          <cell r="AR12" t="str">
            <v>-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>-</v>
          </cell>
        </row>
        <row r="13">
          <cell r="D13" t="str">
            <v>BZG6A91</v>
          </cell>
          <cell r="E13" t="str">
            <v>01274316690</v>
          </cell>
          <cell r="F13" t="str">
            <v>93KP0S1F2ME171056</v>
          </cell>
          <cell r="G13" t="str">
            <v>Volvo</v>
          </cell>
          <cell r="H13" t="str">
            <v>330 8X2 R</v>
          </cell>
          <cell r="I13">
            <v>2021</v>
          </cell>
          <cell r="J13">
            <v>2021</v>
          </cell>
          <cell r="K13" t="str">
            <v>Caminhão / Rollon + Guindaste</v>
          </cell>
          <cell r="L13" t="str">
            <v>Diesel</v>
          </cell>
          <cell r="M13" t="str">
            <v>Branca</v>
          </cell>
          <cell r="N13" t="str">
            <v>Presidente Prudente</v>
          </cell>
          <cell r="O13" t="str">
            <v>1.3.1.4</v>
          </cell>
          <cell r="P13" t="str">
            <v>-</v>
          </cell>
          <cell r="Q13" t="str">
            <v>Regular</v>
          </cell>
          <cell r="R13" t="str">
            <v>Pgto realizado em 13/01/21 - Negociado com Odirlei. - 8x2 - 4º eixo retirado</v>
          </cell>
          <cell r="S13" t="str">
            <v>-</v>
          </cell>
          <cell r="T13" t="str">
            <v>Sagi</v>
          </cell>
          <cell r="U13" t="str">
            <v>Ok</v>
          </cell>
          <cell r="V13" t="str">
            <v>-</v>
          </cell>
          <cell r="W13" t="str">
            <v>-</v>
          </cell>
          <cell r="X13" t="str">
            <v>Ativo</v>
          </cell>
          <cell r="Y13" t="str">
            <v>BZG6A91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OK</v>
          </cell>
          <cell r="AE13" t="str">
            <v>Possui</v>
          </cell>
          <cell r="AF13" t="str">
            <v>-</v>
          </cell>
          <cell r="AG13" t="str">
            <v>-</v>
          </cell>
          <cell r="AH13" t="str">
            <v>Online</v>
          </cell>
          <cell r="AI13" t="str">
            <v>OK</v>
          </cell>
          <cell r="AJ13" t="str">
            <v>VENCIMENTO 11-01-24</v>
          </cell>
          <cell r="AK13" t="str">
            <v>Sem reserVA</v>
          </cell>
          <cell r="AL13">
            <v>179220</v>
          </cell>
          <cell r="AM13">
            <v>44209</v>
          </cell>
          <cell r="AN13">
            <v>350000</v>
          </cell>
          <cell r="AO13" t="str">
            <v>LAPONIA SUDESTE Ltda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</row>
        <row r="14">
          <cell r="D14" t="str">
            <v>BZL7H95</v>
          </cell>
          <cell r="E14" t="str">
            <v>01274597355</v>
          </cell>
          <cell r="F14" t="str">
            <v>93KP0S1FXME171055</v>
          </cell>
          <cell r="G14" t="str">
            <v>Volvo</v>
          </cell>
          <cell r="H14" t="str">
            <v>330 8X2 R</v>
          </cell>
          <cell r="I14">
            <v>2021</v>
          </cell>
          <cell r="J14">
            <v>2021</v>
          </cell>
          <cell r="K14" t="str">
            <v>Caminhão / Rollon + Guindaste</v>
          </cell>
          <cell r="L14" t="str">
            <v>Diesel</v>
          </cell>
          <cell r="M14" t="str">
            <v>Branca</v>
          </cell>
          <cell r="N14" t="str">
            <v>Dourados</v>
          </cell>
          <cell r="O14" t="str">
            <v>1.2.2.4</v>
          </cell>
          <cell r="P14" t="str">
            <v>-</v>
          </cell>
          <cell r="Q14" t="str">
            <v>Regular</v>
          </cell>
          <cell r="R14" t="str">
            <v>Pgto realizado em 13/01/21 - Negociado com Odirlei. - 8x2 - 4º eixo retirado</v>
          </cell>
          <cell r="S14" t="str">
            <v>-</v>
          </cell>
          <cell r="T14" t="str">
            <v>Sagi</v>
          </cell>
          <cell r="U14" t="str">
            <v>Ok</v>
          </cell>
          <cell r="V14" t="str">
            <v>-</v>
          </cell>
          <cell r="W14" t="str">
            <v>Não possui</v>
          </cell>
          <cell r="X14" t="str">
            <v>Ativo</v>
          </cell>
          <cell r="Y14" t="str">
            <v>BZL7H95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OK</v>
          </cell>
          <cell r="AE14" t="str">
            <v>Possui</v>
          </cell>
          <cell r="AF14" t="str">
            <v>Não possui</v>
          </cell>
          <cell r="AG14" t="str">
            <v>-</v>
          </cell>
          <cell r="AH14" t="str">
            <v>Online</v>
          </cell>
          <cell r="AI14" t="str">
            <v>OK</v>
          </cell>
          <cell r="AJ14" t="str">
            <v>VENCIMENTO 13-08-24</v>
          </cell>
          <cell r="AK14" t="str">
            <v>Sem reserVA</v>
          </cell>
          <cell r="AL14">
            <v>179223</v>
          </cell>
          <cell r="AM14">
            <v>44209</v>
          </cell>
          <cell r="AN14">
            <v>350000</v>
          </cell>
          <cell r="AO14" t="str">
            <v>LAPONIA SUDESTE Ltda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</row>
        <row r="15">
          <cell r="D15" t="str">
            <v>BZN1874</v>
          </cell>
          <cell r="E15" t="str">
            <v>00400701960</v>
          </cell>
          <cell r="F15" t="str">
            <v>34400612033102</v>
          </cell>
          <cell r="G15" t="str">
            <v>Mercedes Benz</v>
          </cell>
          <cell r="H15" t="str">
            <v>L 1111</v>
          </cell>
          <cell r="I15">
            <v>1968</v>
          </cell>
          <cell r="J15">
            <v>1968</v>
          </cell>
          <cell r="K15" t="str">
            <v>Caminhão</v>
          </cell>
          <cell r="L15" t="str">
            <v>Diesel</v>
          </cell>
          <cell r="M15" t="str">
            <v>Vermelha</v>
          </cell>
          <cell r="N15" t="str">
            <v>Presidente Prudente</v>
          </cell>
          <cell r="O15" t="str">
            <v>1.3.1.4</v>
          </cell>
          <cell r="P15" t="str">
            <v>Para Venda</v>
          </cell>
          <cell r="Q15" t="str">
            <v>Regular</v>
          </cell>
          <cell r="R15" t="str">
            <v>Chacara - Ta na chacara com o motor fundido - o Ricardo disse que não era pra renovar o seguro mas o Renato AChou melhor renovar pois por conta do ano pode ser que não conseguiremos incluir depois se arrumado</v>
          </cell>
          <cell r="S15" t="str">
            <v>-</v>
          </cell>
          <cell r="T15" t="str">
            <v>Sagi</v>
          </cell>
          <cell r="U15" t="str">
            <v>Ok</v>
          </cell>
          <cell r="V15" t="str">
            <v>-</v>
          </cell>
          <cell r="W15" t="str">
            <v>Ativo</v>
          </cell>
          <cell r="X15" t="str">
            <v>Ativo</v>
          </cell>
          <cell r="Y15" t="str">
            <v>BZN-1874</v>
          </cell>
          <cell r="Z15">
            <v>43137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OK</v>
          </cell>
          <cell r="AE15" t="str">
            <v>Não possui</v>
          </cell>
          <cell r="AF15" t="str">
            <v>Não possui</v>
          </cell>
          <cell r="AG15" t="str">
            <v>HDI - km 200</v>
          </cell>
          <cell r="AH15" t="str">
            <v>ok, 19/12</v>
          </cell>
          <cell r="AI15" t="str">
            <v>OK - GEG</v>
          </cell>
          <cell r="AJ15" t="str">
            <v>VENCIMENTO 13-04-24</v>
          </cell>
          <cell r="AK15" t="str">
            <v>Sem reserVA</v>
          </cell>
          <cell r="AL15" t="str">
            <v>-</v>
          </cell>
          <cell r="AM15" t="str">
            <v>-</v>
          </cell>
          <cell r="AN15" t="str">
            <v>-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</row>
        <row r="16">
          <cell r="D16" t="str">
            <v>CBS5B58</v>
          </cell>
          <cell r="E16" t="str">
            <v>00670836397</v>
          </cell>
          <cell r="F16" t="str">
            <v>9BM695014VB113239</v>
          </cell>
          <cell r="G16" t="str">
            <v>Mercedes Benz</v>
          </cell>
          <cell r="H16" t="str">
            <v>L 1620</v>
          </cell>
          <cell r="I16">
            <v>1997</v>
          </cell>
          <cell r="J16">
            <v>1997</v>
          </cell>
          <cell r="K16" t="str">
            <v>Caminhão / Aberta / Mecanismo Operacional</v>
          </cell>
          <cell r="L16" t="str">
            <v>Diesel</v>
          </cell>
          <cell r="M16" t="str">
            <v>Branca</v>
          </cell>
          <cell r="N16" t="str">
            <v>Campo Grande</v>
          </cell>
          <cell r="O16" t="str">
            <v>-</v>
          </cell>
          <cell r="P16" t="str">
            <v>Para Venda</v>
          </cell>
          <cell r="Q16" t="str">
            <v>Regular</v>
          </cell>
          <cell r="R16" t="str">
            <v>-</v>
          </cell>
          <cell r="S16" t="str">
            <v>-</v>
          </cell>
          <cell r="T16" t="str">
            <v>Sagi</v>
          </cell>
          <cell r="U16" t="str">
            <v>Ok</v>
          </cell>
          <cell r="V16" t="str">
            <v>-</v>
          </cell>
          <cell r="W16" t="str">
            <v>-</v>
          </cell>
          <cell r="X16" t="str">
            <v>Ativo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 t="str">
            <v>-</v>
          </cell>
          <cell r="AI16" t="str">
            <v>Ñ CONSTA</v>
          </cell>
          <cell r="AJ16" t="str">
            <v>VENCIMENTO 24-11-23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</row>
        <row r="17">
          <cell r="D17" t="str">
            <v>CNI0624</v>
          </cell>
          <cell r="E17" t="str">
            <v>00363678670</v>
          </cell>
          <cell r="F17" t="str">
            <v>3210570715602</v>
          </cell>
          <cell r="G17" t="str">
            <v>Mercedes Benz</v>
          </cell>
          <cell r="H17" t="str">
            <v>Carro/Caminhão/Carroceria Aberta</v>
          </cell>
          <cell r="I17">
            <v>1962</v>
          </cell>
          <cell r="J17">
            <v>1962</v>
          </cell>
          <cell r="K17" t="str">
            <v>-</v>
          </cell>
          <cell r="L17" t="str">
            <v>Diesel</v>
          </cell>
          <cell r="M17" t="str">
            <v>Azul</v>
          </cell>
          <cell r="N17" t="str">
            <v>Chácara</v>
          </cell>
          <cell r="O17" t="str">
            <v>1.6.1</v>
          </cell>
          <cell r="P17" t="str">
            <v>Para Venda</v>
          </cell>
          <cell r="Q17" t="str">
            <v>Processo Regularização</v>
          </cell>
          <cell r="R17" t="e">
            <v>#VALUE!</v>
          </cell>
          <cell r="S17" t="str">
            <v>-</v>
          </cell>
          <cell r="T17" t="str">
            <v>-</v>
          </cell>
          <cell r="U17" t="str">
            <v>-</v>
          </cell>
          <cell r="V17" t="str">
            <v>-</v>
          </cell>
          <cell r="W17" t="str">
            <v>Não possui</v>
          </cell>
          <cell r="X17" t="str">
            <v>Não possui</v>
          </cell>
          <cell r="Y17" t="str">
            <v>Não tem</v>
          </cell>
          <cell r="Z17" t="str">
            <v>-</v>
          </cell>
          <cell r="AA17" t="str">
            <v>Isento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Não possui</v>
          </cell>
          <cell r="AF17" t="str">
            <v>Não possui</v>
          </cell>
          <cell r="AG17" t="str">
            <v>-</v>
          </cell>
          <cell r="AH17" t="str">
            <v>Não possui</v>
          </cell>
          <cell r="AI17" t="str">
            <v>Ñ CONSTA</v>
          </cell>
          <cell r="AJ17" t="str">
            <v>Ñ CONSTA</v>
          </cell>
          <cell r="AK17" t="str">
            <v>-</v>
          </cell>
          <cell r="AL17" t="str">
            <v>CONTRATO</v>
          </cell>
          <cell r="AM17" t="str">
            <v>-</v>
          </cell>
          <cell r="AN17" t="str">
            <v>-</v>
          </cell>
          <cell r="AO17" t="str">
            <v>-</v>
          </cell>
          <cell r="AP17" t="str">
            <v>-</v>
          </cell>
          <cell r="AQ17" t="str">
            <v>-</v>
          </cell>
          <cell r="AR17" t="str">
            <v>-</v>
          </cell>
          <cell r="AS17" t="str">
            <v>-</v>
          </cell>
          <cell r="AT17" t="str">
            <v>-</v>
          </cell>
          <cell r="AU17" t="str">
            <v>-</v>
          </cell>
          <cell r="AV17" t="str">
            <v>-</v>
          </cell>
        </row>
        <row r="18">
          <cell r="D18" t="str">
            <v>CZB9484</v>
          </cell>
          <cell r="E18" t="str">
            <v>00852520174</v>
          </cell>
          <cell r="F18" t="str">
            <v>9A9R6502551DV7030</v>
          </cell>
          <cell r="G18" t="str">
            <v>Imavi</v>
          </cell>
          <cell r="H18" t="str">
            <v>RR 2E</v>
          </cell>
          <cell r="I18">
            <v>2005</v>
          </cell>
          <cell r="J18">
            <v>2005</v>
          </cell>
          <cell r="K18" t="str">
            <v>Reboque - Rollon Rollof</v>
          </cell>
          <cell r="L18" t="str">
            <v>-</v>
          </cell>
          <cell r="M18" t="str">
            <v>Preta</v>
          </cell>
          <cell r="N18" t="str">
            <v>-</v>
          </cell>
          <cell r="O18" t="str">
            <v>1.3.1.4</v>
          </cell>
          <cell r="P18" t="str">
            <v>-</v>
          </cell>
          <cell r="Q18" t="str">
            <v>Regular</v>
          </cell>
          <cell r="R18" t="str">
            <v>-</v>
          </cell>
          <cell r="S18" t="str">
            <v>-</v>
          </cell>
          <cell r="T18" t="str">
            <v>Sagi</v>
          </cell>
          <cell r="U18" t="str">
            <v>Ok</v>
          </cell>
          <cell r="V18" t="str">
            <v>-</v>
          </cell>
          <cell r="W18" t="str">
            <v>Não possui</v>
          </cell>
          <cell r="X18" t="str">
            <v>Não possui</v>
          </cell>
          <cell r="Y18" t="str">
            <v>CZB-9484</v>
          </cell>
          <cell r="Z18">
            <v>43145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OK</v>
          </cell>
          <cell r="AE18" t="str">
            <v>Não possui</v>
          </cell>
          <cell r="AF18" t="str">
            <v>Não possui</v>
          </cell>
          <cell r="AG18" t="str">
            <v>-</v>
          </cell>
          <cell r="AH18" t="str">
            <v>ok, 19/12</v>
          </cell>
          <cell r="AI18" t="str">
            <v>OK</v>
          </cell>
          <cell r="AJ18" t="str">
            <v>Ñ CONSTA</v>
          </cell>
          <cell r="AK18" t="str">
            <v>Sem reserVA</v>
          </cell>
          <cell r="AL18" t="str">
            <v>-</v>
          </cell>
          <cell r="AM18" t="str">
            <v>-</v>
          </cell>
          <cell r="AN18" t="str">
            <v>-</v>
          </cell>
          <cell r="AO18" t="str">
            <v>-</v>
          </cell>
          <cell r="AP18" t="str">
            <v>-</v>
          </cell>
          <cell r="AQ18" t="str">
            <v>-</v>
          </cell>
          <cell r="AR18" t="str">
            <v>-</v>
          </cell>
          <cell r="AS18" t="str">
            <v>-</v>
          </cell>
          <cell r="AT18" t="str">
            <v>-</v>
          </cell>
          <cell r="AU18" t="str">
            <v>-</v>
          </cell>
          <cell r="AV18" t="str">
            <v>-</v>
          </cell>
        </row>
        <row r="19">
          <cell r="D19" t="str">
            <v>CZB9994</v>
          </cell>
          <cell r="E19" t="str">
            <v>00944496849</v>
          </cell>
          <cell r="F19" t="str">
            <v>95UMFJ4X27E000005</v>
          </cell>
          <cell r="G19" t="str">
            <v>-</v>
          </cell>
          <cell r="H19" t="str">
            <v>Multiforça MF M20T 4X2</v>
          </cell>
          <cell r="I19">
            <v>2007</v>
          </cell>
          <cell r="J19">
            <v>2007</v>
          </cell>
          <cell r="K19" t="str">
            <v>Reboque - Rollon Rollof</v>
          </cell>
          <cell r="L19" t="str">
            <v>-</v>
          </cell>
          <cell r="M19" t="str">
            <v>Preta</v>
          </cell>
          <cell r="N19" t="str">
            <v>-</v>
          </cell>
          <cell r="O19" t="str">
            <v>1.3.1.4</v>
          </cell>
          <cell r="P19" t="str">
            <v>-</v>
          </cell>
          <cell r="Q19" t="str">
            <v>Regular</v>
          </cell>
          <cell r="R19" t="str">
            <v>-</v>
          </cell>
          <cell r="S19" t="str">
            <v>-</v>
          </cell>
          <cell r="T19" t="str">
            <v>Sagi</v>
          </cell>
          <cell r="U19" t="str">
            <v>Ok</v>
          </cell>
          <cell r="V19" t="str">
            <v>-</v>
          </cell>
          <cell r="W19" t="str">
            <v>Não possui</v>
          </cell>
          <cell r="X19" t="str">
            <v>Não possui</v>
          </cell>
          <cell r="Y19" t="str">
            <v>CZB-9994</v>
          </cell>
          <cell r="Z19">
            <v>43139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OK</v>
          </cell>
          <cell r="AE19" t="str">
            <v>Não possui</v>
          </cell>
          <cell r="AF19" t="str">
            <v>Não possui</v>
          </cell>
          <cell r="AG19" t="str">
            <v>-</v>
          </cell>
          <cell r="AH19" t="str">
            <v>ok, 19/12</v>
          </cell>
          <cell r="AI19" t="str">
            <v>OK</v>
          </cell>
          <cell r="AJ19" t="str">
            <v>Ñ CONSTA</v>
          </cell>
          <cell r="AK19" t="str">
            <v>Sem reserVA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 t="str">
            <v>-</v>
          </cell>
          <cell r="AT19" t="str">
            <v>-</v>
          </cell>
          <cell r="AU19" t="str">
            <v>-</v>
          </cell>
          <cell r="AV19" t="str">
            <v>-</v>
          </cell>
        </row>
        <row r="20">
          <cell r="D20" t="str">
            <v>CZB9H07</v>
          </cell>
          <cell r="E20" t="str">
            <v>00876342810</v>
          </cell>
          <cell r="F20" t="str">
            <v>9BFYCN9T65BB61106</v>
          </cell>
          <cell r="G20" t="str">
            <v>Ford</v>
          </cell>
          <cell r="H20" t="str">
            <v>Cargo 2422 3 Eixos</v>
          </cell>
          <cell r="I20">
            <v>2005</v>
          </cell>
          <cell r="J20">
            <v>2005</v>
          </cell>
          <cell r="K20" t="str">
            <v>Caminhão / Carroceria Aberta</v>
          </cell>
          <cell r="L20" t="str">
            <v>Diesel</v>
          </cell>
          <cell r="M20" t="str">
            <v>Prata</v>
          </cell>
          <cell r="N20" t="str">
            <v>Presidente Prudente</v>
          </cell>
          <cell r="O20" t="str">
            <v>1.3.1.4</v>
          </cell>
          <cell r="P20" t="str">
            <v>-</v>
          </cell>
          <cell r="Q20" t="str">
            <v>Regular</v>
          </cell>
          <cell r="R20" t="str">
            <v>Ferro Novo - Chagas</v>
          </cell>
          <cell r="S20" t="str">
            <v>-</v>
          </cell>
          <cell r="T20" t="str">
            <v>Sagi</v>
          </cell>
          <cell r="U20" t="str">
            <v>Ok</v>
          </cell>
          <cell r="V20" t="str">
            <v>CFT-0004</v>
          </cell>
          <cell r="W20" t="str">
            <v>Ativo</v>
          </cell>
          <cell r="X20" t="str">
            <v>Ativo</v>
          </cell>
          <cell r="Y20" t="str">
            <v>CZB-9H07</v>
          </cell>
          <cell r="Z20">
            <v>43132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Possui</v>
          </cell>
          <cell r="AF20" t="str">
            <v>Não possui</v>
          </cell>
          <cell r="AG20" t="str">
            <v>HDI</v>
          </cell>
          <cell r="AH20" t="str">
            <v>ok, 19/12</v>
          </cell>
          <cell r="AI20" t="str">
            <v>OK</v>
          </cell>
          <cell r="AJ20" t="str">
            <v>VENCIMENTO 19-09-24</v>
          </cell>
          <cell r="AK20" t="str">
            <v>Sem reserVA</v>
          </cell>
          <cell r="AL20" t="str">
            <v>-</v>
          </cell>
          <cell r="AM20" t="str">
            <v>-</v>
          </cell>
          <cell r="AN20" t="str">
            <v>-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 t="str">
            <v>-</v>
          </cell>
          <cell r="AT20" t="str">
            <v>-</v>
          </cell>
          <cell r="AU20" t="str">
            <v>-</v>
          </cell>
          <cell r="AV20" t="str">
            <v>-</v>
          </cell>
        </row>
        <row r="21">
          <cell r="D21" t="str">
            <v>DBP3174</v>
          </cell>
          <cell r="E21" t="str">
            <v>00812226780</v>
          </cell>
          <cell r="F21" t="str">
            <v>9ADJO66234M192858</v>
          </cell>
          <cell r="G21" t="str">
            <v>Randon</v>
          </cell>
          <cell r="H21" t="str">
            <v>SR/Randon SR CO</v>
          </cell>
          <cell r="I21">
            <v>2003</v>
          </cell>
          <cell r="J21">
            <v>2004</v>
          </cell>
          <cell r="K21" t="str">
            <v>-</v>
          </cell>
          <cell r="L21" t="str">
            <v>-</v>
          </cell>
          <cell r="M21" t="str">
            <v>Cinza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Regular</v>
          </cell>
          <cell r="R21" t="str">
            <v>-</v>
          </cell>
          <cell r="S21" t="str">
            <v>-</v>
          </cell>
          <cell r="T21" t="str">
            <v>Sagi</v>
          </cell>
          <cell r="U21" t="str">
            <v>-</v>
          </cell>
          <cell r="V21" t="str">
            <v>-</v>
          </cell>
          <cell r="W21" t="str">
            <v>Não possui</v>
          </cell>
          <cell r="X21" t="str">
            <v>Não possui</v>
          </cell>
          <cell r="Y21" t="str">
            <v>DBP-3174</v>
          </cell>
          <cell r="Z21">
            <v>43124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Não possui</v>
          </cell>
          <cell r="AF21" t="str">
            <v>Não possui</v>
          </cell>
          <cell r="AG21" t="str">
            <v>-</v>
          </cell>
          <cell r="AH21" t="str">
            <v>ok, 21/12</v>
          </cell>
          <cell r="AI21" t="str">
            <v>OK</v>
          </cell>
          <cell r="AJ21" t="str">
            <v>Ñ CONSTA</v>
          </cell>
          <cell r="AK21" t="str">
            <v>Sem reserVA</v>
          </cell>
          <cell r="AL21">
            <v>216813</v>
          </cell>
          <cell r="AM21">
            <v>41095</v>
          </cell>
          <cell r="AN21">
            <v>13000</v>
          </cell>
          <cell r="AO21" t="str">
            <v>JBS AS</v>
          </cell>
          <cell r="AP21" t="str">
            <v>-</v>
          </cell>
          <cell r="AQ21" t="str">
            <v>-</v>
          </cell>
          <cell r="AR21">
            <v>13000</v>
          </cell>
          <cell r="AS21" t="str">
            <v>-</v>
          </cell>
          <cell r="AT21" t="str">
            <v>-</v>
          </cell>
          <cell r="AU21" t="str">
            <v>CARRETA SEMI REBOQUE P CONT ACO 24000KG 12 RO</v>
          </cell>
          <cell r="AV21" t="str">
            <v>-</v>
          </cell>
        </row>
        <row r="22">
          <cell r="D22" t="str">
            <v>DTB6854</v>
          </cell>
          <cell r="E22" t="str">
            <v>00938748106</v>
          </cell>
          <cell r="F22" t="str">
            <v>9EP02093071004824</v>
          </cell>
          <cell r="G22" t="str">
            <v>Noma</v>
          </cell>
          <cell r="H22" t="str">
            <v>SR/Noma SR 3E27 BCG</v>
          </cell>
          <cell r="I22">
            <v>2007</v>
          </cell>
          <cell r="J22">
            <v>2007</v>
          </cell>
          <cell r="K22" t="str">
            <v>Basculante</v>
          </cell>
          <cell r="L22" t="str">
            <v>-</v>
          </cell>
          <cell r="M22" t="str">
            <v>Azul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Regular</v>
          </cell>
          <cell r="R22" t="str">
            <v>Ta na Chacara</v>
          </cell>
          <cell r="S22" t="str">
            <v>-</v>
          </cell>
          <cell r="T22" t="str">
            <v>Sagi</v>
          </cell>
          <cell r="U22" t="str">
            <v>-</v>
          </cell>
          <cell r="V22" t="str">
            <v>-</v>
          </cell>
          <cell r="W22" t="str">
            <v>Não possui</v>
          </cell>
          <cell r="X22" t="str">
            <v>Não possui</v>
          </cell>
          <cell r="Y22" t="str">
            <v>DTB-6854</v>
          </cell>
          <cell r="Z22">
            <v>43137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Não possui</v>
          </cell>
          <cell r="AF22" t="str">
            <v>Não possui</v>
          </cell>
          <cell r="AG22" t="str">
            <v>-</v>
          </cell>
          <cell r="AH22" t="str">
            <v>ok, 21/12</v>
          </cell>
          <cell r="AI22" t="str">
            <v>OK</v>
          </cell>
          <cell r="AJ22" t="str">
            <v>Ñ CONSTA</v>
          </cell>
          <cell r="AK22" t="str">
            <v>Sem reserVA</v>
          </cell>
          <cell r="AL22" t="str">
            <v>-</v>
          </cell>
          <cell r="AM22" t="str">
            <v>-</v>
          </cell>
          <cell r="AN22" t="str">
            <v>-</v>
          </cell>
          <cell r="AO22" t="str">
            <v>-</v>
          </cell>
          <cell r="AP22" t="str">
            <v>-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</row>
        <row r="23">
          <cell r="D23" t="str">
            <v>EEG9C30</v>
          </cell>
          <cell r="E23" t="str">
            <v>01187170426</v>
          </cell>
          <cell r="F23" t="str">
            <v>9BFZH55L8K8317907</v>
          </cell>
          <cell r="G23" t="str">
            <v>Ford</v>
          </cell>
          <cell r="H23" t="str">
            <v>KA SE 1.0 HA C</v>
          </cell>
          <cell r="I23" t="str">
            <v>-</v>
          </cell>
          <cell r="J23" t="str">
            <v>-</v>
          </cell>
          <cell r="K23" t="str">
            <v>Veículo de Passeio</v>
          </cell>
          <cell r="L23" t="str">
            <v>Flex</v>
          </cell>
          <cell r="M23" t="str">
            <v>Branca</v>
          </cell>
          <cell r="N23" t="str">
            <v>Presidente Prudente</v>
          </cell>
          <cell r="O23" t="str">
            <v>1.2.5.2</v>
          </cell>
          <cell r="P23" t="str">
            <v>-</v>
          </cell>
          <cell r="Q23" t="str">
            <v>Regular</v>
          </cell>
          <cell r="R23" t="str">
            <v>-</v>
          </cell>
          <cell r="S23" t="str">
            <v>-</v>
          </cell>
          <cell r="T23" t="str">
            <v>Sagi</v>
          </cell>
          <cell r="U23" t="str">
            <v>Ok</v>
          </cell>
          <cell r="V23" t="str">
            <v>-</v>
          </cell>
          <cell r="W23" t="str">
            <v>Ativo</v>
          </cell>
          <cell r="X23" t="str">
            <v>Ativo</v>
          </cell>
          <cell r="Y23" t="str">
            <v>EEG-9C30</v>
          </cell>
          <cell r="Z23" t="str">
            <v>-</v>
          </cell>
          <cell r="AA23" t="str">
            <v>ok</v>
          </cell>
          <cell r="AB23" t="str">
            <v>ok</v>
          </cell>
          <cell r="AC23" t="str">
            <v>-</v>
          </cell>
          <cell r="AD23" t="str">
            <v>OK</v>
          </cell>
          <cell r="AE23" t="str">
            <v>Possui</v>
          </cell>
          <cell r="AF23" t="str">
            <v>Ativo</v>
          </cell>
          <cell r="AG23" t="str">
            <v>-</v>
          </cell>
          <cell r="AH23" t="str">
            <v>-</v>
          </cell>
          <cell r="AI23" t="str">
            <v>PASSEIO</v>
          </cell>
          <cell r="AJ23" t="str">
            <v>PASSEIO</v>
          </cell>
          <cell r="AK23" t="str">
            <v>Sem reserVA</v>
          </cell>
          <cell r="AL23" t="str">
            <v>-</v>
          </cell>
          <cell r="AM23" t="str">
            <v>-</v>
          </cell>
          <cell r="AN23" t="str">
            <v>-</v>
          </cell>
          <cell r="AO23" t="str">
            <v>-</v>
          </cell>
          <cell r="AP23" t="str">
            <v>-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</row>
        <row r="24">
          <cell r="D24" t="str">
            <v>EGY1I23</v>
          </cell>
          <cell r="E24" t="str">
            <v>01240094881</v>
          </cell>
          <cell r="F24" t="str">
            <v>9BFZH55L9M8057472</v>
          </cell>
          <cell r="G24" t="str">
            <v>Ford</v>
          </cell>
          <cell r="H24" t="str">
            <v>KA SE 1.0 HA C</v>
          </cell>
          <cell r="I24" t="str">
            <v>-</v>
          </cell>
          <cell r="J24" t="str">
            <v>-</v>
          </cell>
          <cell r="K24" t="str">
            <v>Veículo de Passeio</v>
          </cell>
          <cell r="L24" t="str">
            <v>Flex</v>
          </cell>
          <cell r="M24" t="str">
            <v>Branca</v>
          </cell>
          <cell r="N24" t="str">
            <v>Campo Grande</v>
          </cell>
          <cell r="O24" t="str">
            <v>1.2.7.2</v>
          </cell>
          <cell r="P24" t="str">
            <v>-</v>
          </cell>
          <cell r="Q24" t="str">
            <v>Regular</v>
          </cell>
          <cell r="R24" t="str">
            <v>Igor - Aquisição de três veículos iguais, juntos - Contato: Rocha V. Muchiutti - Pgto a Vista</v>
          </cell>
          <cell r="S24" t="str">
            <v>-</v>
          </cell>
          <cell r="T24" t="str">
            <v>Sagi</v>
          </cell>
          <cell r="U24" t="str">
            <v>Ok</v>
          </cell>
          <cell r="V24" t="str">
            <v>-</v>
          </cell>
          <cell r="W24" t="str">
            <v>Ativo</v>
          </cell>
          <cell r="X24" t="str">
            <v>Ativo</v>
          </cell>
          <cell r="Y24" t="str">
            <v>EGY-1l23</v>
          </cell>
          <cell r="Z24" t="str">
            <v>-</v>
          </cell>
          <cell r="AA24" t="str">
            <v>-</v>
          </cell>
          <cell r="AB24" t="str">
            <v>ok</v>
          </cell>
          <cell r="AC24" t="str">
            <v>-</v>
          </cell>
          <cell r="AD24" t="str">
            <v>OK</v>
          </cell>
          <cell r="AE24" t="str">
            <v>Possui</v>
          </cell>
          <cell r="AF24" t="str">
            <v>Ativo</v>
          </cell>
          <cell r="AG24" t="str">
            <v>HDI</v>
          </cell>
          <cell r="AH24" t="str">
            <v>ok, 21/12</v>
          </cell>
          <cell r="AI24" t="str">
            <v>PASSEIO</v>
          </cell>
          <cell r="AJ24" t="str">
            <v>PASSEIO</v>
          </cell>
          <cell r="AK24" t="str">
            <v>Sem reserVA</v>
          </cell>
          <cell r="AL24">
            <v>181589</v>
          </cell>
          <cell r="AM24">
            <v>44098</v>
          </cell>
          <cell r="AN24">
            <v>45990</v>
          </cell>
          <cell r="AO24" t="str">
            <v>V. MUCHIUTT VEICULOS e PECAS Ltda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>
            <v>2</v>
          </cell>
        </row>
        <row r="25">
          <cell r="D25" t="str">
            <v>EJZ7303</v>
          </cell>
          <cell r="E25" t="str">
            <v>00206268920</v>
          </cell>
          <cell r="F25" t="str">
            <v>9BFYCAWY2ABB46976</v>
          </cell>
          <cell r="G25" t="str">
            <v>Ford</v>
          </cell>
          <cell r="H25" t="str">
            <v>Cargo 1832 E Turbo 2P</v>
          </cell>
          <cell r="I25">
            <v>2009</v>
          </cell>
          <cell r="J25">
            <v>2010</v>
          </cell>
          <cell r="K25" t="str">
            <v>Caminhão</v>
          </cell>
          <cell r="L25" t="str">
            <v>Diesel</v>
          </cell>
          <cell r="M25" t="str">
            <v>Branca</v>
          </cell>
          <cell r="N25" t="str">
            <v>Presidente Prudente</v>
          </cell>
          <cell r="O25" t="str">
            <v>1.3.1.4</v>
          </cell>
          <cell r="P25" t="str">
            <v>Para Venda</v>
          </cell>
          <cell r="Q25" t="str">
            <v>Manutenção</v>
          </cell>
          <cell r="R25" t="str">
            <v>01/12 Estava em dourados, veio para prudente para manutenção de guincho em 30/11.</v>
          </cell>
          <cell r="S25" t="str">
            <v>-</v>
          </cell>
          <cell r="T25" t="str">
            <v>Sagi</v>
          </cell>
          <cell r="U25" t="str">
            <v>Ok</v>
          </cell>
          <cell r="V25" t="str">
            <v>CFG-0006</v>
          </cell>
          <cell r="W25" t="str">
            <v>Ativo</v>
          </cell>
          <cell r="X25" t="str">
            <v>Ativo</v>
          </cell>
          <cell r="Y25" t="str">
            <v>EJZ-7303</v>
          </cell>
          <cell r="Z25">
            <v>43129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OK</v>
          </cell>
          <cell r="AE25" t="str">
            <v>Possui</v>
          </cell>
          <cell r="AF25" t="str">
            <v>Não possui</v>
          </cell>
          <cell r="AG25" t="str">
            <v>HDI</v>
          </cell>
          <cell r="AH25" t="str">
            <v>ok, 23/12</v>
          </cell>
          <cell r="AI25" t="str">
            <v>OK</v>
          </cell>
          <cell r="AJ25" t="str">
            <v>VENCIMENTO 26-07-24</v>
          </cell>
          <cell r="AK25" t="str">
            <v>Itau</v>
          </cell>
          <cell r="AL25">
            <v>27768</v>
          </cell>
          <cell r="AM25">
            <v>40169</v>
          </cell>
          <cell r="AN25">
            <v>160000</v>
          </cell>
          <cell r="AO25" t="str">
            <v>FORD MOTOR COMPANY BRASIL Ltda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</row>
        <row r="26">
          <cell r="D26" t="str">
            <v>EJZ7305</v>
          </cell>
          <cell r="E26" t="str">
            <v>00204108985</v>
          </cell>
          <cell r="F26" t="str">
            <v>9BFYCAWY5ABB45014</v>
          </cell>
          <cell r="G26" t="str">
            <v>Ford</v>
          </cell>
          <cell r="H26" t="str">
            <v>Cargo 1832 E</v>
          </cell>
          <cell r="I26">
            <v>2009</v>
          </cell>
          <cell r="J26">
            <v>2010</v>
          </cell>
          <cell r="K26" t="str">
            <v>Caminhão</v>
          </cell>
          <cell r="L26" t="str">
            <v>Diesel</v>
          </cell>
          <cell r="M26" t="str">
            <v>Branca</v>
          </cell>
          <cell r="N26" t="str">
            <v>Presidente Prudente</v>
          </cell>
          <cell r="O26" t="str">
            <v>-</v>
          </cell>
          <cell r="P26" t="str">
            <v>Para Venda</v>
          </cell>
          <cell r="Q26" t="str">
            <v>Regular</v>
          </cell>
          <cell r="R26" t="str">
            <v>01/12 Prudente Marcio</v>
          </cell>
          <cell r="S26" t="str">
            <v>-</v>
          </cell>
          <cell r="T26" t="str">
            <v>Sagi</v>
          </cell>
          <cell r="U26" t="str">
            <v>Ok</v>
          </cell>
          <cell r="V26" t="str">
            <v>CFG-0008</v>
          </cell>
          <cell r="W26" t="str">
            <v>Ativo</v>
          </cell>
          <cell r="X26" t="str">
            <v>Ativo</v>
          </cell>
          <cell r="Y26" t="str">
            <v>EJZ-7305</v>
          </cell>
          <cell r="Z26">
            <v>43132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OK</v>
          </cell>
          <cell r="AE26" t="str">
            <v>Possui</v>
          </cell>
          <cell r="AF26" t="str">
            <v>Não possui</v>
          </cell>
          <cell r="AG26" t="str">
            <v>HDI</v>
          </cell>
          <cell r="AH26" t="str">
            <v>ok, 23/12</v>
          </cell>
          <cell r="AI26" t="str">
            <v>OK</v>
          </cell>
          <cell r="AJ26" t="str">
            <v>VENCIMENTO 24-06-24</v>
          </cell>
          <cell r="AK26" t="str">
            <v>Sem reserVA</v>
          </cell>
          <cell r="AL26">
            <v>27688</v>
          </cell>
          <cell r="AM26">
            <v>40169</v>
          </cell>
          <cell r="AN26">
            <v>160000</v>
          </cell>
          <cell r="AO26" t="str">
            <v>FORD MOTOR COMPANY BRASIL Ltda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</row>
        <row r="27">
          <cell r="D27" t="str">
            <v>EJZ7367</v>
          </cell>
          <cell r="E27" t="str">
            <v>00203475631</v>
          </cell>
          <cell r="F27" t="str">
            <v>9BFYCAWYXABB48670</v>
          </cell>
          <cell r="G27" t="str">
            <v>Ford</v>
          </cell>
          <cell r="H27" t="str">
            <v>Cargo 1832 E</v>
          </cell>
          <cell r="I27">
            <v>2010</v>
          </cell>
          <cell r="J27">
            <v>2010</v>
          </cell>
          <cell r="K27" t="str">
            <v>Caminhão / Rollon Rolloff</v>
          </cell>
          <cell r="L27" t="str">
            <v>Diesel</v>
          </cell>
          <cell r="M27" t="str">
            <v>Branca</v>
          </cell>
          <cell r="N27" t="str">
            <v>Maringá</v>
          </cell>
          <cell r="O27" t="str">
            <v>-</v>
          </cell>
          <cell r="P27" t="str">
            <v>-</v>
          </cell>
          <cell r="Q27" t="str">
            <v>Regular</v>
          </cell>
          <cell r="R27" t="str">
            <v>01/12 Maringa Operando (Ednelson Está com covid) - Boletim de Ocorrencia - 24/11/20</v>
          </cell>
          <cell r="S27" t="str">
            <v>-</v>
          </cell>
          <cell r="T27" t="str">
            <v>Sagi</v>
          </cell>
          <cell r="U27" t="str">
            <v>Ok</v>
          </cell>
          <cell r="V27" t="str">
            <v>CFR-0012</v>
          </cell>
          <cell r="W27" t="str">
            <v>Ativo</v>
          </cell>
          <cell r="X27" t="str">
            <v>Ativo</v>
          </cell>
          <cell r="Y27" t="str">
            <v>EJZ-7367</v>
          </cell>
          <cell r="Z27">
            <v>43132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OK</v>
          </cell>
          <cell r="AE27" t="str">
            <v>Possui</v>
          </cell>
          <cell r="AF27" t="str">
            <v>Não possui</v>
          </cell>
          <cell r="AG27" t="str">
            <v>HDI</v>
          </cell>
          <cell r="AH27" t="str">
            <v>ok, 23/12</v>
          </cell>
          <cell r="AI27" t="str">
            <v>OK</v>
          </cell>
          <cell r="AJ27" t="str">
            <v>VENCIMENTO 09-02-24</v>
          </cell>
          <cell r="AK27" t="str">
            <v>Santander</v>
          </cell>
          <cell r="AL27">
            <v>28644</v>
          </cell>
          <cell r="AM27">
            <v>40192</v>
          </cell>
          <cell r="AN27">
            <v>160000</v>
          </cell>
          <cell r="AO27" t="str">
            <v>FORD MOTOR COMPANY BRASIL Ltda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</row>
        <row r="28">
          <cell r="D28" t="str">
            <v>EJZ7368</v>
          </cell>
          <cell r="E28" t="str">
            <v>00203929314</v>
          </cell>
          <cell r="F28" t="str">
            <v>9BFCAWT8ABB46979</v>
          </cell>
          <cell r="G28" t="str">
            <v>Ford</v>
          </cell>
          <cell r="H28" t="str">
            <v>Cargo 1832 E</v>
          </cell>
          <cell r="I28">
            <v>2009</v>
          </cell>
          <cell r="J28">
            <v>2010</v>
          </cell>
          <cell r="K28" t="str">
            <v>Caminhão / Rollon Rolloff</v>
          </cell>
          <cell r="L28" t="str">
            <v xml:space="preserve">Diesel </v>
          </cell>
          <cell r="M28" t="str">
            <v>Branca</v>
          </cell>
          <cell r="N28" t="str">
            <v>Presidente Prudente</v>
          </cell>
          <cell r="O28" t="str">
            <v>-</v>
          </cell>
          <cell r="P28" t="str">
            <v>-</v>
          </cell>
          <cell r="Q28" t="str">
            <v>Regular</v>
          </cell>
          <cell r="R28" t="str">
            <v>01/12 Prudente Operando (anderson motorista novo)</v>
          </cell>
          <cell r="S28" t="str">
            <v>-</v>
          </cell>
          <cell r="T28" t="str">
            <v>Sagi</v>
          </cell>
          <cell r="U28" t="str">
            <v>Ok</v>
          </cell>
          <cell r="V28" t="str">
            <v>CFR-0009</v>
          </cell>
          <cell r="W28" t="str">
            <v>Ativo</v>
          </cell>
          <cell r="X28" t="str">
            <v>Ativo</v>
          </cell>
          <cell r="Y28" t="str">
            <v>EJZ-7368</v>
          </cell>
          <cell r="Z28">
            <v>43139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OK</v>
          </cell>
          <cell r="AE28" t="str">
            <v>Possui</v>
          </cell>
          <cell r="AF28" t="str">
            <v>Não possui</v>
          </cell>
          <cell r="AG28" t="str">
            <v>HDI</v>
          </cell>
          <cell r="AH28" t="str">
            <v>ok, 23/12</v>
          </cell>
          <cell r="AI28" t="str">
            <v>OK</v>
          </cell>
          <cell r="AJ28" t="str">
            <v>VENCIMENTO 24-06-24</v>
          </cell>
          <cell r="AK28" t="str">
            <v>Sem reserVA</v>
          </cell>
          <cell r="AL28">
            <v>28327</v>
          </cell>
          <cell r="AM28">
            <v>40185</v>
          </cell>
          <cell r="AN28">
            <v>160000</v>
          </cell>
          <cell r="AO28" t="str">
            <v>FORD MOTOR COMPANY BRASIL Ltda</v>
          </cell>
          <cell r="AP28" t="str">
            <v>-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  <cell r="AU28" t="str">
            <v>-</v>
          </cell>
          <cell r="AV28" t="str">
            <v>-</v>
          </cell>
        </row>
        <row r="29">
          <cell r="D29" t="str">
            <v>EJZ7392</v>
          </cell>
          <cell r="E29" t="str">
            <v>00209059842</v>
          </cell>
          <cell r="F29" t="str">
            <v>9A9R9402AAGEC3009</v>
          </cell>
          <cell r="G29" t="str">
            <v>-</v>
          </cell>
          <cell r="H29" t="str">
            <v>Busa Ronoff 2E</v>
          </cell>
          <cell r="I29">
            <v>2010</v>
          </cell>
          <cell r="J29">
            <v>2010</v>
          </cell>
          <cell r="K29" t="str">
            <v>Reboque - Carroceria Aberta</v>
          </cell>
          <cell r="L29" t="str">
            <v>-</v>
          </cell>
          <cell r="M29" t="str">
            <v>Preta</v>
          </cell>
          <cell r="N29" t="str">
            <v>-</v>
          </cell>
          <cell r="O29" t="str">
            <v>1.3.1.4</v>
          </cell>
          <cell r="P29" t="str">
            <v>-</v>
          </cell>
          <cell r="Q29" t="str">
            <v>Regular</v>
          </cell>
          <cell r="R29" t="str">
            <v>01/12  JULIETA TOCO BUSA (PARADA NA CHACARA) AGUARDANDO atIvaÇÃO</v>
          </cell>
          <cell r="S29" t="str">
            <v>-</v>
          </cell>
          <cell r="T29" t="str">
            <v>Sagi</v>
          </cell>
          <cell r="U29" t="str">
            <v>Ok</v>
          </cell>
          <cell r="V29" t="str">
            <v>-</v>
          </cell>
          <cell r="W29" t="str">
            <v>Não possui</v>
          </cell>
          <cell r="X29" t="str">
            <v>Não possui</v>
          </cell>
          <cell r="Y29" t="str">
            <v>EJZ-7392</v>
          </cell>
          <cell r="Z29">
            <v>43139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OK</v>
          </cell>
          <cell r="AE29" t="str">
            <v>Não possui</v>
          </cell>
          <cell r="AF29" t="str">
            <v>Não possui</v>
          </cell>
          <cell r="AG29" t="str">
            <v>-</v>
          </cell>
          <cell r="AH29" t="str">
            <v>ok, 23/12</v>
          </cell>
          <cell r="AI29" t="str">
            <v>OK</v>
          </cell>
          <cell r="AJ29" t="str">
            <v>Ñ CONSTA</v>
          </cell>
          <cell r="AK29" t="str">
            <v>Santander</v>
          </cell>
          <cell r="AL29">
            <v>882</v>
          </cell>
          <cell r="AM29">
            <v>40239</v>
          </cell>
          <cell r="AN29">
            <v>35000</v>
          </cell>
          <cell r="AO29" t="str">
            <v>BUSA IND. COM. MAQS. AGRICS. Ltda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  <cell r="AU29" t="str">
            <v>-</v>
          </cell>
          <cell r="AV29" t="str">
            <v>-</v>
          </cell>
        </row>
        <row r="30">
          <cell r="D30" t="str">
            <v>EJZ7495</v>
          </cell>
          <cell r="E30" t="str">
            <v>00224946960</v>
          </cell>
          <cell r="F30" t="str">
            <v>9BFVCE1N7ABB60573</v>
          </cell>
          <cell r="G30" t="str">
            <v>Ford</v>
          </cell>
          <cell r="H30" t="str">
            <v>Cargo 815 E</v>
          </cell>
          <cell r="I30">
            <v>2010</v>
          </cell>
          <cell r="J30">
            <v>2010</v>
          </cell>
          <cell r="K30" t="str">
            <v>Caminhão</v>
          </cell>
          <cell r="L30" t="str">
            <v>Diesel</v>
          </cell>
          <cell r="M30" t="str">
            <v>Branca</v>
          </cell>
          <cell r="N30" t="str">
            <v>Presidente Prudente</v>
          </cell>
          <cell r="O30" t="str">
            <v>1.3.1.4</v>
          </cell>
          <cell r="P30" t="str">
            <v>-</v>
          </cell>
          <cell r="Q30" t="str">
            <v>Regular</v>
          </cell>
          <cell r="R30" t="str">
            <v>01/12 CAMINHÃO 3/4 CARROCERIA MADEIRA - LOJA BRAÇOFER OPERANDO</v>
          </cell>
          <cell r="S30" t="str">
            <v>-</v>
          </cell>
          <cell r="T30" t="str">
            <v>Sagi</v>
          </cell>
          <cell r="U30" t="str">
            <v>Ok</v>
          </cell>
          <cell r="V30" t="str">
            <v>CFL-0013</v>
          </cell>
          <cell r="W30" t="str">
            <v>Ativo</v>
          </cell>
          <cell r="X30" t="str">
            <v>Ativo</v>
          </cell>
          <cell r="Y30" t="str">
            <v>EJZ-7495</v>
          </cell>
          <cell r="Z30">
            <v>43132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OK</v>
          </cell>
          <cell r="AE30" t="str">
            <v>Possui</v>
          </cell>
          <cell r="AF30" t="str">
            <v>Não possui</v>
          </cell>
          <cell r="AG30" t="str">
            <v>HDI</v>
          </cell>
          <cell r="AH30" t="str">
            <v>ok, 23/12</v>
          </cell>
          <cell r="AI30" t="str">
            <v>OK</v>
          </cell>
          <cell r="AJ30" t="str">
            <v>VENCIMENTO 10-10-24</v>
          </cell>
          <cell r="AK30" t="str">
            <v>Sem reserVA</v>
          </cell>
          <cell r="AL30">
            <v>39096</v>
          </cell>
          <cell r="AM30">
            <v>40347</v>
          </cell>
          <cell r="AN30">
            <v>90000</v>
          </cell>
          <cell r="AO30" t="str">
            <v>FORD MOTOR COMPANY BRASIL Ltda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 t="str">
            <v>-</v>
          </cell>
          <cell r="AV30" t="str">
            <v>-</v>
          </cell>
        </row>
        <row r="31">
          <cell r="D31" t="str">
            <v>EJZ7496</v>
          </cell>
          <cell r="E31" t="str">
            <v>00224944681</v>
          </cell>
          <cell r="F31" t="str">
            <v>9BFVCE1N1ABB60584</v>
          </cell>
          <cell r="G31" t="str">
            <v>Ford</v>
          </cell>
          <cell r="H31" t="str">
            <v>Cargo 815 E</v>
          </cell>
          <cell r="I31">
            <v>2010</v>
          </cell>
          <cell r="J31">
            <v>2010</v>
          </cell>
          <cell r="K31" t="str">
            <v>Caminhão / Carroceria Aberta</v>
          </cell>
          <cell r="L31" t="str">
            <v>Diesel</v>
          </cell>
          <cell r="M31" t="str">
            <v>Branca</v>
          </cell>
          <cell r="N31" t="str">
            <v>Presidente Prudente</v>
          </cell>
          <cell r="O31" t="str">
            <v>1.3.1.4</v>
          </cell>
          <cell r="P31" t="str">
            <v>-</v>
          </cell>
          <cell r="Q31" t="str">
            <v>Regular</v>
          </cell>
          <cell r="R31" t="str">
            <v>01/12 CAMINHAO 3/4 CARROCERIA MADEIRA - LOJA BRAÇOFER OPERANDO</v>
          </cell>
          <cell r="S31" t="str">
            <v>-</v>
          </cell>
          <cell r="T31" t="str">
            <v>Sagi</v>
          </cell>
          <cell r="U31" t="str">
            <v>Ok</v>
          </cell>
          <cell r="V31" t="str">
            <v>CFL-0014</v>
          </cell>
          <cell r="W31" t="str">
            <v>Ativo</v>
          </cell>
          <cell r="X31" t="str">
            <v>Ativo</v>
          </cell>
          <cell r="Y31" t="str">
            <v>EJZ-7496</v>
          </cell>
          <cell r="Z31">
            <v>43132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OK</v>
          </cell>
          <cell r="AE31" t="str">
            <v>Não possui</v>
          </cell>
          <cell r="AF31" t="str">
            <v>Não possui</v>
          </cell>
          <cell r="AG31" t="str">
            <v>HDI</v>
          </cell>
          <cell r="AH31" t="str">
            <v>ok, 23/12</v>
          </cell>
          <cell r="AI31" t="str">
            <v>OK</v>
          </cell>
          <cell r="AJ31" t="str">
            <v>VENCIMENTO 06-10-24</v>
          </cell>
          <cell r="AK31" t="str">
            <v>Sem reserVA</v>
          </cell>
          <cell r="AL31">
            <v>39095</v>
          </cell>
          <cell r="AM31">
            <v>40347</v>
          </cell>
          <cell r="AN31">
            <v>90000</v>
          </cell>
          <cell r="AO31" t="str">
            <v>FORD MOTOR COMPANY BRASIL Ltda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-</v>
          </cell>
          <cell r="AU31" t="str">
            <v>-</v>
          </cell>
          <cell r="AV31" t="str">
            <v>-</v>
          </cell>
        </row>
        <row r="32">
          <cell r="D32" t="str">
            <v>EJZ7716</v>
          </cell>
          <cell r="E32" t="str">
            <v>00321721632</v>
          </cell>
          <cell r="F32" t="str">
            <v>95UMFJ4X2BE000071</v>
          </cell>
          <cell r="G32" t="str">
            <v>-</v>
          </cell>
          <cell r="H32" t="str">
            <v>Multiforça MF M20T 4X2</v>
          </cell>
          <cell r="I32">
            <v>2011</v>
          </cell>
          <cell r="J32">
            <v>2011</v>
          </cell>
          <cell r="K32" t="str">
            <v>Reboque - Rollon Rollof</v>
          </cell>
          <cell r="L32" t="str">
            <v>-</v>
          </cell>
          <cell r="M32" t="str">
            <v>Preta</v>
          </cell>
          <cell r="N32" t="str">
            <v>-</v>
          </cell>
          <cell r="O32" t="str">
            <v>1.3.1.4</v>
          </cell>
          <cell r="P32" t="str">
            <v>-</v>
          </cell>
          <cell r="Q32" t="str">
            <v>Regular</v>
          </cell>
          <cell r="R32" t="str">
            <v>01/12 JULIETA 4X2 MULTIFORÇA - RESERva OPERANDO DISTRITO</v>
          </cell>
          <cell r="S32" t="str">
            <v>-</v>
          </cell>
          <cell r="T32" t="str">
            <v>Sagi</v>
          </cell>
          <cell r="U32" t="str">
            <v>Ok</v>
          </cell>
          <cell r="V32" t="str">
            <v>-</v>
          </cell>
          <cell r="W32" t="str">
            <v>Não possui</v>
          </cell>
          <cell r="X32" t="str">
            <v>Não possui</v>
          </cell>
          <cell r="Y32" t="str">
            <v>EJZ-7716</v>
          </cell>
          <cell r="Z32">
            <v>43137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OK</v>
          </cell>
          <cell r="AE32" t="str">
            <v>Não possui</v>
          </cell>
          <cell r="AF32" t="str">
            <v>Não possui</v>
          </cell>
          <cell r="AG32" t="str">
            <v>-</v>
          </cell>
          <cell r="AH32" t="str">
            <v>ok, 23/12</v>
          </cell>
          <cell r="AI32" t="str">
            <v>OK</v>
          </cell>
          <cell r="AJ32" t="str">
            <v>Ñ CONSTA</v>
          </cell>
          <cell r="AK32" t="str">
            <v>Sem reserVA</v>
          </cell>
          <cell r="AL32">
            <v>837</v>
          </cell>
          <cell r="AM32">
            <v>40640</v>
          </cell>
          <cell r="AN32">
            <v>16000</v>
          </cell>
          <cell r="AO32" t="str">
            <v>MULTIFORCA IND COM Ltda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 t="str">
            <v>EQUIPAMENTO REBOQUE JULIETA</v>
          </cell>
          <cell r="AV32" t="str">
            <v>-</v>
          </cell>
        </row>
        <row r="33">
          <cell r="D33" t="str">
            <v>EJZ7734</v>
          </cell>
          <cell r="E33" t="str">
            <v>00321722396</v>
          </cell>
          <cell r="F33" t="str">
            <v>95UMFJ4X2BE000070</v>
          </cell>
          <cell r="G33" t="str">
            <v>-</v>
          </cell>
          <cell r="H33" t="str">
            <v>Multiforça MF M20T 4X2</v>
          </cell>
          <cell r="I33">
            <v>2011</v>
          </cell>
          <cell r="J33">
            <v>2011</v>
          </cell>
          <cell r="K33" t="str">
            <v>Reboque - Rollon Rollof</v>
          </cell>
          <cell r="L33" t="str">
            <v>-</v>
          </cell>
          <cell r="M33" t="str">
            <v>Preta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Regular</v>
          </cell>
          <cell r="R33" t="str">
            <v>01/12 JULIETA 4X2 BUSA -( PARADA NA CHACARA ) AGUARDANDO atIvaÇÃO</v>
          </cell>
          <cell r="S33" t="str">
            <v>-</v>
          </cell>
          <cell r="T33" t="str">
            <v>Sagi</v>
          </cell>
          <cell r="U33" t="str">
            <v>-</v>
          </cell>
          <cell r="V33" t="str">
            <v>-</v>
          </cell>
          <cell r="W33" t="str">
            <v>Não possui</v>
          </cell>
          <cell r="X33" t="str">
            <v>Não possui</v>
          </cell>
          <cell r="Y33" t="str">
            <v>EJZ-7734</v>
          </cell>
          <cell r="Z33">
            <v>43124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Não possui</v>
          </cell>
          <cell r="AF33" t="str">
            <v>Não possui</v>
          </cell>
          <cell r="AG33" t="str">
            <v>-</v>
          </cell>
          <cell r="AH33" t="str">
            <v>ok, 23/12</v>
          </cell>
          <cell r="AI33" t="str">
            <v>OK</v>
          </cell>
          <cell r="AJ33" t="str">
            <v>Ñ CONSTA</v>
          </cell>
          <cell r="AK33" t="str">
            <v>Sem reserVA</v>
          </cell>
          <cell r="AL33">
            <v>836</v>
          </cell>
          <cell r="AM33">
            <v>40640</v>
          </cell>
          <cell r="AN33">
            <v>16000</v>
          </cell>
          <cell r="AO33" t="str">
            <v>MULTIFORCA IND COM Ltda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-</v>
          </cell>
          <cell r="AU33" t="str">
            <v>EQUIPAMENTO REBOQUE JULIETA</v>
          </cell>
          <cell r="AV33" t="str">
            <v>-</v>
          </cell>
        </row>
        <row r="34">
          <cell r="D34" t="str">
            <v>EJZ7735</v>
          </cell>
          <cell r="E34" t="str">
            <v>00321723058</v>
          </cell>
          <cell r="F34" t="str">
            <v>95UMFJ4X2BE000069</v>
          </cell>
          <cell r="G34" t="str">
            <v>-</v>
          </cell>
          <cell r="H34" t="str">
            <v>Multiforça MF M20T 4X2</v>
          </cell>
          <cell r="I34">
            <v>2011</v>
          </cell>
          <cell r="J34">
            <v>2011</v>
          </cell>
          <cell r="K34" t="str">
            <v>Reboque - Rollon Rollof</v>
          </cell>
          <cell r="L34" t="str">
            <v>-</v>
          </cell>
          <cell r="M34" t="str">
            <v>Preta</v>
          </cell>
          <cell r="N34" t="str">
            <v>-</v>
          </cell>
          <cell r="O34" t="str">
            <v>1.3.1.4</v>
          </cell>
          <cell r="P34" t="str">
            <v>-</v>
          </cell>
          <cell r="Q34" t="str">
            <v>Regular</v>
          </cell>
          <cell r="R34" t="str">
            <v>01/12 JULIETA 4X2 MULTIFORÇA - DOURADOS OPERANDO</v>
          </cell>
          <cell r="S34" t="str">
            <v>-</v>
          </cell>
          <cell r="T34" t="str">
            <v>Sagi</v>
          </cell>
          <cell r="U34" t="str">
            <v>-</v>
          </cell>
          <cell r="V34" t="str">
            <v>-</v>
          </cell>
          <cell r="W34" t="str">
            <v>Não possui</v>
          </cell>
          <cell r="X34" t="str">
            <v>Não possui</v>
          </cell>
          <cell r="Y34" t="str">
            <v>EJZ-7735</v>
          </cell>
          <cell r="Z34">
            <v>43137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Não possui</v>
          </cell>
          <cell r="AF34" t="str">
            <v>Não possui</v>
          </cell>
          <cell r="AG34" t="str">
            <v>-</v>
          </cell>
          <cell r="AH34" t="str">
            <v>ok, 23/12</v>
          </cell>
          <cell r="AI34" t="str">
            <v>OK</v>
          </cell>
          <cell r="AJ34" t="str">
            <v>Ñ CONSTA</v>
          </cell>
          <cell r="AK34" t="str">
            <v>Sem reserVA</v>
          </cell>
          <cell r="AL34" t="str">
            <v>EJZ7392</v>
          </cell>
          <cell r="AM34">
            <v>40640</v>
          </cell>
          <cell r="AN34">
            <v>16000</v>
          </cell>
          <cell r="AO34" t="str">
            <v>MULTIFORCA IND COM Ltda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EQUIPAMENTO REBOQUE JULIETA</v>
          </cell>
          <cell r="AV34" t="str">
            <v>-</v>
          </cell>
        </row>
        <row r="35">
          <cell r="D35" t="str">
            <v>EJZ7998</v>
          </cell>
          <cell r="E35" t="str">
            <v>00232414572</v>
          </cell>
          <cell r="F35" t="str">
            <v>9BFXCE2UXBBB63127</v>
          </cell>
          <cell r="G35" t="str">
            <v>Ford</v>
          </cell>
          <cell r="H35" t="str">
            <v>Cargo 1317 E</v>
          </cell>
          <cell r="I35">
            <v>2010</v>
          </cell>
          <cell r="J35">
            <v>2011</v>
          </cell>
          <cell r="K35" t="str">
            <v>Caminhão / Toco</v>
          </cell>
          <cell r="L35" t="str">
            <v>Diesel</v>
          </cell>
          <cell r="M35" t="str">
            <v>Branca</v>
          </cell>
          <cell r="N35" t="str">
            <v>Presidente Prudente</v>
          </cell>
          <cell r="O35" t="str">
            <v>1.2.3.4</v>
          </cell>
          <cell r="P35" t="str">
            <v>-</v>
          </cell>
          <cell r="Q35" t="str">
            <v>Regular</v>
          </cell>
          <cell r="R35" t="str">
            <v>02/12 CAMINHÃO POLI SIMPLES - MARINGA OPERANDO</v>
          </cell>
          <cell r="S35" t="str">
            <v>-</v>
          </cell>
          <cell r="T35" t="str">
            <v>Sagi</v>
          </cell>
          <cell r="U35" t="str">
            <v>Ok</v>
          </cell>
          <cell r="V35" t="str">
            <v>CFP-0018</v>
          </cell>
          <cell r="W35" t="str">
            <v>Ativo</v>
          </cell>
          <cell r="X35" t="str">
            <v>Ativo</v>
          </cell>
          <cell r="Y35" t="str">
            <v>EJZ-7998</v>
          </cell>
          <cell r="Z35">
            <v>43137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OK</v>
          </cell>
          <cell r="AE35" t="str">
            <v>Não possui</v>
          </cell>
          <cell r="AF35" t="str">
            <v>Não possui</v>
          </cell>
          <cell r="AG35" t="str">
            <v>HDI</v>
          </cell>
          <cell r="AH35" t="str">
            <v>ok, 23/12</v>
          </cell>
          <cell r="AI35" t="str">
            <v>OK</v>
          </cell>
          <cell r="AJ35" t="str">
            <v>VENCIMENTO 28-01-24</v>
          </cell>
          <cell r="AK35" t="str">
            <v>Sem reserVA</v>
          </cell>
          <cell r="AL35">
            <v>40950</v>
          </cell>
          <cell r="AM35">
            <v>40381</v>
          </cell>
          <cell r="AN35">
            <v>110000</v>
          </cell>
          <cell r="AO35" t="str">
            <v>FORD MOTOR COMPANY BRASIL Ltda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</row>
        <row r="36">
          <cell r="D36" t="str">
            <v>EJZ7999</v>
          </cell>
          <cell r="E36" t="str">
            <v>00232416028</v>
          </cell>
          <cell r="F36" t="str">
            <v>9BFXCE2U9BBB63118</v>
          </cell>
          <cell r="G36" t="str">
            <v>Ford</v>
          </cell>
          <cell r="H36" t="str">
            <v>Cargo 1317 E</v>
          </cell>
          <cell r="I36">
            <v>2010</v>
          </cell>
          <cell r="J36">
            <v>2011</v>
          </cell>
          <cell r="K36" t="str">
            <v>Caminhão / Toco</v>
          </cell>
          <cell r="L36" t="str">
            <v>Diesel</v>
          </cell>
          <cell r="M36" t="str">
            <v>Branca</v>
          </cell>
          <cell r="N36" t="str">
            <v>Maringá</v>
          </cell>
          <cell r="O36" t="str">
            <v>1.2.4.4</v>
          </cell>
          <cell r="P36" t="str">
            <v>-</v>
          </cell>
          <cell r="Q36" t="str">
            <v>Regular</v>
          </cell>
          <cell r="R36" t="str">
            <v>02/12 CAMINHÃO POLI SIMPLES - DISTRITO OPERANDO</v>
          </cell>
          <cell r="S36" t="str">
            <v>-</v>
          </cell>
          <cell r="T36" t="str">
            <v>Sagi</v>
          </cell>
          <cell r="U36" t="str">
            <v>Ok</v>
          </cell>
          <cell r="V36" t="str">
            <v>CFP-0019</v>
          </cell>
          <cell r="W36" t="str">
            <v>Ativo</v>
          </cell>
          <cell r="X36" t="str">
            <v>Ativo</v>
          </cell>
          <cell r="Y36" t="str">
            <v>EJZ-7999</v>
          </cell>
          <cell r="Z36">
            <v>43137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OK</v>
          </cell>
          <cell r="AE36" t="str">
            <v>Não possui</v>
          </cell>
          <cell r="AF36" t="str">
            <v>Não possui</v>
          </cell>
          <cell r="AG36" t="str">
            <v>HDI</v>
          </cell>
          <cell r="AH36" t="str">
            <v>ok, 23/12</v>
          </cell>
          <cell r="AI36" t="str">
            <v>OK</v>
          </cell>
          <cell r="AJ36" t="str">
            <v>VENCIMENTO  08-02-24</v>
          </cell>
          <cell r="AK36" t="str">
            <v>Sem reserVA</v>
          </cell>
          <cell r="AL36">
            <v>40952</v>
          </cell>
          <cell r="AM36">
            <v>40381</v>
          </cell>
          <cell r="AN36">
            <v>110000</v>
          </cell>
          <cell r="AO36" t="str">
            <v>FORD MOTOR COMPANY BRASIL Ltda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</row>
        <row r="37">
          <cell r="D37" t="str">
            <v>EJZ7D04</v>
          </cell>
          <cell r="E37" t="str">
            <v>00203465792</v>
          </cell>
          <cell r="F37" t="str">
            <v>9BFYCAWY0ABB46975</v>
          </cell>
          <cell r="G37" t="str">
            <v>Ford</v>
          </cell>
          <cell r="H37" t="str">
            <v>Cargo 1832 E Turbo 2P</v>
          </cell>
          <cell r="I37">
            <v>2009</v>
          </cell>
          <cell r="J37">
            <v>2010</v>
          </cell>
          <cell r="K37" t="str">
            <v>Caminhão</v>
          </cell>
          <cell r="L37" t="str">
            <v>Diesel</v>
          </cell>
          <cell r="M37" t="str">
            <v>Branca</v>
          </cell>
          <cell r="N37" t="str">
            <v>Presidente Prudente</v>
          </cell>
          <cell r="O37" t="str">
            <v>-</v>
          </cell>
          <cell r="P37" t="str">
            <v>-</v>
          </cell>
          <cell r="Q37" t="str">
            <v>Regular</v>
          </cell>
          <cell r="R37" t="str">
            <v>01/12 Prudente Juliano</v>
          </cell>
          <cell r="S37" t="str">
            <v>-</v>
          </cell>
          <cell r="T37" t="str">
            <v>Sagi</v>
          </cell>
          <cell r="U37" t="str">
            <v>Ok</v>
          </cell>
          <cell r="V37" t="str">
            <v>CFG-0007</v>
          </cell>
          <cell r="W37" t="str">
            <v>Ativo</v>
          </cell>
          <cell r="X37" t="str">
            <v>Ativo</v>
          </cell>
          <cell r="Y37" t="str">
            <v>EJZ-7304</v>
          </cell>
          <cell r="Z37">
            <v>43131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OK</v>
          </cell>
          <cell r="AE37" t="str">
            <v>Possui</v>
          </cell>
          <cell r="AF37" t="str">
            <v>Não possui</v>
          </cell>
          <cell r="AG37" t="str">
            <v>HDI</v>
          </cell>
          <cell r="AH37" t="str">
            <v>ok, 23/12</v>
          </cell>
          <cell r="AI37" t="str">
            <v>OK</v>
          </cell>
          <cell r="AJ37" t="str">
            <v>VENCIMENTO 22-06-24</v>
          </cell>
          <cell r="AK37" t="str">
            <v>Itau</v>
          </cell>
          <cell r="AL37">
            <v>27687</v>
          </cell>
          <cell r="AM37">
            <v>40169</v>
          </cell>
          <cell r="AN37">
            <v>160000</v>
          </cell>
          <cell r="AO37" t="str">
            <v>FORD MOTOR COMPANY BRASIL Ltda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 t="str">
            <v>-</v>
          </cell>
        </row>
        <row r="38">
          <cell r="D38" t="str">
            <v>EJZ7J97</v>
          </cell>
          <cell r="E38" t="str">
            <v>00257747885</v>
          </cell>
          <cell r="F38" t="str">
            <v>9BFXCE2U5BBB63147</v>
          </cell>
          <cell r="G38" t="str">
            <v>Ford</v>
          </cell>
          <cell r="H38" t="str">
            <v>Cargo 1317 E</v>
          </cell>
          <cell r="I38">
            <v>2010</v>
          </cell>
          <cell r="J38">
            <v>2011</v>
          </cell>
          <cell r="K38" t="str">
            <v>Caminhão / Toco</v>
          </cell>
          <cell r="L38" t="str">
            <v>Diesel</v>
          </cell>
          <cell r="M38" t="str">
            <v>Branca</v>
          </cell>
          <cell r="N38" t="str">
            <v>Presidente Prudente</v>
          </cell>
          <cell r="O38" t="str">
            <v>1.3.1.4</v>
          </cell>
          <cell r="P38" t="str">
            <v>-</v>
          </cell>
          <cell r="Q38" t="str">
            <v>Regular</v>
          </cell>
          <cell r="R38" t="str">
            <v>02/12 CAMINHÃO POLI DUPLO - LONDRINA OPERANDO</v>
          </cell>
          <cell r="S38" t="str">
            <v>-</v>
          </cell>
          <cell r="T38" t="str">
            <v>Sagi</v>
          </cell>
          <cell r="U38" t="str">
            <v>Ok</v>
          </cell>
          <cell r="V38" t="str">
            <v>CFP-0017</v>
          </cell>
          <cell r="W38" t="str">
            <v>Ativo</v>
          </cell>
          <cell r="X38" t="str">
            <v>Ativo</v>
          </cell>
          <cell r="Y38" t="str">
            <v>EJZ-7J97</v>
          </cell>
          <cell r="Z38">
            <v>43132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OK</v>
          </cell>
          <cell r="AE38" t="str">
            <v>Não possui</v>
          </cell>
          <cell r="AF38" t="str">
            <v>Não possui</v>
          </cell>
          <cell r="AG38" t="str">
            <v>HDI</v>
          </cell>
          <cell r="AH38" t="str">
            <v>ok, 23/12</v>
          </cell>
          <cell r="AI38" t="str">
            <v>OK</v>
          </cell>
          <cell r="AJ38" t="str">
            <v>VENCIMENTO 19-02-24</v>
          </cell>
          <cell r="AK38" t="str">
            <v>Sem reserVA</v>
          </cell>
          <cell r="AL38">
            <v>40951</v>
          </cell>
          <cell r="AM38">
            <v>40381</v>
          </cell>
          <cell r="AN38">
            <v>110000</v>
          </cell>
          <cell r="AO38" t="str">
            <v>FORD MOTOR COMPANY BRASIL Ltda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 t="str">
            <v>-</v>
          </cell>
        </row>
        <row r="39">
          <cell r="D39" t="str">
            <v>EOF2B17</v>
          </cell>
          <cell r="E39" t="str">
            <v>01187307529</v>
          </cell>
          <cell r="F39" t="str">
            <v>9A9A03310K0BE7292</v>
          </cell>
          <cell r="G39" t="str">
            <v>Reboque</v>
          </cell>
          <cell r="H39" t="str">
            <v>Angola Awa</v>
          </cell>
          <cell r="I39">
            <v>2018</v>
          </cell>
          <cell r="J39">
            <v>2019</v>
          </cell>
          <cell r="K39" t="str">
            <v>Carreta Jetski</v>
          </cell>
          <cell r="L39" t="str">
            <v>-</v>
          </cell>
          <cell r="M39" t="str">
            <v>Preta</v>
          </cell>
          <cell r="N39" t="str">
            <v>-</v>
          </cell>
          <cell r="O39" t="str">
            <v>1.9.1</v>
          </cell>
          <cell r="P39" t="str">
            <v>-</v>
          </cell>
          <cell r="Q39" t="str">
            <v>Regular</v>
          </cell>
          <cell r="R39" t="str">
            <v>Carreta JetSki - Fica em Santo Inacio - Doc. em nome do sr. Renato. Antigo dono "Carretas Angola Ltda".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Não possui</v>
          </cell>
          <cell r="X39" t="str">
            <v>Não possui</v>
          </cell>
          <cell r="Y39" t="str">
            <v>EOF-2B17</v>
          </cell>
          <cell r="Z39" t="str">
            <v>-</v>
          </cell>
          <cell r="AA39" t="str">
            <v>-</v>
          </cell>
          <cell r="AB39" t="str">
            <v>ok</v>
          </cell>
          <cell r="AC39" t="str">
            <v>-</v>
          </cell>
          <cell r="AD39" t="str">
            <v>-</v>
          </cell>
          <cell r="AE39" t="str">
            <v>Não possui</v>
          </cell>
          <cell r="AF39" t="str">
            <v>Não possui</v>
          </cell>
          <cell r="AG39" t="str">
            <v>-</v>
          </cell>
          <cell r="AH39" t="str">
            <v>ok, 23/12</v>
          </cell>
          <cell r="AI39" t="str">
            <v>Ñ CONSTA</v>
          </cell>
          <cell r="AJ39" t="str">
            <v>Ñ CONSTA</v>
          </cell>
          <cell r="AK39" t="str">
            <v>Sem reserVA</v>
          </cell>
          <cell r="AL39" t="str">
            <v>-</v>
          </cell>
          <cell r="AM39" t="str">
            <v>-</v>
          </cell>
          <cell r="AN39" t="str">
            <v>-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</row>
        <row r="40">
          <cell r="D40" t="str">
            <v>EQO6E99</v>
          </cell>
          <cell r="E40" t="str">
            <v>01235748968</v>
          </cell>
          <cell r="F40" t="str">
            <v>VV9S3G127KA100014</v>
          </cell>
          <cell r="G40" t="str">
            <v>Hidroeuropa</v>
          </cell>
          <cell r="H40" t="str">
            <v>Prensa JCH200M</v>
          </cell>
          <cell r="I40">
            <v>2019</v>
          </cell>
          <cell r="J40">
            <v>2019</v>
          </cell>
          <cell r="K40" t="str">
            <v>Prensa JCH200</v>
          </cell>
          <cell r="L40" t="str">
            <v>-</v>
          </cell>
          <cell r="M40" t="str">
            <v>Azul</v>
          </cell>
          <cell r="N40" t="str">
            <v>Presidente Prudente</v>
          </cell>
          <cell r="O40" t="str">
            <v>1.7.1.2</v>
          </cell>
          <cell r="P40" t="str">
            <v>-</v>
          </cell>
          <cell r="Q40" t="str">
            <v>Regular</v>
          </cell>
          <cell r="R40" t="str">
            <v>-</v>
          </cell>
          <cell r="S40" t="str">
            <v>-</v>
          </cell>
          <cell r="T40" t="str">
            <v>Sagi</v>
          </cell>
          <cell r="U40" t="str">
            <v>Ok</v>
          </cell>
          <cell r="V40" t="str">
            <v>-</v>
          </cell>
          <cell r="W40" t="str">
            <v>-</v>
          </cell>
          <cell r="X40" t="str">
            <v>Não possui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Ñ CONSTA</v>
          </cell>
          <cell r="AJ40" t="str">
            <v>Ñ CONSTA</v>
          </cell>
          <cell r="AK40" t="str">
            <v>-</v>
          </cell>
          <cell r="AL40">
            <v>5672</v>
          </cell>
          <cell r="AM40">
            <v>43727</v>
          </cell>
          <cell r="AN40">
            <v>312656.7</v>
          </cell>
          <cell r="AO40" t="str">
            <v>HIDROEUROPA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</row>
        <row r="41">
          <cell r="D41" t="str">
            <v>ESS1G45</v>
          </cell>
          <cell r="E41" t="str">
            <v>01240094962</v>
          </cell>
          <cell r="F41" t="str">
            <v>9BFZH55L1M8057336</v>
          </cell>
          <cell r="G41" t="str">
            <v>Ford</v>
          </cell>
          <cell r="H41" t="str">
            <v>KA SE 1.0 HA C</v>
          </cell>
          <cell r="I41" t="str">
            <v>-</v>
          </cell>
          <cell r="J41" t="str">
            <v>-</v>
          </cell>
          <cell r="K41" t="str">
            <v>Veículo de Passeio</v>
          </cell>
          <cell r="L41" t="str">
            <v>Flex</v>
          </cell>
          <cell r="M41" t="str">
            <v>Branca</v>
          </cell>
          <cell r="N41" t="str">
            <v>Presidente Prudente</v>
          </cell>
          <cell r="O41" t="str">
            <v>1.2.2.2</v>
          </cell>
          <cell r="P41" t="str">
            <v>-</v>
          </cell>
          <cell r="Q41" t="str">
            <v>Regular</v>
          </cell>
          <cell r="R41" t="str">
            <v>Fernando Dourados - Aquisição de três veículos iguais, juntos - Contato: Rocha V. Muchiutti - Pgto a Vista</v>
          </cell>
          <cell r="S41" t="str">
            <v>-</v>
          </cell>
          <cell r="T41" t="str">
            <v>Sagi</v>
          </cell>
          <cell r="U41" t="str">
            <v>-</v>
          </cell>
          <cell r="V41" t="str">
            <v>-</v>
          </cell>
          <cell r="W41" t="str">
            <v>Ativo</v>
          </cell>
          <cell r="X41" t="str">
            <v>Ativo</v>
          </cell>
          <cell r="Y41" t="str">
            <v>ESS-1G45</v>
          </cell>
          <cell r="Z41" t="str">
            <v>-</v>
          </cell>
          <cell r="AA41" t="str">
            <v>-</v>
          </cell>
          <cell r="AB41" t="str">
            <v>ok</v>
          </cell>
          <cell r="AC41" t="str">
            <v>-</v>
          </cell>
          <cell r="AD41" t="str">
            <v>OK</v>
          </cell>
          <cell r="AE41" t="str">
            <v>Possui</v>
          </cell>
          <cell r="AF41" t="str">
            <v>Ativo</v>
          </cell>
          <cell r="AG41" t="str">
            <v>HDI</v>
          </cell>
          <cell r="AH41" t="str">
            <v>ok, 23/12</v>
          </cell>
          <cell r="AI41" t="str">
            <v>PASSEIO</v>
          </cell>
          <cell r="AJ41" t="str">
            <v>PASSEIO</v>
          </cell>
          <cell r="AK41" t="str">
            <v>Sem reserVA</v>
          </cell>
          <cell r="AL41">
            <v>181587</v>
          </cell>
          <cell r="AM41">
            <v>44098</v>
          </cell>
          <cell r="AN41">
            <v>45990</v>
          </cell>
          <cell r="AO41" t="str">
            <v>V. MUCHIUTT VEICULOS e PECAS Ltda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>
            <v>2</v>
          </cell>
        </row>
        <row r="42">
          <cell r="D42" t="str">
            <v>EWU5671</v>
          </cell>
          <cell r="E42" t="str">
            <v>00413696545</v>
          </cell>
          <cell r="F42" t="str">
            <v>9A9BFB300B1D65324</v>
          </cell>
          <cell r="G42" t="str">
            <v>-</v>
          </cell>
          <cell r="H42" t="str">
            <v>CBN CBNC PB300</v>
          </cell>
          <cell r="I42">
            <v>2011</v>
          </cell>
          <cell r="J42">
            <v>2011</v>
          </cell>
          <cell r="K42" t="str">
            <v>Reboque/Carretinha</v>
          </cell>
          <cell r="L42" t="str">
            <v>-</v>
          </cell>
          <cell r="M42" t="str">
            <v>Cinza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Regular</v>
          </cell>
          <cell r="R42" t="str">
            <v>02/12 REBOQUE CARRETINHA MADEIRA - OPERANDO (ESTA COM O PARANA EM IvatE)</v>
          </cell>
          <cell r="S42" t="str">
            <v>-</v>
          </cell>
          <cell r="T42" t="str">
            <v>Sagi</v>
          </cell>
          <cell r="U42" t="str">
            <v>-</v>
          </cell>
          <cell r="V42" t="str">
            <v>-</v>
          </cell>
          <cell r="W42" t="str">
            <v>Não possui</v>
          </cell>
          <cell r="X42" t="str">
            <v>Não possui</v>
          </cell>
          <cell r="Y42" t="str">
            <v>EWU-5671</v>
          </cell>
          <cell r="Z42">
            <v>43145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Não possui</v>
          </cell>
          <cell r="AF42" t="str">
            <v>Não possui</v>
          </cell>
          <cell r="AG42" t="str">
            <v>-</v>
          </cell>
          <cell r="AH42" t="str">
            <v>ok, 23/12</v>
          </cell>
          <cell r="AI42" t="str">
            <v>OK</v>
          </cell>
          <cell r="AJ42" t="str">
            <v>Ñ CONSTA</v>
          </cell>
          <cell r="AK42" t="str">
            <v>Sem reserVA</v>
          </cell>
          <cell r="AL42">
            <v>69</v>
          </cell>
          <cell r="AM42">
            <v>40897</v>
          </cell>
          <cell r="AN42">
            <v>800</v>
          </cell>
          <cell r="AO42" t="str">
            <v>JOSE LUIZ AMARAL 0 ME - PRUDEN TRAILLER</v>
          </cell>
          <cell r="AP42" t="str">
            <v>-</v>
          </cell>
          <cell r="AQ42" t="str">
            <v>-</v>
          </cell>
          <cell r="AR42" t="str">
            <v>-</v>
          </cell>
          <cell r="AS42" t="str">
            <v>-</v>
          </cell>
          <cell r="AT42" t="str">
            <v>-</v>
          </cell>
          <cell r="AU42" t="str">
            <v>-</v>
          </cell>
          <cell r="AV42" t="str">
            <v>-</v>
          </cell>
        </row>
        <row r="43">
          <cell r="D43" t="str">
            <v>EWU5698</v>
          </cell>
          <cell r="E43" t="str">
            <v>00420874208</v>
          </cell>
          <cell r="F43" t="str">
            <v>93KK0F0D6BE131741</v>
          </cell>
          <cell r="G43" t="str">
            <v>Volvo</v>
          </cell>
          <cell r="H43" t="str">
            <v>VM 310 6X4 R</v>
          </cell>
          <cell r="I43">
            <v>2011</v>
          </cell>
          <cell r="J43">
            <v>2011</v>
          </cell>
          <cell r="K43" t="str">
            <v>Caminhão Trator / Rebocador</v>
          </cell>
          <cell r="L43" t="str">
            <v xml:space="preserve">Diesel </v>
          </cell>
          <cell r="M43" t="str">
            <v>Branca</v>
          </cell>
          <cell r="N43" t="str">
            <v>Presidente Prudente</v>
          </cell>
          <cell r="O43" t="str">
            <v>-</v>
          </cell>
          <cell r="P43" t="str">
            <v>-</v>
          </cell>
          <cell r="Q43" t="str">
            <v>Regular</v>
          </cell>
          <cell r="R43" t="str">
            <v>02/12 CAvaLO MECANICO VOLVO 310 - ESTA ENGatADO NA PRENSA do JHON - PatIO DISTRITO , MAS É RESERva - OPERANDO</v>
          </cell>
          <cell r="S43" t="str">
            <v>-</v>
          </cell>
          <cell r="T43" t="str">
            <v>Sagi</v>
          </cell>
          <cell r="U43" t="str">
            <v>Ok</v>
          </cell>
          <cell r="V43" t="str">
            <v>CVC-0023</v>
          </cell>
          <cell r="W43" t="str">
            <v>Ativo</v>
          </cell>
          <cell r="X43" t="str">
            <v>Ativo</v>
          </cell>
          <cell r="Y43" t="str">
            <v>EWU-5698</v>
          </cell>
          <cell r="Z43">
            <v>43137</v>
          </cell>
          <cell r="AA43" t="str">
            <v>-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Possui</v>
          </cell>
          <cell r="AF43" t="str">
            <v>Ativo</v>
          </cell>
          <cell r="AG43" t="str">
            <v>HDI</v>
          </cell>
          <cell r="AH43" t="str">
            <v>ok, 23/12</v>
          </cell>
          <cell r="AI43" t="str">
            <v>OK</v>
          </cell>
          <cell r="AJ43" t="str">
            <v>VENCIDO 11-04-20</v>
          </cell>
          <cell r="AK43" t="str">
            <v>Sem reserVA</v>
          </cell>
          <cell r="AL43">
            <v>25819</v>
          </cell>
          <cell r="AM43">
            <v>40876</v>
          </cell>
          <cell r="AN43">
            <v>215000</v>
          </cell>
          <cell r="AO43" t="str">
            <v>LAPONIA SUDESTE Ltda - REGENTE FEIJO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</row>
        <row r="44">
          <cell r="D44" t="str">
            <v>EWU5857</v>
          </cell>
          <cell r="E44" t="str">
            <v>00470246561</v>
          </cell>
          <cell r="F44" t="str">
            <v>93KP0S1DXCE135005</v>
          </cell>
          <cell r="G44" t="str">
            <v>Volvo</v>
          </cell>
          <cell r="H44" t="str">
            <v>VM 330 6X4 R</v>
          </cell>
          <cell r="I44">
            <v>2012</v>
          </cell>
          <cell r="J44">
            <v>2012</v>
          </cell>
          <cell r="K44" t="str">
            <v>Caminhão / Rebocador</v>
          </cell>
          <cell r="L44" t="str">
            <v>Diesel</v>
          </cell>
          <cell r="M44" t="str">
            <v>Branca</v>
          </cell>
          <cell r="N44" t="str">
            <v>Presidente Prudente</v>
          </cell>
          <cell r="O44" t="str">
            <v>1.7.1.4</v>
          </cell>
          <cell r="P44" t="str">
            <v>-</v>
          </cell>
          <cell r="Q44" t="str">
            <v>Regular</v>
          </cell>
          <cell r="R44" t="str">
            <v>02/12 CAvaLO MECANICO VOLVO 330 - ENGatADO PRENSA do WAGNER PHH 0022 - NOva ANDRADINA HOJE - OPERANDO</v>
          </cell>
          <cell r="S44" t="str">
            <v>-</v>
          </cell>
          <cell r="T44" t="str">
            <v>Sagi</v>
          </cell>
          <cell r="U44" t="str">
            <v>Ok</v>
          </cell>
          <cell r="V44" t="str">
            <v>CVC-0026</v>
          </cell>
          <cell r="W44" t="str">
            <v>Ativo</v>
          </cell>
          <cell r="X44" t="str">
            <v>Ativo</v>
          </cell>
          <cell r="Y44" t="str">
            <v>EWU-5857</v>
          </cell>
          <cell r="Z44">
            <v>43132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OK</v>
          </cell>
          <cell r="AE44" t="str">
            <v>Possui</v>
          </cell>
          <cell r="AF44" t="str">
            <v>Ativo</v>
          </cell>
          <cell r="AG44" t="str">
            <v>HDI</v>
          </cell>
          <cell r="AH44" t="str">
            <v>ok, 23/12</v>
          </cell>
          <cell r="AI44" t="str">
            <v>OK</v>
          </cell>
          <cell r="AJ44" t="str">
            <v>VENCIMENTO 23-06-24</v>
          </cell>
          <cell r="AK44" t="str">
            <v>Sem reserVA</v>
          </cell>
          <cell r="AL44">
            <v>30639</v>
          </cell>
          <cell r="AM44">
            <v>41040</v>
          </cell>
          <cell r="AN44">
            <v>240000</v>
          </cell>
          <cell r="AO44" t="str">
            <v>LAPONIA SUDESTE Ltda - R FEIJO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</row>
        <row r="45">
          <cell r="D45" t="str">
            <v>EWU5984</v>
          </cell>
          <cell r="E45" t="str">
            <v>00499339444</v>
          </cell>
          <cell r="F45" t="str">
            <v>9BVP0S1A6CE137190</v>
          </cell>
          <cell r="G45" t="str">
            <v>Volvo</v>
          </cell>
          <cell r="H45" t="str">
            <v>VM 330 4X2 2P</v>
          </cell>
          <cell r="I45">
            <v>2012</v>
          </cell>
          <cell r="J45">
            <v>2012</v>
          </cell>
          <cell r="K45" t="str">
            <v>Caminhão / Rebocador</v>
          </cell>
          <cell r="L45" t="str">
            <v>Diesel</v>
          </cell>
          <cell r="M45" t="str">
            <v>Prata</v>
          </cell>
          <cell r="N45" t="str">
            <v>Presidente Prudente</v>
          </cell>
          <cell r="O45" t="str">
            <v>-</v>
          </cell>
          <cell r="P45" t="str">
            <v>-</v>
          </cell>
          <cell r="Q45" t="str">
            <v>Processo Regularização</v>
          </cell>
          <cell r="R45" t="str">
            <v>Não tem Recibo</v>
          </cell>
          <cell r="S45" t="str">
            <v>-</v>
          </cell>
          <cell r="T45" t="str">
            <v>Sagi</v>
          </cell>
          <cell r="U45" t="str">
            <v>Ok</v>
          </cell>
          <cell r="V45" t="str">
            <v>CVC-0027</v>
          </cell>
          <cell r="W45" t="str">
            <v>Ativo</v>
          </cell>
          <cell r="X45" t="str">
            <v>Ativo</v>
          </cell>
          <cell r="Y45" t="str">
            <v>EWU-5984</v>
          </cell>
          <cell r="Z45">
            <v>43131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OK</v>
          </cell>
          <cell r="AE45" t="str">
            <v>Possui</v>
          </cell>
          <cell r="AF45" t="str">
            <v>Não possui</v>
          </cell>
          <cell r="AG45" t="str">
            <v>HDI</v>
          </cell>
          <cell r="AH45" t="str">
            <v>Cópia CRV</v>
          </cell>
          <cell r="AI45" t="str">
            <v>OK</v>
          </cell>
          <cell r="AJ45" t="str">
            <v>VENCIMENTO 23-06-24</v>
          </cell>
          <cell r="AK45" t="str">
            <v>Sem reserVA</v>
          </cell>
          <cell r="AL45">
            <v>38132</v>
          </cell>
          <cell r="AM45">
            <v>41241</v>
          </cell>
          <cell r="AN45">
            <v>195000</v>
          </cell>
          <cell r="AO45" t="str">
            <v>LaponiA SUDESTE Ltda - R FEIJO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 t="str">
            <v>-</v>
          </cell>
        </row>
        <row r="46">
          <cell r="D46" t="str">
            <v>EWU5986</v>
          </cell>
          <cell r="E46" t="str">
            <v>00501188428</v>
          </cell>
          <cell r="F46" t="str">
            <v>93KP0S1C7DE137843</v>
          </cell>
          <cell r="G46" t="str">
            <v>Volvo</v>
          </cell>
          <cell r="H46" t="str">
            <v>VM 330 6X2 R</v>
          </cell>
          <cell r="I46">
            <v>2012</v>
          </cell>
          <cell r="J46">
            <v>2013</v>
          </cell>
          <cell r="K46" t="str">
            <v>Caminhão</v>
          </cell>
          <cell r="L46" t="str">
            <v>Diesel</v>
          </cell>
          <cell r="M46" t="str">
            <v>Branca</v>
          </cell>
          <cell r="N46" t="str">
            <v>Presidente Prudente</v>
          </cell>
          <cell r="O46" t="str">
            <v>1.2.2.4</v>
          </cell>
          <cell r="P46" t="str">
            <v>-</v>
          </cell>
          <cell r="Q46" t="str">
            <v>Regular</v>
          </cell>
          <cell r="R46" t="str">
            <v>Maringa</v>
          </cell>
          <cell r="S46" t="str">
            <v>-</v>
          </cell>
          <cell r="T46" t="str">
            <v>Sagi</v>
          </cell>
          <cell r="U46" t="str">
            <v>Ok</v>
          </cell>
          <cell r="V46" t="str">
            <v>CVG-0029</v>
          </cell>
          <cell r="W46" t="str">
            <v>Ativo</v>
          </cell>
          <cell r="X46" t="str">
            <v>Ativo</v>
          </cell>
          <cell r="Y46" t="str">
            <v>EWU-5986</v>
          </cell>
          <cell r="Z46">
            <v>43132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OK</v>
          </cell>
          <cell r="AE46" t="str">
            <v>Possui</v>
          </cell>
          <cell r="AF46" t="str">
            <v>Não possui</v>
          </cell>
          <cell r="AG46" t="str">
            <v>HDI</v>
          </cell>
          <cell r="AH46" t="str">
            <v>ok, 23/12</v>
          </cell>
          <cell r="AI46" t="str">
            <v>OK</v>
          </cell>
          <cell r="AJ46" t="str">
            <v>VENCIMENTO  13-08-24</v>
          </cell>
          <cell r="AK46" t="str">
            <v>Sem reserVA</v>
          </cell>
          <cell r="AL46">
            <v>38131</v>
          </cell>
          <cell r="AM46">
            <v>41241</v>
          </cell>
          <cell r="AN46">
            <v>209000</v>
          </cell>
          <cell r="AO46" t="str">
            <v>LAPONIA SUDESTE Ltda - REGENTE FEIJO</v>
          </cell>
          <cell r="AP46" t="str">
            <v>-</v>
          </cell>
          <cell r="AQ46" t="str">
            <v>-</v>
          </cell>
          <cell r="AR46" t="str">
            <v>-</v>
          </cell>
          <cell r="AS46" t="str">
            <v>-</v>
          </cell>
          <cell r="AT46" t="str">
            <v>-</v>
          </cell>
          <cell r="AU46" t="str">
            <v>-</v>
          </cell>
          <cell r="AV46" t="str">
            <v>-</v>
          </cell>
        </row>
        <row r="47">
          <cell r="D47" t="str">
            <v>EWU5J85</v>
          </cell>
          <cell r="E47" t="str">
            <v>00501292055</v>
          </cell>
          <cell r="F47" t="str">
            <v>93KP0S1C5DE137658</v>
          </cell>
          <cell r="G47" t="str">
            <v>Volvo</v>
          </cell>
          <cell r="H47" t="str">
            <v>VM 330 6X2 R</v>
          </cell>
          <cell r="I47">
            <v>2012</v>
          </cell>
          <cell r="J47">
            <v>2013</v>
          </cell>
          <cell r="K47" t="str">
            <v>Caminhão</v>
          </cell>
          <cell r="L47" t="str">
            <v>Diesel</v>
          </cell>
          <cell r="M47" t="str">
            <v>Branca</v>
          </cell>
          <cell r="N47" t="str">
            <v>Dourados</v>
          </cell>
          <cell r="O47" t="str">
            <v>-</v>
          </cell>
          <cell r="P47" t="str">
            <v>-</v>
          </cell>
          <cell r="Q47" t="str">
            <v>Regular</v>
          </cell>
          <cell r="R47" t="str">
            <v>Dourados</v>
          </cell>
          <cell r="S47" t="str">
            <v>-</v>
          </cell>
          <cell r="T47" t="str">
            <v>Sagi</v>
          </cell>
          <cell r="U47" t="str">
            <v>Ok</v>
          </cell>
          <cell r="V47" t="str">
            <v>CVG-0028</v>
          </cell>
          <cell r="W47" t="str">
            <v>Ativo</v>
          </cell>
          <cell r="X47" t="str">
            <v>Ativo</v>
          </cell>
          <cell r="Y47" t="str">
            <v>EWU-5J85</v>
          </cell>
          <cell r="Z47">
            <v>43132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OK</v>
          </cell>
          <cell r="AE47" t="str">
            <v>Possui</v>
          </cell>
          <cell r="AF47" t="str">
            <v>Não possui</v>
          </cell>
          <cell r="AG47" t="str">
            <v>HDI</v>
          </cell>
          <cell r="AH47" t="str">
            <v>ok, 23/12</v>
          </cell>
          <cell r="AI47" t="str">
            <v>OK</v>
          </cell>
          <cell r="AJ47" t="str">
            <v>Ñ CONSTA</v>
          </cell>
          <cell r="AK47" t="str">
            <v>Sem reserVA</v>
          </cell>
          <cell r="AL47">
            <v>38130</v>
          </cell>
          <cell r="AM47">
            <v>41241</v>
          </cell>
          <cell r="AN47">
            <v>209000</v>
          </cell>
          <cell r="AO47" t="str">
            <v>LAPONIA SUDESTE Ltda - R FEIJO</v>
          </cell>
          <cell r="AP47" t="str">
            <v>-</v>
          </cell>
          <cell r="AQ47" t="str">
            <v>-</v>
          </cell>
          <cell r="AR47" t="str">
            <v>-</v>
          </cell>
          <cell r="AS47" t="str">
            <v>-</v>
          </cell>
          <cell r="AT47" t="str">
            <v>-</v>
          </cell>
          <cell r="AU47" t="str">
            <v>-</v>
          </cell>
          <cell r="AV47" t="str">
            <v>-</v>
          </cell>
        </row>
        <row r="48">
          <cell r="D48" t="str">
            <v>EWU5J98</v>
          </cell>
          <cell r="E48" t="str">
            <v>00501493085</v>
          </cell>
          <cell r="F48" t="str">
            <v>93KP0S1C8DE137476</v>
          </cell>
          <cell r="G48" t="str">
            <v>Volvo</v>
          </cell>
          <cell r="H48" t="str">
            <v>VM 330 6X2 R</v>
          </cell>
          <cell r="I48">
            <v>2012</v>
          </cell>
          <cell r="J48">
            <v>2013</v>
          </cell>
          <cell r="K48" t="str">
            <v>Caminhão</v>
          </cell>
          <cell r="L48" t="str">
            <v xml:space="preserve">Diesel </v>
          </cell>
          <cell r="M48" t="str">
            <v>Branca</v>
          </cell>
          <cell r="N48" t="str">
            <v>Londrina</v>
          </cell>
          <cell r="O48" t="str">
            <v>1.2.4.4</v>
          </cell>
          <cell r="P48" t="str">
            <v>-</v>
          </cell>
          <cell r="Q48" t="str">
            <v>Regular</v>
          </cell>
          <cell r="R48" t="str">
            <v>Londrina</v>
          </cell>
          <cell r="S48" t="str">
            <v>-</v>
          </cell>
          <cell r="T48" t="str">
            <v>Sagi</v>
          </cell>
          <cell r="U48" t="str">
            <v>Ok</v>
          </cell>
          <cell r="V48" t="str">
            <v>CVG-0030</v>
          </cell>
          <cell r="W48" t="str">
            <v>Ativo</v>
          </cell>
          <cell r="X48" t="str">
            <v>Ativo</v>
          </cell>
          <cell r="Y48" t="str">
            <v>EWU-5998</v>
          </cell>
          <cell r="Z48">
            <v>43137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Possui</v>
          </cell>
          <cell r="AF48" t="str">
            <v>Não possui</v>
          </cell>
          <cell r="AG48" t="str">
            <v>HDI</v>
          </cell>
          <cell r="AH48" t="str">
            <v>ok, 23/12</v>
          </cell>
          <cell r="AI48" t="str">
            <v>OK</v>
          </cell>
          <cell r="AJ48" t="str">
            <v>VENCIMENTO 24-11-24</v>
          </cell>
          <cell r="AK48" t="str">
            <v>Sem reserVA</v>
          </cell>
          <cell r="AL48">
            <v>38191</v>
          </cell>
          <cell r="AM48">
            <v>41242</v>
          </cell>
          <cell r="AN48">
            <v>209000</v>
          </cell>
          <cell r="AO48" t="str">
            <v>LAPONIA SUDESTE Ltda - REGENTE FEIJO</v>
          </cell>
          <cell r="AP48" t="str">
            <v>-</v>
          </cell>
          <cell r="AQ48" t="str">
            <v>-</v>
          </cell>
          <cell r="AR48" t="str">
            <v>-</v>
          </cell>
          <cell r="AS48" t="str">
            <v>-</v>
          </cell>
          <cell r="AT48" t="str">
            <v>-</v>
          </cell>
          <cell r="AU48" t="str">
            <v>-</v>
          </cell>
          <cell r="AV48" t="str">
            <v>-</v>
          </cell>
        </row>
        <row r="49">
          <cell r="D49" t="str">
            <v>EWU6003</v>
          </cell>
          <cell r="E49" t="str">
            <v>00501284613</v>
          </cell>
          <cell r="F49" t="str">
            <v>93KP0S1CXDE137844</v>
          </cell>
          <cell r="G49" t="str">
            <v>Volvo</v>
          </cell>
          <cell r="H49" t="str">
            <v>VM 330 6X2 R</v>
          </cell>
          <cell r="I49">
            <v>2012</v>
          </cell>
          <cell r="J49">
            <v>2013</v>
          </cell>
          <cell r="K49" t="str">
            <v>Caminhão</v>
          </cell>
          <cell r="L49" t="str">
            <v>Diesel</v>
          </cell>
          <cell r="M49" t="str">
            <v>Branca</v>
          </cell>
          <cell r="N49" t="str">
            <v>Londrina</v>
          </cell>
          <cell r="O49" t="str">
            <v>-</v>
          </cell>
          <cell r="P49" t="str">
            <v>-</v>
          </cell>
          <cell r="Q49" t="str">
            <v>Regular</v>
          </cell>
          <cell r="R49" t="str">
            <v>Distrito - Paulo Ricardo - Gerdau</v>
          </cell>
          <cell r="S49" t="str">
            <v>-</v>
          </cell>
          <cell r="T49" t="str">
            <v>Sagi</v>
          </cell>
          <cell r="U49" t="str">
            <v>Ok</v>
          </cell>
          <cell r="V49" t="str">
            <v>CVG-0031</v>
          </cell>
          <cell r="W49" t="str">
            <v>Ativo</v>
          </cell>
          <cell r="X49" t="str">
            <v>Ativo</v>
          </cell>
          <cell r="Y49" t="str">
            <v>EWU-6003</v>
          </cell>
          <cell r="Z49">
            <v>43129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OK</v>
          </cell>
          <cell r="AE49" t="str">
            <v>Possui</v>
          </cell>
          <cell r="AF49" t="str">
            <v>Não possui</v>
          </cell>
          <cell r="AG49" t="str">
            <v>HDI</v>
          </cell>
          <cell r="AH49" t="str">
            <v>ok, 23/12</v>
          </cell>
          <cell r="AI49" t="str">
            <v>OK</v>
          </cell>
          <cell r="AJ49" t="str">
            <v>VENCIMENTO 03-12-23</v>
          </cell>
          <cell r="AK49" t="str">
            <v>Sem reserVA</v>
          </cell>
          <cell r="AL49">
            <v>38190</v>
          </cell>
          <cell r="AM49">
            <v>41242</v>
          </cell>
          <cell r="AN49">
            <v>209000</v>
          </cell>
          <cell r="AO49" t="str">
            <v>LAPONIA SUDESTE Ltda - REGENTE FEIJO</v>
          </cell>
          <cell r="AP49" t="str">
            <v>-</v>
          </cell>
          <cell r="AQ49" t="str">
            <v>-</v>
          </cell>
          <cell r="AR49" t="str">
            <v>-</v>
          </cell>
          <cell r="AS49" t="str">
            <v>-</v>
          </cell>
          <cell r="AT49" t="str">
            <v>-</v>
          </cell>
          <cell r="AU49" t="str">
            <v>-</v>
          </cell>
          <cell r="AV49" t="str">
            <v>-</v>
          </cell>
        </row>
        <row r="50">
          <cell r="D50" t="str">
            <v>EWU6041</v>
          </cell>
          <cell r="E50" t="str">
            <v>00509449247</v>
          </cell>
          <cell r="F50" t="str">
            <v>VSRSE3000CU076847</v>
          </cell>
          <cell r="G50" t="str">
            <v>Hidroeuropa</v>
          </cell>
          <cell r="H50" t="str">
            <v>I/SR MO Lecinena SRE</v>
          </cell>
          <cell r="I50">
            <v>2012</v>
          </cell>
          <cell r="J50">
            <v>2012</v>
          </cell>
          <cell r="K50" t="str">
            <v>Prensa com Reboque</v>
          </cell>
          <cell r="L50" t="str">
            <v>-</v>
          </cell>
          <cell r="M50" t="str">
            <v>Azul</v>
          </cell>
          <cell r="N50" t="str">
            <v>-</v>
          </cell>
          <cell r="O50" t="str">
            <v>1.7.1.7</v>
          </cell>
          <cell r="P50" t="str">
            <v>-</v>
          </cell>
          <cell r="Q50" t="str">
            <v>Regular</v>
          </cell>
          <cell r="R50" t="str">
            <v>Movel - Chico da Prensa</v>
          </cell>
          <cell r="S50" t="str">
            <v>-</v>
          </cell>
          <cell r="T50" t="str">
            <v>Sagi</v>
          </cell>
          <cell r="U50" t="str">
            <v>Ok</v>
          </cell>
          <cell r="V50" t="str">
            <v>-</v>
          </cell>
          <cell r="W50" t="str">
            <v>Não possui</v>
          </cell>
          <cell r="X50" t="str">
            <v>Não possui</v>
          </cell>
          <cell r="Y50" t="str">
            <v>EWU-6041</v>
          </cell>
          <cell r="Z50">
            <v>43145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Não possui</v>
          </cell>
          <cell r="AF50" t="str">
            <v>Ativo</v>
          </cell>
          <cell r="AG50" t="str">
            <v>Incluir seguro</v>
          </cell>
          <cell r="AH50" t="str">
            <v>ok, 23/12</v>
          </cell>
          <cell r="AI50" t="str">
            <v>OK</v>
          </cell>
          <cell r="AJ50" t="str">
            <v>Ñ CONSTA</v>
          </cell>
          <cell r="AK50" t="str">
            <v>Sem reserVA</v>
          </cell>
          <cell r="AL50" t="str">
            <v>-</v>
          </cell>
          <cell r="AM50" t="str">
            <v>-</v>
          </cell>
          <cell r="AN50" t="str">
            <v>-</v>
          </cell>
          <cell r="AO50" t="str">
            <v>-</v>
          </cell>
          <cell r="AP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U50" t="str">
            <v>-</v>
          </cell>
          <cell r="AV50" t="str">
            <v>-</v>
          </cell>
        </row>
        <row r="51">
          <cell r="D51" t="str">
            <v>EWU6087</v>
          </cell>
          <cell r="E51" t="str">
            <v>00537170251</v>
          </cell>
          <cell r="F51" t="str">
            <v>93KP0S1C3DE139926</v>
          </cell>
          <cell r="G51" t="str">
            <v>Volvo</v>
          </cell>
          <cell r="H51" t="str">
            <v>VM 330 6X2 R</v>
          </cell>
          <cell r="I51">
            <v>2013</v>
          </cell>
          <cell r="J51">
            <v>2013</v>
          </cell>
          <cell r="K51" t="str">
            <v>Caminhão / Rollon Rolloff</v>
          </cell>
          <cell r="L51" t="str">
            <v>Diesel</v>
          </cell>
          <cell r="M51" t="str">
            <v>Branca</v>
          </cell>
          <cell r="N51" t="str">
            <v>Dourados</v>
          </cell>
          <cell r="O51" t="str">
            <v>1.2.4.4</v>
          </cell>
          <cell r="P51" t="str">
            <v>-</v>
          </cell>
          <cell r="Q51" t="str">
            <v>Regular</v>
          </cell>
          <cell r="R51" t="str">
            <v>Maringa?</v>
          </cell>
          <cell r="S51" t="str">
            <v>-</v>
          </cell>
          <cell r="T51" t="str">
            <v>Sagi</v>
          </cell>
          <cell r="U51" t="str">
            <v>Ok</v>
          </cell>
          <cell r="V51" t="str">
            <v>CVR-0035</v>
          </cell>
          <cell r="W51" t="str">
            <v>Ativo</v>
          </cell>
          <cell r="X51" t="str">
            <v>Ativo</v>
          </cell>
          <cell r="Y51" t="str">
            <v>EWU-6087</v>
          </cell>
          <cell r="Z51">
            <v>43132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OK</v>
          </cell>
          <cell r="AE51" t="str">
            <v>Possui</v>
          </cell>
          <cell r="AF51" t="str">
            <v>Não possui</v>
          </cell>
          <cell r="AG51" t="str">
            <v>HDI</v>
          </cell>
          <cell r="AH51" t="str">
            <v>ok, 23/12</v>
          </cell>
          <cell r="AI51" t="str">
            <v>OK</v>
          </cell>
          <cell r="AJ51" t="str">
            <v>VENCIMENTO 04-10-24</v>
          </cell>
          <cell r="AK51" t="str">
            <v>Sem reserVA</v>
          </cell>
          <cell r="AL51" t="str">
            <v>-</v>
          </cell>
          <cell r="AM51" t="str">
            <v>-</v>
          </cell>
          <cell r="AN51" t="str">
            <v>-</v>
          </cell>
          <cell r="AO51" t="str">
            <v>-</v>
          </cell>
          <cell r="AP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U51" t="str">
            <v>-</v>
          </cell>
          <cell r="AV51" t="str">
            <v>-</v>
          </cell>
        </row>
        <row r="52">
          <cell r="D52" t="str">
            <v>EWU6088</v>
          </cell>
          <cell r="E52" t="str">
            <v>00537170502</v>
          </cell>
          <cell r="F52" t="str">
            <v>93KP0S1C1DE139929</v>
          </cell>
          <cell r="G52" t="str">
            <v>Volvo</v>
          </cell>
          <cell r="H52" t="str">
            <v>VM 330 6X2 R</v>
          </cell>
          <cell r="I52">
            <v>2013</v>
          </cell>
          <cell r="J52">
            <v>2013</v>
          </cell>
          <cell r="K52" t="str">
            <v>Caminhão</v>
          </cell>
          <cell r="L52" t="str">
            <v xml:space="preserve">Diesel </v>
          </cell>
          <cell r="M52" t="str">
            <v>Branca</v>
          </cell>
          <cell r="N52" t="str">
            <v>Maringá</v>
          </cell>
          <cell r="O52" t="str">
            <v>1.2.4.4</v>
          </cell>
          <cell r="P52" t="str">
            <v>-</v>
          </cell>
          <cell r="Q52" t="str">
            <v>Regular</v>
          </cell>
          <cell r="R52" t="str">
            <v>Distrito</v>
          </cell>
          <cell r="S52" t="str">
            <v>-</v>
          </cell>
          <cell r="T52" t="str">
            <v>Sagi</v>
          </cell>
          <cell r="U52" t="str">
            <v>Ok</v>
          </cell>
          <cell r="V52" t="str">
            <v>CVR-0036</v>
          </cell>
          <cell r="W52" t="str">
            <v>Ativo</v>
          </cell>
          <cell r="X52" t="str">
            <v>Ativo</v>
          </cell>
          <cell r="Y52" t="str">
            <v>EWU-6088</v>
          </cell>
          <cell r="Z52">
            <v>43145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OK</v>
          </cell>
          <cell r="AE52" t="str">
            <v>Possui</v>
          </cell>
          <cell r="AF52" t="str">
            <v>Não possui</v>
          </cell>
          <cell r="AG52" t="str">
            <v>HDI</v>
          </cell>
          <cell r="AH52" t="str">
            <v>ok, 23/12</v>
          </cell>
          <cell r="AI52" t="str">
            <v>OK</v>
          </cell>
          <cell r="AJ52" t="str">
            <v>VENCIMENTO 28-09-24</v>
          </cell>
          <cell r="AK52" t="str">
            <v>Sem reserVA</v>
          </cell>
          <cell r="AL52" t="str">
            <v>-</v>
          </cell>
          <cell r="AM52" t="str">
            <v>-</v>
          </cell>
          <cell r="AN52" t="str">
            <v>-</v>
          </cell>
          <cell r="AO52" t="str">
            <v>-</v>
          </cell>
          <cell r="AP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U52" t="str">
            <v>-</v>
          </cell>
          <cell r="AV52" t="str">
            <v>-</v>
          </cell>
        </row>
        <row r="53">
          <cell r="D53" t="str">
            <v>EWU6143</v>
          </cell>
          <cell r="E53" t="str">
            <v>00540684201</v>
          </cell>
          <cell r="F53" t="str">
            <v>9A9R6503AD1DV7016</v>
          </cell>
          <cell r="G53" t="str">
            <v>Imavi</v>
          </cell>
          <cell r="H53" t="str">
            <v>Reboque/Rollon Rol 3E</v>
          </cell>
          <cell r="I53">
            <v>2013</v>
          </cell>
          <cell r="J53">
            <v>2013</v>
          </cell>
          <cell r="K53" t="str">
            <v>Reboque</v>
          </cell>
          <cell r="L53" t="str">
            <v>-</v>
          </cell>
          <cell r="M53" t="str">
            <v>Preta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Regular</v>
          </cell>
          <cell r="R53" t="str">
            <v>-</v>
          </cell>
          <cell r="S53" t="str">
            <v>-</v>
          </cell>
          <cell r="T53" t="str">
            <v>Sagi</v>
          </cell>
          <cell r="U53" t="str">
            <v>Ok</v>
          </cell>
          <cell r="V53" t="str">
            <v>-</v>
          </cell>
          <cell r="W53" t="str">
            <v>Não possui</v>
          </cell>
          <cell r="X53" t="str">
            <v>Não possui</v>
          </cell>
          <cell r="Y53" t="str">
            <v>EWU-6143</v>
          </cell>
          <cell r="Z53">
            <v>43145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Não possui</v>
          </cell>
          <cell r="AF53" t="str">
            <v>Não possui</v>
          </cell>
          <cell r="AG53" t="str">
            <v>-</v>
          </cell>
          <cell r="AH53" t="str">
            <v>ok, 23/12</v>
          </cell>
          <cell r="AI53" t="str">
            <v>OK</v>
          </cell>
          <cell r="AJ53" t="str">
            <v>Ñ CONSTA</v>
          </cell>
          <cell r="AK53" t="str">
            <v>Sem reserVA</v>
          </cell>
          <cell r="AL53" t="str">
            <v>-</v>
          </cell>
          <cell r="AM53" t="str">
            <v>-</v>
          </cell>
          <cell r="AN53" t="str">
            <v>-</v>
          </cell>
          <cell r="AO53" t="str">
            <v>-</v>
          </cell>
          <cell r="AP53" t="str">
            <v>-</v>
          </cell>
          <cell r="AQ53" t="str">
            <v>-</v>
          </cell>
          <cell r="AR53" t="str">
            <v>-</v>
          </cell>
          <cell r="AS53" t="str">
            <v>-</v>
          </cell>
          <cell r="AT53" t="str">
            <v>-</v>
          </cell>
          <cell r="AU53" t="str">
            <v>-</v>
          </cell>
          <cell r="AV53" t="str">
            <v>-</v>
          </cell>
        </row>
        <row r="54">
          <cell r="D54" t="str">
            <v>EWU6154</v>
          </cell>
          <cell r="E54" t="str">
            <v>00540683809</v>
          </cell>
          <cell r="F54" t="str">
            <v>9A9R6503AD1DV7017</v>
          </cell>
          <cell r="G54" t="str">
            <v>Imavi</v>
          </cell>
          <cell r="H54" t="str">
            <v>Reboque/Rollon Rol 3E</v>
          </cell>
          <cell r="I54">
            <v>2013</v>
          </cell>
          <cell r="J54">
            <v>2013</v>
          </cell>
          <cell r="K54" t="str">
            <v>Reboque</v>
          </cell>
          <cell r="L54" t="str">
            <v>-</v>
          </cell>
          <cell r="M54" t="str">
            <v>Preta</v>
          </cell>
          <cell r="N54" t="str">
            <v>-</v>
          </cell>
          <cell r="O54" t="str">
            <v>1.2.4.4</v>
          </cell>
          <cell r="P54" t="str">
            <v>-</v>
          </cell>
          <cell r="Q54" t="str">
            <v>Regular</v>
          </cell>
          <cell r="R54" t="str">
            <v>-</v>
          </cell>
          <cell r="S54" t="str">
            <v>-</v>
          </cell>
          <cell r="T54" t="str">
            <v>Sagi</v>
          </cell>
          <cell r="U54" t="str">
            <v>Ok</v>
          </cell>
          <cell r="V54" t="str">
            <v>-</v>
          </cell>
          <cell r="W54" t="str">
            <v>Não possui</v>
          </cell>
          <cell r="X54" t="str">
            <v>Não possui</v>
          </cell>
          <cell r="Y54" t="str">
            <v>EWU-6154</v>
          </cell>
          <cell r="Z54">
            <v>43139</v>
          </cell>
          <cell r="AA54" t="str">
            <v>-</v>
          </cell>
          <cell r="AB54" t="str">
            <v>-</v>
          </cell>
          <cell r="AC54" t="str">
            <v>-</v>
          </cell>
          <cell r="AD54" t="str">
            <v>OK</v>
          </cell>
          <cell r="AE54" t="str">
            <v>Não possui</v>
          </cell>
          <cell r="AF54" t="str">
            <v>Não possui</v>
          </cell>
          <cell r="AG54" t="str">
            <v>-</v>
          </cell>
          <cell r="AH54" t="str">
            <v>ok, 23/12</v>
          </cell>
          <cell r="AI54" t="str">
            <v>OK</v>
          </cell>
          <cell r="AJ54" t="str">
            <v>Ñ CONSTA</v>
          </cell>
          <cell r="AK54" t="str">
            <v>Sem reserVA</v>
          </cell>
          <cell r="AL54" t="str">
            <v>-</v>
          </cell>
          <cell r="AM54" t="str">
            <v>-</v>
          </cell>
          <cell r="AN54" t="str">
            <v>-</v>
          </cell>
          <cell r="AO54" t="str">
            <v>-</v>
          </cell>
          <cell r="AP54" t="str">
            <v>-</v>
          </cell>
          <cell r="AQ54" t="str">
            <v>-</v>
          </cell>
          <cell r="AR54" t="str">
            <v>-</v>
          </cell>
          <cell r="AS54" t="str">
            <v>-</v>
          </cell>
          <cell r="AT54" t="str">
            <v>-</v>
          </cell>
          <cell r="AU54" t="str">
            <v>-</v>
          </cell>
          <cell r="AV54" t="str">
            <v>-</v>
          </cell>
        </row>
        <row r="55">
          <cell r="D55" t="str">
            <v>EWU6204</v>
          </cell>
          <cell r="E55" t="str">
            <v>00545788064</v>
          </cell>
          <cell r="F55" t="str">
            <v>9A9R6503AD1DV7020</v>
          </cell>
          <cell r="G55" t="str">
            <v>Imavi</v>
          </cell>
          <cell r="H55" t="str">
            <v>RR 3E</v>
          </cell>
          <cell r="I55">
            <v>2013</v>
          </cell>
          <cell r="J55">
            <v>2013</v>
          </cell>
          <cell r="K55" t="str">
            <v>Reboque</v>
          </cell>
          <cell r="L55" t="str">
            <v>-</v>
          </cell>
          <cell r="M55" t="str">
            <v>Preta</v>
          </cell>
          <cell r="N55" t="str">
            <v>-</v>
          </cell>
          <cell r="O55" t="str">
            <v>1.2.2.4</v>
          </cell>
          <cell r="P55" t="str">
            <v>-</v>
          </cell>
          <cell r="Q55" t="str">
            <v>Regular</v>
          </cell>
          <cell r="R55" t="str">
            <v>-</v>
          </cell>
          <cell r="S55" t="str">
            <v>-</v>
          </cell>
          <cell r="T55" t="str">
            <v>Sagi</v>
          </cell>
          <cell r="U55" t="str">
            <v>Ok</v>
          </cell>
          <cell r="V55" t="str">
            <v>-</v>
          </cell>
          <cell r="W55" t="str">
            <v>Não possui</v>
          </cell>
          <cell r="X55" t="str">
            <v>Não possui</v>
          </cell>
          <cell r="Y55" t="str">
            <v>EWU-6204</v>
          </cell>
          <cell r="Z55">
            <v>43137</v>
          </cell>
          <cell r="AA55" t="str">
            <v>-</v>
          </cell>
          <cell r="AB55" t="str">
            <v>-</v>
          </cell>
          <cell r="AC55" t="str">
            <v>-</v>
          </cell>
          <cell r="AD55" t="str">
            <v>OK</v>
          </cell>
          <cell r="AE55" t="str">
            <v>Não possui</v>
          </cell>
          <cell r="AF55" t="str">
            <v>Não possui</v>
          </cell>
          <cell r="AG55" t="str">
            <v>-</v>
          </cell>
          <cell r="AH55" t="str">
            <v>ok, 23/12</v>
          </cell>
          <cell r="AI55" t="str">
            <v>OK</v>
          </cell>
          <cell r="AJ55" t="str">
            <v>Ñ CONSTA</v>
          </cell>
          <cell r="AK55" t="str">
            <v>Sem reserVA</v>
          </cell>
          <cell r="AL55" t="str">
            <v>-</v>
          </cell>
          <cell r="AM55" t="str">
            <v>-</v>
          </cell>
          <cell r="AN55" t="str">
            <v>-</v>
          </cell>
          <cell r="AO55" t="str">
            <v>-</v>
          </cell>
          <cell r="AP55" t="str">
            <v>-</v>
          </cell>
          <cell r="AQ55" t="str">
            <v>-</v>
          </cell>
          <cell r="AR55" t="str">
            <v>-</v>
          </cell>
          <cell r="AS55" t="str">
            <v>-</v>
          </cell>
          <cell r="AT55" t="str">
            <v>-</v>
          </cell>
          <cell r="AU55" t="str">
            <v>-</v>
          </cell>
          <cell r="AV55" t="str">
            <v>-</v>
          </cell>
        </row>
        <row r="56">
          <cell r="D56" t="str">
            <v>EWU6294</v>
          </cell>
          <cell r="E56" t="str">
            <v>00566974908</v>
          </cell>
          <cell r="F56" t="str">
            <v>9A9R6503AD1DV7019</v>
          </cell>
          <cell r="G56" t="str">
            <v>-</v>
          </cell>
          <cell r="H56" t="str">
            <v>Reboque/Rollon Rol 3E</v>
          </cell>
          <cell r="I56">
            <v>2013</v>
          </cell>
          <cell r="J56">
            <v>2013</v>
          </cell>
          <cell r="K56" t="str">
            <v>Reboque</v>
          </cell>
          <cell r="L56" t="str">
            <v>-</v>
          </cell>
          <cell r="M56" t="str">
            <v>Prata</v>
          </cell>
          <cell r="N56" t="str">
            <v>-</v>
          </cell>
          <cell r="O56" t="str">
            <v>1.2.7.4</v>
          </cell>
          <cell r="P56" t="str">
            <v>-</v>
          </cell>
          <cell r="Q56" t="str">
            <v>Regular</v>
          </cell>
          <cell r="R56" t="str">
            <v>-</v>
          </cell>
          <cell r="S56" t="str">
            <v>-</v>
          </cell>
          <cell r="T56" t="str">
            <v>Sagi</v>
          </cell>
          <cell r="U56" t="str">
            <v>Ok</v>
          </cell>
          <cell r="V56" t="str">
            <v>-</v>
          </cell>
          <cell r="W56" t="str">
            <v>Não possui</v>
          </cell>
          <cell r="X56" t="str">
            <v>Não possui</v>
          </cell>
          <cell r="Y56" t="str">
            <v>EWU-6294</v>
          </cell>
          <cell r="Z56">
            <v>43139</v>
          </cell>
          <cell r="AA56" t="str">
            <v>-</v>
          </cell>
          <cell r="AB56" t="str">
            <v>-</v>
          </cell>
          <cell r="AC56" t="str">
            <v>-</v>
          </cell>
          <cell r="AD56" t="str">
            <v>OK</v>
          </cell>
          <cell r="AE56" t="str">
            <v>Não possui</v>
          </cell>
          <cell r="AF56" t="str">
            <v>Não possui</v>
          </cell>
          <cell r="AG56" t="str">
            <v>-</v>
          </cell>
          <cell r="AH56" t="str">
            <v>ok, 23/12</v>
          </cell>
          <cell r="AI56" t="str">
            <v>OK</v>
          </cell>
          <cell r="AJ56" t="str">
            <v>Ñ CONSTA</v>
          </cell>
          <cell r="AK56" t="str">
            <v>Sem reserVA</v>
          </cell>
          <cell r="AL56" t="str">
            <v>-</v>
          </cell>
          <cell r="AM56" t="str">
            <v>-</v>
          </cell>
          <cell r="AN56" t="str">
            <v>-</v>
          </cell>
          <cell r="AO56" t="str">
            <v>-</v>
          </cell>
          <cell r="AP56" t="str">
            <v>-</v>
          </cell>
          <cell r="AQ56" t="str">
            <v>-</v>
          </cell>
          <cell r="AR56" t="str">
            <v>-</v>
          </cell>
          <cell r="AS56" t="str">
            <v>-</v>
          </cell>
          <cell r="AT56" t="str">
            <v>-</v>
          </cell>
          <cell r="AU56" t="str">
            <v>-</v>
          </cell>
          <cell r="AV56" t="str">
            <v>-</v>
          </cell>
        </row>
        <row r="57">
          <cell r="D57" t="str">
            <v>EWU6341</v>
          </cell>
          <cell r="E57" t="str">
            <v>00588231967</v>
          </cell>
          <cell r="F57" t="str">
            <v>9A9R6503AD1DV7021</v>
          </cell>
          <cell r="G57" t="str">
            <v>Imavi</v>
          </cell>
          <cell r="H57" t="str">
            <v>RR 3E</v>
          </cell>
          <cell r="I57">
            <v>2013</v>
          </cell>
          <cell r="J57">
            <v>2013</v>
          </cell>
          <cell r="K57" t="str">
            <v>Reboque</v>
          </cell>
          <cell r="L57" t="str">
            <v>-</v>
          </cell>
          <cell r="M57" t="str">
            <v>Preta</v>
          </cell>
          <cell r="N57" t="str">
            <v>-</v>
          </cell>
          <cell r="O57" t="str">
            <v>1.2.2.4</v>
          </cell>
          <cell r="P57" t="str">
            <v>-</v>
          </cell>
          <cell r="Q57" t="str">
            <v>Processo Regularização</v>
          </cell>
          <cell r="R57" t="str">
            <v>Não tem Recibo</v>
          </cell>
          <cell r="S57" t="str">
            <v>-</v>
          </cell>
          <cell r="T57" t="str">
            <v>Sagi</v>
          </cell>
          <cell r="U57" t="str">
            <v>Ok</v>
          </cell>
          <cell r="V57" t="str">
            <v>-</v>
          </cell>
          <cell r="W57" t="str">
            <v>Não possui</v>
          </cell>
          <cell r="X57" t="str">
            <v>Não possui</v>
          </cell>
          <cell r="Y57" t="str">
            <v>EWU-6341</v>
          </cell>
          <cell r="Z57">
            <v>43145</v>
          </cell>
          <cell r="AA57" t="str">
            <v>Recurso Dr. Rufino</v>
          </cell>
          <cell r="AB57" t="str">
            <v>-</v>
          </cell>
          <cell r="AC57" t="str">
            <v>-</v>
          </cell>
          <cell r="AD57" t="str">
            <v>OK</v>
          </cell>
          <cell r="AE57" t="str">
            <v>Não possui</v>
          </cell>
          <cell r="AF57" t="str">
            <v>Não possui</v>
          </cell>
          <cell r="AG57" t="str">
            <v>-</v>
          </cell>
          <cell r="AH57" t="str">
            <v>Não possui</v>
          </cell>
          <cell r="AI57" t="str">
            <v>OK</v>
          </cell>
          <cell r="AJ57" t="str">
            <v>Ñ CONSTA</v>
          </cell>
          <cell r="AK57" t="str">
            <v>Sem reserVA</v>
          </cell>
          <cell r="AL57" t="str">
            <v>-</v>
          </cell>
          <cell r="AM57" t="str">
            <v>-</v>
          </cell>
          <cell r="AN57" t="str">
            <v>-</v>
          </cell>
          <cell r="AO57" t="str">
            <v>-</v>
          </cell>
          <cell r="AP57" t="str">
            <v>-</v>
          </cell>
          <cell r="AQ57" t="str">
            <v>-</v>
          </cell>
          <cell r="AR57" t="str">
            <v>-</v>
          </cell>
          <cell r="AS57" t="str">
            <v>-</v>
          </cell>
          <cell r="AT57" t="str">
            <v>-</v>
          </cell>
          <cell r="AU57" t="str">
            <v>-</v>
          </cell>
          <cell r="AV57" t="str">
            <v>-</v>
          </cell>
        </row>
        <row r="58">
          <cell r="D58" t="str">
            <v>EWU6342</v>
          </cell>
          <cell r="E58" t="str">
            <v>00588231134</v>
          </cell>
          <cell r="F58" t="str">
            <v>9A9R6503AD1DV7022</v>
          </cell>
          <cell r="G58" t="str">
            <v>Imavi</v>
          </cell>
          <cell r="H58" t="str">
            <v>RR 3E</v>
          </cell>
          <cell r="I58">
            <v>2013</v>
          </cell>
          <cell r="J58">
            <v>2013</v>
          </cell>
          <cell r="K58" t="str">
            <v>Reboque</v>
          </cell>
          <cell r="L58" t="str">
            <v>-</v>
          </cell>
          <cell r="M58" t="str">
            <v>Preta</v>
          </cell>
          <cell r="N58" t="str">
            <v>-</v>
          </cell>
          <cell r="O58" t="str">
            <v>1.2.4.4</v>
          </cell>
          <cell r="P58" t="str">
            <v>-</v>
          </cell>
          <cell r="Q58" t="str">
            <v>Processo Regularização</v>
          </cell>
          <cell r="R58" t="str">
            <v>Não tem Recibo</v>
          </cell>
          <cell r="S58" t="str">
            <v>-</v>
          </cell>
          <cell r="T58" t="str">
            <v>-</v>
          </cell>
          <cell r="U58" t="str">
            <v>Ok</v>
          </cell>
          <cell r="V58" t="str">
            <v>-</v>
          </cell>
          <cell r="W58" t="str">
            <v>Não possui</v>
          </cell>
          <cell r="X58" t="str">
            <v>Não possui</v>
          </cell>
          <cell r="Y58" t="str">
            <v>EWU-6342</v>
          </cell>
          <cell r="Z58">
            <v>43145</v>
          </cell>
          <cell r="AA58" t="str">
            <v>-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Não possui</v>
          </cell>
          <cell r="AF58" t="str">
            <v>Não possui</v>
          </cell>
          <cell r="AG58" t="str">
            <v>-</v>
          </cell>
          <cell r="AH58" t="str">
            <v>Não possui</v>
          </cell>
          <cell r="AI58" t="str">
            <v>OK</v>
          </cell>
          <cell r="AJ58" t="str">
            <v>Ñ CONSTA</v>
          </cell>
          <cell r="AK58" t="str">
            <v>Sem reserVA</v>
          </cell>
          <cell r="AL58" t="str">
            <v>-</v>
          </cell>
          <cell r="AM58" t="str">
            <v>-</v>
          </cell>
          <cell r="AN58" t="str">
            <v>-</v>
          </cell>
          <cell r="AO58" t="str">
            <v>-</v>
          </cell>
          <cell r="AP58" t="str">
            <v>-</v>
          </cell>
          <cell r="AQ58" t="str">
            <v>-</v>
          </cell>
          <cell r="AR58" t="str">
            <v>-</v>
          </cell>
          <cell r="AS58" t="str">
            <v>-</v>
          </cell>
          <cell r="AT58" t="str">
            <v>-</v>
          </cell>
          <cell r="AU58" t="str">
            <v>-</v>
          </cell>
          <cell r="AV58" t="str">
            <v>-</v>
          </cell>
        </row>
        <row r="59">
          <cell r="D59" t="str">
            <v>EWU6343</v>
          </cell>
          <cell r="E59" t="str">
            <v>00594083010</v>
          </cell>
          <cell r="F59" t="str">
            <v>9A9R6503AD1DV7023</v>
          </cell>
          <cell r="G59" t="str">
            <v>Imavi</v>
          </cell>
          <cell r="H59" t="str">
            <v>RR 3E</v>
          </cell>
          <cell r="I59">
            <v>2013</v>
          </cell>
          <cell r="J59">
            <v>2013</v>
          </cell>
          <cell r="K59" t="str">
            <v>Reboque</v>
          </cell>
          <cell r="L59" t="str">
            <v>-</v>
          </cell>
          <cell r="M59" t="str">
            <v>Preta</v>
          </cell>
          <cell r="N59" t="str">
            <v>-</v>
          </cell>
          <cell r="O59" t="str">
            <v>1.2.4.4</v>
          </cell>
          <cell r="P59" t="str">
            <v>-</v>
          </cell>
          <cell r="Q59" t="str">
            <v>Regular</v>
          </cell>
          <cell r="R59" t="str">
            <v>-</v>
          </cell>
          <cell r="S59" t="str">
            <v>-</v>
          </cell>
          <cell r="T59" t="str">
            <v>Sagi</v>
          </cell>
          <cell r="U59" t="str">
            <v>Ok</v>
          </cell>
          <cell r="V59" t="str">
            <v>-</v>
          </cell>
          <cell r="W59" t="str">
            <v>Não possui</v>
          </cell>
          <cell r="X59" t="str">
            <v>Não possui</v>
          </cell>
          <cell r="Y59" t="str">
            <v>EWU-6343</v>
          </cell>
          <cell r="Z59">
            <v>43139</v>
          </cell>
          <cell r="AA59" t="str">
            <v>-</v>
          </cell>
          <cell r="AB59" t="str">
            <v>-</v>
          </cell>
          <cell r="AC59" t="str">
            <v>-</v>
          </cell>
          <cell r="AD59" t="str">
            <v>OK</v>
          </cell>
          <cell r="AE59" t="str">
            <v>Não possui</v>
          </cell>
          <cell r="AF59" t="str">
            <v>Não possui</v>
          </cell>
          <cell r="AG59" t="str">
            <v>-</v>
          </cell>
          <cell r="AH59" t="str">
            <v>ok, 23/12</v>
          </cell>
          <cell r="AI59" t="str">
            <v>OK</v>
          </cell>
          <cell r="AJ59" t="str">
            <v>Ñ CONSTA</v>
          </cell>
          <cell r="AK59" t="str">
            <v>Sem reserVA</v>
          </cell>
          <cell r="AL59" t="str">
            <v>-</v>
          </cell>
          <cell r="AM59" t="str">
            <v>-</v>
          </cell>
          <cell r="AN59" t="str">
            <v>-</v>
          </cell>
          <cell r="AO59" t="str">
            <v>-</v>
          </cell>
          <cell r="AP59" t="str">
            <v>-</v>
          </cell>
          <cell r="AQ59" t="str">
            <v>-</v>
          </cell>
          <cell r="AR59" t="str">
            <v>-</v>
          </cell>
          <cell r="AS59" t="str">
            <v>-</v>
          </cell>
          <cell r="AT59" t="str">
            <v>-</v>
          </cell>
          <cell r="AU59" t="str">
            <v>-</v>
          </cell>
          <cell r="AV59" t="str">
            <v>-</v>
          </cell>
        </row>
        <row r="60">
          <cell r="D60" t="str">
            <v>EWU6A79</v>
          </cell>
          <cell r="E60" t="str">
            <v>00536725446</v>
          </cell>
          <cell r="F60" t="str">
            <v>93KPOS1D2DE139657</v>
          </cell>
          <cell r="G60" t="str">
            <v>Volvo</v>
          </cell>
          <cell r="H60" t="str">
            <v>VM 330 6X4 R</v>
          </cell>
          <cell r="I60">
            <v>2013</v>
          </cell>
          <cell r="J60">
            <v>2013</v>
          </cell>
          <cell r="K60" t="str">
            <v>Caminhão / Rebocador</v>
          </cell>
          <cell r="L60" t="str">
            <v>Diesel</v>
          </cell>
          <cell r="M60" t="str">
            <v>Branca</v>
          </cell>
          <cell r="N60" t="str">
            <v>Presidente Prudente</v>
          </cell>
          <cell r="O60" t="str">
            <v>1.7.1.4</v>
          </cell>
          <cell r="P60" t="str">
            <v>Piracicaba</v>
          </cell>
          <cell r="Q60" t="str">
            <v>Regular</v>
          </cell>
          <cell r="R60" t="str">
            <v>Chico da Prensa Hidroeuropa</v>
          </cell>
          <cell r="S60" t="str">
            <v>-</v>
          </cell>
          <cell r="T60" t="str">
            <v>Sagi</v>
          </cell>
          <cell r="U60" t="str">
            <v>Ok</v>
          </cell>
          <cell r="V60" t="str">
            <v>CVC-0032</v>
          </cell>
          <cell r="W60" t="str">
            <v>Ativo</v>
          </cell>
          <cell r="X60" t="str">
            <v>Ativo</v>
          </cell>
          <cell r="Y60" t="str">
            <v>EWU-6A79</v>
          </cell>
          <cell r="Z60">
            <v>43137</v>
          </cell>
          <cell r="AA60" t="str">
            <v>-</v>
          </cell>
          <cell r="AB60" t="str">
            <v>-</v>
          </cell>
          <cell r="AC60" t="str">
            <v>-</v>
          </cell>
          <cell r="AD60" t="str">
            <v>OK</v>
          </cell>
          <cell r="AE60" t="str">
            <v>Possui</v>
          </cell>
          <cell r="AF60" t="str">
            <v>Ativo</v>
          </cell>
          <cell r="AG60" t="str">
            <v>HDI</v>
          </cell>
          <cell r="AH60" t="str">
            <v>ok, 23/12</v>
          </cell>
          <cell r="AI60" t="str">
            <v>OK</v>
          </cell>
          <cell r="AJ60" t="str">
            <v>VENCIMENTO 23-06-24</v>
          </cell>
          <cell r="AK60" t="str">
            <v>Sem reserVA</v>
          </cell>
          <cell r="AL60" t="str">
            <v>-</v>
          </cell>
          <cell r="AM60" t="str">
            <v>-</v>
          </cell>
          <cell r="AN60" t="str">
            <v>-</v>
          </cell>
          <cell r="AO60" t="str">
            <v>-</v>
          </cell>
          <cell r="AP60" t="str">
            <v>-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</row>
        <row r="61">
          <cell r="D61" t="str">
            <v>EWU6A85</v>
          </cell>
          <cell r="E61" t="str">
            <v>00537169741</v>
          </cell>
          <cell r="F61" t="str">
            <v>93KP0S1C6DE139927</v>
          </cell>
          <cell r="G61" t="str">
            <v>Volvo</v>
          </cell>
          <cell r="H61" t="str">
            <v>VM 330 6X2 R</v>
          </cell>
          <cell r="I61">
            <v>2013</v>
          </cell>
          <cell r="J61">
            <v>2013</v>
          </cell>
          <cell r="K61" t="str">
            <v>Caminhão / Rollon Roloff</v>
          </cell>
          <cell r="L61" t="str">
            <v>Diesel</v>
          </cell>
          <cell r="M61" t="str">
            <v>Branca</v>
          </cell>
          <cell r="N61" t="str">
            <v>Presidente Prudente</v>
          </cell>
          <cell r="O61" t="str">
            <v>1.2.7.4</v>
          </cell>
          <cell r="P61" t="str">
            <v>-</v>
          </cell>
          <cell r="Q61" t="str">
            <v>Regular</v>
          </cell>
          <cell r="R61" t="str">
            <v xml:space="preserve">Distrito </v>
          </cell>
          <cell r="S61" t="str">
            <v>-</v>
          </cell>
          <cell r="T61" t="str">
            <v>Sagi</v>
          </cell>
          <cell r="U61" t="str">
            <v>Ok</v>
          </cell>
          <cell r="V61" t="str">
            <v>CVR-0033</v>
          </cell>
          <cell r="W61" t="str">
            <v>Ativo</v>
          </cell>
          <cell r="X61" t="str">
            <v>Ativo</v>
          </cell>
          <cell r="Y61" t="str">
            <v>EWU-6085</v>
          </cell>
          <cell r="Z61">
            <v>43132</v>
          </cell>
          <cell r="AA61" t="str">
            <v>-</v>
          </cell>
          <cell r="AB61" t="str">
            <v>-</v>
          </cell>
          <cell r="AC61" t="str">
            <v>-</v>
          </cell>
          <cell r="AD61" t="str">
            <v>OK</v>
          </cell>
          <cell r="AE61" t="str">
            <v>Possui</v>
          </cell>
          <cell r="AF61" t="str">
            <v>Não possui</v>
          </cell>
          <cell r="AG61" t="str">
            <v>HDI</v>
          </cell>
          <cell r="AH61" t="str">
            <v>ok, 23/12</v>
          </cell>
          <cell r="AI61" t="str">
            <v>OK</v>
          </cell>
          <cell r="AJ61" t="str">
            <v>Ñ CONSTA</v>
          </cell>
          <cell r="AK61" t="str">
            <v>Sem reserVA</v>
          </cell>
          <cell r="AL61" t="str">
            <v>-</v>
          </cell>
          <cell r="AM61" t="str">
            <v>-</v>
          </cell>
          <cell r="AN61" t="str">
            <v>-</v>
          </cell>
          <cell r="AO61" t="str">
            <v>-</v>
          </cell>
          <cell r="AP61" t="str">
            <v>-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U61" t="str">
            <v>-</v>
          </cell>
          <cell r="AV61" t="str">
            <v>-</v>
          </cell>
        </row>
        <row r="62">
          <cell r="D62" t="str">
            <v>EWU6A86</v>
          </cell>
          <cell r="E62" t="str">
            <v>00537170103</v>
          </cell>
          <cell r="F62" t="str">
            <v>93KP0S1C9DE139928</v>
          </cell>
          <cell r="G62" t="str">
            <v>Volvo</v>
          </cell>
          <cell r="H62" t="str">
            <v>VM 330 6X2 R</v>
          </cell>
          <cell r="I62">
            <v>2013</v>
          </cell>
          <cell r="J62">
            <v>2013</v>
          </cell>
          <cell r="K62" t="str">
            <v>Caminhão / Rollon Rolloff</v>
          </cell>
          <cell r="L62" t="str">
            <v>Diesel</v>
          </cell>
          <cell r="M62" t="str">
            <v>Branca</v>
          </cell>
          <cell r="N62" t="str">
            <v>Dourados</v>
          </cell>
          <cell r="O62" t="str">
            <v>1.3.1.4</v>
          </cell>
          <cell r="P62" t="str">
            <v>-</v>
          </cell>
          <cell r="Q62" t="str">
            <v>Regular</v>
          </cell>
          <cell r="R62" t="str">
            <v>Distrito</v>
          </cell>
          <cell r="S62" t="str">
            <v>-</v>
          </cell>
          <cell r="T62" t="str">
            <v>Sagi</v>
          </cell>
          <cell r="U62" t="str">
            <v>Ok</v>
          </cell>
          <cell r="V62" t="str">
            <v>CVR-0034</v>
          </cell>
          <cell r="W62" t="str">
            <v>Ativo</v>
          </cell>
          <cell r="X62" t="str">
            <v>Ativo</v>
          </cell>
          <cell r="Y62" t="str">
            <v>EWU6A86</v>
          </cell>
          <cell r="Z62">
            <v>43132</v>
          </cell>
          <cell r="AA62" t="str">
            <v>-</v>
          </cell>
          <cell r="AB62" t="str">
            <v>-</v>
          </cell>
          <cell r="AC62" t="str">
            <v>-</v>
          </cell>
          <cell r="AD62" t="str">
            <v>OK</v>
          </cell>
          <cell r="AE62" t="str">
            <v>Possui</v>
          </cell>
          <cell r="AF62" t="str">
            <v>Não possui</v>
          </cell>
          <cell r="AG62" t="str">
            <v>HDI</v>
          </cell>
          <cell r="AH62" t="str">
            <v>ok, 23/12</v>
          </cell>
          <cell r="AI62" t="str">
            <v>OK</v>
          </cell>
          <cell r="AJ62" t="str">
            <v>VENCIMENTO 06-10-24</v>
          </cell>
          <cell r="AK62" t="str">
            <v>Bradesco</v>
          </cell>
          <cell r="AL62" t="str">
            <v>-</v>
          </cell>
          <cell r="AM62" t="str">
            <v>-</v>
          </cell>
          <cell r="AN62" t="str">
            <v>-</v>
          </cell>
          <cell r="AO62" t="str">
            <v>-</v>
          </cell>
          <cell r="AP62" t="str">
            <v>-</v>
          </cell>
          <cell r="AQ62" t="str">
            <v>-</v>
          </cell>
          <cell r="AR62" t="str">
            <v>-</v>
          </cell>
          <cell r="AS62" t="str">
            <v>-</v>
          </cell>
          <cell r="AT62" t="str">
            <v>-</v>
          </cell>
          <cell r="AU62" t="str">
            <v>-</v>
          </cell>
          <cell r="AV62" t="str">
            <v>-</v>
          </cell>
        </row>
        <row r="63">
          <cell r="D63" t="str">
            <v>EWU6B52</v>
          </cell>
          <cell r="E63" t="str">
            <v>00540684589</v>
          </cell>
          <cell r="F63" t="str">
            <v>9A9R6503AD1DV7018</v>
          </cell>
          <cell r="G63" t="str">
            <v>Imavi</v>
          </cell>
          <cell r="H63" t="str">
            <v>RR 3E</v>
          </cell>
          <cell r="I63">
            <v>2013</v>
          </cell>
          <cell r="J63">
            <v>2013</v>
          </cell>
          <cell r="K63" t="str">
            <v>Reboque</v>
          </cell>
          <cell r="L63" t="str">
            <v>-</v>
          </cell>
          <cell r="M63" t="str">
            <v>Preta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Regular</v>
          </cell>
          <cell r="R63" t="str">
            <v>-</v>
          </cell>
          <cell r="S63" t="str">
            <v>-</v>
          </cell>
          <cell r="T63" t="str">
            <v>Sagi</v>
          </cell>
          <cell r="U63" t="str">
            <v>Ok</v>
          </cell>
          <cell r="V63" t="str">
            <v>-</v>
          </cell>
          <cell r="W63" t="str">
            <v>Não possui</v>
          </cell>
          <cell r="X63" t="str">
            <v>Não possui</v>
          </cell>
          <cell r="Y63" t="str">
            <v>EWU-6152</v>
          </cell>
          <cell r="Z63">
            <v>43145</v>
          </cell>
          <cell r="AA63" t="str">
            <v>-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Não possui</v>
          </cell>
          <cell r="AF63" t="str">
            <v>Não possui</v>
          </cell>
          <cell r="AG63" t="str">
            <v>-</v>
          </cell>
          <cell r="AH63" t="str">
            <v>ok, 23/12</v>
          </cell>
          <cell r="AI63" t="str">
            <v>OK</v>
          </cell>
          <cell r="AJ63" t="str">
            <v>Ñ CONSTA</v>
          </cell>
          <cell r="AK63" t="str">
            <v>Sem reserVA</v>
          </cell>
          <cell r="AL63" t="str">
            <v>-</v>
          </cell>
          <cell r="AM63" t="str">
            <v>-</v>
          </cell>
          <cell r="AN63" t="str">
            <v>-</v>
          </cell>
          <cell r="AO63" t="str">
            <v>-</v>
          </cell>
          <cell r="AP63" t="str">
            <v>-</v>
          </cell>
          <cell r="AQ63" t="str">
            <v>-</v>
          </cell>
          <cell r="AR63" t="str">
            <v>-</v>
          </cell>
          <cell r="AS63" t="str">
            <v>-</v>
          </cell>
          <cell r="AT63" t="str">
            <v>-</v>
          </cell>
          <cell r="AU63" t="str">
            <v>-</v>
          </cell>
          <cell r="AV63" t="str">
            <v>-</v>
          </cell>
        </row>
        <row r="64">
          <cell r="D64" t="str">
            <v>FBU7329</v>
          </cell>
          <cell r="E64" t="str">
            <v>01156069430</v>
          </cell>
          <cell r="F64" t="str">
            <v>93KP0S1C5JE161255</v>
          </cell>
          <cell r="G64" t="str">
            <v>Volvo</v>
          </cell>
          <cell r="H64" t="str">
            <v>VM 330 6X2 R</v>
          </cell>
          <cell r="I64">
            <v>2018</v>
          </cell>
          <cell r="J64">
            <v>2018</v>
          </cell>
          <cell r="K64" t="str">
            <v>Caminhão</v>
          </cell>
          <cell r="L64" t="str">
            <v>Diesel</v>
          </cell>
          <cell r="M64" t="str">
            <v>Branca</v>
          </cell>
          <cell r="N64" t="str">
            <v>Presidente Prudente</v>
          </cell>
          <cell r="O64" t="str">
            <v>1.3.1.4</v>
          </cell>
          <cell r="P64" t="str">
            <v>-</v>
          </cell>
          <cell r="Q64" t="str">
            <v>Regular</v>
          </cell>
          <cell r="R64" t="str">
            <v>ZERO KM DA LAPONIA - BAURU EQUIPAR</v>
          </cell>
          <cell r="S64" t="str">
            <v>-</v>
          </cell>
          <cell r="T64" t="str">
            <v>Sagi</v>
          </cell>
          <cell r="U64" t="str">
            <v>Ok</v>
          </cell>
          <cell r="V64" t="str">
            <v>-</v>
          </cell>
          <cell r="W64" t="str">
            <v>Ativo</v>
          </cell>
          <cell r="X64" t="str">
            <v>Ativo</v>
          </cell>
          <cell r="Y64" t="str">
            <v>FBU-7329</v>
          </cell>
          <cell r="Z64">
            <v>43278</v>
          </cell>
          <cell r="AA64" t="str">
            <v>-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Possui</v>
          </cell>
          <cell r="AF64" t="str">
            <v>Não possui</v>
          </cell>
          <cell r="AG64" t="str">
            <v>HDI</v>
          </cell>
          <cell r="AH64" t="str">
            <v>ok, 23/12</v>
          </cell>
          <cell r="AI64" t="str">
            <v>ok</v>
          </cell>
          <cell r="AJ64" t="str">
            <v>VENCIMENTO 17-10-24</v>
          </cell>
          <cell r="AK64" t="str">
            <v>Sem reserVA</v>
          </cell>
          <cell r="AL64">
            <v>130112</v>
          </cell>
          <cell r="AM64">
            <v>43199</v>
          </cell>
          <cell r="AN64">
            <v>247500</v>
          </cell>
          <cell r="AO64" t="str">
            <v>LAPONIA SUDESTE Ltda. R. FEIJO</v>
          </cell>
          <cell r="AP64" t="str">
            <v>-</v>
          </cell>
          <cell r="AQ64" t="str">
            <v>-</v>
          </cell>
          <cell r="AR64" t="str">
            <v>-</v>
          </cell>
          <cell r="AS64" t="str">
            <v>-</v>
          </cell>
          <cell r="AT64" t="str">
            <v>-</v>
          </cell>
          <cell r="AU64" t="str">
            <v>-</v>
          </cell>
          <cell r="AV64" t="str">
            <v>-</v>
          </cell>
        </row>
        <row r="65">
          <cell r="D65" t="str">
            <v>FBV4H62</v>
          </cell>
          <cell r="E65" t="str">
            <v>01296861179</v>
          </cell>
          <cell r="F65" t="str">
            <v>9BWAH5BZ5NP035742</v>
          </cell>
          <cell r="G65" t="str">
            <v>Volkswagen</v>
          </cell>
          <cell r="H65" t="str">
            <v>Polo CL TSI</v>
          </cell>
          <cell r="I65" t="str">
            <v>-</v>
          </cell>
          <cell r="J65" t="str">
            <v>-</v>
          </cell>
          <cell r="K65" t="str">
            <v>Veículo de Passeio</v>
          </cell>
          <cell r="L65" t="str">
            <v>Flex</v>
          </cell>
          <cell r="M65" t="str">
            <v>Branca</v>
          </cell>
          <cell r="N65" t="str">
            <v>Maringá</v>
          </cell>
          <cell r="O65" t="str">
            <v>1.1.1.3</v>
          </cell>
          <cell r="P65" t="str">
            <v>-</v>
          </cell>
          <cell r="Q65" t="str">
            <v>Regular</v>
          </cell>
          <cell r="R65" t="str">
            <v>-</v>
          </cell>
          <cell r="S65" t="str">
            <v>-</v>
          </cell>
          <cell r="T65" t="str">
            <v>Sagi</v>
          </cell>
          <cell r="U65" t="str">
            <v>-</v>
          </cell>
          <cell r="V65" t="str">
            <v>-</v>
          </cell>
          <cell r="W65" t="str">
            <v>Possui</v>
          </cell>
          <cell r="X65" t="str">
            <v>Ativo</v>
          </cell>
          <cell r="Y65" t="str">
            <v>-</v>
          </cell>
          <cell r="Z65" t="str">
            <v>-</v>
          </cell>
          <cell r="AA65" t="str">
            <v>-</v>
          </cell>
          <cell r="AB65" t="str">
            <v>-</v>
          </cell>
          <cell r="AC65" t="str">
            <v>FBV4H62</v>
          </cell>
          <cell r="AD65" t="str">
            <v>-</v>
          </cell>
          <cell r="AE65" t="str">
            <v>-</v>
          </cell>
          <cell r="AF65" t="str">
            <v>Possui</v>
          </cell>
          <cell r="AG65" t="str">
            <v>-</v>
          </cell>
          <cell r="AH65" t="str">
            <v>-</v>
          </cell>
          <cell r="AI65" t="str">
            <v>PASSEIO</v>
          </cell>
          <cell r="AJ65" t="str">
            <v>PASSEIO</v>
          </cell>
          <cell r="AK65" t="str">
            <v>Sem reserVA</v>
          </cell>
          <cell r="AL65">
            <v>188487</v>
          </cell>
          <cell r="AM65">
            <v>44676</v>
          </cell>
          <cell r="AN65">
            <v>106500</v>
          </cell>
          <cell r="AO65" t="str">
            <v>LIANE VEICULOS Ltda</v>
          </cell>
          <cell r="AP65" t="str">
            <v>-</v>
          </cell>
          <cell r="AQ65" t="str">
            <v>-</v>
          </cell>
          <cell r="AR65" t="str">
            <v>-</v>
          </cell>
          <cell r="AS65" t="str">
            <v>-</v>
          </cell>
          <cell r="AT65" t="str">
            <v>-</v>
          </cell>
          <cell r="AU65" t="str">
            <v>-</v>
          </cell>
          <cell r="AV65" t="str">
            <v>-</v>
          </cell>
        </row>
        <row r="66">
          <cell r="D66" t="str">
            <v>FCL4A82</v>
          </cell>
          <cell r="E66" t="str">
            <v>01292091247</v>
          </cell>
          <cell r="F66" t="str">
            <v>9BWAH5BZ0NP033123</v>
          </cell>
          <cell r="G66" t="str">
            <v>Volkswagen</v>
          </cell>
          <cell r="H66" t="str">
            <v>Polo CL TSI</v>
          </cell>
          <cell r="I66" t="str">
            <v>-</v>
          </cell>
          <cell r="J66" t="str">
            <v>-</v>
          </cell>
          <cell r="K66" t="str">
            <v>Veículo de Passeio</v>
          </cell>
          <cell r="L66" t="str">
            <v>Flex</v>
          </cell>
          <cell r="M66" t="str">
            <v>Branca</v>
          </cell>
          <cell r="N66" t="str">
            <v>Maringá</v>
          </cell>
          <cell r="O66" t="str">
            <v>1.2.1.4</v>
          </cell>
          <cell r="P66" t="str">
            <v>-</v>
          </cell>
          <cell r="Q66" t="str">
            <v>Regular</v>
          </cell>
          <cell r="R66" t="str">
            <v>-</v>
          </cell>
          <cell r="S66" t="str">
            <v>-</v>
          </cell>
          <cell r="T66" t="str">
            <v>Sagi</v>
          </cell>
          <cell r="U66" t="str">
            <v>-</v>
          </cell>
          <cell r="V66" t="str">
            <v>-</v>
          </cell>
          <cell r="W66" t="str">
            <v>Possui</v>
          </cell>
          <cell r="X66" t="str">
            <v>Ativo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FCL4A82</v>
          </cell>
          <cell r="AD66" t="str">
            <v>-</v>
          </cell>
          <cell r="AE66" t="str">
            <v>Possui</v>
          </cell>
          <cell r="AF66" t="str">
            <v>Possui</v>
          </cell>
          <cell r="AG66" t="str">
            <v>-</v>
          </cell>
          <cell r="AH66" t="str">
            <v>-</v>
          </cell>
          <cell r="AI66" t="str">
            <v>PASSEIO</v>
          </cell>
          <cell r="AJ66" t="str">
            <v>PASSEIO</v>
          </cell>
          <cell r="AK66" t="str">
            <v>Sem reserVA</v>
          </cell>
          <cell r="AL66">
            <v>186908</v>
          </cell>
          <cell r="AM66">
            <v>44629</v>
          </cell>
          <cell r="AN66">
            <v>106500</v>
          </cell>
          <cell r="AO66" t="str">
            <v>LIANE VEICULOS Ltda</v>
          </cell>
          <cell r="AP66" t="str">
            <v>-</v>
          </cell>
          <cell r="AQ66" t="str">
            <v>-</v>
          </cell>
          <cell r="AR66" t="str">
            <v>-</v>
          </cell>
          <cell r="AS66" t="str">
            <v>-</v>
          </cell>
          <cell r="AT66" t="str">
            <v>-</v>
          </cell>
          <cell r="AU66" t="str">
            <v>-</v>
          </cell>
          <cell r="AV66" t="str">
            <v>-</v>
          </cell>
        </row>
        <row r="67">
          <cell r="D67" t="str">
            <v>FJQ5A08</v>
          </cell>
          <cell r="E67" t="str">
            <v>01166648505</v>
          </cell>
          <cell r="F67" t="str">
            <v>9BFYEBVF5KBL73366</v>
          </cell>
          <cell r="G67" t="str">
            <v>Ford</v>
          </cell>
          <cell r="H67" t="str">
            <v>Cargo 2431 L</v>
          </cell>
          <cell r="I67">
            <v>2018</v>
          </cell>
          <cell r="J67">
            <v>2019</v>
          </cell>
          <cell r="K67" t="str">
            <v>Caminhão</v>
          </cell>
          <cell r="L67" t="str">
            <v xml:space="preserve">Diesel </v>
          </cell>
          <cell r="M67" t="str">
            <v>Branca</v>
          </cell>
          <cell r="N67" t="str">
            <v>Maringá</v>
          </cell>
          <cell r="O67" t="str">
            <v>1.2.4.4</v>
          </cell>
          <cell r="P67" t="str">
            <v>-</v>
          </cell>
          <cell r="Q67" t="str">
            <v>Regular</v>
          </cell>
          <cell r="R67" t="str">
            <v>-</v>
          </cell>
          <cell r="S67" t="str">
            <v>-</v>
          </cell>
          <cell r="T67" t="str">
            <v>Sagi</v>
          </cell>
          <cell r="U67" t="str">
            <v>Ok</v>
          </cell>
          <cell r="V67" t="str">
            <v>-</v>
          </cell>
          <cell r="W67" t="str">
            <v>Ativo</v>
          </cell>
          <cell r="X67" t="str">
            <v>Ativo</v>
          </cell>
          <cell r="Y67" t="str">
            <v>FJQ-5A08</v>
          </cell>
          <cell r="Z67">
            <v>43384</v>
          </cell>
          <cell r="AA67" t="str">
            <v>-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Possui</v>
          </cell>
          <cell r="AF67" t="str">
            <v>Não possui</v>
          </cell>
          <cell r="AG67" t="str">
            <v>HDI</v>
          </cell>
          <cell r="AH67" t="str">
            <v>ok, 23/12</v>
          </cell>
          <cell r="AI67" t="str">
            <v>OK</v>
          </cell>
          <cell r="AJ67" t="str">
            <v>VENCIDO 23-02-23</v>
          </cell>
          <cell r="AK67" t="str">
            <v>Sem reserVA</v>
          </cell>
          <cell r="AL67">
            <v>152546</v>
          </cell>
          <cell r="AM67">
            <v>43266</v>
          </cell>
          <cell r="AN67">
            <v>230000</v>
          </cell>
          <cell r="AO67" t="str">
            <v>FORD MOTOR COMPANY BRASIL Ltda</v>
          </cell>
          <cell r="AP67" t="str">
            <v>-</v>
          </cell>
          <cell r="AQ67" t="str">
            <v>-</v>
          </cell>
          <cell r="AR67" t="str">
            <v>-</v>
          </cell>
          <cell r="AS67" t="str">
            <v>-</v>
          </cell>
          <cell r="AT67" t="str">
            <v>-</v>
          </cell>
          <cell r="AU67" t="str">
            <v>-</v>
          </cell>
          <cell r="AV67" t="str">
            <v>-</v>
          </cell>
        </row>
        <row r="68">
          <cell r="D68" t="str">
            <v>FJU8F67</v>
          </cell>
          <cell r="E68" t="str">
            <v>01265535210</v>
          </cell>
          <cell r="F68" t="str">
            <v>9A9R0933MMGEC3239</v>
          </cell>
          <cell r="G68" t="str">
            <v>Busa</v>
          </cell>
          <cell r="H68" t="str">
            <v>Reboque 03 Eixos RolL On/RolL Off</v>
          </cell>
          <cell r="I68">
            <v>2021</v>
          </cell>
          <cell r="J68">
            <v>2021</v>
          </cell>
          <cell r="K68" t="str">
            <v>Reboque Julieta</v>
          </cell>
          <cell r="L68" t="str">
            <v>-</v>
          </cell>
          <cell r="M68" t="str">
            <v>Preta</v>
          </cell>
          <cell r="N68" t="str">
            <v>-</v>
          </cell>
          <cell r="O68" t="str">
            <v>1.2.2.4</v>
          </cell>
          <cell r="P68" t="str">
            <v>-</v>
          </cell>
          <cell r="Q68" t="str">
            <v>Regular</v>
          </cell>
          <cell r="R68" t="str">
            <v>Compradas Junto com os Volvos</v>
          </cell>
          <cell r="S68" t="str">
            <v>-</v>
          </cell>
          <cell r="T68" t="str">
            <v>Sagi</v>
          </cell>
          <cell r="U68" t="str">
            <v>Ok</v>
          </cell>
          <cell r="V68" t="str">
            <v>-</v>
          </cell>
          <cell r="W68" t="str">
            <v>Não possui</v>
          </cell>
          <cell r="X68" t="str">
            <v>Não possui</v>
          </cell>
          <cell r="Y68" t="str">
            <v>FJU8F67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OK</v>
          </cell>
          <cell r="AE68" t="str">
            <v>Não possui</v>
          </cell>
          <cell r="AF68" t="str">
            <v>Não possui</v>
          </cell>
          <cell r="AG68" t="str">
            <v>-</v>
          </cell>
          <cell r="AH68" t="str">
            <v>-</v>
          </cell>
          <cell r="AI68" t="str">
            <v>OK</v>
          </cell>
          <cell r="AJ68" t="str">
            <v>Ñ CONSTA</v>
          </cell>
          <cell r="AK68" t="str">
            <v>Sem reserVA</v>
          </cell>
          <cell r="AL68">
            <v>36556</v>
          </cell>
          <cell r="AM68">
            <v>44306</v>
          </cell>
          <cell r="AN68">
            <v>101000</v>
          </cell>
          <cell r="AO68" t="str">
            <v>BUSA INDUSTRIAL e COMERCIAL Ltda</v>
          </cell>
          <cell r="AP68" t="str">
            <v>-</v>
          </cell>
          <cell r="AQ68" t="str">
            <v>-</v>
          </cell>
          <cell r="AR68" t="str">
            <v>-</v>
          </cell>
          <cell r="AS68" t="str">
            <v>-</v>
          </cell>
          <cell r="AT68" t="str">
            <v>-</v>
          </cell>
          <cell r="AU68" t="str">
            <v>-</v>
          </cell>
          <cell r="AV68" t="str">
            <v>-</v>
          </cell>
        </row>
        <row r="69">
          <cell r="D69" t="str">
            <v>FRT7548</v>
          </cell>
          <cell r="E69" t="str">
            <v>01156069910</v>
          </cell>
          <cell r="F69" t="str">
            <v>93KP0S1C5JE161545</v>
          </cell>
          <cell r="G69" t="str">
            <v>Volvo</v>
          </cell>
          <cell r="H69" t="str">
            <v>VM 330 6X2 R</v>
          </cell>
          <cell r="I69">
            <v>2018</v>
          </cell>
          <cell r="J69">
            <v>2018</v>
          </cell>
          <cell r="K69" t="str">
            <v>Caminhão</v>
          </cell>
          <cell r="L69" t="str">
            <v xml:space="preserve">Diesel </v>
          </cell>
          <cell r="M69" t="str">
            <v>Branca</v>
          </cell>
          <cell r="N69" t="str">
            <v>Dourados</v>
          </cell>
          <cell r="O69" t="str">
            <v>1.2.7.4</v>
          </cell>
          <cell r="P69" t="str">
            <v>-</v>
          </cell>
          <cell r="Q69" t="str">
            <v>Regular</v>
          </cell>
          <cell r="R69" t="str">
            <v>-</v>
          </cell>
          <cell r="S69" t="str">
            <v>-</v>
          </cell>
          <cell r="T69" t="str">
            <v>Sagi</v>
          </cell>
          <cell r="U69" t="str">
            <v>Ok</v>
          </cell>
          <cell r="V69" t="str">
            <v>-</v>
          </cell>
          <cell r="W69" t="str">
            <v>Ativo</v>
          </cell>
          <cell r="X69" t="str">
            <v>Ativo</v>
          </cell>
          <cell r="Y69" t="str">
            <v>FRT-7548</v>
          </cell>
          <cell r="Z69">
            <v>43278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OK</v>
          </cell>
          <cell r="AE69" t="str">
            <v>Possui</v>
          </cell>
          <cell r="AF69" t="str">
            <v>Não possui</v>
          </cell>
          <cell r="AG69" t="str">
            <v>HDI</v>
          </cell>
          <cell r="AH69" t="str">
            <v>ok, 23/12</v>
          </cell>
          <cell r="AI69" t="str">
            <v>OK</v>
          </cell>
          <cell r="AJ69" t="str">
            <v>VENCIMENTO 05-08-24</v>
          </cell>
          <cell r="AK69" t="str">
            <v>Sem reserVA</v>
          </cell>
          <cell r="AL69">
            <v>132611</v>
          </cell>
          <cell r="AM69">
            <v>43250</v>
          </cell>
          <cell r="AN69">
            <v>247500</v>
          </cell>
          <cell r="AO69" t="str">
            <v>LAPONIA SUDESTE Ltda. R. FEIJÓ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</row>
        <row r="70">
          <cell r="D70" t="str">
            <v>FTP7D76</v>
          </cell>
          <cell r="E70" t="str">
            <v>01265536578</v>
          </cell>
          <cell r="F70" t="str">
            <v>9A9R0933MMGEC3237</v>
          </cell>
          <cell r="G70" t="str">
            <v>Busa</v>
          </cell>
          <cell r="H70" t="str">
            <v>Reboque 03 Eixos RolL On/RolL Off</v>
          </cell>
          <cell r="I70">
            <v>2021</v>
          </cell>
          <cell r="J70">
            <v>2021</v>
          </cell>
          <cell r="K70" t="str">
            <v>Reboque Julieta</v>
          </cell>
          <cell r="L70" t="str">
            <v>-</v>
          </cell>
          <cell r="M70" t="str">
            <v>Preta</v>
          </cell>
          <cell r="N70" t="str">
            <v>-</v>
          </cell>
          <cell r="O70" t="str">
            <v>1.2.3.4</v>
          </cell>
          <cell r="P70" t="str">
            <v>-</v>
          </cell>
          <cell r="Q70" t="str">
            <v>Regular</v>
          </cell>
          <cell r="R70" t="str">
            <v>Compradas Junto com os Volvos</v>
          </cell>
          <cell r="S70" t="str">
            <v>-</v>
          </cell>
          <cell r="T70" t="str">
            <v>Sagi</v>
          </cell>
          <cell r="U70" t="str">
            <v>Ok</v>
          </cell>
          <cell r="V70" t="str">
            <v>-</v>
          </cell>
          <cell r="W70" t="str">
            <v>Não possui</v>
          </cell>
          <cell r="X70" t="str">
            <v>Não possui</v>
          </cell>
          <cell r="Y70" t="str">
            <v>FTP7D76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Não possui</v>
          </cell>
          <cell r="AF70" t="str">
            <v>Não possui</v>
          </cell>
          <cell r="AG70" t="str">
            <v>-</v>
          </cell>
          <cell r="AH70" t="str">
            <v>-</v>
          </cell>
          <cell r="AI70" t="str">
            <v>OK</v>
          </cell>
          <cell r="AJ70" t="str">
            <v>Ñ CONSTA</v>
          </cell>
          <cell r="AK70" t="str">
            <v>Sem reserVA</v>
          </cell>
          <cell r="AL70">
            <v>36554</v>
          </cell>
          <cell r="AM70">
            <v>44306</v>
          </cell>
          <cell r="AN70">
            <v>101000</v>
          </cell>
          <cell r="AO70" t="str">
            <v>BUSA INDUSTRIAL e COMERCIAL Ltda</v>
          </cell>
          <cell r="AP70" t="str">
            <v>-</v>
          </cell>
          <cell r="AQ70" t="str">
            <v>-</v>
          </cell>
          <cell r="AR70" t="str">
            <v>-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>-</v>
          </cell>
        </row>
        <row r="71">
          <cell r="D71" t="str">
            <v>FTW0D43</v>
          </cell>
          <cell r="E71" t="str">
            <v>01361465155</v>
          </cell>
          <cell r="F71" t="str">
            <v>9BWKL45U1PP082699</v>
          </cell>
          <cell r="G71" t="str">
            <v>Volkswagen</v>
          </cell>
          <cell r="H71" t="str">
            <v>Saveiro CS RB MPI</v>
          </cell>
          <cell r="I71">
            <v>2023</v>
          </cell>
          <cell r="J71">
            <v>2023</v>
          </cell>
          <cell r="K71" t="str">
            <v>Veículo de Passeio</v>
          </cell>
          <cell r="L71" t="str">
            <v>Flex</v>
          </cell>
          <cell r="M71" t="str">
            <v>Branca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Regular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 t="str">
            <v>-</v>
          </cell>
          <cell r="Y71" t="str">
            <v>-</v>
          </cell>
          <cell r="Z71" t="str">
            <v>-</v>
          </cell>
          <cell r="AA71" t="str">
            <v>-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 t="str">
            <v>-</v>
          </cell>
          <cell r="AH71" t="str">
            <v>APTV</v>
          </cell>
          <cell r="AI71" t="str">
            <v>-</v>
          </cell>
          <cell r="AJ71" t="str">
            <v>-</v>
          </cell>
          <cell r="AK71" t="str">
            <v>-</v>
          </cell>
          <cell r="AL71">
            <v>879586</v>
          </cell>
          <cell r="AM71">
            <v>45194</v>
          </cell>
          <cell r="AN71">
            <v>76763.710000000006</v>
          </cell>
          <cell r="AO71" t="str">
            <v>Volkswagen do BRASIL-INDUSTRIA de VEICULOS AUTOMOTORES Ltda</v>
          </cell>
          <cell r="AP71" t="str">
            <v>-</v>
          </cell>
          <cell r="AQ71" t="str">
            <v>-</v>
          </cell>
          <cell r="AR71" t="str">
            <v>-</v>
          </cell>
          <cell r="AS71" t="str">
            <v>-</v>
          </cell>
          <cell r="AT71" t="str">
            <v>-</v>
          </cell>
          <cell r="AU71" t="str">
            <v>-</v>
          </cell>
          <cell r="AV71" t="str">
            <v>-</v>
          </cell>
        </row>
        <row r="72">
          <cell r="D72" t="str">
            <v>FUF1E28</v>
          </cell>
          <cell r="E72" t="str">
            <v>01265537124</v>
          </cell>
          <cell r="F72" t="str">
            <v>9A9R0933MMGEC3240</v>
          </cell>
          <cell r="G72" t="str">
            <v>Busa</v>
          </cell>
          <cell r="H72" t="str">
            <v>Reboque 03 Eixos RolL On/RolL Off</v>
          </cell>
          <cell r="I72">
            <v>2021</v>
          </cell>
          <cell r="J72">
            <v>2021</v>
          </cell>
          <cell r="K72" t="str">
            <v>Reboque Julieta</v>
          </cell>
          <cell r="L72" t="str">
            <v>-</v>
          </cell>
          <cell r="M72" t="str">
            <v>Preta</v>
          </cell>
          <cell r="N72" t="str">
            <v>-</v>
          </cell>
          <cell r="O72" t="str">
            <v>1.2.2.4</v>
          </cell>
          <cell r="P72" t="str">
            <v>-</v>
          </cell>
          <cell r="Q72" t="str">
            <v>Regular</v>
          </cell>
          <cell r="R72" t="str">
            <v>Compradas Junto com os Volvos</v>
          </cell>
          <cell r="S72" t="str">
            <v>-</v>
          </cell>
          <cell r="T72" t="str">
            <v>Sagi</v>
          </cell>
          <cell r="U72" t="str">
            <v>Ok</v>
          </cell>
          <cell r="V72" t="str">
            <v>-</v>
          </cell>
          <cell r="W72" t="str">
            <v>Não possui</v>
          </cell>
          <cell r="X72" t="str">
            <v>Não possui</v>
          </cell>
          <cell r="Y72" t="str">
            <v>FUF1E28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OK</v>
          </cell>
          <cell r="AE72" t="str">
            <v>Não possui</v>
          </cell>
          <cell r="AF72" t="str">
            <v>Não possui</v>
          </cell>
          <cell r="AG72" t="str">
            <v>-</v>
          </cell>
          <cell r="AH72" t="str">
            <v>-</v>
          </cell>
          <cell r="AI72" t="str">
            <v>OK</v>
          </cell>
          <cell r="AJ72" t="str">
            <v>Ñ CONSTA</v>
          </cell>
          <cell r="AK72" t="str">
            <v>Sem reserVA</v>
          </cell>
          <cell r="AL72">
            <v>36559</v>
          </cell>
          <cell r="AM72">
            <v>44306</v>
          </cell>
          <cell r="AN72">
            <v>101000</v>
          </cell>
          <cell r="AO72" t="str">
            <v>BUSA INDUSTRIAL e COMERCIAL Ltda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>-</v>
          </cell>
        </row>
        <row r="73">
          <cell r="D73" t="str">
            <v>FUP3G76</v>
          </cell>
          <cell r="E73" t="str">
            <v>01265535598</v>
          </cell>
          <cell r="F73" t="str">
            <v>9A9R0933MMGEC3238</v>
          </cell>
          <cell r="G73" t="str">
            <v>Busa</v>
          </cell>
          <cell r="H73" t="str">
            <v>Reboque 03 Eixos RolL On/RolL Off</v>
          </cell>
          <cell r="I73">
            <v>2021</v>
          </cell>
          <cell r="J73">
            <v>2021</v>
          </cell>
          <cell r="K73" t="str">
            <v>Reboque Julieta</v>
          </cell>
          <cell r="L73" t="str">
            <v>-</v>
          </cell>
          <cell r="M73" t="str">
            <v>Preta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Regular</v>
          </cell>
          <cell r="R73" t="str">
            <v>Compradas Junto com os Volvos</v>
          </cell>
          <cell r="S73" t="str">
            <v>-</v>
          </cell>
          <cell r="T73" t="str">
            <v>Sagi</v>
          </cell>
          <cell r="U73" t="str">
            <v>Ok</v>
          </cell>
          <cell r="V73" t="str">
            <v>-</v>
          </cell>
          <cell r="W73" t="str">
            <v>Não possui</v>
          </cell>
          <cell r="X73" t="str">
            <v>Não possui</v>
          </cell>
          <cell r="Y73" t="str">
            <v>FUP3G76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Não possui</v>
          </cell>
          <cell r="AF73" t="str">
            <v>Não possui</v>
          </cell>
          <cell r="AG73" t="str">
            <v>-</v>
          </cell>
          <cell r="AH73" t="str">
            <v>-</v>
          </cell>
          <cell r="AI73" t="str">
            <v>OK</v>
          </cell>
          <cell r="AJ73" t="str">
            <v>Ñ CONSTA</v>
          </cell>
          <cell r="AK73" t="str">
            <v>Sem reserVA</v>
          </cell>
          <cell r="AL73">
            <v>36555</v>
          </cell>
          <cell r="AM73">
            <v>44306</v>
          </cell>
          <cell r="AN73">
            <v>101000</v>
          </cell>
          <cell r="AO73" t="str">
            <v>BUSA INDUSTRIAL e COMERCIAL Ltda</v>
          </cell>
          <cell r="AP73" t="str">
            <v>-</v>
          </cell>
          <cell r="AQ73" t="str">
            <v>-</v>
          </cell>
          <cell r="AR73" t="str">
            <v>-</v>
          </cell>
          <cell r="AS73" t="str">
            <v>-</v>
          </cell>
          <cell r="AT73" t="str">
            <v>-</v>
          </cell>
          <cell r="AU73" t="str">
            <v>-</v>
          </cell>
          <cell r="AV73" t="str">
            <v>-</v>
          </cell>
        </row>
        <row r="74">
          <cell r="D74" t="str">
            <v>FVQ3B78</v>
          </cell>
          <cell r="E74" t="str">
            <v>01265537507</v>
          </cell>
          <cell r="F74" t="str">
            <v>9A9R0933MMGEC3242</v>
          </cell>
          <cell r="G74" t="str">
            <v>Busa</v>
          </cell>
          <cell r="H74" t="str">
            <v>Reboque 03 Eixos RolL On/RolL Off</v>
          </cell>
          <cell r="I74">
            <v>2021</v>
          </cell>
          <cell r="J74">
            <v>2021</v>
          </cell>
          <cell r="K74" t="str">
            <v>Reboque Julieta</v>
          </cell>
          <cell r="L74" t="str">
            <v>-</v>
          </cell>
          <cell r="M74" t="str">
            <v>Preta</v>
          </cell>
          <cell r="N74" t="str">
            <v>-</v>
          </cell>
          <cell r="O74" t="str">
            <v>-</v>
          </cell>
          <cell r="P74" t="str">
            <v>-</v>
          </cell>
          <cell r="Q74" t="str">
            <v>Regular</v>
          </cell>
          <cell r="R74" t="str">
            <v>Compradas Junto com os Volvos</v>
          </cell>
          <cell r="S74" t="str">
            <v>-</v>
          </cell>
          <cell r="T74" t="str">
            <v>Sagi</v>
          </cell>
          <cell r="U74" t="str">
            <v>-</v>
          </cell>
          <cell r="V74" t="str">
            <v>-</v>
          </cell>
          <cell r="W74" t="str">
            <v>Não possui</v>
          </cell>
          <cell r="X74" t="str">
            <v>Não possui</v>
          </cell>
          <cell r="Y74" t="str">
            <v>FVQ3B78</v>
          </cell>
          <cell r="Z74" t="str">
            <v>-</v>
          </cell>
          <cell r="AA74" t="str">
            <v>-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Não possui</v>
          </cell>
          <cell r="AF74" t="str">
            <v>Não possui</v>
          </cell>
          <cell r="AG74" t="str">
            <v>-</v>
          </cell>
          <cell r="AH74" t="str">
            <v>-</v>
          </cell>
          <cell r="AI74" t="str">
            <v>OK</v>
          </cell>
          <cell r="AJ74" t="str">
            <v>Ñ CONSTA</v>
          </cell>
          <cell r="AK74" t="str">
            <v>Sem reserVA</v>
          </cell>
          <cell r="AL74">
            <v>36564</v>
          </cell>
          <cell r="AM74">
            <v>44306</v>
          </cell>
          <cell r="AN74">
            <v>101000</v>
          </cell>
          <cell r="AO74" t="str">
            <v>BUSA INDUSTRIAL e COMERCIAL Ltda</v>
          </cell>
          <cell r="AP74" t="str">
            <v>-</v>
          </cell>
          <cell r="AQ74" t="str">
            <v>-</v>
          </cell>
          <cell r="AR74" t="str">
            <v>-</v>
          </cell>
          <cell r="AS74" t="str">
            <v>-</v>
          </cell>
          <cell r="AT74" t="str">
            <v>-</v>
          </cell>
          <cell r="AU74" t="str">
            <v>-</v>
          </cell>
          <cell r="AV74" t="str">
            <v>-</v>
          </cell>
        </row>
        <row r="75">
          <cell r="D75" t="str">
            <v>FYA7J92</v>
          </cell>
          <cell r="E75" t="str">
            <v>01358829303</v>
          </cell>
          <cell r="F75" t="str">
            <v>9BWKL45U0PP077848</v>
          </cell>
          <cell r="G75" t="str">
            <v>Volkswagen</v>
          </cell>
          <cell r="H75" t="str">
            <v>Saveiro CS RB MPI</v>
          </cell>
          <cell r="I75">
            <v>2023</v>
          </cell>
          <cell r="J75">
            <v>2023</v>
          </cell>
          <cell r="K75" t="str">
            <v>Veículo de Passeio</v>
          </cell>
          <cell r="L75" t="str">
            <v>Flex</v>
          </cell>
          <cell r="M75" t="str">
            <v>Branca</v>
          </cell>
          <cell r="N75" t="str">
            <v>Presidente Prudente</v>
          </cell>
          <cell r="O75" t="str">
            <v>-</v>
          </cell>
          <cell r="P75" t="str">
            <v>-</v>
          </cell>
          <cell r="Q75" t="str">
            <v>Regular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  <cell r="V75" t="str">
            <v>-</v>
          </cell>
          <cell r="W75" t="str">
            <v>-</v>
          </cell>
          <cell r="X75" t="str">
            <v>-</v>
          </cell>
          <cell r="Y75" t="str">
            <v>-</v>
          </cell>
          <cell r="Z75" t="str">
            <v>-</v>
          </cell>
          <cell r="AA75" t="str">
            <v>-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 t="str">
            <v>-</v>
          </cell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>
            <v>870577</v>
          </cell>
          <cell r="AM75">
            <v>45169</v>
          </cell>
          <cell r="AN75">
            <v>79606.81</v>
          </cell>
          <cell r="AO75" t="str">
            <v>Volkswagen do BRASIL-INDUSTRIA de VEICULOS AUTOMOTORES Ltda</v>
          </cell>
          <cell r="AP75" t="str">
            <v>-</v>
          </cell>
          <cell r="AQ75" t="str">
            <v>-</v>
          </cell>
          <cell r="AR75" t="str">
            <v>-</v>
          </cell>
          <cell r="AS75" t="str">
            <v>-</v>
          </cell>
          <cell r="AT75" t="str">
            <v>-</v>
          </cell>
          <cell r="AU75" t="str">
            <v>-</v>
          </cell>
          <cell r="AV75" t="str">
            <v>-</v>
          </cell>
        </row>
        <row r="76">
          <cell r="D76" t="str">
            <v>FYC7D43</v>
          </cell>
          <cell r="E76" t="str">
            <v>01358830131</v>
          </cell>
          <cell r="F76" t="str">
            <v>9BWKL45U9PP078657</v>
          </cell>
          <cell r="G76" t="str">
            <v>Volkswagen</v>
          </cell>
          <cell r="H76" t="str">
            <v>Saveiro CS RB MPI</v>
          </cell>
          <cell r="I76">
            <v>2023</v>
          </cell>
          <cell r="J76">
            <v>2023</v>
          </cell>
          <cell r="K76" t="str">
            <v>Veículo de Passeio</v>
          </cell>
          <cell r="L76" t="str">
            <v>Flex</v>
          </cell>
          <cell r="M76" t="str">
            <v>Branca</v>
          </cell>
          <cell r="N76" t="str">
            <v>Presidente Prudente</v>
          </cell>
          <cell r="O76" t="str">
            <v>-</v>
          </cell>
          <cell r="P76" t="str">
            <v>-</v>
          </cell>
          <cell r="Q76" t="str">
            <v>Regular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-</v>
          </cell>
          <cell r="AA76" t="str">
            <v>-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 t="str">
            <v>-</v>
          </cell>
          <cell r="AH76" t="str">
            <v>-</v>
          </cell>
          <cell r="AI76" t="str">
            <v>-</v>
          </cell>
          <cell r="AJ76" t="str">
            <v>-</v>
          </cell>
          <cell r="AK76" t="str">
            <v>-</v>
          </cell>
          <cell r="AL76">
            <v>870578</v>
          </cell>
          <cell r="AM76">
            <v>45169</v>
          </cell>
          <cell r="AN76">
            <v>79606.81</v>
          </cell>
          <cell r="AO76" t="str">
            <v>Volkswagen do BRASIL-INDUSTRIA de VEICULOS AUTOMOTORES Ltda</v>
          </cell>
          <cell r="AP76" t="str">
            <v>-</v>
          </cell>
          <cell r="AQ76" t="str">
            <v>-</v>
          </cell>
          <cell r="AR76" t="str">
            <v>-</v>
          </cell>
          <cell r="AS76" t="str">
            <v>-</v>
          </cell>
          <cell r="AT76" t="str">
            <v>-</v>
          </cell>
          <cell r="AU76" t="str">
            <v>-</v>
          </cell>
          <cell r="AV76" t="str">
            <v>-</v>
          </cell>
        </row>
        <row r="77">
          <cell r="D77" t="str">
            <v>FZF3J28</v>
          </cell>
          <cell r="E77" t="str">
            <v>01265534761</v>
          </cell>
          <cell r="F77" t="str">
            <v>9A9R0933MMGEC3241</v>
          </cell>
          <cell r="G77" t="str">
            <v>Busa</v>
          </cell>
          <cell r="H77" t="str">
            <v>Reboque 03 Eixos RolL On/RolL Off</v>
          </cell>
          <cell r="I77">
            <v>2021</v>
          </cell>
          <cell r="J77">
            <v>2021</v>
          </cell>
          <cell r="K77" t="str">
            <v>Reboque Julieta</v>
          </cell>
          <cell r="L77" t="str">
            <v>-</v>
          </cell>
          <cell r="M77" t="str">
            <v>Preta</v>
          </cell>
          <cell r="N77" t="str">
            <v>-</v>
          </cell>
          <cell r="O77" t="str">
            <v>1.2.2.4</v>
          </cell>
          <cell r="P77" t="str">
            <v>-</v>
          </cell>
          <cell r="Q77" t="str">
            <v>Regular</v>
          </cell>
          <cell r="R77" t="str">
            <v>Compradas Junto com os Volvos</v>
          </cell>
          <cell r="S77" t="str">
            <v>-</v>
          </cell>
          <cell r="T77" t="str">
            <v>Sagi</v>
          </cell>
          <cell r="U77" t="str">
            <v>Ok</v>
          </cell>
          <cell r="V77" t="str">
            <v>-</v>
          </cell>
          <cell r="W77" t="str">
            <v>Não possui</v>
          </cell>
          <cell r="X77" t="str">
            <v>Não possui</v>
          </cell>
          <cell r="Y77" t="str">
            <v>FZF3J28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Não possui</v>
          </cell>
          <cell r="AF77" t="str">
            <v>Não possui</v>
          </cell>
          <cell r="AG77" t="str">
            <v>-</v>
          </cell>
          <cell r="AH77" t="str">
            <v>-</v>
          </cell>
          <cell r="AI77" t="str">
            <v>OK</v>
          </cell>
          <cell r="AJ77" t="str">
            <v>Ñ CONSTA</v>
          </cell>
          <cell r="AK77" t="str">
            <v>Sem reserVA</v>
          </cell>
          <cell r="AL77">
            <v>36562</v>
          </cell>
          <cell r="AM77">
            <v>44306</v>
          </cell>
          <cell r="AN77">
            <v>101000</v>
          </cell>
          <cell r="AO77" t="str">
            <v>BUSA INDUSTRIAL e COMERCIAL Ltda</v>
          </cell>
          <cell r="AP77" t="str">
            <v>-</v>
          </cell>
          <cell r="AQ77" t="str">
            <v>-</v>
          </cell>
          <cell r="AR77" t="str">
            <v>-</v>
          </cell>
          <cell r="AS77" t="str">
            <v>-</v>
          </cell>
          <cell r="AT77" t="str">
            <v>-</v>
          </cell>
          <cell r="AU77" t="str">
            <v>-</v>
          </cell>
          <cell r="AV77" t="str">
            <v>-</v>
          </cell>
        </row>
        <row r="78">
          <cell r="D78" t="str">
            <v>GBL8H44</v>
          </cell>
          <cell r="E78" t="str">
            <v>01281034034</v>
          </cell>
          <cell r="F78" t="str">
            <v>VV9S3G120MA100004</v>
          </cell>
          <cell r="G78" t="str">
            <v>Hidroeuropa</v>
          </cell>
          <cell r="H78" t="str">
            <v>Prensa JCH200M</v>
          </cell>
          <cell r="I78">
            <v>2021</v>
          </cell>
          <cell r="J78">
            <v>2021</v>
          </cell>
          <cell r="K78" t="str">
            <v>Prensa</v>
          </cell>
          <cell r="L78" t="str">
            <v>NA</v>
          </cell>
          <cell r="M78" t="str">
            <v>Azul</v>
          </cell>
          <cell r="N78" t="str">
            <v>-</v>
          </cell>
          <cell r="O78" t="str">
            <v>1.7.1.4</v>
          </cell>
          <cell r="P78" t="str">
            <v>-</v>
          </cell>
          <cell r="Q78" t="str">
            <v>Regular</v>
          </cell>
          <cell r="R78" t="str">
            <v>Prensa Hidroeuropa 200 comprada em 2021.</v>
          </cell>
          <cell r="S78" t="str">
            <v>-</v>
          </cell>
          <cell r="T78" t="str">
            <v>Sagi</v>
          </cell>
          <cell r="U78" t="str">
            <v>Ok</v>
          </cell>
          <cell r="V78" t="str">
            <v>-</v>
          </cell>
          <cell r="W78" t="str">
            <v>Não possui</v>
          </cell>
          <cell r="X78" t="str">
            <v>Não possui</v>
          </cell>
          <cell r="Y78" t="str">
            <v>GBL8H44</v>
          </cell>
          <cell r="Z78" t="str">
            <v>-</v>
          </cell>
          <cell r="AA78" t="str">
            <v>-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Não possui</v>
          </cell>
          <cell r="AF78" t="str">
            <v>Não possui</v>
          </cell>
          <cell r="AG78" t="str">
            <v>-</v>
          </cell>
          <cell r="AH78" t="str">
            <v>Online</v>
          </cell>
          <cell r="AI78" t="str">
            <v>Ñ CONSTA</v>
          </cell>
          <cell r="AJ78" t="str">
            <v>Ñ CONSTA</v>
          </cell>
          <cell r="AK78" t="str">
            <v>Sem reserVA</v>
          </cell>
          <cell r="AL78">
            <v>7241</v>
          </cell>
          <cell r="AM78">
            <v>44463</v>
          </cell>
          <cell r="AN78">
            <v>2054881.12</v>
          </cell>
          <cell r="AO78" t="str">
            <v>HIDROEUROPA</v>
          </cell>
          <cell r="AP78" t="str">
            <v>-</v>
          </cell>
          <cell r="AQ78" t="str">
            <v>-</v>
          </cell>
          <cell r="AR78" t="str">
            <v>-</v>
          </cell>
          <cell r="AS78" t="str">
            <v>-</v>
          </cell>
          <cell r="AT78" t="str">
            <v>-</v>
          </cell>
          <cell r="AU78" t="str">
            <v>-</v>
          </cell>
          <cell r="AV78" t="str">
            <v>-</v>
          </cell>
        </row>
        <row r="79">
          <cell r="D79" t="str">
            <v>GBW4F06</v>
          </cell>
          <cell r="E79" t="str">
            <v>01267132261</v>
          </cell>
          <cell r="F79" t="str">
            <v>9E3CLA501MG001556</v>
          </cell>
          <cell r="G79" t="str">
            <v>R/Líder</v>
          </cell>
          <cell r="H79" t="str">
            <v>CLA 501</v>
          </cell>
          <cell r="I79">
            <v>2021</v>
          </cell>
          <cell r="J79">
            <v>2021</v>
          </cell>
          <cell r="K79" t="str">
            <v>Carretinha</v>
          </cell>
          <cell r="L79" t="str">
            <v>NA</v>
          </cell>
          <cell r="M79" t="str">
            <v>Cinza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Regular</v>
          </cell>
          <cell r="R79" t="str">
            <v>valor total 3.700,00 - 1.300 com NF e 2.400 sem NF</v>
          </cell>
          <cell r="S79" t="str">
            <v>-</v>
          </cell>
          <cell r="T79" t="str">
            <v>Sagi</v>
          </cell>
          <cell r="U79" t="str">
            <v>-</v>
          </cell>
          <cell r="V79" t="str">
            <v>-</v>
          </cell>
          <cell r="W79" t="str">
            <v>Não possui</v>
          </cell>
          <cell r="X79" t="str">
            <v>Não possui</v>
          </cell>
          <cell r="Y79" t="str">
            <v>GBW4F06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Não possui</v>
          </cell>
          <cell r="AF79" t="str">
            <v>Não possui</v>
          </cell>
          <cell r="AG79" t="str">
            <v>-</v>
          </cell>
          <cell r="AH79" t="str">
            <v>-</v>
          </cell>
          <cell r="AI79" t="str">
            <v>Ñ CONSTA</v>
          </cell>
          <cell r="AJ79" t="str">
            <v>Ñ CONSTA</v>
          </cell>
          <cell r="AK79" t="str">
            <v>Sem reserVA</v>
          </cell>
          <cell r="AL79">
            <v>395</v>
          </cell>
          <cell r="AM79">
            <v>44349</v>
          </cell>
          <cell r="AN79">
            <v>1300</v>
          </cell>
          <cell r="AO79" t="str">
            <v>SEADOO CARRETAS EIRELI</v>
          </cell>
          <cell r="AP79" t="str">
            <v>-</v>
          </cell>
          <cell r="AQ79" t="str">
            <v>-</v>
          </cell>
          <cell r="AR79" t="str">
            <v>-</v>
          </cell>
          <cell r="AS79" t="str">
            <v>-</v>
          </cell>
          <cell r="AT79" t="str">
            <v>-</v>
          </cell>
          <cell r="AU79" t="str">
            <v>-</v>
          </cell>
          <cell r="AV79" t="str">
            <v>-</v>
          </cell>
        </row>
        <row r="80">
          <cell r="D80" t="str">
            <v>GDA9J63</v>
          </cell>
          <cell r="E80" t="str">
            <v>01284368685</v>
          </cell>
          <cell r="F80" t="str">
            <v>93KP0S1F7ME171080</v>
          </cell>
          <cell r="G80" t="str">
            <v>Volvo</v>
          </cell>
          <cell r="H80" t="str">
            <v>VM 330 8X2 R</v>
          </cell>
          <cell r="I80">
            <v>2021</v>
          </cell>
          <cell r="J80">
            <v>2021</v>
          </cell>
          <cell r="K80" t="str">
            <v>Caminhão / Rollon + Guindaste</v>
          </cell>
          <cell r="L80" t="str">
            <v>Diesel</v>
          </cell>
          <cell r="M80" t="str">
            <v>Branca</v>
          </cell>
          <cell r="N80" t="str">
            <v>Maringá</v>
          </cell>
          <cell r="O80" t="str">
            <v>1.3.1.4</v>
          </cell>
          <cell r="P80" t="str">
            <v>-</v>
          </cell>
          <cell r="Q80" t="str">
            <v>Regular</v>
          </cell>
          <cell r="R80" t="str">
            <v>Pgto realizado em 13/01/21 - Negociado com Odirlei. - 8x2 - 4º eixo retirado</v>
          </cell>
          <cell r="S80" t="str">
            <v>-</v>
          </cell>
          <cell r="T80" t="str">
            <v>Sagi</v>
          </cell>
          <cell r="U80" t="str">
            <v>Ok</v>
          </cell>
          <cell r="V80" t="str">
            <v>-</v>
          </cell>
          <cell r="W80" t="str">
            <v>-</v>
          </cell>
          <cell r="X80" t="str">
            <v>Ativo</v>
          </cell>
          <cell r="Y80" t="str">
            <v>GDA9J63</v>
          </cell>
          <cell r="Z80" t="str">
            <v>-</v>
          </cell>
          <cell r="AA80" t="str">
            <v>-</v>
          </cell>
          <cell r="AB80" t="str">
            <v>GDA9J63</v>
          </cell>
          <cell r="AC80" t="str">
            <v>-</v>
          </cell>
          <cell r="AD80" t="str">
            <v>-</v>
          </cell>
          <cell r="AE80" t="str">
            <v>Possui</v>
          </cell>
          <cell r="AF80" t="str">
            <v>-</v>
          </cell>
          <cell r="AG80" t="str">
            <v>-</v>
          </cell>
          <cell r="AH80" t="str">
            <v>Online</v>
          </cell>
          <cell r="AI80" t="str">
            <v>OK</v>
          </cell>
          <cell r="AJ80" t="str">
            <v>VENCIMENTO 09-02-24</v>
          </cell>
          <cell r="AK80" t="str">
            <v>Sem reserVA</v>
          </cell>
          <cell r="AL80">
            <v>179253</v>
          </cell>
          <cell r="AM80">
            <v>44210</v>
          </cell>
          <cell r="AN80">
            <v>350000</v>
          </cell>
          <cell r="AO80" t="str">
            <v>LAPONIA SUDESTE Ltda</v>
          </cell>
          <cell r="AP80" t="str">
            <v>-</v>
          </cell>
          <cell r="AQ80" t="str">
            <v>-</v>
          </cell>
          <cell r="AR80" t="str">
            <v>-</v>
          </cell>
          <cell r="AS80" t="str">
            <v>-</v>
          </cell>
          <cell r="AT80" t="str">
            <v>-</v>
          </cell>
          <cell r="AU80" t="str">
            <v>-</v>
          </cell>
          <cell r="AV80" t="str">
            <v>-</v>
          </cell>
        </row>
        <row r="81">
          <cell r="D81" t="str">
            <v>GDB3A42</v>
          </cell>
          <cell r="E81" t="str">
            <v>01294632253</v>
          </cell>
          <cell r="F81" t="str">
            <v>9BVRG40D0NE914628</v>
          </cell>
          <cell r="G81" t="str">
            <v>Volvo</v>
          </cell>
          <cell r="H81" t="str">
            <v>FH 540 6X4T</v>
          </cell>
          <cell r="I81">
            <v>2022</v>
          </cell>
          <cell r="J81">
            <v>2022</v>
          </cell>
          <cell r="K81" t="str">
            <v>Caminhão / Cabine Estendida</v>
          </cell>
          <cell r="L81" t="str">
            <v>Diesel</v>
          </cell>
          <cell r="M81" t="str">
            <v>Vermelha</v>
          </cell>
          <cell r="N81" t="str">
            <v>Presidente Prudente</v>
          </cell>
          <cell r="O81" t="str">
            <v>-</v>
          </cell>
          <cell r="P81" t="str">
            <v>-</v>
          </cell>
          <cell r="Q81" t="str">
            <v>Regular</v>
          </cell>
          <cell r="R81" t="str">
            <v>-</v>
          </cell>
          <cell r="S81" t="str">
            <v>-</v>
          </cell>
          <cell r="T81" t="str">
            <v>Sagi</v>
          </cell>
          <cell r="U81" t="str">
            <v>Ok</v>
          </cell>
          <cell r="V81" t="str">
            <v>-</v>
          </cell>
          <cell r="W81" t="str">
            <v>-</v>
          </cell>
          <cell r="X81" t="str">
            <v>Ativo</v>
          </cell>
          <cell r="Y81" t="str">
            <v>-</v>
          </cell>
          <cell r="Z81" t="str">
            <v>-</v>
          </cell>
          <cell r="AA81" t="str">
            <v>-</v>
          </cell>
          <cell r="AB81" t="str">
            <v>-</v>
          </cell>
          <cell r="AC81" t="str">
            <v>GDB3A42</v>
          </cell>
          <cell r="AD81" t="str">
            <v>-</v>
          </cell>
          <cell r="AE81" t="str">
            <v>-</v>
          </cell>
          <cell r="AF81" t="str">
            <v>-</v>
          </cell>
          <cell r="AG81" t="str">
            <v>-</v>
          </cell>
          <cell r="AH81" t="str">
            <v>-</v>
          </cell>
          <cell r="AI81" t="str">
            <v>OK</v>
          </cell>
          <cell r="AJ81" t="str">
            <v>VENCIMENTO 08-04-24</v>
          </cell>
          <cell r="AK81" t="str">
            <v>Sem reserVA</v>
          </cell>
          <cell r="AL81">
            <v>198759</v>
          </cell>
          <cell r="AM81">
            <v>44655</v>
          </cell>
          <cell r="AN81">
            <v>740000</v>
          </cell>
          <cell r="AO81" t="str">
            <v>LAPONIA SUDESTE Ltda</v>
          </cell>
          <cell r="AP81" t="str">
            <v>-</v>
          </cell>
          <cell r="AQ81" t="str">
            <v>-</v>
          </cell>
          <cell r="AR81" t="str">
            <v>-</v>
          </cell>
          <cell r="AS81" t="str">
            <v>-</v>
          </cell>
          <cell r="AT81" t="str">
            <v>-</v>
          </cell>
          <cell r="AU81" t="str">
            <v>-</v>
          </cell>
          <cell r="AV81" t="str">
            <v>-</v>
          </cell>
        </row>
        <row r="82">
          <cell r="D82" t="str">
            <v>GDG8E75</v>
          </cell>
          <cell r="E82" t="str">
            <v>-</v>
          </cell>
          <cell r="F82" t="str">
            <v>93KP0S1F7ME171054</v>
          </cell>
          <cell r="G82" t="str">
            <v>Volvo</v>
          </cell>
          <cell r="H82" t="str">
            <v>-</v>
          </cell>
          <cell r="I82">
            <v>2021</v>
          </cell>
          <cell r="J82">
            <v>2021</v>
          </cell>
          <cell r="K82" t="str">
            <v>Caminhão / Rollon + Guindaste</v>
          </cell>
          <cell r="L82" t="str">
            <v>Diesel</v>
          </cell>
          <cell r="M82" t="str">
            <v>Branca</v>
          </cell>
          <cell r="N82" t="str">
            <v>Presidente Prudente</v>
          </cell>
          <cell r="O82" t="str">
            <v>1.2.3.4</v>
          </cell>
          <cell r="P82" t="str">
            <v>-</v>
          </cell>
          <cell r="Q82" t="str">
            <v>Processo Regularização</v>
          </cell>
          <cell r="R82" t="str">
            <v>Pgto realizado em 13/01/21 - Negociado com Odirlei. - 8x2 - 4º eixo retirado - Volvo CLonado?</v>
          </cell>
          <cell r="S82" t="str">
            <v>-</v>
          </cell>
          <cell r="T82" t="str">
            <v>Sagi</v>
          </cell>
          <cell r="U82" t="str">
            <v>Ok</v>
          </cell>
          <cell r="V82" t="str">
            <v>-</v>
          </cell>
          <cell r="W82" t="str">
            <v>-</v>
          </cell>
          <cell r="X82" t="str">
            <v>Sim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Não possui</v>
          </cell>
          <cell r="AF82" t="str">
            <v>Não possui</v>
          </cell>
          <cell r="AG82" t="str">
            <v>-</v>
          </cell>
          <cell r="AH82" t="str">
            <v>Online</v>
          </cell>
          <cell r="AI82" t="str">
            <v>OK</v>
          </cell>
          <cell r="AJ82" t="str">
            <v>VENCIMENTO 17-06-24</v>
          </cell>
          <cell r="AK82" t="str">
            <v>Sem reserVA</v>
          </cell>
          <cell r="AL82">
            <v>179252</v>
          </cell>
          <cell r="AM82">
            <v>44210</v>
          </cell>
          <cell r="AN82">
            <v>350000</v>
          </cell>
          <cell r="AO82" t="str">
            <v>LAPONIA SUDESTE Ltda</v>
          </cell>
          <cell r="AP82" t="str">
            <v>-</v>
          </cell>
          <cell r="AQ82" t="str">
            <v>-</v>
          </cell>
          <cell r="AR82" t="str">
            <v>-</v>
          </cell>
          <cell r="AS82" t="str">
            <v>-</v>
          </cell>
          <cell r="AT82" t="str">
            <v>-</v>
          </cell>
          <cell r="AU82" t="str">
            <v>-</v>
          </cell>
          <cell r="AV82" t="str">
            <v>-</v>
          </cell>
        </row>
        <row r="83">
          <cell r="D83" t="str">
            <v>GDS7F95</v>
          </cell>
          <cell r="E83" t="str">
            <v>01334053445</v>
          </cell>
          <cell r="F83" t="str">
            <v>W1K5J4GW1PN335601</v>
          </cell>
          <cell r="G83" t="str">
            <v>Mercedes Benz</v>
          </cell>
          <cell r="H83" t="str">
            <v>Classe 250</v>
          </cell>
          <cell r="I83">
            <v>2022</v>
          </cell>
          <cell r="J83">
            <v>2023</v>
          </cell>
          <cell r="K83" t="str">
            <v>Veículo de Passeio</v>
          </cell>
          <cell r="L83" t="str">
            <v>-</v>
          </cell>
          <cell r="M83" t="str">
            <v>Preta</v>
          </cell>
          <cell r="N83" t="str">
            <v>Presidente Prudente</v>
          </cell>
          <cell r="O83" t="str">
            <v>1.9.3</v>
          </cell>
          <cell r="P83" t="str">
            <v>-</v>
          </cell>
          <cell r="Q83" t="str">
            <v>Regular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 t="str">
            <v>-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>-</v>
          </cell>
        </row>
        <row r="84">
          <cell r="D84" t="str">
            <v>GDU0275</v>
          </cell>
          <cell r="E84" t="str">
            <v>01168247168</v>
          </cell>
          <cell r="F84" t="str">
            <v>VV9S3G116HA100019</v>
          </cell>
          <cell r="G84" t="str">
            <v>Hidroeuropa</v>
          </cell>
          <cell r="H84" t="str">
            <v>Reboque Zamboti JCH 200</v>
          </cell>
          <cell r="I84">
            <v>2017</v>
          </cell>
          <cell r="J84">
            <v>2017</v>
          </cell>
          <cell r="K84" t="str">
            <v>Prensa JCH200</v>
          </cell>
          <cell r="L84" t="str">
            <v>-</v>
          </cell>
          <cell r="M84" t="str">
            <v>-</v>
          </cell>
          <cell r="N84" t="str">
            <v>Presidente Prudente</v>
          </cell>
          <cell r="O84" t="str">
            <v>1.7.1.11</v>
          </cell>
          <cell r="P84" t="str">
            <v>-</v>
          </cell>
          <cell r="Q84" t="str">
            <v>Regular</v>
          </cell>
          <cell r="R84" t="str">
            <v>NA</v>
          </cell>
          <cell r="S84" t="str">
            <v>AZUL</v>
          </cell>
          <cell r="T84" t="str">
            <v>Sagi</v>
          </cell>
          <cell r="U84" t="str">
            <v>Ok</v>
          </cell>
          <cell r="V84" t="str">
            <v>-</v>
          </cell>
          <cell r="W84" t="str">
            <v>Não possui</v>
          </cell>
          <cell r="X84" t="str">
            <v>Não possui</v>
          </cell>
          <cell r="Y84" t="str">
            <v>GDU-0275</v>
          </cell>
          <cell r="Z84">
            <v>43384</v>
          </cell>
          <cell r="AA84" t="str">
            <v>-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Não possui</v>
          </cell>
          <cell r="AF84" t="str">
            <v>Ativo</v>
          </cell>
          <cell r="AG84" t="str">
            <v>-</v>
          </cell>
          <cell r="AH84" t="str">
            <v>ok, 23/12</v>
          </cell>
          <cell r="AI84" t="str">
            <v>OK</v>
          </cell>
          <cell r="AJ84" t="str">
            <v>Ñ CONSTA</v>
          </cell>
          <cell r="AK84" t="str">
            <v>Sem reserVA</v>
          </cell>
          <cell r="AL84">
            <v>4254</v>
          </cell>
          <cell r="AM84">
            <v>43095</v>
          </cell>
          <cell r="AN84">
            <v>307397.82</v>
          </cell>
          <cell r="AO84" t="str">
            <v>HIDROEUROPA S.L.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>-</v>
          </cell>
        </row>
        <row r="85">
          <cell r="D85" t="str">
            <v>GDY0H74</v>
          </cell>
          <cell r="E85" t="str">
            <v>01286571534</v>
          </cell>
          <cell r="F85" t="str">
            <v>9BVRG40D8NE911037</v>
          </cell>
          <cell r="G85" t="str">
            <v>Volvo</v>
          </cell>
          <cell r="H85" t="str">
            <v>FH 540 6X4T</v>
          </cell>
          <cell r="I85">
            <v>2021</v>
          </cell>
          <cell r="J85">
            <v>2022</v>
          </cell>
          <cell r="K85" t="str">
            <v>Caminhão / Cabine Estendida</v>
          </cell>
          <cell r="L85" t="str">
            <v>Diesel</v>
          </cell>
          <cell r="M85" t="str">
            <v>Vermelha</v>
          </cell>
          <cell r="N85" t="str">
            <v>Presidente Prudente</v>
          </cell>
          <cell r="O85" t="str">
            <v>1.7.1.11</v>
          </cell>
          <cell r="P85" t="str">
            <v>-</v>
          </cell>
          <cell r="Q85" t="str">
            <v>Regular</v>
          </cell>
          <cell r="R85" t="str">
            <v>-</v>
          </cell>
          <cell r="S85" t="str">
            <v>-</v>
          </cell>
          <cell r="T85" t="str">
            <v>Sagi</v>
          </cell>
          <cell r="U85" t="str">
            <v>Ok</v>
          </cell>
          <cell r="V85" t="str">
            <v>-</v>
          </cell>
          <cell r="W85" t="str">
            <v>-</v>
          </cell>
          <cell r="X85" t="str">
            <v>Ativo</v>
          </cell>
          <cell r="Y85" t="str">
            <v>GDY0H74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Possui</v>
          </cell>
          <cell r="AF85" t="str">
            <v>-</v>
          </cell>
          <cell r="AG85" t="str">
            <v>-</v>
          </cell>
          <cell r="AH85" t="str">
            <v>Online</v>
          </cell>
          <cell r="AI85" t="str">
            <v>OK</v>
          </cell>
          <cell r="AJ85" t="str">
            <v>VENCIMENTO 11-01-24</v>
          </cell>
          <cell r="AK85" t="str">
            <v>Sem reserVA</v>
          </cell>
          <cell r="AL85">
            <v>194297</v>
          </cell>
          <cell r="AM85">
            <v>44552</v>
          </cell>
          <cell r="AN85">
            <v>740000</v>
          </cell>
          <cell r="AO85" t="str">
            <v>LAPONIA SUDESTE Ltda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</row>
        <row r="86">
          <cell r="D86" t="str">
            <v>GFA0D41</v>
          </cell>
          <cell r="E86" t="str">
            <v>01298615949</v>
          </cell>
          <cell r="F86" t="str">
            <v>LYVUZH6CDNB037634</v>
          </cell>
          <cell r="G86" t="str">
            <v>Volvo</v>
          </cell>
          <cell r="H86" t="str">
            <v>XC60 T8 Inscript</v>
          </cell>
          <cell r="I86" t="str">
            <v>-</v>
          </cell>
          <cell r="J86" t="str">
            <v>-</v>
          </cell>
          <cell r="K86" t="str">
            <v>Veículo de Passeio</v>
          </cell>
          <cell r="L86" t="str">
            <v>Híbrido</v>
          </cell>
          <cell r="M86" t="str">
            <v>Cinza</v>
          </cell>
          <cell r="N86" t="str">
            <v>Presidente Prudente</v>
          </cell>
          <cell r="O86" t="str">
            <v>1.1.1.1</v>
          </cell>
          <cell r="P86" t="str">
            <v>-</v>
          </cell>
          <cell r="Q86" t="str">
            <v>Regular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Não possui</v>
          </cell>
          <cell r="X86" t="str">
            <v>Ativo - Liberty</v>
          </cell>
          <cell r="Y86" t="str">
            <v>GFA0D41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Possui</v>
          </cell>
          <cell r="AF86" t="str">
            <v>-</v>
          </cell>
          <cell r="AG86" t="str">
            <v>-</v>
          </cell>
          <cell r="AH86" t="str">
            <v>-</v>
          </cell>
          <cell r="AI86" t="str">
            <v>Ñ CONSTA</v>
          </cell>
          <cell r="AJ86" t="str">
            <v>Ñ CONSTA</v>
          </cell>
          <cell r="AK86" t="str">
            <v>-</v>
          </cell>
          <cell r="AL86">
            <v>59965</v>
          </cell>
          <cell r="AM86">
            <v>44678</v>
          </cell>
          <cell r="AN86">
            <v>411551</v>
          </cell>
          <cell r="AO86" t="str">
            <v>VOLVO CAR BRASIL IMPORTACAO e COM. de VEICULOS Ltda</v>
          </cell>
          <cell r="AP86" t="str">
            <v>-</v>
          </cell>
          <cell r="AQ86" t="str">
            <v>-</v>
          </cell>
          <cell r="AR86" t="str">
            <v>-</v>
          </cell>
          <cell r="AS86" t="str">
            <v>-</v>
          </cell>
          <cell r="AT86" t="str">
            <v>-</v>
          </cell>
          <cell r="AU86" t="str">
            <v>-</v>
          </cell>
          <cell r="AV86" t="str">
            <v>-</v>
          </cell>
        </row>
        <row r="87">
          <cell r="D87" t="str">
            <v>GFI7E03</v>
          </cell>
          <cell r="E87" t="str">
            <v>01251983321</v>
          </cell>
          <cell r="F87" t="str">
            <v>WV1DA22H9MA004521</v>
          </cell>
          <cell r="G87" t="str">
            <v>Volkswagen</v>
          </cell>
          <cell r="H87" t="str">
            <v>Amarok V6 Extra AD4</v>
          </cell>
          <cell r="I87" t="str">
            <v>-</v>
          </cell>
          <cell r="J87" t="str">
            <v>-</v>
          </cell>
          <cell r="K87" t="str">
            <v>Veículo de Passeio</v>
          </cell>
          <cell r="L87" t="str">
            <v>Diesel</v>
          </cell>
          <cell r="M87" t="str">
            <v>Preta</v>
          </cell>
          <cell r="N87" t="str">
            <v>Presidente Prudente</v>
          </cell>
          <cell r="O87" t="str">
            <v>1.1.1.1</v>
          </cell>
          <cell r="P87" t="str">
            <v>-</v>
          </cell>
          <cell r="Q87" t="str">
            <v>Regular</v>
          </cell>
          <cell r="R87" t="str">
            <v>Aquisição a vista - ficará com Renato.</v>
          </cell>
          <cell r="S87" t="str">
            <v>-</v>
          </cell>
          <cell r="T87" t="str">
            <v>Sagi</v>
          </cell>
          <cell r="U87" t="str">
            <v>-</v>
          </cell>
          <cell r="V87" t="str">
            <v>-</v>
          </cell>
          <cell r="W87" t="str">
            <v>Não possui</v>
          </cell>
          <cell r="X87" t="str">
            <v>Ativo - Particular</v>
          </cell>
          <cell r="Y87" t="str">
            <v>GFI-7E03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OK</v>
          </cell>
          <cell r="AE87" t="str">
            <v>Possui</v>
          </cell>
          <cell r="AF87" t="str">
            <v>Não possui</v>
          </cell>
          <cell r="AG87" t="str">
            <v>Bradesco</v>
          </cell>
          <cell r="AH87" t="str">
            <v>-</v>
          </cell>
          <cell r="AI87" t="str">
            <v>PASSEIO</v>
          </cell>
          <cell r="AJ87" t="str">
            <v>PASSEIO</v>
          </cell>
          <cell r="AK87" t="str">
            <v>Sem reserVA</v>
          </cell>
          <cell r="AL87">
            <v>64272</v>
          </cell>
          <cell r="AM87">
            <v>44202</v>
          </cell>
          <cell r="AN87">
            <v>265000</v>
          </cell>
          <cell r="AO87" t="str">
            <v>LIANE AUTOMÓVEIS Ltda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 t="str">
            <v>-</v>
          </cell>
        </row>
        <row r="88">
          <cell r="D88" t="str">
            <v>GGE5059</v>
          </cell>
          <cell r="E88" t="str">
            <v>01166844088</v>
          </cell>
          <cell r="F88" t="str">
            <v>9BFYEBVFXKBL73508</v>
          </cell>
          <cell r="G88" t="str">
            <v>Ford</v>
          </cell>
          <cell r="H88" t="str">
            <v>Cargo 2431 L</v>
          </cell>
          <cell r="I88">
            <v>2018</v>
          </cell>
          <cell r="J88">
            <v>2019</v>
          </cell>
          <cell r="K88" t="str">
            <v>Caminhão</v>
          </cell>
          <cell r="L88" t="str">
            <v>Diesel</v>
          </cell>
          <cell r="M88" t="str">
            <v>Branca</v>
          </cell>
          <cell r="N88" t="str">
            <v>Londrina</v>
          </cell>
          <cell r="O88" t="str">
            <v>-</v>
          </cell>
          <cell r="P88" t="str">
            <v>-</v>
          </cell>
          <cell r="Q88" t="str">
            <v>Regular</v>
          </cell>
          <cell r="R88" t="str">
            <v>-</v>
          </cell>
          <cell r="S88" t="str">
            <v>-</v>
          </cell>
          <cell r="T88" t="str">
            <v>Sagi</v>
          </cell>
          <cell r="U88" t="str">
            <v>Ok</v>
          </cell>
          <cell r="V88" t="str">
            <v>-</v>
          </cell>
          <cell r="W88" t="str">
            <v>Ativo</v>
          </cell>
          <cell r="X88" t="str">
            <v>Ativo</v>
          </cell>
          <cell r="Y88" t="str">
            <v>GGE-5059</v>
          </cell>
          <cell r="Z88">
            <v>43384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OK</v>
          </cell>
          <cell r="AE88" t="str">
            <v>Possui</v>
          </cell>
          <cell r="AF88" t="str">
            <v>Ativo</v>
          </cell>
          <cell r="AG88" t="str">
            <v>HDI</v>
          </cell>
          <cell r="AH88" t="str">
            <v>ok, 23/12</v>
          </cell>
          <cell r="AI88" t="str">
            <v>OK</v>
          </cell>
          <cell r="AJ88" t="str">
            <v>VENCIMENTO 16-11-24</v>
          </cell>
          <cell r="AK88" t="str">
            <v>Sem reserVA</v>
          </cell>
          <cell r="AL88">
            <v>152972</v>
          </cell>
          <cell r="AM88">
            <v>43280</v>
          </cell>
          <cell r="AN88">
            <v>230000</v>
          </cell>
          <cell r="AO88" t="str">
            <v>FORD MOTOR COMPANY BRASIL Ltda</v>
          </cell>
          <cell r="AP88" t="str">
            <v>-</v>
          </cell>
          <cell r="AQ88" t="str">
            <v>-</v>
          </cell>
          <cell r="AR88" t="str">
            <v>-</v>
          </cell>
          <cell r="AS88" t="str">
            <v>-</v>
          </cell>
          <cell r="AT88" t="str">
            <v>-</v>
          </cell>
          <cell r="AU88" t="str">
            <v>-</v>
          </cell>
          <cell r="AV88" t="str">
            <v>-</v>
          </cell>
        </row>
        <row r="89">
          <cell r="D89" t="str">
            <v>GHI3A74</v>
          </cell>
          <cell r="E89" t="str">
            <v>01258236327</v>
          </cell>
          <cell r="F89" t="str">
            <v>93KP0S1C1ME171046</v>
          </cell>
          <cell r="G89" t="str">
            <v>Volvo</v>
          </cell>
          <cell r="H89" t="str">
            <v>VM 330 6X2 R</v>
          </cell>
          <cell r="I89">
            <v>2021</v>
          </cell>
          <cell r="J89">
            <v>2021</v>
          </cell>
          <cell r="K89" t="str">
            <v>Caminhão</v>
          </cell>
          <cell r="L89" t="str">
            <v xml:space="preserve">Diesel </v>
          </cell>
          <cell r="M89" t="str">
            <v>Branca</v>
          </cell>
          <cell r="N89" t="str">
            <v>Presidente Prudente</v>
          </cell>
          <cell r="O89" t="str">
            <v>-</v>
          </cell>
          <cell r="P89" t="str">
            <v>-</v>
          </cell>
          <cell r="Q89" t="str">
            <v>Regular</v>
          </cell>
          <cell r="R89" t="str">
            <v>Pgto realizado em 13/01/21 - Negociado com Odirlei. - 6x2</v>
          </cell>
          <cell r="S89" t="str">
            <v>-</v>
          </cell>
          <cell r="T89" t="str">
            <v>Sagi</v>
          </cell>
          <cell r="U89" t="str">
            <v>Ok</v>
          </cell>
          <cell r="V89" t="str">
            <v>-</v>
          </cell>
          <cell r="W89" t="str">
            <v>Ativo</v>
          </cell>
          <cell r="X89" t="str">
            <v>Ativo</v>
          </cell>
          <cell r="Y89" t="str">
            <v>GHI-3A74</v>
          </cell>
          <cell r="Z89" t="str">
            <v>-</v>
          </cell>
          <cell r="AA89" t="str">
            <v>-</v>
          </cell>
          <cell r="AB89" t="str">
            <v>ok (2021)</v>
          </cell>
          <cell r="AC89" t="str">
            <v>-</v>
          </cell>
          <cell r="AD89" t="str">
            <v>OK</v>
          </cell>
          <cell r="AE89" t="str">
            <v>Possui</v>
          </cell>
          <cell r="AF89" t="str">
            <v>Não possui</v>
          </cell>
          <cell r="AG89" t="str">
            <v>-</v>
          </cell>
          <cell r="AH89" t="str">
            <v>Online</v>
          </cell>
          <cell r="AI89" t="str">
            <v>OK</v>
          </cell>
          <cell r="AJ89" t="str">
            <v>VENCIMENTO 13-06-24</v>
          </cell>
          <cell r="AK89" t="str">
            <v>Sem reserVA</v>
          </cell>
          <cell r="AL89">
            <v>17927</v>
          </cell>
          <cell r="AM89">
            <v>44209</v>
          </cell>
          <cell r="AN89">
            <v>325000</v>
          </cell>
          <cell r="AO89" t="str">
            <v>LAPONIA SUDESTE Ltda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</row>
        <row r="90">
          <cell r="D90" t="str">
            <v>HAR1582</v>
          </cell>
          <cell r="E90" t="str">
            <v>00852840080</v>
          </cell>
          <cell r="F90" t="str">
            <v>9BFYCN9T35BB49477</v>
          </cell>
          <cell r="G90" t="str">
            <v>Ford</v>
          </cell>
          <cell r="H90" t="str">
            <v>Cargo 2422 T - 3 Eixos</v>
          </cell>
          <cell r="I90">
            <v>2005</v>
          </cell>
          <cell r="J90">
            <v>2005</v>
          </cell>
          <cell r="K90" t="str">
            <v>Caminhão Carroceria Aberta</v>
          </cell>
          <cell r="L90" t="str">
            <v>Diesel</v>
          </cell>
          <cell r="M90" t="str">
            <v>Prata</v>
          </cell>
          <cell r="N90" t="str">
            <v>Presidente Prudente</v>
          </cell>
          <cell r="O90" t="str">
            <v>1.3.1.4</v>
          </cell>
          <cell r="P90" t="str">
            <v>-</v>
          </cell>
          <cell r="Q90" t="str">
            <v>Regular</v>
          </cell>
          <cell r="R90" t="str">
            <v>Ferro Novo - Francisco</v>
          </cell>
          <cell r="S90" t="str">
            <v>-</v>
          </cell>
          <cell r="T90" t="str">
            <v>Sagi</v>
          </cell>
          <cell r="U90" t="str">
            <v>Ok</v>
          </cell>
          <cell r="V90" t="str">
            <v>CFT-0005</v>
          </cell>
          <cell r="W90" t="str">
            <v>Ativo</v>
          </cell>
          <cell r="X90" t="str">
            <v>Ativo</v>
          </cell>
          <cell r="Y90" t="str">
            <v>HAR-1582</v>
          </cell>
          <cell r="Z90">
            <v>43279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OK</v>
          </cell>
          <cell r="AE90" t="str">
            <v>Possui</v>
          </cell>
          <cell r="AF90" t="str">
            <v>Não possui</v>
          </cell>
          <cell r="AG90" t="str">
            <v>HDI</v>
          </cell>
          <cell r="AH90" t="str">
            <v>ok, 23/12</v>
          </cell>
          <cell r="AI90" t="str">
            <v>OK</v>
          </cell>
          <cell r="AJ90" t="str">
            <v>VENCIMENTO 05-10-24</v>
          </cell>
          <cell r="AK90" t="str">
            <v>Sem reserVA</v>
          </cell>
          <cell r="AL90">
            <v>274</v>
          </cell>
          <cell r="AM90">
            <v>40352</v>
          </cell>
          <cell r="AN90">
            <v>11250</v>
          </cell>
          <cell r="AO90" t="str">
            <v>SILVANO CARROCERIAS Ltda EPP</v>
          </cell>
          <cell r="AP90" t="str">
            <v>-</v>
          </cell>
          <cell r="AQ90" t="str">
            <v>-</v>
          </cell>
          <cell r="AR90" t="str">
            <v>-</v>
          </cell>
          <cell r="AS90" t="str">
            <v>-</v>
          </cell>
          <cell r="AT90" t="str">
            <v>-</v>
          </cell>
          <cell r="AU90" t="str">
            <v>-</v>
          </cell>
          <cell r="AV90" t="str">
            <v>-</v>
          </cell>
        </row>
        <row r="91">
          <cell r="D91" t="str">
            <v>HQR6804</v>
          </cell>
          <cell r="E91" t="str">
            <v>00415704430</v>
          </cell>
          <cell r="F91" t="str">
            <v>34400713041060</v>
          </cell>
          <cell r="G91" t="str">
            <v>Mercedes Benz</v>
          </cell>
          <cell r="H91" t="str">
            <v>L 1111</v>
          </cell>
          <cell r="I91">
            <v>1969</v>
          </cell>
          <cell r="J91">
            <v>1969</v>
          </cell>
          <cell r="K91" t="str">
            <v>Caminhão / Carroceria Aberta</v>
          </cell>
          <cell r="L91" t="str">
            <v xml:space="preserve">Diesel </v>
          </cell>
          <cell r="M91" t="str">
            <v>Vermelha</v>
          </cell>
          <cell r="N91" t="str">
            <v>Presidente Prudente</v>
          </cell>
          <cell r="O91" t="str">
            <v>-</v>
          </cell>
          <cell r="P91" t="str">
            <v>Para Venda</v>
          </cell>
          <cell r="Q91" t="str">
            <v>Regular</v>
          </cell>
          <cell r="R91" t="str">
            <v>Dourados</v>
          </cell>
          <cell r="S91" t="str">
            <v>-</v>
          </cell>
          <cell r="T91" t="str">
            <v>Sagi</v>
          </cell>
          <cell r="U91" t="str">
            <v>Ok</v>
          </cell>
          <cell r="V91" t="str">
            <v>-</v>
          </cell>
          <cell r="W91" t="str">
            <v>Não possui</v>
          </cell>
          <cell r="X91" t="str">
            <v>Ativo</v>
          </cell>
          <cell r="Y91" t="str">
            <v>HQR-6804</v>
          </cell>
          <cell r="Z91">
            <v>43139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OK</v>
          </cell>
          <cell r="AE91" t="str">
            <v>Não possui</v>
          </cell>
          <cell r="AF91" t="str">
            <v>Não possui</v>
          </cell>
          <cell r="AG91" t="str">
            <v>Mercedes que esta em Dourados que comprou do Roger</v>
          </cell>
          <cell r="AH91" t="str">
            <v>ok, 23/12</v>
          </cell>
          <cell r="AI91" t="str">
            <v>Ñ CONSTA</v>
          </cell>
          <cell r="AJ91" t="str">
            <v>ATUALIZANDO-25-01-23</v>
          </cell>
          <cell r="AK91" t="str">
            <v>Sem reserVA</v>
          </cell>
          <cell r="AL91" t="str">
            <v>-</v>
          </cell>
          <cell r="AM91" t="str">
            <v>-</v>
          </cell>
          <cell r="AN91" t="str">
            <v>-</v>
          </cell>
          <cell r="AO91" t="str">
            <v>-</v>
          </cell>
          <cell r="AP91" t="str">
            <v>-</v>
          </cell>
          <cell r="AQ91" t="str">
            <v>-</v>
          </cell>
          <cell r="AR91" t="str">
            <v>-</v>
          </cell>
          <cell r="AS91" t="str">
            <v>-</v>
          </cell>
          <cell r="AT91" t="str">
            <v>-</v>
          </cell>
          <cell r="AU91" t="str">
            <v>-</v>
          </cell>
          <cell r="AV91" t="str">
            <v>-</v>
          </cell>
        </row>
        <row r="92">
          <cell r="D92" t="str">
            <v>HRO5E08</v>
          </cell>
          <cell r="E92" t="str">
            <v>00732994047</v>
          </cell>
          <cell r="F92" t="str">
            <v>9BM695014YB220021</v>
          </cell>
          <cell r="G92" t="str">
            <v>Mercedes Benz</v>
          </cell>
          <cell r="H92" t="str">
            <v>L 1620</v>
          </cell>
          <cell r="I92">
            <v>2000</v>
          </cell>
          <cell r="J92">
            <v>2000</v>
          </cell>
          <cell r="K92" t="str">
            <v>Caminhão / Rollon</v>
          </cell>
          <cell r="L92" t="str">
            <v xml:space="preserve">Diesel </v>
          </cell>
          <cell r="M92" t="str">
            <v>Branca</v>
          </cell>
          <cell r="N92" t="str">
            <v>Campo Grande</v>
          </cell>
          <cell r="O92" t="str">
            <v>1.2.7.4</v>
          </cell>
          <cell r="P92" t="str">
            <v>Para Venda</v>
          </cell>
          <cell r="Q92" t="str">
            <v>Regular</v>
          </cell>
          <cell r="R92" t="str">
            <v>-</v>
          </cell>
          <cell r="S92" t="str">
            <v>-</v>
          </cell>
          <cell r="T92" t="str">
            <v>Sagi</v>
          </cell>
          <cell r="U92" t="str">
            <v>Ok</v>
          </cell>
          <cell r="V92" t="str">
            <v>-</v>
          </cell>
          <cell r="W92" t="str">
            <v>-</v>
          </cell>
          <cell r="X92" t="str">
            <v>Ativo</v>
          </cell>
          <cell r="Y92" t="str">
            <v>-</v>
          </cell>
          <cell r="Z92" t="str">
            <v>-</v>
          </cell>
          <cell r="AA92" t="str">
            <v>-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 t="str">
            <v>-</v>
          </cell>
          <cell r="AH92" t="str">
            <v>-</v>
          </cell>
          <cell r="AI92" t="str">
            <v>Ñ CONSTA</v>
          </cell>
          <cell r="AJ92" t="str">
            <v>VENCIMENTO 13-04-24</v>
          </cell>
          <cell r="AK92" t="str">
            <v>-</v>
          </cell>
          <cell r="AL92" t="str">
            <v>-</v>
          </cell>
          <cell r="AM92" t="str">
            <v>-</v>
          </cell>
          <cell r="AN92" t="str">
            <v>-</v>
          </cell>
          <cell r="AO92" t="str">
            <v>-</v>
          </cell>
          <cell r="AP92" t="str">
            <v>-</v>
          </cell>
          <cell r="AQ92" t="str">
            <v>-</v>
          </cell>
          <cell r="AR92" t="str">
            <v>-</v>
          </cell>
          <cell r="AS92" t="str">
            <v>-</v>
          </cell>
          <cell r="AT92" t="str">
            <v>-</v>
          </cell>
          <cell r="AU92" t="str">
            <v>-</v>
          </cell>
          <cell r="AV92" t="str">
            <v>-</v>
          </cell>
        </row>
        <row r="93">
          <cell r="D93" t="str">
            <v>HRO7F30</v>
          </cell>
          <cell r="E93" t="str">
            <v>00750097205</v>
          </cell>
          <cell r="F93" t="str">
            <v>9BM695014YB239174</v>
          </cell>
          <cell r="G93" t="str">
            <v>Mercedes Benz</v>
          </cell>
          <cell r="H93" t="str">
            <v>L 1620</v>
          </cell>
          <cell r="I93">
            <v>2000</v>
          </cell>
          <cell r="J93">
            <v>2000</v>
          </cell>
          <cell r="K93" t="str">
            <v>Caminhão / Basculantente</v>
          </cell>
          <cell r="L93" t="str">
            <v xml:space="preserve">Diesel </v>
          </cell>
          <cell r="M93" t="str">
            <v>Branca</v>
          </cell>
          <cell r="N93" t="str">
            <v>Campo Grande</v>
          </cell>
          <cell r="O93" t="str">
            <v>-</v>
          </cell>
          <cell r="P93" t="str">
            <v>-</v>
          </cell>
          <cell r="Q93" t="str">
            <v>Regular</v>
          </cell>
          <cell r="R93" t="str">
            <v>-</v>
          </cell>
          <cell r="S93" t="str">
            <v>-</v>
          </cell>
          <cell r="T93" t="str">
            <v>Sagi</v>
          </cell>
          <cell r="U93" t="str">
            <v>Ok</v>
          </cell>
          <cell r="V93" t="str">
            <v>-</v>
          </cell>
          <cell r="W93" t="str">
            <v>-</v>
          </cell>
          <cell r="X93" t="str">
            <v>Ativo</v>
          </cell>
          <cell r="Y93" t="str">
            <v>-</v>
          </cell>
          <cell r="Z93" t="str">
            <v>-</v>
          </cell>
          <cell r="AA93" t="str">
            <v>-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 t="str">
            <v>-</v>
          </cell>
          <cell r="AH93" t="str">
            <v>-</v>
          </cell>
          <cell r="AI93" t="str">
            <v>Ñ CONSTA</v>
          </cell>
          <cell r="AJ93" t="str">
            <v>VENCIMENTO 10-11-24</v>
          </cell>
          <cell r="AK93" t="str">
            <v>-</v>
          </cell>
          <cell r="AL93" t="str">
            <v>-</v>
          </cell>
          <cell r="AM93" t="str">
            <v>-</v>
          </cell>
          <cell r="AN93" t="str">
            <v>-</v>
          </cell>
          <cell r="AO93" t="str">
            <v>-</v>
          </cell>
          <cell r="AP93" t="str">
            <v>-</v>
          </cell>
          <cell r="AQ93" t="str">
            <v>-</v>
          </cell>
          <cell r="AR93" t="str">
            <v>-</v>
          </cell>
          <cell r="AS93" t="str">
            <v>-</v>
          </cell>
          <cell r="AT93" t="str">
            <v>-</v>
          </cell>
          <cell r="AU93" t="str">
            <v>-</v>
          </cell>
          <cell r="AV93" t="str">
            <v>-</v>
          </cell>
        </row>
        <row r="94">
          <cell r="D94" t="str">
            <v>HSU9D49</v>
          </cell>
          <cell r="E94" t="str">
            <v>00169835049</v>
          </cell>
          <cell r="F94" t="str">
            <v>9A9CS4273ALDJ5086</v>
          </cell>
          <cell r="G94" t="str">
            <v>SR</v>
          </cell>
          <cell r="H94" t="str">
            <v>Librelato SRCS 3E</v>
          </cell>
          <cell r="I94">
            <v>2009</v>
          </cell>
          <cell r="J94">
            <v>2010</v>
          </cell>
          <cell r="K94" t="str">
            <v>Semi Reboque / Carroceria Aberta</v>
          </cell>
          <cell r="L94" t="str">
            <v>-</v>
          </cell>
          <cell r="M94" t="str">
            <v>Vermelha</v>
          </cell>
          <cell r="N94" t="str">
            <v>Campo Grande</v>
          </cell>
          <cell r="O94" t="str">
            <v>-</v>
          </cell>
          <cell r="P94" t="str">
            <v>-</v>
          </cell>
          <cell r="Q94" t="str">
            <v>Regular</v>
          </cell>
          <cell r="R94" t="str">
            <v>-</v>
          </cell>
          <cell r="S94" t="str">
            <v>-</v>
          </cell>
          <cell r="T94" t="str">
            <v>Sagi</v>
          </cell>
          <cell r="U94" t="str">
            <v>Ok</v>
          </cell>
          <cell r="V94" t="str">
            <v>-</v>
          </cell>
          <cell r="W94" t="str">
            <v>-</v>
          </cell>
          <cell r="X94" t="str">
            <v>Não possui</v>
          </cell>
          <cell r="Y94" t="str">
            <v>-</v>
          </cell>
          <cell r="Z94" t="str">
            <v>-</v>
          </cell>
          <cell r="AA94" t="str">
            <v>-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  <cell r="AF94" t="str">
            <v>-</v>
          </cell>
          <cell r="AG94" t="str">
            <v>-</v>
          </cell>
          <cell r="AH94" t="str">
            <v>-</v>
          </cell>
          <cell r="AI94" t="str">
            <v>OK</v>
          </cell>
          <cell r="AJ94" t="str">
            <v>Ñ CONSTA</v>
          </cell>
          <cell r="AK94" t="str">
            <v>-</v>
          </cell>
          <cell r="AL94" t="str">
            <v>-</v>
          </cell>
          <cell r="AM94" t="str">
            <v>-</v>
          </cell>
          <cell r="AN94" t="str">
            <v>-</v>
          </cell>
          <cell r="AO94" t="str">
            <v>AMBIENTAL COM de METAIS</v>
          </cell>
          <cell r="AP94" t="str">
            <v>-</v>
          </cell>
          <cell r="AQ94" t="str">
            <v>-</v>
          </cell>
          <cell r="AR94" t="str">
            <v>-</v>
          </cell>
          <cell r="AS94" t="str">
            <v>-</v>
          </cell>
          <cell r="AT94" t="str">
            <v>-</v>
          </cell>
          <cell r="AU94" t="str">
            <v>-</v>
          </cell>
          <cell r="AV94" t="str">
            <v>-</v>
          </cell>
        </row>
        <row r="95">
          <cell r="D95" t="str">
            <v>KNZ2F41</v>
          </cell>
          <cell r="E95" t="str">
            <v>-</v>
          </cell>
          <cell r="F95" t="str">
            <v>-</v>
          </cell>
          <cell r="G95" t="str">
            <v>Volkswagen</v>
          </cell>
          <cell r="H95" t="str">
            <v>24.250 CNC 6X2</v>
          </cell>
          <cell r="I95">
            <v>2011</v>
          </cell>
          <cell r="J95">
            <v>2011</v>
          </cell>
          <cell r="K95" t="str">
            <v>-</v>
          </cell>
          <cell r="L95" t="str">
            <v>-</v>
          </cell>
          <cell r="M95" t="str">
            <v>-</v>
          </cell>
          <cell r="N95" t="str">
            <v>Campo Grande</v>
          </cell>
          <cell r="O95" t="str">
            <v>-</v>
          </cell>
          <cell r="P95" t="str">
            <v>-</v>
          </cell>
          <cell r="Q95" t="str">
            <v>Regular</v>
          </cell>
          <cell r="R95" t="str">
            <v>É o garra constelation que ficou um tempo na Centro Oeste por força de contrato</v>
          </cell>
          <cell r="S95" t="str">
            <v>-</v>
          </cell>
          <cell r="T95" t="str">
            <v>Sagi</v>
          </cell>
          <cell r="U95" t="str">
            <v>Ok</v>
          </cell>
          <cell r="V95" t="str">
            <v>-</v>
          </cell>
          <cell r="W95" t="str">
            <v>-</v>
          </cell>
          <cell r="X95" t="str">
            <v>-</v>
          </cell>
          <cell r="Y95" t="str">
            <v>-</v>
          </cell>
          <cell r="Z95" t="str">
            <v>-</v>
          </cell>
          <cell r="AA95" t="str">
            <v>-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 t="str">
            <v>-</v>
          </cell>
          <cell r="AH95" t="str">
            <v>-</v>
          </cell>
          <cell r="AI95" t="str">
            <v>-</v>
          </cell>
          <cell r="AJ95" t="str">
            <v>-</v>
          </cell>
          <cell r="AK95" t="str">
            <v>-</v>
          </cell>
          <cell r="AL95" t="str">
            <v>-</v>
          </cell>
          <cell r="AM95" t="str">
            <v>-</v>
          </cell>
          <cell r="AN95" t="str">
            <v>-</v>
          </cell>
          <cell r="AO95" t="str">
            <v>-</v>
          </cell>
          <cell r="AP95" t="str">
            <v>-</v>
          </cell>
          <cell r="AQ95" t="str">
            <v>-</v>
          </cell>
          <cell r="AR95" t="str">
            <v>-</v>
          </cell>
          <cell r="AS95" t="str">
            <v>-</v>
          </cell>
          <cell r="AT95" t="str">
            <v>-</v>
          </cell>
          <cell r="AU95" t="str">
            <v>-</v>
          </cell>
          <cell r="AV95" t="str">
            <v>-</v>
          </cell>
        </row>
        <row r="96">
          <cell r="D96" t="str">
            <v>MRP6135</v>
          </cell>
          <cell r="E96" t="str">
            <v>00940494906</v>
          </cell>
          <cell r="F96" t="str">
            <v>9ADB107378M258770</v>
          </cell>
          <cell r="G96" t="str">
            <v>Randon</v>
          </cell>
          <cell r="H96" t="str">
            <v>Reboque 03 Eixo - Randon SR BA</v>
          </cell>
          <cell r="I96">
            <v>2007</v>
          </cell>
          <cell r="J96">
            <v>2008</v>
          </cell>
          <cell r="K96" t="str">
            <v>Basculante</v>
          </cell>
          <cell r="L96" t="str">
            <v>-</v>
          </cell>
          <cell r="M96" t="str">
            <v>Prata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Regular</v>
          </cell>
          <cell r="R96" t="str">
            <v>Ta na chacara</v>
          </cell>
          <cell r="S96" t="str">
            <v>-</v>
          </cell>
          <cell r="T96" t="str">
            <v>Sagi</v>
          </cell>
          <cell r="U96" t="str">
            <v>Ok</v>
          </cell>
          <cell r="V96" t="str">
            <v>-</v>
          </cell>
          <cell r="W96" t="str">
            <v>Não possui</v>
          </cell>
          <cell r="X96" t="str">
            <v>Não possui</v>
          </cell>
          <cell r="Y96" t="str">
            <v>MRP-6135</v>
          </cell>
          <cell r="Z96">
            <v>43137</v>
          </cell>
          <cell r="AA96" t="str">
            <v>-</v>
          </cell>
          <cell r="AB96" t="str">
            <v>-</v>
          </cell>
          <cell r="AC96" t="str">
            <v>-</v>
          </cell>
          <cell r="AD96" t="str">
            <v>OK</v>
          </cell>
          <cell r="AE96" t="str">
            <v>Não possui</v>
          </cell>
          <cell r="AF96" t="str">
            <v>Não possui</v>
          </cell>
          <cell r="AG96" t="str">
            <v>-</v>
          </cell>
          <cell r="AH96" t="str">
            <v>ok, 23/12</v>
          </cell>
          <cell r="AI96" t="str">
            <v>OK</v>
          </cell>
          <cell r="AJ96" t="str">
            <v>Ñ CONSTA</v>
          </cell>
          <cell r="AK96" t="str">
            <v>Sem reserVA</v>
          </cell>
          <cell r="AL96" t="str">
            <v>-</v>
          </cell>
          <cell r="AM96" t="str">
            <v>-</v>
          </cell>
          <cell r="AN96" t="str">
            <v>-</v>
          </cell>
          <cell r="AO96" t="str">
            <v>-</v>
          </cell>
          <cell r="AP96" t="str">
            <v>-</v>
          </cell>
          <cell r="AQ96" t="str">
            <v>-</v>
          </cell>
          <cell r="AR96" t="str">
            <v>-</v>
          </cell>
          <cell r="AS96" t="str">
            <v>-</v>
          </cell>
          <cell r="AT96" t="str">
            <v>-</v>
          </cell>
          <cell r="AU96" t="str">
            <v>-</v>
          </cell>
          <cell r="AV96" t="str">
            <v>-</v>
          </cell>
        </row>
        <row r="97">
          <cell r="D97" t="str">
            <v>NRQ7727</v>
          </cell>
          <cell r="E97" t="str">
            <v>00324556233</v>
          </cell>
          <cell r="F97" t="str">
            <v>9BM958094BB784875</v>
          </cell>
          <cell r="G97" t="str">
            <v>Mercedes Benz</v>
          </cell>
          <cell r="H97" t="str">
            <v>Batego 2425</v>
          </cell>
          <cell r="I97">
            <v>2011</v>
          </cell>
          <cell r="J97">
            <v>2011</v>
          </cell>
          <cell r="K97" t="str">
            <v>Caminhão</v>
          </cell>
          <cell r="L97" t="str">
            <v>Diesel</v>
          </cell>
          <cell r="M97" t="str">
            <v>Vermelha</v>
          </cell>
          <cell r="N97" t="str">
            <v>Presidente Prudente</v>
          </cell>
          <cell r="O97" t="str">
            <v>1.2.7.4</v>
          </cell>
          <cell r="P97" t="str">
            <v>-</v>
          </cell>
          <cell r="Q97" t="str">
            <v>Regular</v>
          </cell>
          <cell r="R97" t="str">
            <v>Maringa</v>
          </cell>
          <cell r="S97" t="str">
            <v>-</v>
          </cell>
          <cell r="T97" t="str">
            <v>Sagi</v>
          </cell>
          <cell r="U97" t="str">
            <v>Ok</v>
          </cell>
          <cell r="V97" t="str">
            <v>CMG-0024</v>
          </cell>
          <cell r="W97" t="str">
            <v>Ativo</v>
          </cell>
          <cell r="X97" t="str">
            <v>Ativo</v>
          </cell>
          <cell r="Y97" t="str">
            <v>NRQ-7727</v>
          </cell>
          <cell r="Z97">
            <v>43132</v>
          </cell>
          <cell r="AA97" t="str">
            <v>-</v>
          </cell>
          <cell r="AB97" t="str">
            <v>-</v>
          </cell>
          <cell r="AC97" t="str">
            <v>-</v>
          </cell>
          <cell r="AD97" t="str">
            <v>OK</v>
          </cell>
          <cell r="AE97" t="str">
            <v>Possui</v>
          </cell>
          <cell r="AF97" t="str">
            <v>Não possui</v>
          </cell>
          <cell r="AG97" t="str">
            <v>HDI</v>
          </cell>
          <cell r="AH97" t="str">
            <v>ok, 23/12</v>
          </cell>
          <cell r="AI97" t="str">
            <v>OK</v>
          </cell>
          <cell r="AJ97" t="str">
            <v>VENCIMENTO 06-04-24</v>
          </cell>
          <cell r="AK97" t="str">
            <v>Bradesco</v>
          </cell>
          <cell r="AL97" t="str">
            <v>-</v>
          </cell>
          <cell r="AM97" t="str">
            <v>-</v>
          </cell>
          <cell r="AN97" t="str">
            <v>-</v>
          </cell>
          <cell r="AO97" t="str">
            <v>Relacao Dourados - Renato 11/12/2017</v>
          </cell>
          <cell r="AP97" t="str">
            <v>-</v>
          </cell>
          <cell r="AQ97" t="str">
            <v>-</v>
          </cell>
          <cell r="AR97" t="str">
            <v>-</v>
          </cell>
          <cell r="AS97" t="str">
            <v>-</v>
          </cell>
          <cell r="AT97" t="str">
            <v>-</v>
          </cell>
          <cell r="AU97" t="str">
            <v>-</v>
          </cell>
          <cell r="AV97" t="str">
            <v>-</v>
          </cell>
        </row>
        <row r="98">
          <cell r="D98" t="str">
            <v>NRV7727</v>
          </cell>
          <cell r="E98" t="str">
            <v>00419877908</v>
          </cell>
          <cell r="F98" t="str">
            <v>9BM958094CB830722</v>
          </cell>
          <cell r="G98" t="str">
            <v>Mercedes Benz</v>
          </cell>
          <cell r="H98" t="str">
            <v>Batego 2425</v>
          </cell>
          <cell r="I98">
            <v>2011</v>
          </cell>
          <cell r="J98">
            <v>2011</v>
          </cell>
          <cell r="K98" t="str">
            <v>Caminhão</v>
          </cell>
          <cell r="L98" t="str">
            <v>Diesel</v>
          </cell>
          <cell r="M98" t="str">
            <v>Azul</v>
          </cell>
          <cell r="N98" t="str">
            <v>Dourados</v>
          </cell>
          <cell r="O98" t="str">
            <v>1.2.2.4</v>
          </cell>
          <cell r="P98" t="str">
            <v>-</v>
          </cell>
          <cell r="Q98" t="str">
            <v>Regular</v>
          </cell>
          <cell r="R98" t="str">
            <v>Londrina</v>
          </cell>
          <cell r="S98" t="str">
            <v>-</v>
          </cell>
          <cell r="T98" t="str">
            <v>Sagi</v>
          </cell>
          <cell r="U98" t="str">
            <v>Ok</v>
          </cell>
          <cell r="V98" t="str">
            <v>CMG-0025</v>
          </cell>
          <cell r="W98" t="str">
            <v>Ativo</v>
          </cell>
          <cell r="X98" t="str">
            <v>Ativo</v>
          </cell>
          <cell r="Y98" t="str">
            <v>NRV-7727</v>
          </cell>
          <cell r="Z98">
            <v>43132</v>
          </cell>
          <cell r="AA98" t="str">
            <v>-</v>
          </cell>
          <cell r="AB98" t="str">
            <v>-</v>
          </cell>
          <cell r="AC98" t="str">
            <v>-</v>
          </cell>
          <cell r="AD98" t="str">
            <v>OK</v>
          </cell>
          <cell r="AE98" t="str">
            <v>Possui</v>
          </cell>
          <cell r="AF98" t="str">
            <v>Não possui</v>
          </cell>
          <cell r="AG98" t="str">
            <v>HDI</v>
          </cell>
          <cell r="AH98" t="str">
            <v>ok, 23/12</v>
          </cell>
          <cell r="AI98" t="str">
            <v>OK</v>
          </cell>
          <cell r="AJ98" t="str">
            <v>VENCIDO 20-07-20</v>
          </cell>
          <cell r="AK98" t="str">
            <v>Bradesco</v>
          </cell>
          <cell r="AL98">
            <v>3937</v>
          </cell>
          <cell r="AM98">
            <v>42943</v>
          </cell>
          <cell r="AN98">
            <v>120000</v>
          </cell>
          <cell r="AO98" t="str">
            <v>Relacao Dourados - Renato 11/12/2017</v>
          </cell>
          <cell r="AP98" t="str">
            <v>-</v>
          </cell>
          <cell r="AQ98" t="str">
            <v>-</v>
          </cell>
          <cell r="AR98" t="str">
            <v>-</v>
          </cell>
          <cell r="AS98" t="str">
            <v>-</v>
          </cell>
          <cell r="AT98" t="str">
            <v>-</v>
          </cell>
          <cell r="AU98" t="str">
            <v>-</v>
          </cell>
          <cell r="AV98" t="str">
            <v>-</v>
          </cell>
        </row>
        <row r="99">
          <cell r="D99" t="str">
            <v>OOM8D73</v>
          </cell>
          <cell r="E99" t="str">
            <v>01066783745</v>
          </cell>
          <cell r="F99" t="str">
            <v>9BVXG00C0GE835683</v>
          </cell>
          <cell r="G99" t="str">
            <v>Volvo</v>
          </cell>
          <cell r="H99" t="str">
            <v>FM 380 6X2 T</v>
          </cell>
          <cell r="I99">
            <v>2015</v>
          </cell>
          <cell r="J99">
            <v>2016</v>
          </cell>
          <cell r="K99" t="str">
            <v>Tracao Caminhão Trator</v>
          </cell>
          <cell r="L99" t="str">
            <v>Diesel</v>
          </cell>
          <cell r="M99" t="str">
            <v>Prata</v>
          </cell>
          <cell r="N99" t="str">
            <v>Campo Grande</v>
          </cell>
          <cell r="O99" t="str">
            <v>-</v>
          </cell>
          <cell r="P99" t="str">
            <v>-</v>
          </cell>
          <cell r="Q99" t="str">
            <v>Regular</v>
          </cell>
          <cell r="R99" t="str">
            <v>-</v>
          </cell>
          <cell r="S99" t="str">
            <v>-</v>
          </cell>
          <cell r="T99" t="str">
            <v>Sagi</v>
          </cell>
          <cell r="U99" t="str">
            <v>Ok</v>
          </cell>
          <cell r="V99" t="str">
            <v>-</v>
          </cell>
          <cell r="W99" t="str">
            <v>-</v>
          </cell>
          <cell r="X99" t="str">
            <v>Ativo</v>
          </cell>
          <cell r="Y99" t="str">
            <v>-</v>
          </cell>
          <cell r="Z99" t="str">
            <v>-</v>
          </cell>
          <cell r="AA99" t="str">
            <v>-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 t="str">
            <v>-</v>
          </cell>
          <cell r="AH99" t="str">
            <v>-</v>
          </cell>
          <cell r="AI99" t="str">
            <v>OK</v>
          </cell>
          <cell r="AJ99" t="str">
            <v>VENCIMENTO 01-11-23</v>
          </cell>
          <cell r="AK99" t="str">
            <v>-</v>
          </cell>
          <cell r="AL99" t="str">
            <v>-</v>
          </cell>
          <cell r="AM99" t="str">
            <v>-</v>
          </cell>
          <cell r="AN99" t="str">
            <v>-</v>
          </cell>
          <cell r="AO99" t="str">
            <v>-</v>
          </cell>
          <cell r="AP99" t="str">
            <v>-</v>
          </cell>
          <cell r="AQ99" t="str">
            <v>-</v>
          </cell>
          <cell r="AR99" t="str">
            <v>-</v>
          </cell>
          <cell r="AS99" t="str">
            <v>-</v>
          </cell>
          <cell r="AT99" t="str">
            <v>-</v>
          </cell>
          <cell r="AU99" t="str">
            <v>-</v>
          </cell>
          <cell r="AV99" t="str">
            <v>-</v>
          </cell>
        </row>
        <row r="100">
          <cell r="D100" t="str">
            <v>OON3B85</v>
          </cell>
          <cell r="E100" t="str">
            <v>01020611240</v>
          </cell>
          <cell r="F100" t="str">
            <v>93KP0R1C9EE148541</v>
          </cell>
          <cell r="G100" t="str">
            <v>Volvo</v>
          </cell>
          <cell r="H100" t="str">
            <v>VM 270 6X2 R</v>
          </cell>
          <cell r="I100">
            <v>2014</v>
          </cell>
          <cell r="J100">
            <v>2014</v>
          </cell>
          <cell r="K100" t="str">
            <v>Caminhão / Mecanismo Operacional</v>
          </cell>
          <cell r="L100" t="str">
            <v>Diesel</v>
          </cell>
          <cell r="M100" t="str">
            <v>Prata</v>
          </cell>
          <cell r="N100" t="str">
            <v>Campo Grande</v>
          </cell>
          <cell r="O100" t="str">
            <v>-</v>
          </cell>
          <cell r="P100" t="str">
            <v>-</v>
          </cell>
          <cell r="Q100" t="str">
            <v>Regular</v>
          </cell>
          <cell r="R100" t="str">
            <v>-</v>
          </cell>
          <cell r="S100" t="str">
            <v>-</v>
          </cell>
          <cell r="T100" t="str">
            <v>Sagi</v>
          </cell>
          <cell r="U100" t="str">
            <v>Ok</v>
          </cell>
          <cell r="V100" t="str">
            <v>-</v>
          </cell>
          <cell r="W100" t="str">
            <v>-</v>
          </cell>
          <cell r="X100" t="str">
            <v>Ativo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Ñ CONSTA</v>
          </cell>
          <cell r="AJ100" t="str">
            <v>Ñ CONSTA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>-</v>
          </cell>
        </row>
        <row r="101">
          <cell r="D101" t="str">
            <v>QAO4A53</v>
          </cell>
          <cell r="E101" t="str">
            <v>01180403336</v>
          </cell>
          <cell r="F101" t="str">
            <v>93KP0S1FXKE162811</v>
          </cell>
          <cell r="G101" t="str">
            <v>Volvo</v>
          </cell>
          <cell r="H101" t="str">
            <v>VM 330 8X2 R</v>
          </cell>
          <cell r="I101">
            <v>2018</v>
          </cell>
          <cell r="J101">
            <v>2019</v>
          </cell>
          <cell r="K101" t="str">
            <v>Caminhão / Rollon / Cabine Estendida</v>
          </cell>
          <cell r="L101" t="str">
            <v>Diesel</v>
          </cell>
          <cell r="M101" t="str">
            <v>Branca</v>
          </cell>
          <cell r="N101" t="str">
            <v>Campo Grande</v>
          </cell>
          <cell r="O101" t="str">
            <v>1.2.7.4</v>
          </cell>
          <cell r="P101" t="str">
            <v>-</v>
          </cell>
          <cell r="Q101" t="str">
            <v>Regular</v>
          </cell>
          <cell r="R101" t="str">
            <v>-</v>
          </cell>
          <cell r="S101" t="str">
            <v>-</v>
          </cell>
          <cell r="T101" t="str">
            <v>Sagi</v>
          </cell>
          <cell r="U101" t="str">
            <v>Ok</v>
          </cell>
          <cell r="V101" t="str">
            <v>-</v>
          </cell>
          <cell r="W101" t="str">
            <v>-</v>
          </cell>
          <cell r="X101" t="str">
            <v>Ativo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Ñ CONSTA</v>
          </cell>
          <cell r="AJ101" t="str">
            <v>Ñ CONSTA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>-</v>
          </cell>
        </row>
        <row r="102">
          <cell r="D102" t="str">
            <v>QAU6E20</v>
          </cell>
          <cell r="E102" t="str">
            <v>01223927528</v>
          </cell>
          <cell r="F102" t="str">
            <v>9A9R6003AL1DV7002</v>
          </cell>
          <cell r="G102" t="str">
            <v>Imavi</v>
          </cell>
          <cell r="H102" t="str">
            <v>RR 3E</v>
          </cell>
          <cell r="I102">
            <v>2020</v>
          </cell>
          <cell r="J102">
            <v>2020</v>
          </cell>
          <cell r="K102" t="str">
            <v>Carga Reboque</v>
          </cell>
          <cell r="L102" t="str">
            <v>-</v>
          </cell>
          <cell r="M102" t="str">
            <v>Preta</v>
          </cell>
          <cell r="N102" t="str">
            <v>Campo Grande</v>
          </cell>
          <cell r="O102" t="str">
            <v>1.2.7.4</v>
          </cell>
          <cell r="P102" t="str">
            <v>-</v>
          </cell>
          <cell r="Q102" t="str">
            <v>Regular</v>
          </cell>
          <cell r="R102" t="str">
            <v>-</v>
          </cell>
          <cell r="S102" t="str">
            <v>-</v>
          </cell>
          <cell r="T102" t="str">
            <v>Sagi</v>
          </cell>
          <cell r="U102" t="str">
            <v>Ok</v>
          </cell>
          <cell r="V102" t="str">
            <v>-</v>
          </cell>
          <cell r="W102" t="str">
            <v>-</v>
          </cell>
          <cell r="X102" t="str">
            <v>Não possui</v>
          </cell>
          <cell r="Y102" t="str">
            <v>-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 t="str">
            <v>-</v>
          </cell>
          <cell r="AH102" t="str">
            <v>-</v>
          </cell>
          <cell r="AI102" t="str">
            <v>Ñ CONSTA</v>
          </cell>
          <cell r="AJ102" t="str">
            <v>Ñ CONSTA</v>
          </cell>
          <cell r="AK102" t="str">
            <v>-</v>
          </cell>
          <cell r="AL102" t="str">
            <v>-</v>
          </cell>
          <cell r="AM102" t="str">
            <v>-</v>
          </cell>
          <cell r="AN102" t="str">
            <v>-</v>
          </cell>
          <cell r="AO102" t="str">
            <v>-</v>
          </cell>
          <cell r="AP102" t="str">
            <v>-</v>
          </cell>
          <cell r="AQ102" t="str">
            <v>-</v>
          </cell>
          <cell r="AR102" t="str">
            <v>-</v>
          </cell>
          <cell r="AS102" t="str">
            <v>-</v>
          </cell>
          <cell r="AT102" t="str">
            <v>-</v>
          </cell>
          <cell r="AU102" t="str">
            <v>-</v>
          </cell>
          <cell r="AV102" t="str">
            <v>-</v>
          </cell>
        </row>
        <row r="103">
          <cell r="D103" t="str">
            <v>RNC9H69</v>
          </cell>
          <cell r="E103" t="str">
            <v>01265366109</v>
          </cell>
          <cell r="F103" t="str">
            <v>9BWAG45U2NT047867</v>
          </cell>
          <cell r="G103" t="str">
            <v>Volkswagen</v>
          </cell>
          <cell r="H103" t="str">
            <v>Gol 1.0L MC4</v>
          </cell>
          <cell r="I103">
            <v>2021</v>
          </cell>
          <cell r="J103">
            <v>2022</v>
          </cell>
          <cell r="K103" t="str">
            <v>Passageiro Automóvel</v>
          </cell>
          <cell r="L103" t="str">
            <v>Flex</v>
          </cell>
          <cell r="M103" t="str">
            <v>Prata</v>
          </cell>
          <cell r="N103" t="str">
            <v>Maringá</v>
          </cell>
          <cell r="O103" t="str">
            <v>-</v>
          </cell>
          <cell r="P103" t="str">
            <v>-</v>
          </cell>
          <cell r="Q103" t="str">
            <v>Regular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 t="str">
            <v>-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 t="str">
            <v>-</v>
          </cell>
          <cell r="AH103" t="str">
            <v>LYVUZH6CDNB037634</v>
          </cell>
          <cell r="AI103" t="str">
            <v>-</v>
          </cell>
          <cell r="AJ103" t="str">
            <v>-</v>
          </cell>
          <cell r="AK103" t="str">
            <v>-</v>
          </cell>
          <cell r="AL103">
            <v>212747</v>
          </cell>
          <cell r="AM103">
            <v>45398</v>
          </cell>
          <cell r="AN103">
            <v>54900</v>
          </cell>
          <cell r="AO103" t="str">
            <v>LIANE VEICULOS Ltda</v>
          </cell>
          <cell r="AP103" t="str">
            <v>-</v>
          </cell>
          <cell r="AQ103" t="str">
            <v>-</v>
          </cell>
          <cell r="AR103" t="str">
            <v>-</v>
          </cell>
          <cell r="AS103" t="str">
            <v>-</v>
          </cell>
          <cell r="AT103" t="str">
            <v>-</v>
          </cell>
          <cell r="AU103" t="str">
            <v>-</v>
          </cell>
          <cell r="AV103" t="str">
            <v>-</v>
          </cell>
        </row>
        <row r="104">
          <cell r="D104" t="str">
            <v>SUE1E15</v>
          </cell>
          <cell r="E104" t="str">
            <v>01365749824</v>
          </cell>
          <cell r="F104" t="str">
            <v>9BWAH5BZ6RT625638</v>
          </cell>
          <cell r="G104" t="str">
            <v>Volkswagen</v>
          </cell>
          <cell r="H104" t="str">
            <v>Polo CL AB</v>
          </cell>
          <cell r="I104">
            <v>2023</v>
          </cell>
          <cell r="J104">
            <v>2024</v>
          </cell>
          <cell r="K104" t="str">
            <v>Veículo de Passeio</v>
          </cell>
          <cell r="L104" t="str">
            <v>-</v>
          </cell>
          <cell r="M104" t="str">
            <v>Branca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Regular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 t="str">
            <v>-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 t="str">
            <v>-</v>
          </cell>
          <cell r="AH104" t="str">
            <v>-</v>
          </cell>
          <cell r="AI104" t="str">
            <v>-</v>
          </cell>
          <cell r="AJ104" t="str">
            <v>-</v>
          </cell>
          <cell r="AK104" t="str">
            <v>-</v>
          </cell>
          <cell r="AL104">
            <v>520725</v>
          </cell>
          <cell r="AM104">
            <v>45197</v>
          </cell>
          <cell r="AN104">
            <v>99805.89</v>
          </cell>
          <cell r="AO104" t="str">
            <v>Volkswagen do BRASIL INDUSTRIA de VEÍCULOS AUTOMOTORES Ltda</v>
          </cell>
          <cell r="AP104" t="str">
            <v>-</v>
          </cell>
          <cell r="AQ104" t="str">
            <v>-</v>
          </cell>
          <cell r="AR104" t="str">
            <v>-</v>
          </cell>
          <cell r="AS104" t="str">
            <v>-</v>
          </cell>
          <cell r="AT104" t="str">
            <v>-</v>
          </cell>
          <cell r="AU104" t="str">
            <v>-</v>
          </cell>
          <cell r="AV104" t="str">
            <v>-</v>
          </cell>
        </row>
        <row r="105">
          <cell r="D105" t="str">
            <v>STF9C60</v>
          </cell>
          <cell r="E105" t="str">
            <v>01366104690</v>
          </cell>
          <cell r="F105" t="str">
            <v>9BWAH5BZ7RT626037</v>
          </cell>
          <cell r="G105" t="str">
            <v>Volkswagen</v>
          </cell>
          <cell r="H105" t="str">
            <v>Polo CL AB</v>
          </cell>
          <cell r="I105">
            <v>2023</v>
          </cell>
          <cell r="J105">
            <v>2024</v>
          </cell>
          <cell r="K105" t="str">
            <v>Veículo de Passeio</v>
          </cell>
          <cell r="L105" t="str">
            <v>-</v>
          </cell>
          <cell r="M105" t="str">
            <v>Branca</v>
          </cell>
          <cell r="N105" t="str">
            <v>-</v>
          </cell>
          <cell r="O105" t="str">
            <v>-</v>
          </cell>
          <cell r="P105" t="str">
            <v>-</v>
          </cell>
          <cell r="Q105" t="str">
            <v>Regular</v>
          </cell>
          <cell r="R105" t="str">
            <v>-</v>
          </cell>
          <cell r="S105" t="str">
            <v>-</v>
          </cell>
          <cell r="T105" t="str">
            <v>-</v>
          </cell>
          <cell r="U105" t="str">
            <v>-</v>
          </cell>
          <cell r="V105" t="str">
            <v>-</v>
          </cell>
          <cell r="W105" t="str">
            <v>-</v>
          </cell>
          <cell r="X105" t="str">
            <v>-</v>
          </cell>
          <cell r="Y105" t="str">
            <v>-</v>
          </cell>
          <cell r="Z105" t="str">
            <v>-</v>
          </cell>
          <cell r="AA105" t="str">
            <v>-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  <cell r="AF105" t="str">
            <v>-</v>
          </cell>
          <cell r="AG105" t="str">
            <v>-</v>
          </cell>
          <cell r="AH105" t="str">
            <v>-</v>
          </cell>
          <cell r="AI105" t="str">
            <v>-</v>
          </cell>
          <cell r="AJ105" t="str">
            <v>-</v>
          </cell>
          <cell r="AK105" t="str">
            <v>-</v>
          </cell>
          <cell r="AL105">
            <v>520275</v>
          </cell>
          <cell r="AM105">
            <v>45195</v>
          </cell>
          <cell r="AN105">
            <v>99805.89</v>
          </cell>
          <cell r="AO105" t="str">
            <v>Volkswagen do BRASIL INDUSTRIA de VEÍCULOS AUTOMOTORES Ltda</v>
          </cell>
          <cell r="AP105" t="str">
            <v>-</v>
          </cell>
          <cell r="AQ105" t="str">
            <v>-</v>
          </cell>
          <cell r="AR105" t="str">
            <v>-</v>
          </cell>
          <cell r="AS105" t="str">
            <v>-</v>
          </cell>
          <cell r="AT105" t="str">
            <v>-</v>
          </cell>
          <cell r="AU105" t="str">
            <v>-</v>
          </cell>
          <cell r="AV105" t="str">
            <v>-</v>
          </cell>
        </row>
        <row r="106">
          <cell r="D106" t="str">
            <v>SWW9B93</v>
          </cell>
          <cell r="E106" t="str">
            <v>01399625958</v>
          </cell>
          <cell r="F106" t="str">
            <v>9BWBH6BF3S4013591</v>
          </cell>
          <cell r="G106" t="str">
            <v>Volkswagen</v>
          </cell>
          <cell r="H106" t="str">
            <v>T-Cross TSI</v>
          </cell>
          <cell r="I106">
            <v>2024</v>
          </cell>
          <cell r="J106">
            <v>2025</v>
          </cell>
          <cell r="K106" t="str">
            <v>Veículo de Passeio</v>
          </cell>
          <cell r="L106" t="str">
            <v>Flex</v>
          </cell>
          <cell r="M106" t="str">
            <v>Cinza</v>
          </cell>
          <cell r="N106" t="str">
            <v>Jairo Marculino</v>
          </cell>
          <cell r="O106" t="str">
            <v>-</v>
          </cell>
          <cell r="P106" t="str">
            <v>-</v>
          </cell>
          <cell r="Q106" t="str">
            <v>Regular</v>
          </cell>
          <cell r="R106" t="str">
            <v>-</v>
          </cell>
          <cell r="S106" t="str">
            <v>-</v>
          </cell>
          <cell r="T106" t="str">
            <v>-</v>
          </cell>
          <cell r="U106" t="str">
            <v>-</v>
          </cell>
          <cell r="V106" t="str">
            <v>-</v>
          </cell>
          <cell r="W106" t="str">
            <v>-</v>
          </cell>
          <cell r="X106" t="str">
            <v>-</v>
          </cell>
          <cell r="Y106" t="str">
            <v>-</v>
          </cell>
          <cell r="Z106" t="str">
            <v>-</v>
          </cell>
          <cell r="AA106" t="str">
            <v>-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  <cell r="AF106" t="str">
            <v>-</v>
          </cell>
          <cell r="AG106" t="str">
            <v>-</v>
          </cell>
          <cell r="AH106" t="str">
            <v>-</v>
          </cell>
          <cell r="AI106" t="str">
            <v>-</v>
          </cell>
          <cell r="AJ106" t="str">
            <v>-</v>
          </cell>
          <cell r="AK106" t="str">
            <v>-</v>
          </cell>
          <cell r="AL106">
            <v>634384</v>
          </cell>
          <cell r="AM106">
            <v>45477</v>
          </cell>
          <cell r="AN106">
            <v>132066.01</v>
          </cell>
          <cell r="AO106" t="str">
            <v>Volkswagen do BRASIL INDUSTRIA de VEÍCULOS AUTOMOTORES Ltda</v>
          </cell>
          <cell r="AP106" t="str">
            <v>-</v>
          </cell>
          <cell r="AQ106" t="str">
            <v>-</v>
          </cell>
          <cell r="AR106" t="str">
            <v>-</v>
          </cell>
          <cell r="AS106" t="str">
            <v>-</v>
          </cell>
          <cell r="AT106" t="str">
            <v>-</v>
          </cell>
          <cell r="AU106" t="str">
            <v>-</v>
          </cell>
          <cell r="AV106" t="str">
            <v>-</v>
          </cell>
        </row>
        <row r="107">
          <cell r="D107" t="str">
            <v>SUC4A26</v>
          </cell>
          <cell r="E107" t="str">
            <v>01399454665</v>
          </cell>
          <cell r="F107" t="str">
            <v>9BWAJ5BZ9SP007166</v>
          </cell>
          <cell r="G107" t="str">
            <v>Volkswagen</v>
          </cell>
          <cell r="H107" t="str">
            <v>Polo GTS AD</v>
          </cell>
          <cell r="I107">
            <v>2024</v>
          </cell>
          <cell r="J107">
            <v>2025</v>
          </cell>
          <cell r="K107" t="str">
            <v>Veículo de Passeio</v>
          </cell>
          <cell r="L107" t="str">
            <v>Flex</v>
          </cell>
          <cell r="M107" t="str">
            <v>Preta</v>
          </cell>
          <cell r="N107" t="str">
            <v>Gabriel Salmazzo Salteiro</v>
          </cell>
          <cell r="O107" t="str">
            <v>-</v>
          </cell>
          <cell r="P107" t="str">
            <v>-</v>
          </cell>
          <cell r="Q107" t="str">
            <v>Regular</v>
          </cell>
          <cell r="R107" t="str">
            <v>-</v>
          </cell>
          <cell r="S107" t="str">
            <v>-</v>
          </cell>
          <cell r="T107" t="str">
            <v>-</v>
          </cell>
          <cell r="U107" t="str">
            <v>-</v>
          </cell>
          <cell r="V107" t="str">
            <v>-</v>
          </cell>
          <cell r="W107" t="str">
            <v>-</v>
          </cell>
          <cell r="X107" t="str">
            <v>-</v>
          </cell>
          <cell r="Y107" t="str">
            <v>-</v>
          </cell>
          <cell r="Z107" t="str">
            <v>-</v>
          </cell>
          <cell r="AA107" t="str">
            <v>-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  <cell r="AF107" t="str">
            <v>-</v>
          </cell>
          <cell r="AG107" t="str">
            <v>-</v>
          </cell>
          <cell r="AH107" t="str">
            <v>-</v>
          </cell>
          <cell r="AI107" t="str">
            <v>-</v>
          </cell>
          <cell r="AJ107" t="str">
            <v>-</v>
          </cell>
          <cell r="AK107" t="str">
            <v>-</v>
          </cell>
          <cell r="AL107">
            <v>580</v>
          </cell>
          <cell r="AM107">
            <v>45490</v>
          </cell>
          <cell r="AN107">
            <v>133797.31</v>
          </cell>
          <cell r="AO107" t="str">
            <v>Volkswagen do BRASIL INDUSTRIA de VEÍCULOS AUTOMOTORES Ltda</v>
          </cell>
          <cell r="AP107" t="str">
            <v>-</v>
          </cell>
          <cell r="AQ107" t="str">
            <v>-</v>
          </cell>
          <cell r="AR107" t="str">
            <v>-</v>
          </cell>
          <cell r="AS107" t="str">
            <v>-</v>
          </cell>
          <cell r="AT107" t="str">
            <v>-</v>
          </cell>
          <cell r="AU107" t="str">
            <v>-</v>
          </cell>
          <cell r="AV107" t="str">
            <v>-</v>
          </cell>
        </row>
        <row r="108">
          <cell r="D108" t="str">
            <v>AAJ6158</v>
          </cell>
          <cell r="E108" t="str">
            <v>00520735498</v>
          </cell>
          <cell r="F108" t="str">
            <v>34401412699572</v>
          </cell>
          <cell r="G108" t="str">
            <v>Mercedes Benz</v>
          </cell>
          <cell r="H108" t="str">
            <v>L 1113</v>
          </cell>
          <cell r="I108" t="str">
            <v>-</v>
          </cell>
          <cell r="J108" t="str">
            <v>-</v>
          </cell>
          <cell r="K108" t="str">
            <v>-</v>
          </cell>
          <cell r="L108" t="str">
            <v>Diesel</v>
          </cell>
          <cell r="M108" t="str">
            <v>Amarela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Vendido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-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 t="str">
            <v>Venda oficial em 08/03/2018 para Sofer SucATas - regularizacao Thayane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 t="str">
            <v>-</v>
          </cell>
          <cell r="AN108" t="str">
            <v>-</v>
          </cell>
          <cell r="AO108" t="str">
            <v>-</v>
          </cell>
          <cell r="AP108">
            <v>43167</v>
          </cell>
          <cell r="AQ108">
            <v>4621</v>
          </cell>
          <cell r="AR108">
            <v>55000</v>
          </cell>
          <cell r="AS108" t="str">
            <v>-</v>
          </cell>
          <cell r="AT108" t="str">
            <v>-</v>
          </cell>
          <cell r="AU108" t="str">
            <v>-</v>
          </cell>
          <cell r="AV108" t="str">
            <v>-</v>
          </cell>
        </row>
        <row r="109">
          <cell r="D109" t="str">
            <v>ACA1623</v>
          </cell>
          <cell r="E109" t="str">
            <v>3589431400</v>
          </cell>
          <cell r="F109" t="str">
            <v>34540312307436</v>
          </cell>
          <cell r="G109" t="str">
            <v>Mercedes Benz</v>
          </cell>
          <cell r="H109" t="str">
            <v>L 2213 E3</v>
          </cell>
          <cell r="I109" t="str">
            <v>-</v>
          </cell>
          <cell r="J109" t="str">
            <v>-</v>
          </cell>
          <cell r="K109" t="str">
            <v>Caminhão</v>
          </cell>
          <cell r="L109" t="str">
            <v>Diesel</v>
          </cell>
          <cell r="M109" t="str">
            <v>Branca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Vendido</v>
          </cell>
          <cell r="R109" t="str">
            <v>06/01 - Ricardo disse q não foi vendido!!! Está conosco, guardado n AChácara!!! Está no nome de "ROSSI e ROSSI Ltda" - SARANDI/PR. Entendo que foi vendido!! Consulta realizada em 12/01/21. - Vendido - Paraná Sarandi - Regularizar Venda</v>
          </cell>
          <cell r="S109" t="str">
            <v>-</v>
          </cell>
          <cell r="T109" t="str">
            <v>-</v>
          </cell>
          <cell r="U109" t="str">
            <v>-</v>
          </cell>
          <cell r="V109" t="str">
            <v>-</v>
          </cell>
          <cell r="W109" t="str">
            <v>-</v>
          </cell>
          <cell r="X109" t="str">
            <v>-</v>
          </cell>
          <cell r="Y109" t="str">
            <v>-</v>
          </cell>
          <cell r="Z109" t="str">
            <v>-</v>
          </cell>
          <cell r="AA109" t="str">
            <v>Isento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 t="str">
            <v>não precisa de seguro - venda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Sem reserVA</v>
          </cell>
          <cell r="AL109">
            <v>2738</v>
          </cell>
          <cell r="AM109" t="str">
            <v>-</v>
          </cell>
          <cell r="AN109" t="str">
            <v>-</v>
          </cell>
          <cell r="AO109" t="str">
            <v>-</v>
          </cell>
          <cell r="AP109" t="str">
            <v>-</v>
          </cell>
          <cell r="AQ109" t="str">
            <v>-</v>
          </cell>
          <cell r="AR109" t="str">
            <v>-</v>
          </cell>
          <cell r="AS109" t="str">
            <v>-</v>
          </cell>
          <cell r="AT109" t="str">
            <v>-</v>
          </cell>
          <cell r="AU109" t="str">
            <v>-</v>
          </cell>
          <cell r="AV109" t="str">
            <v>-</v>
          </cell>
        </row>
        <row r="110">
          <cell r="D110" t="str">
            <v>AJB6101</v>
          </cell>
          <cell r="E110" t="str">
            <v>00521187222</v>
          </cell>
          <cell r="F110" t="str">
            <v>30830212325455</v>
          </cell>
          <cell r="G110" t="str">
            <v>Mercedes Benz</v>
          </cell>
          <cell r="H110" t="str">
            <v>608 D</v>
          </cell>
          <cell r="I110" t="str">
            <v>-</v>
          </cell>
          <cell r="J110" t="str">
            <v>-</v>
          </cell>
          <cell r="K110" t="str">
            <v>-</v>
          </cell>
          <cell r="L110" t="str">
            <v>Diesel</v>
          </cell>
          <cell r="M110" t="str">
            <v>Azul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Vendido</v>
          </cell>
          <cell r="R110" t="str">
            <v>Venda com contrato - I-004 - assinado em 07/11/2018 - Pagamento: Cheques + Veículo AVJ4561</v>
          </cell>
          <cell r="S110" t="str">
            <v>-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-</v>
          </cell>
          <cell r="Z110" t="str">
            <v>-</v>
          </cell>
          <cell r="AA110" t="str">
            <v>-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 t="str">
            <v>não precisa seguro - venda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Sem reserVA</v>
          </cell>
          <cell r="AL110" t="str">
            <v>SEM NF</v>
          </cell>
          <cell r="AM110" t="str">
            <v>Não informada</v>
          </cell>
          <cell r="AN110" t="str">
            <v>Não encontrado</v>
          </cell>
          <cell r="AO110" t="str">
            <v>MAURICIO FERREIRA BARBOSA</v>
          </cell>
          <cell r="AP110">
            <v>43411</v>
          </cell>
          <cell r="AQ110" t="str">
            <v>Sem NF</v>
          </cell>
          <cell r="AR110">
            <v>19000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>-</v>
          </cell>
        </row>
        <row r="111">
          <cell r="D111" t="str">
            <v>AMM1344</v>
          </cell>
          <cell r="E111" t="str">
            <v>00847483363</v>
          </cell>
          <cell r="F111" t="str">
            <v>9EP07143051001784</v>
          </cell>
          <cell r="G111" t="str">
            <v>NOMA</v>
          </cell>
          <cell r="H111" t="str">
            <v>SR/Noma SR3E27 CG</v>
          </cell>
          <cell r="I111" t="str">
            <v>-</v>
          </cell>
          <cell r="J111" t="str">
            <v>-</v>
          </cell>
          <cell r="K111" t="str">
            <v>Reboque</v>
          </cell>
          <cell r="L111" t="str">
            <v>-</v>
          </cell>
          <cell r="M111" t="str">
            <v>Branca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Vendido</v>
          </cell>
          <cell r="R111" t="str">
            <v>Vendido para Juliano - Vendido JCD Transportes em 23/11/2017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 t="str">
            <v>-</v>
          </cell>
          <cell r="Z111" t="str">
            <v>-</v>
          </cell>
          <cell r="AA111" t="str">
            <v>-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 t="str">
            <v>-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Sem reserVA</v>
          </cell>
          <cell r="AL111">
            <v>3947</v>
          </cell>
          <cell r="AM111" t="str">
            <v>-</v>
          </cell>
          <cell r="AN111" t="str">
            <v>-</v>
          </cell>
          <cell r="AO111" t="str">
            <v>-</v>
          </cell>
          <cell r="AP111" t="str">
            <v>-</v>
          </cell>
          <cell r="AQ111" t="str">
            <v>-</v>
          </cell>
          <cell r="AR111" t="str">
            <v>-</v>
          </cell>
          <cell r="AS111" t="str">
            <v>-</v>
          </cell>
          <cell r="AT111" t="str">
            <v>-</v>
          </cell>
          <cell r="AU111" t="str">
            <v>-</v>
          </cell>
          <cell r="AV111" t="str">
            <v>-</v>
          </cell>
        </row>
        <row r="112">
          <cell r="D112" t="str">
            <v>ATV8812</v>
          </cell>
          <cell r="E112" t="str">
            <v>00321833040</v>
          </cell>
          <cell r="F112" t="str">
            <v>9533B82U8BR140460</v>
          </cell>
          <cell r="G112" t="str">
            <v>Volkswagen</v>
          </cell>
          <cell r="H112" t="str">
            <v>26.260 E 6X4</v>
          </cell>
          <cell r="I112" t="str">
            <v>-</v>
          </cell>
          <cell r="J112" t="str">
            <v>-</v>
          </cell>
          <cell r="K112" t="str">
            <v>-</v>
          </cell>
          <cell r="L112" t="str">
            <v>Diesel</v>
          </cell>
          <cell r="M112" t="str">
            <v>Branca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Vendido</v>
          </cell>
          <cell r="R112" t="str">
            <v>Chacara - Vendido NF 5897 para John Kudiess por 170.000,00 (120 pd, 50 pf) - com Equipamento. Contato: Airton. Venda negociada por Ricardo.</v>
          </cell>
          <cell r="S112" t="str">
            <v>-</v>
          </cell>
          <cell r="T112" t="str">
            <v>-</v>
          </cell>
          <cell r="U112" t="str">
            <v>-</v>
          </cell>
          <cell r="V112" t="str">
            <v>CWR-0021</v>
          </cell>
          <cell r="W112" t="str">
            <v>-</v>
          </cell>
          <cell r="X112" t="str">
            <v>-</v>
          </cell>
          <cell r="Y112" t="str">
            <v>-</v>
          </cell>
          <cell r="Z112">
            <v>43146</v>
          </cell>
          <cell r="AA112" t="str">
            <v>ok</v>
          </cell>
          <cell r="AB112" t="str">
            <v>ok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 t="str">
            <v>HDI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Sem reserVA</v>
          </cell>
          <cell r="AL112">
            <v>33004</v>
          </cell>
          <cell r="AM112">
            <v>42240</v>
          </cell>
          <cell r="AN112">
            <v>85000</v>
          </cell>
          <cell r="AO112" t="str">
            <v>OURO VERDE Locação e SERVICO S.A.</v>
          </cell>
          <cell r="AP112">
            <v>44075</v>
          </cell>
          <cell r="AQ112">
            <v>5897</v>
          </cell>
          <cell r="AR112">
            <v>80000</v>
          </cell>
          <cell r="AS112" t="str">
            <v>-</v>
          </cell>
          <cell r="AT112" t="str">
            <v>-</v>
          </cell>
          <cell r="AU112" t="str">
            <v>-</v>
          </cell>
          <cell r="AV112" t="str">
            <v>-</v>
          </cell>
        </row>
        <row r="113">
          <cell r="D113" t="str">
            <v>ATV8816</v>
          </cell>
          <cell r="E113" t="str">
            <v>00321834984</v>
          </cell>
          <cell r="F113" t="str">
            <v>9533b82uobr139965</v>
          </cell>
          <cell r="G113" t="str">
            <v>Volkswagen</v>
          </cell>
          <cell r="H113" t="str">
            <v>26.260 E 6X4</v>
          </cell>
          <cell r="I113" t="str">
            <v>-</v>
          </cell>
          <cell r="J113" t="str">
            <v>-</v>
          </cell>
          <cell r="K113" t="str">
            <v>-</v>
          </cell>
          <cell r="L113" t="str">
            <v>Diesel</v>
          </cell>
          <cell r="M113" t="str">
            <v>Branca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Vendido</v>
          </cell>
          <cell r="R113" t="str">
            <v>Chacara - Vendido NF 6020 para John Kudiess por 170.000,00 (120 pd, 50 pf) - com Equipamento. Contato: Airton. Venda negociada por Ricardo.</v>
          </cell>
          <cell r="S113" t="str">
            <v>-</v>
          </cell>
          <cell r="T113" t="str">
            <v>-</v>
          </cell>
          <cell r="U113" t="str">
            <v>-</v>
          </cell>
          <cell r="V113" t="str">
            <v>CWR-0022</v>
          </cell>
          <cell r="W113" t="str">
            <v>-</v>
          </cell>
          <cell r="X113" t="str">
            <v>-</v>
          </cell>
          <cell r="Y113" t="str">
            <v>-</v>
          </cell>
          <cell r="Z113">
            <v>43132</v>
          </cell>
          <cell r="AA113" t="str">
            <v>ok</v>
          </cell>
          <cell r="AB113" t="str">
            <v>ok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 t="str">
            <v>HDI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Sem reserVA</v>
          </cell>
          <cell r="AL113">
            <v>33003</v>
          </cell>
          <cell r="AM113">
            <v>42240</v>
          </cell>
          <cell r="AN113">
            <v>85000</v>
          </cell>
          <cell r="AO113" t="str">
            <v>OURO VERDE Locação e SERVICO S.A.</v>
          </cell>
          <cell r="AP113">
            <v>44112</v>
          </cell>
          <cell r="AQ113">
            <v>6020</v>
          </cell>
          <cell r="AR113">
            <v>80000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>-</v>
          </cell>
        </row>
        <row r="114">
          <cell r="D114" t="str">
            <v>AYT3519</v>
          </cell>
          <cell r="E114" t="str">
            <v>01017215100</v>
          </cell>
          <cell r="F114" t="str">
            <v>9BFYEB5J3EB560539</v>
          </cell>
          <cell r="G114" t="str">
            <v>Ford</v>
          </cell>
          <cell r="H114" t="str">
            <v>Cargo 1933</v>
          </cell>
          <cell r="I114">
            <v>2014</v>
          </cell>
          <cell r="J114">
            <v>2014</v>
          </cell>
          <cell r="K114" t="str">
            <v>Caminhão / Rollon Rolloff</v>
          </cell>
          <cell r="L114" t="str">
            <v>Diesel</v>
          </cell>
          <cell r="M114" t="str">
            <v>Branca</v>
          </cell>
          <cell r="N114" t="str">
            <v>Maringá</v>
          </cell>
          <cell r="O114" t="str">
            <v>1.2.3.4</v>
          </cell>
          <cell r="P114" t="str">
            <v>-</v>
          </cell>
          <cell r="Q114" t="str">
            <v>Vendido</v>
          </cell>
          <cell r="R114" t="str">
            <v>Oficina</v>
          </cell>
          <cell r="S114" t="str">
            <v>-</v>
          </cell>
          <cell r="T114" t="str">
            <v>Sagi</v>
          </cell>
          <cell r="U114" t="str">
            <v>Ok</v>
          </cell>
          <cell r="V114" t="str">
            <v>-</v>
          </cell>
          <cell r="W114" t="str">
            <v>Ativo</v>
          </cell>
          <cell r="X114" t="str">
            <v>Ativo</v>
          </cell>
          <cell r="Y114" t="str">
            <v>AYT-3519</v>
          </cell>
          <cell r="Z114">
            <v>43145</v>
          </cell>
          <cell r="AA114" t="str">
            <v>ok</v>
          </cell>
          <cell r="AB114" t="str">
            <v>ok</v>
          </cell>
          <cell r="AC114" t="str">
            <v>-</v>
          </cell>
          <cell r="AD114" t="str">
            <v>-</v>
          </cell>
          <cell r="AE114" t="str">
            <v>Possui</v>
          </cell>
          <cell r="AF114" t="str">
            <v>Não possui</v>
          </cell>
          <cell r="AG114" t="str">
            <v>HDI</v>
          </cell>
          <cell r="AH114" t="str">
            <v>ok, 19/12</v>
          </cell>
          <cell r="AI114" t="str">
            <v>OK</v>
          </cell>
          <cell r="AJ114" t="str">
            <v>VENCIMENTO 08-02-24</v>
          </cell>
          <cell r="AK114" t="str">
            <v>-</v>
          </cell>
          <cell r="AL114">
            <v>5842</v>
          </cell>
          <cell r="AM114">
            <v>44056</v>
          </cell>
          <cell r="AN114">
            <v>80000</v>
          </cell>
          <cell r="AO114" t="str">
            <v>REPUBLICA DA SUCATA - Comércio de SUCATAS Ltda ME</v>
          </cell>
          <cell r="AP114">
            <v>45558</v>
          </cell>
          <cell r="AQ114" t="str">
            <v>-</v>
          </cell>
          <cell r="AR114">
            <v>235000</v>
          </cell>
          <cell r="AS114" t="str">
            <v>-</v>
          </cell>
          <cell r="AT114" t="str">
            <v>-</v>
          </cell>
          <cell r="AU114" t="str">
            <v>-</v>
          </cell>
          <cell r="AV114" t="str">
            <v>-</v>
          </cell>
        </row>
        <row r="115">
          <cell r="D115" t="str">
            <v>AYK8072</v>
          </cell>
          <cell r="E115" t="str">
            <v>01010456935</v>
          </cell>
          <cell r="F115" t="str">
            <v>WV1DB22H6EA038379</v>
          </cell>
          <cell r="G115" t="str">
            <v>Volkswagen</v>
          </cell>
          <cell r="H115" t="str">
            <v>Amarok CD 4X4 Righ</v>
          </cell>
          <cell r="I115" t="str">
            <v>-</v>
          </cell>
          <cell r="J115" t="str">
            <v>-</v>
          </cell>
          <cell r="K115" t="str">
            <v>-</v>
          </cell>
          <cell r="L115" t="str">
            <v>Diesel</v>
          </cell>
          <cell r="M115" t="str">
            <v>Preta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Vendido</v>
          </cell>
          <cell r="R115" t="str">
            <v>Renato - Vendido para Dauto da Implan em 03/08/2018 - email da Thayane - troca com maquina de telhas - nf 70 de 13/08/2018 - AS de Castro Construtora</v>
          </cell>
          <cell r="S115" t="str">
            <v>-</v>
          </cell>
          <cell r="T115" t="str">
            <v>-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 t="str">
            <v>-</v>
          </cell>
          <cell r="Z115">
            <v>43152</v>
          </cell>
          <cell r="AA115" t="str">
            <v>ok</v>
          </cell>
          <cell r="AB115" t="str">
            <v>ok</v>
          </cell>
          <cell r="AC115" t="str">
            <v>-</v>
          </cell>
          <cell r="AD115" t="str">
            <v>-</v>
          </cell>
          <cell r="AE115" t="str">
            <v>GXS - CLassico 915 PJ</v>
          </cell>
          <cell r="AF115" t="str">
            <v>Alelo</v>
          </cell>
          <cell r="AG115" t="str">
            <v>-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Sem reserVA</v>
          </cell>
          <cell r="AL115">
            <v>350203</v>
          </cell>
          <cell r="AM115">
            <v>41786</v>
          </cell>
          <cell r="AN115">
            <v>139258.63</v>
          </cell>
          <cell r="AO115" t="str">
            <v>Volkswagen do BRASIL INDUSTRIA de VEÍCULOS AUTOMOTORES Ltda</v>
          </cell>
          <cell r="AP115">
            <v>43508</v>
          </cell>
          <cell r="AQ115">
            <v>29840</v>
          </cell>
          <cell r="AR115">
            <v>90000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>-</v>
          </cell>
        </row>
        <row r="116">
          <cell r="D116" t="str">
            <v>AZP1682</v>
          </cell>
          <cell r="E116" t="str">
            <v>01048803721</v>
          </cell>
          <cell r="F116" t="str">
            <v>9BD17144ZF7540544</v>
          </cell>
          <cell r="G116" t="str">
            <v>Fiat</v>
          </cell>
          <cell r="H116" t="str">
            <v>Palio Fire Way</v>
          </cell>
          <cell r="I116" t="str">
            <v>-</v>
          </cell>
          <cell r="J116" t="str">
            <v>-</v>
          </cell>
          <cell r="K116" t="str">
            <v>-</v>
          </cell>
          <cell r="L116" t="str">
            <v>Flex</v>
          </cell>
          <cell r="M116" t="str">
            <v>Branca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Vendido</v>
          </cell>
          <cell r="R116" t="str">
            <v>Maringa - Elcio - Sinistro ressarcido pela HDI Seguros - 20/9/19</v>
          </cell>
          <cell r="S116" t="str">
            <v>-</v>
          </cell>
          <cell r="T116" t="str">
            <v>-</v>
          </cell>
          <cell r="U116" t="str">
            <v>-</v>
          </cell>
          <cell r="V116" t="str">
            <v>-</v>
          </cell>
          <cell r="W116" t="str">
            <v>A3</v>
          </cell>
          <cell r="X116" t="str">
            <v>-</v>
          </cell>
          <cell r="Y116" t="str">
            <v>-</v>
          </cell>
          <cell r="Z116">
            <v>43152</v>
          </cell>
          <cell r="AA116" t="str">
            <v>ok</v>
          </cell>
          <cell r="AB116" t="str">
            <v>ok</v>
          </cell>
          <cell r="AC116" t="str">
            <v>-</v>
          </cell>
          <cell r="AD116" t="str">
            <v>-</v>
          </cell>
          <cell r="AE116" t="str">
            <v>GXS - CLassico 915 PJ</v>
          </cell>
          <cell r="AF116" t="str">
            <v>Alelo</v>
          </cell>
          <cell r="AG116" t="str">
            <v>HDI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Sem reserVA</v>
          </cell>
          <cell r="AL116" t="str">
            <v>-</v>
          </cell>
          <cell r="AM116" t="str">
            <v>-</v>
          </cell>
          <cell r="AN116" t="str">
            <v>-</v>
          </cell>
          <cell r="AO116" t="str">
            <v>-</v>
          </cell>
          <cell r="AP116">
            <v>43724</v>
          </cell>
          <cell r="AQ116">
            <v>33741</v>
          </cell>
          <cell r="AR116">
            <v>27444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>-</v>
          </cell>
        </row>
        <row r="117">
          <cell r="D117" t="str">
            <v>BAP0328</v>
          </cell>
          <cell r="E117" t="str">
            <v>01090068481</v>
          </cell>
          <cell r="F117" t="str">
            <v>9A9A02710G0BE7191</v>
          </cell>
          <cell r="G117" t="str">
            <v>Angola</v>
          </cell>
          <cell r="H117" t="str">
            <v>Reboque Angola Awa</v>
          </cell>
          <cell r="I117" t="str">
            <v>-</v>
          </cell>
          <cell r="J117" t="str">
            <v>-</v>
          </cell>
          <cell r="K117" t="str">
            <v>Carreta (Jet Ski)</v>
          </cell>
          <cell r="L117" t="str">
            <v>-</v>
          </cell>
          <cell r="M117" t="str">
            <v>Preta</v>
          </cell>
          <cell r="N117" t="str">
            <v>-</v>
          </cell>
          <cell r="O117" t="str">
            <v>-</v>
          </cell>
          <cell r="P117" t="str">
            <v>-</v>
          </cell>
          <cell r="Q117" t="str">
            <v>Vendido</v>
          </cell>
          <cell r="R117" t="str">
            <v>E do Renato passado em 21/02/2018 - Vendido para Cesar Augusto Bodan, junto com JetSki, e-mail Thayane 12/09/2019, 3.500,00 - Total da venda 56.000,00</v>
          </cell>
          <cell r="S117" t="str">
            <v>-</v>
          </cell>
          <cell r="T117" t="str">
            <v>-</v>
          </cell>
          <cell r="U117" t="str">
            <v>-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-</v>
          </cell>
          <cell r="Z117">
            <v>43164</v>
          </cell>
          <cell r="AA117" t="str">
            <v>ok</v>
          </cell>
          <cell r="AB117" t="str">
            <v>ok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 t="str">
            <v>-</v>
          </cell>
          <cell r="AH117" t="str">
            <v>Não possui</v>
          </cell>
          <cell r="AI117" t="str">
            <v>-</v>
          </cell>
          <cell r="AJ117" t="str">
            <v>-</v>
          </cell>
          <cell r="AK117" t="str">
            <v>Sem reserVA</v>
          </cell>
          <cell r="AL117">
            <v>3973</v>
          </cell>
          <cell r="AM117">
            <v>42544</v>
          </cell>
          <cell r="AN117">
            <v>2500</v>
          </cell>
          <cell r="AO117" t="str">
            <v>HAMILTON JOAO GONÇALVEZ AFONSO (ANGOLA)</v>
          </cell>
          <cell r="AP117">
            <v>43720</v>
          </cell>
          <cell r="AQ117">
            <v>33680</v>
          </cell>
          <cell r="AR117">
            <v>3500</v>
          </cell>
          <cell r="AS117" t="str">
            <v>-</v>
          </cell>
          <cell r="AT117" t="str">
            <v>-</v>
          </cell>
          <cell r="AU117" t="str">
            <v>-</v>
          </cell>
          <cell r="AV117" t="str">
            <v>-</v>
          </cell>
        </row>
        <row r="118">
          <cell r="D118" t="str">
            <v>BPZ6659</v>
          </cell>
          <cell r="E118" t="str">
            <v>??</v>
          </cell>
          <cell r="F118" t="str">
            <v>34500312258126</v>
          </cell>
          <cell r="G118" t="str">
            <v>Mercedes Benz</v>
          </cell>
          <cell r="H118" t="str">
            <v>L 1313 4X2</v>
          </cell>
          <cell r="I118" t="str">
            <v>-</v>
          </cell>
          <cell r="J118" t="str">
            <v>-</v>
          </cell>
          <cell r="K118" t="str">
            <v>-</v>
          </cell>
          <cell r="L118" t="str">
            <v>Diesel</v>
          </cell>
          <cell r="M118" t="str">
            <v>-</v>
          </cell>
          <cell r="N118" t="str">
            <v>-</v>
          </cell>
          <cell r="O118" t="str">
            <v>-</v>
          </cell>
          <cell r="P118" t="str">
            <v>-</v>
          </cell>
          <cell r="Q118" t="str">
            <v>Vendido</v>
          </cell>
          <cell r="R118" t="str">
            <v>Não ACho nada!! (Thay, 6/1/21) - So tem a proposta de endosso - Camile disse que não chegou ainda e ACredita que seja o Onibus</v>
          </cell>
          <cell r="S118" t="str">
            <v>-</v>
          </cell>
          <cell r="T118" t="str">
            <v>-</v>
          </cell>
          <cell r="U118" t="str">
            <v>-</v>
          </cell>
          <cell r="V118" t="str">
            <v>-</v>
          </cell>
          <cell r="W118" t="str">
            <v>-</v>
          </cell>
          <cell r="X118" t="str">
            <v>-</v>
          </cell>
          <cell r="Y118" t="str">
            <v>-</v>
          </cell>
          <cell r="Z118" t="str">
            <v>-</v>
          </cell>
          <cell r="AA118" t="str">
            <v>ok</v>
          </cell>
          <cell r="AB118" t="str">
            <v>ok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 t="str">
            <v>-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 t="str">
            <v>Vendido para Roger</v>
          </cell>
          <cell r="AN118" t="str">
            <v>-</v>
          </cell>
          <cell r="AO118" t="str">
            <v>-</v>
          </cell>
          <cell r="AP118" t="str">
            <v>-</v>
          </cell>
          <cell r="AQ118" t="str">
            <v>-</v>
          </cell>
          <cell r="AR118" t="str">
            <v>-</v>
          </cell>
          <cell r="AS118" t="str">
            <v>-</v>
          </cell>
          <cell r="AT118" t="str">
            <v>-</v>
          </cell>
          <cell r="AU118" t="str">
            <v>-</v>
          </cell>
          <cell r="AV118" t="str">
            <v>-</v>
          </cell>
        </row>
        <row r="119">
          <cell r="D119" t="str">
            <v>BQQ8921</v>
          </cell>
          <cell r="E119" t="str">
            <v>00428503713</v>
          </cell>
          <cell r="F119" t="str">
            <v>9BFXTNDP7LDB19017</v>
          </cell>
          <cell r="G119" t="str">
            <v>Ford</v>
          </cell>
          <cell r="H119" t="str">
            <v>Cargo 1419 T</v>
          </cell>
          <cell r="I119" t="str">
            <v>-</v>
          </cell>
          <cell r="J119" t="str">
            <v>-</v>
          </cell>
          <cell r="K119" t="str">
            <v>-</v>
          </cell>
          <cell r="L119" t="str">
            <v>Diesel</v>
          </cell>
          <cell r="M119" t="str">
            <v>Branca</v>
          </cell>
          <cell r="N119" t="str">
            <v>-</v>
          </cell>
          <cell r="O119" t="str">
            <v>-</v>
          </cell>
          <cell r="P119" t="str">
            <v>-</v>
          </cell>
          <cell r="Q119" t="str">
            <v>Vendido</v>
          </cell>
          <cell r="R119" t="str">
            <v>Distrito - Vendido para Ricardo Spigaroli. NF 6287 - E-mail Thayane 25/11/20</v>
          </cell>
          <cell r="S119" t="str">
            <v>-</v>
          </cell>
          <cell r="T119" t="str">
            <v>-</v>
          </cell>
          <cell r="U119" t="str">
            <v>-</v>
          </cell>
          <cell r="V119" t="str">
            <v>CFM-0001</v>
          </cell>
          <cell r="W119" t="str">
            <v>Não possui</v>
          </cell>
          <cell r="X119" t="str">
            <v>-</v>
          </cell>
          <cell r="Y119" t="str">
            <v>-</v>
          </cell>
          <cell r="Z119">
            <v>43137</v>
          </cell>
          <cell r="AA119" t="str">
            <v>ok</v>
          </cell>
          <cell r="AB119" t="str">
            <v>ok</v>
          </cell>
          <cell r="AC119" t="str">
            <v>-</v>
          </cell>
          <cell r="AD119" t="str">
            <v>-</v>
          </cell>
          <cell r="AE119" t="str">
            <v>Não tem</v>
          </cell>
          <cell r="AF119" t="str">
            <v>-</v>
          </cell>
          <cell r="AG119" t="str">
            <v>não precisa de seguro - velho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Sem reserVA</v>
          </cell>
          <cell r="AL119" t="str">
            <v>Recibo</v>
          </cell>
          <cell r="AM119">
            <v>43832</v>
          </cell>
          <cell r="AN119">
            <v>40000</v>
          </cell>
          <cell r="AO119" t="str">
            <v>REPUBLICA DA SUCATA Ltda</v>
          </cell>
          <cell r="AP119">
            <v>44160</v>
          </cell>
          <cell r="AQ119">
            <v>6287</v>
          </cell>
          <cell r="AR119">
            <v>16800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>-</v>
          </cell>
        </row>
        <row r="120">
          <cell r="D120" t="str">
            <v>BXJ2710</v>
          </cell>
          <cell r="E120" t="str">
            <v>00387944761</v>
          </cell>
          <cell r="F120" t="str">
            <v>34540812657324</v>
          </cell>
          <cell r="G120" t="str">
            <v>Mercedes Benz</v>
          </cell>
          <cell r="H120" t="str">
            <v>L 2013 6X2</v>
          </cell>
          <cell r="I120" t="str">
            <v>-</v>
          </cell>
          <cell r="J120" t="str">
            <v>-</v>
          </cell>
          <cell r="K120" t="str">
            <v>-</v>
          </cell>
          <cell r="L120" t="str">
            <v>Diesel</v>
          </cell>
          <cell r="M120" t="str">
            <v>Amarela</v>
          </cell>
          <cell r="N120" t="str">
            <v>-</v>
          </cell>
          <cell r="O120" t="str">
            <v>-</v>
          </cell>
          <cell r="P120" t="str">
            <v>-</v>
          </cell>
          <cell r="Q120" t="str">
            <v>Vendido</v>
          </cell>
          <cell r="R120" t="str">
            <v>Chacara - Ta na chacara - Rol on amarelo. Vendido por 120mil, intermediação Ricardo, CLiente de Venceslau (não possuimos os dados). Data para retirada 05/07/2021.</v>
          </cell>
          <cell r="S120" t="str">
            <v>-</v>
          </cell>
          <cell r="T120" t="str">
            <v>-</v>
          </cell>
          <cell r="U120" t="str">
            <v>-</v>
          </cell>
          <cell r="V120" t="str">
            <v>-</v>
          </cell>
          <cell r="W120" t="str">
            <v>-</v>
          </cell>
          <cell r="X120" t="str">
            <v>Não</v>
          </cell>
          <cell r="Y120" t="str">
            <v>-</v>
          </cell>
          <cell r="Z120">
            <v>43139</v>
          </cell>
          <cell r="AA120" t="str">
            <v>ok</v>
          </cell>
          <cell r="AB120" t="str">
            <v>ok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 t="str">
            <v>Não precisa</v>
          </cell>
          <cell r="AH120" t="str">
            <v xml:space="preserve">                                   </v>
          </cell>
          <cell r="AI120" t="str">
            <v>-</v>
          </cell>
          <cell r="AJ120" t="str">
            <v>-</v>
          </cell>
          <cell r="AK120" t="str">
            <v>-</v>
          </cell>
          <cell r="AL120">
            <v>4038</v>
          </cell>
          <cell r="AM120">
            <v>43007</v>
          </cell>
          <cell r="AN120">
            <v>30000</v>
          </cell>
          <cell r="AO120" t="str">
            <v>JAQUELINE VASCO de OLIVEIRA</v>
          </cell>
          <cell r="AP120">
            <v>44420</v>
          </cell>
          <cell r="AQ120" t="str">
            <v>000.000.003</v>
          </cell>
          <cell r="AR120">
            <v>100000</v>
          </cell>
          <cell r="AS120" t="str">
            <v>-</v>
          </cell>
          <cell r="AT120" t="str">
            <v>-</v>
          </cell>
          <cell r="AU120" t="str">
            <v>-</v>
          </cell>
          <cell r="AV120" t="str">
            <v>-</v>
          </cell>
        </row>
        <row r="121">
          <cell r="D121" t="str">
            <v>BWG6048</v>
          </cell>
          <cell r="E121" t="str">
            <v>-</v>
          </cell>
          <cell r="F121" t="str">
            <v>34403212069868</v>
          </cell>
          <cell r="G121" t="str">
            <v>Mercedes Benz</v>
          </cell>
          <cell r="H121" t="str">
            <v>L 1113 4X2</v>
          </cell>
          <cell r="I121" t="str">
            <v>-</v>
          </cell>
          <cell r="J121" t="str">
            <v>-</v>
          </cell>
          <cell r="K121" t="str">
            <v>-</v>
          </cell>
          <cell r="L121" t="str">
            <v>Diesel</v>
          </cell>
          <cell r="M121" t="str">
            <v>-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Vendido</v>
          </cell>
          <cell r="R121" t="str">
            <v>So tem a proposta de endosso - Camile disse que não chegou ainda e ACredita que seja o Onibus</v>
          </cell>
          <cell r="S121" t="str">
            <v>-</v>
          </cell>
          <cell r="T121" t="str">
            <v>-</v>
          </cell>
          <cell r="U121" t="str">
            <v>-</v>
          </cell>
          <cell r="V121" t="str">
            <v>-</v>
          </cell>
          <cell r="W121" t="str">
            <v>-</v>
          </cell>
          <cell r="X121" t="str">
            <v>-</v>
          </cell>
          <cell r="Y121" t="str">
            <v>-</v>
          </cell>
          <cell r="Z121" t="str">
            <v>-</v>
          </cell>
          <cell r="AA121" t="str">
            <v>-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 t="str">
            <v>-</v>
          </cell>
          <cell r="AH121" t="str">
            <v>-</v>
          </cell>
          <cell r="AI121" t="str">
            <v>-</v>
          </cell>
          <cell r="AJ121" t="str">
            <v>-</v>
          </cell>
          <cell r="AK121" t="str">
            <v>Sem reserVA</v>
          </cell>
          <cell r="AL121" t="str">
            <v>??</v>
          </cell>
          <cell r="AM121" t="str">
            <v>??</v>
          </cell>
          <cell r="AN121" t="str">
            <v>??</v>
          </cell>
          <cell r="AO121" t="str">
            <v>Vendido Junior/Guapore</v>
          </cell>
          <cell r="AP121" t="str">
            <v>??</v>
          </cell>
          <cell r="AQ121" t="str">
            <v>??</v>
          </cell>
          <cell r="AR121" t="str">
            <v>??</v>
          </cell>
          <cell r="AS121" t="str">
            <v>-</v>
          </cell>
          <cell r="AT121" t="str">
            <v>-</v>
          </cell>
          <cell r="AU121" t="str">
            <v>-</v>
          </cell>
          <cell r="AV121" t="str">
            <v>-</v>
          </cell>
        </row>
        <row r="122">
          <cell r="D122" t="str">
            <v>BWM6841</v>
          </cell>
          <cell r="E122" t="str">
            <v>00380810352</v>
          </cell>
          <cell r="F122" t="str">
            <v>34400714048013</v>
          </cell>
          <cell r="G122" t="str">
            <v>Mercedes Benz</v>
          </cell>
          <cell r="H122" t="str">
            <v>L 1113</v>
          </cell>
          <cell r="I122" t="str">
            <v>-</v>
          </cell>
          <cell r="J122" t="str">
            <v>-</v>
          </cell>
          <cell r="K122" t="str">
            <v>Reboque</v>
          </cell>
          <cell r="L122" t="str">
            <v>Diesel</v>
          </cell>
          <cell r="M122" t="str">
            <v>Azul</v>
          </cell>
          <cell r="N122" t="str">
            <v>-</v>
          </cell>
          <cell r="O122" t="str">
            <v>-</v>
          </cell>
          <cell r="P122" t="str">
            <v>-</v>
          </cell>
          <cell r="Q122" t="str">
            <v>Vendido</v>
          </cell>
          <cell r="R122" t="str">
            <v>Mercedes Ricardo - Vendido para valdirene dos Santos email 23/03/2018</v>
          </cell>
          <cell r="S122" t="str">
            <v>-</v>
          </cell>
          <cell r="T122" t="str">
            <v>-</v>
          </cell>
          <cell r="U122" t="str">
            <v>-</v>
          </cell>
          <cell r="V122" t="str">
            <v>-</v>
          </cell>
          <cell r="W122" t="str">
            <v>-</v>
          </cell>
          <cell r="X122" t="str">
            <v>-</v>
          </cell>
          <cell r="Y122" t="str">
            <v>-</v>
          </cell>
          <cell r="Z122" t="str">
            <v>-</v>
          </cell>
          <cell r="AA122" t="str">
            <v>-</v>
          </cell>
          <cell r="AB122" t="str">
            <v>-</v>
          </cell>
          <cell r="AC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 t="str">
            <v>-</v>
          </cell>
          <cell r="AH122" t="str">
            <v>-</v>
          </cell>
          <cell r="AI122" t="str">
            <v>-</v>
          </cell>
          <cell r="AJ122" t="str">
            <v>-</v>
          </cell>
          <cell r="AK122" t="str">
            <v>Sem reserVA</v>
          </cell>
          <cell r="AL122" t="str">
            <v>SEM NF</v>
          </cell>
          <cell r="AM122" t="str">
            <v>Não informada</v>
          </cell>
          <cell r="AN122" t="str">
            <v>Não encontrado</v>
          </cell>
          <cell r="AO122" t="str">
            <v>Não encontrado</v>
          </cell>
          <cell r="AP122">
            <v>43182</v>
          </cell>
          <cell r="AQ122">
            <v>4755</v>
          </cell>
          <cell r="AR122">
            <v>30000</v>
          </cell>
          <cell r="AS122" t="str">
            <v>-</v>
          </cell>
          <cell r="AT122" t="str">
            <v>-</v>
          </cell>
          <cell r="AU122" t="str">
            <v>-</v>
          </cell>
          <cell r="AV122" t="str">
            <v>-</v>
          </cell>
        </row>
        <row r="123">
          <cell r="D123" t="str">
            <v>CKJ4925</v>
          </cell>
          <cell r="E123" t="str">
            <v>-</v>
          </cell>
          <cell r="F123" t="str">
            <v>-</v>
          </cell>
          <cell r="G123" t="str">
            <v>-</v>
          </cell>
          <cell r="H123" t="str">
            <v>-</v>
          </cell>
          <cell r="I123" t="str">
            <v>-</v>
          </cell>
          <cell r="J123" t="str">
            <v>-</v>
          </cell>
          <cell r="K123" t="str">
            <v>-</v>
          </cell>
          <cell r="L123" t="str">
            <v>-</v>
          </cell>
          <cell r="M123" t="str">
            <v>-</v>
          </cell>
          <cell r="N123" t="str">
            <v>-</v>
          </cell>
          <cell r="O123" t="str">
            <v>-</v>
          </cell>
          <cell r="P123" t="str">
            <v>-</v>
          </cell>
          <cell r="Q123" t="str">
            <v>Vendido</v>
          </cell>
          <cell r="R123" t="str">
            <v>Vendido por 25mil, para Edivande Nogueira Xavier ME, 26.09.2016 - NF 3.385</v>
          </cell>
          <cell r="S123" t="str">
            <v>-</v>
          </cell>
          <cell r="T123" t="str">
            <v>-</v>
          </cell>
          <cell r="U123" t="str">
            <v>-</v>
          </cell>
          <cell r="V123" t="str">
            <v>-</v>
          </cell>
          <cell r="W123" t="str">
            <v>-</v>
          </cell>
          <cell r="X123" t="str">
            <v>-</v>
          </cell>
          <cell r="Y123" t="str">
            <v>-</v>
          </cell>
          <cell r="Z123" t="str">
            <v>-</v>
          </cell>
          <cell r="AA123" t="str">
            <v>-</v>
          </cell>
          <cell r="AB123" t="str">
            <v>-</v>
          </cell>
          <cell r="AC123" t="str">
            <v>-</v>
          </cell>
          <cell r="AD123" t="str">
            <v>-</v>
          </cell>
          <cell r="AE123" t="str">
            <v>-</v>
          </cell>
          <cell r="AF123" t="str">
            <v>-</v>
          </cell>
          <cell r="AG123" t="str">
            <v>-</v>
          </cell>
          <cell r="AH123" t="str">
            <v>Não possui</v>
          </cell>
          <cell r="AI123" t="str">
            <v>-</v>
          </cell>
          <cell r="AJ123" t="str">
            <v>-</v>
          </cell>
          <cell r="AK123" t="str">
            <v>-</v>
          </cell>
          <cell r="AL123" t="str">
            <v>-</v>
          </cell>
          <cell r="AM123" t="str">
            <v>-</v>
          </cell>
          <cell r="AN123" t="str">
            <v>-</v>
          </cell>
          <cell r="AO123" t="str">
            <v>-</v>
          </cell>
          <cell r="AP123" t="str">
            <v>-</v>
          </cell>
          <cell r="AQ123" t="str">
            <v>-</v>
          </cell>
          <cell r="AR123" t="str">
            <v>-</v>
          </cell>
          <cell r="AS123" t="str">
            <v>-</v>
          </cell>
          <cell r="AT123" t="str">
            <v>-</v>
          </cell>
          <cell r="AU123" t="str">
            <v>-</v>
          </cell>
          <cell r="AV123" t="str">
            <v>-</v>
          </cell>
        </row>
        <row r="124">
          <cell r="D124" t="str">
            <v>CPF4660</v>
          </cell>
          <cell r="E124" t="str">
            <v>-</v>
          </cell>
          <cell r="F124" t="str">
            <v>-</v>
          </cell>
          <cell r="G124" t="str">
            <v>-</v>
          </cell>
          <cell r="H124" t="str">
            <v>-</v>
          </cell>
          <cell r="I124" t="str">
            <v>-</v>
          </cell>
          <cell r="J124" t="str">
            <v>-</v>
          </cell>
          <cell r="K124" t="str">
            <v>-</v>
          </cell>
          <cell r="L124" t="str">
            <v>-</v>
          </cell>
          <cell r="M124" t="str">
            <v>-</v>
          </cell>
          <cell r="N124" t="str">
            <v>-</v>
          </cell>
          <cell r="O124" t="str">
            <v>-</v>
          </cell>
          <cell r="P124" t="str">
            <v>-</v>
          </cell>
          <cell r="Q124" t="str">
            <v>Vendido</v>
          </cell>
          <cell r="R124" t="str">
            <v>Vendido por 20mil, para Edivande Nogueira Xavier, 30.09.2016</v>
          </cell>
          <cell r="S124" t="str">
            <v>-</v>
          </cell>
          <cell r="T124" t="str">
            <v>-</v>
          </cell>
          <cell r="U124" t="str">
            <v>-</v>
          </cell>
          <cell r="V124" t="str">
            <v>-</v>
          </cell>
          <cell r="W124" t="str">
            <v>-</v>
          </cell>
          <cell r="X124" t="str">
            <v>-</v>
          </cell>
          <cell r="Y124" t="str">
            <v>-</v>
          </cell>
          <cell r="Z124" t="str">
            <v>-</v>
          </cell>
          <cell r="AA124" t="str">
            <v>-</v>
          </cell>
          <cell r="AB124" t="str">
            <v>-</v>
          </cell>
          <cell r="AC124" t="str">
            <v>-</v>
          </cell>
          <cell r="AD124" t="str">
            <v>-</v>
          </cell>
          <cell r="AE124" t="str">
            <v>-</v>
          </cell>
          <cell r="AF124" t="str">
            <v>-</v>
          </cell>
          <cell r="AG124" t="str">
            <v>-</v>
          </cell>
          <cell r="AH124" t="str">
            <v>Não possui</v>
          </cell>
          <cell r="AI124" t="str">
            <v>-</v>
          </cell>
          <cell r="AJ124" t="str">
            <v>-</v>
          </cell>
          <cell r="AK124" t="str">
            <v>-</v>
          </cell>
          <cell r="AL124" t="str">
            <v>-</v>
          </cell>
          <cell r="AM124" t="str">
            <v>-</v>
          </cell>
          <cell r="AN124" t="str">
            <v>-</v>
          </cell>
          <cell r="AO124" t="str">
            <v>-</v>
          </cell>
          <cell r="AP124" t="str">
            <v>-</v>
          </cell>
          <cell r="AQ124" t="str">
            <v>-</v>
          </cell>
          <cell r="AR124" t="str">
            <v>-</v>
          </cell>
          <cell r="AS124" t="str">
            <v>-</v>
          </cell>
          <cell r="AT124" t="str">
            <v>-</v>
          </cell>
          <cell r="AU124" t="str">
            <v>-</v>
          </cell>
          <cell r="AV124" t="str">
            <v>-</v>
          </cell>
        </row>
        <row r="125">
          <cell r="D125" t="str">
            <v>CBS5B58</v>
          </cell>
          <cell r="E125" t="str">
            <v>00670836397</v>
          </cell>
          <cell r="F125" t="str">
            <v>9BM695014VB113239</v>
          </cell>
          <cell r="G125" t="str">
            <v>Mercedes Benz</v>
          </cell>
          <cell r="H125" t="str">
            <v>L 1620</v>
          </cell>
          <cell r="I125">
            <v>1997</v>
          </cell>
          <cell r="J125">
            <v>1997</v>
          </cell>
          <cell r="K125" t="str">
            <v>Caminhão / Aberta / Mecanismo Operacional</v>
          </cell>
          <cell r="L125" t="str">
            <v>Diesel</v>
          </cell>
          <cell r="M125" t="str">
            <v>Branca</v>
          </cell>
          <cell r="N125" t="str">
            <v>Campo Grande</v>
          </cell>
          <cell r="O125" t="str">
            <v>-</v>
          </cell>
          <cell r="P125" t="str">
            <v>Para Venda</v>
          </cell>
          <cell r="Q125" t="str">
            <v>Vendido</v>
          </cell>
          <cell r="R125" t="str">
            <v>-</v>
          </cell>
          <cell r="S125" t="str">
            <v>-</v>
          </cell>
          <cell r="T125" t="str">
            <v>Sagi</v>
          </cell>
          <cell r="U125" t="str">
            <v>Ok</v>
          </cell>
          <cell r="V125" t="str">
            <v>-</v>
          </cell>
          <cell r="W125" t="str">
            <v>-</v>
          </cell>
          <cell r="X125" t="str">
            <v>Ativo</v>
          </cell>
          <cell r="Y125" t="str">
            <v>-</v>
          </cell>
          <cell r="Z125" t="str">
            <v>-</v>
          </cell>
          <cell r="AA125" t="str">
            <v>-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 t="str">
            <v>-</v>
          </cell>
          <cell r="AH125" t="str">
            <v>-</v>
          </cell>
          <cell r="AI125" t="str">
            <v>Ñ CONSTA</v>
          </cell>
          <cell r="AJ125" t="str">
            <v>VENCIMENTO 24-11-23</v>
          </cell>
          <cell r="AK125" t="str">
            <v>-</v>
          </cell>
          <cell r="AL125" t="str">
            <v>-</v>
          </cell>
          <cell r="AM125" t="str">
            <v>-</v>
          </cell>
          <cell r="AN125" t="str">
            <v>-</v>
          </cell>
          <cell r="AO125" t="str">
            <v>-</v>
          </cell>
          <cell r="AP125">
            <v>45254</v>
          </cell>
          <cell r="AQ125">
            <v>8389</v>
          </cell>
          <cell r="AR125">
            <v>60000</v>
          </cell>
          <cell r="AS125" t="str">
            <v>-</v>
          </cell>
          <cell r="AT125" t="str">
            <v>-</v>
          </cell>
          <cell r="AU125" t="str">
            <v>-</v>
          </cell>
          <cell r="AV125" t="str">
            <v>-</v>
          </cell>
        </row>
        <row r="126">
          <cell r="D126" t="str">
            <v>CYU5172</v>
          </cell>
          <cell r="E126" t="str">
            <v>-</v>
          </cell>
          <cell r="F126" t="str">
            <v>-</v>
          </cell>
          <cell r="G126" t="str">
            <v>-</v>
          </cell>
          <cell r="H126" t="str">
            <v>-</v>
          </cell>
          <cell r="I126" t="str">
            <v>-</v>
          </cell>
          <cell r="J126" t="str">
            <v>-</v>
          </cell>
          <cell r="K126" t="str">
            <v>-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Vendido</v>
          </cell>
          <cell r="R126" t="str">
            <v>Não possui informações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 t="str">
            <v>-</v>
          </cell>
          <cell r="X126" t="str">
            <v>-</v>
          </cell>
          <cell r="Y126" t="str">
            <v>-</v>
          </cell>
          <cell r="Z126" t="str">
            <v>-</v>
          </cell>
          <cell r="AA126" t="str">
            <v>-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 t="str">
            <v>-</v>
          </cell>
          <cell r="AH126" t="str">
            <v>Não possui</v>
          </cell>
          <cell r="AI126" t="str">
            <v>-</v>
          </cell>
          <cell r="AJ126" t="str">
            <v>-</v>
          </cell>
          <cell r="AK126" t="str">
            <v>-</v>
          </cell>
          <cell r="AL126" t="str">
            <v>-</v>
          </cell>
          <cell r="AM126" t="str">
            <v>-</v>
          </cell>
          <cell r="AN126" t="str">
            <v>-</v>
          </cell>
          <cell r="AO126" t="str">
            <v>-</v>
          </cell>
          <cell r="AP126" t="str">
            <v>-</v>
          </cell>
          <cell r="AQ126" t="str">
            <v>-</v>
          </cell>
          <cell r="AR126" t="str">
            <v>-</v>
          </cell>
          <cell r="AS126" t="str">
            <v>-</v>
          </cell>
          <cell r="AT126" t="str">
            <v>-</v>
          </cell>
          <cell r="AU126" t="str">
            <v>-</v>
          </cell>
          <cell r="AV126" t="str">
            <v>-</v>
          </cell>
        </row>
        <row r="127">
          <cell r="D127" t="str">
            <v>DBB3551</v>
          </cell>
          <cell r="E127" t="str">
            <v>00832936146</v>
          </cell>
          <cell r="F127" t="str">
            <v>9A9CT27224LDJ5748</v>
          </cell>
          <cell r="G127" t="str">
            <v>Librelato</v>
          </cell>
          <cell r="H127" t="str">
            <v>SR/Librelato SRCT 2E</v>
          </cell>
          <cell r="I127" t="str">
            <v>-</v>
          </cell>
          <cell r="J127" t="str">
            <v>-</v>
          </cell>
          <cell r="K127" t="str">
            <v>Reboque - Bitrem</v>
          </cell>
          <cell r="L127" t="str">
            <v>-</v>
          </cell>
          <cell r="M127" t="str">
            <v>Branca</v>
          </cell>
          <cell r="N127" t="str">
            <v>-</v>
          </cell>
          <cell r="O127" t="str">
            <v>-</v>
          </cell>
          <cell r="P127" t="str">
            <v>-</v>
          </cell>
          <cell r="Q127" t="str">
            <v>Vendido</v>
          </cell>
          <cell r="R127" t="str">
            <v>Vendido para Ananias - 45 mil (23 pd, 22 pf) E-mail de 21.10.2020 Thayane</v>
          </cell>
          <cell r="S127" t="str">
            <v>-</v>
          </cell>
          <cell r="T127" t="str">
            <v>-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  <cell r="Y127" t="str">
            <v>-</v>
          </cell>
          <cell r="Z127">
            <v>43139</v>
          </cell>
          <cell r="AA127" t="str">
            <v>-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 t="str">
            <v>-</v>
          </cell>
          <cell r="AH127" t="str">
            <v>-</v>
          </cell>
          <cell r="AI127" t="str">
            <v>-</v>
          </cell>
          <cell r="AJ127" t="str">
            <v>-</v>
          </cell>
          <cell r="AK127" t="str">
            <v>Sem reserVA</v>
          </cell>
          <cell r="AL127">
            <v>3948</v>
          </cell>
          <cell r="AM127">
            <v>42943</v>
          </cell>
          <cell r="AN127">
            <v>10000</v>
          </cell>
          <cell r="AO127" t="str">
            <v>MD Ferro VELHO Ltda ME</v>
          </cell>
          <cell r="AP127">
            <v>44125</v>
          </cell>
          <cell r="AQ127">
            <v>6088</v>
          </cell>
          <cell r="AR127">
            <v>11500</v>
          </cell>
          <cell r="AS127" t="str">
            <v>-</v>
          </cell>
          <cell r="AT127" t="str">
            <v>-</v>
          </cell>
          <cell r="AU127" t="str">
            <v>-</v>
          </cell>
          <cell r="AV127" t="str">
            <v>-</v>
          </cell>
        </row>
        <row r="128">
          <cell r="D128" t="str">
            <v>DBB3552</v>
          </cell>
          <cell r="E128" t="str">
            <v>00832936006</v>
          </cell>
          <cell r="F128" t="str">
            <v>9A9CD27424LDJ5747</v>
          </cell>
          <cell r="G128" t="str">
            <v>Librelato</v>
          </cell>
          <cell r="H128" t="str">
            <v>SR/Librelato SRCD 2E</v>
          </cell>
          <cell r="I128" t="str">
            <v>-</v>
          </cell>
          <cell r="J128" t="str">
            <v>-</v>
          </cell>
          <cell r="K128" t="str">
            <v>Reboque - Bitrem</v>
          </cell>
          <cell r="L128" t="str">
            <v>-</v>
          </cell>
          <cell r="M128" t="str">
            <v>Branca</v>
          </cell>
          <cell r="N128" t="str">
            <v>-</v>
          </cell>
          <cell r="O128" t="str">
            <v>-</v>
          </cell>
          <cell r="P128" t="str">
            <v>-</v>
          </cell>
          <cell r="Q128" t="str">
            <v>Vendido</v>
          </cell>
          <cell r="R128" t="str">
            <v>Vendido para Ananias - 45 mil (23 pd, 22 pf) E-mail de 21.10.2020 Thayane</v>
          </cell>
          <cell r="S128" t="str">
            <v>-</v>
          </cell>
          <cell r="T128" t="str">
            <v>-</v>
          </cell>
          <cell r="U128" t="str">
            <v>-</v>
          </cell>
          <cell r="V128" t="str">
            <v>-</v>
          </cell>
          <cell r="W128" t="str">
            <v>-</v>
          </cell>
          <cell r="X128" t="str">
            <v>-</v>
          </cell>
          <cell r="Y128" t="str">
            <v>-</v>
          </cell>
          <cell r="Z128">
            <v>43139</v>
          </cell>
          <cell r="AA128" t="str">
            <v>-</v>
          </cell>
          <cell r="AB128" t="str">
            <v>-</v>
          </cell>
          <cell r="AC128" t="str">
            <v>-</v>
          </cell>
          <cell r="AD128" t="str">
            <v>-</v>
          </cell>
          <cell r="AE128" t="str">
            <v>-</v>
          </cell>
          <cell r="AF128" t="str">
            <v>-</v>
          </cell>
          <cell r="AG128" t="str">
            <v>-</v>
          </cell>
          <cell r="AH128" t="str">
            <v>-</v>
          </cell>
          <cell r="AI128" t="str">
            <v>-</v>
          </cell>
          <cell r="AJ128" t="str">
            <v>-</v>
          </cell>
          <cell r="AK128" t="str">
            <v>Sem reserVA</v>
          </cell>
          <cell r="AL128">
            <v>3945</v>
          </cell>
          <cell r="AM128">
            <v>42943</v>
          </cell>
          <cell r="AN128">
            <v>10000</v>
          </cell>
          <cell r="AO128" t="str">
            <v>MD Ferro VELHO Ltda ME</v>
          </cell>
          <cell r="AP128">
            <v>44125</v>
          </cell>
          <cell r="AQ128">
            <v>6089</v>
          </cell>
          <cell r="AR128">
            <v>11500</v>
          </cell>
          <cell r="AS128" t="str">
            <v>-</v>
          </cell>
          <cell r="AT128" t="str">
            <v>-</v>
          </cell>
          <cell r="AU128" t="str">
            <v>-</v>
          </cell>
          <cell r="AV128" t="str">
            <v>-</v>
          </cell>
        </row>
        <row r="129">
          <cell r="D129" t="str">
            <v>DBL5489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  <cell r="I129" t="str">
            <v>-</v>
          </cell>
          <cell r="J129" t="str">
            <v>-</v>
          </cell>
          <cell r="K129" t="str">
            <v>-</v>
          </cell>
          <cell r="L129" t="str">
            <v>-</v>
          </cell>
          <cell r="M129" t="str">
            <v>-</v>
          </cell>
          <cell r="N129" t="str">
            <v>-</v>
          </cell>
          <cell r="O129" t="str">
            <v>-</v>
          </cell>
          <cell r="P129" t="str">
            <v>-</v>
          </cell>
          <cell r="Q129" t="str">
            <v>Vendido</v>
          </cell>
          <cell r="R129" t="str">
            <v>Não possui informações, apenas CRV preenchido em nome da Braçofer.</v>
          </cell>
          <cell r="S129" t="str">
            <v>-</v>
          </cell>
          <cell r="T129" t="str">
            <v>-</v>
          </cell>
          <cell r="U129" t="str">
            <v>-</v>
          </cell>
          <cell r="V129" t="str">
            <v>-</v>
          </cell>
          <cell r="W129" t="str">
            <v>-</v>
          </cell>
          <cell r="X129" t="str">
            <v>-</v>
          </cell>
          <cell r="Y129" t="str">
            <v>-</v>
          </cell>
          <cell r="Z129" t="str">
            <v>-</v>
          </cell>
          <cell r="AA129" t="str">
            <v>-</v>
          </cell>
          <cell r="AB129" t="str">
            <v>-</v>
          </cell>
          <cell r="AC129" t="str">
            <v>-</v>
          </cell>
          <cell r="AD129" t="str">
            <v>-</v>
          </cell>
          <cell r="AE129" t="str">
            <v>-</v>
          </cell>
          <cell r="AF129" t="str">
            <v>-</v>
          </cell>
          <cell r="AG129" t="str">
            <v>-</v>
          </cell>
          <cell r="AH129" t="str">
            <v>Não possui</v>
          </cell>
          <cell r="AI129" t="str">
            <v>-</v>
          </cell>
          <cell r="AJ129" t="str">
            <v>-</v>
          </cell>
          <cell r="AK129" t="str">
            <v>-</v>
          </cell>
          <cell r="AL129" t="str">
            <v>-</v>
          </cell>
          <cell r="AM129" t="str">
            <v>-</v>
          </cell>
          <cell r="AN129" t="str">
            <v>-</v>
          </cell>
          <cell r="AO129" t="str">
            <v>-</v>
          </cell>
          <cell r="AP129" t="str">
            <v>-</v>
          </cell>
          <cell r="AQ129" t="str">
            <v>-</v>
          </cell>
          <cell r="AR129" t="str">
            <v>-</v>
          </cell>
          <cell r="AS129" t="str">
            <v>-</v>
          </cell>
          <cell r="AT129" t="str">
            <v>-</v>
          </cell>
          <cell r="AU129" t="str">
            <v>-</v>
          </cell>
          <cell r="AV129" t="str">
            <v>-</v>
          </cell>
        </row>
        <row r="130">
          <cell r="D130" t="str">
            <v>DDC2G89</v>
          </cell>
          <cell r="E130" t="str">
            <v>01246961994</v>
          </cell>
          <cell r="F130" t="str">
            <v>9BFZH55L2M8065784</v>
          </cell>
          <cell r="G130" t="str">
            <v>Ford</v>
          </cell>
          <cell r="H130" t="str">
            <v>KA SE 1.0 HA C</v>
          </cell>
          <cell r="I130" t="str">
            <v>-</v>
          </cell>
          <cell r="J130" t="str">
            <v>-</v>
          </cell>
          <cell r="K130" t="str">
            <v>Veículo de Passeio</v>
          </cell>
          <cell r="L130" t="str">
            <v>Flex</v>
          </cell>
          <cell r="M130" t="str">
            <v>Prata</v>
          </cell>
          <cell r="N130" t="str">
            <v>Presidente Prudente</v>
          </cell>
          <cell r="O130" t="str">
            <v>1.2.1.3</v>
          </cell>
          <cell r="P130" t="str">
            <v>-</v>
          </cell>
          <cell r="Q130" t="str">
            <v>Vendido</v>
          </cell>
          <cell r="R130" t="str">
            <v>01/12 Élcio! Roney levou para Maringá - Aquisição de dois veículos iguais juntos - Contato: Thays V. Muchiutt - Pgto a vista</v>
          </cell>
          <cell r="S130" t="str">
            <v>-</v>
          </cell>
          <cell r="T130" t="str">
            <v>Sagi</v>
          </cell>
          <cell r="U130" t="str">
            <v>Ok</v>
          </cell>
          <cell r="V130" t="str">
            <v>-</v>
          </cell>
          <cell r="W130" t="str">
            <v>Ativo</v>
          </cell>
          <cell r="X130" t="str">
            <v>Ativo</v>
          </cell>
          <cell r="Y130" t="str">
            <v>DDC-2G89</v>
          </cell>
          <cell r="Z130" t="str">
            <v>-</v>
          </cell>
          <cell r="AA130" t="str">
            <v>-</v>
          </cell>
          <cell r="AB130" t="str">
            <v>ok</v>
          </cell>
          <cell r="AC130" t="str">
            <v>-</v>
          </cell>
          <cell r="AD130" t="str">
            <v>OK</v>
          </cell>
          <cell r="AE130" t="str">
            <v>Possui</v>
          </cell>
          <cell r="AF130" t="str">
            <v>Ativo</v>
          </cell>
          <cell r="AG130" t="str">
            <v>HDI</v>
          </cell>
          <cell r="AH130" t="str">
            <v>ok, 19/12</v>
          </cell>
          <cell r="AI130" t="str">
            <v>PASSEIO</v>
          </cell>
          <cell r="AJ130" t="str">
            <v>PASSEIO</v>
          </cell>
          <cell r="AK130" t="str">
            <v>Sem reserVA</v>
          </cell>
          <cell r="AL130">
            <v>184552</v>
          </cell>
          <cell r="AM130">
            <v>44159</v>
          </cell>
          <cell r="AN130">
            <v>47990</v>
          </cell>
          <cell r="AO130" t="str">
            <v>V. MUCHIUTT VEICULOS e PECAS Ltda</v>
          </cell>
          <cell r="AP130">
            <v>45495</v>
          </cell>
          <cell r="AQ130">
            <v>6</v>
          </cell>
          <cell r="AR130">
            <v>42000</v>
          </cell>
          <cell r="AS130" t="str">
            <v>-</v>
          </cell>
          <cell r="AT130" t="str">
            <v>-</v>
          </cell>
          <cell r="AU130" t="str">
            <v>Venda RSS X Isaias de Souza</v>
          </cell>
          <cell r="AV130">
            <v>2</v>
          </cell>
        </row>
        <row r="131">
          <cell r="D131" t="str">
            <v>DJA6503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  <cell r="I131" t="str">
            <v>-</v>
          </cell>
          <cell r="J131" t="str">
            <v>-</v>
          </cell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Vendido</v>
          </cell>
          <cell r="R131" t="str">
            <v>Vendido para Paraguaçu Paulista, informação do Ricardo no dia 21/12.</v>
          </cell>
          <cell r="S131" t="str">
            <v>-</v>
          </cell>
          <cell r="T131" t="str">
            <v>-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Não possui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>-</v>
          </cell>
        </row>
        <row r="132">
          <cell r="D132" t="str">
            <v>DWC4135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  <cell r="I132" t="str">
            <v>-</v>
          </cell>
          <cell r="J132" t="str">
            <v>-</v>
          </cell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Vendido</v>
          </cell>
          <cell r="R132" t="str">
            <v>Vendido por 12mil, para J.L. Distribuidora de Produtos Alimenticios e Logistica Ltda. Apenas cópia do CRV.</v>
          </cell>
          <cell r="S132" t="str">
            <v>-</v>
          </cell>
          <cell r="T132" t="str">
            <v>-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Não possui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 t="str">
            <v>-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 t="str">
            <v>-</v>
          </cell>
          <cell r="AV132" t="str">
            <v>-</v>
          </cell>
        </row>
        <row r="133">
          <cell r="D133" t="str">
            <v>DWC4723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  <cell r="K133" t="str">
            <v>-</v>
          </cell>
          <cell r="L133" t="str">
            <v>-</v>
          </cell>
          <cell r="M133" t="str">
            <v>-</v>
          </cell>
          <cell r="N133" t="str">
            <v>-</v>
          </cell>
          <cell r="O133" t="str">
            <v>-</v>
          </cell>
          <cell r="P133" t="str">
            <v>-</v>
          </cell>
          <cell r="Q133" t="str">
            <v>Vendido</v>
          </cell>
          <cell r="R133" t="str">
            <v>Vendido por 7.800, para Lourdes Pinheiro da Sousa. Veículo em nome do sr. Zacarias.</v>
          </cell>
          <cell r="S133" t="str">
            <v>-</v>
          </cell>
          <cell r="T133" t="str">
            <v>-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 t="str">
            <v>-</v>
          </cell>
          <cell r="Z133" t="str">
            <v>-</v>
          </cell>
          <cell r="AA133" t="str">
            <v>-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 t="str">
            <v>-</v>
          </cell>
          <cell r="AH133" t="str">
            <v>Não possui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  <cell r="AM133" t="str">
            <v>-</v>
          </cell>
          <cell r="AN133" t="str">
            <v>-</v>
          </cell>
          <cell r="AO133" t="str">
            <v>-</v>
          </cell>
          <cell r="AP133" t="str">
            <v>-</v>
          </cell>
          <cell r="AQ133" t="str">
            <v>-</v>
          </cell>
          <cell r="AR133" t="str">
            <v>-</v>
          </cell>
          <cell r="AS133" t="str">
            <v>-</v>
          </cell>
          <cell r="AT133" t="str">
            <v>-</v>
          </cell>
          <cell r="AU133" t="str">
            <v>-</v>
          </cell>
          <cell r="AV133" t="str">
            <v>-</v>
          </cell>
        </row>
        <row r="134">
          <cell r="D134" t="str">
            <v>EJZ7349</v>
          </cell>
          <cell r="E134" t="str">
            <v>00203983734</v>
          </cell>
          <cell r="F134" t="str">
            <v>9BFYCAWY5ABB50469</v>
          </cell>
          <cell r="G134" t="str">
            <v>Ford</v>
          </cell>
          <cell r="H134" t="str">
            <v>Cargo 4532 E</v>
          </cell>
          <cell r="I134">
            <v>2010</v>
          </cell>
          <cell r="J134">
            <v>2010</v>
          </cell>
          <cell r="K134" t="str">
            <v>Caminhão / Rebocador</v>
          </cell>
          <cell r="L134" t="str">
            <v>Diesel</v>
          </cell>
          <cell r="M134" t="str">
            <v>Branca</v>
          </cell>
          <cell r="N134" t="str">
            <v>Presidente Prudente</v>
          </cell>
          <cell r="O134" t="str">
            <v>-</v>
          </cell>
          <cell r="P134" t="str">
            <v>-</v>
          </cell>
          <cell r="Q134" t="str">
            <v>Vendido</v>
          </cell>
          <cell r="R134" t="str">
            <v>01/12 Prudente Puxa BAscula Manutenção</v>
          </cell>
          <cell r="S134" t="str">
            <v>-</v>
          </cell>
          <cell r="T134" t="str">
            <v>Sagi</v>
          </cell>
          <cell r="U134" t="str">
            <v>Ok</v>
          </cell>
          <cell r="V134" t="str">
            <v>CFC-0010</v>
          </cell>
          <cell r="W134" t="str">
            <v>Ativo</v>
          </cell>
          <cell r="X134" t="str">
            <v>Ativo</v>
          </cell>
          <cell r="Y134" t="str">
            <v>EJZ-7349</v>
          </cell>
          <cell r="Z134">
            <v>43138</v>
          </cell>
          <cell r="AA134" t="str">
            <v>-</v>
          </cell>
          <cell r="AB134" t="str">
            <v>-</v>
          </cell>
          <cell r="AC134" t="str">
            <v>-</v>
          </cell>
          <cell r="AD134" t="str">
            <v>OK</v>
          </cell>
          <cell r="AE134" t="str">
            <v>Possui</v>
          </cell>
          <cell r="AF134" t="str">
            <v>Não possui</v>
          </cell>
          <cell r="AG134" t="str">
            <v>HDI</v>
          </cell>
          <cell r="AH134" t="str">
            <v>ok, 23/12</v>
          </cell>
          <cell r="AI134" t="str">
            <v>OK</v>
          </cell>
          <cell r="AJ134" t="str">
            <v>VENCIMENTO 17-10-24</v>
          </cell>
          <cell r="AK134" t="str">
            <v>Bradesco</v>
          </cell>
          <cell r="AL134">
            <v>30547</v>
          </cell>
          <cell r="AM134">
            <v>40228</v>
          </cell>
          <cell r="AN134">
            <v>160000</v>
          </cell>
          <cell r="AO134" t="str">
            <v>FORD MOTOR COMPANY BRASIL Ltda</v>
          </cell>
          <cell r="AP134">
            <v>45434</v>
          </cell>
          <cell r="AQ134">
            <v>8425</v>
          </cell>
          <cell r="AR134">
            <v>18819</v>
          </cell>
          <cell r="AS134" t="str">
            <v>-</v>
          </cell>
          <cell r="AT134" t="str">
            <v>-</v>
          </cell>
          <cell r="AU134" t="str">
            <v>Venda RSR x Ricardo</v>
          </cell>
          <cell r="AV134" t="str">
            <v>-</v>
          </cell>
        </row>
        <row r="135">
          <cell r="D135" t="str">
            <v>EJZ7366</v>
          </cell>
          <cell r="E135" t="str">
            <v>00203475003</v>
          </cell>
          <cell r="F135" t="str">
            <v>9BFYCAWY4ABB49765</v>
          </cell>
          <cell r="G135" t="str">
            <v>Ford</v>
          </cell>
          <cell r="H135" t="str">
            <v>Cargo 1832 E</v>
          </cell>
          <cell r="I135">
            <v>2010</v>
          </cell>
          <cell r="J135">
            <v>2010</v>
          </cell>
          <cell r="K135" t="str">
            <v>Caminhão / Rollon Rolloff</v>
          </cell>
          <cell r="L135" t="str">
            <v>Diesel</v>
          </cell>
          <cell r="M135" t="str">
            <v>Branca</v>
          </cell>
          <cell r="N135" t="str">
            <v>Presidente Prudente</v>
          </cell>
          <cell r="O135" t="str">
            <v>1.2.2.4</v>
          </cell>
          <cell r="P135" t="str">
            <v>-</v>
          </cell>
          <cell r="Q135" t="str">
            <v>Vendido</v>
          </cell>
          <cell r="R135" t="str">
            <v>01/12 Prudente Reserva Operando</v>
          </cell>
          <cell r="S135" t="str">
            <v>-</v>
          </cell>
          <cell r="T135" t="str">
            <v>Sagi</v>
          </cell>
          <cell r="U135" t="str">
            <v>Ok</v>
          </cell>
          <cell r="V135" t="str">
            <v>CFR-0011</v>
          </cell>
          <cell r="W135" t="str">
            <v>Ativo</v>
          </cell>
          <cell r="X135" t="str">
            <v>Ativo</v>
          </cell>
          <cell r="Y135" t="str">
            <v>EJZ-7366</v>
          </cell>
          <cell r="Z135">
            <v>43132</v>
          </cell>
          <cell r="AA135" t="str">
            <v>-</v>
          </cell>
          <cell r="AB135" t="str">
            <v>-</v>
          </cell>
          <cell r="AC135" t="str">
            <v>-</v>
          </cell>
          <cell r="AD135" t="str">
            <v>OK</v>
          </cell>
          <cell r="AE135" t="str">
            <v>Possui</v>
          </cell>
          <cell r="AF135" t="str">
            <v>Não possui</v>
          </cell>
          <cell r="AG135" t="str">
            <v>HDI</v>
          </cell>
          <cell r="AH135" t="str">
            <v>ok, 23/12</v>
          </cell>
          <cell r="AI135" t="str">
            <v>OK</v>
          </cell>
          <cell r="AJ135" t="str">
            <v>VENCIMENTO 09-06-24</v>
          </cell>
          <cell r="AK135" t="str">
            <v>Santander</v>
          </cell>
          <cell r="AL135">
            <v>28522</v>
          </cell>
          <cell r="AM135">
            <v>40190</v>
          </cell>
          <cell r="AN135">
            <v>160000</v>
          </cell>
          <cell r="AO135" t="str">
            <v>FORD MOTOR COMPANY BRASIL Ltda</v>
          </cell>
          <cell r="AP135">
            <v>45343</v>
          </cell>
          <cell r="AQ135">
            <v>8416</v>
          </cell>
          <cell r="AR135">
            <v>20000</v>
          </cell>
          <cell r="AS135" t="str">
            <v>-</v>
          </cell>
          <cell r="AT135" t="str">
            <v>-</v>
          </cell>
          <cell r="AU135" t="str">
            <v>Venda RSR x RSS, posteriormente será realizada venda da RSS x CLiente final</v>
          </cell>
          <cell r="AV135" t="str">
            <v>-</v>
          </cell>
        </row>
        <row r="136">
          <cell r="D136" t="str">
            <v>EJZ7366</v>
          </cell>
          <cell r="E136" t="str">
            <v>00203475003</v>
          </cell>
          <cell r="F136" t="str">
            <v>9BFYCAWY4ABB49765</v>
          </cell>
          <cell r="G136" t="str">
            <v>Ford</v>
          </cell>
          <cell r="H136" t="str">
            <v>Cargo 1832 E</v>
          </cell>
          <cell r="I136">
            <v>2010</v>
          </cell>
          <cell r="J136">
            <v>2010</v>
          </cell>
          <cell r="K136" t="str">
            <v>Caminhão / Rollon Rolloff</v>
          </cell>
          <cell r="L136" t="str">
            <v>Diesel</v>
          </cell>
          <cell r="M136" t="str">
            <v>Branca</v>
          </cell>
          <cell r="N136" t="str">
            <v>Presidente Prudente</v>
          </cell>
          <cell r="O136" t="str">
            <v>1.2.2.4</v>
          </cell>
          <cell r="P136" t="str">
            <v>-</v>
          </cell>
          <cell r="Q136" t="str">
            <v>Vendido</v>
          </cell>
          <cell r="R136" t="str">
            <v>01/12 Prudente Reserva Operando</v>
          </cell>
          <cell r="S136" t="str">
            <v>-</v>
          </cell>
          <cell r="T136" t="str">
            <v>Sagi</v>
          </cell>
          <cell r="U136" t="str">
            <v>Ok</v>
          </cell>
          <cell r="V136" t="str">
            <v>CFR-0011</v>
          </cell>
          <cell r="W136" t="str">
            <v>Ativo</v>
          </cell>
          <cell r="X136" t="str">
            <v>Ativo</v>
          </cell>
          <cell r="Y136" t="str">
            <v>EJZ-7366</v>
          </cell>
          <cell r="Z136">
            <v>43132</v>
          </cell>
          <cell r="AA136" t="str">
            <v>-</v>
          </cell>
          <cell r="AB136" t="str">
            <v>-</v>
          </cell>
          <cell r="AC136" t="str">
            <v>-</v>
          </cell>
          <cell r="AD136" t="str">
            <v>OK</v>
          </cell>
          <cell r="AE136" t="str">
            <v>Possui</v>
          </cell>
          <cell r="AF136" t="str">
            <v>Não possui</v>
          </cell>
          <cell r="AG136" t="str">
            <v>HDI</v>
          </cell>
          <cell r="AH136" t="str">
            <v>ok, 23/12</v>
          </cell>
          <cell r="AI136" t="str">
            <v>OK</v>
          </cell>
          <cell r="AJ136" t="str">
            <v>VENCIMENTO 09-06-24</v>
          </cell>
          <cell r="AK136" t="str">
            <v>Santander</v>
          </cell>
          <cell r="AL136">
            <v>28522</v>
          </cell>
          <cell r="AM136">
            <v>40190</v>
          </cell>
          <cell r="AN136">
            <v>160000</v>
          </cell>
          <cell r="AO136" t="str">
            <v>FORD MOTOR COMPANY BRASIL Ltda</v>
          </cell>
          <cell r="AP136">
            <v>45355</v>
          </cell>
          <cell r="AQ136">
            <v>5</v>
          </cell>
          <cell r="AR136">
            <v>100000</v>
          </cell>
          <cell r="AS136" t="str">
            <v>-</v>
          </cell>
          <cell r="AT136" t="str">
            <v>-</v>
          </cell>
          <cell r="AU136" t="str">
            <v>Venda RSR x RSS, posteriormente será realizada venda da RSS x CLiente final</v>
          </cell>
          <cell r="AV136" t="str">
            <v>-</v>
          </cell>
        </row>
        <row r="137">
          <cell r="D137" t="str">
            <v>EJZ7G08</v>
          </cell>
          <cell r="E137" t="str">
            <v>00232153345</v>
          </cell>
          <cell r="F137" t="str">
            <v>9BFXCE2U7ABB60717</v>
          </cell>
          <cell r="G137" t="str">
            <v>Ford</v>
          </cell>
          <cell r="H137" t="str">
            <v>Cargo 1317 E</v>
          </cell>
          <cell r="I137">
            <v>2010</v>
          </cell>
          <cell r="J137">
            <v>2010</v>
          </cell>
          <cell r="K137" t="str">
            <v>Caminhão / Toco</v>
          </cell>
          <cell r="L137" t="str">
            <v xml:space="preserve">Diesel </v>
          </cell>
          <cell r="M137" t="str">
            <v>Branca</v>
          </cell>
          <cell r="N137" t="str">
            <v>Presidente Prudente</v>
          </cell>
          <cell r="O137" t="str">
            <v>1.3.1.4</v>
          </cell>
          <cell r="P137" t="str">
            <v>-</v>
          </cell>
          <cell r="Q137" t="str">
            <v>Vendido</v>
          </cell>
          <cell r="R137" t="str">
            <v>01/12 CAMINHÃO POLI SIMPLES - EKIPA OPERANDO</v>
          </cell>
          <cell r="S137" t="str">
            <v>-</v>
          </cell>
          <cell r="T137" t="str">
            <v>Sagi</v>
          </cell>
          <cell r="U137" t="str">
            <v>Ok</v>
          </cell>
          <cell r="V137" t="str">
            <v>CFP-0015</v>
          </cell>
          <cell r="W137" t="str">
            <v>Ativo</v>
          </cell>
          <cell r="X137" t="str">
            <v>Ativo</v>
          </cell>
          <cell r="Y137" t="str">
            <v>EJZ7G08</v>
          </cell>
          <cell r="Z137">
            <v>43138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OK</v>
          </cell>
          <cell r="AE137" t="str">
            <v>Não possui</v>
          </cell>
          <cell r="AF137" t="str">
            <v>Não possui</v>
          </cell>
          <cell r="AG137" t="str">
            <v>HDI</v>
          </cell>
          <cell r="AH137" t="str">
            <v>ok, 23/12</v>
          </cell>
          <cell r="AI137" t="str">
            <v>OK</v>
          </cell>
          <cell r="AJ137" t="str">
            <v>VENCIMENTO 23-06-24</v>
          </cell>
          <cell r="AK137" t="str">
            <v>Sem reserVA</v>
          </cell>
          <cell r="AL137">
            <v>40119</v>
          </cell>
          <cell r="AM137">
            <v>40359</v>
          </cell>
          <cell r="AN137">
            <v>110000</v>
          </cell>
          <cell r="AO137" t="str">
            <v>FORD MOTOR COMPANY BRASIL Ltda</v>
          </cell>
          <cell r="AP137">
            <v>45414</v>
          </cell>
          <cell r="AQ137">
            <v>8424</v>
          </cell>
          <cell r="AR137">
            <v>18702</v>
          </cell>
          <cell r="AS137" t="str">
            <v>-</v>
          </cell>
          <cell r="AT137" t="str">
            <v>-</v>
          </cell>
          <cell r="AU137" t="str">
            <v>-</v>
          </cell>
          <cell r="AV137" t="str">
            <v>-</v>
          </cell>
        </row>
        <row r="138">
          <cell r="D138" t="str">
            <v>EJZ7609</v>
          </cell>
          <cell r="E138" t="str">
            <v>00232186154</v>
          </cell>
          <cell r="F138" t="str">
            <v>9BFXCE2U2ABB60723</v>
          </cell>
          <cell r="G138" t="str">
            <v>Ford</v>
          </cell>
          <cell r="H138" t="str">
            <v>Cargo 1317 E</v>
          </cell>
          <cell r="I138">
            <v>2010</v>
          </cell>
          <cell r="J138">
            <v>2010</v>
          </cell>
          <cell r="K138" t="str">
            <v>Caminhão / Toco</v>
          </cell>
          <cell r="L138" t="str">
            <v>Diesel</v>
          </cell>
          <cell r="M138" t="str">
            <v>Branca</v>
          </cell>
          <cell r="N138" t="str">
            <v>Londrina</v>
          </cell>
          <cell r="O138" t="str">
            <v>1.3.1.4</v>
          </cell>
          <cell r="P138" t="str">
            <v>-</v>
          </cell>
          <cell r="Q138" t="str">
            <v>Vendido</v>
          </cell>
          <cell r="R138" t="str">
            <v>01/12 CAMINHÃO POLI SIMPLES - DISTRITO OPERANDO</v>
          </cell>
          <cell r="S138" t="str">
            <v>-</v>
          </cell>
          <cell r="T138" t="str">
            <v>Sagi</v>
          </cell>
          <cell r="U138" t="str">
            <v>Ok</v>
          </cell>
          <cell r="V138" t="str">
            <v>CFP-0016</v>
          </cell>
          <cell r="W138" t="str">
            <v>Ativo</v>
          </cell>
          <cell r="X138" t="str">
            <v>Ativo</v>
          </cell>
          <cell r="Y138" t="str">
            <v>EJZ-7609</v>
          </cell>
          <cell r="Z138">
            <v>43138</v>
          </cell>
          <cell r="AA138" t="str">
            <v>-</v>
          </cell>
          <cell r="AB138" t="str">
            <v>-</v>
          </cell>
          <cell r="AC138" t="str">
            <v>-</v>
          </cell>
          <cell r="AD138" t="str">
            <v>OK</v>
          </cell>
          <cell r="AE138" t="str">
            <v>Possui</v>
          </cell>
          <cell r="AF138" t="str">
            <v>Não possui</v>
          </cell>
          <cell r="AG138" t="str">
            <v>HDI</v>
          </cell>
          <cell r="AH138" t="str">
            <v>ok, 23/12</v>
          </cell>
          <cell r="AI138" t="str">
            <v>OK</v>
          </cell>
          <cell r="AJ138" t="str">
            <v>VENCIMENTO 03-01-24</v>
          </cell>
          <cell r="AK138" t="str">
            <v>Sem reserVA</v>
          </cell>
          <cell r="AL138">
            <v>159</v>
          </cell>
          <cell r="AM138">
            <v>43992</v>
          </cell>
          <cell r="AN138">
            <v>184000</v>
          </cell>
          <cell r="AO138" t="str">
            <v>MULTIFORCA IND COM Ltda</v>
          </cell>
          <cell r="AP138">
            <v>45407</v>
          </cell>
          <cell r="AQ138">
            <v>8422</v>
          </cell>
          <cell r="AR138">
            <v>18702</v>
          </cell>
          <cell r="AS138" t="str">
            <v>-</v>
          </cell>
          <cell r="AT138" t="str">
            <v>-</v>
          </cell>
          <cell r="AU138" t="str">
            <v>-</v>
          </cell>
          <cell r="AV138" t="str">
            <v>-</v>
          </cell>
        </row>
        <row r="139">
          <cell r="D139" t="str">
            <v>EJZ7778</v>
          </cell>
          <cell r="E139" t="str">
            <v>00328687480</v>
          </cell>
          <cell r="F139" t="str">
            <v>1A9L8443X6A245123</v>
          </cell>
          <cell r="G139" t="str">
            <v>Sierra</v>
          </cell>
          <cell r="H139" t="str">
            <v>Reboque AToka SI 4200</v>
          </cell>
          <cell r="I139" t="str">
            <v>-</v>
          </cell>
          <cell r="J139" t="str">
            <v>-</v>
          </cell>
          <cell r="K139" t="str">
            <v>-</v>
          </cell>
          <cell r="L139" t="str">
            <v>-</v>
          </cell>
          <cell r="M139" t="str">
            <v>Preta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Vendido</v>
          </cell>
          <cell r="R139" t="str">
            <v>Vendida para BWR SUCatAS EIRELI de Minas Gerais, pelo valor de 750 mil (450 pd, 300 pf)</v>
          </cell>
          <cell r="S139" t="str">
            <v>-</v>
          </cell>
          <cell r="T139" t="str">
            <v>-</v>
          </cell>
          <cell r="U139" t="str">
            <v>-</v>
          </cell>
          <cell r="V139" t="str">
            <v>-</v>
          </cell>
          <cell r="W139" t="str">
            <v>-</v>
          </cell>
          <cell r="X139" t="str">
            <v>-</v>
          </cell>
          <cell r="Y139" t="str">
            <v>-</v>
          </cell>
          <cell r="Z139">
            <v>43138</v>
          </cell>
          <cell r="AA139" t="str">
            <v>-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 t="str">
            <v>Alelo</v>
          </cell>
          <cell r="AG139" t="str">
            <v>Deve incluir no seguro</v>
          </cell>
          <cell r="AH139" t="str">
            <v>-</v>
          </cell>
          <cell r="AI139" t="str">
            <v>-</v>
          </cell>
          <cell r="AJ139" t="str">
            <v>-</v>
          </cell>
          <cell r="AK139" t="str">
            <v>Santander</v>
          </cell>
          <cell r="AL139" t="str">
            <v>Invoice 006823</v>
          </cell>
          <cell r="AM139">
            <v>40437</v>
          </cell>
          <cell r="AN139" t="str">
            <v>230000 dolares</v>
          </cell>
          <cell r="AO139" t="str">
            <v>Sierra InternATional Machinery LLC</v>
          </cell>
          <cell r="AP139">
            <v>43594</v>
          </cell>
          <cell r="AQ139">
            <v>5633</v>
          </cell>
          <cell r="AR139">
            <v>450000</v>
          </cell>
          <cell r="AS139" t="str">
            <v>-</v>
          </cell>
          <cell r="AT139" t="str">
            <v>-</v>
          </cell>
          <cell r="AU139" t="str">
            <v>-</v>
          </cell>
          <cell r="AV139" t="str">
            <v>-</v>
          </cell>
        </row>
        <row r="140">
          <cell r="D140" t="str">
            <v>EMF0J29</v>
          </cell>
          <cell r="E140" t="str">
            <v>01187164841</v>
          </cell>
          <cell r="F140" t="str">
            <v>9BFZH55L1K8334323</v>
          </cell>
          <cell r="G140" t="str">
            <v>Ford</v>
          </cell>
          <cell r="H140" t="str">
            <v>KA SE 1.0 HA C</v>
          </cell>
          <cell r="I140" t="str">
            <v>-</v>
          </cell>
          <cell r="J140" t="str">
            <v>-</v>
          </cell>
          <cell r="K140" t="str">
            <v>Veículo de Passeio</v>
          </cell>
          <cell r="L140" t="str">
            <v>Flex</v>
          </cell>
          <cell r="M140" t="str">
            <v>Branca</v>
          </cell>
          <cell r="N140" t="str">
            <v>Presidente Prudente</v>
          </cell>
          <cell r="O140" t="str">
            <v>1.2.2.2</v>
          </cell>
          <cell r="P140" t="str">
            <v>-</v>
          </cell>
          <cell r="Q140" t="str">
            <v>Vendido</v>
          </cell>
          <cell r="R140" t="str">
            <v>-</v>
          </cell>
          <cell r="S140" t="str">
            <v>-</v>
          </cell>
          <cell r="T140" t="str">
            <v>Sagi</v>
          </cell>
          <cell r="U140" t="str">
            <v>Ok</v>
          </cell>
          <cell r="V140" t="str">
            <v>-</v>
          </cell>
          <cell r="W140" t="str">
            <v>Ativo</v>
          </cell>
          <cell r="X140" t="str">
            <v>Ativo</v>
          </cell>
          <cell r="Y140" t="str">
            <v>EMF-0J29</v>
          </cell>
          <cell r="Z140" t="str">
            <v>-</v>
          </cell>
          <cell r="AA140" t="str">
            <v>-</v>
          </cell>
          <cell r="AB140" t="str">
            <v>-</v>
          </cell>
          <cell r="AC140" t="str">
            <v>-</v>
          </cell>
          <cell r="AD140" t="str">
            <v>OK</v>
          </cell>
          <cell r="AE140" t="str">
            <v>Possui</v>
          </cell>
          <cell r="AF140" t="str">
            <v>Ativo</v>
          </cell>
          <cell r="AG140" t="str">
            <v>-</v>
          </cell>
          <cell r="AH140" t="str">
            <v>ok, 23/12</v>
          </cell>
          <cell r="AI140" t="str">
            <v>PASSEIO</v>
          </cell>
          <cell r="AJ140" t="str">
            <v>PASSEIO</v>
          </cell>
          <cell r="AK140" t="str">
            <v>Sem reserVA</v>
          </cell>
          <cell r="AL140">
            <v>761818</v>
          </cell>
          <cell r="AM140">
            <v>43546</v>
          </cell>
          <cell r="AN140">
            <v>41668.9</v>
          </cell>
          <cell r="AO140" t="str">
            <v>FORD MOTOR COMPANY BRASIL Ltda</v>
          </cell>
          <cell r="AP140" t="str">
            <v>-</v>
          </cell>
          <cell r="AQ140" t="str">
            <v>-</v>
          </cell>
          <cell r="AR140" t="str">
            <v>-</v>
          </cell>
          <cell r="AS140" t="str">
            <v>-</v>
          </cell>
          <cell r="AT140" t="str">
            <v>-</v>
          </cell>
          <cell r="AU140" t="str">
            <v>-</v>
          </cell>
          <cell r="AV140" t="str">
            <v>-</v>
          </cell>
        </row>
        <row r="141">
          <cell r="D141" t="str">
            <v>ENG4A84</v>
          </cell>
          <cell r="E141" t="str">
            <v>01246962230</v>
          </cell>
          <cell r="F141" t="str">
            <v>9BFZH55L4M8075085</v>
          </cell>
          <cell r="G141" t="str">
            <v>Ford</v>
          </cell>
          <cell r="H141" t="str">
            <v>KA SE 1.0 HA C</v>
          </cell>
          <cell r="I141" t="str">
            <v>-</v>
          </cell>
          <cell r="J141" t="str">
            <v>-</v>
          </cell>
          <cell r="K141" t="str">
            <v>Veículo de Passeio</v>
          </cell>
          <cell r="L141" t="str">
            <v>Flex</v>
          </cell>
          <cell r="M141" t="str">
            <v>Prata</v>
          </cell>
          <cell r="N141" t="str">
            <v>Presidente Prudente</v>
          </cell>
          <cell r="O141" t="str">
            <v>1.2.4.2</v>
          </cell>
          <cell r="P141" t="str">
            <v>-</v>
          </cell>
          <cell r="Q141" t="str">
            <v>Vendido</v>
          </cell>
          <cell r="R141" t="str">
            <v>Chico - Retirou em 01/12/20 -Aquisição de dois veículos iguais juntos - Contato: Thays V. Muchiutt - Pgto a vista</v>
          </cell>
          <cell r="S141" t="str">
            <v>-</v>
          </cell>
          <cell r="T141" t="str">
            <v>Sagi</v>
          </cell>
          <cell r="U141" t="str">
            <v>Ok</v>
          </cell>
          <cell r="V141" t="str">
            <v>-</v>
          </cell>
          <cell r="W141" t="str">
            <v>Ativo</v>
          </cell>
          <cell r="X141" t="str">
            <v>Ativo</v>
          </cell>
          <cell r="Y141" t="str">
            <v>ENG-4A84</v>
          </cell>
          <cell r="Z141" t="str">
            <v>-</v>
          </cell>
          <cell r="AA141" t="str">
            <v>-</v>
          </cell>
          <cell r="AB141" t="str">
            <v>Em andamento</v>
          </cell>
          <cell r="AC141" t="str">
            <v>-</v>
          </cell>
          <cell r="AD141" t="str">
            <v>OK</v>
          </cell>
          <cell r="AE141" t="str">
            <v>Possui</v>
          </cell>
          <cell r="AF141" t="str">
            <v>Ativo</v>
          </cell>
          <cell r="AG141" t="str">
            <v>-</v>
          </cell>
          <cell r="AH141" t="str">
            <v>ok, 19/12</v>
          </cell>
          <cell r="AI141" t="str">
            <v>PASSEIO</v>
          </cell>
          <cell r="AJ141" t="str">
            <v>PASSEIO</v>
          </cell>
          <cell r="AK141" t="str">
            <v>Sem reserVA</v>
          </cell>
          <cell r="AL141">
            <v>184553</v>
          </cell>
          <cell r="AM141">
            <v>44159</v>
          </cell>
          <cell r="AN141">
            <v>47990</v>
          </cell>
          <cell r="AO141" t="str">
            <v>V. MUCHIUTT VEICULOS e PECAS Ltda</v>
          </cell>
          <cell r="AP141">
            <v>45502</v>
          </cell>
          <cell r="AQ141">
            <v>8431</v>
          </cell>
          <cell r="AR141">
            <v>5000</v>
          </cell>
          <cell r="AS141" t="str">
            <v>-</v>
          </cell>
          <cell r="AT141" t="str">
            <v>-</v>
          </cell>
          <cell r="AU141" t="str">
            <v>Venda RSR X JAIRO</v>
          </cell>
          <cell r="AV141">
            <v>2</v>
          </cell>
        </row>
        <row r="142">
          <cell r="D142" t="str">
            <v>ERE1335</v>
          </cell>
          <cell r="E142" t="str">
            <v>-</v>
          </cell>
          <cell r="F142" t="str">
            <v>-</v>
          </cell>
          <cell r="G142" t="str">
            <v>-</v>
          </cell>
          <cell r="H142" t="str">
            <v>-</v>
          </cell>
          <cell r="I142" t="str">
            <v>-</v>
          </cell>
          <cell r="J142" t="str">
            <v>-</v>
          </cell>
          <cell r="K142" t="str">
            <v>-</v>
          </cell>
          <cell r="L142" t="str">
            <v>-</v>
          </cell>
          <cell r="M142" t="str">
            <v>-</v>
          </cell>
          <cell r="N142" t="str">
            <v>-</v>
          </cell>
          <cell r="O142" t="str">
            <v>-</v>
          </cell>
          <cell r="P142" t="str">
            <v>-</v>
          </cell>
          <cell r="Q142" t="str">
            <v>Vendido</v>
          </cell>
          <cell r="R142" t="str">
            <v>Não possui informações, licenciamento 2011/2012.</v>
          </cell>
          <cell r="S142" t="str">
            <v>-</v>
          </cell>
          <cell r="T142" t="str">
            <v>-</v>
          </cell>
          <cell r="U142" t="str">
            <v>-</v>
          </cell>
          <cell r="V142" t="str">
            <v>-</v>
          </cell>
          <cell r="W142" t="str">
            <v>-</v>
          </cell>
          <cell r="X142" t="str">
            <v>-</v>
          </cell>
          <cell r="Y142" t="str">
            <v>-</v>
          </cell>
          <cell r="Z142" t="str">
            <v>-</v>
          </cell>
          <cell r="AA142" t="str">
            <v>-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 t="str">
            <v>-</v>
          </cell>
          <cell r="AH142" t="str">
            <v>Não possui</v>
          </cell>
          <cell r="AI142" t="str">
            <v>-</v>
          </cell>
          <cell r="AJ142" t="str">
            <v>-</v>
          </cell>
          <cell r="AK142" t="str">
            <v>-</v>
          </cell>
          <cell r="AL142" t="str">
            <v>-</v>
          </cell>
          <cell r="AM142" t="str">
            <v>-</v>
          </cell>
          <cell r="AN142" t="str">
            <v>-</v>
          </cell>
          <cell r="AO142" t="str">
            <v>-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>-</v>
          </cell>
        </row>
        <row r="143">
          <cell r="D143" t="str">
            <v>ERE1520</v>
          </cell>
          <cell r="E143" t="str">
            <v>00429802293</v>
          </cell>
          <cell r="F143" t="str">
            <v>3N1CK3CD3CL230598</v>
          </cell>
          <cell r="G143" t="str">
            <v>Nissan</v>
          </cell>
          <cell r="H143" t="str">
            <v>March 16S Flex</v>
          </cell>
          <cell r="I143" t="str">
            <v>-</v>
          </cell>
          <cell r="J143" t="str">
            <v>-</v>
          </cell>
          <cell r="K143" t="str">
            <v>-</v>
          </cell>
          <cell r="L143" t="str">
            <v>Flex</v>
          </cell>
          <cell r="M143" t="str">
            <v>Branca</v>
          </cell>
          <cell r="N143" t="str">
            <v>-</v>
          </cell>
          <cell r="O143" t="str">
            <v>-</v>
          </cell>
          <cell r="P143" t="str">
            <v>-</v>
          </cell>
          <cell r="Q143" t="str">
            <v>Vendido</v>
          </cell>
          <cell r="R143" t="str">
            <v>Vendido e-mail Isa 14/02/20 por 20.500,00 - PF X PF</v>
          </cell>
          <cell r="S143" t="str">
            <v>-</v>
          </cell>
          <cell r="T143" t="str">
            <v>-</v>
          </cell>
          <cell r="U143" t="str">
            <v>-</v>
          </cell>
          <cell r="V143" t="str">
            <v>-</v>
          </cell>
          <cell r="W143" t="str">
            <v>-</v>
          </cell>
          <cell r="X143" t="str">
            <v>-</v>
          </cell>
          <cell r="Y143" t="str">
            <v>-</v>
          </cell>
          <cell r="Z143">
            <v>43192</v>
          </cell>
          <cell r="AA143" t="str">
            <v>-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Alelo</v>
          </cell>
          <cell r="AG143" t="str">
            <v>verificar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Sem reserVA</v>
          </cell>
          <cell r="AL143" t="str">
            <v>Não encontrada</v>
          </cell>
          <cell r="AM143">
            <v>40955</v>
          </cell>
          <cell r="AN143">
            <v>35990</v>
          </cell>
          <cell r="AO143" t="str">
            <v>-</v>
          </cell>
          <cell r="AP143">
            <v>43875</v>
          </cell>
          <cell r="AQ143" t="str">
            <v>Sem NF</v>
          </cell>
          <cell r="AR143">
            <v>20500</v>
          </cell>
          <cell r="AS143" t="str">
            <v>-</v>
          </cell>
          <cell r="AT143" t="str">
            <v>-</v>
          </cell>
          <cell r="AU143" t="str">
            <v>-</v>
          </cell>
          <cell r="AV143" t="str">
            <v>-</v>
          </cell>
        </row>
        <row r="144">
          <cell r="D144" t="str">
            <v>ERE2098</v>
          </cell>
          <cell r="E144" t="str">
            <v>00450544052</v>
          </cell>
          <cell r="F144" t="str">
            <v>9BD15804AC6678774</v>
          </cell>
          <cell r="G144" t="str">
            <v>Fiat</v>
          </cell>
          <cell r="H144" t="str">
            <v>Uno Mille Way 1.0 Economy</v>
          </cell>
          <cell r="I144" t="str">
            <v>-</v>
          </cell>
          <cell r="J144" t="str">
            <v>-</v>
          </cell>
          <cell r="K144" t="str">
            <v>Veículo de Passeio</v>
          </cell>
          <cell r="L144" t="str">
            <v>Flex</v>
          </cell>
          <cell r="M144" t="str">
            <v>Branca</v>
          </cell>
          <cell r="N144" t="str">
            <v>Presidente Prudente</v>
          </cell>
          <cell r="O144" t="str">
            <v>-</v>
          </cell>
          <cell r="P144" t="str">
            <v>-</v>
          </cell>
          <cell r="Q144" t="str">
            <v>Vendido</v>
          </cell>
          <cell r="R144" t="str">
            <v xml:space="preserve">02/12 Fiat UNO - PARADO DISTRITO (AGUARDANDO APROvaÇÃO ORÇAMENTO) </v>
          </cell>
          <cell r="S144" t="str">
            <v>-</v>
          </cell>
          <cell r="T144" t="str">
            <v>Sagi</v>
          </cell>
          <cell r="U144" t="str">
            <v>-</v>
          </cell>
          <cell r="V144" t="str">
            <v>-</v>
          </cell>
          <cell r="W144" t="str">
            <v>Ativo</v>
          </cell>
          <cell r="X144" t="str">
            <v>Ativo</v>
          </cell>
          <cell r="Y144" t="str">
            <v>ERE-2098</v>
          </cell>
          <cell r="Z144">
            <v>43145</v>
          </cell>
          <cell r="AA144" t="str">
            <v>-</v>
          </cell>
          <cell r="AB144" t="str">
            <v>-</v>
          </cell>
          <cell r="AC144" t="str">
            <v>-</v>
          </cell>
          <cell r="AD144" t="str">
            <v>OK</v>
          </cell>
          <cell r="AE144" t="str">
            <v>Possui</v>
          </cell>
          <cell r="AF144" t="str">
            <v>Ativo</v>
          </cell>
          <cell r="AG144" t="str">
            <v>HDI</v>
          </cell>
          <cell r="AH144" t="str">
            <v>ok, 23/12</v>
          </cell>
          <cell r="AI144" t="str">
            <v>PASSEIO</v>
          </cell>
          <cell r="AJ144" t="str">
            <v>PASSEIO</v>
          </cell>
          <cell r="AK144" t="str">
            <v>Sem reserVA</v>
          </cell>
          <cell r="AL144">
            <v>179214</v>
          </cell>
          <cell r="AM144">
            <v>40928</v>
          </cell>
          <cell r="AN144">
            <v>24192.32</v>
          </cell>
          <cell r="AO144" t="str">
            <v>Fiat AUTOMOVEIS AS</v>
          </cell>
          <cell r="AP144">
            <v>45111</v>
          </cell>
          <cell r="AQ144" t="str">
            <v>NF 8283</v>
          </cell>
          <cell r="AR144">
            <v>10000</v>
          </cell>
          <cell r="AS144" t="str">
            <v>-</v>
          </cell>
          <cell r="AT144" t="str">
            <v>-</v>
          </cell>
          <cell r="AU144" t="str">
            <v>-</v>
          </cell>
          <cell r="AV144" t="str">
            <v>-</v>
          </cell>
        </row>
        <row r="145">
          <cell r="D145" t="str">
            <v>ESK6637</v>
          </cell>
          <cell r="E145" t="str">
            <v>00324308345</v>
          </cell>
          <cell r="F145" t="str">
            <v>9C2KC1670BR539151</v>
          </cell>
          <cell r="G145" t="str">
            <v>Honda</v>
          </cell>
          <cell r="H145" t="str">
            <v>CG 150 Fan ESI</v>
          </cell>
          <cell r="I145" t="str">
            <v>-</v>
          </cell>
          <cell r="J145" t="str">
            <v>-</v>
          </cell>
          <cell r="K145" t="str">
            <v>-</v>
          </cell>
          <cell r="L145" t="str">
            <v>Flex</v>
          </cell>
          <cell r="M145" t="str">
            <v>Preta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Vendido</v>
          </cell>
          <cell r="R145" t="str">
            <v xml:space="preserve">Ekipa - Vendido intermediação Jairo 09.06.20 e-mail Thayane, 3.500, recebido caixa 77 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A3</v>
          </cell>
          <cell r="X145" t="str">
            <v>-</v>
          </cell>
          <cell r="Y145" t="str">
            <v>-</v>
          </cell>
          <cell r="Z145">
            <v>43132</v>
          </cell>
          <cell r="AA145" t="str">
            <v>Thayane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Alelo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Sem reserVA</v>
          </cell>
          <cell r="AL145" t="str">
            <v>SEM NF</v>
          </cell>
          <cell r="AM145" t="str">
            <v>Não informada</v>
          </cell>
          <cell r="AN145" t="str">
            <v>Não encontrada</v>
          </cell>
          <cell r="AO145" t="str">
            <v>HONDA</v>
          </cell>
          <cell r="AP145">
            <v>43991</v>
          </cell>
          <cell r="AQ145" t="str">
            <v>Sem NF</v>
          </cell>
          <cell r="AR145">
            <v>3500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</row>
        <row r="146">
          <cell r="D146" t="str">
            <v>ESK7688</v>
          </cell>
          <cell r="E146" t="str">
            <v>00324743564</v>
          </cell>
          <cell r="F146" t="str">
            <v>9C2KC1670BR529415</v>
          </cell>
          <cell r="G146" t="str">
            <v>Honda</v>
          </cell>
          <cell r="H146" t="str">
            <v>CG 125 Fan ESI</v>
          </cell>
          <cell r="I146" t="str">
            <v>-</v>
          </cell>
          <cell r="J146" t="str">
            <v>-</v>
          </cell>
          <cell r="K146" t="str">
            <v>-</v>
          </cell>
          <cell r="L146" t="str">
            <v>Flex</v>
          </cell>
          <cell r="M146" t="str">
            <v>Preta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Vendido</v>
          </cell>
          <cell r="R146" t="str">
            <v>Vendido e-mail Thayane 06/7/19 por 5.640,00 para Emerton (CABelo)</v>
          </cell>
          <cell r="S146" t="str">
            <v>-</v>
          </cell>
          <cell r="T146" t="str">
            <v>-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 t="str">
            <v>-</v>
          </cell>
          <cell r="Z146">
            <v>43138</v>
          </cell>
          <cell r="AA146" t="str">
            <v>Thayane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Alelo</v>
          </cell>
          <cell r="AG146" t="str">
            <v>-</v>
          </cell>
          <cell r="AH146" t="str">
            <v>Não possui</v>
          </cell>
          <cell r="AI146" t="str">
            <v>-</v>
          </cell>
          <cell r="AJ146" t="str">
            <v>-</v>
          </cell>
          <cell r="AK146" t="str">
            <v>Sem reserVA</v>
          </cell>
          <cell r="AL146" t="str">
            <v>SEM NF</v>
          </cell>
          <cell r="AM146" t="str">
            <v>Não informada</v>
          </cell>
          <cell r="AN146" t="str">
            <v>Não encontrada</v>
          </cell>
          <cell r="AO146" t="str">
            <v>-</v>
          </cell>
          <cell r="AP146">
            <v>43652</v>
          </cell>
          <cell r="AQ146">
            <v>24981</v>
          </cell>
          <cell r="AR146">
            <v>5640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>-</v>
          </cell>
        </row>
        <row r="147">
          <cell r="D147" t="str">
            <v>EVF8607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-</v>
          </cell>
          <cell r="I147" t="str">
            <v>-</v>
          </cell>
          <cell r="J147" t="str">
            <v>-</v>
          </cell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Vendido</v>
          </cell>
          <cell r="R147" t="str">
            <v>Não possui informações, licenciamento 2012.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Não possui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</row>
        <row r="148">
          <cell r="D148" t="str">
            <v>EVF8608</v>
          </cell>
          <cell r="E148" t="str">
            <v>00322200423</v>
          </cell>
          <cell r="F148" t="str">
            <v>9BD27803MC7391407</v>
          </cell>
          <cell r="G148" t="str">
            <v>Fiat</v>
          </cell>
          <cell r="H148" t="str">
            <v>Strada CS Fire 1.4 Flex</v>
          </cell>
          <cell r="I148" t="str">
            <v>-</v>
          </cell>
          <cell r="J148" t="str">
            <v>-</v>
          </cell>
          <cell r="K148" t="str">
            <v>-</v>
          </cell>
          <cell r="L148" t="str">
            <v>Flex</v>
          </cell>
          <cell r="M148" t="str">
            <v>Branca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Vendido</v>
          </cell>
          <cell r="R148" t="str">
            <v>02/12  Fiat STRADA PICKUP - EM MANUTENÇAO  TOTAL MECANICA (MOTOR) DISTRITO - Vendido em 16/06/21 por intermediação Jairo, 17.500,00. A transferencia será em 23/7 provavelmente. Transação aprovada sr. Renato.</v>
          </cell>
          <cell r="S148" t="str">
            <v>-</v>
          </cell>
          <cell r="T148" t="str">
            <v>-</v>
          </cell>
          <cell r="U148" t="str">
            <v>-</v>
          </cell>
          <cell r="V148" t="str">
            <v>-</v>
          </cell>
          <cell r="W148" t="str">
            <v>A3</v>
          </cell>
          <cell r="X148" t="str">
            <v>Ok</v>
          </cell>
          <cell r="Y148" t="str">
            <v>-</v>
          </cell>
          <cell r="Z148">
            <v>43145</v>
          </cell>
          <cell r="AA148" t="str">
            <v>ok</v>
          </cell>
          <cell r="AB148" t="str">
            <v>ok</v>
          </cell>
          <cell r="AC148" t="str">
            <v>-</v>
          </cell>
          <cell r="AD148" t="str">
            <v>-</v>
          </cell>
          <cell r="AE148" t="str">
            <v>G&amp;G - CLassico 915 PJ</v>
          </cell>
          <cell r="AF148" t="str">
            <v>Alelo</v>
          </cell>
          <cell r="AG148" t="str">
            <v>HDI</v>
          </cell>
          <cell r="AH148" t="str">
            <v>ok, 23/12</v>
          </cell>
          <cell r="AI148" t="str">
            <v>-</v>
          </cell>
          <cell r="AJ148" t="str">
            <v>-</v>
          </cell>
          <cell r="AK148" t="str">
            <v>Sem reserVA</v>
          </cell>
          <cell r="AL148">
            <v>136434</v>
          </cell>
          <cell r="AM148">
            <v>40640</v>
          </cell>
          <cell r="AN148">
            <v>30139.8</v>
          </cell>
          <cell r="AO148" t="str">
            <v>Fiat AUTOMOVEIS AS</v>
          </cell>
          <cell r="AP148">
            <v>44363</v>
          </cell>
          <cell r="AQ148" t="str">
            <v>-</v>
          </cell>
          <cell r="AR148" t="str">
            <v>-</v>
          </cell>
          <cell r="AS148" t="str">
            <v>-</v>
          </cell>
          <cell r="AT148" t="str">
            <v>-</v>
          </cell>
          <cell r="AU148" t="str">
            <v>-</v>
          </cell>
          <cell r="AV148" t="str">
            <v>-</v>
          </cell>
        </row>
        <row r="149">
          <cell r="D149" t="str">
            <v>EVF8807</v>
          </cell>
          <cell r="E149" t="str">
            <v>-</v>
          </cell>
          <cell r="F149" t="str">
            <v>-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  <cell r="K149" t="str">
            <v>-</v>
          </cell>
          <cell r="L149" t="str">
            <v>-</v>
          </cell>
          <cell r="M149" t="str">
            <v>-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Vendido</v>
          </cell>
          <cell r="R149" t="str">
            <v>Veículo em nome do sr. Zacarias. Vendido por 19mil, para C.J. Pivato - ME.</v>
          </cell>
          <cell r="S149" t="str">
            <v>-</v>
          </cell>
          <cell r="T149" t="str">
            <v>-</v>
          </cell>
          <cell r="U149" t="str">
            <v>-</v>
          </cell>
          <cell r="V149" t="str">
            <v>-</v>
          </cell>
          <cell r="W149" t="str">
            <v>-</v>
          </cell>
          <cell r="X149" t="str">
            <v>-</v>
          </cell>
          <cell r="Y149" t="str">
            <v>-</v>
          </cell>
          <cell r="Z149" t="str">
            <v>-</v>
          </cell>
          <cell r="AA149" t="str">
            <v>-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 t="str">
            <v>-</v>
          </cell>
          <cell r="AH149" t="str">
            <v>Não possui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  <cell r="AM149" t="str">
            <v>-</v>
          </cell>
          <cell r="AN149" t="str">
            <v>-</v>
          </cell>
          <cell r="AO149" t="str">
            <v>-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>-</v>
          </cell>
        </row>
        <row r="150">
          <cell r="D150" t="str">
            <v>EVF9485</v>
          </cell>
          <cell r="E150" t="str">
            <v>327828633</v>
          </cell>
          <cell r="F150" t="str">
            <v>9BD27803MC7404215</v>
          </cell>
          <cell r="G150" t="str">
            <v>Fiat</v>
          </cell>
          <cell r="H150" t="str">
            <v>Strada CS Fire 1.4 Flex</v>
          </cell>
          <cell r="I150" t="str">
            <v>-</v>
          </cell>
          <cell r="J150" t="str">
            <v>-</v>
          </cell>
          <cell r="K150" t="str">
            <v>-</v>
          </cell>
          <cell r="L150" t="str">
            <v>Flex</v>
          </cell>
          <cell r="M150" t="str">
            <v>Branca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Vendido</v>
          </cell>
          <cell r="R150" t="str">
            <v>Ekipa - Vendido para Sra. Silvana - negociaçaõ direta com SR Renato - Email thayane em 28/5/19</v>
          </cell>
          <cell r="S150" t="str">
            <v>-</v>
          </cell>
          <cell r="T150" t="str">
            <v>-</v>
          </cell>
          <cell r="U150" t="str">
            <v>-</v>
          </cell>
          <cell r="V150" t="str">
            <v>-</v>
          </cell>
          <cell r="W150" t="str">
            <v>A3</v>
          </cell>
          <cell r="X150" t="str">
            <v>-</v>
          </cell>
          <cell r="Y150" t="str">
            <v>-</v>
          </cell>
          <cell r="Z150">
            <v>43132</v>
          </cell>
          <cell r="AA150" t="str">
            <v>-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Alelo</v>
          </cell>
          <cell r="AG150" t="str">
            <v>HDI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Sem reserVA</v>
          </cell>
          <cell r="AL150">
            <v>215094</v>
          </cell>
          <cell r="AM150">
            <v>40673</v>
          </cell>
          <cell r="AN150">
            <v>28404</v>
          </cell>
          <cell r="AO150" t="str">
            <v>Fiat AUTOMOVEIS AS</v>
          </cell>
          <cell r="AP150">
            <v>43613</v>
          </cell>
          <cell r="AQ150">
            <v>5648</v>
          </cell>
          <cell r="AR150">
            <v>13000</v>
          </cell>
          <cell r="AS150" t="str">
            <v>-</v>
          </cell>
          <cell r="AT150" t="str">
            <v>-</v>
          </cell>
          <cell r="AU150" t="str">
            <v>-</v>
          </cell>
          <cell r="AV150" t="str">
            <v>-</v>
          </cell>
        </row>
        <row r="151">
          <cell r="D151" t="str">
            <v>EYY6711</v>
          </cell>
          <cell r="E151" t="str">
            <v>00526115424</v>
          </cell>
          <cell r="F151" t="str">
            <v>902JC4120DR529580</v>
          </cell>
          <cell r="G151" t="str">
            <v>Honda</v>
          </cell>
          <cell r="H151" t="str">
            <v>CG 125 Fan ESI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Gasolina</v>
          </cell>
          <cell r="M151" t="str">
            <v>Preta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Vendido</v>
          </cell>
          <cell r="R151" t="str">
            <v>Dourados - Verificar documento de transferencia - esta somente copia do documento - E-mail 09.06.2020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A3</v>
          </cell>
          <cell r="X151" t="str">
            <v>-</v>
          </cell>
          <cell r="Y151" t="str">
            <v>-</v>
          </cell>
          <cell r="Z151">
            <v>43119</v>
          </cell>
          <cell r="AA151" t="str">
            <v>Thayane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Alelo</v>
          </cell>
          <cell r="AG151" t="str">
            <v>-</v>
          </cell>
          <cell r="AH151" t="str">
            <v>Não possui</v>
          </cell>
          <cell r="AI151" t="str">
            <v>-</v>
          </cell>
          <cell r="AJ151" t="str">
            <v>-</v>
          </cell>
          <cell r="AK151" t="str">
            <v>Sem reserVA</v>
          </cell>
          <cell r="AL151" t="str">
            <v>SEM NF</v>
          </cell>
          <cell r="AM151" t="str">
            <v>Não informada</v>
          </cell>
          <cell r="AN151" t="str">
            <v>Não encontrada</v>
          </cell>
          <cell r="AO151" t="str">
            <v>HONDA</v>
          </cell>
          <cell r="AP151">
            <v>43730</v>
          </cell>
          <cell r="AQ151">
            <v>23414</v>
          </cell>
          <cell r="AR151">
            <v>3500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</row>
        <row r="152">
          <cell r="D152" t="str">
            <v>FCE5F96</v>
          </cell>
          <cell r="E152" t="str">
            <v>01279832859</v>
          </cell>
          <cell r="F152" t="str">
            <v>9BWAH5BZXNP023473</v>
          </cell>
          <cell r="G152" t="str">
            <v>Volkswagen</v>
          </cell>
          <cell r="H152" t="str">
            <v>Polo CL AD</v>
          </cell>
          <cell r="I152" t="str">
            <v>-</v>
          </cell>
          <cell r="J152" t="str">
            <v>-</v>
          </cell>
          <cell r="K152" t="str">
            <v>Veículo de Passeio</v>
          </cell>
          <cell r="L152" t="str">
            <v>Flex</v>
          </cell>
          <cell r="M152" t="str">
            <v>Branca</v>
          </cell>
          <cell r="N152" t="str">
            <v>Presidente Prudente</v>
          </cell>
          <cell r="O152" t="str">
            <v>1.2.1.1</v>
          </cell>
          <cell r="P152" t="str">
            <v>-</v>
          </cell>
          <cell r="Q152" t="str">
            <v>Vendido</v>
          </cell>
          <cell r="R152" t="str">
            <v>Zero - Irá ficar com Diego. Vendido em 27/10/2023 para o Sr. Renato no valor de R$ 47.000,00. Em 06/11/2023 Sr. Renato vendeu o veículo para a Liane no valor de R$ 76.000,00.</v>
          </cell>
          <cell r="S152" t="str">
            <v>-</v>
          </cell>
          <cell r="T152" t="str">
            <v>Sagi</v>
          </cell>
          <cell r="U152" t="str">
            <v>Ok</v>
          </cell>
          <cell r="V152" t="str">
            <v>-</v>
          </cell>
          <cell r="W152" t="str">
            <v>Ativo</v>
          </cell>
          <cell r="X152" t="str">
            <v>Ativo</v>
          </cell>
          <cell r="Y152" t="str">
            <v>FCE5F96</v>
          </cell>
          <cell r="Z152" t="str">
            <v>-</v>
          </cell>
          <cell r="AA152" t="str">
            <v>-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Possui</v>
          </cell>
          <cell r="AF152" t="str">
            <v>Ativo</v>
          </cell>
          <cell r="AG152" t="str">
            <v>-</v>
          </cell>
          <cell r="AH152" t="str">
            <v>ATPV</v>
          </cell>
          <cell r="AI152" t="str">
            <v>PASSEIO</v>
          </cell>
          <cell r="AJ152" t="str">
            <v>PASSEIO</v>
          </cell>
          <cell r="AK152" t="str">
            <v>Sem reserVA</v>
          </cell>
          <cell r="AL152">
            <v>182454</v>
          </cell>
          <cell r="AM152">
            <v>44494</v>
          </cell>
          <cell r="AN152">
            <v>96000</v>
          </cell>
          <cell r="AO152" t="str">
            <v>LIANE VEICULOS Ltda</v>
          </cell>
          <cell r="AP152">
            <v>45236</v>
          </cell>
          <cell r="AQ152" t="str">
            <v>Sem NF</v>
          </cell>
          <cell r="AR152">
            <v>76000</v>
          </cell>
          <cell r="AS152" t="str">
            <v>-</v>
          </cell>
          <cell r="AT152" t="str">
            <v>-</v>
          </cell>
          <cell r="AU152" t="str">
            <v>-</v>
          </cell>
          <cell r="AV152" t="str">
            <v>-</v>
          </cell>
        </row>
        <row r="153">
          <cell r="D153" t="str">
            <v>FCK9050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  <cell r="J153" t="str">
            <v>-</v>
          </cell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Vendido</v>
          </cell>
          <cell r="R153" t="str">
            <v>Não possui informações. Doc. em nome do sr. Renato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Não possui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</row>
        <row r="154">
          <cell r="D154" t="str">
            <v>FEC4201</v>
          </cell>
          <cell r="E154" t="str">
            <v>00477498000</v>
          </cell>
          <cell r="F154" t="str">
            <v>9BD15804AD0742560</v>
          </cell>
          <cell r="G154" t="str">
            <v>Fiat</v>
          </cell>
          <cell r="H154" t="str">
            <v>Uno Mille Way 1.0 Economy</v>
          </cell>
          <cell r="I154" t="str">
            <v>-</v>
          </cell>
          <cell r="J154" t="str">
            <v>-</v>
          </cell>
          <cell r="K154" t="str">
            <v>-</v>
          </cell>
          <cell r="L154" t="str">
            <v>Flex</v>
          </cell>
          <cell r="M154" t="str">
            <v>Branca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Vendido</v>
          </cell>
          <cell r="R154" t="str">
            <v>Londrina - Vendido intermediação Jairo, e-mail Daniela 28.10.2020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A3</v>
          </cell>
          <cell r="X154" t="str">
            <v>-</v>
          </cell>
          <cell r="Y154" t="str">
            <v>-</v>
          </cell>
          <cell r="Z154">
            <v>43119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G&amp;G - Rodovias PJ</v>
          </cell>
          <cell r="AF154" t="str">
            <v>Alelo</v>
          </cell>
          <cell r="AG154" t="str">
            <v>HDI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Sem reserVA</v>
          </cell>
          <cell r="AL154">
            <v>636010</v>
          </cell>
          <cell r="AM154">
            <v>41104</v>
          </cell>
          <cell r="AN154">
            <v>22383.279999999999</v>
          </cell>
          <cell r="AO154" t="str">
            <v>Fiat AUTOMOVEIS AS</v>
          </cell>
          <cell r="AP154">
            <v>43764</v>
          </cell>
          <cell r="AQ154">
            <v>5683</v>
          </cell>
          <cell r="AR154">
            <v>15000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</row>
        <row r="155">
          <cell r="D155" t="str">
            <v>FHH5639</v>
          </cell>
          <cell r="E155" t="str">
            <v>-</v>
          </cell>
          <cell r="F155" t="str">
            <v>-</v>
          </cell>
          <cell r="G155" t="str">
            <v>-</v>
          </cell>
          <cell r="H155" t="str">
            <v>-</v>
          </cell>
          <cell r="I155" t="str">
            <v>-</v>
          </cell>
          <cell r="J155" t="str">
            <v>-</v>
          </cell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Vendido</v>
          </cell>
          <cell r="R155" t="str">
            <v>Vendido por 62mil, para Fernando Aparecido dos Santos. Doc. em nome da d. Giuliana.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Não posssui</v>
          </cell>
          <cell r="AI155" t="str">
            <v>-</v>
          </cell>
          <cell r="AJ155" t="str">
            <v>-</v>
          </cell>
          <cell r="AK155" t="str">
            <v>-</v>
          </cell>
          <cell r="AL155">
            <v>119206</v>
          </cell>
          <cell r="AM155">
            <v>41128</v>
          </cell>
          <cell r="AN155">
            <v>88500</v>
          </cell>
          <cell r="AO155" t="str">
            <v>LANCE Comércio de VEICULOS e PEÇAS Ltda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</row>
        <row r="156">
          <cell r="D156" t="str">
            <v>FHL0120</v>
          </cell>
          <cell r="E156" t="str">
            <v>00501189564</v>
          </cell>
          <cell r="F156" t="str">
            <v>93YBSRBVADJ507883</v>
          </cell>
          <cell r="G156" t="str">
            <v>Renault</v>
          </cell>
          <cell r="H156" t="str">
            <v>Sandero PR 1616VA</v>
          </cell>
          <cell r="I156" t="str">
            <v>-</v>
          </cell>
          <cell r="J156" t="str">
            <v>-</v>
          </cell>
          <cell r="K156" t="str">
            <v>-</v>
          </cell>
          <cell r="L156" t="str">
            <v>Flex</v>
          </cell>
          <cell r="M156" t="str">
            <v>Bege</v>
          </cell>
          <cell r="N156" t="str">
            <v>-</v>
          </cell>
          <cell r="O156" t="str">
            <v>-</v>
          </cell>
          <cell r="P156" t="str">
            <v>-</v>
          </cell>
          <cell r="Q156" t="str">
            <v>Vendido</v>
          </cell>
          <cell r="R156" t="str">
            <v>Renato - Vendido e transferido para o Jairo, e-mail de Thayane 04.05.2019 - Operação PF x PF, sem NF.</v>
          </cell>
          <cell r="S156" t="str">
            <v>-</v>
          </cell>
          <cell r="T156" t="str">
            <v>-</v>
          </cell>
          <cell r="U156" t="str">
            <v>-</v>
          </cell>
          <cell r="V156" t="str">
            <v>-</v>
          </cell>
          <cell r="W156" t="str">
            <v>-</v>
          </cell>
          <cell r="X156" t="str">
            <v>-</v>
          </cell>
          <cell r="Y156" t="str">
            <v>-</v>
          </cell>
          <cell r="Z156">
            <v>43145</v>
          </cell>
          <cell r="AA156" t="str">
            <v>Renato pediu para aguarda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Alelo</v>
          </cell>
          <cell r="AG156" t="str">
            <v>HDI</v>
          </cell>
          <cell r="AH156" t="str">
            <v>Não possui</v>
          </cell>
          <cell r="AI156" t="str">
            <v>-</v>
          </cell>
          <cell r="AJ156" t="str">
            <v>-</v>
          </cell>
          <cell r="AK156" t="str">
            <v>-</v>
          </cell>
          <cell r="AL156" t="str">
            <v>SEM NF</v>
          </cell>
          <cell r="AM156">
            <v>42571</v>
          </cell>
          <cell r="AN156">
            <v>25000</v>
          </cell>
          <cell r="AO156" t="str">
            <v>Renato TINTI HERBELLA</v>
          </cell>
          <cell r="AP156">
            <v>43598</v>
          </cell>
          <cell r="AQ156" t="str">
            <v>Sem NF</v>
          </cell>
          <cell r="AR156">
            <v>24000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>-</v>
          </cell>
        </row>
        <row r="157">
          <cell r="D157" t="str">
            <v>FLH1694</v>
          </cell>
          <cell r="E157" t="str">
            <v>00574351477</v>
          </cell>
          <cell r="F157" t="str">
            <v>3G1J85CD2ES505538</v>
          </cell>
          <cell r="G157" t="str">
            <v>GM</v>
          </cell>
          <cell r="H157" t="str">
            <v>Sonic LTZ NB AT</v>
          </cell>
          <cell r="I157" t="str">
            <v>-</v>
          </cell>
          <cell r="J157" t="str">
            <v>-</v>
          </cell>
          <cell r="K157" t="str">
            <v>-</v>
          </cell>
          <cell r="L157" t="str">
            <v>Flex</v>
          </cell>
          <cell r="M157" t="str">
            <v>Preta</v>
          </cell>
          <cell r="N157" t="str">
            <v>-</v>
          </cell>
          <cell r="O157" t="str">
            <v>-</v>
          </cell>
          <cell r="P157" t="str">
            <v>-</v>
          </cell>
          <cell r="Q157" t="str">
            <v>Vendido</v>
          </cell>
          <cell r="R157" t="str">
            <v>Vendido e-mail Thayane 17/1/19 - intermediação jairo - Vendido por 31mil, para Jaime Celestino da Silva.</v>
          </cell>
          <cell r="S157" t="str">
            <v>-</v>
          </cell>
          <cell r="T157" t="str">
            <v>-</v>
          </cell>
          <cell r="U157" t="str">
            <v>-</v>
          </cell>
          <cell r="V157" t="str">
            <v>-</v>
          </cell>
          <cell r="W157" t="str">
            <v>-</v>
          </cell>
          <cell r="X157" t="str">
            <v>-</v>
          </cell>
          <cell r="Y157" t="str">
            <v>-</v>
          </cell>
          <cell r="Z157">
            <v>43131</v>
          </cell>
          <cell r="AA157" t="str">
            <v>Renato pediu para não pagar</v>
          </cell>
          <cell r="AB157" t="str">
            <v>-</v>
          </cell>
          <cell r="AC157" t="str">
            <v>-</v>
          </cell>
          <cell r="AD157" t="str">
            <v>-</v>
          </cell>
          <cell r="AE157" t="str">
            <v>-</v>
          </cell>
          <cell r="AF157" t="str">
            <v>Alelo</v>
          </cell>
          <cell r="AG157" t="str">
            <v>HDI</v>
          </cell>
          <cell r="AH157" t="str">
            <v>Não possui</v>
          </cell>
          <cell r="AI157" t="str">
            <v>-</v>
          </cell>
          <cell r="AJ157" t="str">
            <v>-</v>
          </cell>
          <cell r="AK157" t="str">
            <v>Sem reserVA</v>
          </cell>
          <cell r="AL157">
            <v>3267</v>
          </cell>
          <cell r="AM157">
            <v>42795</v>
          </cell>
          <cell r="AN157">
            <v>32500</v>
          </cell>
          <cell r="AO157" t="str">
            <v>MULT CAR VEICULOS de PRUDENTE Ltda</v>
          </cell>
          <cell r="AP157">
            <v>43482</v>
          </cell>
          <cell r="AQ157">
            <v>5607</v>
          </cell>
          <cell r="AR157">
            <v>31000</v>
          </cell>
          <cell r="AS157" t="str">
            <v>-</v>
          </cell>
          <cell r="AT157" t="str">
            <v>-</v>
          </cell>
          <cell r="AU157" t="str">
            <v>-</v>
          </cell>
          <cell r="AV157" t="str">
            <v>-</v>
          </cell>
        </row>
        <row r="158">
          <cell r="D158" t="str">
            <v>FYK8072</v>
          </cell>
          <cell r="E158" t="str">
            <v>01153465580</v>
          </cell>
          <cell r="F158" t="str">
            <v>WV1DA22H2JA038179</v>
          </cell>
          <cell r="G158" t="str">
            <v>Volkswagen</v>
          </cell>
          <cell r="H158" t="str">
            <v>Amarok V6 High AC4</v>
          </cell>
          <cell r="I158" t="str">
            <v>-</v>
          </cell>
          <cell r="J158" t="str">
            <v>-</v>
          </cell>
          <cell r="K158" t="str">
            <v>-</v>
          </cell>
          <cell r="L158" t="str">
            <v>-</v>
          </cell>
          <cell r="M158" t="str">
            <v>Preta</v>
          </cell>
          <cell r="N158" t="str">
            <v>-</v>
          </cell>
          <cell r="O158" t="str">
            <v>-</v>
          </cell>
          <cell r="P158" t="str">
            <v>-</v>
          </cell>
          <cell r="Q158" t="str">
            <v>Vendido</v>
          </cell>
          <cell r="R158" t="str">
            <v>Vendido para Bott, E-mail 15.08.2020</v>
          </cell>
          <cell r="S158" t="str">
            <v>-</v>
          </cell>
          <cell r="T158" t="str">
            <v>-</v>
          </cell>
          <cell r="U158" t="str">
            <v>-</v>
          </cell>
          <cell r="V158" t="str">
            <v>-</v>
          </cell>
          <cell r="W158" t="str">
            <v>-</v>
          </cell>
          <cell r="X158" t="str">
            <v>-</v>
          </cell>
          <cell r="Y158" t="str">
            <v>-</v>
          </cell>
          <cell r="Z158">
            <v>43252</v>
          </cell>
          <cell r="AA158" t="str">
            <v>-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Alelo</v>
          </cell>
          <cell r="AG158" t="str">
            <v>-</v>
          </cell>
          <cell r="AH158" t="str">
            <v>-</v>
          </cell>
          <cell r="AI158" t="str">
            <v>-</v>
          </cell>
          <cell r="AJ158" t="str">
            <v>-</v>
          </cell>
          <cell r="AK158" t="str">
            <v>Brasil</v>
          </cell>
          <cell r="AL158">
            <v>135869</v>
          </cell>
          <cell r="AM158">
            <v>43237</v>
          </cell>
          <cell r="AN158">
            <v>184000</v>
          </cell>
          <cell r="AO158" t="str">
            <v>LIANE VEICULOS Ltda</v>
          </cell>
          <cell r="AP158">
            <v>44078</v>
          </cell>
          <cell r="AQ158">
            <v>5908</v>
          </cell>
          <cell r="AR158">
            <v>161000</v>
          </cell>
          <cell r="AS158" t="str">
            <v>-</v>
          </cell>
          <cell r="AT158" t="str">
            <v>-</v>
          </cell>
          <cell r="AU158" t="str">
            <v>-</v>
          </cell>
          <cell r="AV158" t="str">
            <v>-</v>
          </cell>
        </row>
        <row r="159">
          <cell r="D159" t="str">
            <v>GAC8785</v>
          </cell>
          <cell r="E159" t="str">
            <v>-</v>
          </cell>
          <cell r="F159" t="str">
            <v>-</v>
          </cell>
          <cell r="G159" t="str">
            <v>-</v>
          </cell>
          <cell r="H159" t="str">
            <v>Land Rover</v>
          </cell>
          <cell r="I159" t="str">
            <v>-</v>
          </cell>
          <cell r="J159" t="str">
            <v>-</v>
          </cell>
          <cell r="K159" t="str">
            <v>-</v>
          </cell>
          <cell r="L159" t="str">
            <v>-</v>
          </cell>
          <cell r="M159" t="str">
            <v>-</v>
          </cell>
          <cell r="N159" t="str">
            <v>-</v>
          </cell>
          <cell r="O159" t="str">
            <v>-</v>
          </cell>
          <cell r="P159" t="str">
            <v>-</v>
          </cell>
          <cell r="Q159" t="str">
            <v>Vendido</v>
          </cell>
          <cell r="R159" t="str">
            <v>-</v>
          </cell>
          <cell r="S159" t="str">
            <v>-</v>
          </cell>
          <cell r="T159" t="str">
            <v>-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  <cell r="Y159" t="str">
            <v>-</v>
          </cell>
          <cell r="Z159" t="str">
            <v>-</v>
          </cell>
          <cell r="AA159" t="str">
            <v>-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 t="str">
            <v>Vendido</v>
          </cell>
          <cell r="AH159" t="str">
            <v>-</v>
          </cell>
          <cell r="AI159" t="str">
            <v>-</v>
          </cell>
          <cell r="AJ159" t="str">
            <v>-</v>
          </cell>
          <cell r="AK159" t="str">
            <v>-</v>
          </cell>
          <cell r="AL159" t="str">
            <v>-</v>
          </cell>
          <cell r="AM159" t="str">
            <v>-</v>
          </cell>
          <cell r="AN159" t="str">
            <v>-</v>
          </cell>
          <cell r="AO159" t="str">
            <v>-</v>
          </cell>
          <cell r="AP159" t="str">
            <v>-</v>
          </cell>
          <cell r="AQ159" t="str">
            <v>-</v>
          </cell>
          <cell r="AR159" t="str">
            <v>-</v>
          </cell>
          <cell r="AS159" t="str">
            <v>-</v>
          </cell>
          <cell r="AT159" t="str">
            <v>-</v>
          </cell>
          <cell r="AU159" t="str">
            <v>-</v>
          </cell>
          <cell r="AV159" t="str">
            <v>-</v>
          </cell>
        </row>
        <row r="160">
          <cell r="D160" t="str">
            <v>GEV3A59</v>
          </cell>
          <cell r="E160" t="str">
            <v>01240094806</v>
          </cell>
          <cell r="F160" t="str">
            <v>9BFZH55L0M8057683</v>
          </cell>
          <cell r="G160" t="str">
            <v>Ford</v>
          </cell>
          <cell r="H160" t="str">
            <v>KA SE 1.0 HA C</v>
          </cell>
          <cell r="I160" t="str">
            <v>-</v>
          </cell>
          <cell r="J160" t="str">
            <v>-</v>
          </cell>
          <cell r="K160" t="str">
            <v>Veículo de Passeio</v>
          </cell>
          <cell r="L160" t="str">
            <v>Flex</v>
          </cell>
          <cell r="M160" t="str">
            <v>Branca</v>
          </cell>
          <cell r="N160" t="str">
            <v>Presidente Prudente</v>
          </cell>
          <cell r="O160" t="str">
            <v>1.2.1.2</v>
          </cell>
          <cell r="P160" t="str">
            <v>-</v>
          </cell>
          <cell r="Q160" t="str">
            <v>Vendido</v>
          </cell>
          <cell r="R160" t="str">
            <v>Diego - Aquisição de três veículos iguais, juntos - Contato: Rocha V. Muchiutti - Pgto a Vista</v>
          </cell>
          <cell r="S160" t="str">
            <v>-</v>
          </cell>
          <cell r="T160" t="str">
            <v>Sagi</v>
          </cell>
          <cell r="U160" t="str">
            <v>Ok</v>
          </cell>
          <cell r="V160" t="str">
            <v>?</v>
          </cell>
          <cell r="W160" t="str">
            <v>Ativo</v>
          </cell>
          <cell r="X160" t="str">
            <v>Ativo</v>
          </cell>
          <cell r="Y160" t="str">
            <v>GEV-3A59</v>
          </cell>
          <cell r="Z160" t="str">
            <v>-</v>
          </cell>
          <cell r="AA160" t="str">
            <v>-</v>
          </cell>
          <cell r="AB160" t="str">
            <v>ok</v>
          </cell>
          <cell r="AC160" t="str">
            <v>-</v>
          </cell>
          <cell r="AD160" t="str">
            <v>OK</v>
          </cell>
          <cell r="AE160" t="str">
            <v>Possui</v>
          </cell>
          <cell r="AF160" t="str">
            <v>Ativo</v>
          </cell>
          <cell r="AG160" t="str">
            <v>HDI</v>
          </cell>
          <cell r="AH160" t="str">
            <v>ok, 23/12</v>
          </cell>
          <cell r="AI160" t="str">
            <v>PASSEIO</v>
          </cell>
          <cell r="AJ160" t="str">
            <v>PASSEIO</v>
          </cell>
          <cell r="AK160" t="str">
            <v>Sem reserVA</v>
          </cell>
          <cell r="AL160">
            <v>181588</v>
          </cell>
          <cell r="AM160">
            <v>44098</v>
          </cell>
          <cell r="AN160">
            <v>45990</v>
          </cell>
          <cell r="AO160" t="str">
            <v>V. MUCHIUTT VEICULOS e PECAS Ltda</v>
          </cell>
          <cell r="AP160">
            <v>45460</v>
          </cell>
          <cell r="AQ160">
            <v>8427</v>
          </cell>
          <cell r="AR160">
            <v>15000</v>
          </cell>
          <cell r="AS160" t="str">
            <v>-</v>
          </cell>
          <cell r="AT160" t="str">
            <v>-</v>
          </cell>
          <cell r="AU160" t="str">
            <v>Venda RSR X Cassimiro</v>
          </cell>
          <cell r="AV160">
            <v>2</v>
          </cell>
        </row>
        <row r="161">
          <cell r="D161" t="str">
            <v>GFC0I97</v>
          </cell>
          <cell r="E161" t="str">
            <v>01287305765</v>
          </cell>
          <cell r="F161" t="str">
            <v>9BD281A31NYW98143</v>
          </cell>
          <cell r="G161" t="str">
            <v>Fiat</v>
          </cell>
          <cell r="H161" t="str">
            <v>Strada Freedom 13CS</v>
          </cell>
          <cell r="I161" t="str">
            <v>-</v>
          </cell>
          <cell r="J161" t="str">
            <v>-</v>
          </cell>
          <cell r="K161" t="str">
            <v>Veículo de Passeio</v>
          </cell>
          <cell r="L161" t="str">
            <v>Flex</v>
          </cell>
          <cell r="M161" t="str">
            <v>Branca</v>
          </cell>
          <cell r="N161" t="str">
            <v>Presidente Prudente</v>
          </cell>
          <cell r="O161" t="str">
            <v>1.1.15</v>
          </cell>
          <cell r="P161" t="str">
            <v>-</v>
          </cell>
          <cell r="Q161" t="str">
            <v>Vendido</v>
          </cell>
          <cell r="R161" t="str">
            <v>Zero - Distrito - Manutenção</v>
          </cell>
          <cell r="S161" t="str">
            <v>-</v>
          </cell>
          <cell r="T161" t="str">
            <v>Sagi</v>
          </cell>
          <cell r="U161" t="str">
            <v>-</v>
          </cell>
          <cell r="V161" t="str">
            <v>-</v>
          </cell>
          <cell r="W161" t="str">
            <v>-</v>
          </cell>
          <cell r="X161" t="str">
            <v>Ativo</v>
          </cell>
          <cell r="Y161" t="str">
            <v>GFC0I97</v>
          </cell>
          <cell r="Z161" t="str">
            <v>-</v>
          </cell>
          <cell r="AA161" t="str">
            <v>-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Possui</v>
          </cell>
          <cell r="AF161" t="str">
            <v>-</v>
          </cell>
          <cell r="AG161" t="str">
            <v>-</v>
          </cell>
          <cell r="AH161" t="str">
            <v>ok, 11/01/22</v>
          </cell>
          <cell r="AI161" t="str">
            <v>PASSEIO</v>
          </cell>
          <cell r="AJ161" t="str">
            <v>PASSEIO</v>
          </cell>
          <cell r="AK161" t="str">
            <v>-</v>
          </cell>
          <cell r="AL161">
            <v>5456962</v>
          </cell>
          <cell r="AM161">
            <v>44551</v>
          </cell>
          <cell r="AN161">
            <v>88526.69</v>
          </cell>
          <cell r="AO161" t="str">
            <v>FCA Fiat CHRYSLER AUTOMOVEIS BRASIL Ltda</v>
          </cell>
          <cell r="AP161">
            <v>45330</v>
          </cell>
          <cell r="AQ161">
            <v>8414</v>
          </cell>
          <cell r="AR161">
            <v>55000</v>
          </cell>
          <cell r="AS161" t="str">
            <v>-</v>
          </cell>
          <cell r="AT161" t="str">
            <v>-</v>
          </cell>
          <cell r="AU161" t="str">
            <v>-</v>
          </cell>
          <cell r="AV161" t="str">
            <v>-</v>
          </cell>
        </row>
        <row r="162">
          <cell r="D162" t="str">
            <v>GGE8044</v>
          </cell>
          <cell r="E162" t="str">
            <v>01143513115</v>
          </cell>
          <cell r="F162" t="str">
            <v>99JCA2BNXJT204139</v>
          </cell>
          <cell r="G162" t="str">
            <v>Land Rover</v>
          </cell>
          <cell r="H162" t="str">
            <v>Discovery Sport D180 SE</v>
          </cell>
          <cell r="I162" t="str">
            <v>-</v>
          </cell>
          <cell r="J162" t="str">
            <v>-</v>
          </cell>
          <cell r="K162" t="str">
            <v>Veículo de Passeio</v>
          </cell>
          <cell r="L162" t="str">
            <v>Diesel</v>
          </cell>
          <cell r="M162" t="str">
            <v>Preta</v>
          </cell>
          <cell r="N162" t="str">
            <v>Presidente Prudente</v>
          </cell>
          <cell r="O162" t="str">
            <v>-</v>
          </cell>
          <cell r="P162" t="str">
            <v>-</v>
          </cell>
          <cell r="Q162" t="str">
            <v>Vendido</v>
          </cell>
          <cell r="R162" t="str">
            <v>Giuliana</v>
          </cell>
          <cell r="S162" t="str">
            <v>-</v>
          </cell>
          <cell r="T162" t="str">
            <v>-</v>
          </cell>
          <cell r="U162" t="str">
            <v>-</v>
          </cell>
          <cell r="V162" t="str">
            <v>-</v>
          </cell>
          <cell r="W162" t="str">
            <v>Não possui</v>
          </cell>
          <cell r="X162" t="str">
            <v>Ativo - Tokio</v>
          </cell>
          <cell r="Y162" t="str">
            <v>GGE-8084</v>
          </cell>
          <cell r="Z162">
            <v>43252</v>
          </cell>
          <cell r="AA162" t="str">
            <v>-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Possui</v>
          </cell>
          <cell r="AF162" t="str">
            <v>Ativo</v>
          </cell>
          <cell r="AG162" t="str">
            <v>Tokio Marine</v>
          </cell>
          <cell r="AH162" t="str">
            <v>ok, 23/12</v>
          </cell>
          <cell r="AI162" t="str">
            <v>PASSEIO</v>
          </cell>
          <cell r="AJ162" t="str">
            <v>PASSEIO</v>
          </cell>
          <cell r="AK162" t="str">
            <v>Bradesco</v>
          </cell>
          <cell r="AL162">
            <v>5592</v>
          </cell>
          <cell r="AM162">
            <v>43442</v>
          </cell>
          <cell r="AN162">
            <v>226780</v>
          </cell>
          <cell r="AO162" t="str">
            <v xml:space="preserve">Renato JOSÉ APARECIDO SALTEIRO </v>
          </cell>
          <cell r="AP162" t="str">
            <v>-</v>
          </cell>
          <cell r="AQ162" t="str">
            <v>-</v>
          </cell>
          <cell r="AR162" t="str">
            <v>-</v>
          </cell>
          <cell r="AS162" t="str">
            <v>-</v>
          </cell>
          <cell r="AT162" t="str">
            <v>-</v>
          </cell>
          <cell r="AU162" t="str">
            <v>-</v>
          </cell>
          <cell r="AV162" t="str">
            <v>-</v>
          </cell>
        </row>
        <row r="163">
          <cell r="D163" t="str">
            <v>GMY4763</v>
          </cell>
          <cell r="E163" t="str">
            <v>-</v>
          </cell>
          <cell r="F163" t="str">
            <v>-</v>
          </cell>
          <cell r="G163" t="str">
            <v>-</v>
          </cell>
          <cell r="H163" t="str">
            <v>-</v>
          </cell>
          <cell r="I163" t="str">
            <v>-</v>
          </cell>
          <cell r="J163" t="str">
            <v>-</v>
          </cell>
          <cell r="K163" t="str">
            <v>-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 t="str">
            <v>-</v>
          </cell>
          <cell r="Q163" t="str">
            <v>Vendido</v>
          </cell>
          <cell r="R163" t="str">
            <v>Vendido por 22mil, para Alexandre Davi dos Santos.</v>
          </cell>
          <cell r="S163" t="str">
            <v>-</v>
          </cell>
          <cell r="T163" t="str">
            <v>-</v>
          </cell>
          <cell r="U163" t="str">
            <v>-</v>
          </cell>
          <cell r="V163" t="str">
            <v>-</v>
          </cell>
          <cell r="W163" t="str">
            <v>-</v>
          </cell>
          <cell r="X163" t="str">
            <v>-</v>
          </cell>
          <cell r="Y163" t="str">
            <v>-</v>
          </cell>
          <cell r="Z163" t="str">
            <v>-</v>
          </cell>
          <cell r="AA163" t="str">
            <v>-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 t="str">
            <v>-</v>
          </cell>
          <cell r="AH163" t="str">
            <v>Não possui</v>
          </cell>
          <cell r="AI163" t="str">
            <v>-</v>
          </cell>
          <cell r="AJ163" t="str">
            <v>-</v>
          </cell>
          <cell r="AK163" t="str">
            <v>-</v>
          </cell>
          <cell r="AL163" t="str">
            <v>-</v>
          </cell>
          <cell r="AM163" t="str">
            <v>-</v>
          </cell>
          <cell r="AN163" t="str">
            <v>-</v>
          </cell>
          <cell r="AO163" t="str">
            <v>-</v>
          </cell>
          <cell r="AP163" t="str">
            <v>-</v>
          </cell>
          <cell r="AQ163" t="str">
            <v>-</v>
          </cell>
          <cell r="AR163" t="str">
            <v>-</v>
          </cell>
          <cell r="AS163" t="str">
            <v>-</v>
          </cell>
          <cell r="AT163" t="str">
            <v>-</v>
          </cell>
          <cell r="AU163" t="str">
            <v>-</v>
          </cell>
          <cell r="AV163" t="str">
            <v>-</v>
          </cell>
        </row>
        <row r="164">
          <cell r="D164" t="str">
            <v>GOT9717</v>
          </cell>
          <cell r="E164" t="str">
            <v>-</v>
          </cell>
          <cell r="F164" t="str">
            <v>9BM345308HB744996</v>
          </cell>
          <cell r="G164" t="str">
            <v>Mercedes Benz</v>
          </cell>
          <cell r="H164" t="str">
            <v>L 1518 4X2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Diesel</v>
          </cell>
          <cell r="M164" t="str">
            <v>-</v>
          </cell>
          <cell r="N164" t="str">
            <v>-</v>
          </cell>
          <cell r="O164" t="str">
            <v>-</v>
          </cell>
          <cell r="P164" t="str">
            <v>-</v>
          </cell>
          <cell r="Q164" t="str">
            <v>Vendido</v>
          </cell>
          <cell r="R164" t="str">
            <v xml:space="preserve">                                       Vendido jose carlos - andradina - So tem a proposta de endosso - Camile disse que não chegou ainda e ACredita que seja o Onibus</v>
          </cell>
          <cell r="S164" t="str">
            <v>-</v>
          </cell>
          <cell r="T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  <cell r="Y164" t="str">
            <v>-</v>
          </cell>
          <cell r="Z164" t="str">
            <v>-</v>
          </cell>
          <cell r="AA164" t="str">
            <v>-</v>
          </cell>
          <cell r="AB164" t="str">
            <v>-</v>
          </cell>
          <cell r="AC164" t="str">
            <v>-</v>
          </cell>
          <cell r="AD164" t="str">
            <v>-</v>
          </cell>
          <cell r="AE164" t="str">
            <v>-</v>
          </cell>
          <cell r="AF164" t="str">
            <v>-</v>
          </cell>
          <cell r="AG164" t="str">
            <v>-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Vendido jose carlos - andradina</v>
          </cell>
          <cell r="AN164" t="str">
            <v>-</v>
          </cell>
          <cell r="AO164" t="str">
            <v>-</v>
          </cell>
          <cell r="AP164" t="str">
            <v>-</v>
          </cell>
          <cell r="AQ164" t="str">
            <v>-</v>
          </cell>
          <cell r="AR164" t="str">
            <v>-</v>
          </cell>
          <cell r="AS164" t="str">
            <v>-</v>
          </cell>
          <cell r="AT164" t="str">
            <v>-</v>
          </cell>
          <cell r="AU164" t="str">
            <v>-</v>
          </cell>
          <cell r="AV164" t="str">
            <v>-</v>
          </cell>
        </row>
        <row r="165">
          <cell r="D165" t="str">
            <v>HQG0961</v>
          </cell>
          <cell r="E165" t="str">
            <v>00603198805</v>
          </cell>
          <cell r="F165" t="str">
            <v>9AUP12430N1019904</v>
          </cell>
          <cell r="G165" t="str">
            <v>-</v>
          </cell>
          <cell r="H165" t="str">
            <v>Krone</v>
          </cell>
          <cell r="I165" t="str">
            <v>-</v>
          </cell>
          <cell r="J165" t="str">
            <v>-</v>
          </cell>
          <cell r="K165" t="str">
            <v>-</v>
          </cell>
          <cell r="L165" t="str">
            <v>-</v>
          </cell>
          <cell r="M165" t="str">
            <v>Vermelha</v>
          </cell>
          <cell r="N165" t="str">
            <v>-</v>
          </cell>
          <cell r="O165" t="str">
            <v>-</v>
          </cell>
          <cell r="P165" t="str">
            <v>-</v>
          </cell>
          <cell r="Q165" t="str">
            <v>Vendido</v>
          </cell>
          <cell r="R165" t="str">
            <v>Vendido para Antonio Carlos Mangolin em 13/12/2017</v>
          </cell>
          <cell r="S165" t="str">
            <v>-</v>
          </cell>
          <cell r="T165" t="str">
            <v>-</v>
          </cell>
          <cell r="U165" t="str">
            <v>-</v>
          </cell>
          <cell r="V165" t="str">
            <v>-</v>
          </cell>
          <cell r="W165" t="str">
            <v>-</v>
          </cell>
          <cell r="X165" t="str">
            <v>-</v>
          </cell>
          <cell r="Y165" t="str">
            <v>-</v>
          </cell>
          <cell r="Z165" t="str">
            <v>-</v>
          </cell>
          <cell r="AA165" t="str">
            <v>-</v>
          </cell>
          <cell r="AB165" t="str">
            <v>-</v>
          </cell>
          <cell r="AC165" t="str">
            <v>-</v>
          </cell>
          <cell r="AD165" t="str">
            <v>-</v>
          </cell>
          <cell r="AE165" t="str">
            <v>-</v>
          </cell>
          <cell r="AF165" t="str">
            <v>-</v>
          </cell>
          <cell r="AG165" t="str">
            <v>-</v>
          </cell>
          <cell r="AH165" t="str">
            <v>-</v>
          </cell>
          <cell r="AI165" t="str">
            <v>-</v>
          </cell>
          <cell r="AJ165" t="str">
            <v>-</v>
          </cell>
          <cell r="AK165" t="str">
            <v>Sem reserVA</v>
          </cell>
          <cell r="AL165" t="str">
            <v>SEM NF</v>
          </cell>
          <cell r="AM165" t="str">
            <v>Não informada</v>
          </cell>
          <cell r="AN165" t="str">
            <v>Não encontrado</v>
          </cell>
          <cell r="AO165" t="str">
            <v>Não encontrado</v>
          </cell>
          <cell r="AP165">
            <v>43082</v>
          </cell>
          <cell r="AQ165">
            <v>4309</v>
          </cell>
          <cell r="AR165">
            <v>30000</v>
          </cell>
          <cell r="AS165" t="str">
            <v>-</v>
          </cell>
          <cell r="AT165" t="str">
            <v>-</v>
          </cell>
          <cell r="AU165" t="str">
            <v>-</v>
          </cell>
          <cell r="AV165" t="str">
            <v>-</v>
          </cell>
        </row>
        <row r="166">
          <cell r="D166" t="str">
            <v>HQN8355</v>
          </cell>
          <cell r="E166" t="str">
            <v>00680818669</v>
          </cell>
          <cell r="F166" t="str">
            <v>9EP071330V1000655</v>
          </cell>
          <cell r="G166" t="str">
            <v>NOMA</v>
          </cell>
          <cell r="H166" t="str">
            <v>SR/Noma SR3E27 CG</v>
          </cell>
          <cell r="I166" t="str">
            <v>-</v>
          </cell>
          <cell r="J166" t="str">
            <v>-</v>
          </cell>
          <cell r="K166" t="str">
            <v>Reboque</v>
          </cell>
          <cell r="L166" t="str">
            <v>-</v>
          </cell>
          <cell r="M166" t="str">
            <v>Branca</v>
          </cell>
          <cell r="N166" t="str">
            <v>-</v>
          </cell>
          <cell r="O166" t="str">
            <v>-</v>
          </cell>
          <cell r="P166" t="str">
            <v>-</v>
          </cell>
          <cell r="Q166" t="str">
            <v>Vendido</v>
          </cell>
          <cell r="R166" t="str">
            <v>Vendido para CLaudio Taroco em 17/11/2017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  <cell r="Y166" t="str">
            <v>-</v>
          </cell>
          <cell r="Z166" t="str">
            <v>-</v>
          </cell>
          <cell r="AA166" t="str">
            <v>-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 t="str">
            <v>-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Venda com ReserVA</v>
          </cell>
          <cell r="AL166">
            <v>3949</v>
          </cell>
          <cell r="AM166" t="str">
            <v>??</v>
          </cell>
          <cell r="AN166" t="str">
            <v>??</v>
          </cell>
          <cell r="AO166" t="str">
            <v>??</v>
          </cell>
          <cell r="AP166">
            <v>43056</v>
          </cell>
          <cell r="AQ166" t="str">
            <v>??</v>
          </cell>
          <cell r="AR166" t="str">
            <v>??</v>
          </cell>
          <cell r="AS166" t="str">
            <v>-</v>
          </cell>
          <cell r="AT166" t="str">
            <v>-</v>
          </cell>
          <cell r="AU166" t="str">
            <v>-</v>
          </cell>
          <cell r="AV166" t="str">
            <v>-</v>
          </cell>
        </row>
        <row r="167">
          <cell r="D167" t="str">
            <v>HQN9141</v>
          </cell>
          <cell r="E167" t="str">
            <v>00702258024</v>
          </cell>
          <cell r="F167" t="str">
            <v>9EP071330W1000515</v>
          </cell>
          <cell r="G167" t="str">
            <v>NOMA</v>
          </cell>
          <cell r="H167" t="str">
            <v>SR/Noma SR3E27 CG</v>
          </cell>
          <cell r="I167" t="str">
            <v>-</v>
          </cell>
          <cell r="J167" t="str">
            <v>-</v>
          </cell>
          <cell r="K167" t="str">
            <v>Reboque</v>
          </cell>
          <cell r="L167" t="str">
            <v>-</v>
          </cell>
          <cell r="M167" t="str">
            <v>Branca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Vendido</v>
          </cell>
          <cell r="R167" t="str">
            <v>Vendido para Paulo Sergio Goncalves Pereira em 12/12/2017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Sem reserVA</v>
          </cell>
          <cell r="AL167">
            <v>3946</v>
          </cell>
          <cell r="AM167">
            <v>42943</v>
          </cell>
          <cell r="AN167">
            <v>10000</v>
          </cell>
          <cell r="AO167" t="str">
            <v>MD Ferro VELHO Ltda ME</v>
          </cell>
          <cell r="AP167">
            <v>43182</v>
          </cell>
          <cell r="AQ167">
            <v>4756</v>
          </cell>
          <cell r="AR167">
            <v>36000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>-</v>
          </cell>
        </row>
        <row r="168">
          <cell r="D168" t="str">
            <v>HRS2163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Vendido</v>
          </cell>
          <cell r="R168" t="str">
            <v>Vendido por 20mil, para Edivande Nogueira Xavier, 26/09/2016.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Não possui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>
            <v>42639</v>
          </cell>
          <cell r="AQ168">
            <v>3386</v>
          </cell>
          <cell r="AR168">
            <v>20000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>-</v>
          </cell>
        </row>
        <row r="169">
          <cell r="D169" t="str">
            <v>HSA4D03</v>
          </cell>
          <cell r="E169" t="str">
            <v>00791008339</v>
          </cell>
          <cell r="F169" t="str">
            <v>9BFV2UHG52BB17601</v>
          </cell>
          <cell r="G169" t="str">
            <v>Ford</v>
          </cell>
          <cell r="H169" t="str">
            <v>Cargo 815</v>
          </cell>
          <cell r="I169">
            <v>2002</v>
          </cell>
          <cell r="J169">
            <v>2002</v>
          </cell>
          <cell r="K169" t="str">
            <v>Caminhão / Carroceria Aberta</v>
          </cell>
          <cell r="L169" t="str">
            <v>Diesel</v>
          </cell>
          <cell r="M169" t="str">
            <v>Branca</v>
          </cell>
          <cell r="N169" t="str">
            <v>Presidente Prudente</v>
          </cell>
          <cell r="O169" t="str">
            <v>-</v>
          </cell>
          <cell r="P169" t="str">
            <v>-</v>
          </cell>
          <cell r="Q169" t="str">
            <v>Vendido</v>
          </cell>
          <cell r="R169" t="str">
            <v>-</v>
          </cell>
          <cell r="S169" t="str">
            <v>-</v>
          </cell>
          <cell r="T169" t="str">
            <v>Sagi</v>
          </cell>
          <cell r="U169" t="str">
            <v>Ok</v>
          </cell>
          <cell r="V169" t="str">
            <v>-</v>
          </cell>
          <cell r="W169" t="str">
            <v>Ativo</v>
          </cell>
          <cell r="X169" t="str">
            <v>Ativo</v>
          </cell>
          <cell r="Y169" t="str">
            <v>HSA-4D03</v>
          </cell>
          <cell r="Z169" t="str">
            <v>-</v>
          </cell>
          <cell r="AA169" t="str">
            <v>-</v>
          </cell>
          <cell r="AB169" t="str">
            <v>-</v>
          </cell>
          <cell r="AC169" t="str">
            <v>-</v>
          </cell>
          <cell r="AD169" t="str">
            <v>OK</v>
          </cell>
          <cell r="AE169" t="str">
            <v>Não possui</v>
          </cell>
          <cell r="AF169" t="str">
            <v>Não possui</v>
          </cell>
          <cell r="AG169" t="str">
            <v>-</v>
          </cell>
          <cell r="AH169" t="str">
            <v>ok, 23/12</v>
          </cell>
          <cell r="AI169" t="str">
            <v>OK</v>
          </cell>
          <cell r="AJ169" t="str">
            <v>VENCIMENTO 26-05-24</v>
          </cell>
          <cell r="AK169" t="str">
            <v>Sem reserVA</v>
          </cell>
          <cell r="AL169">
            <v>5721</v>
          </cell>
          <cell r="AM169">
            <v>43999</v>
          </cell>
          <cell r="AN169">
            <v>41000</v>
          </cell>
          <cell r="AO169" t="str">
            <v>NILSON NUNES RODRIGUES</v>
          </cell>
          <cell r="AP169">
            <v>45356</v>
          </cell>
          <cell r="AQ169">
            <v>8419</v>
          </cell>
          <cell r="AR169">
            <v>40000</v>
          </cell>
          <cell r="AS169" t="str">
            <v>-</v>
          </cell>
          <cell r="AT169" t="str">
            <v>-</v>
          </cell>
          <cell r="AU169" t="str">
            <v>-</v>
          </cell>
          <cell r="AV169" t="str">
            <v>-</v>
          </cell>
        </row>
        <row r="170">
          <cell r="D170" t="str">
            <v>HTN7727</v>
          </cell>
          <cell r="E170" t="str">
            <v>-</v>
          </cell>
          <cell r="F170" t="str">
            <v>9BVAS02CXAE750624</v>
          </cell>
          <cell r="G170" t="str">
            <v>Volvo</v>
          </cell>
          <cell r="H170" t="str">
            <v>FH 440 6X2 3 Eixos</v>
          </cell>
          <cell r="I170" t="str">
            <v>-</v>
          </cell>
          <cell r="J170" t="str">
            <v>-</v>
          </cell>
          <cell r="K170" t="str">
            <v>-</v>
          </cell>
          <cell r="L170" t="str">
            <v>Diesel</v>
          </cell>
          <cell r="M170" t="str">
            <v>-</v>
          </cell>
          <cell r="N170" t="str">
            <v>-</v>
          </cell>
          <cell r="O170" t="str">
            <v>-</v>
          </cell>
          <cell r="P170" t="str">
            <v>-</v>
          </cell>
          <cell r="Q170" t="str">
            <v>Vendido</v>
          </cell>
          <cell r="R170" t="str">
            <v>So tem a proposta de endosso - Camile disse que não chegou ainda e ACredita que seja o Onibus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-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 t="str">
            <v>-</v>
          </cell>
          <cell r="AH170" t="str">
            <v>Não possui</v>
          </cell>
          <cell r="AI170" t="str">
            <v>-</v>
          </cell>
          <cell r="AJ170" t="str">
            <v>-</v>
          </cell>
          <cell r="AK170" t="str">
            <v>Sem reserVA</v>
          </cell>
          <cell r="AL170" t="str">
            <v>??</v>
          </cell>
          <cell r="AM170" t="str">
            <v>??</v>
          </cell>
          <cell r="AN170" t="str">
            <v>??</v>
          </cell>
          <cell r="AO170" t="str">
            <v>Vendido Wilson</v>
          </cell>
          <cell r="AP170" t="str">
            <v>??</v>
          </cell>
          <cell r="AQ170" t="str">
            <v>??</v>
          </cell>
          <cell r="AR170" t="str">
            <v>??</v>
          </cell>
          <cell r="AS170" t="str">
            <v>-</v>
          </cell>
          <cell r="AT170" t="str">
            <v>-</v>
          </cell>
          <cell r="AU170" t="str">
            <v>-</v>
          </cell>
          <cell r="AV170" t="str">
            <v>-</v>
          </cell>
        </row>
        <row r="171">
          <cell r="D171" t="str">
            <v>HZQ5764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  <cell r="K171" t="str">
            <v>-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 t="str">
            <v>-</v>
          </cell>
          <cell r="Q171" t="str">
            <v>Vendido</v>
          </cell>
          <cell r="R171" t="str">
            <v>Não possui informações.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 t="str">
            <v>-</v>
          </cell>
          <cell r="AH171" t="str">
            <v>Não possui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 t="str">
            <v>-</v>
          </cell>
          <cell r="AV171" t="str">
            <v>-</v>
          </cell>
        </row>
        <row r="172">
          <cell r="D172" t="str">
            <v>JMA5490</v>
          </cell>
          <cell r="E172" t="str">
            <v>00626082552</v>
          </cell>
          <cell r="F172" t="str">
            <v>9AAG12630RC013686</v>
          </cell>
          <cell r="G172" t="str">
            <v>Guerra</v>
          </cell>
          <cell r="H172" t="str">
            <v>Guerra</v>
          </cell>
          <cell r="I172" t="str">
            <v>-</v>
          </cell>
          <cell r="J172" t="str">
            <v>-</v>
          </cell>
          <cell r="K172" t="str">
            <v>Reboque</v>
          </cell>
          <cell r="L172" t="str">
            <v>-</v>
          </cell>
          <cell r="M172" t="str">
            <v>Branca</v>
          </cell>
          <cell r="N172" t="str">
            <v>-</v>
          </cell>
          <cell r="O172" t="str">
            <v>-</v>
          </cell>
          <cell r="P172" t="str">
            <v>-</v>
          </cell>
          <cell r="Q172" t="str">
            <v>Vendido</v>
          </cell>
          <cell r="R172" t="str">
            <v>Vendido - ver anotacao no comentario</v>
          </cell>
          <cell r="S172" t="str">
            <v>-</v>
          </cell>
          <cell r="T172" t="str">
            <v>-</v>
          </cell>
          <cell r="U172" t="str">
            <v>-</v>
          </cell>
          <cell r="V172" t="str">
            <v>-</v>
          </cell>
          <cell r="W172" t="str">
            <v>-</v>
          </cell>
          <cell r="X172" t="str">
            <v>-</v>
          </cell>
          <cell r="Y172" t="str">
            <v>-</v>
          </cell>
          <cell r="Z172">
            <v>43139</v>
          </cell>
          <cell r="AA172" t="str">
            <v>-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 t="str">
            <v>-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Sem reserVA</v>
          </cell>
          <cell r="AL172">
            <v>3950</v>
          </cell>
          <cell r="AM172">
            <v>42943</v>
          </cell>
          <cell r="AN172">
            <v>10000</v>
          </cell>
          <cell r="AO172" t="str">
            <v>MD Ferro VELHO Ltda ME</v>
          </cell>
          <cell r="AP172">
            <v>43243</v>
          </cell>
          <cell r="AQ172">
            <v>5052</v>
          </cell>
          <cell r="AR172">
            <v>25000</v>
          </cell>
          <cell r="AS172" t="str">
            <v>-</v>
          </cell>
          <cell r="AT172" t="str">
            <v>-</v>
          </cell>
          <cell r="AU172" t="str">
            <v>-</v>
          </cell>
          <cell r="AV172" t="str">
            <v>-</v>
          </cell>
        </row>
        <row r="173">
          <cell r="D173" t="str">
            <v>Maritimo RGG</v>
          </cell>
          <cell r="E173" t="str">
            <v>Serie M9528723</v>
          </cell>
          <cell r="F173" t="str">
            <v>YDV26958L516</v>
          </cell>
          <cell r="G173" t="str">
            <v>BRP</v>
          </cell>
          <cell r="H173" t="str">
            <v>WU-60886</v>
          </cell>
          <cell r="I173" t="str">
            <v>-</v>
          </cell>
          <cell r="J173" t="str">
            <v>-</v>
          </cell>
          <cell r="K173" t="str">
            <v>Moto Aquática</v>
          </cell>
          <cell r="L173" t="str">
            <v>Gasolina</v>
          </cell>
          <cell r="M173" t="str">
            <v>Azul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Vendido</v>
          </cell>
          <cell r="R173" t="str">
            <v xml:space="preserve">Jet Ski com carreta BAP0328 - Vendido para Cesar Augusto Bodan - valor Total 56.000,00, Email Thayane 12/09/2019 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 t="str">
            <v>-</v>
          </cell>
          <cell r="AD173" t="str">
            <v>-</v>
          </cell>
          <cell r="AE173" t="str">
            <v>-</v>
          </cell>
          <cell r="AF173" t="str">
            <v>-</v>
          </cell>
          <cell r="AG173" t="str">
            <v>-</v>
          </cell>
          <cell r="AH173" t="str">
            <v>Não possui</v>
          </cell>
          <cell r="AI173" t="str">
            <v>-</v>
          </cell>
          <cell r="AJ173" t="str">
            <v>-</v>
          </cell>
          <cell r="AK173" t="str">
            <v>Sem reserVA</v>
          </cell>
          <cell r="AL173">
            <v>1779</v>
          </cell>
          <cell r="AM173">
            <v>42537</v>
          </cell>
          <cell r="AN173">
            <v>46000</v>
          </cell>
          <cell r="AO173" t="str">
            <v>KITNAUTICA Comércio de Equipamentos NAUTICOS Ltda</v>
          </cell>
          <cell r="AP173">
            <v>43720</v>
          </cell>
          <cell r="AQ173">
            <v>5667</v>
          </cell>
          <cell r="AR173">
            <v>45500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>-</v>
          </cell>
        </row>
        <row r="174">
          <cell r="D174" t="str">
            <v>NRQ5645</v>
          </cell>
          <cell r="E174" t="str">
            <v>00452398843</v>
          </cell>
          <cell r="F174" t="str">
            <v>9BD15844AC6663072</v>
          </cell>
          <cell r="G174" t="str">
            <v>Fiat</v>
          </cell>
          <cell r="H174" t="str">
            <v>Uno Mille Way 1.0 Economy</v>
          </cell>
          <cell r="I174" t="str">
            <v>-</v>
          </cell>
          <cell r="J174" t="str">
            <v>-</v>
          </cell>
          <cell r="K174" t="str">
            <v>-</v>
          </cell>
          <cell r="L174" t="str">
            <v>Flex</v>
          </cell>
          <cell r="M174" t="str">
            <v>Branca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Vendido</v>
          </cell>
          <cell r="R174" t="str">
            <v>Perca Total - Emissão de NF para HDI conforme tABela fipe, em 09/12/20</v>
          </cell>
          <cell r="S174" t="str">
            <v>-</v>
          </cell>
          <cell r="T174" t="str">
            <v>-</v>
          </cell>
          <cell r="U174" t="str">
            <v>-</v>
          </cell>
          <cell r="V174" t="str">
            <v>-</v>
          </cell>
          <cell r="W174" t="str">
            <v>A3</v>
          </cell>
          <cell r="X174" t="str">
            <v>-</v>
          </cell>
          <cell r="Y174" t="str">
            <v>-</v>
          </cell>
          <cell r="Z174">
            <v>43132</v>
          </cell>
          <cell r="AA174" t="str">
            <v>-</v>
          </cell>
          <cell r="AB174" t="str">
            <v>-</v>
          </cell>
          <cell r="AC174" t="str">
            <v>-</v>
          </cell>
          <cell r="AD174" t="str">
            <v>-</v>
          </cell>
          <cell r="AE174" t="str">
            <v>Bracofer - Adesao Zero II PJ</v>
          </cell>
          <cell r="AF174" t="str">
            <v>Alelo</v>
          </cell>
          <cell r="AG174" t="str">
            <v>HDI</v>
          </cell>
          <cell r="AH174" t="str">
            <v>-</v>
          </cell>
          <cell r="AI174" t="str">
            <v>-</v>
          </cell>
          <cell r="AJ174" t="str">
            <v>-</v>
          </cell>
          <cell r="AK174" t="str">
            <v>Sem reserVA</v>
          </cell>
          <cell r="AL174">
            <v>3496</v>
          </cell>
          <cell r="AM174">
            <v>42814</v>
          </cell>
          <cell r="AN174">
            <v>19500</v>
          </cell>
          <cell r="AO174" t="str">
            <v>RODRIGO SILVA MARTINS</v>
          </cell>
          <cell r="AP174">
            <v>44174</v>
          </cell>
          <cell r="AQ174">
            <v>6364</v>
          </cell>
          <cell r="AR174">
            <v>19289</v>
          </cell>
          <cell r="AS174" t="str">
            <v>-</v>
          </cell>
          <cell r="AT174" t="str">
            <v>-</v>
          </cell>
          <cell r="AU174" t="str">
            <v>-</v>
          </cell>
          <cell r="AV174" t="str">
            <v>-</v>
          </cell>
        </row>
        <row r="175">
          <cell r="D175" t="str">
            <v>NRR7727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  <cell r="J175" t="str">
            <v>-</v>
          </cell>
          <cell r="K175" t="str">
            <v>-</v>
          </cell>
          <cell r="L175" t="str">
            <v>-</v>
          </cell>
          <cell r="M175" t="str">
            <v>-</v>
          </cell>
          <cell r="N175" t="str">
            <v>-</v>
          </cell>
          <cell r="O175" t="str">
            <v>-</v>
          </cell>
          <cell r="P175" t="str">
            <v>-</v>
          </cell>
          <cell r="Q175" t="str">
            <v xml:space="preserve">Vendido </v>
          </cell>
          <cell r="R175" t="str">
            <v>Vendido por 140mil, para Shi Logistica Ltda</v>
          </cell>
          <cell r="S175" t="str">
            <v>-</v>
          </cell>
          <cell r="T175" t="str">
            <v>-</v>
          </cell>
          <cell r="U175" t="str">
            <v>-</v>
          </cell>
          <cell r="V175" t="str">
            <v>-</v>
          </cell>
          <cell r="W175" t="str">
            <v>-</v>
          </cell>
          <cell r="X175" t="str">
            <v>-</v>
          </cell>
          <cell r="Y175" t="str">
            <v>-</v>
          </cell>
          <cell r="Z175" t="str">
            <v>-</v>
          </cell>
          <cell r="AA175" t="str">
            <v>-</v>
          </cell>
          <cell r="AB175" t="str">
            <v>-</v>
          </cell>
          <cell r="AC175" t="str">
            <v>-</v>
          </cell>
          <cell r="AD175" t="str">
            <v>-</v>
          </cell>
          <cell r="AE175" t="str">
            <v>-</v>
          </cell>
          <cell r="AF175" t="str">
            <v>-</v>
          </cell>
          <cell r="AG175" t="str">
            <v>-</v>
          </cell>
          <cell r="AH175" t="str">
            <v>Não possui</v>
          </cell>
          <cell r="AI175" t="str">
            <v>-</v>
          </cell>
          <cell r="AJ175" t="str">
            <v>-</v>
          </cell>
          <cell r="AK175" t="str">
            <v>-</v>
          </cell>
          <cell r="AL175">
            <v>3941</v>
          </cell>
          <cell r="AM175" t="str">
            <v>-</v>
          </cell>
          <cell r="AN175" t="str">
            <v>-</v>
          </cell>
          <cell r="AO175" t="str">
            <v>-</v>
          </cell>
          <cell r="AP175" t="str">
            <v>-</v>
          </cell>
          <cell r="AQ175" t="str">
            <v>-</v>
          </cell>
          <cell r="AR175" t="str">
            <v>-</v>
          </cell>
          <cell r="AS175" t="str">
            <v>-</v>
          </cell>
          <cell r="AT175" t="str">
            <v>-</v>
          </cell>
          <cell r="AU175" t="str">
            <v>-</v>
          </cell>
          <cell r="AV175" t="str">
            <v>-</v>
          </cell>
        </row>
        <row r="176">
          <cell r="D176" t="str">
            <v>NRS7727</v>
          </cell>
          <cell r="E176" t="str">
            <v>-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Vendido</v>
          </cell>
          <cell r="R176" t="str">
            <v>Vendido por 140mil, para Shi Logistica Ltda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Não possui</v>
          </cell>
          <cell r="AI176" t="str">
            <v>-</v>
          </cell>
          <cell r="AJ176" t="str">
            <v>-</v>
          </cell>
          <cell r="AK176" t="str">
            <v>-</v>
          </cell>
          <cell r="AL176">
            <v>3940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</row>
        <row r="177">
          <cell r="D177" t="str">
            <v>NRZ0794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Vendido</v>
          </cell>
          <cell r="R177" t="str">
            <v>Vendido por 140mil, para Shi Logistica Ltda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Não possui</v>
          </cell>
          <cell r="AI177" t="str">
            <v>-</v>
          </cell>
          <cell r="AJ177" t="str">
            <v>-</v>
          </cell>
          <cell r="AK177" t="str">
            <v>-</v>
          </cell>
          <cell r="AL177">
            <v>3939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</row>
        <row r="178">
          <cell r="D178" t="str">
            <v>NRZ2087</v>
          </cell>
          <cell r="E178" t="str">
            <v>00999416561</v>
          </cell>
          <cell r="F178" t="str">
            <v>9BFYEALE8DBL47156</v>
          </cell>
          <cell r="G178" t="str">
            <v>Ford</v>
          </cell>
          <cell r="H178" t="str">
            <v>Cargo 2429 L</v>
          </cell>
          <cell r="I178" t="str">
            <v>-</v>
          </cell>
          <cell r="J178" t="str">
            <v>-</v>
          </cell>
          <cell r="K178" t="str">
            <v>Caminhão</v>
          </cell>
          <cell r="L178" t="str">
            <v>Diesel</v>
          </cell>
          <cell r="M178" t="str">
            <v>Branca</v>
          </cell>
          <cell r="N178" t="str">
            <v>-</v>
          </cell>
          <cell r="O178" t="str">
            <v>-</v>
          </cell>
          <cell r="P178" t="str">
            <v>-</v>
          </cell>
          <cell r="Q178" t="str">
            <v>Vendido</v>
          </cell>
          <cell r="R178" t="str">
            <v>Dourados - valdinei - Vendido por 260mil (130 pd, 130 pf) - e-mail IsABella 27.03.20 - NF 5702</v>
          </cell>
          <cell r="S178" t="str">
            <v>-</v>
          </cell>
          <cell r="T178" t="str">
            <v>-</v>
          </cell>
          <cell r="U178" t="str">
            <v>-</v>
          </cell>
          <cell r="V178" t="str">
            <v>-</v>
          </cell>
          <cell r="W178" t="str">
            <v>A3</v>
          </cell>
          <cell r="X178" t="str">
            <v>-</v>
          </cell>
          <cell r="Y178" t="str">
            <v>-</v>
          </cell>
          <cell r="Z178">
            <v>43132</v>
          </cell>
          <cell r="AA178" t="str">
            <v>ok</v>
          </cell>
          <cell r="AB178" t="str">
            <v>ok</v>
          </cell>
          <cell r="AC178" t="str">
            <v>-</v>
          </cell>
          <cell r="AD178" t="str">
            <v>-</v>
          </cell>
          <cell r="AE178" t="str">
            <v>Bracofer - Rodovias 915 PJ</v>
          </cell>
          <cell r="AF178" t="str">
            <v>-</v>
          </cell>
          <cell r="AG178" t="str">
            <v>HDI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Sem reserVA</v>
          </cell>
          <cell r="AL178">
            <v>3938</v>
          </cell>
          <cell r="AM178">
            <v>42943</v>
          </cell>
          <cell r="AN178">
            <v>140000</v>
          </cell>
          <cell r="AO178" t="str">
            <v>MD Ferro VELHO Ltda ME</v>
          </cell>
          <cell r="AP178">
            <v>43917</v>
          </cell>
          <cell r="AQ178">
            <v>5702</v>
          </cell>
          <cell r="AR178">
            <v>140000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>-</v>
          </cell>
        </row>
        <row r="179">
          <cell r="D179" t="str">
            <v>BQP9781</v>
          </cell>
          <cell r="E179" t="str">
            <v>00413752178</v>
          </cell>
          <cell r="F179" t="str">
            <v>9BM344014JB789484</v>
          </cell>
          <cell r="G179" t="str">
            <v>Mercedes Benz</v>
          </cell>
          <cell r="H179" t="str">
            <v>L 1114 4X2</v>
          </cell>
          <cell r="I179" t="str">
            <v>-</v>
          </cell>
          <cell r="J179" t="str">
            <v>-</v>
          </cell>
          <cell r="K179" t="str">
            <v>Caminhão</v>
          </cell>
          <cell r="L179" t="str">
            <v>Diesel</v>
          </cell>
          <cell r="M179" t="str">
            <v>-</v>
          </cell>
          <cell r="N179" t="str">
            <v>-</v>
          </cell>
          <cell r="O179" t="str">
            <v>-</v>
          </cell>
          <cell r="P179" t="str">
            <v>-</v>
          </cell>
          <cell r="Q179" t="str">
            <v>Vendido</v>
          </cell>
          <cell r="R179" t="str">
            <v>Vendido para José Fernandes, em troco de 110 mil reais de entregas em sucata, unidade Maringá. Trocas de e-mail com Edna. - So tem a proposta de endosso - Camile disse que não chegou ainda e ACredita que seja o Onibus</v>
          </cell>
          <cell r="S179" t="str">
            <v>-</v>
          </cell>
          <cell r="T179" t="str">
            <v>-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 t="str">
            <v>-</v>
          </cell>
          <cell r="Z179" t="str">
            <v>-</v>
          </cell>
          <cell r="AA179" t="str">
            <v>ok</v>
          </cell>
          <cell r="AB179" t="str">
            <v>ok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 t="str">
            <v>-</v>
          </cell>
          <cell r="AH179" t="str">
            <v>ok, 19/12</v>
          </cell>
          <cell r="AI179" t="str">
            <v>-</v>
          </cell>
          <cell r="AJ179" t="str">
            <v>-</v>
          </cell>
          <cell r="AK179" t="str">
            <v>-</v>
          </cell>
          <cell r="AL179">
            <v>5685</v>
          </cell>
          <cell r="AM179">
            <v>43712</v>
          </cell>
          <cell r="AN179">
            <v>80000</v>
          </cell>
          <cell r="AO179" t="str">
            <v>MD Ferro VELHO ME</v>
          </cell>
          <cell r="AP179">
            <v>44222</v>
          </cell>
          <cell r="AQ179">
            <v>6487</v>
          </cell>
          <cell r="AR179">
            <v>70000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>-</v>
          </cell>
        </row>
        <row r="180">
          <cell r="D180" t="str">
            <v>FZR7J85</v>
          </cell>
          <cell r="E180" t="str">
            <v>01223389291</v>
          </cell>
          <cell r="F180" t="str">
            <v>WV1DA22H1LA003457</v>
          </cell>
          <cell r="G180" t="str">
            <v>Volkswagen</v>
          </cell>
          <cell r="H180" t="str">
            <v>Amarok V6 High AC4</v>
          </cell>
          <cell r="I180" t="str">
            <v>-</v>
          </cell>
          <cell r="J180" t="str">
            <v>-</v>
          </cell>
          <cell r="K180" t="str">
            <v>Veículo de Passeio</v>
          </cell>
          <cell r="L180" t="str">
            <v>-</v>
          </cell>
          <cell r="M180" t="str">
            <v>Preta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Vendido</v>
          </cell>
          <cell r="R180" t="str">
            <v>Renato pediu para não pagar nada desse veículo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Sinistro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ok, 23/12</v>
          </cell>
          <cell r="AI180" t="str">
            <v>-</v>
          </cell>
          <cell r="AJ180" t="str">
            <v>-</v>
          </cell>
          <cell r="AK180" t="str">
            <v>-</v>
          </cell>
          <cell r="AL180">
            <v>61366</v>
          </cell>
          <cell r="AM180">
            <v>43878</v>
          </cell>
          <cell r="AN180">
            <v>178000</v>
          </cell>
          <cell r="AO180" t="str">
            <v>LIANE AUTOMOVEIS Ltda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</row>
        <row r="181">
          <cell r="D181" t="str">
            <v>ATV8805</v>
          </cell>
          <cell r="E181" t="str">
            <v>00321830750</v>
          </cell>
          <cell r="F181" t="str">
            <v>9533B82U2BR131124</v>
          </cell>
          <cell r="G181" t="str">
            <v>Volkswagen</v>
          </cell>
          <cell r="H181" t="str">
            <v>26.260 E 6X4</v>
          </cell>
          <cell r="I181" t="str">
            <v>-</v>
          </cell>
          <cell r="J181" t="str">
            <v>-</v>
          </cell>
          <cell r="K181" t="str">
            <v>-</v>
          </cell>
          <cell r="L181" t="str">
            <v>Diesel</v>
          </cell>
          <cell r="M181" t="str">
            <v>Branca</v>
          </cell>
          <cell r="N181" t="str">
            <v>-</v>
          </cell>
          <cell r="O181" t="str">
            <v>-</v>
          </cell>
          <cell r="P181" t="str">
            <v>-</v>
          </cell>
          <cell r="Q181" t="str">
            <v>Vendido</v>
          </cell>
          <cell r="R181" t="e">
            <v>#VALUE!</v>
          </cell>
          <cell r="S181" t="str">
            <v>-</v>
          </cell>
          <cell r="T181" t="str">
            <v>-</v>
          </cell>
          <cell r="U181" t="str">
            <v>-</v>
          </cell>
          <cell r="V181" t="str">
            <v>CWR-0020</v>
          </cell>
          <cell r="W181" t="str">
            <v>A3</v>
          </cell>
          <cell r="X181" t="str">
            <v>Em negociação de Venda</v>
          </cell>
          <cell r="Y181" t="str">
            <v>-</v>
          </cell>
          <cell r="Z181">
            <v>43132</v>
          </cell>
          <cell r="AA181" t="str">
            <v>ok</v>
          </cell>
          <cell r="AB181" t="str">
            <v>ok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 t="str">
            <v>HDI</v>
          </cell>
          <cell r="AH181" t="str">
            <v>Pendente</v>
          </cell>
          <cell r="AI181" t="str">
            <v>-</v>
          </cell>
          <cell r="AJ181" t="str">
            <v>-</v>
          </cell>
          <cell r="AK181" t="str">
            <v>Sem reserVA</v>
          </cell>
          <cell r="AL181">
            <v>33005</v>
          </cell>
          <cell r="AM181">
            <v>42240</v>
          </cell>
          <cell r="AN181">
            <v>85000</v>
          </cell>
          <cell r="AO181" t="str">
            <v>OURO VERDE Locação e SERVICO AS</v>
          </cell>
          <cell r="AP181" t="str">
            <v>-</v>
          </cell>
          <cell r="AQ181" t="str">
            <v>-</v>
          </cell>
          <cell r="AR181" t="str">
            <v>-</v>
          </cell>
          <cell r="AS181" t="str">
            <v>-</v>
          </cell>
          <cell r="AT181" t="str">
            <v>-</v>
          </cell>
          <cell r="AU181" t="str">
            <v>-</v>
          </cell>
          <cell r="AV181" t="str">
            <v>-</v>
          </cell>
        </row>
        <row r="182">
          <cell r="D182" t="str">
            <v>FWU4549</v>
          </cell>
          <cell r="E182" t="str">
            <v>01020748599</v>
          </cell>
          <cell r="F182" t="str">
            <v>9BFZB55H4F8987263</v>
          </cell>
          <cell r="G182" t="str">
            <v>Ford</v>
          </cell>
          <cell r="H182" t="str">
            <v>EcoSport FSL AT 2.0</v>
          </cell>
          <cell r="I182" t="str">
            <v>-</v>
          </cell>
          <cell r="J182" t="str">
            <v>-</v>
          </cell>
          <cell r="K182" t="str">
            <v>-</v>
          </cell>
          <cell r="L182" t="str">
            <v>Flex</v>
          </cell>
          <cell r="M182" t="str">
            <v>Branca</v>
          </cell>
          <cell r="N182" t="str">
            <v>-</v>
          </cell>
          <cell r="O182" t="str">
            <v>-</v>
          </cell>
          <cell r="P182" t="str">
            <v>-</v>
          </cell>
          <cell r="Q182" t="str">
            <v>Vendido</v>
          </cell>
          <cell r="R182" t="str">
            <v>-</v>
          </cell>
          <cell r="S182" t="str">
            <v>-</v>
          </cell>
          <cell r="T182" t="str">
            <v>-</v>
          </cell>
          <cell r="U182" t="str">
            <v>-</v>
          </cell>
          <cell r="V182" t="str">
            <v>-</v>
          </cell>
          <cell r="W182" t="str">
            <v>Não possui</v>
          </cell>
          <cell r="X182" t="str">
            <v>Tokio</v>
          </cell>
          <cell r="Y182" t="str">
            <v>FWU-4549</v>
          </cell>
          <cell r="Z182" t="str">
            <v>-</v>
          </cell>
          <cell r="AA182" t="str">
            <v>-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Não possui</v>
          </cell>
          <cell r="AF182" t="str">
            <v>Não possui</v>
          </cell>
          <cell r="AG182" t="str">
            <v>Tokio Marine</v>
          </cell>
          <cell r="AH182" t="str">
            <v>ok, 23/12</v>
          </cell>
          <cell r="AI182" t="str">
            <v>-</v>
          </cell>
          <cell r="AJ182" t="str">
            <v>-</v>
          </cell>
          <cell r="AK182" t="str">
            <v>Sem reserVA</v>
          </cell>
          <cell r="AL182">
            <v>5600</v>
          </cell>
          <cell r="AM182">
            <v>43453</v>
          </cell>
          <cell r="AN182">
            <v>52000</v>
          </cell>
          <cell r="AO182" t="str">
            <v>Lucas Venturini Zacheu Nigre</v>
          </cell>
          <cell r="AP182">
            <v>44264</v>
          </cell>
          <cell r="AQ182">
            <v>6737</v>
          </cell>
          <cell r="AR182">
            <v>48000</v>
          </cell>
          <cell r="AS182" t="str">
            <v>-</v>
          </cell>
          <cell r="AT182" t="str">
            <v>-</v>
          </cell>
          <cell r="AU182" t="str">
            <v>-</v>
          </cell>
          <cell r="AV182" t="str">
            <v>-</v>
          </cell>
        </row>
        <row r="183">
          <cell r="D183" t="str">
            <v>EWU5969</v>
          </cell>
          <cell r="E183" t="str">
            <v>00496623907</v>
          </cell>
          <cell r="F183" t="str">
            <v>9EP090830D1000612</v>
          </cell>
          <cell r="G183" t="str">
            <v>Noma</v>
          </cell>
          <cell r="H183" t="str">
            <v>SR/Noma SR3E27 CG</v>
          </cell>
          <cell r="I183" t="str">
            <v>-</v>
          </cell>
          <cell r="J183" t="str">
            <v>-</v>
          </cell>
          <cell r="K183" t="str">
            <v>Reboque</v>
          </cell>
          <cell r="L183" t="str">
            <v>-</v>
          </cell>
          <cell r="M183" t="str">
            <v>Cinza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Vendido</v>
          </cell>
          <cell r="R183" t="str">
            <v xml:space="preserve">Vendida por 140 mil para PALMITRAC PALMEIRA - CARRETA SEMI REBOQUE  3 EIXOS NOMA 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Não possui</v>
          </cell>
          <cell r="Y183" t="str">
            <v>EWU-5969</v>
          </cell>
          <cell r="Z183">
            <v>43139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Não possui</v>
          </cell>
          <cell r="AF183" t="str">
            <v>Não possui</v>
          </cell>
          <cell r="AG183" t="str">
            <v>-</v>
          </cell>
          <cell r="AH183" t="str">
            <v>ok, 23/12</v>
          </cell>
          <cell r="AI183" t="str">
            <v>-</v>
          </cell>
          <cell r="AJ183" t="str">
            <v>-</v>
          </cell>
          <cell r="AK183" t="str">
            <v>Sem reserVA</v>
          </cell>
          <cell r="AL183">
            <v>24900</v>
          </cell>
          <cell r="AM183">
            <v>41213</v>
          </cell>
          <cell r="AN183">
            <v>59109.599999999999</v>
          </cell>
          <cell r="AO183" t="str">
            <v>Noma do Brasil AS</v>
          </cell>
          <cell r="AP183">
            <v>44557</v>
          </cell>
          <cell r="AQ183">
            <v>7475</v>
          </cell>
          <cell r="AR183">
            <v>140000</v>
          </cell>
          <cell r="AS183" t="str">
            <v>25500 kg</v>
          </cell>
          <cell r="AT183" t="str">
            <v>27000 kg</v>
          </cell>
          <cell r="AU183" t="str">
            <v>Semi Reboque Porta Conteiner - 4 Pinos Conteiners</v>
          </cell>
          <cell r="AV183">
            <v>3</v>
          </cell>
        </row>
        <row r="184">
          <cell r="D184" t="str">
            <v>GHI6D64</v>
          </cell>
          <cell r="E184" t="str">
            <v>01248101348</v>
          </cell>
          <cell r="F184" t="str">
            <v>9BWBH6BF1M4025970</v>
          </cell>
          <cell r="G184" t="str">
            <v>Volkswagen</v>
          </cell>
          <cell r="H184" t="str">
            <v>T-Cross TSI</v>
          </cell>
          <cell r="I184" t="str">
            <v>-</v>
          </cell>
          <cell r="J184" t="str">
            <v>-</v>
          </cell>
          <cell r="K184" t="str">
            <v>Veículo de Passeio</v>
          </cell>
          <cell r="L184" t="str">
            <v>Flex</v>
          </cell>
          <cell r="M184" t="str">
            <v>Branca</v>
          </cell>
          <cell r="N184" t="str">
            <v>Presidente Prudente</v>
          </cell>
          <cell r="O184" t="str">
            <v>-</v>
          </cell>
          <cell r="P184" t="str">
            <v>-</v>
          </cell>
          <cell r="Q184" t="str">
            <v>Vendido</v>
          </cell>
          <cell r="R184" t="str">
            <v>Giuliana - Aquisição veículo para D. Giuliana, Feita em 09/2020. Seguro em dinheiro, e pgto do veículo a vista - 87.500,00</v>
          </cell>
          <cell r="S184" t="str">
            <v>-</v>
          </cell>
          <cell r="T184" t="str">
            <v>-</v>
          </cell>
          <cell r="U184" t="str">
            <v>-</v>
          </cell>
          <cell r="V184" t="str">
            <v>-</v>
          </cell>
          <cell r="W184" t="str">
            <v>Não possui</v>
          </cell>
          <cell r="X184" t="str">
            <v>Cancelado</v>
          </cell>
          <cell r="Y184" t="str">
            <v>GHI-6D64</v>
          </cell>
          <cell r="Z184" t="str">
            <v>-</v>
          </cell>
          <cell r="AA184" t="str">
            <v>-</v>
          </cell>
          <cell r="AB184" t="str">
            <v>ok</v>
          </cell>
          <cell r="AC184" t="str">
            <v>-</v>
          </cell>
          <cell r="AD184" t="str">
            <v>-</v>
          </cell>
          <cell r="AE184" t="str">
            <v>Possui</v>
          </cell>
          <cell r="AF184" t="str">
            <v>Não possui</v>
          </cell>
          <cell r="AG184" t="str">
            <v>Sfera</v>
          </cell>
          <cell r="AH184" t="str">
            <v>ok, 19/12</v>
          </cell>
          <cell r="AI184" t="str">
            <v>-</v>
          </cell>
          <cell r="AJ184" t="str">
            <v>-</v>
          </cell>
          <cell r="AK184" t="str">
            <v>Sem reserVA</v>
          </cell>
          <cell r="AL184">
            <v>353783</v>
          </cell>
          <cell r="AM184">
            <v>44160</v>
          </cell>
          <cell r="AN184">
            <v>87888.02</v>
          </cell>
          <cell r="AO184" t="str">
            <v>Volkswagen do BRASIL-INDUSTRIA de VEICULOS AUTOMOTORES Ltda.</v>
          </cell>
          <cell r="AP184">
            <v>44775</v>
          </cell>
          <cell r="AQ184">
            <v>7957</v>
          </cell>
          <cell r="AR184">
            <v>80000</v>
          </cell>
          <cell r="AS184" t="str">
            <v>-</v>
          </cell>
          <cell r="AT184" t="str">
            <v>-</v>
          </cell>
          <cell r="AU184" t="str">
            <v>-</v>
          </cell>
          <cell r="AV184">
            <v>2</v>
          </cell>
        </row>
        <row r="185">
          <cell r="D185" t="str">
            <v>FHL2490</v>
          </cell>
          <cell r="E185" t="str">
            <v>00539261769</v>
          </cell>
          <cell r="F185" t="str">
            <v>9BD15822AD6838976</v>
          </cell>
          <cell r="G185" t="str">
            <v>Fiat</v>
          </cell>
          <cell r="H185" t="str">
            <v>Uno Mille Way 1.0 Economy</v>
          </cell>
          <cell r="I185" t="str">
            <v>-</v>
          </cell>
          <cell r="J185" t="str">
            <v>-</v>
          </cell>
          <cell r="K185" t="str">
            <v>Veículo de Passeio</v>
          </cell>
          <cell r="L185" t="str">
            <v>Flex</v>
          </cell>
          <cell r="M185" t="str">
            <v>Branca</v>
          </cell>
          <cell r="N185" t="str">
            <v>Presidente Prudente</v>
          </cell>
          <cell r="O185" t="str">
            <v>-</v>
          </cell>
          <cell r="P185" t="str">
            <v>-</v>
          </cell>
          <cell r="Q185" t="str">
            <v>Vendido</v>
          </cell>
          <cell r="R185" t="str">
            <v xml:space="preserve">Heber Gomes - Comprado de Gisele Cristina Argenta - contato do marido Rogerio 99703-1196 e transferido para Bracofer - pago 19 mil em 08/02/2018 - 
SINISTRO INDENIZADO POR GENTE SEGURADORA EM 02/01/2023 NO vaLOR 26.088,00 (SINISTRO 01312230478) </v>
          </cell>
          <cell r="S185" t="str">
            <v>-</v>
          </cell>
          <cell r="T185" t="str">
            <v>-</v>
          </cell>
          <cell r="U185" t="str">
            <v>-</v>
          </cell>
          <cell r="V185" t="str">
            <v>-</v>
          </cell>
          <cell r="W185" t="str">
            <v>Ativo</v>
          </cell>
          <cell r="X185" t="str">
            <v>Sinistro</v>
          </cell>
          <cell r="Y185" t="str">
            <v>FHL-2490</v>
          </cell>
          <cell r="Z185">
            <v>43161</v>
          </cell>
          <cell r="AA185" t="str">
            <v>-</v>
          </cell>
          <cell r="AB185" t="str">
            <v>-</v>
          </cell>
          <cell r="AC185" t="str">
            <v>-</v>
          </cell>
          <cell r="AD185" t="str">
            <v>OK</v>
          </cell>
          <cell r="AE185" t="str">
            <v>Possui</v>
          </cell>
          <cell r="AF185" t="str">
            <v>Ativo</v>
          </cell>
          <cell r="AG185" t="str">
            <v>HDI</v>
          </cell>
          <cell r="AH185" t="str">
            <v>ok, 23/12</v>
          </cell>
          <cell r="AI185" t="str">
            <v>PASSEIO</v>
          </cell>
          <cell r="AJ185" t="str">
            <v>PASSEIO</v>
          </cell>
          <cell r="AK185" t="str">
            <v>Sem reserVA</v>
          </cell>
          <cell r="AL185" t="str">
            <v>-</v>
          </cell>
          <cell r="AM185" t="str">
            <v>-</v>
          </cell>
          <cell r="AN185" t="str">
            <v>-</v>
          </cell>
          <cell r="AO185" t="str">
            <v>-</v>
          </cell>
          <cell r="AP185" t="str">
            <v>-</v>
          </cell>
          <cell r="AQ185" t="str">
            <v>NF 8085</v>
          </cell>
          <cell r="AR185">
            <v>26088</v>
          </cell>
          <cell r="AS185" t="str">
            <v>-</v>
          </cell>
          <cell r="AT185" t="str">
            <v>-</v>
          </cell>
          <cell r="AU185" t="str">
            <v>-</v>
          </cell>
          <cell r="AV185" t="str">
            <v>-</v>
          </cell>
        </row>
        <row r="186">
          <cell r="D186" t="str">
            <v>QAH4470</v>
          </cell>
          <cell r="E186" t="str">
            <v>01119913621</v>
          </cell>
          <cell r="F186" t="str">
            <v>9BD341A4XJY469338</v>
          </cell>
          <cell r="G186" t="str">
            <v>Fiat</v>
          </cell>
          <cell r="H186" t="str">
            <v>Moby Easy</v>
          </cell>
          <cell r="I186" t="str">
            <v>-</v>
          </cell>
          <cell r="J186" t="str">
            <v>-</v>
          </cell>
          <cell r="K186" t="str">
            <v>Veículo de Passeio</v>
          </cell>
          <cell r="L186" t="str">
            <v>Flex</v>
          </cell>
          <cell r="M186" t="str">
            <v>Branca</v>
          </cell>
          <cell r="N186" t="str">
            <v>Presidente Prudente</v>
          </cell>
          <cell r="O186" t="str">
            <v>-</v>
          </cell>
          <cell r="P186" t="str">
            <v>-</v>
          </cell>
          <cell r="Q186" t="str">
            <v>Vendido</v>
          </cell>
          <cell r="R186" t="str">
            <v>Vendido dia 07/03/2023 para Patricia Rosa Almeida no valor de R$ 28.500,00 (Veículo estava na garangem)</v>
          </cell>
          <cell r="S186" t="str">
            <v>-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Ativo</v>
          </cell>
          <cell r="X186" t="str">
            <v>-</v>
          </cell>
          <cell r="Y186" t="str">
            <v>QAH-4470</v>
          </cell>
          <cell r="Z186">
            <v>43139</v>
          </cell>
          <cell r="AA186" t="str">
            <v>-</v>
          </cell>
          <cell r="AB186" t="str">
            <v>-</v>
          </cell>
          <cell r="AC186" t="str">
            <v>-</v>
          </cell>
          <cell r="AD186" t="str">
            <v>OK</v>
          </cell>
          <cell r="AE186" t="str">
            <v>Não possui</v>
          </cell>
          <cell r="AF186" t="str">
            <v>Ativo</v>
          </cell>
          <cell r="AG186" t="str">
            <v>HDI</v>
          </cell>
          <cell r="AH186" t="str">
            <v>-</v>
          </cell>
          <cell r="AI186" t="str">
            <v>PASSEIO</v>
          </cell>
          <cell r="AJ186" t="str">
            <v>PASSEIO</v>
          </cell>
          <cell r="AK186" t="str">
            <v>Sem reserVA</v>
          </cell>
          <cell r="AL186">
            <v>3992</v>
          </cell>
          <cell r="AM186">
            <v>42968</v>
          </cell>
          <cell r="AN186">
            <v>27000</v>
          </cell>
          <cell r="AO186" t="str">
            <v>-</v>
          </cell>
          <cell r="AP186">
            <v>45005</v>
          </cell>
          <cell r="AQ186" t="str">
            <v>NF 8172</v>
          </cell>
          <cell r="AR186">
            <v>28500</v>
          </cell>
          <cell r="AS186" t="str">
            <v>-</v>
          </cell>
          <cell r="AT186" t="str">
            <v>-</v>
          </cell>
          <cell r="AU186" t="str">
            <v>-</v>
          </cell>
          <cell r="AV186" t="str">
            <v>-</v>
          </cell>
        </row>
        <row r="187">
          <cell r="D187" t="str">
            <v>FTE9154</v>
          </cell>
          <cell r="E187" t="str">
            <v>01048635233</v>
          </cell>
          <cell r="F187" t="str">
            <v>9BD17144ZF7540546</v>
          </cell>
          <cell r="G187" t="str">
            <v>Fiat</v>
          </cell>
          <cell r="H187" t="str">
            <v>Palio Fire Way</v>
          </cell>
          <cell r="I187">
            <v>2015</v>
          </cell>
          <cell r="J187">
            <v>2015</v>
          </cell>
          <cell r="K187" t="str">
            <v>Veículo de Passeio</v>
          </cell>
          <cell r="L187" t="str">
            <v>Flex</v>
          </cell>
          <cell r="M187" t="str">
            <v>Branca</v>
          </cell>
          <cell r="N187" t="str">
            <v>Presidente Prudente</v>
          </cell>
          <cell r="O187" t="str">
            <v>-</v>
          </cell>
          <cell r="P187" t="str">
            <v>-</v>
          </cell>
          <cell r="Q187" t="str">
            <v>Vendido</v>
          </cell>
          <cell r="R187" t="str">
            <v>Francisco - Comprador</v>
          </cell>
          <cell r="S187" t="str">
            <v>-</v>
          </cell>
          <cell r="T187" t="str">
            <v>-</v>
          </cell>
          <cell r="U187" t="str">
            <v>-</v>
          </cell>
          <cell r="V187" t="str">
            <v>-</v>
          </cell>
          <cell r="W187" t="str">
            <v>Ativo</v>
          </cell>
          <cell r="X187" t="str">
            <v>Ativo</v>
          </cell>
          <cell r="Y187" t="str">
            <v>FTE-9154</v>
          </cell>
          <cell r="Z187">
            <v>43131</v>
          </cell>
          <cell r="AA187" t="str">
            <v>Thayane</v>
          </cell>
          <cell r="AB187" t="str">
            <v>-</v>
          </cell>
          <cell r="AC187" t="str">
            <v>-</v>
          </cell>
          <cell r="AD187" t="str">
            <v>OK</v>
          </cell>
          <cell r="AE187" t="str">
            <v>Possui</v>
          </cell>
          <cell r="AF187" t="str">
            <v>Ativo</v>
          </cell>
          <cell r="AG187" t="str">
            <v>HDI</v>
          </cell>
          <cell r="AH187" t="str">
            <v>ok, 23/12</v>
          </cell>
          <cell r="AI187" t="str">
            <v>OK</v>
          </cell>
          <cell r="AJ187" t="str">
            <v>Ñ CONSTA</v>
          </cell>
          <cell r="AK187" t="str">
            <v>Sem reserVA</v>
          </cell>
          <cell r="AL187">
            <v>2890477</v>
          </cell>
          <cell r="AM187">
            <v>42118</v>
          </cell>
          <cell r="AN187">
            <v>31268.69</v>
          </cell>
          <cell r="AO187" t="str">
            <v>FCA Fiat CHRYSLER AUTOMOVEIS BRASIL Ltda</v>
          </cell>
          <cell r="AP187">
            <v>45030</v>
          </cell>
          <cell r="AQ187">
            <v>47544</v>
          </cell>
          <cell r="AR187">
            <v>18000</v>
          </cell>
          <cell r="AS187" t="str">
            <v>-</v>
          </cell>
          <cell r="AT187" t="str">
            <v>-</v>
          </cell>
          <cell r="AU187" t="str">
            <v>Fiat/PALIO FIRE WAY</v>
          </cell>
          <cell r="AV187" t="str">
            <v>-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STO UNIDADE"/>
      <sheetName val="Levantamento"/>
      <sheetName val="Base"/>
      <sheetName val="De-Para"/>
      <sheetName val="Modelo DRE"/>
      <sheetName val="(H) Custeio Variável"/>
      <sheetName val="(H) Custeio Absorção"/>
      <sheetName val="por Unidade"/>
      <sheetName val="por Mês"/>
      <sheetName val="tabela_MARCONDES"/>
      <sheetName val="td custos"/>
      <sheetName val="td custos (2)"/>
      <sheetName val="Detalhes1"/>
      <sheetName val="td custos (3)"/>
      <sheetName val="td custos (4)"/>
      <sheetName val="Análise DRE"/>
      <sheetName val="À Lançar por Mês"/>
      <sheetName val="Rateio Salário"/>
      <sheetName val="RATEIO KONFIDO"/>
      <sheetName val="Ton_Qtde"/>
      <sheetName val="QUEBRAS"/>
      <sheetName val="tabela_fixo_variavel (2)"/>
    </sheetNames>
    <sheetDataSet>
      <sheetData sheetId="0" refreshError="1"/>
      <sheetData sheetId="1" refreshError="1"/>
      <sheetData sheetId="2" refreshError="1"/>
      <sheetData sheetId="3">
        <row r="1">
          <cell r="E1" t="str">
            <v>DE-PARA2</v>
          </cell>
          <cell r="F1" t="str">
            <v>CUSTEIO VARIÁVEL</v>
          </cell>
        </row>
        <row r="2">
          <cell r="E2" t="str">
            <v>3.01 RECEITA OPERACIONAL BRUTA</v>
          </cell>
          <cell r="F2" t="str">
            <v>3.01 RECEITA OPERACIONAL</v>
          </cell>
        </row>
        <row r="3">
          <cell r="E3" t="str">
            <v>3.01 RECEITA OPERACIONAL BRUTA</v>
          </cell>
          <cell r="F3" t="str">
            <v>3.01 RECEITA OPERACIONAL</v>
          </cell>
        </row>
        <row r="4">
          <cell r="E4" t="str">
            <v>3.01 RECEITA OPERACIONAL BRUTA</v>
          </cell>
          <cell r="F4" t="str">
            <v>3.01 RECEITA OPERACIONAL</v>
          </cell>
        </row>
        <row r="5">
          <cell r="E5" t="str">
            <v>3.02 RECEITA NÃO-OPERACIONAL</v>
          </cell>
          <cell r="F5" t="str">
            <v>3.02 RECEITA NÃO-OPERACIONAL</v>
          </cell>
        </row>
        <row r="6">
          <cell r="E6" t="str">
            <v>3.02 RECEITA NÃO-OPERACIONAL</v>
          </cell>
          <cell r="F6" t="str">
            <v>3.02 RECEITA NÃO-OPERACIONAL</v>
          </cell>
        </row>
        <row r="7">
          <cell r="E7" t="str">
            <v>3.02 RECEITA NÃO-OPERACIONAL</v>
          </cell>
          <cell r="F7" t="str">
            <v>3.02 RECEITA NÃO-OPERACIONAL</v>
          </cell>
        </row>
        <row r="8">
          <cell r="E8" t="str">
            <v>3.02 RECEITA NÃO-OPERACIONAL</v>
          </cell>
          <cell r="F8" t="str">
            <v>3.02 RECEITA NÃO-OPERACIONAL</v>
          </cell>
        </row>
        <row r="9">
          <cell r="E9" t="str">
            <v>3.02 RECEITA NÃO-OPERACIONAL</v>
          </cell>
          <cell r="F9" t="str">
            <v>3.02 RECEITA NÃO-OPERACIONAL</v>
          </cell>
        </row>
        <row r="10">
          <cell r="E10" t="str">
            <v>3.02 RECEITA NÃO-OPERACIONAL</v>
          </cell>
          <cell r="F10" t="str">
            <v>3.02 RECEITA NÃO-OPERACIONAL</v>
          </cell>
        </row>
        <row r="11">
          <cell r="E11" t="str">
            <v>3.02 RECEITA NÃO-OPERACIONAL</v>
          </cell>
          <cell r="F11" t="str">
            <v>3.02 RECEITA NÃO-OPERACIONAL</v>
          </cell>
        </row>
        <row r="12">
          <cell r="E12" t="str">
            <v>3.02 RECEITA NÃO-OPERACIONAL</v>
          </cell>
          <cell r="F12" t="str">
            <v>3.02 RECEITA NÃO-OPERACIONAL</v>
          </cell>
        </row>
        <row r="13">
          <cell r="E13" t="str">
            <v>3.02 RECEITA NÃO-OPERACIONAL</v>
          </cell>
          <cell r="F13" t="str">
            <v>3.02 RECEITA NÃO-OPERACIONAL</v>
          </cell>
        </row>
        <row r="14">
          <cell r="E14" t="str">
            <v>3.02 RECEITA NÃO-OPERACIONAL</v>
          </cell>
          <cell r="F14" t="str">
            <v>3.02 RECEITA NÃO-OPERACIONAL</v>
          </cell>
        </row>
        <row r="15">
          <cell r="E15" t="str">
            <v>3.02 RECEITA NÃO-OPERACIONAL</v>
          </cell>
          <cell r="F15" t="str">
            <v>3.02 RECEITA NÃO-OPERACIONAL</v>
          </cell>
        </row>
        <row r="16">
          <cell r="E16" t="str">
            <v>3.01 RECEITA OPERACIONAL BRUTA</v>
          </cell>
          <cell r="F16" t="str">
            <v>3.01 RECEITA OPERACIONAL</v>
          </cell>
        </row>
        <row r="17">
          <cell r="E17" t="str">
            <v>3.01 RECEITA OPERACIONAL BRUTA</v>
          </cell>
          <cell r="F17" t="str">
            <v>3.01 RECEITA OPERACIONAL</v>
          </cell>
        </row>
        <row r="18">
          <cell r="E18" t="str">
            <v>3.02 RECEITA NÃO-OPERACIONAL</v>
          </cell>
          <cell r="F18" t="str">
            <v>3.02 RECEITA NÃO-OPERACIONAL</v>
          </cell>
        </row>
        <row r="19">
          <cell r="E19" t="str">
            <v>3.03 DEDUÇÕES DA RECEITA</v>
          </cell>
          <cell r="F19" t="str">
            <v>3.03 DEDUÇÕES DA RECEITA</v>
          </cell>
        </row>
        <row r="20">
          <cell r="E20" t="str">
            <v>3.03 DEDUÇÕES DA RECEITA</v>
          </cell>
          <cell r="F20" t="str">
            <v>3.03 DEDUÇÕES DA RECEITA</v>
          </cell>
        </row>
        <row r="21">
          <cell r="E21" t="str">
            <v>3.03 DEDUÇÕES DA RECEITA</v>
          </cell>
          <cell r="F21" t="str">
            <v>3.03 DEDUÇÕES DA RECEITA</v>
          </cell>
        </row>
        <row r="22">
          <cell r="E22" t="str">
            <v>3.03 DEDUÇÕES DA RECEITA</v>
          </cell>
          <cell r="F22" t="str">
            <v>3.03 DEDUÇÕES DA RECEITA</v>
          </cell>
        </row>
        <row r="23">
          <cell r="E23" t="str">
            <v>3.03 DEDUÇÕES DA RECEITA</v>
          </cell>
          <cell r="F23" t="str">
            <v>3.03 DEDUÇÕES DA RECEITA</v>
          </cell>
        </row>
        <row r="24">
          <cell r="E24" t="str">
            <v>3.03 DEDUÇÕES DA RECEITA</v>
          </cell>
          <cell r="F24" t="str">
            <v>3.03 DEDUÇÕES DA RECEITA</v>
          </cell>
        </row>
        <row r="25">
          <cell r="E25" t="str">
            <v>3.03 DEDUÇÕES DA RECEITA</v>
          </cell>
          <cell r="F25" t="str">
            <v>3.03 DEDUÇÕES DA RECEITA</v>
          </cell>
        </row>
        <row r="26">
          <cell r="E26" t="str">
            <v>3.03 DEDUÇÕES DA RECEITA</v>
          </cell>
          <cell r="F26" t="str">
            <v>3.03 DEDUÇÕES DA RECEITA</v>
          </cell>
        </row>
        <row r="27">
          <cell r="E27" t="str">
            <v>3.03 DEDUÇÕES DA RECEITA</v>
          </cell>
          <cell r="F27" t="str">
            <v>3.03 DEDUÇÕES DA RECEITA</v>
          </cell>
        </row>
        <row r="28">
          <cell r="E28" t="str">
            <v>4.01 CUSTO DA MERCADORIA VENDIDA</v>
          </cell>
          <cell r="F28" t="str">
            <v>4.01 CUSTO FIXO</v>
          </cell>
        </row>
        <row r="29">
          <cell r="E29" t="str">
            <v>4.01 CUSTO DA MERCADORIA VENDIDA</v>
          </cell>
          <cell r="F29" t="str">
            <v>4.01 CUSTO FIXO</v>
          </cell>
        </row>
        <row r="30">
          <cell r="E30" t="str">
            <v>4.01 CUSTO DA MERCADORIA VENDIDA</v>
          </cell>
          <cell r="F30" t="str">
            <v>4.01 CUSTO FIXO</v>
          </cell>
        </row>
        <row r="31">
          <cell r="E31" t="str">
            <v>4.01 CUSTO DA MERCADORIA VENDIDA</v>
          </cell>
          <cell r="F31" t="str">
            <v>4.01 CUSTO FIXO</v>
          </cell>
        </row>
        <row r="32">
          <cell r="E32" t="str">
            <v>4.01 CUSTO DA MERCADORIA VENDIDA</v>
          </cell>
          <cell r="F32" t="str">
            <v>4.01 CUSTO FIXO</v>
          </cell>
        </row>
        <row r="33">
          <cell r="E33" t="str">
            <v>4.01 CUSTO DA MERCADORIA VENDIDA</v>
          </cell>
          <cell r="F33" t="str">
            <v>4.01 CUSTO FIXO</v>
          </cell>
        </row>
        <row r="34">
          <cell r="E34" t="str">
            <v>4.01 CUSTO DA MERCADORIA VENDIDA</v>
          </cell>
          <cell r="F34" t="str">
            <v>4.01 CUSTO FIXO</v>
          </cell>
        </row>
        <row r="35">
          <cell r="E35" t="str">
            <v>4.01 CUSTO DA MERCADORIA VENDIDA</v>
          </cell>
          <cell r="F35" t="str">
            <v>4.02 CUSTO VARIÁVEL</v>
          </cell>
        </row>
        <row r="36">
          <cell r="E36" t="str">
            <v>4.01 CUSTO DA MERCADORIA VENDIDA</v>
          </cell>
          <cell r="F36" t="str">
            <v>4.02 CUSTO VARIÁVEL</v>
          </cell>
        </row>
        <row r="37">
          <cell r="E37" t="str">
            <v>4.01 CUSTO DA MERCADORIA VENDIDA</v>
          </cell>
          <cell r="F37" t="str">
            <v>4.02 CUSTO VARIÁVEL</v>
          </cell>
        </row>
        <row r="38">
          <cell r="E38" t="str">
            <v>4.01 CUSTO DA MERCADORIA VENDIDA</v>
          </cell>
          <cell r="F38" t="str">
            <v>4.02 CUSTO VARIÁVEL</v>
          </cell>
        </row>
        <row r="39">
          <cell r="E39" t="str">
            <v>4.01 CUSTO DA MERCADORIA VENDIDA</v>
          </cell>
          <cell r="F39" t="str">
            <v>4.02 CUSTO VARIÁVEL</v>
          </cell>
        </row>
        <row r="40">
          <cell r="E40" t="str">
            <v>4.01 CUSTO DA MERCADORIA VENDIDA</v>
          </cell>
          <cell r="F40" t="str">
            <v>4.02 CUSTO VARIÁVEL</v>
          </cell>
        </row>
        <row r="41">
          <cell r="E41" t="str">
            <v>4.01 CUSTO DA MERCADORIA VENDIDA</v>
          </cell>
          <cell r="F41" t="str">
            <v>4.02 CUSTO VARIÁVEL</v>
          </cell>
        </row>
        <row r="42">
          <cell r="E42" t="str">
            <v>4.01 CUSTO DA MERCADORIA VENDIDA</v>
          </cell>
          <cell r="F42" t="str">
            <v>4.02 CUSTO VARIÁVEL</v>
          </cell>
        </row>
        <row r="43">
          <cell r="E43" t="str">
            <v>4.01 CUSTO DA MERCADORIA VENDIDA</v>
          </cell>
          <cell r="F43" t="str">
            <v>4.02 CUSTO VARIÁVEL</v>
          </cell>
        </row>
        <row r="44">
          <cell r="E44" t="str">
            <v>4.02 CUSTO DE MÃO-DE-OBRA DIRETA</v>
          </cell>
          <cell r="F44" t="str">
            <v>4.01 CUSTO FIXO</v>
          </cell>
        </row>
        <row r="45">
          <cell r="E45" t="str">
            <v>4.02 CUSTO DE MÃO-DE-OBRA DIRETA</v>
          </cell>
          <cell r="F45" t="str">
            <v>4.01 CUSTO FIXO</v>
          </cell>
        </row>
        <row r="46">
          <cell r="E46" t="str">
            <v>4.02 CUSTO DE MÃO-DE-OBRA DIRETA</v>
          </cell>
          <cell r="F46" t="str">
            <v>4.01 CUSTO FIXO</v>
          </cell>
        </row>
        <row r="47">
          <cell r="E47" t="str">
            <v>4.02 CUSTO DE MÃO-DE-OBRA DIRETA</v>
          </cell>
          <cell r="F47" t="str">
            <v>4.01 CUSTO FIXO</v>
          </cell>
        </row>
        <row r="48">
          <cell r="E48" t="str">
            <v>4.02 CUSTO DE MÃO-DE-OBRA DIRETA</v>
          </cell>
          <cell r="F48" t="str">
            <v>4.01 CUSTO FIXO</v>
          </cell>
        </row>
        <row r="49">
          <cell r="E49" t="str">
            <v>4.02 CUSTO DE MÃO-DE-OBRA DIRETA</v>
          </cell>
          <cell r="F49" t="str">
            <v>4.01 CUSTO FIXO</v>
          </cell>
        </row>
        <row r="50">
          <cell r="E50" t="str">
            <v>4.02 CUSTO DE MÃO-DE-OBRA DIRETA</v>
          </cell>
          <cell r="F50" t="str">
            <v>4.01 CUSTO FIXO</v>
          </cell>
        </row>
        <row r="51">
          <cell r="E51" t="str">
            <v>4.02 CUSTO DE MÃO-DE-OBRA DIRETA</v>
          </cell>
          <cell r="F51" t="str">
            <v>4.01 CUSTO FIXO</v>
          </cell>
        </row>
        <row r="52">
          <cell r="E52" t="str">
            <v>4.02 CUSTO DE MÃO-DE-OBRA DIRETA</v>
          </cell>
          <cell r="F52" t="str">
            <v>4.01 CUSTO FIXO</v>
          </cell>
        </row>
        <row r="53">
          <cell r="E53" t="str">
            <v>4.02 CUSTO DE MÃO-DE-OBRA DIRETA</v>
          </cell>
          <cell r="F53" t="str">
            <v>4.01 CUSTO FIXO</v>
          </cell>
        </row>
        <row r="54">
          <cell r="E54" t="str">
            <v>4.02 CUSTO DE MÃO-DE-OBRA DIRETA</v>
          </cell>
          <cell r="F54" t="str">
            <v>4.01 CUSTO FIXO</v>
          </cell>
        </row>
        <row r="55">
          <cell r="E55" t="str">
            <v>4.02 CUSTO DE MÃO-DE-OBRA DIRETA</v>
          </cell>
          <cell r="F55" t="str">
            <v>4.01 CUSTO FIXO</v>
          </cell>
        </row>
        <row r="56">
          <cell r="E56" t="str">
            <v>4.02 CUSTO DE MÃO-DE-OBRA DIRETA</v>
          </cell>
          <cell r="F56" t="str">
            <v>4.01 CUSTO FIXO</v>
          </cell>
        </row>
        <row r="57">
          <cell r="E57" t="str">
            <v>4.02 CUSTO DE MÃO-DE-OBRA DIRETA</v>
          </cell>
          <cell r="F57" t="str">
            <v>4.01 CUSTO FIXO</v>
          </cell>
        </row>
        <row r="58">
          <cell r="E58" t="str">
            <v>4.02 CUSTO DE MÃO-DE-OBRA DIRETA</v>
          </cell>
          <cell r="F58" t="str">
            <v>4.01 CUSTO FIXO</v>
          </cell>
        </row>
        <row r="59">
          <cell r="E59" t="str">
            <v>4.02 CUSTO DE MÃO-DE-OBRA DIRETA</v>
          </cell>
          <cell r="F59" t="str">
            <v>4.01 CUSTO FIXO</v>
          </cell>
        </row>
        <row r="60">
          <cell r="E60" t="str">
            <v>4.02 CUSTO DE MÃO-DE-OBRA DIRETA</v>
          </cell>
          <cell r="F60" t="str">
            <v>4.01 CUSTO FIXO</v>
          </cell>
        </row>
        <row r="61">
          <cell r="E61" t="str">
            <v>4.03 CUSTO DE MÃO-DE-OBRA INDIRETA</v>
          </cell>
          <cell r="F61" t="str">
            <v>4.02 CUSTO VARIÁVEL</v>
          </cell>
        </row>
        <row r="62">
          <cell r="E62" t="str">
            <v>4.03 CUSTO DE MÃO-DE-OBRA INDIRETA</v>
          </cell>
          <cell r="F62" t="str">
            <v>4.02 CUSTO VARIÁVEL</v>
          </cell>
        </row>
        <row r="63">
          <cell r="E63" t="str">
            <v>4.03 CUSTO DE MÃO-DE-OBRA INDIRETA</v>
          </cell>
          <cell r="F63" t="str">
            <v>4.02 CUSTO VARIÁVEL</v>
          </cell>
        </row>
        <row r="64">
          <cell r="E64" t="str">
            <v>4.03 CUSTO DE MÃO-DE-OBRA INDIRETA</v>
          </cell>
          <cell r="F64" t="str">
            <v>4.02 CUSTO VARIÁVEL</v>
          </cell>
        </row>
        <row r="65">
          <cell r="E65" t="str">
            <v>4.03 CUSTO DE MÃO-DE-OBRA INDIRETA</v>
          </cell>
          <cell r="F65" t="str">
            <v>4.02 CUSTO VARIÁVEL</v>
          </cell>
        </row>
        <row r="66">
          <cell r="E66" t="str">
            <v>4.04 DESPESA ADMINISTRATIVA</v>
          </cell>
          <cell r="F66" t="str">
            <v>4.04 DESPESA VARIÁVEL</v>
          </cell>
        </row>
        <row r="67">
          <cell r="E67" t="str">
            <v>4.04 DESPESA ADMINISTRATIVA</v>
          </cell>
          <cell r="F67" t="str">
            <v>4.03 DESPESA FIXA</v>
          </cell>
        </row>
        <row r="68">
          <cell r="E68" t="str">
            <v>4.04 DESPESA ADMINISTRATIVA</v>
          </cell>
          <cell r="F68" t="str">
            <v>4.03 DESPESA FIXA</v>
          </cell>
        </row>
        <row r="69">
          <cell r="E69" t="str">
            <v>4.04 DESPESA ADMINISTRATIVA</v>
          </cell>
          <cell r="F69" t="str">
            <v>4.04 DESPESA VARIÁVEL</v>
          </cell>
        </row>
        <row r="70">
          <cell r="E70" t="str">
            <v>4.04 DESPESA ADMINISTRATIVA</v>
          </cell>
          <cell r="F70" t="str">
            <v>4.04 DESPESA VARIÁVEL</v>
          </cell>
        </row>
        <row r="71">
          <cell r="E71" t="str">
            <v>4.04 DESPESA ADMINISTRATIVA</v>
          </cell>
          <cell r="F71" t="str">
            <v>4.04 DESPESA VARIÁVEL</v>
          </cell>
        </row>
        <row r="72">
          <cell r="E72" t="str">
            <v>4.04 DESPESA ADMINISTRATIVA</v>
          </cell>
          <cell r="F72" t="str">
            <v>4.04 DESPESA VARIÁVEL</v>
          </cell>
        </row>
        <row r="73">
          <cell r="E73" t="str">
            <v>4.04 DESPESA ADMINISTRATIVA</v>
          </cell>
          <cell r="F73" t="str">
            <v>4.04 DESPESA VARIÁVEL</v>
          </cell>
        </row>
        <row r="74">
          <cell r="E74" t="str">
            <v>4.04 DESPESA ADMINISTRATIVA</v>
          </cell>
          <cell r="F74" t="str">
            <v>4.04 DESPESA VARIÁVEL</v>
          </cell>
        </row>
        <row r="75">
          <cell r="E75" t="str">
            <v>4.04 DESPESA ADMINISTRATIVA</v>
          </cell>
          <cell r="F75" t="str">
            <v>4.03 DESPESA FIXA</v>
          </cell>
        </row>
        <row r="76">
          <cell r="E76" t="str">
            <v>4.04 DESPESA ADMINISTRATIVA</v>
          </cell>
          <cell r="F76" t="str">
            <v>4.03 DESPESA FIXA</v>
          </cell>
        </row>
        <row r="77">
          <cell r="E77" t="str">
            <v>4.04 DESPESA ADMINISTRATIVA</v>
          </cell>
          <cell r="F77" t="str">
            <v>4.03 DESPESA FIXA</v>
          </cell>
        </row>
        <row r="78">
          <cell r="E78" t="str">
            <v>4.04 DESPESA ADMINISTRATIVA</v>
          </cell>
          <cell r="F78" t="str">
            <v>4.03 DESPESA FIXA</v>
          </cell>
        </row>
        <row r="79">
          <cell r="E79" t="str">
            <v>4.04 DESPESA ADMINISTRATIVA</v>
          </cell>
          <cell r="F79" t="str">
            <v>4.04 DESPESA VARIÁVEL</v>
          </cell>
        </row>
        <row r="80">
          <cell r="E80" t="str">
            <v>4.04 DESPESA ADMINISTRATIVA</v>
          </cell>
          <cell r="F80" t="str">
            <v>4.04 DESPESA VARIÁVEL</v>
          </cell>
        </row>
        <row r="81">
          <cell r="E81" t="str">
            <v>4.04 DESPESA ADMINISTRATIVA</v>
          </cell>
          <cell r="F81" t="str">
            <v>4.04 DESPESA VARIÁVEL</v>
          </cell>
        </row>
        <row r="82">
          <cell r="E82" t="str">
            <v>4.04 DESPESA ADMINISTRATIVA</v>
          </cell>
          <cell r="F82" t="str">
            <v>4.04 DESPESA VARIÁVEL</v>
          </cell>
        </row>
        <row r="83">
          <cell r="E83" t="str">
            <v>4.04 DESPESA ADMINISTRATIVA</v>
          </cell>
          <cell r="F83" t="str">
            <v>4.04 DESPESA VARIÁVEL</v>
          </cell>
        </row>
        <row r="84">
          <cell r="E84" t="str">
            <v>4.04 DESPESA ADMINISTRATIVA</v>
          </cell>
          <cell r="F84" t="str">
            <v>4.04 DESPESA VARIÁVEL</v>
          </cell>
        </row>
        <row r="85">
          <cell r="E85" t="str">
            <v>4.04 DESPESA ADMINISTRATIVA</v>
          </cell>
          <cell r="F85" t="str">
            <v>4.04 DESPESA VARIÁVEL</v>
          </cell>
        </row>
        <row r="86">
          <cell r="E86" t="str">
            <v>4.04 DESPESA ADMINISTRATIVA</v>
          </cell>
          <cell r="F86" t="str">
            <v>4.03 DESPESA FIXA</v>
          </cell>
        </row>
        <row r="87">
          <cell r="E87" t="str">
            <v>4.04 DESPESA ADMINISTRATIVA</v>
          </cell>
          <cell r="F87" t="str">
            <v>4.03 DESPESA FIXA</v>
          </cell>
        </row>
        <row r="88">
          <cell r="E88" t="str">
            <v>4.04 DESPESA ADMINISTRATIVA</v>
          </cell>
          <cell r="F88" t="str">
            <v>4.04 DESPESA VARIÁVEL</v>
          </cell>
        </row>
        <row r="89">
          <cell r="E89" t="str">
            <v>4.04 DESPESA ADMINISTRATIVA</v>
          </cell>
          <cell r="F89" t="str">
            <v>4.04 DESPESA VARIÁVEL</v>
          </cell>
        </row>
        <row r="90">
          <cell r="E90" t="str">
            <v>4.04 DESPESA ADMINISTRATIVA</v>
          </cell>
          <cell r="F90" t="str">
            <v>4.03 DESPESA FIXA</v>
          </cell>
        </row>
        <row r="91">
          <cell r="E91" t="str">
            <v>4.04 DESPESA ADMINISTRATIVA</v>
          </cell>
          <cell r="F91" t="str">
            <v>4.03 DESPESA FIXA</v>
          </cell>
        </row>
        <row r="92">
          <cell r="E92" t="str">
            <v>4.04 DESPESA ADMINISTRATIVA</v>
          </cell>
          <cell r="F92" t="str">
            <v>4.03 DESPESA FIXA</v>
          </cell>
        </row>
        <row r="93">
          <cell r="E93" t="str">
            <v>4.04 DESPESA ADMINISTRATIVA</v>
          </cell>
          <cell r="F93" t="str">
            <v>4.04 DESPESA VARIÁVEL</v>
          </cell>
        </row>
        <row r="94">
          <cell r="E94" t="str">
            <v>4.04 DESPESA ADMINISTRATIVA</v>
          </cell>
          <cell r="F94" t="str">
            <v>4.04 DESPESA VARIÁVEL</v>
          </cell>
        </row>
        <row r="95">
          <cell r="E95" t="str">
            <v>4.04 DESPESA ADMINISTRATIVA</v>
          </cell>
          <cell r="F95" t="str">
            <v>4.04 DESPESA VARIÁVEL</v>
          </cell>
        </row>
        <row r="96">
          <cell r="E96" t="str">
            <v>4.04 DESPESA ADMINISTRATIVA</v>
          </cell>
          <cell r="F96" t="str">
            <v>4.04 DESPESA VARIÁVEL</v>
          </cell>
        </row>
        <row r="97">
          <cell r="E97" t="str">
            <v>4.04 DESPESA ADMINISTRATIVA</v>
          </cell>
          <cell r="F97" t="str">
            <v>4.03 DESPESA FIXA</v>
          </cell>
        </row>
        <row r="98">
          <cell r="E98" t="str">
            <v>4.04 DESPESA ADMINISTRATIVA</v>
          </cell>
          <cell r="F98" t="str">
            <v>4.04 DESPESA VARIÁVEL</v>
          </cell>
        </row>
        <row r="99">
          <cell r="E99" t="str">
            <v>4.05 DESPESA COM PESSOAL</v>
          </cell>
          <cell r="F99" t="str">
            <v>4.03 DESPESA FIXA</v>
          </cell>
        </row>
        <row r="100">
          <cell r="E100" t="str">
            <v>4.05 DESPESA COM PESSOAL</v>
          </cell>
          <cell r="F100" t="str">
            <v>4.04 DESPESA VARIÁVEL</v>
          </cell>
        </row>
        <row r="101">
          <cell r="E101" t="str">
            <v>4.05 DESPESA COM PESSOAL</v>
          </cell>
          <cell r="F101" t="str">
            <v>4.04 DESPESA VARIÁVEL</v>
          </cell>
        </row>
        <row r="102">
          <cell r="E102" t="str">
            <v>4.05 DESPESA COM PESSOAL</v>
          </cell>
          <cell r="F102" t="str">
            <v>4.04 DESPESA VARIÁVEL</v>
          </cell>
        </row>
        <row r="103">
          <cell r="E103" t="str">
            <v>4.05 DESPESA COM PESSOAL</v>
          </cell>
          <cell r="F103" t="str">
            <v>4.04 DESPESA VARIÁVEL</v>
          </cell>
        </row>
        <row r="104">
          <cell r="E104" t="str">
            <v>4.06 DESPESA COMERCIAL</v>
          </cell>
          <cell r="F104" t="str">
            <v>4.04 DESPESA VARIÁVEL</v>
          </cell>
        </row>
        <row r="105">
          <cell r="E105" t="str">
            <v>4.06 DESPESA COMERCIAL</v>
          </cell>
          <cell r="F105" t="str">
            <v>4.04 DESPESA VARIÁVEL</v>
          </cell>
        </row>
        <row r="106">
          <cell r="E106" t="str">
            <v>4.06 DESPESA COMERCIAL</v>
          </cell>
          <cell r="F106" t="str">
            <v>4.03 DESPESA FIXA</v>
          </cell>
        </row>
        <row r="107">
          <cell r="E107" t="str">
            <v>4.07 DESPESA FINANCEIRA</v>
          </cell>
          <cell r="F107" t="str">
            <v>4.04 DESPESA VARIÁVEL</v>
          </cell>
        </row>
        <row r="108">
          <cell r="E108" t="str">
            <v>4.07 DESPESA FINANCEIRA</v>
          </cell>
          <cell r="F108" t="str">
            <v>4.03 DESPESA FIXA</v>
          </cell>
        </row>
        <row r="109">
          <cell r="E109" t="str">
            <v>4.07 DESPESA FINANCEIRA</v>
          </cell>
          <cell r="F109" t="str">
            <v>4.03 DESPESA FIXA</v>
          </cell>
        </row>
        <row r="110">
          <cell r="E110" t="str">
            <v>4.08 DESPESA OPERACIONAL</v>
          </cell>
          <cell r="F110" t="str">
            <v>4.03 DESPESA FIXA</v>
          </cell>
        </row>
        <row r="111">
          <cell r="E111" t="str">
            <v>4.08 DESPESA OPERACIONAL</v>
          </cell>
          <cell r="F111" t="str">
            <v>4.03 DESPESA FIXA</v>
          </cell>
        </row>
        <row r="112">
          <cell r="E112" t="str">
            <v>4.08 DESPESA OPERACIONAL</v>
          </cell>
          <cell r="F112" t="str">
            <v>4.03 DESPESA FIXA</v>
          </cell>
        </row>
        <row r="113">
          <cell r="E113" t="str">
            <v>4.08 DESPESA OPERACIONAL</v>
          </cell>
          <cell r="F113" t="str">
            <v>4.03 DESPESA FIXA</v>
          </cell>
        </row>
        <row r="114">
          <cell r="E114" t="str">
            <v>4.08 DESPESA OPERACIONAL</v>
          </cell>
          <cell r="F114" t="str">
            <v>4.04 DESPESA VARIÁVEL</v>
          </cell>
        </row>
        <row r="115">
          <cell r="E115" t="str">
            <v>4.08 DESPESA OPERACIONAL</v>
          </cell>
          <cell r="F115" t="str">
            <v>4.03 DESPESA FIXA</v>
          </cell>
        </row>
        <row r="116">
          <cell r="E116" t="str">
            <v>4.08 DESPESA OPERACIONAL</v>
          </cell>
          <cell r="F116" t="str">
            <v>4.04 DESPESA VARIÁVEL</v>
          </cell>
        </row>
        <row r="117">
          <cell r="E117" t="str">
            <v>4.08 DESPESA OPERACIONAL</v>
          </cell>
          <cell r="F117" t="str">
            <v>4.04 DESPESA VARIÁVEL</v>
          </cell>
        </row>
        <row r="118">
          <cell r="E118" t="str">
            <v>4.08 DESPESA OPERACIONAL</v>
          </cell>
          <cell r="F118" t="str">
            <v>4.03 DESPESA FIXA</v>
          </cell>
        </row>
        <row r="119">
          <cell r="E119" t="str">
            <v>4.08 DESPESA OPERACIONAL</v>
          </cell>
          <cell r="F119" t="str">
            <v>4.03 DESPESA FIXA</v>
          </cell>
        </row>
        <row r="120">
          <cell r="E120" t="str">
            <v>4.08 DESPESA OPERACIONAL</v>
          </cell>
          <cell r="F120" t="str">
            <v>4.03 DESPESA FIXA</v>
          </cell>
        </row>
        <row r="121">
          <cell r="E121" t="str">
            <v>4.08 DESPESA OPERACIONAL</v>
          </cell>
          <cell r="F121" t="str">
            <v>4.03 DESPESA FIXA</v>
          </cell>
        </row>
        <row r="122">
          <cell r="E122" t="str">
            <v>4.08 DESPESA OPERACIONAL</v>
          </cell>
          <cell r="F122" t="str">
            <v>4.03 DESPESA FIXA</v>
          </cell>
        </row>
        <row r="123">
          <cell r="E123" t="str">
            <v>4.08 DESPESA OPERACIONAL</v>
          </cell>
          <cell r="F123" t="str">
            <v>4.04 DESPESA VARIÁVEL</v>
          </cell>
        </row>
        <row r="124">
          <cell r="E124" t="str">
            <v>4.08 DESPESA OPERACIONAL</v>
          </cell>
          <cell r="F124" t="str">
            <v>4.04 DESPESA VARIÁVEL</v>
          </cell>
        </row>
        <row r="125">
          <cell r="E125" t="str">
            <v>4.08 DESPESA OPERACIONAL</v>
          </cell>
          <cell r="F125" t="str">
            <v>4.04 DESPESA VARIÁVEL</v>
          </cell>
        </row>
        <row r="126">
          <cell r="E126" t="str">
            <v>4.08 DESPESA OPERACIONAL</v>
          </cell>
          <cell r="F126" t="str">
            <v>4.04 DESPESA VARIÁVEL</v>
          </cell>
        </row>
        <row r="127">
          <cell r="E127" t="str">
            <v>4.08 DESPESA OPERACIONAL</v>
          </cell>
          <cell r="F127" t="str">
            <v>4.04 DESPESA VARIÁVEL</v>
          </cell>
        </row>
        <row r="128">
          <cell r="E128" t="str">
            <v>4.08 DESPESA OPERACIONAL</v>
          </cell>
          <cell r="F128" t="str">
            <v>4.03 DESPESA FIXA</v>
          </cell>
        </row>
        <row r="129">
          <cell r="E129" t="str">
            <v>4.08 DESPESA OPERACIONAL</v>
          </cell>
          <cell r="F129" t="str">
            <v>4.03 DESPESA FIXA</v>
          </cell>
        </row>
        <row r="130">
          <cell r="E130" t="str">
            <v>4.08 DESPESA OPERACIONAL</v>
          </cell>
          <cell r="F130" t="str">
            <v>4.04 DESPESA VARIÁVEL</v>
          </cell>
        </row>
        <row r="131">
          <cell r="E131" t="str">
            <v>4.08 DESPESA OPERACIONAL</v>
          </cell>
          <cell r="F131" t="str">
            <v>4.04 DESPESA VARIÁVEL</v>
          </cell>
        </row>
        <row r="132">
          <cell r="E132" t="str">
            <v>4.08 DESPESA OPERACIONAL</v>
          </cell>
          <cell r="F132" t="str">
            <v>4.04 DESPESA VARIÁVEL</v>
          </cell>
        </row>
        <row r="133">
          <cell r="E133" t="str">
            <v>4.07 DESPESA FINANCEIRA</v>
          </cell>
          <cell r="F133" t="str">
            <v>4.03 DESPESA FIXA</v>
          </cell>
        </row>
        <row r="134">
          <cell r="E134" t="str">
            <v>4.08 DESPESA OPERACIONAL</v>
          </cell>
          <cell r="F134" t="str">
            <v>4.04 DESPESA VARIÁVEL</v>
          </cell>
        </row>
        <row r="135">
          <cell r="E135" t="str">
            <v>4.08 DESPESA OPERACIONAL</v>
          </cell>
          <cell r="F135" t="str">
            <v>4.04 DESPESA VARIÁVEL</v>
          </cell>
        </row>
        <row r="136">
          <cell r="E136" t="str">
            <v>4.09 RECEITAS FINANCEIRAS</v>
          </cell>
          <cell r="F136" t="str">
            <v>4.05 RECEITAS FINANCEIRAS</v>
          </cell>
        </row>
        <row r="137">
          <cell r="E137" t="str">
            <v>4.09 RECEITAS FINANCEIRAS</v>
          </cell>
          <cell r="F137" t="str">
            <v>4.05 RECEITAS FINANCEIRAS</v>
          </cell>
        </row>
        <row r="138">
          <cell r="E138" t="str">
            <v>4.09 RECEITAS FINANCEIRAS</v>
          </cell>
          <cell r="F138" t="str">
            <v>4.05 RECEITAS FINANCEIRAS</v>
          </cell>
        </row>
        <row r="139">
          <cell r="E139" t="str">
            <v>4.09 RECEITAS FINANCEIRAS</v>
          </cell>
          <cell r="F139" t="str">
            <v>4.05 RECEITAS FINANCEIRAS</v>
          </cell>
        </row>
        <row r="140">
          <cell r="E140" t="str">
            <v>4.09 RECEITAS FINANCEIRAS</v>
          </cell>
          <cell r="F140" t="str">
            <v>4.05 RECEITAS FINANCEIRAS</v>
          </cell>
        </row>
        <row r="141">
          <cell r="E141" t="str">
            <v>4.09 RECEITAS FINANCEIRAS</v>
          </cell>
          <cell r="F141" t="str">
            <v>4.05 RECEITAS FINANCEIRAS</v>
          </cell>
        </row>
        <row r="142">
          <cell r="E142" t="str">
            <v>4.09 RECEITAS FINANCEIRAS</v>
          </cell>
          <cell r="F142" t="str">
            <v>4.05 RECEITAS FINANCEIRAS</v>
          </cell>
        </row>
        <row r="143">
          <cell r="E143" t="str">
            <v>4.07 DESPESA FINANCEIRA</v>
          </cell>
          <cell r="F143" t="str">
            <v>4.06 DESPESA FINANCEIRA</v>
          </cell>
        </row>
        <row r="144">
          <cell r="E144" t="str">
            <v>4.10 IMPOSTO DE RENDA (IRPJ)</v>
          </cell>
          <cell r="F144" t="str">
            <v>4.06 IMPOSTO DE RENDA (IRPJ)</v>
          </cell>
        </row>
        <row r="145">
          <cell r="E145" t="str">
            <v>3.03 DEDUÇÕES DA RECEITA</v>
          </cell>
          <cell r="F145" t="str">
            <v>3.03 DEDUÇÕES DA RECEITA</v>
          </cell>
        </row>
        <row r="146">
          <cell r="E146" t="str">
            <v>3.03 DEDUÇÕES DA RECEITA</v>
          </cell>
          <cell r="F146" t="str">
            <v>3.03 DEDUÇÕES DA RECEITA</v>
          </cell>
        </row>
        <row r="147">
          <cell r="E147" t="str">
            <v>3.02 RECEITA NÃO-OPERACIONAL</v>
          </cell>
          <cell r="F147" t="str">
            <v>3.02 RECEITA NÃO-OPERACIONAL</v>
          </cell>
        </row>
        <row r="148">
          <cell r="E148" t="str">
            <v>4.02 CUSTO DE MÃO-DE-OBRA DIRETA</v>
          </cell>
          <cell r="F148" t="str">
            <v>4.01 CUSTO FIXO</v>
          </cell>
        </row>
        <row r="153">
          <cell r="E153" t="str">
            <v>3.02 RECEITA NÃO-OPERACIONAL</v>
          </cell>
          <cell r="F153" t="str">
            <v>3.02 RECEITA NÃO-OPERACIONAL</v>
          </cell>
        </row>
        <row r="166">
          <cell r="E166" t="str">
            <v>4.02 CUSTO DE MÃO-DE-OBRA DIRETA</v>
          </cell>
          <cell r="F166" t="str">
            <v>4.01 CUSTO FIXO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">
          <cell r="B1" t="str">
            <v>conta</v>
          </cell>
          <cell r="C1" t="str">
            <v>decritivo</v>
          </cell>
          <cell r="D1" t="str">
            <v>MODELO DE QUEBRA MARCONDES 1</v>
          </cell>
        </row>
        <row r="2">
          <cell r="B2" t="str">
            <v>COMPRA MATERIAL</v>
          </cell>
          <cell r="C2" t="str">
            <v>1.1.2 COMPRA MATERIAL</v>
          </cell>
          <cell r="D2" t="str">
            <v>Custo Variável</v>
          </cell>
        </row>
        <row r="3">
          <cell r="B3" t="str">
            <v>MIGRACAO FINANCEIRO 3.0</v>
          </cell>
          <cell r="C3" t="str">
            <v>1.2 MIGRACAO FINANCEIRO 3.0</v>
          </cell>
          <cell r="D3" t="str">
            <v>Outros</v>
          </cell>
        </row>
        <row r="4">
          <cell r="B4" t="str">
            <v>ESTORNO DE PAGAMENTO RECEBIDO</v>
          </cell>
          <cell r="C4" t="str">
            <v>1.35.43 ESTORNO DE PAGAMENTO RECEBIDO</v>
          </cell>
          <cell r="D4" t="str">
            <v>Receita</v>
          </cell>
        </row>
        <row r="5">
          <cell r="B5" t="str">
            <v>VENDAS DE SUCATAS</v>
          </cell>
          <cell r="C5" t="str">
            <v>4.1.1 VENDAS DE SUCATAS</v>
          </cell>
          <cell r="D5" t="str">
            <v>Receita</v>
          </cell>
        </row>
        <row r="6">
          <cell r="B6" t="str">
            <v>ACERTO FORNECEDOR X CREDOR</v>
          </cell>
          <cell r="C6" t="str">
            <v>4.1.2 ACERTO FORNECEDOR X CREDOR</v>
          </cell>
          <cell r="D6" t="str">
            <v>Custo Variável</v>
          </cell>
        </row>
        <row r="7">
          <cell r="B7" t="str">
            <v>ADIANTAMENTO CLIENTE SUCATA</v>
          </cell>
          <cell r="C7" t="str">
            <v>4.2.1 ADIANTAMENTO CLIENTE SUCATA</v>
          </cell>
          <cell r="D7" t="str">
            <v>Receita</v>
          </cell>
        </row>
        <row r="8">
          <cell r="B8" t="str">
            <v>DEVOLUÇÃO DE ADIANTAMENTO CLIENTE</v>
          </cell>
          <cell r="C8" t="str">
            <v>4.2.2 DEVOLUÇÃO DE ADIANTAMENTO CLIENTE</v>
          </cell>
          <cell r="D8" t="str">
            <v>Custo Variável</v>
          </cell>
        </row>
        <row r="9">
          <cell r="B9" t="str">
            <v>DEVOLUÇÃO DE VENDA SUCATA</v>
          </cell>
          <cell r="C9" t="str">
            <v>4.3.1 DEVOLUÇÃO DE VENDA SUCATA</v>
          </cell>
          <cell r="D9" t="str">
            <v>Receita</v>
          </cell>
        </row>
        <row r="10">
          <cell r="B10" t="str">
            <v xml:space="preserve">PRENSA JCH200 - EWU6041 </v>
          </cell>
          <cell r="C10" t="str">
            <v xml:space="preserve">5.1.1 PRENSA JCH200 - EWU6041 </v>
          </cell>
          <cell r="D10" t="str">
            <v>Receita</v>
          </cell>
        </row>
        <row r="11">
          <cell r="B11" t="str">
            <v xml:space="preserve">LOCAÇÃO DE CONTEINER E CAÇAMBAS </v>
          </cell>
          <cell r="C11" t="str">
            <v>5.1.2 LOCAÇÃO DE CONTEINER E CAÇAMBAS</v>
          </cell>
          <cell r="D11" t="str">
            <v>Receita</v>
          </cell>
        </row>
        <row r="12">
          <cell r="B12" t="str">
            <v>VENDA DE VEÍCULOS</v>
          </cell>
          <cell r="C12" t="str">
            <v>5.2.1 VENDA DE VEÍCULOS</v>
          </cell>
          <cell r="D12" t="str">
            <v>Receita</v>
          </cell>
        </row>
        <row r="13">
          <cell r="B13" t="str">
            <v>VENDA DE MAQUINAS E EQUIPAMENTOS</v>
          </cell>
          <cell r="C13" t="str">
            <v>5.2.2 VENDA DE MAQUINAS E EQUIPAMENTOS</v>
          </cell>
          <cell r="D13" t="str">
            <v>Receita</v>
          </cell>
        </row>
        <row r="14">
          <cell r="B14" t="str">
            <v>VENDA DE IMÓVEIS</v>
          </cell>
          <cell r="C14" t="str">
            <v>5.2.3 VENDA DE IMÓVEIS</v>
          </cell>
          <cell r="D14" t="str">
            <v>Receita</v>
          </cell>
        </row>
        <row r="15">
          <cell r="B15" t="str">
            <v>PERDCOMP RESSARCIMENTO</v>
          </cell>
          <cell r="C15" t="str">
            <v>5.3.1 PERDCOMP RESSARCIMENTO</v>
          </cell>
          <cell r="D15" t="str">
            <v>Receita</v>
          </cell>
        </row>
        <row r="16">
          <cell r="B16" t="str">
            <v>RESSARCIMENTO SEGURO</v>
          </cell>
          <cell r="C16" t="str">
            <v>5.3.2 RESSARCIMENTO SEGURO</v>
          </cell>
          <cell r="D16" t="str">
            <v>Receita</v>
          </cell>
        </row>
        <row r="17">
          <cell r="B17" t="str">
            <v>RENDIMENTO FINANCEIRO</v>
          </cell>
          <cell r="C17" t="str">
            <v>5.3.3 RENDIMENTO FINANCEIRO</v>
          </cell>
          <cell r="D17" t="str">
            <v>Receita</v>
          </cell>
        </row>
        <row r="18">
          <cell r="B18" t="str">
            <v>VARIACAO CAMBIAL ATIVA</v>
          </cell>
          <cell r="C18" t="str">
            <v>5.3.4 VARIACAO CAMBIAL ATIVA</v>
          </cell>
          <cell r="D18" t="str">
            <v>Receita</v>
          </cell>
        </row>
        <row r="19">
          <cell r="B19" t="str">
            <v>DISTRIBUIÇÃO DE LUCROS</v>
          </cell>
          <cell r="C19" t="str">
            <v>5.4.1 DISTRIBUIÇÃO DE LUCROS</v>
          </cell>
          <cell r="D19" t="str">
            <v>Receita</v>
          </cell>
        </row>
        <row r="20">
          <cell r="B20" t="str">
            <v>AJUSTE COMPENSAÇÕES DE CHEQUES</v>
          </cell>
          <cell r="C20" t="str">
            <v>5.4.10 AJUSTE COMPENSAÇÕES DE CHEQUES</v>
          </cell>
          <cell r="D20" t="str">
            <v>Receita</v>
          </cell>
        </row>
        <row r="21">
          <cell r="B21" t="str">
            <v>RECEITAS DIVERSAS</v>
          </cell>
          <cell r="C21" t="str">
            <v>5.4.11 RECEITAS DIVERSAS</v>
          </cell>
          <cell r="D21" t="str">
            <v>Receita</v>
          </cell>
        </row>
        <row r="22">
          <cell r="B22" t="str">
            <v>JUROS E MULTAS</v>
          </cell>
          <cell r="C22" t="str">
            <v>5.4.12 JUROS E MULTAS</v>
          </cell>
          <cell r="D22" t="str">
            <v>Receita</v>
          </cell>
        </row>
        <row r="23">
          <cell r="B23" t="str">
            <v>LOGISTICA REVERSA</v>
          </cell>
          <cell r="C23" t="str">
            <v>5.4.13 LOGISTICA REVERSA</v>
          </cell>
          <cell r="D23" t="str">
            <v>Receita</v>
          </cell>
        </row>
        <row r="24">
          <cell r="B24" t="str">
            <v>MIGRACAO</v>
          </cell>
          <cell r="C24" t="str">
            <v>5.4.14 MIGRACAO</v>
          </cell>
          <cell r="D24" t="str">
            <v>Receita</v>
          </cell>
        </row>
        <row r="25">
          <cell r="B25" t="str">
            <v>EMPRÉSTIMOS</v>
          </cell>
          <cell r="C25" t="str">
            <v>5.4.2 EMPRÉSTIMOS</v>
          </cell>
          <cell r="D25" t="str">
            <v>Receita</v>
          </cell>
        </row>
        <row r="26">
          <cell r="B26" t="str">
            <v>PESAGENS AVULSAS</v>
          </cell>
          <cell r="C26" t="str">
            <v>5.4.3 PESAGENS AVULSAS</v>
          </cell>
          <cell r="D26" t="str">
            <v>Receita</v>
          </cell>
        </row>
        <row r="27">
          <cell r="B27" t="str">
            <v>DESCARTE DE OLEO USADO</v>
          </cell>
          <cell r="C27" t="str">
            <v>5.4.4 DESCARTE DE OLEO USADO</v>
          </cell>
          <cell r="D27" t="str">
            <v>Receita</v>
          </cell>
        </row>
        <row r="28">
          <cell r="B28" t="str">
            <v>DESCONTOS RECEBIDOS</v>
          </cell>
          <cell r="C28" t="str">
            <v>5.4.5 DESCONTOS RECEBIDOS</v>
          </cell>
          <cell r="D28" t="str">
            <v>Receita</v>
          </cell>
        </row>
        <row r="29">
          <cell r="B29" t="str">
            <v>PARTICULAR</v>
          </cell>
          <cell r="C29" t="str">
            <v>5.4.6 PARTICULAR</v>
          </cell>
          <cell r="D29" t="str">
            <v>Receita</v>
          </cell>
        </row>
        <row r="30">
          <cell r="B30" t="str">
            <v>OPERAÇÕES ENTRE EMPRESAS</v>
          </cell>
          <cell r="C30" t="str">
            <v>5.4.7 OPERAÇÕES ENTRE EMPRESAS</v>
          </cell>
          <cell r="D30" t="str">
            <v>Receita</v>
          </cell>
        </row>
        <row r="31">
          <cell r="B31" t="str">
            <v>ESTORNO DE PAGAMENTO RECEBIDO</v>
          </cell>
          <cell r="C31" t="str">
            <v>5.4.8 ESTORNO DE PAGAMENTO RECEBIDO</v>
          </cell>
          <cell r="D31" t="str">
            <v>Receita</v>
          </cell>
        </row>
        <row r="32">
          <cell r="B32" t="str">
            <v>ESTORNO DE PAGAMENTO INDEVIDO</v>
          </cell>
          <cell r="C32" t="str">
            <v>5.4.8 ESTORNO DE PAGAMENTO INDEVIDO</v>
          </cell>
          <cell r="D32" t="str">
            <v>Receita</v>
          </cell>
        </row>
        <row r="33">
          <cell r="B33" t="str">
            <v>DOAÇÕES RECEBIDAS</v>
          </cell>
          <cell r="C33" t="str">
            <v>5.4.9 DOAÇÕES RECEBIDAS</v>
          </cell>
          <cell r="D33" t="str">
            <v>Receita</v>
          </cell>
        </row>
        <row r="34">
          <cell r="B34" t="str">
            <v>ADIANTAMENTO CLIENTE LOCAÇÃO</v>
          </cell>
          <cell r="C34" t="str">
            <v>5.5 ADIANTAMENTO CLIENTE LOCAÇÃO</v>
          </cell>
          <cell r="D34" t="str">
            <v>Receita</v>
          </cell>
        </row>
        <row r="35">
          <cell r="B35" t="str">
            <v>LOCACAO DE MAQUINAS E EQUIPAMENTOS</v>
          </cell>
          <cell r="C35" t="str">
            <v>5.6.1 LOCACAO DE MAQUINAS E EQUIPAMENTOS</v>
          </cell>
          <cell r="D35" t="str">
            <v>Receita</v>
          </cell>
        </row>
        <row r="36">
          <cell r="B36" t="str">
            <v>LOCACAO DE MÁQUINAS E EQUIPAMENTOS</v>
          </cell>
          <cell r="C36" t="str">
            <v>5.6.1 LOCACAO DE MÁQUINAS E EQUIPAMENTOS</v>
          </cell>
          <cell r="D36" t="str">
            <v>Receita</v>
          </cell>
        </row>
        <row r="37">
          <cell r="B37" t="str">
            <v>LOCACAO DE CONTEINER E CACAMBAS</v>
          </cell>
          <cell r="C37" t="str">
            <v>5.6.2 LOCACAO DE CONTEINER E CACAMBAS</v>
          </cell>
          <cell r="D37" t="str">
            <v>Receita</v>
          </cell>
        </row>
        <row r="38">
          <cell r="B38" t="str">
            <v>LOCACAO DE IMOVEIS</v>
          </cell>
          <cell r="C38" t="str">
            <v>5.6.3 LOCACAO DE IMOVEIS</v>
          </cell>
          <cell r="D38" t="str">
            <v>Receita</v>
          </cell>
        </row>
        <row r="39">
          <cell r="B39" t="str">
            <v>FRETES</v>
          </cell>
          <cell r="C39" t="str">
            <v>5.7.1 FRETES</v>
          </cell>
          <cell r="D39" t="str">
            <v>Receita</v>
          </cell>
        </row>
        <row r="40">
          <cell r="B40" t="str">
            <v>REVENDA</v>
          </cell>
          <cell r="C40" t="str">
            <v>5.8.1 REVENDA</v>
          </cell>
          <cell r="D40" t="str">
            <v>Receita</v>
          </cell>
        </row>
        <row r="41">
          <cell r="B41" t="str">
            <v>REVENDA DE MERCADORIA</v>
          </cell>
          <cell r="C41" t="str">
            <v>5.8.1 REVENDA DE MERCADORIA</v>
          </cell>
          <cell r="D41" t="str">
            <v>Receita</v>
          </cell>
        </row>
        <row r="42">
          <cell r="B42" t="str">
            <v>COMPRAS DE SUCATAS</v>
          </cell>
          <cell r="C42" t="str">
            <v>6.1.1 COMPRAS DE SUCATAS</v>
          </cell>
          <cell r="D42" t="str">
            <v>Custo Variável</v>
          </cell>
        </row>
        <row r="43">
          <cell r="B43" t="str">
            <v>PROCESSAMENTO INTERNO</v>
          </cell>
          <cell r="C43" t="str">
            <v>6.2 PROCESSAMENTO INTERNO</v>
          </cell>
          <cell r="D43" t="str">
            <v>Custo Variável</v>
          </cell>
        </row>
        <row r="44">
          <cell r="B44" t="str">
            <v>ADIANTAMENTOS CONCEDIDOS</v>
          </cell>
          <cell r="C44" t="str">
            <v>6.3.1 ADIANTAMENTOS CONCEDIDOS</v>
          </cell>
          <cell r="D44" t="str">
            <v>Custo Variável</v>
          </cell>
        </row>
        <row r="45">
          <cell r="B45" t="str">
            <v>ADIANTAMENTO CONCEDIDOS</v>
          </cell>
          <cell r="C45" t="str">
            <v>6.3.1 ADIANTAMENTO CONCEDIDOS</v>
          </cell>
          <cell r="D45" t="str">
            <v>Custo Variável</v>
          </cell>
        </row>
        <row r="46">
          <cell r="B46" t="str">
            <v>DEVOLUÇÃO DE ADIANTAMENTO FORNECEDOR</v>
          </cell>
          <cell r="C46" t="str">
            <v>6.3.2 DEVOLUÇÃO DE ADIANTAMENTO FORNECEDOR</v>
          </cell>
          <cell r="D46" t="str">
            <v>Receita</v>
          </cell>
        </row>
        <row r="47">
          <cell r="B47" t="str">
            <v>DEVOLUÇÃO DE COMPRA SUCATA</v>
          </cell>
          <cell r="C47" t="str">
            <v>6.4.1 DEVOLUÇÃO DE COMPRA SUCATA</v>
          </cell>
          <cell r="D47" t="str">
            <v>Receita</v>
          </cell>
        </row>
        <row r="48">
          <cell r="B48" t="str">
            <v>COMPRA P/ REVENDA</v>
          </cell>
          <cell r="C48" t="str">
            <v>6.5.1 COMPRA P/ REVENDA</v>
          </cell>
          <cell r="D48" t="str">
            <v>Custo Variável</v>
          </cell>
        </row>
        <row r="49">
          <cell r="B49" t="str">
            <v>INDUSTRIALIZAÇÃO</v>
          </cell>
          <cell r="C49" t="str">
            <v>6.5.2 INDUSTRIALIZAÇÃO</v>
          </cell>
          <cell r="D49" t="str">
            <v>Custo Variável</v>
          </cell>
        </row>
        <row r="50">
          <cell r="B50" t="str">
            <v>PEÇAS DE MANUTENÇÃO</v>
          </cell>
          <cell r="C50" t="str">
            <v>7.1.1 PEÇAS DE MANUTENÇÃO</v>
          </cell>
          <cell r="D50" t="str">
            <v>Custo Variável</v>
          </cell>
        </row>
        <row r="51">
          <cell r="B51" t="str">
            <v>IPVA</v>
          </cell>
          <cell r="C51" t="str">
            <v>7.1.10 IPVA</v>
          </cell>
          <cell r="D51" t="str">
            <v>Custo Variável</v>
          </cell>
        </row>
        <row r="52">
          <cell r="B52" t="str">
            <v>LICENCIAMENTO / DPVAT</v>
          </cell>
          <cell r="C52" t="str">
            <v>7.1.11 LICENCIAMENTO / DPVAT</v>
          </cell>
          <cell r="D52" t="str">
            <v>Custo Variável</v>
          </cell>
        </row>
        <row r="53">
          <cell r="B53" t="str">
            <v>PEDÁGIO</v>
          </cell>
          <cell r="C53" t="str">
            <v>7.1.12 PEDÁGIO</v>
          </cell>
          <cell r="D53" t="str">
            <v>Custo Variável</v>
          </cell>
        </row>
        <row r="54">
          <cell r="B54" t="str">
            <v>TAXA 1° REGISTRO VEICULO</v>
          </cell>
          <cell r="C54" t="str">
            <v>7.1.13 TAXA 1° REGISTRO VEICULO</v>
          </cell>
          <cell r="D54" t="str">
            <v>Custo Variável</v>
          </cell>
        </row>
        <row r="55">
          <cell r="B55" t="str">
            <v>DESPACHANTE</v>
          </cell>
          <cell r="C55" t="str">
            <v>7.1.14 DESPACHANTE</v>
          </cell>
          <cell r="D55" t="str">
            <v>Custo Variável</v>
          </cell>
        </row>
        <row r="56">
          <cell r="B56" t="str">
            <v>VISTORIAS</v>
          </cell>
          <cell r="C56" t="str">
            <v>7.1.15 VISTORIAS</v>
          </cell>
          <cell r="D56" t="str">
            <v>Custo Variável</v>
          </cell>
        </row>
        <row r="57">
          <cell r="B57" t="str">
            <v>SERVIÇOS DE TERCEIROS</v>
          </cell>
          <cell r="C57" t="str">
            <v>7.1.16 SERVIÇOS DE TERCEIROS</v>
          </cell>
          <cell r="D57" t="str">
            <v>Custo Variável</v>
          </cell>
        </row>
        <row r="58">
          <cell r="B58" t="str">
            <v>GÁS - USO OFICINA</v>
          </cell>
          <cell r="C58" t="str">
            <v>7.1.17 GÁS - USO OFICINA</v>
          </cell>
          <cell r="D58" t="str">
            <v>Custo Variável</v>
          </cell>
        </row>
        <row r="59">
          <cell r="B59" t="str">
            <v>FRETES E CARRETOS</v>
          </cell>
          <cell r="C59" t="str">
            <v>7.1.18 FRETES E CARRETOS</v>
          </cell>
          <cell r="D59" t="str">
            <v>Custo Variável</v>
          </cell>
        </row>
        <row r="60">
          <cell r="B60" t="str">
            <v>MULTA POR EXCESSO DE PESO</v>
          </cell>
          <cell r="C60" t="str">
            <v>7.1.19 MULTA POR EXCESSO DE PESO</v>
          </cell>
          <cell r="D60" t="str">
            <v>Custo Variável</v>
          </cell>
        </row>
        <row r="61">
          <cell r="B61" t="str">
            <v>MANUTENÇÃO DE VEÍCULOS/MAQUINAS</v>
          </cell>
          <cell r="C61" t="str">
            <v>7.1.2 MANUTENÇÃO DE VEÍCULOS/MAQUINAS</v>
          </cell>
          <cell r="D61" t="str">
            <v>Custo Variável</v>
          </cell>
        </row>
        <row r="62">
          <cell r="B62" t="str">
            <v>RASTREADOR/ MONITORAMENTO</v>
          </cell>
          <cell r="C62" t="str">
            <v>7.1.20 RASTREADOR/ MONITORAMENTO</v>
          </cell>
          <cell r="D62" t="str">
            <v>Custo Fixo</v>
          </cell>
        </row>
        <row r="63">
          <cell r="B63" t="str">
            <v>LOCAÇÃO DE VEÍCULOS</v>
          </cell>
          <cell r="C63" t="str">
            <v>7.1.21 LOCAÇÃO DE VEÍCULOS</v>
          </cell>
          <cell r="D63" t="str">
            <v>Custo Variável</v>
          </cell>
        </row>
        <row r="64">
          <cell r="B64" t="str">
            <v>LOCAÇÃO DE EQUIPAMENTOS E FERRAMENTAS</v>
          </cell>
          <cell r="C64" t="str">
            <v>7.1.3 LOCAÇÃO DE EQUIPAMENTOS E FERRAMENTAS</v>
          </cell>
          <cell r="D64" t="str">
            <v>Custo Variável</v>
          </cell>
        </row>
        <row r="65">
          <cell r="B65" t="str">
            <v>COMBUSTÍVEL - DIESEL (POSTO)</v>
          </cell>
          <cell r="C65" t="str">
            <v>7.1.4 COMBUSTÍVEL - DIESEL (POSTO)</v>
          </cell>
          <cell r="D65" t="str">
            <v>Custo Variável</v>
          </cell>
        </row>
        <row r="66">
          <cell r="B66" t="str">
            <v>COMBUSTÍVEL - DIESEL</v>
          </cell>
          <cell r="C66" t="str">
            <v>7.1.4 COMBUSTÍVEL - DIESEL</v>
          </cell>
          <cell r="D66" t="str">
            <v>Custo Variável</v>
          </cell>
        </row>
        <row r="67">
          <cell r="B67" t="str">
            <v>COMBUSTÍVEL - GASOLINA E ETANOL</v>
          </cell>
          <cell r="C67" t="str">
            <v>7.1.5 COMBUSTÍVEL - GASOLINA E ETANOL</v>
          </cell>
          <cell r="D67" t="str">
            <v>Custo Variável</v>
          </cell>
        </row>
        <row r="68">
          <cell r="B68" t="str">
            <v>TRANSPORTE DE SUCATA</v>
          </cell>
          <cell r="C68" t="str">
            <v>7.1.6 TRANSPORTE DE SUCATA</v>
          </cell>
          <cell r="D68" t="str">
            <v>Custo Variável</v>
          </cell>
        </row>
        <row r="69">
          <cell r="B69" t="str">
            <v>TRANSPORTE MANUTENÇÃO</v>
          </cell>
          <cell r="C69" t="str">
            <v>7.1.7 TRANSPORTE MANUTENÇÃO</v>
          </cell>
          <cell r="D69" t="str">
            <v>Custo Variável</v>
          </cell>
        </row>
        <row r="70">
          <cell r="B70" t="str">
            <v>DESPESAS DE VIAGEM</v>
          </cell>
          <cell r="C70" t="str">
            <v>7.1.8 DESPESAS DE VIAGEM</v>
          </cell>
          <cell r="D70" t="str">
            <v>Custo Variável</v>
          </cell>
        </row>
        <row r="71">
          <cell r="B71" t="str">
            <v>MULTAS DE TRANSITO</v>
          </cell>
          <cell r="C71" t="str">
            <v>7.1.9 MULTAS DE TRANSITO</v>
          </cell>
          <cell r="D71" t="str">
            <v>Custo Variável</v>
          </cell>
        </row>
        <row r="72">
          <cell r="B72" t="str">
            <v>OPERAÇÕES ENTRE EMPRESAS</v>
          </cell>
          <cell r="C72" t="str">
            <v>7.11.1 OPERAÇÕES ENTRE EMPRESAS</v>
          </cell>
          <cell r="D72" t="str">
            <v>Custo Variável</v>
          </cell>
        </row>
        <row r="73">
          <cell r="B73" t="str">
            <v>PAGAMENTOS PARA SÓCIOS (DISTRIB)</v>
          </cell>
          <cell r="C73" t="str">
            <v>7.11.2 PAGAMENTOS PARA SÓCIOS (DISTRIB)</v>
          </cell>
          <cell r="D73" t="str">
            <v>Custo Variável</v>
          </cell>
        </row>
        <row r="74">
          <cell r="B74" t="str">
            <v>AJUSTE COMPENSAÇÕES DE CHEQUES</v>
          </cell>
          <cell r="C74" t="str">
            <v>7.11.3 AJUSTE COMPENSAÇÕES DE CHEQUES</v>
          </cell>
          <cell r="D74" t="str">
            <v>Custo Variável</v>
          </cell>
        </row>
        <row r="75">
          <cell r="B75" t="str">
            <v>ACERTOS PARTICULARES</v>
          </cell>
          <cell r="C75" t="str">
            <v>7.11.4 ACERTOS PARTICULARES</v>
          </cell>
          <cell r="D75" t="str">
            <v>Custo Variável</v>
          </cell>
        </row>
        <row r="76">
          <cell r="B76" t="str">
            <v>RECARGAS</v>
          </cell>
          <cell r="C76" t="str">
            <v>7.11.5 RECARGAS</v>
          </cell>
          <cell r="D76" t="str">
            <v>Custo Variável</v>
          </cell>
        </row>
        <row r="77">
          <cell r="B77" t="str">
            <v>DESPESAS GERAIS PARTICULAR</v>
          </cell>
          <cell r="C77" t="str">
            <v>7.11.6 DESPESAS GERAIS PARTICULAR</v>
          </cell>
          <cell r="D77" t="str">
            <v>Custo Variável</v>
          </cell>
        </row>
        <row r="78">
          <cell r="B78" t="str">
            <v>EMPRESTIMOS</v>
          </cell>
          <cell r="C78" t="str">
            <v>7.11.7 EMPRESTIMOS</v>
          </cell>
          <cell r="D78" t="str">
            <v>Custo Fixo</v>
          </cell>
        </row>
        <row r="79">
          <cell r="B79" t="str">
            <v>VARIACAO CAMBIAL PASSIVA</v>
          </cell>
          <cell r="C79" t="str">
            <v>7.12.1 VARIACAO CAMBIAL PASSIVA</v>
          </cell>
          <cell r="D79" t="str">
            <v>Custo Variável</v>
          </cell>
        </row>
        <row r="80">
          <cell r="B80" t="str">
            <v>COMISSÃO</v>
          </cell>
          <cell r="C80" t="str">
            <v>7.2.2 COMISSÃO</v>
          </cell>
          <cell r="D80" t="str">
            <v>Custo Variável</v>
          </cell>
        </row>
        <row r="81">
          <cell r="B81" t="str">
            <v>PRÊMIOS</v>
          </cell>
          <cell r="C81" t="str">
            <v>7.2.3 PRÊMIOS</v>
          </cell>
          <cell r="D81" t="str">
            <v>Custo Variável</v>
          </cell>
        </row>
        <row r="82">
          <cell r="B82" t="str">
            <v>BRINDES</v>
          </cell>
          <cell r="C82" t="str">
            <v>7.2.4 BRINDES</v>
          </cell>
          <cell r="D82" t="str">
            <v>Custo Variável</v>
          </cell>
        </row>
        <row r="83">
          <cell r="B83" t="str">
            <v>PUBLICIDADE E PROPAGANDA</v>
          </cell>
          <cell r="C83" t="str">
            <v>7.2.5 PUBLICIDADE E PROPAGANDA</v>
          </cell>
          <cell r="D83" t="str">
            <v>Custo Variável</v>
          </cell>
        </row>
        <row r="84">
          <cell r="B84" t="str">
            <v>EVENTOS ENDOMARKETING</v>
          </cell>
          <cell r="C84" t="str">
            <v>7.2.6 EVENTOS ENDOMARKETING</v>
          </cell>
          <cell r="D84" t="str">
            <v>Custo Variável</v>
          </cell>
        </row>
        <row r="85">
          <cell r="B85" t="str">
            <v>SALÁRIOS</v>
          </cell>
          <cell r="C85" t="str">
            <v>7.3.1 SALÁRIOS</v>
          </cell>
          <cell r="D85" t="str">
            <v>Custo Fixo</v>
          </cell>
        </row>
        <row r="86">
          <cell r="B86" t="str">
            <v>HONORÁRIOS PJ</v>
          </cell>
          <cell r="C86" t="str">
            <v>7.3.23 HONORÁRIOS PJ</v>
          </cell>
          <cell r="D86" t="str">
            <v>Custo Fixo</v>
          </cell>
        </row>
        <row r="87">
          <cell r="B87" t="str">
            <v>TRANSPORTE DE COLABORADORES</v>
          </cell>
          <cell r="C87" t="str">
            <v>7.3.10 TRANSPORTE DE COLABORADORES</v>
          </cell>
          <cell r="D87" t="str">
            <v>Custo Variável</v>
          </cell>
        </row>
        <row r="88">
          <cell r="B88" t="str">
            <v>UNIFORMES</v>
          </cell>
          <cell r="C88" t="str">
            <v>7.3.11 UNIFORMES</v>
          </cell>
          <cell r="D88" t="str">
            <v>Custo Variável</v>
          </cell>
        </row>
        <row r="89">
          <cell r="B89" t="str">
            <v>PRO LABORE</v>
          </cell>
          <cell r="C89" t="str">
            <v>7.3.12 PRO LABORE</v>
          </cell>
          <cell r="D89" t="str">
            <v>Custo Fixo</v>
          </cell>
        </row>
        <row r="90">
          <cell r="B90" t="str">
            <v>SINDICATOS</v>
          </cell>
          <cell r="C90" t="str">
            <v>7.3.13 SINDICATOS</v>
          </cell>
          <cell r="D90" t="str">
            <v>Custo Variável</v>
          </cell>
        </row>
        <row r="91">
          <cell r="B91" t="str">
            <v>TREINAMENTOS E DESENVOLVIMENTO</v>
          </cell>
          <cell r="C91" t="str">
            <v>7.3.14 TREINAMENTOS E DESENVOLVIMENTO</v>
          </cell>
          <cell r="D91" t="str">
            <v>Custo Variável</v>
          </cell>
        </row>
        <row r="92">
          <cell r="B92" t="str">
            <v>SEGURO DE VIDA</v>
          </cell>
          <cell r="C92" t="str">
            <v>7.3.15 SEGURO DE VIDA</v>
          </cell>
          <cell r="D92" t="str">
            <v>Custo Fixo</v>
          </cell>
        </row>
        <row r="93">
          <cell r="B93" t="str">
            <v>EMPRESTIMO CONSIGNADO</v>
          </cell>
          <cell r="C93" t="str">
            <v>7.3.16 EMPRESTIMO CONSIGNADO</v>
          </cell>
          <cell r="D93" t="str">
            <v>Custo Variável</v>
          </cell>
        </row>
        <row r="94">
          <cell r="B94" t="str">
            <v>CONVENIOS</v>
          </cell>
          <cell r="C94" t="str">
            <v>7.3.17 CONVENIOS</v>
          </cell>
          <cell r="D94" t="str">
            <v>Custo Variável</v>
          </cell>
        </row>
        <row r="95">
          <cell r="B95" t="str">
            <v>CUSTA PROCESSUAL E TRABALHISTA</v>
          </cell>
          <cell r="C95" t="str">
            <v>7.3.18 CUSTA PROCESSUAL E TRABALHISTA</v>
          </cell>
          <cell r="D95" t="str">
            <v>Custo Variável</v>
          </cell>
        </row>
        <row r="96">
          <cell r="B96" t="str">
            <v>FERIAS</v>
          </cell>
          <cell r="C96" t="str">
            <v>7.3.19 FERIAS</v>
          </cell>
          <cell r="D96" t="str">
            <v>Custo Fixo</v>
          </cell>
        </row>
        <row r="97">
          <cell r="B97" t="str">
            <v>FGTS</v>
          </cell>
          <cell r="C97" t="str">
            <v>7.3.2 FGTS</v>
          </cell>
          <cell r="D97" t="str">
            <v>Custo Variável</v>
          </cell>
        </row>
        <row r="98">
          <cell r="B98" t="str">
            <v>13 SALARIO</v>
          </cell>
          <cell r="C98" t="str">
            <v>7.3.20 13 SALARIO</v>
          </cell>
          <cell r="D98" t="str">
            <v>Custo Fixo</v>
          </cell>
        </row>
        <row r="99">
          <cell r="B99" t="str">
            <v>RESCISÕES</v>
          </cell>
          <cell r="C99" t="str">
            <v>7.3.21 RESCISÕES</v>
          </cell>
          <cell r="D99" t="str">
            <v>Custo Fixo</v>
          </cell>
        </row>
        <row r="100">
          <cell r="B100" t="str">
            <v>BOLSA ESTAGIO</v>
          </cell>
          <cell r="C100" t="str">
            <v>7.3.22 BOLSA ESTAGIO</v>
          </cell>
          <cell r="D100" t="str">
            <v>Custo Fixo</v>
          </cell>
        </row>
        <row r="101">
          <cell r="B101" t="str">
            <v>INSS</v>
          </cell>
          <cell r="C101" t="str">
            <v>7.3.3 INSS</v>
          </cell>
          <cell r="D101" t="str">
            <v>Custo Variável</v>
          </cell>
        </row>
        <row r="102">
          <cell r="B102" t="str">
            <v>EXAMES MÉDICOS</v>
          </cell>
          <cell r="C102" t="str">
            <v>7.3.4 EXAMES MÉDICOS</v>
          </cell>
          <cell r="D102" t="str">
            <v>Custo Variável</v>
          </cell>
        </row>
        <row r="103">
          <cell r="B103" t="str">
            <v>ALIMENTAÇÃO DO TRABALHADOR</v>
          </cell>
          <cell r="C103" t="str">
            <v>7.3.5 ALIMENTAÇÃO DO TRABALHADOR</v>
          </cell>
          <cell r="D103" t="str">
            <v>Custo Variável</v>
          </cell>
        </row>
        <row r="104">
          <cell r="B104" t="str">
            <v>PLANO DE SAÚDE</v>
          </cell>
          <cell r="C104" t="str">
            <v>7.3.6 PLANO DE SAÚDE</v>
          </cell>
          <cell r="D104" t="str">
            <v>Custo Fixo</v>
          </cell>
        </row>
        <row r="105">
          <cell r="B105" t="str">
            <v>ALUGUEL DE FUNCIONÁRIO</v>
          </cell>
          <cell r="C105" t="str">
            <v>7.3.7 ALUGUEL DE FUNCIONÁRIO</v>
          </cell>
          <cell r="D105" t="str">
            <v>Custo Variável</v>
          </cell>
        </row>
        <row r="106">
          <cell r="B106" t="str">
            <v>CESTA BÁSICA</v>
          </cell>
          <cell r="C106" t="str">
            <v>7.3.8 CESTA BÁSICA</v>
          </cell>
          <cell r="D106" t="str">
            <v>Custo Variável</v>
          </cell>
        </row>
        <row r="107">
          <cell r="B107" t="str">
            <v>SEGURANÇA DO TRABALHO</v>
          </cell>
          <cell r="C107" t="str">
            <v>7.3.9 SEGURANÇA DO TRABALHO</v>
          </cell>
          <cell r="D107" t="str">
            <v>Custo Variável</v>
          </cell>
        </row>
        <row r="108">
          <cell r="B108" t="str">
            <v>PIS</v>
          </cell>
          <cell r="C108" t="str">
            <v>7.4.1 PIS</v>
          </cell>
          <cell r="D108" t="str">
            <v>Custo Variável</v>
          </cell>
        </row>
        <row r="109">
          <cell r="B109" t="str">
            <v>ITCMD</v>
          </cell>
          <cell r="C109" t="str">
            <v>7.4.10 ITCMD</v>
          </cell>
          <cell r="D109" t="str">
            <v>Custo Variável</v>
          </cell>
        </row>
        <row r="110">
          <cell r="B110" t="str">
            <v>IRPF</v>
          </cell>
          <cell r="C110" t="str">
            <v>7.4.11 IRPF</v>
          </cell>
          <cell r="D110" t="str">
            <v>Custo Variável</v>
          </cell>
        </row>
        <row r="111">
          <cell r="B111" t="str">
            <v>ICMS</v>
          </cell>
          <cell r="C111" t="str">
            <v>7.4.12 ICMS</v>
          </cell>
          <cell r="D111" t="str">
            <v>Custo Variável</v>
          </cell>
        </row>
        <row r="112">
          <cell r="B112" t="str">
            <v>DASN</v>
          </cell>
          <cell r="C112" t="str">
            <v>7.4.13 DASN</v>
          </cell>
          <cell r="D112" t="str">
            <v>Custo Variável</v>
          </cell>
        </row>
        <row r="113">
          <cell r="B113" t="str">
            <v>COFINS</v>
          </cell>
          <cell r="C113" t="str">
            <v>7.4.2 COFINS</v>
          </cell>
          <cell r="D113" t="str">
            <v>Custo Variável</v>
          </cell>
        </row>
        <row r="114">
          <cell r="B114" t="str">
            <v>IRPJ</v>
          </cell>
          <cell r="C114" t="str">
            <v>7.4.3 IRPJ</v>
          </cell>
          <cell r="D114" t="str">
            <v>Custo Variável</v>
          </cell>
        </row>
        <row r="115">
          <cell r="B115" t="str">
            <v>CSLL</v>
          </cell>
          <cell r="C115" t="str">
            <v>7.4.4 CSLL</v>
          </cell>
          <cell r="D115" t="str">
            <v>Custo Variável</v>
          </cell>
        </row>
        <row r="116">
          <cell r="B116" t="str">
            <v>ISS</v>
          </cell>
          <cell r="C116" t="str">
            <v>7.4.5 ISS</v>
          </cell>
          <cell r="D116" t="str">
            <v>Custo Variável</v>
          </cell>
        </row>
        <row r="117">
          <cell r="B117" t="str">
            <v>IRRF</v>
          </cell>
          <cell r="C117" t="str">
            <v>7.4.6 IRRF</v>
          </cell>
          <cell r="D117" t="str">
            <v>Custo Variável</v>
          </cell>
        </row>
        <row r="118">
          <cell r="B118" t="str">
            <v>CSRF</v>
          </cell>
          <cell r="C118" t="str">
            <v>7.4.7 CSRF</v>
          </cell>
          <cell r="D118" t="str">
            <v>Custo Variável</v>
          </cell>
        </row>
        <row r="119">
          <cell r="B119" t="str">
            <v>IOF</v>
          </cell>
          <cell r="C119" t="str">
            <v>7.4.8 IOF</v>
          </cell>
          <cell r="D119" t="str">
            <v>Custo Variável</v>
          </cell>
        </row>
        <row r="120">
          <cell r="B120" t="str">
            <v>DIFAL</v>
          </cell>
          <cell r="C120" t="str">
            <v>7.4.9 DIFAL</v>
          </cell>
          <cell r="D120" t="str">
            <v>Custo Variável</v>
          </cell>
        </row>
        <row r="121">
          <cell r="B121" t="str">
            <v>ÁGUA E ESGOTO</v>
          </cell>
          <cell r="C121" t="str">
            <v>7.5.1 ÁGUA E ESGOTO</v>
          </cell>
          <cell r="D121" t="str">
            <v>Custo Fixo</v>
          </cell>
        </row>
        <row r="122">
          <cell r="B122" t="str">
            <v>SEGURANÇA E VIGILÂNCIA</v>
          </cell>
          <cell r="C122" t="str">
            <v>7.5.10 SEGURANÇA E VIGILÂNCIA</v>
          </cell>
          <cell r="D122" t="str">
            <v>Custo Fixo</v>
          </cell>
        </row>
        <row r="123">
          <cell r="B123" t="str">
            <v>CORREIOS</v>
          </cell>
          <cell r="C123" t="str">
            <v>7.5.11 CORREIOS</v>
          </cell>
          <cell r="D123" t="str">
            <v>Custo Variável</v>
          </cell>
        </row>
        <row r="124">
          <cell r="B124" t="str">
            <v>SEGUROS</v>
          </cell>
          <cell r="C124" t="str">
            <v>7.5.13 SEGUROS</v>
          </cell>
          <cell r="D124" t="str">
            <v>Custo Fixo</v>
          </cell>
        </row>
        <row r="125">
          <cell r="B125" t="str">
            <v>RAÇÃO</v>
          </cell>
          <cell r="C125" t="str">
            <v>7.5.15 RAÇÃO</v>
          </cell>
          <cell r="D125" t="str">
            <v>Custo Variável</v>
          </cell>
        </row>
        <row r="126">
          <cell r="B126" t="str">
            <v>ALARME E MONITORAMENTO</v>
          </cell>
          <cell r="C126" t="str">
            <v>7.5.16 ALARME E MONITORAMENTO</v>
          </cell>
          <cell r="D126" t="str">
            <v>Custo Fixo</v>
          </cell>
        </row>
        <row r="127">
          <cell r="B127" t="str">
            <v>TAXAS</v>
          </cell>
          <cell r="C127" t="str">
            <v>7.5.17 TAXAS</v>
          </cell>
          <cell r="D127" t="str">
            <v>Custo Variável</v>
          </cell>
        </row>
        <row r="128">
          <cell r="B128" t="str">
            <v>SISTEMAS</v>
          </cell>
          <cell r="C128" t="str">
            <v>7.5.18 SISTEMAS</v>
          </cell>
          <cell r="D128" t="str">
            <v>Custo Fixo</v>
          </cell>
        </row>
        <row r="129">
          <cell r="B129" t="str">
            <v>ENTIDADES E ASSOCIAÇÕES</v>
          </cell>
          <cell r="C129" t="str">
            <v>7.5.19 ENTIDADES E ASSOCIAÇÕES</v>
          </cell>
          <cell r="D129" t="str">
            <v>Custo Variável</v>
          </cell>
        </row>
        <row r="130">
          <cell r="B130" t="str">
            <v>ENERGIA ELÉTRICA</v>
          </cell>
          <cell r="C130" t="str">
            <v>7.5.2 ENERGIA ELÉTRICA</v>
          </cell>
          <cell r="D130" t="str">
            <v>Custo Fixo</v>
          </cell>
        </row>
        <row r="131">
          <cell r="B131" t="str">
            <v>INTERNET</v>
          </cell>
          <cell r="C131" t="str">
            <v>7.5.20 INTERNET</v>
          </cell>
          <cell r="D131" t="str">
            <v>Custo Fixo</v>
          </cell>
        </row>
        <row r="132">
          <cell r="B132" t="str">
            <v>MATERIAL DE INFORMÁTICA</v>
          </cell>
          <cell r="C132" t="str">
            <v>7.5.21 MATERIAL DE INFORMÁTICA</v>
          </cell>
          <cell r="D132" t="str">
            <v>Custo Variável</v>
          </cell>
        </row>
        <row r="133">
          <cell r="B133" t="str">
            <v>DESPESAS BANCARIAS</v>
          </cell>
          <cell r="C133" t="str">
            <v>7.5.22 DESPESAS BANCARIAS</v>
          </cell>
          <cell r="D133" t="str">
            <v>Custo Variável</v>
          </cell>
        </row>
        <row r="134">
          <cell r="B134" t="str">
            <v>JUROS E MULTAS</v>
          </cell>
          <cell r="C134" t="str">
            <v>7.5.23 JUROS E MULTAS</v>
          </cell>
          <cell r="D134" t="str">
            <v>Custo Variável</v>
          </cell>
        </row>
        <row r="135">
          <cell r="B135" t="str">
            <v>DESCONTOS CONCEDIDOS</v>
          </cell>
          <cell r="C135" t="str">
            <v>7.5.24 DESCONTOS CONCEDIDOS</v>
          </cell>
          <cell r="D135" t="str">
            <v>Custo Variável</v>
          </cell>
        </row>
        <row r="136">
          <cell r="B136" t="str">
            <v>DESPESA DE CARTÓRIO</v>
          </cell>
          <cell r="C136" t="str">
            <v>7.5.25 DESPESA DE CARTÓRIO</v>
          </cell>
          <cell r="D136" t="str">
            <v>Custo Variável</v>
          </cell>
        </row>
        <row r="137">
          <cell r="B137" t="str">
            <v>DESPESAS SOCIAIS E DOAÇÕES</v>
          </cell>
          <cell r="C137" t="str">
            <v>7.5.26 DESPESAS SOCIAIS E DOAÇÕES</v>
          </cell>
          <cell r="D137" t="str">
            <v>Custo Variável</v>
          </cell>
        </row>
        <row r="138">
          <cell r="B138" t="str">
            <v>MATERIAL DE COPA/COZINHA</v>
          </cell>
          <cell r="C138" t="str">
            <v>7.5.27 MATERIAL DE COPA/COZINHA</v>
          </cell>
          <cell r="D138" t="str">
            <v>Custo Variável</v>
          </cell>
        </row>
        <row r="139">
          <cell r="B139" t="str">
            <v>SERVIÇO DE LIMPEZA DO ESCRITÓRIO</v>
          </cell>
          <cell r="C139" t="str">
            <v>7.5.28 SERVIÇO DE LIMPEZA DO ESCRITÓRIO</v>
          </cell>
          <cell r="D139" t="str">
            <v>Custo Fixo</v>
          </cell>
        </row>
        <row r="140">
          <cell r="B140" t="str">
            <v>LANCHES</v>
          </cell>
          <cell r="C140" t="str">
            <v>7.5.29 LANCHES</v>
          </cell>
          <cell r="D140" t="str">
            <v>Custo Variável</v>
          </cell>
        </row>
        <row r="141">
          <cell r="B141" t="str">
            <v>TELECOMUNICAÇÕES</v>
          </cell>
          <cell r="C141" t="str">
            <v>7.5.3 TELECOMUNICAÇÕES</v>
          </cell>
          <cell r="D141" t="str">
            <v>Custo Fixo</v>
          </cell>
        </row>
        <row r="142">
          <cell r="B142" t="str">
            <v>HOMOLOGAÇÃO PGTOS ELETRONICOS</v>
          </cell>
          <cell r="C142" t="str">
            <v>7.5.30 HOMOLOGAÇÃO PGTOS ELETRONICOS</v>
          </cell>
          <cell r="D142" t="str">
            <v>Custo Variável</v>
          </cell>
        </row>
        <row r="143">
          <cell r="B143" t="str">
            <v>ALUGUEL ADMINISTRATIVO</v>
          </cell>
          <cell r="C143" t="str">
            <v>7.5.31 ALUGUEL ADMINISTRATIVO</v>
          </cell>
          <cell r="D143" t="str">
            <v>Custo Fixo</v>
          </cell>
        </row>
        <row r="144">
          <cell r="B144" t="str">
            <v>TAXAS E LICENÇAS</v>
          </cell>
          <cell r="C144" t="str">
            <v>7.5.32 TAXAS E LICENÇAS</v>
          </cell>
          <cell r="D144" t="str">
            <v>Custo Variável</v>
          </cell>
        </row>
        <row r="145">
          <cell r="B145" t="str">
            <v>ALUGUEL VAGA GARAGEM</v>
          </cell>
          <cell r="C145" t="str">
            <v>7.5.33 ALUGUEL VAGA GARAGEM</v>
          </cell>
          <cell r="D145" t="str">
            <v>Custo Fixo</v>
          </cell>
        </row>
        <row r="146">
          <cell r="B146" t="str">
            <v>MOVEIS E ELETRODOMESTICOS</v>
          </cell>
          <cell r="C146" t="str">
            <v>7.5.34 MOVEIS E ELETRODOMESTICOS</v>
          </cell>
          <cell r="D146" t="str">
            <v>Custo Variável</v>
          </cell>
        </row>
        <row r="147">
          <cell r="B147" t="str">
            <v>MATERIAL DE LIMPEZA E HIGIENE</v>
          </cell>
          <cell r="C147" t="str">
            <v>7.5.4 MATERIAL DE LIMPEZA E HIGIENE</v>
          </cell>
          <cell r="D147" t="str">
            <v>Custo Variável</v>
          </cell>
        </row>
        <row r="148">
          <cell r="B148" t="str">
            <v>MATERIAL DE ESCRITÓRIO</v>
          </cell>
          <cell r="C148" t="str">
            <v>7.5.5 MATERIAL DE ESCRITÓRIO</v>
          </cell>
          <cell r="D148" t="str">
            <v>Custo Variável</v>
          </cell>
        </row>
        <row r="149">
          <cell r="B149" t="str">
            <v>MANUTENÇÕES E REPAROS - ESTRUTURA ADMINISTRATIVA</v>
          </cell>
          <cell r="C149" t="str">
            <v>7.5.6 MANUTENÇÕES E REPAROS - ESTRUTURA ADMINISTRATIVA</v>
          </cell>
          <cell r="D149" t="str">
            <v>Custo Variável</v>
          </cell>
        </row>
        <row r="150">
          <cell r="B150" t="str">
            <v>MANUTENÇÕES E REPAROS - ESTRUTURA</v>
          </cell>
          <cell r="C150" t="str">
            <v>7.5.6 MANUTENÇÕES E REPAROS - ESTRUTURA</v>
          </cell>
          <cell r="D150" t="str">
            <v>Custo Variável</v>
          </cell>
        </row>
        <row r="151">
          <cell r="B151" t="str">
            <v>HONORÁRIOS CONTÁBEIS</v>
          </cell>
          <cell r="C151" t="str">
            <v>7.5.7 HONORÁRIOS CONTÁBEIS</v>
          </cell>
          <cell r="D151" t="str">
            <v>Custo Fixo</v>
          </cell>
        </row>
        <row r="152">
          <cell r="B152" t="str">
            <v>HONORÁRIOS ADVOCATÍCIOS</v>
          </cell>
          <cell r="C152" t="str">
            <v>7.5.8 HONORÁRIOS ADVOCATÍCIOS</v>
          </cell>
          <cell r="D152" t="str">
            <v>Custo Variável</v>
          </cell>
        </row>
        <row r="153">
          <cell r="B153" t="str">
            <v>CONSULTORIA</v>
          </cell>
          <cell r="C153" t="str">
            <v>7.5.9 CONSULTORIA</v>
          </cell>
          <cell r="D153" t="str">
            <v>Custo Variável</v>
          </cell>
        </row>
        <row r="154">
          <cell r="B154" t="str">
            <v>GÁS - GLP COPA</v>
          </cell>
          <cell r="C154" t="str">
            <v>7.6.1 GÁS - GLP COPA</v>
          </cell>
          <cell r="D154" t="str">
            <v>Custo Variável</v>
          </cell>
        </row>
        <row r="155">
          <cell r="B155" t="str">
            <v>FERRAMENTAS</v>
          </cell>
          <cell r="C155" t="str">
            <v>7.6.2 FERRAMENTAS</v>
          </cell>
          <cell r="D155" t="str">
            <v>Custo Variável</v>
          </cell>
        </row>
        <row r="156">
          <cell r="B156" t="str">
            <v>MANUTENÇÃO PATIO</v>
          </cell>
          <cell r="C156" t="str">
            <v>7.6.3 MANUTENÇÃO PATIO</v>
          </cell>
          <cell r="D156" t="str">
            <v>Custo Variável</v>
          </cell>
        </row>
        <row r="157">
          <cell r="B157" t="str">
            <v>IPTU PATIO</v>
          </cell>
          <cell r="C157" t="str">
            <v>7.6.5 IPTU PATIO</v>
          </cell>
          <cell r="D157" t="str">
            <v>Custo Variável</v>
          </cell>
        </row>
        <row r="158">
          <cell r="B158" t="str">
            <v>SERVIÇOS CONTRATADOS</v>
          </cell>
          <cell r="C158" t="str">
            <v>7.7.1 SERVIÇOS CONTRATADOS</v>
          </cell>
          <cell r="D158" t="str">
            <v>Custo Variável</v>
          </cell>
        </row>
        <row r="159">
          <cell r="B159" t="str">
            <v>MATERIAL PARA REFORMA</v>
          </cell>
          <cell r="C159" t="str">
            <v>7.7.2 MATERIAL PARA REFORMA</v>
          </cell>
          <cell r="D159" t="str">
            <v>Custo Variável</v>
          </cell>
        </row>
        <row r="160">
          <cell r="B160" t="str">
            <v>ADIANTAMENTO A CREDOR</v>
          </cell>
          <cell r="C160" t="str">
            <v>7.8.1 ADIANTAMENTO A CREDOR</v>
          </cell>
          <cell r="D160" t="str">
            <v>Custo Variável</v>
          </cell>
        </row>
        <row r="161">
          <cell r="B161" t="str">
            <v>DEVOLUÇÃO DE ADIANTAMENTO A CREDOR</v>
          </cell>
          <cell r="C161" t="str">
            <v>7.8.2 DEVOLUÇÃO DE ADIANTAMENTO A CREDOR</v>
          </cell>
          <cell r="D161" t="str">
            <v>Receita</v>
          </cell>
        </row>
        <row r="162">
          <cell r="B162" t="str">
            <v>DEVOLUÇÃO A CREDOR</v>
          </cell>
          <cell r="C162" t="str">
            <v>7.9.1 DEVOLUÇÃO A CREDOR</v>
          </cell>
          <cell r="D162" t="str">
            <v>Receita</v>
          </cell>
        </row>
        <row r="163">
          <cell r="B163" t="str">
            <v>VEÍCULOS</v>
          </cell>
          <cell r="C163" t="str">
            <v>8.1.1 VEÍCULOS</v>
          </cell>
          <cell r="D163" t="str">
            <v>Custo Variável</v>
          </cell>
        </row>
        <row r="164">
          <cell r="B164" t="str">
            <v>MAQUINAS E EQUIPAMENTOS</v>
          </cell>
          <cell r="C164" t="str">
            <v>8.1.2 MAQUINAS E EQUIPAMENTOS</v>
          </cell>
          <cell r="D164" t="str">
            <v>Custo Variável</v>
          </cell>
        </row>
        <row r="165">
          <cell r="B165" t="str">
            <v>MÓVEIS</v>
          </cell>
          <cell r="C165" t="str">
            <v>8.1.3 MÓVEIS</v>
          </cell>
          <cell r="D165" t="str">
            <v>Custo Variável</v>
          </cell>
        </row>
        <row r="166">
          <cell r="B166" t="str">
            <v>COMPUTADORES E PERIFERICOS</v>
          </cell>
          <cell r="C166" t="str">
            <v>8.1.4 COMPUTADORES E PERIFERICOS</v>
          </cell>
          <cell r="D166" t="str">
            <v>Custo Variável</v>
          </cell>
        </row>
        <row r="167">
          <cell r="B167" t="str">
            <v>INSTALAÇÕES</v>
          </cell>
          <cell r="C167" t="str">
            <v>8.1.5 INSTALAÇÕES</v>
          </cell>
          <cell r="D167" t="str">
            <v>Custo Variável</v>
          </cell>
        </row>
        <row r="168">
          <cell r="B168" t="str">
            <v>ELETRÔNICOS</v>
          </cell>
          <cell r="C168" t="str">
            <v>8.1.6 ELETRÔNICOS</v>
          </cell>
          <cell r="D168" t="str">
            <v>Custo Variável</v>
          </cell>
        </row>
        <row r="169">
          <cell r="B169" t="str">
            <v>RESIDENCIAL</v>
          </cell>
          <cell r="C169" t="str">
            <v>8.2.1 RESIDENCIAL</v>
          </cell>
          <cell r="D169" t="str">
            <v>Custo Variável</v>
          </cell>
        </row>
        <row r="170">
          <cell r="B170" t="str">
            <v>COMERCIAL</v>
          </cell>
          <cell r="C170" t="str">
            <v>8.2.2 COMERCIAL</v>
          </cell>
          <cell r="D170" t="str">
            <v>Custo Variável</v>
          </cell>
        </row>
        <row r="171">
          <cell r="B171" t="str">
            <v>TERRENO SEM CONSTRUÇÃO</v>
          </cell>
          <cell r="C171" t="str">
            <v>8.2.3 TERRENO SEM CONSTRUÇÃO</v>
          </cell>
          <cell r="D171" t="str">
            <v>Custo Variável</v>
          </cell>
        </row>
        <row r="172">
          <cell r="B172" t="str">
            <v>ITBI</v>
          </cell>
          <cell r="C172" t="str">
            <v>8.3.1 ITBI</v>
          </cell>
          <cell r="D172" t="str">
            <v>Custo Variável</v>
          </cell>
        </row>
        <row r="173">
          <cell r="B173" t="str">
            <v>ESCRITURA</v>
          </cell>
          <cell r="C173" t="str">
            <v>8.3.2 ESCRITURA</v>
          </cell>
          <cell r="D173" t="str">
            <v>Custo Variável</v>
          </cell>
        </row>
        <row r="174">
          <cell r="B174" t="str">
            <v>REGISTRO</v>
          </cell>
          <cell r="C174" t="str">
            <v>8.3.3 REGISTRO</v>
          </cell>
          <cell r="D174" t="str">
            <v>Custo Variável</v>
          </cell>
        </row>
        <row r="175">
          <cell r="B175" t="str">
            <v>COMISSÃO DE CORRETORES</v>
          </cell>
          <cell r="C175" t="str">
            <v>8.3.4 COMISSÃO DE CORRETORES</v>
          </cell>
          <cell r="D175" t="str">
            <v>Custo Variável</v>
          </cell>
        </row>
        <row r="176">
          <cell r="B176" t="str">
            <v>CONSORCIO</v>
          </cell>
          <cell r="C176" t="str">
            <v>8.4 CONSORCIO</v>
          </cell>
          <cell r="D176" t="str">
            <v>Custo Variável</v>
          </cell>
        </row>
        <row r="177">
          <cell r="B177" t="str">
            <v>IPTU</v>
          </cell>
          <cell r="C177" t="str">
            <v>9.2.1 IPTU</v>
          </cell>
          <cell r="D177" t="str">
            <v>Custo Variável</v>
          </cell>
        </row>
        <row r="178">
          <cell r="B178" t="str">
            <v>ITR</v>
          </cell>
          <cell r="C178" t="str">
            <v>9.2.2 ITR</v>
          </cell>
          <cell r="D178" t="str">
            <v>Custo Variável</v>
          </cell>
        </row>
        <row r="179">
          <cell r="B179" t="str">
            <v>ENGENHEIROS E ARQUITETOS</v>
          </cell>
          <cell r="C179" t="str">
            <v>9.2.3 ENGENHEIROS E ARQUITETOS</v>
          </cell>
          <cell r="D179" t="str">
            <v>Custo Variável</v>
          </cell>
        </row>
        <row r="180">
          <cell r="B180" t="str">
            <v>TOPOGRAFIA</v>
          </cell>
          <cell r="C180" t="str">
            <v>9.2.4 TOPOGRAFIA</v>
          </cell>
          <cell r="D180" t="str">
            <v>Custo Variável</v>
          </cell>
        </row>
        <row r="181">
          <cell r="B181" t="str">
            <v>TAXA DE ADMINISTRACAO DE IMOVEIS</v>
          </cell>
          <cell r="C181" t="str">
            <v>9.2.5 TAXA DE ADMINISTRACAO DE IMOVEIS</v>
          </cell>
          <cell r="D181" t="str">
            <v>Custo Variável</v>
          </cell>
        </row>
        <row r="182">
          <cell r="B182" t="str">
            <v>CONDOMINIO</v>
          </cell>
          <cell r="C182" t="str">
            <v>9.2.6 CONDOMINIO</v>
          </cell>
          <cell r="D182" t="str">
            <v>Custo Fixo</v>
          </cell>
        </row>
        <row r="183">
          <cell r="B183" t="str">
            <v>OUTROS PRESTADORES DE SERVIÇOS</v>
          </cell>
          <cell r="C183" t="str">
            <v>9.2.7 OUTROS PRESTADORES DE SERVIÇOS</v>
          </cell>
          <cell r="D183" t="str">
            <v>Custo Variável</v>
          </cell>
        </row>
        <row r="184">
          <cell r="B184" t="str">
            <v>DESPESAS COM IMÓVEIS DESOCUPADOS</v>
          </cell>
          <cell r="C184" t="str">
            <v>9.2.8 DESPESAS COM IMÓVEIS DESOCUPADOS</v>
          </cell>
          <cell r="D184" t="str">
            <v>Custo Variável</v>
          </cell>
        </row>
        <row r="185">
          <cell r="B185" t="str">
            <v>COMBUSTÍVEL - DIESEL (INTERNO)</v>
          </cell>
          <cell r="C185" t="str">
            <v>7.1.22 COMBUSTÍVEL - DIESEL (INTERNO)</v>
          </cell>
          <cell r="D185" t="str">
            <v>Custo Variável</v>
          </cell>
        </row>
        <row r="186">
          <cell r="B186" t="str">
            <v>MÃO DE OBRA - CORTE DE SUCATA</v>
          </cell>
          <cell r="C186" t="str">
            <v>6.2.1 MÃO DE OBRA - CORTE DE SUCATA</v>
          </cell>
          <cell r="D186" t="str">
            <v>Custo Variável</v>
          </cell>
        </row>
        <row r="187">
          <cell r="B187" t="str">
            <v>MATERIAIS – CORTE DE SUCATA</v>
          </cell>
          <cell r="C187" t="str">
            <v>6.2.2 MATERIAIS – CORTE DE SUCATA</v>
          </cell>
          <cell r="D187" t="str">
            <v>Custo Variável</v>
          </cell>
        </row>
        <row r="188">
          <cell r="B188" t="str">
            <v>MATERIAIS - CORTE DE SUCATA</v>
          </cell>
          <cell r="C188" t="str">
            <v>6.2.2 MATERIAIS - CORTE DE SUCATA</v>
          </cell>
          <cell r="D188" t="str">
            <v>Custo Variável</v>
          </cell>
        </row>
        <row r="189">
          <cell r="B189" t="str">
            <v>FRETE DE TERCEIROS</v>
          </cell>
          <cell r="C189" t="str">
            <v>6.6.1 FRETE DE TERCEIROS</v>
          </cell>
          <cell r="D189" t="str">
            <v>Custo Variável</v>
          </cell>
        </row>
        <row r="190">
          <cell r="B190" t="str">
            <v>FÉRIAS</v>
          </cell>
          <cell r="C190" t="str">
            <v>7.3.19 FÉRIAS</v>
          </cell>
          <cell r="D190" t="str">
            <v>Custo Fixo</v>
          </cell>
        </row>
        <row r="191">
          <cell r="B191" t="str">
            <v>GRATIFICAÇÃO 13 SALARIO</v>
          </cell>
          <cell r="C191" t="str">
            <v>7.3.20 GRATIFICAÇÃO 13 SALARIO</v>
          </cell>
          <cell r="D191" t="str">
            <v>Custo Fixo</v>
          </cell>
        </row>
        <row r="192">
          <cell r="B192" t="str">
            <v>PATROCINIOS</v>
          </cell>
          <cell r="C192" t="str">
            <v>7.2.7 PATROCINIOS</v>
          </cell>
          <cell r="D192" t="str">
            <v>Custo Variável</v>
          </cell>
        </row>
        <row r="193">
          <cell r="B193" t="str">
            <v>ICMS DA PRESTAÇÃO DE TRANSPORTE</v>
          </cell>
          <cell r="C193" t="str">
            <v>6.6.3 ICMS DA PRESTAÇÃO DE TRANSPORTE</v>
          </cell>
          <cell r="D193" t="str">
            <v>Custo Variável</v>
          </cell>
        </row>
        <row r="194">
          <cell r="B194" t="str">
            <v>LOCAÇÃO DE CONTEINER E CAÇAMBAS</v>
          </cell>
          <cell r="C194" t="str">
            <v>5.1.2 LOCAÇÃO DE CONTEINER E CAÇAMBAS</v>
          </cell>
        </row>
      </sheetData>
      <sheetData sheetId="2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elle Camphora Staquecini" id="{054AB403-A16F-4D56-8B24-848DDCA948BD}" userId="michelle.staquecini@seletiva.ind.br" providerId="PeoplePicker"/>
  <person displayName="João Paulo  Martins Ozores | PILARES" id="{89D0234B-9508-459E-AF75-2412B65EC3E8}" userId="S::qualidade01@pilares.adm.br::cd80b806-c699-45c9-a78e-fd92f3e70591" providerId="AD"/>
  <person displayName="Luciano Faria | Pilares" id="{2C2FB18F-7782-4FBA-8AB2-C76D4517DFB1}" userId="S::luciano.faria@pilares.adm.br::35a23d0e-8c4b-4e16-9e00-2967167d731e" providerId="AD"/>
  <person displayName="Mayara Martins" id="{87DDDBE2-7580-4146-952F-A98A7CB7142B}" userId="S::mayara.martins@pilares.adm.br::38ff13d0-abdf-4a92-8bd3-f0aaa2765121" providerId="AD"/>
  <person displayName="Cristina Sugui" id="{E0C17660-D662-407A-B3C9-C7F2C7F22D7C}" userId="S::cristina.sugui@seletiva.ind.br::3adf00f0-444e-4e80-95b8-4fe658f29ff9" providerId="AD"/>
  <person displayName="Fernanda Oliveira Silva Cardoso" id="{289FD139-8051-495B-B6EA-94FE4ADC0EAA}" userId="S::controladoria02@seletiva.ind.br::ff7dcd86-0259-4c47-a6a3-b591d2d57b5c" providerId="AD"/>
  <person displayName="Michelle Camphora Staquecini" id="{724467DE-F864-442C-82C3-2226DEC7CCF0}" userId="S::michelle.staquecini@seletiva.ind.br::5858326e-ebe9-40da-af3c-a85d950692b3" providerId="AD"/>
  <person displayName="Maximiliano Peracchi" id="{357F1119-6891-43DE-A628-4163FE773C6E}" userId="S::maximiliano.peracchi@seletiva.ind.br::710c8094-b250-4fee-a9d2-91b1ab843491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6-02-02T14:15:29.75" personId="{89D0234B-9508-459E-AF75-2412B65EC3E8}" id="{B0A5F272-37B5-4F0E-A285-FF4CC6540678}">
    <text>Máquina irá operar em Campo Grande, será transferida hoje (02/02/2026).</text>
  </threadedComment>
  <threadedComment ref="E7" dT="2026-04-24T13:46:04.09" personId="{2C2FB18F-7782-4FBA-8AB2-C76D4517DFB1}" id="{5EDAEBA1-6693-46DD-BEC3-39D22423D50F}">
    <text>CC G3S C. GRANDE &gt; CC G&amp;S 1.7.9.33</text>
  </threadedComment>
  <threadedComment ref="J7" dT="2025-11-07T12:21:06.30" personId="{724467DE-F864-442C-82C3-2226DEC7CCF0}" id="{9F5A2ED0-9BD1-4B0F-A5F7-6A46A6703EF1}">
    <text>Junior - 18/09/2025</text>
  </threadedComment>
  <threadedComment ref="E8" dT="2026-04-24T13:39:37.52" personId="{2C2FB18F-7782-4FBA-8AB2-C76D4517DFB1}" id="{55A83E2C-AE29-4272-8B79-F672D53363D4}">
    <text>CC da G3S PRUDENTE &gt; CC da G&amp;S (1.7.9.32</text>
  </threadedComment>
  <threadedComment ref="J8" dT="2025-11-07T12:20:46.87" personId="{724467DE-F864-442C-82C3-2226DEC7CCF0}" id="{9D5061A0-1D80-40BB-B903-B39525EC1635}">
    <text>Junior - 18/09/2025</text>
  </threadedComment>
  <threadedComment ref="E9" dT="2026-04-24T14:45:01.03" personId="{2C2FB18F-7782-4FBA-8AB2-C76D4517DFB1}" id="{4B7D5067-54DD-48E4-A393-C04F5F78B468}">
    <text>CC G3S LDN &gt; CC G&amp;S 1.7.9.34</text>
  </threadedComment>
  <threadedComment ref="J9" dT="2025-11-07T12:20:51.73" personId="{724467DE-F864-442C-82C3-2226DEC7CCF0}" id="{F234BD52-7385-4E6F-A3D7-5BB6163D3BE4}">
    <text>Junior - 18/09/2025</text>
  </threadedComment>
  <threadedComment ref="J11" dT="2025-11-07T12:20:25.55" personId="{724467DE-F864-442C-82C3-2226DEC7CCF0}" id="{7EA2E127-E4A8-4BC9-B525-A61343F57F88}">
    <text>Junior - 18/09/2025</text>
  </threadedComment>
  <threadedComment ref="J11" dT="2026-02-25T12:18:41.41" personId="{89D0234B-9508-459E-AF75-2412B65EC3E8}" id="{0B75BFCE-0680-4277-BF4A-92D2E26F59C0}" parentId="{7EA2E127-E4A8-4BC9-B525-A61343F57F88}">
    <text>Informado pelo Junior (23/02/2026) - operando em Presidente Prudente</text>
  </threadedComment>
  <threadedComment ref="C12" dT="2026-04-29T18:22:32.93" personId="{289FD139-8051-495B-B6EA-94FE4ADC0EAA}" id="{D200A54C-7276-4DF3-AB57-F8B817078513}">
    <text>Contrato emitido para G&amp;S 06 - Maringá Distrito - Cidade Alta não tem G&amp;S.</text>
  </threadedComment>
  <threadedComment ref="J12" dT="2025-11-07T12:20:10.33" personId="{724467DE-F864-442C-82C3-2226DEC7CCF0}" id="{EE5C8BD4-1802-4E1E-846E-140022D151A6}">
    <text>Junior - 18/09/2025</text>
  </threadedComment>
  <threadedComment ref="C13" dT="2026-05-11T14:11:55.31" personId="{289FD139-8051-495B-B6EA-94FE4ADC0EAA}" id="{263D96CB-B8EB-4C55-8EFA-029CBA55470D}">
    <text>Está na Oficina</text>
  </threadedComment>
  <threadedComment ref="J13" dT="2025-11-07T12:20:15.05" personId="{724467DE-F864-442C-82C3-2226DEC7CCF0}" id="{82CAB795-AFEC-4A19-A2CB-78F353C0DACF}">
    <text>Junior - 18/09/2025</text>
  </threadedComment>
  <threadedComment ref="J14" dT="2026-04-27T14:58:58.95" personId="{289FD139-8051-495B-B6EA-94FE4ADC0EAA}" id="{1C7E5B8D-26BD-4EF0-B227-8045FC14E93F}">
    <text>Liebher parada (RSE)</text>
  </threadedComment>
  <threadedComment ref="C15" dT="2026-01-19T14:15:45.28" personId="{89D0234B-9508-459E-AF75-2412B65EC3E8}" id="{DD110057-113D-44B5-8D98-E406B6B14D76}">
    <text xml:space="preserve">Informado pelo Edmilson que a máquina foi alterada de Presidente Prudente, e irá operar em Maringá.
</text>
  </threadedComment>
  <threadedComment ref="C24" dT="2026-01-19T14:13:08.22" personId="{89D0234B-9508-459E-AF75-2412B65EC3E8}" id="{20333FBA-9258-4EE5-A4D8-73F03C78A8F7}">
    <text>Informado pelo Edmilson que a máquina foi transferida de Maringá para Londrina, e já está operando.</text>
  </threadedComment>
  <threadedComment ref="J25" dT="2026-04-27T14:59:23.33" personId="{289FD139-8051-495B-B6EA-94FE4ADC0EAA}" id="{45876A1B-5E5C-4522-A325-71E3E146F5AC}">
    <text xml:space="preserve">Vai ir para MS </text>
  </threadedComment>
  <threadedComment ref="L25" dT="2026-04-20T20:53:01.54" personId="{289FD139-8051-495B-B6EA-94FE4ADC0EAA}" id="{EA0C88D4-0380-4B05-B18A-BB4486F047D2}">
    <text xml:space="preserve">Montada para locação (Inclusao da Garra Arden) Vai para MS
</text>
  </threadedComment>
  <threadedComment ref="J26" dT="2025-11-07T12:21:00.62" personId="{724467DE-F864-442C-82C3-2226DEC7CCF0}" id="{CE3F776B-8BB0-4C63-A914-4415078F89BD}">
    <text>Junior - 18/09/2025</text>
  </threadedComment>
  <threadedComment ref="D27" dT="2026-04-23T12:24:59.16" personId="{289FD139-8051-495B-B6EA-94FE4ADC0EAA}" id="{2F12AE62-EFB0-4F44-B83E-668A8629E80E}">
    <text>Verificar se será colocado uma Maquina da Ekipa (RSE) substituindo ela para poder gerar fatura.</text>
  </threadedComment>
  <threadedComment ref="D27" dT="2026-04-23T12:25:14.61" personId="{289FD139-8051-495B-B6EA-94FE4ADC0EAA}" id="{5A098504-8742-47DD-8F1D-8086CADE04AD}" parentId="{2F12AE62-EFB0-4F44-B83E-668A8629E80E}">
    <text xml:space="preserve">Conversado com a Cris em 23/04/2026
</text>
  </threadedComment>
  <threadedComment ref="J27" dT="2025-11-07T12:21:16.57" personId="{724467DE-F864-442C-82C3-2226DEC7CCF0}" id="{8F67F14D-78C7-4247-8D30-3A731C471FFD}">
    <text>Junior - 18/09/2025</text>
  </threadedComment>
  <threadedComment ref="J28" dT="2025-11-07T12:20:56.27" personId="{724467DE-F864-442C-82C3-2226DEC7CCF0}" id="{A985BE25-8B25-4C21-8418-11333325EB76}">
    <text>Junior - 18/09/2025</text>
  </threadedComment>
  <threadedComment ref="J29" dT="2026-04-27T14:59:53.18" personId="{289FD139-8051-495B-B6EA-94FE4ADC0EAA}" id="{A576253E-664D-4B88-94CC-84091B0D69B2}">
    <text>Está no barracão da Braçofer (sem uso)</text>
  </threadedComment>
  <threadedComment ref="J29" dT="2026-05-12T14:25:57.77" personId="{289FD139-8051-495B-B6EA-94FE4ADC0EAA}" id="{3CC187B1-5E68-46E1-A38F-1A9CE227C761}" parentId="{A576253E-664D-4B88-94CC-84091B0D69B2}">
    <text>12/05/2026 Disponibilizada para Operar na G&amp;S Prudente</text>
  </threadedComment>
  <threadedComment ref="J30" dT="2025-11-07T12:21:38.66" personId="{724467DE-F864-442C-82C3-2226DEC7CCF0}" id="{40D3B5F0-6D96-4355-BEBA-372944807192}">
    <text>Junior - 18/09/2025</text>
  </threadedComment>
  <threadedComment ref="J31" dT="2025-11-07T12:21:51.34" personId="{724467DE-F864-442C-82C3-2226DEC7CCF0}" id="{E626569B-9C35-42F7-BB1D-25481D682B58}">
    <text>Junior - 18/09/2025</text>
  </threadedComment>
  <threadedComment ref="J32" dT="2025-11-07T12:21:55.52" personId="{724467DE-F864-442C-82C3-2226DEC7CCF0}" id="{95190F76-AFE4-48B6-94FD-B05E71C3EC2F}">
    <text>Junior - 18/09/2025</text>
  </threadedComment>
  <threadedComment ref="J33" dT="2025-11-07T12:21:59.99" personId="{724467DE-F864-442C-82C3-2226DEC7CCF0}" id="{F29AAE17-0080-41F9-9A88-E77AFDA8CAD6}">
    <text>Junior - 18/09/2025</text>
  </threadedComment>
  <threadedComment ref="L33" dT="2026-04-22T11:29:30.52" personId="{289FD139-8051-495B-B6EA-94FE4ADC0EAA}" id="{40D8B5F4-A59A-4CCF-B1BC-F2BA149B8AB1}">
    <text>Está na oficina - Premer</text>
  </threadedComment>
  <threadedComment ref="J35" dT="2025-02-27T19:58:37.10" personId="{724467DE-F864-442C-82C3-2226DEC7CCF0}" id="{D2FFDEE9-CCE1-41E5-A379-4CAB6CE66864}">
    <text>VERIFICAR A PLCA INTERNA PHH0045 OU PHT0045???</text>
  </threadedComment>
  <threadedComment ref="J35" dT="2025-02-27T20:03:37.23" personId="{E0C17660-D662-407A-B3C9-C7F2C7F22D7C}" id="{F89F4D10-DD8B-4702-BCCD-BE19650013D5}" parentId="{D2FFDEE9-CCE1-41E5-A379-4CAB6CE66864}">
    <text>Correto é PHH0045 = Prensa Hidraulica Hidroeuropa
As PHT estão erradas, pois quando chegaram o comprador que cadastrava colocou essa placa entendendo que deveria ser PHT = Prensa Hidraulica Tesoura.
Manteremos errada, pois o pessoal ja se habituou com a placa.</text>
  </threadedComment>
  <threadedComment ref="J36" dT="2024-07-13T12:35:59.15" personId="{87DDDBE2-7580-4146-952F-A98A7CB7142B}" id="{EFF76559-341F-472D-B9BC-57F2FF7A910E}">
    <text>EMPLACAMENTO COM CONCLUSAO PREVISTA PARA DAQUI A 6 MESES - A PARTIR DE 07/2024</text>
  </threadedComment>
  <threadedComment ref="J36" dT="2025-06-17T14:36:42.64" personId="{E0C17660-D662-407A-B3C9-C7F2C7F22D7C}" id="{69ADC9E7-C6BB-4474-82E3-13E5B7D56B3F}" parentId="{EFF76559-341F-472D-B9BC-57F2FF7A910E}">
    <text>@Michelle Camphora Staquecini sabe me dizer a placa CRLV desta prensa?</text>
    <mentions>
      <mention mentionpersonId="{054AB403-A16F-4D56-8B24-848DDCA948BD}" mentionId="{AE53AFD3-8787-4B8D-B0A4-0F5659D5C88A}" startIndex="0" length="29"/>
    </mentions>
  </threadedComment>
  <threadedComment ref="J36" dT="2025-06-17T15:17:48.54" personId="{724467DE-F864-442C-82C3-2226DEC7CCF0}" id="{62C07E92-E451-4B33-AA6F-E63AF49EF9A9}" parentId="{EFF76559-341F-472D-B9BC-57F2FF7A910E}">
    <text>Está em processo de emplacamento e sem previsão até o momento</text>
  </threadedComment>
  <threadedComment ref="J36" dT="2025-08-12T14:22:53.59" personId="{724467DE-F864-442C-82C3-2226DEC7CCF0}" id="{4437DCD9-E31F-44C0-8D8D-2A4A85107BF4}" parentId="{EFF76559-341F-472D-B9BC-57F2FF7A910E}">
    <text>Liberada documentação em 11/08/2025 - PHH0049 para SWQ2C15</text>
  </threadedComment>
  <threadedComment ref="J36" dT="2026-02-25T12:20:43.04" personId="{89D0234B-9508-459E-AF75-2412B65EC3E8}" id="{356DEAD6-7532-43B6-BE8A-711E01E26639}" parentId="{EFF76559-341F-472D-B9BC-57F2FF7A910E}">
    <text>Informado pelo Junior (23/02/2026) - Operando em Piracicaba.</text>
  </threadedComment>
  <threadedComment ref="X36" dT="2026-04-28T18:24:21.04" personId="{289FD139-8051-495B-B6EA-94FE4ADC0EAA}" id="{1DEF09C1-02DC-402C-A89C-DB6D9488A507}">
    <text>Valor anterior R$ 28.125,00</text>
  </threadedComment>
  <threadedComment ref="J37" dT="2025-01-16T18:39:09.82" personId="{724467DE-F864-442C-82C3-2226DEC7CCF0}" id="{597B5A0C-B2AF-4A4E-8F7E-40B388457192}">
    <text>resende rj - JULIO 28/07/2025
locada para Arcelor em Piracicaba - Julio 16/01
16 de janeiro de 2025 às 15:38</text>
  </threadedComment>
  <threadedComment ref="J37" dT="2025-07-15T11:49:19.78" personId="{724467DE-F864-442C-82C3-2226DEC7CCF0}" id="{82C06508-A003-4501-AF55-BF61FA150851}" parentId="{597B5A0C-B2AF-4A4E-8F7E-40B388457192}">
    <text>PHH0044 PLACA INTERNA</text>
  </threadedComment>
  <threadedComment ref="X37" dT="2026-04-28T18:24:16.71" personId="{289FD139-8051-495B-B6EA-94FE4ADC0EAA}" id="{4CA0F8EC-43A8-4438-B626-E564B43F5B91}">
    <text>Valor anterior R$ 28.125,00</text>
  </threadedComment>
  <threadedComment ref="J38" dT="2024-08-28T19:14:20.81" personId="{87DDDBE2-7580-4146-952F-A98A7CB7142B}" id="{F42BED12-36EE-4F72-8EA4-F76EC8C681AF}">
    <text>Placa Interna PHH-0061</text>
  </threadedComment>
  <threadedComment ref="J38" dT="2025-01-16T19:27:06.91" personId="{724467DE-F864-442C-82C3-2226DEC7CCF0}" id="{D3C32966-3AD7-4DC4-BAE4-1C9A1070E428}" parentId="{F42BED12-36EE-4F72-8EA4-F76EC8C681AF}">
    <text>Prensa em Paraná - Júlio 16/01</text>
  </threadedComment>
  <threadedComment ref="J38" dT="2025-12-26T18:00:13.49" personId="{724467DE-F864-442C-82C3-2226DEC7CCF0}" id="{29C119B4-0CE9-4A76-988F-6160D45C32E4}" parentId="{F42BED12-36EE-4F72-8EA4-F76EC8C681AF}">
    <text>Prensa regularizada, 22/12/2025 (Jairo seguiu com regularização)</text>
  </threadedComment>
  <threadedComment ref="J38" dT="2026-02-25T12:23:48.36" personId="{89D0234B-9508-459E-AF75-2412B65EC3E8}" id="{DE917CC6-7EB3-4F15-8AA7-389513676A37}" parentId="{F42BED12-36EE-4F72-8EA4-F76EC8C681AF}">
    <text>Informado pelo Junior (23/02/2026) - Máquina está em manutenção na unidade de Presidente Prudente, porém operará na Gerdau.</text>
  </threadedComment>
  <threadedComment ref="X38" dT="2026-04-28T18:24:06.85" personId="{289FD139-8051-495B-B6EA-94FE4ADC0EAA}" id="{86233CFD-4808-4A38-A752-B2EA8E70E930}">
    <text>Valor anterior R$ 28.125,00</text>
  </threadedComment>
  <threadedComment ref="AA38" dT="2026-04-29T20:44:47.76" personId="{289FD139-8051-495B-B6EA-94FE4ADC0EAA}" id="{89D87846-F0AA-4F08-BECF-9445BED2C996}">
    <text>NFS de abril emitida para G3S Maringá - conforme informação da Andressa.</text>
  </threadedComment>
  <threadedComment ref="F39" dT="2026-04-22T11:54:14.96" personId="{289FD139-8051-495B-B6EA-94FE4ADC0EAA}" id="{4300F8D5-A839-4864-9AA2-2C480D72AF4B}">
    <text>Será por Medição</text>
  </threadedComment>
  <threadedComment ref="J39" dT="2025-01-16T18:39:31.54" personId="{724467DE-F864-442C-82C3-2226DEC7CCF0}" id="{DD8CD824-3AAF-44A8-99C5-52DCE115491A}">
    <text>LOCALIZAÇÃO VARIÁVEL - 28/07/2025
Em Manutenção - Prudente - Julkio 16/01</text>
  </threadedComment>
  <threadedComment ref="J39" dT="2025-07-15T12:38:59.42" personId="{724467DE-F864-442C-82C3-2226DEC7CCF0}" id="{6661DAF9-296A-4871-8522-D7C2E921A7E7}" parentId="{DD8CD824-3AAF-44A8-99C5-52DCE115491A}">
    <text xml:space="preserve">PHH0022 PLACA INTERNA
</text>
  </threadedComment>
  <threadedComment ref="L39" dT="2026-04-22T11:30:46.74" personId="{289FD139-8051-495B-B6EA-94FE4ADC0EAA}" id="{F1F00507-23A6-4DE2-B657-68EC7CBDD06F}">
    <text>Devolvida pela Gerdau</text>
  </threadedComment>
  <threadedComment ref="X39" dT="2026-04-30T12:47:52.24" personId="{289FD139-8051-495B-B6EA-94FE4ADC0EAA}" id="{8BE0A5B8-3BE4-48DD-B226-51E2D7508175}">
    <text>Valor anterior R$ 28.125,00</text>
  </threadedComment>
  <threadedComment ref="J40" dT="2025-12-02T14:48:38.52" personId="{724467DE-F864-442C-82C3-2226DEC7CCF0}" id="{6B8DF24C-2BDF-4E48-936F-1BADF75F6128}">
    <text>Placa interna da prensa JCH200M - criada antes da chegada do bem para lançamentos dos custos de aquisição.</text>
  </threadedComment>
  <threadedComment ref="J40" dT="2025-12-02T16:48:42.82" personId="{E0C17660-D662-407A-B3C9-C7F2C7F22D7C}" id="{0DA202AF-9489-4AE1-A1D1-5B98D4BD0728}" parentId="{6B8DF24C-2BDF-4E48-936F-1BADF75F6128}">
    <text>MIchelle, boa tarde!
Grata pela informação.
Solicito informar o Luciano para criação de um centro de custo.</text>
  </threadedComment>
  <threadedComment ref="J40" dT="2026-02-25T12:17:10.33" personId="{89D0234B-9508-459E-AF75-2412B65EC3E8}" id="{DF2457BF-AFA2-4D0B-9792-DF7232FC8A34}" parentId="{6B8DF24C-2BDF-4E48-936F-1BADF75F6128}">
    <text>Prensa definida como SP- SELETIVA (variável).</text>
  </threadedComment>
  <threadedComment ref="X40" dT="2026-04-28T18:28:33.21" personId="{289FD139-8051-495B-B6EA-94FE4ADC0EAA}" id="{281D9696-A27A-49AE-A9D1-9D4A44082BD0}">
    <text>Valor anterior R$ 23.981,72</text>
  </threadedComment>
  <threadedComment ref="J41" dT="2025-11-07T12:22:41.74" personId="{724467DE-F864-442C-82C3-2226DEC7CCF0}" id="{09AD6235-D0D3-4BC6-830F-109E0D4B1903}">
    <text>Junior - 18/09/2025</text>
  </threadedComment>
  <threadedComment ref="J42" dT="2025-11-07T12:29:11.53" personId="{724467DE-F864-442C-82C3-2226DEC7CCF0}" id="{5FB08F15-20AE-44FF-A1C5-3AB7B75B4219}">
    <text>Junior - 18/09/2025</text>
  </threadedComment>
  <threadedComment ref="X42" dT="2026-04-28T20:17:43.38" personId="{289FD139-8051-495B-B6EA-94FE4ADC0EAA}" id="{8B503457-FBCC-4847-9602-6682F047D6BF}">
    <text>Valor anterior R$ 7.500,00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Y2" dT="2026-01-06T20:58:56.71" personId="{724467DE-F864-442C-82C3-2226DEC7CCF0}" id="{FB50F4FD-15A5-4884-8F75-639B75BF33D6}">
    <text>Enviado e-mail em 06/01/2026 para Cristina, seguir com pagamento do licenciamento em nome da Pessoa Física - Renato</text>
  </threadedComment>
  <threadedComment ref="AG3" dT="2025-11-07T12:19:23.54" personId="{724467DE-F864-442C-82C3-2226DEC7CCF0}" id="{0E9548D5-5D21-46AB-A7FE-D0A00D27F1E0}">
    <text>Junior - 18/09/2025</text>
  </threadedComment>
  <threadedComment ref="AG5" dT="2025-11-07T14:57:09.15" personId="{724467DE-F864-442C-82C3-2226DEC7CCF0}" id="{CE1556F9-D3DA-407F-9EAA-720D8F21EFF0}">
    <text>Junior - 18/09/2025</text>
  </threadedComment>
  <threadedComment ref="AG6" dT="2025-11-07T14:57:13.88" personId="{724467DE-F864-442C-82C3-2226DEC7CCF0}" id="{49A8C0B7-2198-4E4E-95DF-CA7622A94492}">
    <text>Junior - 18/09/2025</text>
  </threadedComment>
  <threadedComment ref="N8" dT="2024-12-30T12:50:48.96" personId="{724467DE-F864-442C-82C3-2226DEC7CCF0}" id="{D839B73D-75B7-4B16-9D0A-0B8C253E95F0}">
    <text>Reboque e semi-reboque não paga IPVA</text>
  </threadedComment>
  <threadedComment ref="AG8" dT="2025-01-17T15:18:37.13" personId="{724467DE-F864-442C-82C3-2226DEC7CCF0}" id="{5CF4644A-CE56-423A-BE80-6A2E3D8A8D5F}">
    <text>UNIDADE PRUDENTE - JÚLIO 28/07/2025
UNIDADE PRUDENTE - JULIO 17/01</text>
  </threadedComment>
  <threadedComment ref="N9" dT="2024-12-30T12:50:48.96" personId="{724467DE-F864-442C-82C3-2226DEC7CCF0}" id="{B6473470-D50E-4CE2-9449-2293C6392A20}">
    <text>Reboque e semi-reboque não paga IPVA</text>
  </threadedComment>
  <threadedComment ref="AG9" dT="2025-01-17T15:18:42.99" personId="{724467DE-F864-442C-82C3-2226DEC7CCF0}" id="{2731CB86-1E08-405F-B416-A2AACF4351F5}">
    <text>UNIDADE PRUDENTE - JULIO 17/01</text>
  </threadedComment>
  <threadedComment ref="AG9" dT="2025-03-20T20:09:46.24" personId="{724467DE-F864-442C-82C3-2226DEC7CCF0}" id="{AA81689A-45F8-4384-BF39-A54A05569351}" parentId="{2731CB86-1E08-405F-B416-A2AACF4351F5}">
    <text>VENDIDO 20/03/2025</text>
  </threadedComment>
  <threadedComment ref="AE10" dT="2024-11-28T20:03:07.06" personId="{724467DE-F864-442C-82C3-2226DEC7CCF0}" id="{7B4DD169-5079-46E1-BFF0-72781F09C357}">
    <text>Conferido na planilha "Simulação de ganho de capital"</text>
  </threadedComment>
  <threadedComment ref="AE11" dT="2024-11-28T20:03:07.06" personId="{724467DE-F864-442C-82C3-2226DEC7CCF0}" id="{6DF81811-BA57-42D4-AB6A-D3337799D1AB}">
    <text>Conferido na planilha "Simulação de ganho de capital"</text>
  </threadedComment>
  <threadedComment ref="AE12" dT="2024-11-28T20:03:07.06" personId="{724467DE-F864-442C-82C3-2226DEC7CCF0}" id="{4583A8C9-A855-4C49-B4ED-B4D82B54BB97}">
    <text>Conferido na planilha "Simulação de ganho de capital"</text>
  </threadedComment>
  <threadedComment ref="AE13" dT="2024-11-28T20:03:07.06" personId="{724467DE-F864-442C-82C3-2226DEC7CCF0}" id="{2286B53B-2EA8-4815-8BD9-A4D66A3C48CB}">
    <text>Conferido na planilha "Simulação de ganho de capital"</text>
  </threadedComment>
  <threadedComment ref="N14" dT="2024-12-30T12:50:48.96" personId="{724467DE-F864-442C-82C3-2226DEC7CCF0}" id="{765E307F-748C-40DB-973D-1CE4721776C9}">
    <text>Reboque e semi-reboque não paga IPVA</text>
  </threadedComment>
  <threadedComment ref="AG14" dT="2025-01-16T19:09:04.69" personId="{724467DE-F864-442C-82C3-2226DEC7CCF0}" id="{5ADB7C77-8532-405A-9563-C3398DCBB52F}">
    <text>unidade Dourados - Júlio 28/07/2025
unidade Dourados - Júlio 16/01</text>
  </threadedComment>
  <threadedComment ref="N15" dT="2024-12-30T12:50:48.96" personId="{724467DE-F864-442C-82C3-2226DEC7CCF0}" id="{51CDFF10-8E4E-4E16-8D2D-2D072BB22FB3}">
    <text>Reboque e semi-reboque não paga IPVA</text>
  </threadedComment>
  <threadedComment ref="AG15" dT="2025-01-16T19:09:22.94" personId="{724467DE-F864-442C-82C3-2226DEC7CCF0}" id="{DBF8E9A9-7BCD-4991-BE09-95B11D3C13C8}">
    <text>unidade Londrina - Júlio 16/01</text>
  </threadedComment>
  <threadedComment ref="N16" dT="2024-12-30T12:50:48.96" personId="{724467DE-F864-442C-82C3-2226DEC7CCF0}" id="{ED44D743-C22D-48BC-A4AD-F1A9B3CAAB8D}">
    <text>Reboque e semi-reboque não paga IPVA</text>
  </threadedComment>
  <threadedComment ref="AG16" dT="2025-01-16T19:10:34.72" personId="{724467DE-F864-442C-82C3-2226DEC7CCF0}" id="{A681C654-183E-448D-BAEA-C0AE0BBE4655}">
    <text>unidade Dourados - Júlio 16/01</text>
  </threadedComment>
  <threadedComment ref="N17" dT="2024-12-30T12:50:48.96" personId="{724467DE-F864-442C-82C3-2226DEC7CCF0}" id="{4D026969-921C-458C-B387-12808FA6F898}">
    <text>Reboque e semi-reboque não paga IPVA</text>
  </threadedComment>
  <threadedComment ref="AG17" dT="2025-01-16T19:11:11.96" personId="{724467DE-F864-442C-82C3-2226DEC7CCF0}" id="{CA09F4B5-305F-4B60-A9F1-8236A12634DB}">
    <text>unidade Prudente - Júlio 16/01</text>
  </threadedComment>
  <threadedComment ref="N18" dT="2024-12-30T12:50:48.96" personId="{724467DE-F864-442C-82C3-2226DEC7CCF0}" id="{3E9F2FCA-AF83-4E4D-A50A-C878B2F6FE00}">
    <text>Reboque e semi-reboque não paga IPVA</text>
  </threadedComment>
  <threadedComment ref="AG18" dT="2025-01-16T19:11:48.19" personId="{724467DE-F864-442C-82C3-2226DEC7CCF0}" id="{91409CBE-2DEF-490F-B150-2872BD40FE06}">
    <text>unidade Prudente - Júlio 16/01</text>
  </threadedComment>
  <threadedComment ref="N19" dT="2024-12-30T12:50:48.96" personId="{724467DE-F864-442C-82C3-2226DEC7CCF0}" id="{EC21664C-5C2D-4F53-BA5C-CE2EAF89FEA7}">
    <text>Reboque e semi-reboque não paga IPVA</text>
  </threadedComment>
  <threadedComment ref="AG19" dT="2025-01-16T19:49:16.26" personId="{724467DE-F864-442C-82C3-2226DEC7CCF0}" id="{0CB4FFF0-2453-4FEA-A133-2BAA783DB595}">
    <text>unidade Dourados - Júlio 16/01</text>
  </threadedComment>
  <threadedComment ref="AG19" dT="2026-02-03T17:44:45.25" personId="{89D0234B-9508-459E-AF75-2412B65EC3E8}" id="{F29C9408-2912-44DC-B825-7747F32E70BE}" parentId="{0CB4FFF0-2453-4FEA-A133-2BAA783DB595}">
    <text>Informado pelo Julio (03/02/2026) que foi alterado de unidade, de Dourados para Maringá.</text>
  </threadedComment>
  <threadedComment ref="AG19" dT="2026-02-11T17:08:00.35" personId="{89D0234B-9508-459E-AF75-2412B65EC3E8}" id="{5B7A5C15-152E-4971-9D19-AE21F45AF058}" parentId="{0CB4FFF0-2453-4FEA-A133-2BAA783DB595}">
    <text>Informado pelo Julio (10/02) - Alterado de unidade, de Maringá para Presidente Prudente.</text>
  </threadedComment>
  <threadedComment ref="AY19" dT="2025-04-01T18:35:36.29" personId="{289FD139-8051-495B-B6EA-94FE4ADC0EAA}" id="{955826B8-CB3F-46EF-B683-76FFB3DADF11}">
    <text>Recibo assinado por R$ 58.000,00</text>
  </threadedComment>
  <threadedComment ref="N20" dT="2024-12-30T12:50:48.96" personId="{724467DE-F864-442C-82C3-2226DEC7CCF0}" id="{06E4235E-C909-470D-983B-5347D1AA8B6D}">
    <text>Reboque e semi-reboque não paga IPVA</text>
  </threadedComment>
  <threadedComment ref="AG20" dT="2025-01-16T19:49:21.97" personId="{724467DE-F864-442C-82C3-2226DEC7CCF0}" id="{DFA7190C-CFCB-4798-8BE1-D85508B7E74E}">
    <text>unidade Prudente - Júlio 16/01</text>
  </threadedComment>
  <threadedComment ref="N21" dT="2024-12-30T12:50:48.96" personId="{724467DE-F864-442C-82C3-2226DEC7CCF0}" id="{D4F71956-8A78-43EE-A580-1F49D1A6D7E3}">
    <text>Reboque e semi-reboque não paga IPVA</text>
  </threadedComment>
  <threadedComment ref="AG21" dT="2025-01-16T19:49:28.15" personId="{724467DE-F864-442C-82C3-2226DEC7CCF0}" id="{70A48706-72E7-440D-B494-13CB1DF3AA0B}">
    <text>unidade Maringá - Júlio 16/01</text>
  </threadedComment>
  <threadedComment ref="N22" dT="2024-12-30T12:50:48.96" personId="{724467DE-F864-442C-82C3-2226DEC7CCF0}" id="{69745ACB-1679-4FBF-B4AF-068BA8360A45}">
    <text>Reboque e semi-reboque não paga IPVA</text>
  </threadedComment>
  <threadedComment ref="AG22" dT="2025-01-16T19:49:33.40" personId="{724467DE-F864-442C-82C3-2226DEC7CCF0}" id="{7844B908-5445-40C5-A6B3-4A96D6CFFE98}">
    <text>unidade Maringá - Júlio 16/01</text>
  </threadedComment>
  <threadedComment ref="N23" dT="2024-12-30T12:50:48.96" personId="{724467DE-F864-442C-82C3-2226DEC7CCF0}" id="{0F97AC99-3FD4-4D54-9ADD-AE33C78E8C10}">
    <text>Reboque e semi-reboque não paga IPVA</text>
  </threadedComment>
  <threadedComment ref="AG23" dT="2025-01-16T19:49:38.56" personId="{724467DE-F864-442C-82C3-2226DEC7CCF0}" id="{40EEEE5F-F1F9-45F9-82AD-0D6BC5EDB1B0}">
    <text>unidade Campo Grande - Júlio 16/01</text>
  </threadedComment>
  <threadedComment ref="AH23" dT="2025-08-21T19:07:56.35" personId="{724467DE-F864-442C-82C3-2226DEC7CCF0}" id="{846D822D-4F90-44B8-B844-B2A2790EE6BA}">
    <text>Recibo físico não localizado, solicitar 2via</text>
  </threadedComment>
  <threadedComment ref="N24" dT="2024-12-30T12:50:48.96" personId="{724467DE-F864-442C-82C3-2226DEC7CCF0}" id="{D159286B-3003-4196-A701-4A1024A03210}">
    <text>Reboque e semi-reboque não paga IPVA</text>
  </threadedComment>
  <threadedComment ref="AG24" dT="2025-01-16T19:49:43.91" personId="{724467DE-F864-442C-82C3-2226DEC7CCF0}" id="{25BCBDBC-5B56-448E-B8A3-49B6A0B7085D}">
    <text>unidade Prudente - Júlio 16/01</text>
  </threadedComment>
  <threadedComment ref="AH24" dT="2025-08-21T19:08:10.02" personId="{724467DE-F864-442C-82C3-2226DEC7CCF0}" id="{E1FDC918-2EBC-477F-A0BB-E67F68952D56}">
    <text>Recibo físico não localizado, solicitar 2via</text>
  </threadedComment>
  <threadedComment ref="N25" dT="2024-12-30T12:50:48.96" personId="{724467DE-F864-442C-82C3-2226DEC7CCF0}" id="{F0C3B794-CAB5-49FE-AC3C-C27E4ABF794B}">
    <text>Reboque e semi-reboque não paga IPVA</text>
  </threadedComment>
  <threadedComment ref="AG25" dT="2025-01-16T19:49:49.37" personId="{724467DE-F864-442C-82C3-2226DEC7CCF0}" id="{09E8FA82-3895-40F9-B83A-A6625CD944C6}">
    <text>unidade Maringá - Júlio 16/01</text>
  </threadedComment>
  <threadedComment ref="N26" dT="2024-12-30T12:50:48.96" personId="{724467DE-F864-442C-82C3-2226DEC7CCF0}" id="{AEB54745-4C6A-45A1-9F20-412DF3782B6E}">
    <text>Reboque e semi-reboque não paga IPVA</text>
  </threadedComment>
  <threadedComment ref="AG26" dT="2025-01-16T19:49:55.76" personId="{724467DE-F864-442C-82C3-2226DEC7CCF0}" id="{7AC70503-F97C-43B2-B3F4-874BE2525FFF}">
    <text>unidade Prudente - Júlio 16/01</text>
  </threadedComment>
  <threadedComment ref="N27" dT="2024-12-30T12:50:48.96" personId="{724467DE-F864-442C-82C3-2226DEC7CCF0}" id="{6B45F089-809D-4A17-8D95-4CF83CD9D460}">
    <text>Reboque e semi-reboque não paga IPVA</text>
  </threadedComment>
  <threadedComment ref="AG27" dT="2025-01-16T19:50:00.08" personId="{724467DE-F864-442C-82C3-2226DEC7CCF0}" id="{03C07DA9-8608-4825-B1C8-06D5B65DE24F}">
    <text>unidade Campo Grande - Júlio 16/01</text>
  </threadedComment>
  <threadedComment ref="AG32" dT="2025-11-07T14:56:44.76" personId="{724467DE-F864-442C-82C3-2226DEC7CCF0}" id="{3DA50789-47C7-4F32-A121-C97EB4FE190F}">
    <text>Junior - 18/09/2025</text>
  </threadedComment>
  <threadedComment ref="AG33" dT="2025-11-07T14:56:44.76" personId="{724467DE-F864-442C-82C3-2226DEC7CCF0}" id="{0E37BCB5-014F-4CF5-8824-14D79DE3AFBB}">
    <text>Junior - 18/09/2025</text>
  </threadedComment>
  <threadedComment ref="AG34" dT="2025-11-07T14:56:44.76" personId="{724467DE-F864-442C-82C3-2226DEC7CCF0}" id="{7CBACC4D-4111-42BF-B670-61C0DA5BF0A8}">
    <text>Junior - 18/09/2025</text>
  </threadedComment>
  <threadedComment ref="F41" dT="2025-01-22T15:01:15.13" personId="{724467DE-F864-442C-82C3-2226DEC7CCF0}" id="{0B0F8EDF-39D9-468F-B6DC-6CF4F6B22C2C}">
    <text>FAZER CONTRATO INTERCOMPANY</text>
  </threadedComment>
  <threadedComment ref="E43" dT="2025-01-22T15:01:15.13" personId="{724467DE-F864-442C-82C3-2226DEC7CCF0}" id="{D62D16AB-41E9-41FD-8EC1-232A59F8FB93}">
    <text>FAZER CONTRATO INTERCOMPANY</text>
  </threadedComment>
  <threadedComment ref="H43" dT="2025-01-22T15:00:43.77" personId="{724467DE-F864-442C-82C3-2226DEC7CCF0}" id="{7C39B1AF-48D0-44AA-B5AC-4569776608C1}">
    <text>Se 'contrato intercompany' SIM - informar qual empresa responsável. Se não deixar '-'</text>
  </threadedComment>
  <threadedComment ref="AF43" dT="2025-01-22T13:58:41.69" personId="{724467DE-F864-442C-82C3-2226DEC7CCF0}" id="{171D2748-3E56-4511-B8A2-FD1C6C2CDC22}">
    <text>Amarok - Sr Renato</text>
  </threadedComment>
  <threadedComment ref="CE43" dT="2025-01-22T13:58:41.69" personId="{724467DE-F864-442C-82C3-2226DEC7CCF0}" id="{987B113C-FCAF-428B-B1E9-6E2FC1880C91}">
    <text>Amarok - Sr Renato</text>
  </threadedComment>
  <threadedComment ref="AO44" dT="2025-02-13T13:29:03.11" personId="{724467DE-F864-442C-82C3-2226DEC7CCF0}" id="{DA0D20B9-9F0B-44F3-839A-991081AD1FC7}">
    <text xml:space="preserve">ANOTAÇÃO QAO4A53 - DOIS VEICULOS - VERIFICAR ALTERAÇÃO DE DOCUMENTAÇÃO VEICULAR
</text>
  </threadedComment>
  <threadedComment ref="CE44" dT="2025-02-13T13:24:04.38" personId="{724467DE-F864-442C-82C3-2226DEC7CCF0}" id="{9836761A-2DBC-489E-BD70-3D648ED836A0}">
    <text xml:space="preserve">RETIRADO IMPLEMENTOS DO EJZ7303
</text>
  </threadedComment>
  <threadedComment ref="AO45" dT="2025-02-13T13:29:03.11" personId="{724467DE-F864-442C-82C3-2226DEC7CCF0}" id="{AE193DC0-3BE8-4142-A7BE-EE39B17BA793}">
    <text xml:space="preserve">ANOTAÇÃO QAO4A53 - DOIS VEICULOS - VERIFICAR ALTERAÇÃO DE DOCUMENTAÇÃO VEICULAR
</text>
  </threadedComment>
  <threadedComment ref="AG47" dT="2025-11-07T12:29:11.53" personId="{724467DE-F864-442C-82C3-2226DEC7CCF0}" id="{A8ADE76E-2E8F-445C-8B90-ABAF2743055E}">
    <text>Junior - 18/09/2025</text>
  </threadedComment>
  <threadedComment ref="AG63" dT="2025-07-28T15:03:33.23" personId="{724467DE-F864-442C-82C3-2226DEC7CCF0}" id="{5A09ACEC-0F6B-49FC-97F5-788AE8069FDD}">
    <text>sendo instalado rollon Grimaldi G25 - para venda - Júlio 28/07/2025</text>
  </threadedComment>
  <threadedComment ref="AO63" dT="2025-02-13T13:31:22.03" personId="{724467DE-F864-442C-82C3-2226DEC7CCF0}" id="{E5D1B4AE-59E9-4E2A-B2EB-A81EDE82A423}">
    <text>APENAS CHASSI - VINCULADO COM ANOTAÇÃO QAO....</text>
  </threadedComment>
  <threadedComment ref="AO63" dT="2025-03-05T14:14:32.27" personId="{E0C17660-D662-407A-B3C9-C7F2C7F22D7C}" id="{5DE1B4CB-5F4E-42DB-8F37-E58EB0EC02E3}" parentId="{E5D1B4AE-59E9-4E2A-B2EB-A81EDE82A423}">
    <text>Retirado o garra e rollon - foi passado para um cargo</text>
  </threadedComment>
  <threadedComment ref="AG67" dT="2025-07-25T20:30:15.83" personId="{724467DE-F864-442C-82C3-2226DEC7CCF0}" id="{54E3B343-B846-4100-9FB9-BBA080E94BDE}">
    <text>PARA VENDA - JÚLIO 25/07/2025</text>
  </threadedComment>
  <threadedComment ref="AG68" dT="2025-01-16T18:48:49.76" personId="{724467DE-F864-442C-82C3-2226DEC7CCF0}" id="{C247B482-8344-48F2-B698-9B7679EBE9C5}">
    <text>PARA VENDA - JÚLIO 25/07/2025
unidade campo Grande - Júlio 16/01/2025</text>
  </threadedComment>
  <threadedComment ref="AH68" dT="2025-11-27T12:20:31.65" personId="{724467DE-F864-442C-82C3-2226DEC7CCF0}" id="{7F7F87DD-3E0F-43BF-B438-67DF899645AE}">
    <text>Encontrado no Gervazoni, parado desde 2022 no despachante por reprova na vistoria</text>
  </threadedComment>
  <threadedComment ref="AG69" dT="2025-07-25T20:31:31.43" personId="{724467DE-F864-442C-82C3-2226DEC7CCF0}" id="{8A2D50E5-36B9-40FB-A777-AE3936BC6AF0}">
    <text>PARA VENDA - JÚLIO 25/07/2025</text>
  </threadedComment>
  <threadedComment ref="N70" dT="2024-12-30T12:50:48.96" personId="{724467DE-F864-442C-82C3-2226DEC7CCF0}" id="{A4B2D34C-A33D-480A-957D-3A08D53CE35A}">
    <text>Reboque e semi-reboque não paga IPVA</text>
  </threadedComment>
  <threadedComment ref="AG70" dT="2025-01-16T19:12:03.94" personId="{724467DE-F864-442C-82C3-2226DEC7CCF0}" id="{5148EA7C-7F04-44AE-8DDB-2B1436E3DE12}">
    <text>unidade Dourados - Júlio 16/01</text>
  </threadedComment>
  <threadedComment ref="AG71" dT="2025-01-16T18:50:10.07" personId="{724467DE-F864-442C-82C3-2226DEC7CCF0}" id="{4588F260-870B-4747-BA9C-8EE4693676D8}">
    <text>unidade Dourados - Júlio 24/07/2025
unidade Dourados - Júlio 16/01/2025</text>
  </threadedComment>
  <threadedComment ref="AG72" dT="2025-01-16T18:50:23.03" personId="{724467DE-F864-442C-82C3-2226DEC7CCF0}" id="{75757324-218B-48EB-B82B-28DFF18535EC}">
    <text>unidade Dourados - Júlio 24/07/2025
unidade Dourados - Júlio 16/01/2025</text>
  </threadedComment>
  <threadedComment ref="AG72" dT="2026-03-27T14:27:49.75" personId="{89D0234B-9508-459E-AF75-2412B65EC3E8}" id="{3903A001-1A31-4F2D-9754-F7AE5CCA78D8}" parentId="{75757324-218B-48EB-B82B-28DFF18535EC}">
    <text>Informado pelo Julio (26/03) - Caminhão operará em Campo Grande</text>
  </threadedComment>
  <threadedComment ref="AG73" dT="2025-01-16T18:49:12.12" personId="{724467DE-F864-442C-82C3-2226DEC7CCF0}" id="{95452843-CED6-4778-86EB-C65F1CC23B53}">
    <text>unidade Maringá - Julio 24/07/2025
unidade Maringá - Julio 16/01/2025</text>
  </threadedComment>
  <threadedComment ref="AG73" dT="2026-02-25T12:58:11.57" personId="{89D0234B-9508-459E-AF75-2412B65EC3E8}" id="{22DBDDCB-8B43-4794-B58C-E4292ABDAE6C}" parentId="{95452843-CED6-4778-86EB-C65F1CC23B53}">
    <text>Está na unidade de Presidente Prudente - Oficina</text>
  </threadedComment>
  <threadedComment ref="N74" dT="2025-01-13T17:13:49.80" personId="{724467DE-F864-442C-82C3-2226DEC7CCF0}" id="{57CA7E78-AF7A-4915-B120-071EB5B4C36F}">
    <text>Validado a placa com sr Renato 13/01/25. Autorizado seguir com pagto do IPVA e Licenciamento.</text>
  </threadedComment>
  <threadedComment ref="AG74" dT="2025-07-25T20:25:00.67" personId="{724467DE-F864-442C-82C3-2226DEC7CCF0}" id="{32E6610B-08F5-498B-B06C-1EA08F26A00D}">
    <text>unidade Prudente - Júlio 24/07/2025</text>
  </threadedComment>
  <threadedComment ref="AG75" dT="2025-07-25T20:19:19.61" personId="{724467DE-F864-442C-82C3-2226DEC7CCF0}" id="{08BA6A5D-F590-4B9C-82BD-C65C08933E26}">
    <text>unidade Dourados - Júlio 24/07/2025</text>
  </threadedComment>
  <threadedComment ref="AG75" dT="2026-02-03T17:43:30.14" personId="{89D0234B-9508-459E-AF75-2412B65EC3E8}" id="{2303FA01-21A2-4603-B1AF-1B589140C91C}" parentId="{08BA6A5D-F590-4B9C-82BD-C65C08933E26}">
    <text>Informado pelo Julio (03/02/2026) que o caminhão saiu de Dourados e operará na unidade de Londrina.</text>
  </threadedComment>
  <threadedComment ref="AG75" dT="2026-02-11T17:03:23.58" personId="{89D0234B-9508-459E-AF75-2412B65EC3E8}" id="{2A42236D-02A4-4B3D-8FCC-26161154C0ED}" parentId="{08BA6A5D-F590-4B9C-82BD-C65C08933E26}">
    <text>Informado pelo Julio (10/02) - Alterado de Londrina para operar em Maringá.</text>
  </threadedComment>
  <threadedComment ref="AG76" dT="2025-07-25T20:25:22.91" personId="{724467DE-F864-442C-82C3-2226DEC7CCF0}" id="{7EA957EE-7787-4F3C-B98A-3676B02A4AB3}">
    <text>unidade Prudente - Júlio 24/07/2025</text>
  </threadedComment>
  <threadedComment ref="AG76" dT="2025-08-25T14:36:42.29" personId="{724467DE-F864-442C-82C3-2226DEC7CCF0}" id="{9C6E7ED3-119B-4F21-9CFC-DBEB11ED81D1}" parentId="{7EA957EE-7787-4F3C-B98A-3676B02A4AB3}">
    <text>unidade Londrina PR - Júlio 25/08/2025</text>
  </threadedComment>
  <threadedComment ref="AG77" dT="2025-07-28T15:24:00.81" personId="{724467DE-F864-442C-82C3-2226DEC7CCF0}" id="{4C573F18-39D2-4651-9FA4-FC7DF2D49885}">
    <text>CAMPO GRANDE - JULIO 28/07/25</text>
  </threadedComment>
  <threadedComment ref="AG78" dT="2025-01-16T18:50:37.20" personId="{724467DE-F864-442C-82C3-2226DEC7CCF0}" id="{325FF62A-5895-4451-BDD9-78209AF08C4D}">
    <text>unidade Prudente - Júlio 24/07/2025
unidade Campo Grande - Júlio 16/01</text>
  </threadedComment>
  <threadedComment ref="AG79" dT="2025-01-16T18:50:59.28" personId="{724467DE-F864-442C-82C3-2226DEC7CCF0}" id="{FFD69255-7611-4734-ACD9-E4E207A261EC}">
    <text xml:space="preserve">unidade Campo Grande - Júlio 24/07/2025
unidade Prudente - Júlio 16/01/2025 </text>
  </threadedComment>
  <threadedComment ref="AG79" dT="2025-12-03T18:07:29.93" personId="{724467DE-F864-442C-82C3-2226DEC7CCF0}" id="{BCEBEF09-0A22-4167-AE48-5F893F3234E5}" parentId="{FFD69255-7611-4734-ACD9-E4E207A261EC}">
    <text>Sinistro conforme chamado 792636.002 Alfa Seguradora - Vinícius está tratando 
diretamente com a seguradora</text>
  </threadedComment>
  <threadedComment ref="AG79" dT="2026-02-11T17:05:35.80" personId="{89D0234B-9508-459E-AF75-2412B65EC3E8}" id="{E82A0D94-DE21-4360-89FF-59F73EA89B77}" parentId="{FFD69255-7611-4734-ACD9-E4E207A261EC}">
    <text>Informado pelo Julio (10/02/26) - Alterado de Dourados para Presidente Prudente.</text>
  </threadedComment>
  <threadedComment ref="AG80" dT="2025-01-16T18:51:46.45" personId="{724467DE-F864-442C-82C3-2226DEC7CCF0}" id="{732D6D06-0EF8-46D5-AAD0-71CCE0A0F66E}">
    <text>MARINGÁ - JULIO 28/07/2025 
unidade Prudente - Júlio 16/01</text>
  </threadedComment>
  <threadedComment ref="AG81" dT="2025-01-16T18:52:08.96" personId="{724467DE-F864-442C-82C3-2226DEC7CCF0}" id="{69196B72-F506-4A4D-9FE0-E240131015BA}">
    <text>unidade Prudente - Júlio 28/07/2025
unidade Prudente - Júlio 16/01</text>
  </threadedComment>
  <threadedComment ref="AG82" dT="2025-01-16T18:52:48.51" personId="{724467DE-F864-442C-82C3-2226DEC7CCF0}" id="{178CEA9B-FD1E-4A8E-B373-8F0A35C5B035}">
    <text>OFINA PARA INSERIR EQUIPAMENTOS - JULIO 28/07/2025
unidade Prudente - Júlio 16/01</text>
  </threadedComment>
  <threadedComment ref="AG82" dT="2026-02-11T16:58:02.24" personId="{89D0234B-9508-459E-AF75-2412B65EC3E8}" id="{16A4FD84-5B77-4039-A49E-2E87BFDA4D68}" parentId="{178CEA9B-FD1E-4A8E-B373-8F0A35C5B035}">
    <text>Informado pelo Julio (10/02/26) que o caminhão foi alterado de P.Pte e irá operar em Maringá.</text>
  </threadedComment>
  <threadedComment ref="AH82" dT="2025-08-21T19:09:53.65" personId="{724467DE-F864-442C-82C3-2226DEC7CCF0}" id="{B01DE50D-6875-4EB1-8FE1-E06B81FD8AF8}">
    <text>Será alterado para digital após regularização carroceria 2025</text>
  </threadedComment>
  <threadedComment ref="AH82" dT="2025-11-27T12:25:46.86" personId="{724467DE-F864-442C-82C3-2226DEC7CCF0}" id="{314324F2-CBD6-48DC-913E-C1F4A1803121}" parentId="{B01DE50D-6875-4EB1-8FE1-E06B81FD8AF8}">
    <text>Não foi regularizado documentação da carroceria, veículo não liberado na data do documento do Detran. Alinhado com Julio para informar liberação, para solicitar nova autorização do Detran.</text>
  </threadedComment>
  <threadedComment ref="AG83" dT="2025-01-16T18:53:11.57" personId="{724467DE-F864-442C-82C3-2226DEC7CCF0}" id="{915C021A-1B9E-4573-AAEE-5D790AC6C8B7}">
    <text>unidade Maringá - Julio 25/07/25
unidade Prudente - Júlio 16/01/25</text>
  </threadedComment>
  <threadedComment ref="AG84" dT="2025-07-28T15:27:24.33" personId="{724467DE-F864-442C-82C3-2226DEC7CCF0}" id="{CA242EE7-F273-4C15-8BE0-6AB3EC1D4B8A}">
    <text>UNIDADE PRUDENTE - JULIO 28/07/2025</text>
  </threadedComment>
  <threadedComment ref="AH84" dT="2025-11-27T12:26:36.84" personId="{724467DE-F864-442C-82C3-2226DEC7CCF0}" id="{CB289036-BF99-49C8-890B-395CD004298A}">
    <text>Não foi regularizado documentação da carroceria, veículo não liberado na data do documento do Detran. Alinhado com Julio para informar liberação, para solicitar nova autorização do Detran.</text>
  </threadedComment>
  <threadedComment ref="AO84" dT="2025-02-13T12:01:30.23" personId="{724467DE-F864-442C-82C3-2226DEC7CCF0}" id="{608B1DBE-67DB-4ABA-B813-4F32154D44F4}">
    <text>CAÇAMBA ADAPTADA PELA INDUSPLAN</text>
  </threadedComment>
  <threadedComment ref="AG85" dT="2025-07-25T18:51:41.67" personId="{724467DE-F864-442C-82C3-2226DEC7CCF0}" id="{540CA46B-1AA0-43E4-BF27-A57AAE5DEA36}">
    <text>unidade Maringá - Júlio 24/07/2025</text>
  </threadedComment>
  <threadedComment ref="AG85" dT="2026-02-25T12:15:47.04" personId="{89D0234B-9508-459E-AF75-2412B65EC3E8}" id="{4BC91CDD-FF29-4F2C-9209-409EB53B508A}" parentId="{540CA46B-1AA0-43E4-BF27-A57AAE5DEA36}">
    <text>Unidade Presidente Prudente - 25/02/2026</text>
  </threadedComment>
  <threadedComment ref="AG85" dT="2026-02-26T14:02:36.27" personId="{89D0234B-9508-459E-AF75-2412B65EC3E8}" id="{7313675F-EB5D-4874-8BBA-990BFFBF45AF}" parentId="{540CA46B-1AA0-43E4-BF27-A57AAE5DEA36}">
    <text>CORREÇÃO - UNIDADE MARINGÁ</text>
  </threadedComment>
  <threadedComment ref="AG86" dT="2025-07-25T20:20:23.72" personId="{724467DE-F864-442C-82C3-2226DEC7CCF0}" id="{50779CD6-18C6-4E5A-B6D8-1A4BB4B614D0}">
    <text>unidade Campo Grande - Júlio 24/07/2025</text>
  </threadedComment>
  <threadedComment ref="AG86" dT="2026-03-27T14:28:23.38" personId="{89D0234B-9508-459E-AF75-2412B65EC3E8}" id="{0917EE31-3D50-4FA6-97E6-A7A11B573013}" parentId="{50779CD6-18C6-4E5A-B6D8-1A4BB4B614D0}">
    <text>Informado pelo Julio (26/03) - Operará em Presidente Prudente</text>
  </threadedComment>
  <threadedComment ref="AO86" dT="2025-02-13T13:27:48.22" personId="{724467DE-F864-442C-82C3-2226DEC7CCF0}" id="{4A94C2D5-9D5A-44A4-BE2F-8DAF1C322226}">
    <text>ORIGINALMENTE O VEICULO ERA ROLLON ROLLOFF - GRIMALDI GR25 - GARRA GRIMALDI GRS 15000Z  E ESTÁ DISPONÍVEL NA OFICINA</text>
  </threadedComment>
  <threadedComment ref="AE87" dT="2024-11-28T20:03:07.06" personId="{724467DE-F864-442C-82C3-2226DEC7CCF0}" id="{6E309F52-D794-4815-89CE-C4F06E17AE8B}">
    <text>Conferido na planilha "Simulação de ganho de capital"</text>
  </threadedComment>
  <threadedComment ref="AE88" dT="2024-11-28T20:03:07.06" personId="{724467DE-F864-442C-82C3-2226DEC7CCF0}" id="{C9FD9788-C7CF-4D34-8E9B-C1CC38053AA1}">
    <text>Conferido na planilha "Simulação de ganho de capital"</text>
  </threadedComment>
  <threadedComment ref="AE89" dT="2024-11-28T20:03:07.06" personId="{724467DE-F864-442C-82C3-2226DEC7CCF0}" id="{6DBF9107-6016-4A44-B865-87412856E48A}">
    <text>Conferido na planilha "Simulação de ganho de capital"</text>
  </threadedComment>
  <threadedComment ref="N91" dT="2024-12-30T12:50:48.96" personId="{724467DE-F864-442C-82C3-2226DEC7CCF0}" id="{549A0FB1-A617-4C0F-BEDA-2ED934754D77}">
    <text>Reboque e semi-reboque não paga IPVA</text>
  </threadedComment>
  <threadedComment ref="AG91" dT="2025-01-16T19:02:27.50" personId="{724467DE-F864-442C-82C3-2226DEC7CCF0}" id="{FE453570-7970-42DD-905F-3671E2D0413A}">
    <text>unidade Prudente - Júlio 28/07/2025
unidade Prudente - Júlio 16/01</text>
  </threadedComment>
  <threadedComment ref="N92" dT="2024-12-30T12:50:48.96" personId="{724467DE-F864-442C-82C3-2226DEC7CCF0}" id="{2418EF2E-3988-41D1-AA54-51C2FD867893}">
    <text>Reboque e semi-reboque não paga IPVA</text>
  </threadedComment>
  <threadedComment ref="AG92" dT="2025-01-16T19:03:31.75" personId="{724467DE-F864-442C-82C3-2226DEC7CCF0}" id="{821C2527-4898-4891-B3F0-CFC0A773CF33}">
    <text>unidade Prudente - Júlio 28/07/2025
unidade Prudente - Júlio 16/01</text>
  </threadedComment>
  <threadedComment ref="AE93" dT="2024-11-28T20:03:07.06" personId="{724467DE-F864-442C-82C3-2226DEC7CCF0}" id="{15951A91-8D20-478D-A7CE-4495CE1284AA}">
    <text>Conferido na planilha "Simulação de ganho de capital"</text>
  </threadedComment>
  <threadedComment ref="AG95" dT="2025-01-16T18:53:50.97" personId="{724467DE-F864-442C-82C3-2226DEC7CCF0}" id="{1CF98132-3582-4E7E-9AEC-D5E5110D72CC}">
    <text>PARA VENDA - JÚLIO 25/07/2025
unidade Maringá - Júlio 16/01/2025</text>
  </threadedComment>
  <threadedComment ref="AG96" dT="2025-01-16T18:54:07.73" personId="{724467DE-F864-442C-82C3-2226DEC7CCF0}" id="{999CAA59-E384-4F5B-BE7A-252892CCFC66}">
    <text>unidade Maringá - Júlio 24/07/2025
unidade Maringá - Júlio 16/01/2025</text>
  </threadedComment>
  <threadedComment ref="AH96" dT="2025-08-21T19:06:45.90" personId="{724467DE-F864-442C-82C3-2226DEC7CCF0}" id="{40CEADB9-F4C1-429E-B09C-F27B51C3612F}">
    <text>Recibo físico não localizado, solicitar 2via</text>
  </threadedComment>
  <threadedComment ref="AH96" dT="2025-11-27T12:19:23.60" personId="{724467DE-F864-442C-82C3-2226DEC7CCF0}" id="{EBE1A38D-2B2B-4086-B486-B4E466A2CAD6}" parentId="{40CEADB9-F4C1-429E-B09C-F27B51C3612F}">
    <text>Encontrado no Gervazoni, parado desde 2022 no despachante por reprova na vistoria</text>
  </threadedComment>
  <threadedComment ref="AG97" dT="2025-07-25T20:25:47.39" personId="{724467DE-F864-442C-82C3-2226DEC7CCF0}" id="{647C1DDA-B709-414A-ABCD-522425B302CC}">
    <text>unidade Prudente - Júlio 24/07/2025</text>
  </threadedComment>
  <threadedComment ref="AG97" dT="2026-02-06T17:09:30.16" personId="{89D0234B-9508-459E-AF75-2412B65EC3E8}" id="{1855DB4A-2498-4D0B-87A2-3DD601945837}" parentId="{647C1DDA-B709-414A-ABCD-522425B302CC}">
    <text>Confirmado pelo Julio, caminhão operando em Maringá (06/02/26)</text>
  </threadedComment>
  <threadedComment ref="AE98" dT="2025-07-24T13:47:05.18" personId="{724467DE-F864-442C-82C3-2226DEC7CCF0}" id="{9FFB4C34-C14F-4F99-8CED-09F1F439F713}">
    <text>vendido 24/07/2025</text>
  </threadedComment>
  <threadedComment ref="AG98" dT="2025-01-16T18:54:29.42" personId="{724467DE-F864-442C-82C3-2226DEC7CCF0}" id="{251F6516-59B6-4861-92B7-56FEBDC93C52}">
    <text>unidade Prudente  - Júlio 16/01</text>
  </threadedComment>
  <threadedComment ref="AG99" dT="2025-01-16T18:55:00.67" personId="{724467DE-F864-442C-82C3-2226DEC7CCF0}" id="{8CA44E5B-DDCF-4CCB-BBCC-7046324B6A3D}">
    <text>unidade PRUDENTE - Júlio 28/07/2025
unidade Londrina - Júlio 16/01</text>
  </threadedComment>
  <threadedComment ref="AG100" dT="2025-01-16T18:55:43.09" personId="{724467DE-F864-442C-82C3-2226DEC7CCF0}" id="{8D4F65DC-1CDF-48F4-A108-5B48D9A0DD33}">
    <text>unidade PRUDENTE - Júlio 28/07/2025
unidade Prudente - Júlio 16/01</text>
  </threadedComment>
  <threadedComment ref="AG101" dT="2025-01-16T19:00:12.87" personId="{724467DE-F864-442C-82C3-2226DEC7CCF0}" id="{66BA9B7F-2549-4004-8B3A-C7A6CCE34C9A}">
    <text>unidade PRUDENTE - Júlio 28/07/2025
unidade Prudente - Júlio 16/01</text>
  </threadedComment>
  <threadedComment ref="AG102" dT="2025-01-16T19:00:38.58" personId="{724467DE-F864-442C-82C3-2226DEC7CCF0}" id="{2BDEF72C-478B-4F5D-ABA0-DE09BAADF66E}">
    <text>Braçofer - Júlio 28/07/2025
Braçofer - Júlio 16/01</text>
  </threadedComment>
  <threadedComment ref="N103" dT="2025-01-13T17:13:55.49" personId="{724467DE-F864-442C-82C3-2226DEC7CCF0}" id="{13D2FC6B-13BC-46B7-8FDD-2F6EACA011C5}">
    <text>Validado a placa com sr Renato 13/01/25. Autorizado seguir com pagto do IPVA e Licenciamento.</text>
  </threadedComment>
  <threadedComment ref="AG103" dT="2025-07-28T15:30:56.54" personId="{724467DE-F864-442C-82C3-2226DEC7CCF0}" id="{18DEAF5A-563F-4763-90F5-1BD47880D430}">
    <text>Braçofer - Júlio 28/07/2025</text>
  </threadedComment>
  <threadedComment ref="AG104" dT="2025-07-28T15:31:01.79" personId="{724467DE-F864-442C-82C3-2226DEC7CCF0}" id="{632E9F61-19E6-4169-BACB-0B3AD0AFE6AB}">
    <text>Braçofer - Júlio 28/07/2025</text>
  </threadedComment>
  <threadedComment ref="AG105" dT="2025-01-16T19:00:57.81" personId="{724467DE-F864-442C-82C3-2226DEC7CCF0}" id="{4F6330E3-A7FF-4B69-8FF6-32F44B3CDA6C}">
    <text>Braçofer - Júlio 28/07/2025
Braçofer - Júlio 16/01</text>
  </threadedComment>
  <threadedComment ref="L107" dT="2024-12-30T12:25:24.32" personId="{724467DE-F864-442C-82C3-2226DEC7CCF0}" id="{B6A1EE89-BA8A-4361-8EBD-850E5304FF40}">
    <text>Em São Paulo, carros com mais de 30 anos de fabricação não pagam a taxa de licenciamento.</text>
  </threadedComment>
  <threadedComment ref="Y107" dT="2024-12-30T12:25:24.32" personId="{724467DE-F864-442C-82C3-2226DEC7CCF0}" id="{0E4083B8-9866-4794-9564-F029EFB4CC2D}">
    <text>Em São Paulo, carros com mais de 30 anos de fabricação não pagam a taxa de licenciamento.</text>
  </threadedComment>
  <threadedComment ref="AG107" dT="2024-05-15T12:39:36.77" personId="{87DDDBE2-7580-4146-952F-A98A7CB7142B}" id="{22351323-897D-4B79-824E-9AA11643EA3D}">
    <text>Veiculo com restrições ( Bloqueio Judicial, Sem motor e Doc. em nome de outro proprietário)
Renato e Max - Cientes
Obs. Disponível para venda</text>
  </threadedComment>
  <threadedComment ref="AG107" dT="2025-01-16T19:20:52.99" personId="{724467DE-F864-442C-82C3-2226DEC7CCF0}" id="{155396B8-E7A1-480E-9437-318973561BB9}" parentId="{22351323-897D-4B79-824E-9AA11643EA3D}">
    <text>unidade Prudente - Júlio 16/01</text>
  </threadedComment>
  <threadedComment ref="AG107" dT="2025-04-07T14:12:00.97" personId="{724467DE-F864-442C-82C3-2226DEC7CCF0}" id="{F4BE54D2-00A9-40C6-A04C-97A77A66348B}" parentId="{22351323-897D-4B79-824E-9AA11643EA3D}">
    <text>PLACA SEM ANEXOS NO ATUA E NÃO CADASTRADO NO SAGI</text>
  </threadedComment>
  <threadedComment ref="AG107" dT="2025-07-28T15:12:52.94" personId="{724467DE-F864-442C-82C3-2226DEC7CCF0}" id="{E7F449DB-F7FB-434B-8498-D0732233F4EE}" parentId="{22351323-897D-4B79-824E-9AA11643EA3D}">
    <text>UNIDADE PRUDENTE - JÚLIO 28/07/2025</text>
  </threadedComment>
  <threadedComment ref="N108" dT="2024-12-30T12:50:48.96" personId="{724467DE-F864-442C-82C3-2226DEC7CCF0}" id="{910D1494-A373-4B31-9C69-543862717EFD}">
    <text>Reboque e semi-reboque não paga IPVA</text>
  </threadedComment>
  <threadedComment ref="AG108" dT="2025-01-16T19:22:13.65" personId="{724467DE-F864-442C-82C3-2226DEC7CCF0}" id="{861954F4-2935-488B-8FEC-AC700FBF3E9D}">
    <text>UNIDADE PRUDENTE - JÚLIO 28/07/2025
unidade Prudente - Júlio 16/01</text>
  </threadedComment>
  <threadedComment ref="AG109" dT="2025-01-16T19:22:29.47" personId="{724467DE-F864-442C-82C3-2226DEC7CCF0}" id="{7E817A11-DF51-4A19-94AB-C6973306EB32}">
    <text>VERIFICAR SE LOJA ESTÁ USANDO - VENDA? JULIO 28/07/25
Braçofer - Júlio 16/01</text>
  </threadedComment>
  <threadedComment ref="AG110" dT="2025-01-16T19:23:21.24" personId="{724467DE-F864-442C-82C3-2226DEC7CCF0}" id="{CD85217F-7041-49E1-AF82-2CEFDE38EDE6}">
    <text>unidade Prudente - Júlio 16/01</text>
  </threadedComment>
  <threadedComment ref="AG111" dT="2025-01-16T19:23:40.80" personId="{724467DE-F864-442C-82C3-2226DEC7CCF0}" id="{4856B347-2642-4550-B6A5-EE1CF7A8C02B}">
    <text>unidade Prudente - Júlio 16/01</text>
  </threadedComment>
  <threadedComment ref="AE112" dT="2024-11-28T20:03:07.06" personId="{724467DE-F864-442C-82C3-2226DEC7CCF0}" id="{0ADCB43E-FDD9-413F-B999-CCF3DC344B87}">
    <text>Conferido na planilha "Simulação de ganho de capital"</text>
  </threadedComment>
  <threadedComment ref="AG117" dT="2025-08-25T14:40:04.74" personId="{724467DE-F864-442C-82C3-2226DEC7CCF0}" id="{C97EE897-B7E9-469F-93A0-C5C0DDFB3BF4}">
    <text>Unidade Prudente/Sucata - Júlio 25/08/2025</text>
  </threadedComment>
  <threadedComment ref="AF118" dT="2026-02-03T17:40:37.29" personId="{89D0234B-9508-459E-AF75-2412B65EC3E8}" id="{3AAF11CB-A414-42A0-A810-E6C077DF80B3}">
    <text>Informado pelo Julio hoje (03/02/2026) que o caminhão irá operar na unidade de Dourados.</text>
  </threadedComment>
  <threadedComment ref="N119" dT="2024-12-30T12:50:48.96" personId="{724467DE-F864-442C-82C3-2226DEC7CCF0}" id="{D0DC432D-C342-4634-85D7-426D77CDA254}">
    <text>Reboque e semi-reboque não paga IPVA</text>
  </threadedComment>
  <threadedComment ref="N120" dT="2024-12-30T12:50:48.96" personId="{724467DE-F864-442C-82C3-2226DEC7CCF0}" id="{0977614F-6294-4FE0-9AB1-F25A9D1C5C85}">
    <text>Reboque e semi-reboque não paga IPVA</text>
  </threadedComment>
  <threadedComment ref="AG120" dT="2025-01-16T19:18:53.79" personId="{724467DE-F864-442C-82C3-2226DEC7CCF0}" id="{9B4D1B1E-89B6-4CA8-887C-A42EB3A82079}">
    <text>UNIDADE PRUDENTE - JÚLIO 28/07/2025
unidade Prudente - Júlio 16/01</text>
  </threadedComment>
  <threadedComment ref="N121" dT="2024-12-30T12:50:48.96" personId="{724467DE-F864-442C-82C3-2226DEC7CCF0}" id="{55A42EA3-BDA6-46BA-BEC4-8E6A724484BD}">
    <text>Reboque e semi-reboque não paga IPVA</text>
  </threadedComment>
  <threadedComment ref="AG121" dT="2025-01-16T19:19:19.75" personId="{724467DE-F864-442C-82C3-2226DEC7CCF0}" id="{DC4B6B7A-26F2-4CB8-8E24-B29F3DB8243A}">
    <text>UNIDADE PRUDENTE - JÚLIO 28/07/2025
unidade prudente - Júlio 16/01</text>
  </threadedComment>
  <threadedComment ref="AG122" dT="2025-07-28T15:04:36.52" personId="{724467DE-F864-442C-82C3-2226DEC7CCF0}" id="{A0EAA672-393C-4A76-BC1C-207B8C24FD37}">
    <text>unidade Prudente - Julio 28/07/2025</text>
  </threadedComment>
  <threadedComment ref="AH122" dT="2025-08-21T19:05:47.01" personId="{724467DE-F864-442C-82C3-2226DEC7CCF0}" id="{479E3835-058F-41CF-9EFE-9A601E07926F}">
    <text>Recibo físico não localizado, solicitar 2via</text>
  </threadedComment>
  <threadedComment ref="N123" dT="2025-01-13T17:14:00.22" personId="{724467DE-F864-442C-82C3-2226DEC7CCF0}" id="{AD3817EB-523A-41FE-9342-E3D3B4721D87}">
    <text>Validado a placa com sr Renato 13/01/25. Autorizado seguir com pagto do IPVA e Licenciamento.</text>
  </threadedComment>
  <threadedComment ref="AG123" dT="2025-07-28T15:33:25.08" personId="{724467DE-F864-442C-82C3-2226DEC7CCF0}" id="{4A8D1A00-ED86-4D8D-9F89-DE32DE7D9AD7}">
    <text>LOCALIZAÇÃO VARIÁVEL - 28/07/2025 ACOPLADO NA PRENSA QXH2G14</text>
  </threadedComment>
  <threadedComment ref="AG124" dT="2025-07-28T15:34:16.26" personId="{724467DE-F864-442C-82C3-2226DEC7CCF0}" id="{872725B4-243F-48E4-8E19-4C5BE21C438B}">
    <text>LOCALIZAÇÃO VARIÁVEL - 28/07/2025 ACOPLADO NA PRENSA GDU0275 - JULIO 28/07/2025</text>
  </threadedComment>
  <threadedComment ref="AE125" dT="2025-07-24T13:47:05.18" personId="{724467DE-F864-442C-82C3-2226DEC7CCF0}" id="{6A22EA84-0B77-47B3-B962-7B7B6A58DCAA}">
    <text>vendido 24/07/2025</text>
  </threadedComment>
  <threadedComment ref="AG125" dT="2025-01-16T19:01:12.76" personId="{724467DE-F864-442C-82C3-2226DEC7CCF0}" id="{9FB15572-699A-4CE9-A0AE-BEAC826CBAD2}">
    <text>unidade Prudente - Júlio 28/07/2025
unidade Prudente - Júlio 16/01</text>
  </threadedComment>
  <threadedComment ref="AG126" dT="2025-01-16T19:01:30.14" personId="{724467DE-F864-442C-82C3-2226DEC7CCF0}" id="{8212E0B5-B90B-4741-ABCB-F5BBC6E06658}">
    <text>Arcelor IRACEMÁPOLIS - Júlio 28/07/2025
Arcelor Piracicaba - Júlio 16/01</text>
  </threadedComment>
  <threadedComment ref="AG126" dT="2026-02-11T17:01:05.87" personId="{89D0234B-9508-459E-AF75-2412B65EC3E8}" id="{C9CA3743-FD80-435D-B8CE-A3E7BBCE3B61}" parentId="{8212E0B5-B90B-4741-ABCB-F5BBC6E06658}">
    <text>Informado pelo Julio (10/02) - Alterado de Iracemápolis para Piracicaba (Arcelor)</text>
  </threadedComment>
  <threadedComment ref="AG127" dT="2025-01-16T19:01:46.33" personId="{724467DE-F864-442C-82C3-2226DEC7CCF0}" id="{3C0E11C0-92D0-4137-A39D-4102287B1EA7}">
    <text>Arcelor RESENDE RJ - Júlio 28/07/25
Arcelor Piracicaba - Júlio 16/01</text>
  </threadedComment>
  <threadedComment ref="AG128" dT="2025-07-28T15:10:03.75" personId="{724467DE-F864-442C-82C3-2226DEC7CCF0}" id="{26D5574B-B33D-4FD5-9131-5E11F3163CBD}">
    <text>UNIDADE PRUDENTE - JÚLIO 28/07/2025</text>
  </threadedComment>
  <threadedComment ref="AG130" dT="2025-02-13T13:14:36.14" personId="{724467DE-F864-442C-82C3-2226DEC7CCF0}" id="{789FCE01-4FDC-418E-97C4-0CE76752868A}">
    <text>INSTALADO NA EHH0038 EM CAMPO GRANDE</text>
  </threadedComment>
  <threadedComment ref="AG137" dT="2025-11-07T14:56:27.60" personId="{724467DE-F864-442C-82C3-2226DEC7CCF0}" id="{0D5194B8-A3B4-491F-B3C5-66D1B711D42D}">
    <text>Junior - 18/09/2025</text>
  </threadedComment>
  <threadedComment ref="AG140" dT="2025-11-07T14:56:22.77" personId="{724467DE-F864-442C-82C3-2226DEC7CCF0}" id="{AD0763B7-3441-4CE3-A380-38D620CE789C}">
    <text>Junior - 18/09/2025</text>
  </threadedComment>
  <threadedComment ref="AG141" dT="2025-11-07T12:19:08.88" personId="{724467DE-F864-442C-82C3-2226DEC7CCF0}" id="{EAD9C010-03B8-4928-B4AF-21538DC4B420}">
    <text>Junior - 18/09/2025</text>
  </threadedComment>
  <threadedComment ref="AL141" dT="2025-02-13T11:35:17.54" personId="{724467DE-F864-442C-82C3-2226DEC7CCF0}" id="{7E08C035-2BAD-47EC-82D8-B1A55AF22842}">
    <text>Foram compradas sem garra - confirmado com Júlio e Junior 13/02/2025</text>
  </threadedComment>
  <threadedComment ref="AG142" dT="2025-11-07T12:19:17.47" personId="{724467DE-F864-442C-82C3-2226DEC7CCF0}" id="{6ADE3365-3385-462D-B588-B9367F0AC5B0}">
    <text>Junior - 18/09/2025</text>
  </threadedComment>
  <threadedComment ref="AL142" dT="2025-02-13T11:35:21.59" personId="{724467DE-F864-442C-82C3-2226DEC7CCF0}" id="{8023660D-E2BC-4499-B00D-327AF5490700}">
    <text>Foram compradas sem garra - confirmado com Júlio e Junior 13/02/2025</text>
  </threadedComment>
  <threadedComment ref="AG143" dT="2025-11-07T12:29:41.64" personId="{724467DE-F864-442C-82C3-2226DEC7CCF0}" id="{40CE0BBD-0825-4D96-A862-321D5A8EF438}">
    <text>Junior - 18/09/2025</text>
  </threadedComment>
  <threadedComment ref="AG144" dT="2025-11-07T12:29:48.80" personId="{724467DE-F864-442C-82C3-2226DEC7CCF0}" id="{897E6DE3-94CA-4E23-9DD6-8EB711947D43}">
    <text>Junior - 18/09/2025</text>
  </threadedComment>
  <threadedComment ref="AG145" dT="2025-11-07T12:29:55.32" personId="{724467DE-F864-442C-82C3-2226DEC7CCF0}" id="{712BD795-3785-4611-A320-39387B1CC5DA}">
    <text>Junior - 18/09/2025</text>
  </threadedComment>
  <threadedComment ref="AG146" dT="2025-11-07T12:20:46.87" personId="{724467DE-F864-442C-82C3-2226DEC7CCF0}" id="{343CDD70-1946-4F47-AF58-C49B3BFBBAD7}">
    <text>Junior - 18/09/2025</text>
  </threadedComment>
  <threadedComment ref="AG147" dT="2025-11-07T12:20:51.73" personId="{724467DE-F864-442C-82C3-2226DEC7CCF0}" id="{ACF38B37-32D1-4A25-AEB2-E766E1366E5A}">
    <text>Junior - 18/09/2025</text>
  </threadedComment>
  <threadedComment ref="AG148" dT="2025-11-07T12:20:25.55" personId="{724467DE-F864-442C-82C3-2226DEC7CCF0}" id="{1EC95BD6-C38F-4F13-B444-3CB52094E782}">
    <text>Junior - 18/09/2025</text>
  </threadedComment>
  <threadedComment ref="AG148" dT="2026-02-25T12:18:41.41" personId="{89D0234B-9508-459E-AF75-2412B65EC3E8}" id="{E338D418-7927-4B6E-A15F-0CEFE5180659}" parentId="{1EC95BD6-C38F-4F13-B444-3CB52094E782}">
    <text>Informado pelo Junior (23/02/2026) - operando em Presidente Prudente</text>
  </threadedComment>
  <threadedComment ref="AG150" dT="2025-11-07T12:20:10.33" personId="{724467DE-F864-442C-82C3-2226DEC7CCF0}" id="{4A66D2D9-A049-4CB6-AF03-2EC5300E3F94}">
    <text>Junior - 18/09/2025</text>
  </threadedComment>
  <threadedComment ref="AG151" dT="2025-11-07T12:20:15.05" personId="{724467DE-F864-442C-82C3-2226DEC7CCF0}" id="{8269FC11-EA02-45A0-97DD-399F6B6EEEBE}">
    <text>Junior - 18/09/2025</text>
  </threadedComment>
  <threadedComment ref="AG152" dT="2025-11-07T12:21:20.91" personId="{724467DE-F864-442C-82C3-2226DEC7CCF0}" id="{D446A35B-046F-41DD-A290-EA02EF06D928}">
    <text>Junior - 18/09/2025</text>
  </threadedComment>
  <threadedComment ref="AL152" dT="2025-02-13T11:33:57.83" personId="{724467DE-F864-442C-82C3-2226DEC7CCF0}" id="{A85D202A-BC02-46ED-A855-9CC69FF647AC}">
    <text xml:space="preserve">
</text>
  </threadedComment>
  <threadedComment ref="BD152" dT="2023-11-25T17:18:54.62" personId="{357F1119-6891-43DE-A628-4163FE773C6E}" id="{8A1A63DE-0DD4-4C40-8E9D-09003C1BD65A}">
    <text>Garra Sucateiro Liebherr</text>
  </threadedComment>
  <threadedComment ref="AF153" dT="2026-01-19T14:15:45.28" personId="{89D0234B-9508-459E-AF75-2412B65EC3E8}" id="{1B40BB4F-1C27-491C-B674-EC83A7B94A00}">
    <text xml:space="preserve">Informado pelo Edmilson que a máquina foi alterada de Presidente Prudente, e irá operar em Maringá.
</text>
  </threadedComment>
  <threadedComment ref="AG153" dT="2025-11-07T12:21:24.94" personId="{724467DE-F864-442C-82C3-2226DEC7CCF0}" id="{EE8DB67B-A117-456B-98DE-B1C8DB9E7900}">
    <text>Junior - 18/09/2025</text>
  </threadedComment>
  <threadedComment ref="AL153" dT="2025-02-13T11:34:03.98" personId="{724467DE-F864-442C-82C3-2226DEC7CCF0}" id="{F37A9B92-70EC-4C20-B428-7919DCF5AA3C}">
    <text>Dúvida de garra</text>
  </threadedComment>
  <threadedComment ref="AG154" dT="2025-11-07T12:21:29.05" personId="{724467DE-F864-442C-82C3-2226DEC7CCF0}" id="{EE3EFC6C-0B5A-42CD-B88C-1AE46D0A2B08}">
    <text>Junior - 18/09/2025</text>
  </threadedComment>
  <threadedComment ref="AL154" dT="2025-02-13T11:34:22.94" personId="{724467DE-F864-442C-82C3-2226DEC7CCF0}" id="{EC1541FC-D8C6-4A7B-AB1F-97B6CA797DE0}">
    <text xml:space="preserve">
</text>
  </threadedComment>
  <threadedComment ref="AG155" dT="2025-11-07T12:21:34.01" personId="{724467DE-F864-442C-82C3-2226DEC7CCF0}" id="{9073FC77-4D23-4A15-890A-EF2CB7874492}">
    <text>Junior - 18/09/2025</text>
  </threadedComment>
  <threadedComment ref="AL155" dT="2025-02-13T11:34:30.29" personId="{724467DE-F864-442C-82C3-2226DEC7CCF0}" id="{9E37481B-5FD8-41AE-B8E2-E1CD6638092E}">
    <text>2 garras cada</text>
  </threadedComment>
  <threadedComment ref="AG156" dT="2025-11-07T12:21:38.66" personId="{724467DE-F864-442C-82C3-2226DEC7CCF0}" id="{880574E6-47B6-4859-8F6B-A6AF55050412}">
    <text>Junior - 18/09/2025</text>
  </threadedComment>
  <threadedComment ref="AL156" dT="2025-02-13T11:34:37.16" personId="{724467DE-F864-442C-82C3-2226DEC7CCF0}" id="{329C3ACF-1B01-492E-9E81-9574BBBF0ADA}">
    <text>2 garras cada</text>
  </threadedComment>
  <threadedComment ref="AG157" dT="2025-11-07T12:21:43.21" personId="{724467DE-F864-442C-82C3-2226DEC7CCF0}" id="{501B246D-673B-4C8A-899F-F29265710A42}">
    <text>Junior - 18/09/2025</text>
  </threadedComment>
  <threadedComment ref="AL157" dT="2025-02-13T11:34:42.80" personId="{724467DE-F864-442C-82C3-2226DEC7CCF0}" id="{2727BA48-2274-4124-89AB-88A73282F382}">
    <text>2 garras cada</text>
  </threadedComment>
  <threadedComment ref="AG158" dT="2025-11-07T12:19:34.49" personId="{724467DE-F864-442C-82C3-2226DEC7CCF0}" id="{9AA187FC-DC50-4EAE-88BE-9215CE43F355}">
    <text>Junior - 18/09/2025</text>
  </threadedComment>
  <threadedComment ref="AG159" dT="2025-11-07T12:19:43.10" personId="{724467DE-F864-442C-82C3-2226DEC7CCF0}" id="{89B9CB3F-D08C-473E-AEBC-02DE4B3E3619}">
    <text>Junior - 18/09/2025</text>
  </threadedComment>
  <threadedComment ref="AG160" dT="2025-11-07T12:19:49.18" personId="{724467DE-F864-442C-82C3-2226DEC7CCF0}" id="{CFFEBAA1-4E24-4F2D-9C35-4228D752AADF}">
    <text>Junior - 18/09/2025</text>
  </threadedComment>
  <threadedComment ref="AY160" dT="2025-02-13T13:58:51.23" personId="{724467DE-F864-442C-82C3-2226DEC7CCF0}" id="{3F8F7985-7C63-40B0-806A-3B166D921654}">
    <text>PREÇO DO ELETROIMA</text>
  </threadedComment>
  <threadedComment ref="AG161" dT="2025-11-07T12:19:54.07" personId="{724467DE-F864-442C-82C3-2226DEC7CCF0}" id="{9EB7CB5E-9704-48E1-8BAB-B67A1C4B8052}">
    <text>Junior - 18/09/2025</text>
  </threadedComment>
  <threadedComment ref="AG162" dT="2025-11-07T12:19:58.91" personId="{724467DE-F864-442C-82C3-2226DEC7CCF0}" id="{361A57DE-6AC8-41A7-B1A9-4721B9B62A8F}">
    <text>Junior - 18/09/2025</text>
  </threadedComment>
  <threadedComment ref="AF163" dT="2026-01-19T14:13:08.22" personId="{89D0234B-9508-459E-AF75-2412B65EC3E8}" id="{06EE4027-99FC-456F-A9BC-ED3695364792}">
    <text>Informado pelo Edmilson que a máquina foi transferida de Maringá para Londrina, e já está operando.</text>
  </threadedComment>
  <threadedComment ref="AG163" dT="2025-11-07T12:20:04.69" personId="{724467DE-F864-442C-82C3-2226DEC7CCF0}" id="{503DCA5E-2123-4D1E-87DD-662A39D69906}">
    <text>Junior - 18/09/2025</text>
  </threadedComment>
  <threadedComment ref="AG164" dT="2025-11-07T12:21:00.62" personId="{724467DE-F864-442C-82C3-2226DEC7CCF0}" id="{0B2C9E5F-7C22-4AA1-BD58-9D0C9B477220}">
    <text>Junior - 18/09/2025</text>
  </threadedComment>
  <threadedComment ref="AF165" dT="2026-02-02T14:15:29.75" personId="{89D0234B-9508-459E-AF75-2412B65EC3E8}" id="{6B716CFD-5BDD-4FEC-8DC1-9B645BBB3994}">
    <text>Máquina irá operar em Campo Grande, será transferida hoje (02/02/2026).</text>
  </threadedComment>
  <threadedComment ref="AG165" dT="2025-11-07T12:21:06.30" personId="{724467DE-F864-442C-82C3-2226DEC7CCF0}" id="{9EBB4408-43D7-40A0-9B6F-730F2DCE9FFF}">
    <text>Junior - 18/09/2025</text>
  </threadedComment>
  <threadedComment ref="AG166" dT="2025-11-07T12:21:11.85" personId="{724467DE-F864-442C-82C3-2226DEC7CCF0}" id="{1C593287-B6C7-4431-B7CE-A49B86FA47A1}">
    <text>Junior - 18/09/2025</text>
  </threadedComment>
  <threadedComment ref="AG167" dT="2025-11-07T12:21:16.57" personId="{724467DE-F864-442C-82C3-2226DEC7CCF0}" id="{6612845D-7129-4B91-86F3-55ECA83D7D22}">
    <text>Junior - 18/09/2025</text>
  </threadedComment>
  <threadedComment ref="AG168" dT="2025-11-07T12:20:56.27" personId="{724467DE-F864-442C-82C3-2226DEC7CCF0}" id="{B2FF3EAD-0BA4-457F-84D7-5919D15E4AB8}">
    <text>Junior - 18/09/2025</text>
  </threadedComment>
  <threadedComment ref="AG173" dT="2025-11-07T12:30:03.25" personId="{724467DE-F864-442C-82C3-2226DEC7CCF0}" id="{FEF87ADD-2364-412D-A7B1-77992B206C7C}">
    <text>Junior - 18/09/2025</text>
  </threadedComment>
  <threadedComment ref="AF177" dT="2025-08-15T12:48:55.97" personId="{724467DE-F864-442C-82C3-2226DEC7CCF0}" id="{FBDBF1FE-ACD6-43DC-A5F6-62FF06B693C8}">
    <text>enviado para Aeroporto Porto Primavera 15/08/2025 - remessa NF 9286</text>
  </threadedComment>
  <threadedComment ref="AG177" dT="2025-11-07T14:56:18.76" personId="{724467DE-F864-442C-82C3-2226DEC7CCF0}" id="{C536A3EC-CBC5-470E-8765-99293D4714D8}">
    <text>Junior - 18/09/2025</text>
  </threadedComment>
  <threadedComment ref="AV177" dT="2025-03-05T20:20:13.57" personId="{724467DE-F864-442C-82C3-2226DEC7CCF0}" id="{0F3FE8E2-C87A-41DC-BC49-B6AB6F665447}">
    <text>INFORMAÇÃO RETIRADA DO RELATÓRIO DE RELAÇÃO DE BENS - OSSUCCI</text>
  </threadedComment>
  <threadedComment ref="AE179" dT="2025-11-24T17:17:51.36" personId="{724467DE-F864-442C-82C3-2226DEC7CCF0}" id="{B2DBE941-49D0-4B83-8EF8-0EE492214B4B}">
    <text>NF DE VENDA 24/11/2025 - EVALDO/EKIPA/ANDRESSA</text>
  </threadedComment>
  <threadedComment ref="AG187" dT="2025-11-07T12:30:08.72" personId="{724467DE-F864-442C-82C3-2226DEC7CCF0}" id="{479251DF-B853-4B64-9CE2-50E449A24A4E}">
    <text>Junior - 18/09/2025</text>
  </threadedComment>
  <threadedComment ref="AG190" dT="2025-11-07T12:29:17.22" personId="{724467DE-F864-442C-82C3-2226DEC7CCF0}" id="{0647AF78-1AB1-49FF-A0E0-0243400B802B}">
    <text>Junior - 18/09/2025</text>
  </threadedComment>
  <threadedComment ref="AV191" dT="2025-03-07T20:21:01.04" personId="{724467DE-F864-442C-82C3-2226DEC7CCF0}" id="{9A285FCF-8C99-46BE-A1F0-DCB3F9E1DDEC}">
    <text>Na nota fiscal 2116 traz a informação AS-030R, mas não tenho conhecimento se está relacionado com essa mesma tesoura.</text>
  </threadedComment>
  <threadedComment ref="AG192" dT="2025-11-07T12:29:27.32" personId="{724467DE-F864-442C-82C3-2226DEC7CCF0}" id="{038A4D12-67A5-481E-82DB-6D9FA8BC6A36}">
    <text>Junior - 18/09/2025</text>
  </threadedComment>
  <threadedComment ref="AV192" dT="2025-03-07T19:54:01.02" personId="{724467DE-F864-442C-82C3-2226DEC7CCF0}" id="{03AAFEF3-1718-42AB-B714-D4EBB66E0F1E}">
    <text>Nota fiscal de entrada entrada própria (máquina importada)</text>
  </threadedComment>
  <threadedComment ref="AL193" dT="2025-02-13T13:41:14.15" personId="{724467DE-F864-442C-82C3-2226DEC7CCF0}" id="{FF6EF75B-8B75-4866-877D-17B545BA194F}">
    <text>CONJUNTO COM A TESOURA ARDEN AS-030R61</text>
  </threadedComment>
  <threadedComment ref="AG195" dT="2025-11-07T12:30:20.13" personId="{724467DE-F864-442C-82C3-2226DEC7CCF0}" id="{13C0A6E9-6645-4AC6-9BD3-7A9B52292C5B}">
    <text>Junior - 18/09/2025</text>
  </threadedComment>
  <threadedComment ref="AG196" dT="2025-11-07T12:30:27.74" personId="{724467DE-F864-442C-82C3-2226DEC7CCF0}" id="{53C4378B-43E1-4388-AC10-2DE149211E18}">
    <text>Junior - 18/09/2025</text>
  </threadedComment>
  <threadedComment ref="AG197" dT="2025-01-16T20:06:05.00" personId="{724467DE-F864-442C-82C3-2226DEC7CCF0}" id="{76A93803-8B2F-422B-A4B6-76EF7DAE16EA}">
    <text>Carro do Gabriel</text>
  </threadedComment>
  <threadedComment ref="N198" dT="2025-01-13T17:13:28.03" personId="{724467DE-F864-442C-82C3-2226DEC7CCF0}" id="{09B8B5CE-33FC-4B1E-9888-B65215886440}">
    <text>Validado a placa com sr Renato 13/01/25. Autorizado seguir com pagto do IPVA e Licenciamento.</text>
  </threadedComment>
  <threadedComment ref="AG198" dT="2025-01-17T17:44:20.11" personId="{289FD139-8051-495B-B6EA-94FE4ADC0EAA}" id="{EA654D03-0E13-4F43-885A-D0D4A47DECF0}">
    <text>pertence à Giuliana 17/01/25</text>
  </threadedComment>
  <threadedComment ref="AF200" dT="2024-11-29T18:22:19.00" personId="{289FD139-8051-495B-B6EA-94FE4ADC0EAA}" id="{B6A1AA33-995B-4875-BFC6-0876C2983D2D}">
    <text xml:space="preserve">Garagem Jairo
</text>
  </threadedComment>
  <threadedComment ref="AF200" dT="2025-01-17T14:50:42.55" personId="{289FD139-8051-495B-B6EA-94FE4ADC0EAA}" id="{07590911-4AAE-4A07-851D-602C918D4F72}" parentId="{B6A1AA33-995B-4875-BFC6-0876C2983D2D}">
    <text xml:space="preserve">Vendido Jairo, não pagar IPVA/Licenciamento 2025
</text>
  </threadedComment>
  <threadedComment ref="AG200" dT="2025-01-17T15:22:50.78" personId="{724467DE-F864-442C-82C3-2226DEC7CCF0}" id="{D28BF80C-D79D-4DC9-B339-B0E72A1C49EC}">
    <text>VENDIDO - JAIRO</text>
  </threadedComment>
  <threadedComment ref="CE200" dT="2024-11-29T18:22:19.00" personId="{289FD139-8051-495B-B6EA-94FE4ADC0EAA}" id="{70170F16-D9EE-4DA8-940D-1F3471D6FBBD}">
    <text xml:space="preserve">Garagem Jairo
</text>
  </threadedComment>
  <threadedComment ref="CE200" dT="2025-01-17T14:50:42.55" personId="{289FD139-8051-495B-B6EA-94FE4ADC0EAA}" id="{6B94686B-5D7D-48A1-83D0-CFAD9F63DAC8}" parentId="{70170F16-D9EE-4DA8-940D-1F3471D6FBBD}">
    <text xml:space="preserve">Vendido Jairo, não pagar IPVA/Licenciamento 2025
</text>
  </threadedComment>
  <threadedComment ref="AF201" dT="2024-11-29T18:36:57.41" personId="{289FD139-8051-495B-B6EA-94FE4ADC0EAA}" id="{520A90E9-7BC9-4A35-9C7B-3324EB95FD6C}">
    <text xml:space="preserve">uso Julio
</text>
  </threadedComment>
  <threadedComment ref="AF201" dT="2024-12-20T19:48:55.05" personId="{289FD139-8051-495B-B6EA-94FE4ADC0EAA}" id="{22ABF1C9-FFAB-42E8-AD31-D2D20164078A}" parentId="{520A90E9-7BC9-4A35-9C7B-3324EB95FD6C}">
    <text>verificar status se para venda ou regular</text>
  </threadedComment>
  <threadedComment ref="AG201" dT="2025-01-16T20:30:59.29" personId="{724467DE-F864-442C-82C3-2226DEC7CCF0}" id="{234FFEFC-4854-476C-90B2-66FFCD8CD36E}">
    <text>veículo com Júlio</text>
  </threadedComment>
  <threadedComment ref="AG201" dT="2025-03-21T20:21:50.81" personId="{724467DE-F864-442C-82C3-2226DEC7CCF0}" id="{23AB577B-4152-4984-9659-838E36D5EC33}" parentId="{234FFEFC-4854-476C-90B2-66FFCD8CD36E}">
    <text>Veículo em vendido para o comprador Chico</text>
  </threadedComment>
  <threadedComment ref="CE201" dT="2024-11-29T18:36:57.41" personId="{289FD139-8051-495B-B6EA-94FE4ADC0EAA}" id="{E1EAC208-11B1-453D-99E3-7145298FB07A}">
    <text xml:space="preserve">uso Julio
</text>
  </threadedComment>
  <threadedComment ref="CE201" dT="2024-12-20T19:48:55.05" personId="{289FD139-8051-495B-B6EA-94FE4ADC0EAA}" id="{1FD3E42B-B24D-417A-87E5-BAC2ED0C3F6A}" parentId="{E1EAC208-11B1-453D-99E3-7145298FB07A}">
    <text>verificar status se para venda ou regular</text>
  </threadedComment>
  <threadedComment ref="N204" dT="2025-01-13T17:13:34.24" personId="{724467DE-F864-442C-82C3-2226DEC7CCF0}" id="{4F101659-F607-4949-ACDD-CD52EB0F819C}">
    <text>Validado a placa com sr Renato 13/01/25. Autorizado seguir com pagto do IPVA e Licenciamento.</text>
  </threadedComment>
  <threadedComment ref="V204" dT="2026-01-06T21:00:59.27" personId="{724467DE-F864-442C-82C3-2226DEC7CCF0}" id="{795A8191-71A1-46F1-8E7E-A592D13BE724}">
    <text>Pagamento a ser realizado pelo financeiro e posterior cobrança do valor ao João Angelo - veículo já em posse, aguardando quitação para preenchimento do recibo de venda - email Hugo e adriana em 06/01/2026</text>
  </threadedComment>
  <threadedComment ref="Y204" dT="2026-01-06T21:00:50.48" personId="{724467DE-F864-442C-82C3-2226DEC7CCF0}" id="{CCA41BE9-AC21-4E1A-A5F4-8394091B77AA}">
    <text>Pagamento a ser realizado pelo financeiro e posterior cobrança do valor ao João Angelo - veículo já em posse, aguardando quitação para preenchimento do recibo de venda - email Hugo e adriana em 06/01/2026</text>
  </threadedComment>
  <threadedComment ref="AF204" dT="2025-02-13T17:05:17.21" personId="{724467DE-F864-442C-82C3-2226DEC7CCF0}" id="{2EE96F41-911E-4DD1-8B93-2E81CE4684FB}">
    <text>Veículo Jonatan - gerente comercial Sucata (compras)</text>
  </threadedComment>
  <threadedComment ref="AF204" dT="2025-06-27T18:16:32.19" personId="{724467DE-F864-442C-82C3-2226DEC7CCF0}" id="{F59CABD7-6640-43E5-B855-B2FC57E63636}" parentId="{2EE96F41-911E-4DD1-8B93-2E81CE4684FB}">
    <text>Veículo em negociação de venda - José Angelo</text>
  </threadedComment>
  <threadedComment ref="CE204" dT="2025-02-13T17:05:17.21" personId="{724467DE-F864-442C-82C3-2226DEC7CCF0}" id="{709A8F4A-3B93-4A7D-B112-D55583C8C32E}">
    <text>Veículo Jonatan - gerente comercial Sucata (compras)</text>
  </threadedComment>
  <threadedComment ref="AG206" dT="2025-02-13T12:10:00.64" personId="{724467DE-F864-442C-82C3-2226DEC7CCF0}" id="{0F7A0EE1-BBDF-4996-9A34-3086F1A7F62A}">
    <text>VEÍCULO ACIDENTADO - MÁRIO 
- vendido para Jonatan26/06/2025</text>
  </threadedComment>
  <threadedComment ref="AF207" dT="2025-02-13T17:06:30.51" personId="{724467DE-F864-442C-82C3-2226DEC7CCF0}" id="{6FBC1326-6A15-447E-9FAA-4EA25738A2B5}">
    <text>Era comprador Prudente - estava coordenando contas de usina e região SP - centro de custo coord SP</text>
  </threadedComment>
  <threadedComment ref="CE207" dT="2025-02-13T17:06:30.51" personId="{724467DE-F864-442C-82C3-2226DEC7CCF0}" id="{05430286-ED96-4434-9713-6D8602B24808}">
    <text>Era comprador Prudente - estava coordenando contas de usina e região SP - centro de custo coord SP</text>
  </threadedComment>
  <threadedComment ref="AF208" dT="2025-02-13T17:06:46.32" personId="{724467DE-F864-442C-82C3-2226DEC7CCF0}" id="{F6BFE184-FFA6-4E6E-AEDE-E7676A5807A0}">
    <text>Diretor comercial - sucata</text>
  </threadedComment>
  <threadedComment ref="AG208" dT="2025-01-16T20:13:05.34" personId="{724467DE-F864-442C-82C3-2226DEC7CCF0}" id="{FE3BE35B-9D02-4462-B2DE-17BC96F5784A}">
    <text>Veículo com Marcondes</text>
  </threadedComment>
  <threadedComment ref="CE208" dT="2025-02-13T17:06:46.32" personId="{724467DE-F864-442C-82C3-2226DEC7CCF0}" id="{F2C31F3B-9712-4EF8-8B19-92C3EA35D68F}">
    <text>Diretor comercial - sucata</text>
  </threadedComment>
  <threadedComment ref="AG210" dT="2025-01-22T13:20:38.96" personId="{724467DE-F864-442C-82C3-2226DEC7CCF0}" id="{37B1593B-F31D-4DD8-91D8-CE2AA1294CC7}">
    <text>veículo do Jairo - comprado apenas em nome da NVS</text>
  </threadedComment>
  <threadedComment ref="AG211" dT="2025-01-16T20:15:46.81" personId="{724467DE-F864-442C-82C3-2226DEC7CCF0}" id="{CFAB480B-C718-4526-B5AB-37065606FB5B}">
    <text>Polo (cor preta) do Gabriel</text>
  </threadedComment>
  <threadedComment ref="AF215" dT="2025-03-07T20:26:29.77" personId="{724467DE-F864-442C-82C3-2226DEC7CCF0}" id="{760B0B4C-6D67-400E-A757-8B49164B6C19}">
    <text>Confirmado localização nas linhas das máquinas: EHH0006 e EHH0046 estão na oficina em Prudente; EHH0015 e EHH0019 estão em Barra Mansa. Entendo que precise excluir essa linha, devido duplicidade de informação no conjunto.</text>
  </threadedComment>
  <threadedComment ref="CE215" dT="2025-03-07T20:26:29.77" personId="{724467DE-F864-442C-82C3-2226DEC7CCF0}" id="{74FFA583-E1CB-417E-9DB3-9F7D392D2362}">
    <text>Confirmado localização nas linhas das máquinas: EHH0006 e EHH0046 estão na oficina em Prudente; EHH0015 e EHH0019 estão em Barra Mansa. Entendo que precise excluir essa linha, devido duplicidade de informação no conjunto.</text>
  </threadedComment>
  <threadedComment ref="AF216" dT="2025-03-07T20:26:29.77" personId="{724467DE-F864-442C-82C3-2226DEC7CCF0}" id="{51B54F1A-BBEA-4611-8C6C-737C778BE1B1}">
    <text>Confirmado localização nas linhas das máquinas: EHH0006 e EHH0046 estão na oficina em Prudente; EHH0015 e EHH0019 estão em Barra Mansa. Entendo que precise excluir essa linha, devido duplicidade de informação no conjunto.</text>
  </threadedComment>
  <threadedComment ref="CE216" dT="2025-03-07T20:26:29.77" personId="{724467DE-F864-442C-82C3-2226DEC7CCF0}" id="{79366EDB-E731-44AC-8785-320BD9F007F8}">
    <text>Confirmado localização nas linhas das máquinas: EHH0006 e EHH0046 estão na oficina em Prudente; EHH0015 e EHH0019 estão em Barra Mansa. Entendo que precise excluir essa linha, devido duplicidade de informação no conjunto.</text>
  </threadedComment>
  <threadedComment ref="AW218" dT="2025-03-07T19:18:32.33" personId="{724467DE-F864-442C-82C3-2226DEC7CCF0}" id="{577083DE-70C8-424D-9A9D-4F2AF954B1FA}">
    <text>Nota fiscal de compra com o valor de 8k, mas no controle de compras da MD Ferro consta o valor de 25k. Link da planilha MD FERRO.xlsx</text>
    <extLst>
      <x:ext xmlns:xltc2="http://schemas.microsoft.com/office/spreadsheetml/2020/threadedcomments2" uri="{F7C98A9C-CBB3-438F-8F68-D28B6AF4A901}">
        <xltc2:checksum>1966214213</xltc2:checksum>
        <xltc2:hyperlink startIndex="120" length="13" url="https://seletivaindbr-my.sharepoint.com/:x:/r/personal/cristina_sugui_seletiva_ind_br/Documents/Controladoria/Bens/Patios/MD%20Ferro%20(Dourados)/MD%20FERRO.xlsx?d=w5edcd52dae314a3fbc02dad69ba6bca7&amp;csf=1&amp;web=1&amp;e=dtH2jE"/>
      </x:ext>
    </extLst>
  </threadedComment>
  <threadedComment ref="AG219" dT="2025-01-16T18:38:29.37" personId="{724467DE-F864-442C-82C3-2226DEC7CCF0}" id="{FA80B21C-73D6-48C8-9E5B-A9D6C784828C}">
    <text>locada para Gerdau, Jaragua do Sul - Julio 28/07/2025
locada para Gerdau, Jaragua do Sul - Julio 16/01</text>
  </threadedComment>
  <threadedComment ref="AG219" dT="2025-06-27T14:14:19.80" personId="{724467DE-F864-442C-82C3-2226DEC7CCF0}" id="{DC08C169-D635-4C41-9E2A-0EF811B3F06D}" parentId="{FA80B21C-73D6-48C8-9E5B-A9D6C784828C}">
    <text>placa interna PHH0033 - substituida pela oficial EQO6E99</text>
  </threadedComment>
  <threadedComment ref="AH219" dT="2025-08-21T19:05:03.99" personId="{724467DE-F864-442C-82C3-2226DEC7CCF0}" id="{6A21C1FE-1584-407C-A292-881B24BFB08E}">
    <text>Recibo físico não localizado, solicitar 2via</text>
  </threadedComment>
  <threadedComment ref="AG220" dT="2025-01-16T18:39:09.82" personId="{724467DE-F864-442C-82C3-2226DEC7CCF0}" id="{8EEB4B4E-9012-4ED7-948C-DDD022501222}">
    <text>resende rj - JULIO 28/07/2025
locada para Arcelor em Piracicaba - Julio 16/01
16 de janeiro de 2025 às 15:38</text>
  </threadedComment>
  <threadedComment ref="AG220" dT="2025-07-15T11:49:19.78" personId="{724467DE-F864-442C-82C3-2226DEC7CCF0}" id="{4C686920-A094-48BD-925C-44EEBFB8D8EC}" parentId="{8EEB4B4E-9012-4ED7-948C-DDD022501222}">
    <text>PHH0044 PLACA INTERNA</text>
  </threadedComment>
  <threadedComment ref="AG221" dT="2025-01-16T18:39:31.54" personId="{724467DE-F864-442C-82C3-2226DEC7CCF0}" id="{039E594F-B462-4F38-937A-4B4960B7D503}">
    <text>LOCALIZAÇÃO VARIÁVEL - 28/07/2025
Em Manutenção - Prudente - Julkio 16/01</text>
  </threadedComment>
  <threadedComment ref="AG221" dT="2025-07-15T12:38:59.42" personId="{724467DE-F864-442C-82C3-2226DEC7CCF0}" id="{CAD567A9-B67E-41CC-8D47-C230456BC97C}" parentId="{039E594F-B462-4F38-937A-4B4960B7D503}">
    <text xml:space="preserve">PHH0022 PLACA INTERNA
</text>
  </threadedComment>
  <threadedComment ref="AG222" dT="2025-12-02T14:48:38.52" personId="{724467DE-F864-442C-82C3-2226DEC7CCF0}" id="{C7A6E3CD-AE6A-4507-ADE6-D970FC6EFE68}">
    <text>Placa interna da prensa JCH200M - criada antes da chegada do bem para lançamentos dos custos de aquisição.</text>
  </threadedComment>
  <threadedComment ref="AG222" dT="2025-12-02T16:48:42.82" personId="{E0C17660-D662-407A-B3C9-C7F2C7F22D7C}" id="{9790C210-C627-4EB6-B5D3-2852CED29E29}" parentId="{C7A6E3CD-AE6A-4507-ADE6-D970FC6EFE68}">
    <text>MIchelle, boa tarde!
Grata pela informação.
Solicito informar o Luciano para criação de um centro de custo.</text>
  </threadedComment>
  <threadedComment ref="AG222" dT="2026-02-25T12:17:10.33" personId="{89D0234B-9508-459E-AF75-2412B65EC3E8}" id="{6C66C6D2-35B8-446E-977F-85766BE0C0E7}" parentId="{C7A6E3CD-AE6A-4507-ADE6-D970FC6EFE68}">
    <text>Prensa definida como SP- SELETIVA (variável).</text>
  </threadedComment>
  <threadedComment ref="AF223" dT="2025-02-13T12:50:25.40" personId="{724467DE-F864-442C-82C3-2226DEC7CCF0}" id="{922D598E-E150-41F1-910D-956338BAE0EC}">
    <text>GERDAU</text>
  </threadedComment>
  <threadedComment ref="AG223" dT="2025-01-16T18:47:40.89" personId="{724467DE-F864-442C-82C3-2226DEC7CCF0}" id="{61417287-5783-4A3E-9E0D-D488DAD67BB0}">
    <text>locada para Gerdau  - Julio 28/07/2025
locada para Gerdau  - Julio 16/01</text>
  </threadedComment>
  <threadedComment ref="AG223" dT="2025-07-15T12:26:27.53" personId="{724467DE-F864-442C-82C3-2226DEC7CCF0}" id="{92A4C8B8-9E23-4334-8218-055BD9BA8071}" parentId="{61417287-5783-4A3E-9E0D-D488DAD67BB0}">
    <text>PHH 0021 PLACA INTERNA</text>
  </threadedComment>
  <threadedComment ref="CE223" dT="2025-02-13T12:50:25.40" personId="{724467DE-F864-442C-82C3-2226DEC7CCF0}" id="{E2BB090A-EA23-4363-BFC4-AC928CAF90CC}">
    <text>GERDAU</text>
  </threadedComment>
  <threadedComment ref="N224" dT="2024-12-30T12:50:48.96" personId="{724467DE-F864-442C-82C3-2226DEC7CCF0}" id="{F6BCE9E3-BC5E-443A-8BDD-13D2670A8F9A}">
    <text>Reboque e semi-reboque não paga IPVA</text>
  </threadedComment>
  <threadedComment ref="AG224" dT="2024-08-28T19:14:20.81" personId="{87DDDBE2-7580-4146-952F-A98A7CB7142B}" id="{6319D30C-F94F-4023-9BBA-EE43B480039D}">
    <text>Placa Interna PHH-0061</text>
  </threadedComment>
  <threadedComment ref="AG224" dT="2025-01-16T19:27:06.91" personId="{724467DE-F864-442C-82C3-2226DEC7CCF0}" id="{C88DF2AF-A62B-48AD-B2FB-96B9B63ECB9B}" parentId="{6319D30C-F94F-4023-9BBA-EE43B480039D}">
    <text>Prensa em Paraná - Júlio 16/01</text>
  </threadedComment>
  <threadedComment ref="AG224" dT="2025-12-26T18:00:13.49" personId="{724467DE-F864-442C-82C3-2226DEC7CCF0}" id="{D5A982A8-5C2F-4C12-993B-0C0CD7CA816C}" parentId="{6319D30C-F94F-4023-9BBA-EE43B480039D}">
    <text>Prensa regularizada, 22/12/2025 (Jairo seguiu com regularização)</text>
  </threadedComment>
  <threadedComment ref="AG224" dT="2026-02-25T12:23:48.36" personId="{89D0234B-9508-459E-AF75-2412B65EC3E8}" id="{4A015CEF-8AFF-48D8-B7FD-0B330BBA5189}" parentId="{6319D30C-F94F-4023-9BBA-EE43B480039D}">
    <text>Informado pelo Junior (23/02/2026) - Máquina está em manutenção na unidade de Presidente Prudente, porém operará na Gerdau.</text>
  </threadedComment>
  <threadedComment ref="AG225" dT="2024-07-13T12:35:59.15" personId="{87DDDBE2-7580-4146-952F-A98A7CB7142B}" id="{CBFD5165-6EB7-4998-94C8-0826C91E208A}">
    <text>EMPLACAMENTO COM CONCLUSAO PREVISTA PARA DAQUI A 6 MESES - A PARTIR DE 07/2024</text>
  </threadedComment>
  <threadedComment ref="AG225" dT="2025-06-17T14:36:42.64" personId="{E0C17660-D662-407A-B3C9-C7F2C7F22D7C}" id="{F7D2775A-A75F-454F-B02A-50159FFF299C}" parentId="{CBFD5165-6EB7-4998-94C8-0826C91E208A}">
    <text>@Michelle Camphora Staquecini sabe me dizer a placa CRLV desta prensa?</text>
    <mentions>
      <mention mentionpersonId="{054AB403-A16F-4D56-8B24-848DDCA948BD}" mentionId="{9EB5B4F5-C104-4BEE-BCAB-43CA12D43EC1}" startIndex="0" length="29"/>
    </mentions>
  </threadedComment>
  <threadedComment ref="AG225" dT="2025-06-17T15:17:48.54" personId="{724467DE-F864-442C-82C3-2226DEC7CCF0}" id="{E89F01B4-B068-4809-8114-B13E870B7ACE}" parentId="{CBFD5165-6EB7-4998-94C8-0826C91E208A}">
    <text>Está em processo de emplacamento e sem previsão até o momento</text>
  </threadedComment>
  <threadedComment ref="AG225" dT="2025-08-12T14:22:53.59" personId="{724467DE-F864-442C-82C3-2226DEC7CCF0}" id="{848A1F79-B9DB-4240-9449-E72A1061180B}" parentId="{CBFD5165-6EB7-4998-94C8-0826C91E208A}">
    <text>Liberada documentação em 11/08/2025 - PHH0049 para SWQ2C15</text>
  </threadedComment>
  <threadedComment ref="AG225" dT="2026-02-25T12:20:43.04" personId="{89D0234B-9508-459E-AF75-2412B65EC3E8}" id="{F0D3BEB1-7B76-4897-B8EF-39FF24773866}" parentId="{CBFD5165-6EB7-4998-94C8-0826C91E208A}">
    <text>Informado pelo Junior (23/02/2026) - Operando em Piracicaba.</text>
  </threadedComment>
  <threadedComment ref="AG226" dT="2025-11-07T12:21:51.34" personId="{724467DE-F864-442C-82C3-2226DEC7CCF0}" id="{2EDB02B8-550C-42D1-BB04-7F29C9990D63}">
    <text>Junior - 18/09/2025</text>
  </threadedComment>
  <threadedComment ref="AG227" dT="2025-11-07T12:21:55.52" personId="{724467DE-F864-442C-82C3-2226DEC7CCF0}" id="{86397995-6E98-41FD-8CA6-F1BEDF04DA65}">
    <text>Junior - 18/09/2025</text>
  </threadedComment>
  <threadedComment ref="AG228" dT="2025-11-07T12:21:59.99" personId="{724467DE-F864-442C-82C3-2226DEC7CCF0}" id="{07C986AC-6820-4891-B1C7-2E61DF6A9FB8}">
    <text>Junior - 18/09/2025</text>
  </threadedComment>
  <threadedComment ref="AG229" dT="2025-02-27T19:58:37.10" personId="{724467DE-F864-442C-82C3-2226DEC7CCF0}" id="{229126E4-BF3F-473B-B2EC-9E9304E3C349}">
    <text>VERIFICAR A PLCA INTERNA PHH0045 OU PHT0045???</text>
  </threadedComment>
  <threadedComment ref="AG229" dT="2025-02-27T20:03:37.23" personId="{E0C17660-D662-407A-B3C9-C7F2C7F22D7C}" id="{E0CDDEF8-E7C9-47D1-ACCC-B11CA5DB0D15}" parentId="{229126E4-BF3F-473B-B2EC-9E9304E3C349}">
    <text>Correto é PHH0045 = Prensa Hidraulica Hidroeuropa
As PHT estão erradas, pois quando chegaram o comprador que cadastrava colocou essa placa entendendo que deveria ser PHT = Prensa Hidraulica Tesoura.
Manteremos errada, pois o pessoal ja se habituou com a placa.</text>
  </threadedComment>
  <threadedComment ref="AG230" dT="2025-11-07T12:22:23.74" personId="{724467DE-F864-442C-82C3-2226DEC7CCF0}" id="{4214F4C1-66C3-4EFE-AE92-01FE815EBB73}">
    <text>Junior - 18/09/2025</text>
  </threadedComment>
  <threadedComment ref="AG231" dT="2025-11-07T12:22:41.74" personId="{724467DE-F864-442C-82C3-2226DEC7CCF0}" id="{B043CF35-7AFC-4C62-BBD4-8502D96FBF36}">
    <text>Junior - 18/09/2025</text>
  </threadedComment>
  <threadedComment ref="AF232" dT="2025-02-13T18:32:08.99" personId="{724467DE-F864-442C-82C3-2226DEC7CCF0}" id="{4CFB87C3-DEA3-48B3-B086-76569EB1EE87}">
    <text xml:space="preserve">Comprador de sucata - Prudente - </text>
  </threadedComment>
  <threadedComment ref="AG232" dT="2025-06-11T12:02:29.54" personId="{724467DE-F864-442C-82C3-2226DEC7CCF0}" id="{C79B7428-53B4-477A-A89C-C5AD2CD39D3A}">
    <text>Em negociação de venda para Wagner Junior (oficina) - contrato PJ
vendido para Junior 26/06/2025</text>
  </threadedComment>
  <threadedComment ref="CE232" dT="2025-02-13T18:32:08.99" personId="{724467DE-F864-442C-82C3-2226DEC7CCF0}" id="{64EEE1B6-38D8-4414-87DA-410CA0930505}">
    <text xml:space="preserve">Comprador de sucata - Prudente - </text>
  </threadedComment>
  <threadedComment ref="N233" dT="2025-01-13T17:13:40.94" personId="{724467DE-F864-442C-82C3-2226DEC7CCF0}" id="{984D4387-EE0B-4A9F-8A96-7CF8EF11C135}">
    <text>Validado a placa com sr Renato 13/01/25. Autorizado seguir com pagto do IPVA e Licenciamento.</text>
  </threadedComment>
  <threadedComment ref="AG233" dT="2025-04-11T20:23:57.02" personId="{724467DE-F864-442C-82C3-2226DEC7CCF0}" id="{6E8D17BC-D5EF-4520-A906-F3ECE6A056ED}">
    <text>PLACA NÃO CADASTRADA NO SAGI</text>
  </threadedComment>
  <threadedComment ref="AG234" dT="2025-06-11T11:59:56.93" personId="{724467DE-F864-442C-82C3-2226DEC7CCF0}" id="{7E4DA49F-CD49-4277-B86A-2AD3887CC652}">
    <text>Vendido como parte de pagamento dos eletroimâs - Zoloar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3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8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26" Type="http://schemas.openxmlformats.org/officeDocument/2006/relationships/hyperlink" Target="https://seletivaindbr-my.sharepoint.com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3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21" Type="http://schemas.openxmlformats.org/officeDocument/2006/relationships/hyperlink" Target="https://seletivaindbr-my.sharepoint.com/:v:/g/personal/cristina_sugui_seletiva_ind_br/EfREh-3_c11LqpP_AoVJ8PoBg_kaBK2UZt_Ed6j_YX-9Uw?nav=eyJyZWZlcnJhbEluZm8iOnsicmVmZXJyYWxBcHAiOiJPbmVEcml2ZUZvckJ1c2luZXNzIiwicmVmZXJyYWxBcHBQbGF0Zm9ybSI6IldlYiIsInJlZmVycmFsTW9kZSI6InZpZXciLCJyZWZlcnJhbFZpZXciOiJNeUZpbGVzTGlua0RpcmVjdCJ9fQ&amp;e=EAafVc" TargetMode="External"/><Relationship Id="rId7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2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7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25" Type="http://schemas.openxmlformats.org/officeDocument/2006/relationships/hyperlink" Target="../../../../../../:f:/r/personal/cristina_sugui_seletiva_ind_br/Documents/Controladoria/Bens/M%C3%B3veis/Hidroeuropa/PHH0061%20-%20JCG800%20Maring%C3%A1?csf=1&amp;web=1&amp;e=VvR9yb" TargetMode="External"/><Relationship Id="rId2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6" Type="http://schemas.openxmlformats.org/officeDocument/2006/relationships/hyperlink" Target="../../../../../../:i:/g/personal/cristina_sugui_seletiva_ind_br/Efpw2QzRdsNCusG9M7H5RHsBvaDnfMXBAY-uaKnxgU45yA?e=UiIm9b" TargetMode="External"/><Relationship Id="rId20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29" Type="http://schemas.openxmlformats.org/officeDocument/2006/relationships/comments" Target="../comments1.xml"/><Relationship Id="rId1" Type="http://schemas.openxmlformats.org/officeDocument/2006/relationships/hyperlink" Target="../../../../../../:i:/g/personal/cristina_sugui_seletiva_ind_br/Efpw2QzRdsNCusG9M7H5RHsBvaDnfMXBAY-uaKnxgU45yA?e=UiIm9b" TargetMode="External"/><Relationship Id="rId6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1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24" Type="http://schemas.openxmlformats.org/officeDocument/2006/relationships/hyperlink" Target="https://seletivaindbr-my.sharepoint.com/:v:/g/personal/cristina_sugui_seletiva_ind_br/EcCR_OrPOkdKqjOB498ixLABQNDs5KP4byzf-vVYBvEikQ?nav=eyJyZWZlcnJhbEluZm8iOnsicmVmZXJyYWxBcHAiOiJPbmVEcml2ZUZvckJ1c2luZXNzIiwicmVmZXJyYWxBcHBQbGF0Zm9ybSI6IldlYiIsInJlZmVycmFsTW9kZSI6InZpZXciLCJyZWZlcnJhbFZpZXciOiJNeUZpbGVzTGlua0RpcmVjdCJ9fQ&amp;e=47iDUl" TargetMode="External"/><Relationship Id="rId5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5" Type="http://schemas.openxmlformats.org/officeDocument/2006/relationships/hyperlink" Target="https://seletivaindbr-my.sharepoint.com/:v:/g/personal/cristina_sugui_seletiva_ind_br/Ed3KaneUI1BKieZJm6y5FNcB4RTaknKup8UhZHyD6pe8-g?nav=eyJyZWZlcnJhbEluZm8iOnsicmVmZXJyYWxBcHAiOiJPbmVEcml2ZUZvckJ1c2luZXNzIiwicmVmZXJyYWxBcHBQbGF0Zm9ybSI6IldlYiIsInJlZmVycmFsTW9kZSI6InZpZXciLCJyZWZlcnJhbFZpZXciOiJNeUZpbGVzTGlua0RpcmVjdCJ9fQ&amp;e=uGforQ" TargetMode="External"/><Relationship Id="rId23" Type="http://schemas.openxmlformats.org/officeDocument/2006/relationships/hyperlink" Target="https://seletivaindbr-my.sharepoint.com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9" Type="http://schemas.openxmlformats.org/officeDocument/2006/relationships/hyperlink" Target="https://seletivaindbr-my.sharepoint.com/:b:/r/personal/cristina_sugui_seletiva_ind_br/Documents/Controladoria/Bens/M%C3%B3veis/Liebherr/EHL0070%20-%20LH30M/DANFE_36166_Liebherr%20Brasil_2025_10_15.pdf?csf=1&amp;web=1&amp;e=3LOatL" TargetMode="External"/><Relationship Id="rId31" Type="http://schemas.microsoft.com/office/2019/04/relationships/documenttask" Target="../documenttasks/documenttask1.xml"/><Relationship Id="rId4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9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4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22" Type="http://schemas.openxmlformats.org/officeDocument/2006/relationships/hyperlink" Target="../../../../../../:i:/g/personal/cristina_sugui_seletiva_ind_br/ETIAlR-IATFBrEEpt2BztIsB9wdNGLAGa9v8F4Ueo0UIjA?e=3huLEo" TargetMode="External"/><Relationship Id="rId27" Type="http://schemas.openxmlformats.org/officeDocument/2006/relationships/hyperlink" Target="https://seletivaindbr-my.sharepoint.com/:v:/g/personal/cristina_sugui_seletiva_ind_br/ES_jyqveErlGkwWcD0Ni_IsB8tIaeDh3nB_WyvcMth8cWw?nav=eyJyZWZlcnJhbEluZm8iOnsicmVmZXJyYWxBcHAiOiJPbmVEcml2ZUZvckJ1c2luZXNzIiwicmVmZXJyYWxBcHBQbGF0Zm9ybSI6IldlYiIsInJlZmVycmFsTW9kZSI6InZpZXciLCJyZWZlcnJhbFZpZXciOiJNeUZpbGVzTGlua0RpcmVjdCJ9fQ&amp;e=py4gDC" TargetMode="External"/><Relationship Id="rId30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21" Type="http://schemas.openxmlformats.org/officeDocument/2006/relationships/hyperlink" Target="../../../../../../:b:/g/personal/cristina_sugui_seletiva_ind_br/EQ7GlO7xdfdEuWE-0XhPra8B_h5fLx8MP3iNVJHRy6Riqw?e=gDB3Oh" TargetMode="External"/><Relationship Id="rId42" Type="http://schemas.openxmlformats.org/officeDocument/2006/relationships/hyperlink" Target="../../../../../../:b:/g/personal/cristina_sugui_seletiva_ind_br/EZSVOtg3x_NNod-RoRAzxJMBxwTwuoEc8nw3LEm9NlCuWA?e=HUbD7T" TargetMode="External"/><Relationship Id="rId63" Type="http://schemas.openxmlformats.org/officeDocument/2006/relationships/hyperlink" Target="../../../../../../:b:/g/personal/cristina_sugui_seletiva_ind_br/EQuSFeiYwy1Bg3AGtl0JoD8Bz16sZTzoyw7-aKtSeZ5Ltg?e=2wTEyH" TargetMode="External"/><Relationship Id="rId84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10%5F06%5F30%20%2D%20000%2E040%2E119%20%2D%20Ford%2Epdf&amp;parent=%2Fpersonal%2Fcristina%5Fsugui%5Fseletiva%5Find%5Fbr%2FDocuments%2FControladoria%2FControles%20Fiscais%2FNF%20Imobilizados" TargetMode="External"/><Relationship Id="rId138" Type="http://schemas.openxmlformats.org/officeDocument/2006/relationships/hyperlink" Target="../../../../../..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159" Type="http://schemas.openxmlformats.org/officeDocument/2006/relationships/hyperlink" Target="../../../../../../:b:/r/personal/cristina_sugui_seletiva_ind_br/Documents/Controladoria/Controles%20Fiscais/NF%20Imobilizados/2025_05_02%20-%20000.009.047%20-%20LEA%20PAPEIS.pdf?csf=1&amp;web=1&amp;e=sUf6iO" TargetMode="External"/><Relationship Id="rId170" Type="http://schemas.openxmlformats.org/officeDocument/2006/relationships/hyperlink" Target="../../../../../../:f:/r/personal/cristina_sugui_seletiva_ind_br/Documents/Controladoria/Bens/M%C3%B3veis/Hidroeuropa/PHH0061%20-%20JCG800%20Maring%C3%A1?csf=1&amp;web=1&amp;e=VvR9yb" TargetMode="External"/><Relationship Id="rId107" Type="http://schemas.openxmlformats.org/officeDocument/2006/relationships/hyperlink" Target="../../../../../..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11" Type="http://schemas.openxmlformats.org/officeDocument/2006/relationships/hyperlink" Target="../../../../../../:b:/g/personal/cristina_sugui_seletiva_ind_br/ERo5yO0ekzxHpsGROczp6OUBovTOZH7CNsJTC8gZCA7mFw?e=efmig8" TargetMode="External"/><Relationship Id="rId32" Type="http://schemas.openxmlformats.org/officeDocument/2006/relationships/hyperlink" Target="../../../../../../:b:/g/personal/cristina_sugui_seletiva_ind_br/ES5zzm34HIBNuGIQtotKQ6UBWhK-m-wXtuiPhKKjmdB62Q?e=43An30" TargetMode="External"/><Relationship Id="rId53" Type="http://schemas.openxmlformats.org/officeDocument/2006/relationships/hyperlink" Target="../../../../../../:b:/g/personal/cristina_sugui_seletiva_ind_br/EZJJiA_SCGpIg59yMRzkSxQBMgkaHpr4-tBa23uGSEF_Gg?e=TiaoqC" TargetMode="External"/><Relationship Id="rId74" Type="http://schemas.openxmlformats.org/officeDocument/2006/relationships/hyperlink" Target="../../../../_layouts/15/onedrive.aspx?id=%2Fpersonal%2Fcristina%5Fsugui%5Fseletiva%5Find%5Fbr%2FDocuments%2FControladoria%2FControles%20Fiscais%2FNF%20Imobilizados%2F2022%5F12%5F29%20%2D%20000%2E027%2E115%20%2D%20Rodobens%2Epdf&amp;parent=%2Fpersonal%2Fcristina%5Fsugui%5Fseletiva%5Find%5Fbr%2FDocuments%2FControladoria%2FControles%20Fiscais%2FNF%20Imobilizados" TargetMode="External"/><Relationship Id="rId128" Type="http://schemas.openxmlformats.org/officeDocument/2006/relationships/hyperlink" Target="../../../../../../:i:/g/personal/cristina_sugui_seletiva_ind_br/EX_kMsBHxq5ApcbaMr-kZb4BVCO1kbZc_Ocb8P4DT_sU5w?e=8dqSum" TargetMode="External"/><Relationship Id="rId149" Type="http://schemas.openxmlformats.org/officeDocument/2006/relationships/hyperlink" Target="../../../../../../:b:/g/personal/cristina_sugui_seletiva_ind_br/EdJ-1o44AxNAtmxdhEa4AeYB6Fi7aVViaop5jaAzDKcgDw?e=9j8GOE" TargetMode="External"/><Relationship Id="rId5" Type="http://schemas.openxmlformats.org/officeDocument/2006/relationships/hyperlink" Target="../../../../../../:b:/g/personal/cristina_sugui_seletiva_ind_br/ES466rJ1XEBCpMDZ9RO-Q68BTL00UxLlCN7UImc6nOjcOg?e=T66sFh" TargetMode="External"/><Relationship Id="rId95" Type="http://schemas.openxmlformats.org/officeDocument/2006/relationships/hyperlink" Target="../../../../../../:b:/g/personal/cristina_sugui_seletiva_ind_br/ERo-rFQYtTlFriloF4Gj-BEBMlR_HNUBWQVuzhcUeQ4o-A?e=w9EMz2" TargetMode="External"/><Relationship Id="rId160" Type="http://schemas.openxmlformats.org/officeDocument/2006/relationships/hyperlink" Target="../../../../../../:b:/r/personal/cristina_sugui_seletiva_ind_br/Documents/Controladoria/Controles%20Fiscais/NF%20Imobilizados/2025_06_27%20-%20000.131.773%20-%20LAPONIA%20SUDESTE%20LTDA.pdf?csf=1&amp;web=1&amp;e=9t6a5R" TargetMode="External"/><Relationship Id="rId22" Type="http://schemas.openxmlformats.org/officeDocument/2006/relationships/hyperlink" Target="../../../../../../:b:/g/personal/cristina_sugui_seletiva_ind_br/EXXLcPTywxBJhjMfJYOX9foBTo9OPwOL2dBdAag86Ir-7g?e=ZZOgy6" TargetMode="External"/><Relationship Id="rId43" Type="http://schemas.openxmlformats.org/officeDocument/2006/relationships/hyperlink" Target="../../../../../../:b:/g/personal/cristina_sugui_seletiva_ind_br/EUCyzC6hTttGsY2K6Ii3mWEB9qrCHOKnOXPK-nFU0j-khA?e=5MentY" TargetMode="External"/><Relationship Id="rId64" Type="http://schemas.openxmlformats.org/officeDocument/2006/relationships/hyperlink" Target="../../../../../../:b:/g/personal/cristina_sugui_seletiva_ind_br/EcDFbSpRavFGh8Y1UJkIpqMBsNVI9mH8DEyzNHzh3MnQZg?e=iqomPm" TargetMode="External"/><Relationship Id="rId118" Type="http://schemas.openxmlformats.org/officeDocument/2006/relationships/hyperlink" Target="../../../../../..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39" Type="http://schemas.openxmlformats.org/officeDocument/2006/relationships/hyperlink" Target="../../../../../..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cWHppt" TargetMode="External"/><Relationship Id="rId85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10%5F07%5F22%20%2D%20000%2E040%2E952%20%2D%20Ford%2Epdf&amp;parent=%2Fpersonal%2Fcristina%5Fsugui%5Fseletiva%5Find%5Fbr%2FDocuments%2FControladoria%2FControles%20Fiscais%2FNF%20Imobilizados" TargetMode="External"/><Relationship Id="rId150" Type="http://schemas.openxmlformats.org/officeDocument/2006/relationships/hyperlink" Target="../../../../../../:b:/g/personal/cristina_sugui_seletiva_ind_br/EfmE8_fwq65BobXeOvJYBawBnUNoczc0X4bPUDVik9spEA?e=PznlUK" TargetMode="External"/><Relationship Id="rId171" Type="http://schemas.openxmlformats.org/officeDocument/2006/relationships/vmlDrawing" Target="../drawings/vmlDrawing2.vml"/><Relationship Id="rId12" Type="http://schemas.openxmlformats.org/officeDocument/2006/relationships/hyperlink" Target="../../../../../../:b:/g/personal/cristina_sugui_seletiva_ind_br/EfRRTlAIFsxLo_TCaZfzpUcBIwSglbj6f_8PSRW7KshZ8Q?e=xim4Au" TargetMode="External"/><Relationship Id="rId33" Type="http://schemas.openxmlformats.org/officeDocument/2006/relationships/hyperlink" Target="../../../../../../:b:/g/personal/cristina_sugui_seletiva_ind_br/ERE4MbStbNlPpYpyjw-Che8BB_pRsQDIxpyNgIw0Ynxb2w?e=IXnWT5" TargetMode="External"/><Relationship Id="rId108" Type="http://schemas.openxmlformats.org/officeDocument/2006/relationships/hyperlink" Target="../../../../../..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129" Type="http://schemas.openxmlformats.org/officeDocument/2006/relationships/hyperlink" Target="../../../../../../:i:/g/personal/cristina_sugui_seletiva_ind_br/EX_kMsBHxq5ApcbaMr-kZb4BVCO1kbZc_Ocb8P4DT_sU5w?e=8dqSum" TargetMode="External"/><Relationship Id="rId54" Type="http://schemas.openxmlformats.org/officeDocument/2006/relationships/hyperlink" Target="../../../../../../:b:/g/personal/cristina_sugui_seletiva_ind_br/EcCGZCqQW6tFrNnD9FiFp6UBd0vdvfTpJMYNwjvvfijDlQ?e=NQ05Gf" TargetMode="External"/><Relationship Id="rId75" Type="http://schemas.openxmlformats.org/officeDocument/2006/relationships/hyperlink" Target="../../../../_layouts/15/onedrive.aspx?id=%2Fpersonal%2Fcristina%5Fsugui%5Fseletiva%5Find%5Fbr%2FDocuments%2FControladoria%2FControles%20Fiscais%2FNF%20Imobilizados%2F2019%5F03%5F22%20%2D%20000%2E761%2E806%20%2D%20Ford%2Epdf&amp;parent=%2Fpersonal%2Fcristina%5Fsugui%5Fseletiva%5Find%5Fbr%2FDocuments%2FControladoria%2FControles%20Fiscais%2FNF%20Imobilizados" TargetMode="External"/><Relationship Id="rId96" Type="http://schemas.openxmlformats.org/officeDocument/2006/relationships/hyperlink" Target="../../../../../../:b:/g/personal/cristina_sugui_seletiva_ind_br/ERo-rFQYtTlFriloF4Gj-BEBMlR_HNUBWQVuzhcUeQ4o-A?e=w9EMz2" TargetMode="External"/><Relationship Id="rId140" Type="http://schemas.openxmlformats.org/officeDocument/2006/relationships/hyperlink" Target="../../../../../../:i:/g/personal/cristina_sugui_seletiva_ind_br/Efpw2QzRdsNCusG9M7H5RHsBvaDnfMXBAY-uaKnxgU45yA?e=UiIm9b" TargetMode="External"/><Relationship Id="rId161" Type="http://schemas.openxmlformats.org/officeDocument/2006/relationships/hyperlink" Target="../../../../../../:f:/r/personal/cristina_sugui_seletiva_ind_br/Documents/Controladoria/Bens/M%C3%B3veis/Ve%C3%ADculos/4.CONTROLE%20DA%20FROTA/SUY4F83?csf=1&amp;web=1&amp;e=tZOILR" TargetMode="External"/><Relationship Id="rId1" Type="http://schemas.openxmlformats.org/officeDocument/2006/relationships/hyperlink" Target="../../../../../../:b:/g/personal/cristina_sugui_seletiva_ind_br/ER5m7ZqXSRhMsr9Uft56r2YBfE38_gdJ2fQgl6QiVVuh8w?e=YGakQR" TargetMode="External"/><Relationship Id="rId6" Type="http://schemas.openxmlformats.org/officeDocument/2006/relationships/hyperlink" Target="../../../../../../:b:/g/personal/cristina_sugui_seletiva_ind_br/EZ-f8zyDzItLuhpMn53LTPwBuKG735N8raGnizMH2xJI2A?e=sKei3f" TargetMode="External"/><Relationship Id="rId23" Type="http://schemas.openxmlformats.org/officeDocument/2006/relationships/hyperlink" Target="../../../../../../:b:/g/personal/cristina_sugui_seletiva_ind_br/EaReiUIjimdIogX-5JCKw3cBbEZXhtSb8yLh-4k73_JqWQ?e=nZYh8B" TargetMode="External"/><Relationship Id="rId28" Type="http://schemas.openxmlformats.org/officeDocument/2006/relationships/hyperlink" Target="../../../../../../:b:/g/personal/cristina_sugui_seletiva_ind_br/ERTEfvaroMpBuKOFuNacQY0BRObwsIOIgeeviXSm2A6qgQ?e=3K8Msg" TargetMode="External"/><Relationship Id="rId49" Type="http://schemas.openxmlformats.org/officeDocument/2006/relationships/hyperlink" Target="../../../../../../:b:/g/personal/cristina_sugui_seletiva_ind_br/Edq3UT13rGJAttRYveU0casBCqYbwQp_-8BzWHDSL_HjGA?e=vzEt3b" TargetMode="External"/><Relationship Id="rId114" Type="http://schemas.openxmlformats.org/officeDocument/2006/relationships/hyperlink" Target="../../../../../..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19" Type="http://schemas.openxmlformats.org/officeDocument/2006/relationships/hyperlink" Target="../../../../../..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44" Type="http://schemas.openxmlformats.org/officeDocument/2006/relationships/hyperlink" Target="../../../../../../:b:/g/personal/cristina_sugui_seletiva_ind_br/EX9c8xYJK7RElEY5aPLQoGUBxyGdtnLilXlTSTTDAMG3wg?e=VFM8Qe" TargetMode="External"/><Relationship Id="rId60" Type="http://schemas.openxmlformats.org/officeDocument/2006/relationships/hyperlink" Target="../../../../../../:b:/g/personal/cristina_sugui_seletiva_ind_br/ER88sET3HlFLtnV-9qAjQgkBK_DwhVvh_zO6sITMeIqP3A?e=bnAMED" TargetMode="External"/><Relationship Id="rId65" Type="http://schemas.openxmlformats.org/officeDocument/2006/relationships/hyperlink" Target="../../../../../../:b:/g/personal/cristina_sugui_seletiva_ind_br/EWPzu4ycKPlGm1LDZVX9DhIBgoRUA4hZGhFZRk017TPTsw?e=4H5jNQ" TargetMode="External"/><Relationship Id="rId81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10%5F01%5F14%20%2D%20000%2E028%2E644%20%2D%20Ford%2Epdf&amp;parent=%2Fpersonal%2Fcristina%5Fsugui%5Fseletiva%5Find%5Fbr%2FDocuments%2FControladoria%2FControles%20Fiscais%2FNF%20Imobilizados" TargetMode="External"/><Relationship Id="rId86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10%5F07%5F22%20%2D%20000%2E040%2E950%20%2D%20Ford%2Epdf&amp;parent=%2Fpersonal%2Fcristina%5Fsugui%5Fseletiva%5Find%5Fbr%2FDocuments%2FControladoria%2FControles%20Fiscais%2FNF%20Imobilizados" TargetMode="External"/><Relationship Id="rId130" Type="http://schemas.openxmlformats.org/officeDocument/2006/relationships/hyperlink" Target="../../../../../../:i:/g/personal/cristina_sugui_seletiva_ind_br/EX_kMsBHxq5ApcbaMr-kZb4BVCO1kbZc_Ocb8P4DT_sU5w?e=8dqSum" TargetMode="External"/><Relationship Id="rId135" Type="http://schemas.openxmlformats.org/officeDocument/2006/relationships/hyperlink" Target="../../../../../../:i:/g/personal/cristina_sugui_seletiva_ind_br/ETIAlR-IATFBrEEpt2BztIsB9wdNGLAGa9v8F4Ueo0UIjA?e=3huLEo" TargetMode="External"/><Relationship Id="rId151" Type="http://schemas.openxmlformats.org/officeDocument/2006/relationships/hyperlink" Target="../../../../../../:b:/r/personal/cristina_sugui_seletiva_ind_br/Documents/Controladoria/Controles%20Fiscais/NF%20Imobilizados/2024_12_20%20-%20000.732.136%20-%20VW%20AMAROK%20V6%20HIGH.pdf?csf=1&amp;web=1&amp;e=cMY6G0" TargetMode="External"/><Relationship Id="rId156" Type="http://schemas.openxmlformats.org/officeDocument/2006/relationships/hyperlink" Target="../../../../../../:b:/r/personal/cristina_sugui_seletiva_ind_br/Documents/Controladoria/Controles%20Fiscais/NF%20Imobilizados/2017_06_19%20-%20000.003.719%20-%20M.D.%20Ferro.pdf?csf=1&amp;web=1&amp;e=bDhxnc" TargetMode="External"/><Relationship Id="rId172" Type="http://schemas.openxmlformats.org/officeDocument/2006/relationships/comments" Target="../comments2.xml"/><Relationship Id="rId13" Type="http://schemas.openxmlformats.org/officeDocument/2006/relationships/hyperlink" Target="../../../../../../:b:/g/personal/cristina_sugui_seletiva_ind_br/EeRVBcPj7LZBskKnSBMYY3QBomKQVWmwZFSbc1UtuEvflw?e=w5wTLo" TargetMode="External"/><Relationship Id="rId18" Type="http://schemas.openxmlformats.org/officeDocument/2006/relationships/hyperlink" Target="../../../../../../:b:/g/personal/cristina_sugui_seletiva_ind_br/EYrwppT7_ztJuJclvGcttwMBestfRuHVeA0avwvusCT3Uw?e=0mOm3h" TargetMode="External"/><Relationship Id="rId39" Type="http://schemas.openxmlformats.org/officeDocument/2006/relationships/hyperlink" Target="../../../../../../:b:/g/personal/cristina_sugui_seletiva_ind_br/EcWgDCrj2stMtnBcpQ697ogB2-DGepujc3U3tokYC8PgaQ?e=JMa5lL" TargetMode="External"/><Relationship Id="rId109" Type="http://schemas.openxmlformats.org/officeDocument/2006/relationships/hyperlink" Target="../../../../../..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34" Type="http://schemas.openxmlformats.org/officeDocument/2006/relationships/hyperlink" Target="../../../../../../:b:/g/personal/cristina_sugui_seletiva_ind_br/Ed_gbGrntThCjrXaRYIHr_ABqhD1mPWgWwpj-w0jSvhiKA?e=Kqq07c" TargetMode="External"/><Relationship Id="rId50" Type="http://schemas.openxmlformats.org/officeDocument/2006/relationships/hyperlink" Target="../../../../../../:b:/g/personal/cristina_sugui_seletiva_ind_br/EeEOfNsASehEqIktNq_5yW4BwpOlY6WSkbRuQ9YFBoyCeA?e=xA8FaN" TargetMode="External"/><Relationship Id="rId55" Type="http://schemas.openxmlformats.org/officeDocument/2006/relationships/hyperlink" Target="../../../../../../:b:/g/personal/cristina_sugui_seletiva_ind_br/Eak2_1zD53JNv130nDwNXAABNZdddzaAFaVzPa5tgt8tgw?e=h8HBjh" TargetMode="External"/><Relationship Id="rId76" Type="http://schemas.openxmlformats.org/officeDocument/2006/relationships/hyperlink" Target="../../../../../../:b:/g/personal/cristina_sugui_seletiva_ind_br/ERjVGIPDWVtHoJgG5FYJAlsBjSpAJbSlQvfRqzquPbi0Nw?e=ECvGfb" TargetMode="External"/><Relationship Id="rId97" Type="http://schemas.openxmlformats.org/officeDocument/2006/relationships/hyperlink" Target="../../../../_layouts/15/onedrive.aspx?id=%2Fpersonal%2Fcristina%5Fsugui%5Fseletiva%5Find%5Fbr%2FDocuments%2FControladoria%2FControles%20Fiscais%2FNF%20Imobilizados%2F2023%5F09%5F26%20%2D%20000%2E520%2E275%20%2D%20Volkswagen%2Epdf&amp;parent=%2Fpersonal%2Fcristina%5Fsugui%5Fseletiva%5Find%5Fbr%2FDocuments%2FControladoria%2FControles%20Fiscais%2FNF%20Imobilizados" TargetMode="External"/><Relationship Id="rId104" Type="http://schemas.openxmlformats.org/officeDocument/2006/relationships/hyperlink" Target="../../../../../../:b:/r/personal/cristina_sugui_seletiva_ind_br/Documents/Controladoria/Controles%20Fiscais/NF%20Imobilizados/2021_02_05%20-%20000.015.911%20-%20Unimaq.pdf?csf=1&amp;web=1&amp;e=wtnTQq" TargetMode="External"/><Relationship Id="rId120" Type="http://schemas.openxmlformats.org/officeDocument/2006/relationships/hyperlink" Target="../../../../../..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25" Type="http://schemas.openxmlformats.org/officeDocument/2006/relationships/hyperlink" Target="../../../../../../:v:/g/personal/cristina_sugui_seletiva_ind_br/ETYvnmNDWDVBrXgbikP-0UMBkv7hQyjmZqncI5Ziq7x9Pw?nav=eyJyZWZlcnJhbEluZm8iOnsicmVmZXJyYWxBcHAiOiJPbmVEcml2ZUZvckJ1c2luZXNzIiwicmVmZXJyYWxBcHBQbGF0Zm9ybSI6IldlYiIsInJlZmVycmFsTW9kZSI6InZpZXciLCJyZWZlcnJhbFZpZXciOiJNeUZpbGVzTGlua0RpcmVjdCJ9fQ&amp;e=DkHnIK" TargetMode="External"/><Relationship Id="rId141" Type="http://schemas.openxmlformats.org/officeDocument/2006/relationships/hyperlink" Target="../../../../../../:v:/g/personal/cristina_sugui_seletiva_ind_br/ES_jyqveErlGkwWcD0Ni_IsB8tIaeDh3nB_WyvcMth8cWw?nav=eyJyZWZlcnJhbEluZm8iOnsicmVmZXJyYWxBcHAiOiJPbmVEcml2ZUZvckJ1c2luZXNzIiwicmVmZXJyYWxBcHBQbGF0Zm9ybSI6IldlYiIsInJlZmVycmFsTW9kZSI6InZpZXciLCJyZWZlcnJhbFZpZXciOiJNeUZpbGVzTGlua0RpcmVjdCJ9fQ&amp;e=py4gDC" TargetMode="External"/><Relationship Id="rId146" Type="http://schemas.openxmlformats.org/officeDocument/2006/relationships/hyperlink" Target="../../../../../../:b:/g/personal/cristina_sugui_seletiva_ind_br/EVjyDI6337VFo9suF90EYpoBU-7CvBpJDbW7OOTRdKnlBQ?e=d25JEs" TargetMode="External"/><Relationship Id="rId167" Type="http://schemas.openxmlformats.org/officeDocument/2006/relationships/hyperlink" Target="../../../../../../:b:/r/personal/cristina_sugui_seletiva_ind_br/Documents/Controladoria/Controles%20Fiscais/NF%20Imobilizados/2025_09_18%20-%20000.009.300%20-%20RSE%20x%20Arden%20Equipment%20Compra%20Conj.%20Facas%20e%20Tesoura%20Hidraulica.pdf?csf=1&amp;web=1&amp;e=b5490v" TargetMode="External"/><Relationship Id="rId7" Type="http://schemas.openxmlformats.org/officeDocument/2006/relationships/hyperlink" Target="../../../../../../:b:/g/personal/cristina_sugui_seletiva_ind_br/EY0frni1amRIhtZpOROZwtYBxwfbOZZ-gsE7_HX-jOWnQQ?e=tdGXUX" TargetMode="External"/><Relationship Id="rId71" Type="http://schemas.openxmlformats.org/officeDocument/2006/relationships/hyperlink" Target="../../../../../../:b:/g/personal/cristina_sugui_seletiva_ind_br/EawGmx9sX3ZEopa2tJ5qD-QBjQ-UxGsOwFofTzTMJxrIAw?e=nosYFl" TargetMode="External"/><Relationship Id="rId92" Type="http://schemas.openxmlformats.org/officeDocument/2006/relationships/hyperlink" Target="../../../../_layouts/15/onedrive.aspx?id=%2Fpersonal%2Fcristina%5Fsugui%5Fseletiva%5Find%5Fbr%2FDocuments%2FControladoria%2FControles%20Fiscais%2FNF%20Imobilizados%2F2018%5F12%5F08%20%2D%20000%2E005%2E592%20%2D%20Renato%2Epdf&amp;parent=%2Fpersonal%2Fcristina%5Fsugui%5Fseletiva%5Find%5Fbr%2FDocuments%2FControladoria%2FControles%20Fiscais%2FNF%20Imobilizados" TargetMode="External"/><Relationship Id="rId162" Type="http://schemas.openxmlformats.org/officeDocument/2006/relationships/hyperlink" Target="../../../../../../:b:/r/personal/cristina_sugui_seletiva_ind_br/Documents/Controladoria/Controles%20Fiscais/NF%20Imobilizados/2025_04_12%20-%20000.000.610%20-%20Maria%20Jose%20da%20Silva%20Souza.pdf?csf=1&amp;web=1&amp;e=xMK85W" TargetMode="External"/><Relationship Id="rId2" Type="http://schemas.openxmlformats.org/officeDocument/2006/relationships/hyperlink" Target="../../../../../../:b:/g/personal/cristina_sugui_seletiva_ind_br/EUxrvygnQixJue45wmtmdlIBa0PPYq1KAhkJonc87YrF_Q?e=YQoJfZ" TargetMode="External"/><Relationship Id="rId29" Type="http://schemas.openxmlformats.org/officeDocument/2006/relationships/hyperlink" Target="../../../../../../:b:/g/personal/cristina_sugui_seletiva_ind_br/EdEyfnKpgblFhjB1Z0jbc38BFDQ9PJw53KO6TicvwnUAkQ?e=eFZJtQ" TargetMode="External"/><Relationship Id="rId24" Type="http://schemas.openxmlformats.org/officeDocument/2006/relationships/hyperlink" Target="../../../../../../:b:/g/personal/cristina_sugui_seletiva_ind_br/EfEjAGAmbuVJlViuUIyekncBMuB-CBvPimuykqfe37VMdg?e=sfA9mV" TargetMode="External"/><Relationship Id="rId40" Type="http://schemas.openxmlformats.org/officeDocument/2006/relationships/hyperlink" Target="../../../../../../:b:/g/personal/cristina_sugui_seletiva_ind_br/EbaKNzQhFadIpdYTLAIRugEBkf_8h5At4ALEneptukJLLA?e=ybMZ8Y" TargetMode="External"/><Relationship Id="rId45" Type="http://schemas.openxmlformats.org/officeDocument/2006/relationships/hyperlink" Target="../../../../../../:b:/g/personal/cristina_sugui_seletiva_ind_br/EeMjXN-IrapCmuG39z9Nat8BMeq8mHio_PqLQzs_q9dYLw?e=e6tUh9" TargetMode="External"/><Relationship Id="rId66" Type="http://schemas.openxmlformats.org/officeDocument/2006/relationships/hyperlink" Target="../../../../../../:b:/g/personal/cristina_sugui_seletiva_ind_br/EYVowQSasClNg7XXBku7oV0BpPb-8JFwVWGekIAuvpyGEQ?e=IX5e8b" TargetMode="External"/><Relationship Id="rId87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23%5F08%5F31%20%2D%20000%2E870%2E577%20%2D%20Volkswagen%2Epdf&amp;parent=%2Fpersonal%2Fcristina%5Fsugui%5Fseletiva%5Find%5Fbr%2FDocuments%2FControladoria%2FControles%20Fiscais%2FNF%20Imobilizados" TargetMode="External"/><Relationship Id="rId110" Type="http://schemas.openxmlformats.org/officeDocument/2006/relationships/hyperlink" Target="../../../../../..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15" Type="http://schemas.openxmlformats.org/officeDocument/2006/relationships/hyperlink" Target="../../../../../..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31" Type="http://schemas.openxmlformats.org/officeDocument/2006/relationships/hyperlink" Target="../../../../../../:i:/g/personal/cristina_sugui_seletiva_ind_br/EX_kMsBHxq5ApcbaMr-kZb4BVCO1kbZc_Ocb8P4DT_sU5w?e=Fx6KBc" TargetMode="External"/><Relationship Id="rId136" Type="http://schemas.openxmlformats.org/officeDocument/2006/relationships/hyperlink" Target="../../../../../..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157" Type="http://schemas.openxmlformats.org/officeDocument/2006/relationships/hyperlink" Target="../../../../../../:b:/r/personal/cristina_sugui_seletiva_ind_br/Documents/Controladoria/Controles%20Fiscais/NF%20Imobilizados/2017_01_23%20-%20000.082.937%20-%20Fibria.pdf?csf=1&amp;web=1&amp;e=VFhbZm" TargetMode="External"/><Relationship Id="rId61" Type="http://schemas.openxmlformats.org/officeDocument/2006/relationships/hyperlink" Target="../../../../_layouts/15/onedrive.aspx?id=%2Fpersonal%2Fcristina%5Fsugui%5Fseletiva%5Find%5Fbr%2FDocuments%2FControladoria%2FControles%20Fiscais%2FNF%20Imobilizados%2F2021%5F12%5F21%20%2D%20005%2E456%2E962%20%2D%20FCA%20FIAT%2Epdf&amp;parent=%2Fpersonal%2Fcristina%5Fsugui%5Fseletiva%5Find%5Fbr%2FDocuments%2FControladoria%2FControles%20Fiscais%2FNF%20Imobilizados" TargetMode="External"/><Relationship Id="rId82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10%5F01%5F12%20%2D%20000%2E028%2E522%20%2D%20Ford%2Epdf&amp;parent=%2Fpersonal%2Fcristina%5Fsugui%5Fseletiva%5Find%5Fbr%2FDocuments%2FControladoria%2FControles%20Fiscais%2FNF%20Imobilizados" TargetMode="External"/><Relationship Id="rId152" Type="http://schemas.openxmlformats.org/officeDocument/2006/relationships/hyperlink" Target="../../../../../../:i:/g/personal/cristina_sugui_seletiva_ind_br/Efpw2QzRdsNCusG9M7H5RHsBvaDnfMXBAY-uaKnxgU45yA?e=UiIm9b" TargetMode="External"/><Relationship Id="rId173" Type="http://schemas.microsoft.com/office/2017/10/relationships/threadedComment" Target="../threadedComments/threadedComment2.xml"/><Relationship Id="rId19" Type="http://schemas.openxmlformats.org/officeDocument/2006/relationships/hyperlink" Target="../../../../../../:b:/g/personal/cristina_sugui_seletiva_ind_br/Eb47PR61n7BOoa4TIfMfU8cBmz1vsdKcynjSA-ye7PnjTw?e=dy5AB1" TargetMode="External"/><Relationship Id="rId14" Type="http://schemas.openxmlformats.org/officeDocument/2006/relationships/hyperlink" Target="../../../../../../:b:/g/personal/cristina_sugui_seletiva_ind_br/Ecy3nEnDcitLrMHonNgQsnIB9dY_yaS7zZmHzfY6WTKhDg?e=7ydfDt" TargetMode="External"/><Relationship Id="rId30" Type="http://schemas.openxmlformats.org/officeDocument/2006/relationships/hyperlink" Target="../../../../../../:b:/g/personal/cristina_sugui_seletiva_ind_br/EeSbIsMmbZ5Jp1Sl7cFbg3wBSFPpzq01Po9d8VPSWeVSiA?e=Qz292r" TargetMode="External"/><Relationship Id="rId35" Type="http://schemas.openxmlformats.org/officeDocument/2006/relationships/hyperlink" Target="../../../../../../:b:/g/personal/cristina_sugui_seletiva_ind_br/EZCTnGXOE8dMssv4O2plmvUBur7rcnIvEjgzcweTXqnsew?e=gvICrq" TargetMode="External"/><Relationship Id="rId56" Type="http://schemas.openxmlformats.org/officeDocument/2006/relationships/hyperlink" Target="../../../../../../:b:/g/personal/cristina_sugui_seletiva_ind_br/EYtLJZ4qKWpDvwIBF4muBAEBMg9_dTIWsg0Xf6KKlNUA6g?e=hezyr9" TargetMode="External"/><Relationship Id="rId77" Type="http://schemas.openxmlformats.org/officeDocument/2006/relationships/hyperlink" Target="../../../../../controladoria02_seletiva_ind_br/_layouts/15/onedrive.aspx?listurl=%2Fpersonal%2Fcristina%5Fsugui%5Fseletiva%5Find%5Fbr%2FDocuments&amp;login_hint=controladoria02%40seletiva%2Eind%2Ebr&amp;id=%2Fpersonal%2Fcristina%5Fsugui%5Fseletiva%5Find%5Fbr%2FDocuments%2FControladoria%2FControles%20Fiscais%2FNF%20Imobilizados%2F2010%5F03%5F02%20%2D%20000%2E000%2E882%20%2D%20Busa%2Epdf&amp;parent=%2Fpersonal%2Fcristina%5Fsugui%5Fseletiva%5Find%5Fbr%2FDocuments%2FControladoria%2FControles%20Fiscais%2FNF%20Imobilizados" TargetMode="External"/><Relationship Id="rId100" Type="http://schemas.openxmlformats.org/officeDocument/2006/relationships/hyperlink" Target="../../../../../../:b:/r/personal/cristina_sugui_seletiva_ind_br/Documents/Controladoria/Controles%20Fiscais/NF%20Imobilizados/2018_06_01%20-%20000.000.030%20-%20Mb%20Equipamentos.pdf?csf=1&amp;web=1&amp;e=ViVfaJ" TargetMode="External"/><Relationship Id="rId105" Type="http://schemas.openxmlformats.org/officeDocument/2006/relationships/hyperlink" Target="../../../../../..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126" Type="http://schemas.openxmlformats.org/officeDocument/2006/relationships/hyperlink" Target="../../../../../../:v:/g/personal/cristina_sugui_seletiva_ind_br/EbovfEks0N5Mn6BQc-H8nHIBObud4_kl5M2_hrrVuDkEBg?nav=eyJyZWZlcnJhbEluZm8iOnsicmVmZXJyYWxBcHAiOiJPbmVEcml2ZUZvckJ1c2luZXNzIiwicmVmZXJyYWxBcHBQbGF0Zm9ybSI6IldlYiIsInJlZmVycmFsTW9kZSI6InZpZXciLCJyZWZlcnJhbFZpZXciOiJNeUZpbGVzTGlua0RpcmVjdCJ9fQ&amp;e=l7Ledn" TargetMode="External"/><Relationship Id="rId147" Type="http://schemas.openxmlformats.org/officeDocument/2006/relationships/hyperlink" Target="../../../../../../:b:/r/personal/cristina_sugui_seletiva_ind_br/Documents/Controladoria/Controles%20Fiscais/NF%20Imobilizados/2024_01_09%20-%20000.00.282%20-%20MB%20CRUSHER.pdf?csf=1&amp;web=1&amp;e=iz9Yyd" TargetMode="External"/><Relationship Id="rId168" Type="http://schemas.openxmlformats.org/officeDocument/2006/relationships/hyperlink" Target="../../../../../../:b:/r/personal/cristina_sugui_seletiva_ind_br/Documents/Controladoria/Controles%20Fiscais/NF%20Imobilizados/2025_09_24%20-%20000.000.354%20-%20MB%20CRUSHER.pdf?csf=1&amp;web=1&amp;e=5CRaWF" TargetMode="External"/><Relationship Id="rId8" Type="http://schemas.openxmlformats.org/officeDocument/2006/relationships/hyperlink" Target="../../../../../../:b:/g/personal/cristina_sugui_seletiva_ind_br/EYisp7w0iuZPksQ0_f324TcB0Vwi6M0QCesAu9PzuqGmZw?e=gpTiCN" TargetMode="External"/><Relationship Id="rId51" Type="http://schemas.openxmlformats.org/officeDocument/2006/relationships/hyperlink" Target="../../../../../../:b:/g/personal/cristina_sugui_seletiva_ind_br/EQMc4Av2CDFHiBFiohoPDuMB_D7Q9dD6COBUaJsFwEb3QA?e=fSVOUV" TargetMode="External"/><Relationship Id="rId72" Type="http://schemas.openxmlformats.org/officeDocument/2006/relationships/hyperlink" Target="../../../../../../:b:/g/personal/cristina_sugui_seletiva_ind_br/EQgyiIAeYPtCiF0bVRE4K94BOG2dSfCaEknqkNk42-Y7EQ?e=oevPDg" TargetMode="External"/><Relationship Id="rId93" Type="http://schemas.openxmlformats.org/officeDocument/2006/relationships/hyperlink" Target="../../../../../../:b:/g/personal/cristina_sugui_seletiva_ind_br/ERo-rFQYtTlFriloF4Gj-BEBMlR_HNUBWQVuzhcUeQ4o-A?e=w9EMz2" TargetMode="External"/><Relationship Id="rId98" Type="http://schemas.openxmlformats.org/officeDocument/2006/relationships/hyperlink" Target="../../../../../../:b:/g/personal/cristina_sugui_seletiva_ind_br/EYSNl8Zdw9BAkMKYqKVwlN4BoYLgl8rCoiZB9iq4CpUegQ?e=SThZXC" TargetMode="External"/><Relationship Id="rId121" Type="http://schemas.openxmlformats.org/officeDocument/2006/relationships/hyperlink" Target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42" Type="http://schemas.openxmlformats.org/officeDocument/2006/relationships/hyperlink" Target="../../../../../../:b:/g/personal/cristina_sugui_seletiva_ind_br/EXQFBG7w1NNKpwcoGHskUlwBf5k6EynwmgU2HM-1G7a9Wg?e=pUQaba" TargetMode="External"/><Relationship Id="rId163" Type="http://schemas.openxmlformats.org/officeDocument/2006/relationships/hyperlink" Target="../../../../../../:b:/r/personal/cristina_sugui_seletiva_ind_br/Documents/Controladoria/Controles%20Fiscais/NF%20Imobilizados/2025_07_16%20-%20000.009.251%20-%20HIDROEUROPA%20SL.pdf?csf=1&amp;web=1&amp;e=stArl2" TargetMode="External"/><Relationship Id="rId3" Type="http://schemas.openxmlformats.org/officeDocument/2006/relationships/hyperlink" Target="../../../../../../:b:/g/personal/cristina_sugui_seletiva_ind_br/EW1CGxHhCrNMrBA8MZmExZgBdyREaPFIX_i28KBleYrNMg?e=MPMjL2" TargetMode="External"/><Relationship Id="rId25" Type="http://schemas.openxmlformats.org/officeDocument/2006/relationships/hyperlink" Target="../../../../../../:b:/g/personal/cristina_sugui_seletiva_ind_br/EUf-oDceqvtFr8pGglH8QbABa8jA7cSg64PPwbn8VIp_Ng?e=4nYwva" TargetMode="External"/><Relationship Id="rId46" Type="http://schemas.openxmlformats.org/officeDocument/2006/relationships/hyperlink" Target="../../../../../../:b:/g/personal/cristina_sugui_seletiva_ind_br/EUihQeUxwDVOiMhqD_qZMEgBDJE7Rx5fxVayRBKXmjJa0w?e=B5yCoJ" TargetMode="External"/><Relationship Id="rId67" Type="http://schemas.openxmlformats.org/officeDocument/2006/relationships/hyperlink" Target="../../../../../../:b:/g/personal/cristina_sugui_seletiva_ind_br/EQb1bN70Zf5OtcON61iBIuEBpq8RLKJGn4voU985MvD94g?e=fXWX9b" TargetMode="External"/><Relationship Id="rId116" Type="http://schemas.openxmlformats.org/officeDocument/2006/relationships/hyperlink" Target="../../../../../..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137" Type="http://schemas.openxmlformats.org/officeDocument/2006/relationships/hyperlink" Target="../../../../../..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158" Type="http://schemas.openxmlformats.org/officeDocument/2006/relationships/hyperlink" Target="../../../../../../:b:/g/personal/cristina_sugui_seletiva_ind_br/EZzaTQ61NANOiNkI14S6a98BThwydGByh8oPjTmgV5oVQQ?e=UHQeR4" TargetMode="External"/><Relationship Id="rId20" Type="http://schemas.openxmlformats.org/officeDocument/2006/relationships/hyperlink" Target="../../../../../../:b:/g/personal/cristina_sugui_seletiva_ind_br/EXfOtJtJGPlCqLuy9lUV1c0BjYg9lu7zDG-GfArFDP_xnA?e=2ycRAr" TargetMode="External"/><Relationship Id="rId41" Type="http://schemas.openxmlformats.org/officeDocument/2006/relationships/hyperlink" Target="../../../../../../:b:/g/personal/cristina_sugui_seletiva_ind_br/EWOTW6jeYpFEm7datJw7ztUBu_tSzF2qmax63n80fgI1_A?e=bTJrJB" TargetMode="External"/><Relationship Id="rId62" Type="http://schemas.openxmlformats.org/officeDocument/2006/relationships/hyperlink" Target="../../../../../../:b:/g/personal/cristina_sugui_seletiva_ind_br/EbXb1W8-RrlNhVasdMjIXJ8BAcv38fg88IBmH7fsqXN14g?e=zuLfAi" TargetMode="External"/><Relationship Id="rId83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10%5F07%5F22%20%2D%20000%2E040%2E451%20%2D%20Ford%2Epdf&amp;parent=%2Fpersonal%2Fcristina%5Fsugui%5Fseletiva%5Find%5Fbr%2FDocuments%2FControladoria%2FControles%20Fiscais%2FNF%20Imobilizados" TargetMode="External"/><Relationship Id="rId88" Type="http://schemas.openxmlformats.org/officeDocument/2006/relationships/hyperlink" Target="../../../../../controladoria02_seletiva_ind_br/_layouts/15/onedrive.aspx?listurl=%2Fpersonal%2Fcristina%5Fsugui%5Fseletiva%5Find%5Fbr%2FDocuments&amp;id=%2Fpersonal%2Fcristina%5Fsugui%5Fseletiva%5Find%5Fbr%2FDocuments%2FControladoria%2FControles%20Fiscais%2FNF%20Imobilizados%2F2023%5F08%5F31%20%2D%20000%2E870%2E578%20%2D%20Volkswagen%2Epdf&amp;parent=%2Fpersonal%2Fcristina%5Fsugui%5Fseletiva%5Find%5Fbr%2FDocuments%2FControladoria%2FControles%20Fiscais%2FNF%20Imobilizados" TargetMode="External"/><Relationship Id="rId111" Type="http://schemas.openxmlformats.org/officeDocument/2006/relationships/hyperlink" Target="../../../../../..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32" Type="http://schemas.openxmlformats.org/officeDocument/2006/relationships/hyperlink" Target="../../../../../../:v:/g/personal/cristina_sugui_seletiva_ind_br/EYKdDXYTgntHppXGV1z4YL8BXaw4yVLJvV328Sh_EpWOhg?nav=eyJyZWZlcnJhbEluZm8iOnsicmVmZXJyYWxBcHAiOiJPbmVEcml2ZUZvckJ1c2luZXNzIiwicmVmZXJyYWxBcHBQbGF0Zm9ybSI6IldlYiIsInJlZmVycmFsTW9kZSI6InZpZXciLCJyZWZlcnJhbFZpZXciOiJNeUZpbGVzTGlua0RpcmVjdCJ9fQ&amp;e=nXkEjM" TargetMode="External"/><Relationship Id="rId153" Type="http://schemas.openxmlformats.org/officeDocument/2006/relationships/hyperlink" Target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74" Type="http://schemas.microsoft.com/office/2019/04/relationships/documenttask" Target="../documenttasks/documenttask2.xml"/><Relationship Id="rId15" Type="http://schemas.openxmlformats.org/officeDocument/2006/relationships/hyperlink" Target="../../../../../../:b:/g/personal/cristina_sugui_seletiva_ind_br/EZ5hj8OBrVdGvc_qpqrUXgcBP6q4SWWdzwJGyxIoiQVtkg?e=hzUwGb" TargetMode="External"/><Relationship Id="rId36" Type="http://schemas.openxmlformats.org/officeDocument/2006/relationships/hyperlink" Target="../../../../../../:b:/g/personal/cristina_sugui_seletiva_ind_br/EY0CLQna2H1Pj46ulwQlzj4BBVuZvAtdqkJALzIC3BNB9g?e=QmoqL0" TargetMode="External"/><Relationship Id="rId57" Type="http://schemas.openxmlformats.org/officeDocument/2006/relationships/hyperlink" Target="../../../../../../:b:/g/personal/cristina_sugui_seletiva_ind_br/Eb6oPHlXnVNFiWDnltRfPRQBnz7T6bK9T9EH1wIx5tVwEw?e=ZSFWbu" TargetMode="External"/><Relationship Id="rId106" Type="http://schemas.openxmlformats.org/officeDocument/2006/relationships/hyperlink" Target="../../../../../..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127" Type="http://schemas.openxmlformats.org/officeDocument/2006/relationships/hyperlink" Target="../../../../../../:v:/g/personal/cristina_sugui_seletiva_ind_br/EaSuVgH593VLgx4VrH-_xWYBC_QkkFFDJhPx7kKo1M03Dw?nav=eyJyZWZlcnJhbEluZm8iOnsicmVmZXJyYWxBcHAiOiJPbmVEcml2ZUZvckJ1c2luZXNzIiwicmVmZXJyYWxBcHBQbGF0Zm9ybSI6IldlYiIsInJlZmVycmFsTW9kZSI6InZpZXciLCJyZWZlcnJhbFZpZXciOiJNeUZpbGVzTGlua0RpcmVjdCJ9fQ&amp;e=AQC1k9" TargetMode="External"/><Relationship Id="rId10" Type="http://schemas.openxmlformats.org/officeDocument/2006/relationships/hyperlink" Target="../../../../../../:b:/g/personal/cristina_sugui_seletiva_ind_br/EQ8mJ_hkwdhGuLxKQIb7txoBn88SHAbYtImDqpzVfQIdxw?e=Fe9E7U" TargetMode="External"/><Relationship Id="rId31" Type="http://schemas.openxmlformats.org/officeDocument/2006/relationships/hyperlink" Target="../../../../../../:b:/g/personal/cristina_sugui_seletiva_ind_br/EUiuHjTHM25Nui0fR4X5lZ0BXMmAq9Sqjv6R9d9EJlI24w?e=kKGeEN" TargetMode="External"/><Relationship Id="rId52" Type="http://schemas.openxmlformats.org/officeDocument/2006/relationships/hyperlink" Target="../../../../../../:b:/g/personal/cristina_sugui_seletiva_ind_br/ETzk-PhJtlxAgDrrTRr8RcYB6MiDoTw8lb2AR8r-QiaXPQ?e=0cC9iY" TargetMode="External"/><Relationship Id="rId73" Type="http://schemas.openxmlformats.org/officeDocument/2006/relationships/hyperlink" Target="../../../../../../:b:/g/personal/cristina_sugui_seletiva_ind_br/EfZSaXmjSeFPiw8wtmLiMlwBQ_7ZV5-l02wiLJTXT2x0nA?e=eVrJ8x" TargetMode="External"/><Relationship Id="rId78" Type="http://schemas.openxmlformats.org/officeDocument/2006/relationships/hyperlink" Target="../../../../../controladoria02_seletiva_ind_br/_layouts/15/onedrive.aspx?listurl=%2Fpersonal%2Fcristina%5Fsugui%5Fseletiva%5Find%5Fbr%2FDocuments&amp;login_hint=controladoria02%40seletiva%2Eind%2Ebr&amp;id=%2Fpersonal%2Fcristina%5Fsugui%5Fseletiva%5Find%5Fbr%2FDocuments%2FControladoria%2FControles%20Fiscais%2FNF%20Imobilizados%2F2012%5F11%5F28%20%2D%20000%2E038%2E132%20%2D%20Laponia%2Epdf&amp;parent=%2Fpersonal%2Fcristina%5Fsugui%5Fseletiva%5Find%5Fbr%2FDocuments%2FControladoria%2FControles%20Fiscais%2FNF%20Imobilizados" TargetMode="External"/><Relationship Id="rId94" Type="http://schemas.openxmlformats.org/officeDocument/2006/relationships/hyperlink" Target="../../../../../../:b:/g/personal/cristina_sugui_seletiva_ind_br/ERo-rFQYtTlFriloF4Gj-BEBMlR_HNUBWQVuzhcUeQ4o-A?e=w9EMz2" TargetMode="External"/><Relationship Id="rId99" Type="http://schemas.openxmlformats.org/officeDocument/2006/relationships/hyperlink" Target="../../../../_layouts/15/onedrive.aspx?id=%2Fpersonal%2Fcristina%5Fsugui%5Fseletiva%5Find%5Fbr%2FDocuments%2FControladoria%2FControles%20Fiscais%2FNF%20Imobilizados%2F2023%5F09%5F26%20%2D%20000%2E520%2E275%20%2D%20Volkswagen%2Epdf&amp;parent=%2Fpersonal%2Fcristina%5Fsugui%5Fseletiva%5Find%5Fbr%2FDocuments%2FControladoria%2FControles%20Fiscais%2FNF%20Imobilizados" TargetMode="External"/><Relationship Id="rId101" Type="http://schemas.openxmlformats.org/officeDocument/2006/relationships/hyperlink" Target="../../../../../../:b:/r/personal/cristina_sugui_seletiva_ind_br/Documents/Controladoria/Controles%20Fiscais/NF%20Imobilizados/2018_08_13%20-%20000.000.070%20-%20A.S..pdf?csf=1&amp;web=1&amp;e=KsWYIm" TargetMode="External"/><Relationship Id="rId122" Type="http://schemas.openxmlformats.org/officeDocument/2006/relationships/hyperlink" Target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43" Type="http://schemas.openxmlformats.org/officeDocument/2006/relationships/hyperlink" Target="../../../../../../:f:/g/personal/cristina_sugui_seletiva_ind_br/Eg8UzdR-qK9IoLo0gBSZtr4BbutV9Boqbqnf5wz2I5gQgg?e=p1GEj2" TargetMode="External"/><Relationship Id="rId148" Type="http://schemas.openxmlformats.org/officeDocument/2006/relationships/hyperlink" Target="../../../../../../:b:/g/personal/cristina_sugui_seletiva_ind_br/EZKW2cB7nwFLsvyT-TCXe2cBwlBtJPMBUWE5Qr1SnuX_1w?e=MwHccN" TargetMode="External"/><Relationship Id="rId164" Type="http://schemas.openxmlformats.org/officeDocument/2006/relationships/hyperlink" Target="../../../../../../:b:/r/personal/cristina_sugui_seletiva_ind_br/Documents/Controladoria/Controles%20Fiscais/NF%20Imobilizados/2025_08_28%20-%20000.263.513%20-%20LAPONIA%20SUDESTE%20LTDA.pdf?csf=1&amp;web=1&amp;e=uU9SKU" TargetMode="External"/><Relationship Id="rId169" Type="http://schemas.openxmlformats.org/officeDocument/2006/relationships/hyperlink" Target="../../../../../../:b:/r/personal/cristina_sugui_seletiva_ind_br/Documents/Controladoria/Controles%20Fiscais/NF%20Imobilizados/2025_12_03%20-%20000.009.341%20-%20Hidroeuropa.pdf?csf=1&amp;web=1&amp;e=C4Uqt3" TargetMode="External"/><Relationship Id="rId4" Type="http://schemas.openxmlformats.org/officeDocument/2006/relationships/hyperlink" Target="../../../../../../:b:/g/personal/cristina_sugui_seletiva_ind_br/EWlRzt9HadNHv5Dn8x4kZZMBSk5684T8wXeL14zqNDAL_g?e=XSfz2H" TargetMode="External"/><Relationship Id="rId9" Type="http://schemas.openxmlformats.org/officeDocument/2006/relationships/hyperlink" Target="../../../../../../:b:/g/personal/cristina_sugui_seletiva_ind_br/EbWQTDkGG5lFtZDbnnLl7JMBgnJ9C-b6YMyBsRh3D-aLiw?e=XtMyka" TargetMode="External"/><Relationship Id="rId26" Type="http://schemas.openxmlformats.org/officeDocument/2006/relationships/hyperlink" Target="../../../../../../:b:/g/personal/cristina_sugui_seletiva_ind_br/ETEtWCc0HwZHlIqgQS6w7XEBuYDB2Q88j_HJF03k4gUX4Q?e=kGHvei" TargetMode="External"/><Relationship Id="rId47" Type="http://schemas.openxmlformats.org/officeDocument/2006/relationships/hyperlink" Target="../../../../../../:b:/g/personal/cristina_sugui_seletiva_ind_br/Ee0Wo45ytAdIry1FUU8ocEQBzlFqPjaVBBGzvbUh3ONCaA?e=FlDVEe" TargetMode="External"/><Relationship Id="rId68" Type="http://schemas.openxmlformats.org/officeDocument/2006/relationships/hyperlink" Target="../../../../../../:b:/g/personal/cristina_sugui_seletiva_ind_br/EfEktxkd2FBOl_vqpPJZhTEBlgTbmvoA5toml1UBJeQfgw?e=SSelBH" TargetMode="External"/><Relationship Id="rId89" Type="http://schemas.openxmlformats.org/officeDocument/2006/relationships/hyperlink" Target="../../../../_layouts/15/onedrive.aspx?id=%2Fpersonal%2Fcristina%5Fsugui%5Fseletiva%5Find%5Fbr%2FDocuments%2FControladoria%2FControles%20Fiscais%2FNF%20Imobilizados%2F2022%5F06%5F23%20000%2E004%2E804%20%2D%20AMBIENTAL%20COMERCIO%2Epdf&amp;parent=%2Fpersonal%2Fcristina%5Fsugui%5Fseletiva%5Find%5Fbr%2FDocuments%2FControladoria%2FControles%20Fiscais%2FNF%20Imobilizados" TargetMode="External"/><Relationship Id="rId112" Type="http://schemas.openxmlformats.org/officeDocument/2006/relationships/hyperlink" Target="../../../../../..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33" Type="http://schemas.openxmlformats.org/officeDocument/2006/relationships/hyperlink" Target="../../../../../../:v:/g/personal/cristina_sugui_seletiva_ind_br/EcCR_OrPOkdKqjOB498ixLABQNDs5KP4byzf-vVYBvEikQ?nav=eyJyZWZlcnJhbEluZm8iOnsicmVmZXJyYWxBcHAiOiJPbmVEcml2ZUZvckJ1c2luZXNzIiwicmVmZXJyYWxBcHBQbGF0Zm9ybSI6IldlYiIsInJlZmVycmFsTW9kZSI6InZpZXciLCJyZWZlcnJhbFZpZXciOiJNeUZpbGVzTGlua0RpcmVjdCJ9fQ&amp;e=47iDUl" TargetMode="External"/><Relationship Id="rId154" Type="http://schemas.openxmlformats.org/officeDocument/2006/relationships/hyperlink" Target="../../../../../..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6" Type="http://schemas.openxmlformats.org/officeDocument/2006/relationships/hyperlink" Target="../../../../../../:b:/g/personal/cristina_sugui_seletiva_ind_br/EcL3-v4etuFLo_0R6Nn4s2UBgmpuy6f9019lG6FpeArokA?e=2LWY8n" TargetMode="External"/><Relationship Id="rId37" Type="http://schemas.openxmlformats.org/officeDocument/2006/relationships/hyperlink" Target="../../../../../../:b:/g/personal/cristina_sugui_seletiva_ind_br/EfIdI99N5QxAn2B-9fYwhoUBCny3LnR-JMnPjNTni2S_tg?e=CyGM7x" TargetMode="External"/><Relationship Id="rId58" Type="http://schemas.openxmlformats.org/officeDocument/2006/relationships/hyperlink" Target="../../../../../../:b:/g/personal/cristina_sugui_seletiva_ind_br/EXN2occ90bRAsTAVBkP8hgEBbeU6yGdWgp-MOcYeORg9Cw?e=nX9TjY" TargetMode="External"/><Relationship Id="rId79" Type="http://schemas.openxmlformats.org/officeDocument/2006/relationships/hyperlink" Target="../../../../../../:b:/g/personal/cristina_sugui_seletiva_ind_br/EX5XZURTODNPiMpNctqEXq4B0chTI3tn0VYKt1QARSf31A?e=7d3ROj" TargetMode="External"/><Relationship Id="rId102" Type="http://schemas.openxmlformats.org/officeDocument/2006/relationships/hyperlink" Target="../../../../../../:b:/r/personal/cristina_sugui_seletiva_ind_br/Documents/Controladoria/Controles%20Fiscais/NF%20Imobilizados/2018_08_13%20-%20000.000.070%20-%20A.S..pdf?csf=1&amp;web=1&amp;e=KsWYIm" TargetMode="External"/><Relationship Id="rId123" Type="http://schemas.openxmlformats.org/officeDocument/2006/relationships/hyperlink" Target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44" Type="http://schemas.openxmlformats.org/officeDocument/2006/relationships/hyperlink" Target="../../../../../../:b:/r/personal/cristina_sugui_seletiva_ind_br/Documents/Controladoria/Controles%20Fiscais/NF%20Imobilizados/2010-02-19%20NF%20000.030.547%20-%20FORD%20MOTOR%20COMPANY.pdf?csf=1&amp;web=1&amp;e=X0wiGb" TargetMode="External"/><Relationship Id="rId90" Type="http://schemas.openxmlformats.org/officeDocument/2006/relationships/hyperlink" Target="../../../../_layouts/15/onedrive.aspx?id=%2Fpersonal%2Fcristina%5Fsugui%5Fseletiva%5Find%5Fbr%2FDocuments%2FControladoria%2FControles%20Fiscais%2FNF%20Imobilizados%2F2018%5F06%5F26%20%2D%20000%2E020%2E829%20%2D%20Hyundai%2Epdf&amp;parent=%2Fpersonal%2Fcristina%5Fsugui%5Fseletiva%5Find%5Fbr%2FDocuments%2FControladoria%2FControles%20Fiscais%2FNF%20Imobilizados" TargetMode="External"/><Relationship Id="rId165" Type="http://schemas.openxmlformats.org/officeDocument/2006/relationships/hyperlink" Target="../../../../../../:b:/r/personal/cristina_sugui_seletiva_ind_br/Documents/Controladoria/Bens/M%C3%B3veis/Liebherr/EHL0070%20-%20LH30M/DANFE_36166_Liebherr%20Brasil_2025_10_15.pdf?csf=1&amp;web=1&amp;e=3LOatL" TargetMode="External"/><Relationship Id="rId27" Type="http://schemas.openxmlformats.org/officeDocument/2006/relationships/hyperlink" Target="../../../../../../:b:/g/personal/cristina_sugui_seletiva_ind_br/EYM3r9_H0uREgWZXv0_TQ4EBn4n47ZcR5BBoPRbALFUVtg?e=yOgaDB" TargetMode="External"/><Relationship Id="rId48" Type="http://schemas.openxmlformats.org/officeDocument/2006/relationships/hyperlink" Target="../../../../../../:b:/r/personal/cristina_sugui_seletiva_ind_br/Documents/Controladoria/Controles%20Fiscais/NF%20Imobilizados/2023_09_25%20-%20000.879.586%20-%20VOLKSWAGEN.pdf?csf=1&amp;web=1&amp;e=Bayyl9" TargetMode="External"/><Relationship Id="rId69" Type="http://schemas.openxmlformats.org/officeDocument/2006/relationships/hyperlink" Target="../../../../../../:b:/g/personal/cristina_sugui_seletiva_ind_br/ERWgzsPwF05Is_RGiFz2EMoBJmJwfo4cuLzG6gP-w3NZsg?e=v1E3uh" TargetMode="External"/><Relationship Id="rId113" Type="http://schemas.openxmlformats.org/officeDocument/2006/relationships/hyperlink" Target="../../../../../..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34" Type="http://schemas.openxmlformats.org/officeDocument/2006/relationships/hyperlink" Target="../../../../../../:v:/g/personal/cristina_sugui_seletiva_ind_br/EfREh-3_c11LqpP_AoVJ8PoBg_kaBK2UZt_Ed6j_YX-9Uw?nav=eyJyZWZlcnJhbEluZm8iOnsicmVmZXJyYWxBcHAiOiJPbmVEcml2ZUZvckJ1c2luZXNzIiwicmVmZXJyYWxBcHBQbGF0Zm9ybSI6IldlYiIsInJlZmVycmFsTW9kZSI6InZpZXciLCJyZWZlcnJhbFZpZXciOiJNeUZpbGVzTGlua0RpcmVjdCJ9fQ&amp;e=EAafVc" TargetMode="External"/><Relationship Id="rId80" Type="http://schemas.openxmlformats.org/officeDocument/2006/relationships/hyperlink" Target="../../../../../../:b:/g/personal/cristina_sugui_seletiva_ind_br/Ecqahc3-_fFAoFRz0gP9q-AB7Wy8yCJMNYtDcNy_2LDkPw?e=s3cKlL" TargetMode="External"/><Relationship Id="rId155" Type="http://schemas.openxmlformats.org/officeDocument/2006/relationships/hyperlink" Target="../../../../../../:b:/r/personal/cristina_sugui_seletiva_ind_br/Documents/Controladoria/Controles%20Fiscais/NF%20Imobilizados/2011_07_29%20-%20000.005.850%20-%20Toyota.pdf?csf=1&amp;web=1&amp;e=YQTWjS" TargetMode="External"/><Relationship Id="rId17" Type="http://schemas.openxmlformats.org/officeDocument/2006/relationships/hyperlink" Target="../../../../../../:b:/g/personal/cristina_sugui_seletiva_ind_br/EYKmYteB2thIlTaweN1Vr4EBZnRGd99GHq-8CL1wT8mZtg?e=54o91r" TargetMode="External"/><Relationship Id="rId38" Type="http://schemas.openxmlformats.org/officeDocument/2006/relationships/hyperlink" Target="../../../../../../:b:/g/personal/cristina_sugui_seletiva_ind_br/EZ18KDPKm39PrJjzYEFi_BwBloCJwlYxFStEEEDtH9Zw9Q?e=M9DL4L" TargetMode="External"/><Relationship Id="rId59" Type="http://schemas.openxmlformats.org/officeDocument/2006/relationships/hyperlink" Target="../../../../../../:b:/g/personal/cristina_sugui_seletiva_ind_br/ESNJbB3NVcJMoVMmQrksKMYBmd78_uXkerWXS2rmERdlNA?e=lNOTOQ" TargetMode="External"/><Relationship Id="rId103" Type="http://schemas.openxmlformats.org/officeDocument/2006/relationships/hyperlink" Target="../../../../../../:b:/r/personal/cristina_sugui_seletiva_ind_br/Documents/Controladoria/Controles%20Fiscais/NF%20Imobilizados/2018_08_13%20-%20000.000.070%20-%20A.S..pdf?csf=1&amp;web=1&amp;e=KsWYIm" TargetMode="External"/><Relationship Id="rId124" Type="http://schemas.openxmlformats.org/officeDocument/2006/relationships/hyperlink" Target="../../../../../../:v:/g/personal/cristina_sugui_seletiva_ind_br/Ed3KaneUI1BKieZJm6y5FNcB4RTaknKup8UhZHyD6pe8-g?nav=eyJyZWZlcnJhbEluZm8iOnsicmVmZXJyYWxBcHAiOiJPbmVEcml2ZUZvckJ1c2luZXNzIiwicmVmZXJyYWxBcHBQbGF0Zm9ybSI6IldlYiIsInJlZmVycmFsTW9kZSI6InZpZXciLCJyZWZlcnJhbFZpZXciOiJNeUZpbGVzTGlua0RpcmVjdCJ9fQ&amp;e=uGforQ" TargetMode="External"/><Relationship Id="rId70" Type="http://schemas.openxmlformats.org/officeDocument/2006/relationships/hyperlink" Target="../../../../../../:b:/g/personal/cristina_sugui_seletiva_ind_br/EUx_JMYEABRBsvnGMCjrovMBuj8Vq-xJcg38sK9hzVi9UA?e=BEcHdE" TargetMode="External"/><Relationship Id="rId91" Type="http://schemas.openxmlformats.org/officeDocument/2006/relationships/hyperlink" Target="../../../../_layouts/15/onedrive.aspx?id=%2Fpersonal%2Fcristina%5Fsugui%5Fseletiva%5Find%5Fbr%2FDocuments%2FControladoria%2FControles%20Fiscais%2FNF%20Imobilizados%2F2021%5F03%5F22%20%2D%20000%2E087%2E244%20%2D%20BMC%20MAQUINAS%2Epdf&amp;parent=%2Fpersonal%2Fcristina%5Fsugui%5Fseletiva%5Find%5Fbr%2FDocuments%2FControladoria%2FControles%20Fiscais%2FNF%20Imobilizados" TargetMode="External"/><Relationship Id="rId145" Type="http://schemas.openxmlformats.org/officeDocument/2006/relationships/hyperlink" Target="../../../../../../:b:/g/personal/cristina_sugui_seletiva_ind_br/EfREBWwqgmBBj-rLKbnvcfkBapG-q00n0aNFKGwB2AcVXQ?e=HhxM9M" TargetMode="External"/><Relationship Id="rId166" Type="http://schemas.openxmlformats.org/officeDocument/2006/relationships/hyperlink" Target="../../../../../../:b:/r/personal/cristina_sugui_seletiva_ind_br/Documents/Controladoria/Controles%20Fiscais/NF%20Imobilizados/2025_10_15%20-%20000.036.166%20-%20Liebherr%20Brasil.pdf?csf=1&amp;web=1&amp;e=mNc0z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AE04-673A-4EAE-BEEF-AB8E8E8EAFF7}">
  <dimension ref="A1:AJ6"/>
  <sheetViews>
    <sheetView tabSelected="1" workbookViewId="0">
      <selection activeCell="A3" sqref="A3"/>
    </sheetView>
  </sheetViews>
  <sheetFormatPr defaultRowHeight="15" x14ac:dyDescent="0.25"/>
  <cols>
    <col min="1" max="1" width="14.5703125" customWidth="1"/>
    <col min="2" max="2" width="23.85546875" bestFit="1" customWidth="1"/>
    <col min="3" max="3" width="18.85546875" bestFit="1" customWidth="1"/>
    <col min="4" max="4" width="10.42578125" customWidth="1"/>
    <col min="5" max="5" width="23.85546875" bestFit="1" customWidth="1"/>
    <col min="6" max="6" width="21.85546875" customWidth="1"/>
    <col min="7" max="7" width="32" bestFit="1" customWidth="1"/>
    <col min="8" max="8" width="23.85546875" bestFit="1" customWidth="1"/>
    <col min="9" max="9" width="18.85546875" bestFit="1" customWidth="1"/>
    <col min="10" max="10" width="8" bestFit="1" customWidth="1"/>
    <col min="11" max="11" width="23.85546875" bestFit="1" customWidth="1"/>
    <col min="12" max="12" width="18.85546875" bestFit="1" customWidth="1"/>
    <col min="13" max="13" width="8" bestFit="1" customWidth="1"/>
    <col min="14" max="14" width="9" bestFit="1" customWidth="1"/>
    <col min="15" max="15" width="12.140625" bestFit="1" customWidth="1"/>
    <col min="16" max="16" width="7.28515625" bestFit="1" customWidth="1"/>
    <col min="17" max="17" width="19" bestFit="1" customWidth="1"/>
    <col min="20" max="20" width="9.5703125" bestFit="1" customWidth="1"/>
    <col min="21" max="21" width="12.5703125" bestFit="1" customWidth="1"/>
    <col min="22" max="22" width="13.7109375" bestFit="1" customWidth="1"/>
    <col min="23" max="23" width="13.5703125" bestFit="1" customWidth="1"/>
    <col min="24" max="24" width="9" bestFit="1" customWidth="1"/>
    <col min="25" max="25" width="19" bestFit="1" customWidth="1"/>
    <col min="26" max="26" width="27.85546875" bestFit="1" customWidth="1"/>
    <col min="27" max="27" width="22.85546875" bestFit="1" customWidth="1"/>
    <col min="28" max="28" width="8.5703125" bestFit="1" customWidth="1"/>
    <col min="29" max="29" width="9.85546875" bestFit="1" customWidth="1"/>
    <col min="30" max="30" width="18.7109375" bestFit="1" customWidth="1"/>
    <col min="31" max="31" width="15.7109375" bestFit="1" customWidth="1"/>
    <col min="32" max="33" width="40.28515625" bestFit="1" customWidth="1"/>
    <col min="34" max="35" width="11.85546875" bestFit="1" customWidth="1"/>
    <col min="36" max="36" width="21.85546875" bestFit="1" customWidth="1"/>
  </cols>
  <sheetData>
    <row r="1" spans="1:36" ht="15.75" x14ac:dyDescent="0.25">
      <c r="A1" s="1" t="s">
        <v>171</v>
      </c>
      <c r="B1" s="2" t="s">
        <v>0</v>
      </c>
      <c r="C1" s="3" t="s">
        <v>1</v>
      </c>
      <c r="D1" s="4" t="s">
        <v>2</v>
      </c>
      <c r="E1" s="3" t="s">
        <v>3</v>
      </c>
      <c r="F1" s="5" t="s">
        <v>4</v>
      </c>
      <c r="G1" s="4" t="s">
        <v>5</v>
      </c>
      <c r="H1" s="3" t="s">
        <v>6</v>
      </c>
      <c r="I1" s="5" t="s">
        <v>7</v>
      </c>
      <c r="J1" s="6" t="s">
        <v>8</v>
      </c>
      <c r="K1" s="7" t="s">
        <v>9</v>
      </c>
      <c r="L1" s="8" t="s">
        <v>10</v>
      </c>
      <c r="M1" s="6" t="s">
        <v>11</v>
      </c>
      <c r="N1" s="9" t="s">
        <v>170</v>
      </c>
      <c r="O1" s="3" t="s">
        <v>12</v>
      </c>
      <c r="P1" s="10" t="s">
        <v>13</v>
      </c>
      <c r="Q1" s="4" t="s">
        <v>14</v>
      </c>
      <c r="R1" s="11" t="s">
        <v>15</v>
      </c>
      <c r="S1" s="12" t="s">
        <v>16</v>
      </c>
      <c r="T1" s="13" t="s">
        <v>17</v>
      </c>
      <c r="U1" s="14" t="s">
        <v>18</v>
      </c>
      <c r="V1" s="15" t="s">
        <v>19</v>
      </c>
      <c r="W1" s="16" t="s">
        <v>20</v>
      </c>
      <c r="X1" s="17" t="s">
        <v>21</v>
      </c>
      <c r="Y1" s="18" t="s">
        <v>22</v>
      </c>
      <c r="Z1" s="4" t="s">
        <v>23</v>
      </c>
      <c r="AA1" s="19" t="s">
        <v>24</v>
      </c>
      <c r="AB1" s="20" t="s">
        <v>25</v>
      </c>
      <c r="AC1" s="2" t="s">
        <v>26</v>
      </c>
      <c r="AD1" s="4" t="s">
        <v>27</v>
      </c>
      <c r="AE1" s="21" t="s">
        <v>28</v>
      </c>
      <c r="AF1" s="22" t="s">
        <v>29</v>
      </c>
      <c r="AG1" s="22" t="s">
        <v>30</v>
      </c>
      <c r="AH1" s="23" t="s">
        <v>31</v>
      </c>
      <c r="AI1" s="23" t="s">
        <v>32</v>
      </c>
      <c r="AJ1" s="24" t="s">
        <v>33</v>
      </c>
    </row>
    <row r="2" spans="1:36" ht="15.75" x14ac:dyDescent="0.25">
      <c r="A2" s="54" t="s">
        <v>172</v>
      </c>
      <c r="B2" s="55" t="s">
        <v>173</v>
      </c>
      <c r="C2" s="56" t="s">
        <v>172</v>
      </c>
      <c r="D2" s="57" t="s">
        <v>174</v>
      </c>
      <c r="E2" s="55" t="s">
        <v>175</v>
      </c>
      <c r="F2" s="58" t="s">
        <v>176</v>
      </c>
      <c r="G2" s="59" t="s">
        <v>177</v>
      </c>
      <c r="H2" s="55" t="s">
        <v>178</v>
      </c>
      <c r="I2" s="58" t="s">
        <v>179</v>
      </c>
      <c r="J2" s="57" t="s">
        <v>180</v>
      </c>
      <c r="K2" s="60" t="s">
        <v>178</v>
      </c>
      <c r="L2" s="61" t="s">
        <v>179</v>
      </c>
      <c r="M2" s="62" t="s">
        <v>180</v>
      </c>
      <c r="N2" s="63" t="s">
        <v>181</v>
      </c>
      <c r="O2" s="64" t="s">
        <v>182</v>
      </c>
      <c r="P2" s="65" t="s">
        <v>183</v>
      </c>
      <c r="Q2" s="59" t="s">
        <v>184</v>
      </c>
      <c r="R2" s="66" t="s">
        <v>185</v>
      </c>
      <c r="S2" s="67" t="s">
        <v>186</v>
      </c>
      <c r="T2" s="68">
        <v>438</v>
      </c>
      <c r="U2" s="69">
        <v>438</v>
      </c>
      <c r="V2" s="70">
        <v>438</v>
      </c>
      <c r="W2" s="71" t="s">
        <v>187</v>
      </c>
      <c r="X2" s="72">
        <v>45658</v>
      </c>
      <c r="Y2" s="73">
        <v>45672</v>
      </c>
      <c r="Z2" s="74">
        <v>11140</v>
      </c>
      <c r="AA2" s="75" t="s">
        <v>188</v>
      </c>
      <c r="AB2" s="76" t="s">
        <v>189</v>
      </c>
      <c r="AC2" s="77" t="s">
        <v>190</v>
      </c>
      <c r="AD2" s="71"/>
      <c r="AE2" s="78">
        <v>-438</v>
      </c>
      <c r="AF2" s="79" t="str">
        <f>IFERROR(VLOOKUP(Q2,[3]QUEBRAS!B:D,2,FALSE),"-")</f>
        <v>-</v>
      </c>
      <c r="AG2" s="79" t="str">
        <f>IFERROR(VLOOKUP(Q2,[3]QUEBRAS!B:D,3,FALSE),"-")</f>
        <v>-</v>
      </c>
      <c r="AH2" s="80" t="str">
        <f>IFERROR(VLOOKUP(Q2,'[3]De-Para'!#REF!,4,FALSE),"-")</f>
        <v>-</v>
      </c>
      <c r="AI2" s="80" t="str">
        <f>IFERROR(VLOOKUP(Q2,'[3]De-Para'!#REF!,5,FALSE),"-")</f>
        <v>-</v>
      </c>
      <c r="AJ2" s="81" t="e">
        <f>VLOOKUP(AI2,'[3]De-Para'!$E:$F,2,FALSE)</f>
        <v>#N/A</v>
      </c>
    </row>
    <row r="3" spans="1:36" ht="15.75" x14ac:dyDescent="0.25">
      <c r="A3" s="54" t="s">
        <v>191</v>
      </c>
      <c r="B3" s="55" t="s">
        <v>192</v>
      </c>
      <c r="C3" s="56" t="s">
        <v>191</v>
      </c>
      <c r="D3" s="57" t="s">
        <v>193</v>
      </c>
      <c r="E3" s="55" t="s">
        <v>194</v>
      </c>
      <c r="F3" s="58" t="s">
        <v>195</v>
      </c>
      <c r="G3" s="59" t="s">
        <v>196</v>
      </c>
      <c r="H3" s="55" t="s">
        <v>197</v>
      </c>
      <c r="I3" s="58" t="s">
        <v>179</v>
      </c>
      <c r="J3" s="57" t="s">
        <v>198</v>
      </c>
      <c r="K3" s="60" t="s">
        <v>197</v>
      </c>
      <c r="L3" s="61" t="s">
        <v>179</v>
      </c>
      <c r="M3" s="62" t="s">
        <v>198</v>
      </c>
      <c r="N3" s="63"/>
      <c r="O3" s="64" t="s">
        <v>182</v>
      </c>
      <c r="P3" s="82" t="s">
        <v>183</v>
      </c>
      <c r="Q3" s="59" t="s">
        <v>184</v>
      </c>
      <c r="R3" s="66" t="s">
        <v>199</v>
      </c>
      <c r="S3" s="67" t="s">
        <v>200</v>
      </c>
      <c r="T3" s="68">
        <v>580</v>
      </c>
      <c r="U3" s="69">
        <v>580</v>
      </c>
      <c r="V3" s="70">
        <v>580</v>
      </c>
      <c r="W3" s="71" t="s">
        <v>201</v>
      </c>
      <c r="X3" s="72">
        <v>45658</v>
      </c>
      <c r="Y3" s="73">
        <v>45658</v>
      </c>
      <c r="Z3" s="74">
        <v>11141</v>
      </c>
      <c r="AA3" s="75" t="s">
        <v>202</v>
      </c>
      <c r="AB3" s="76" t="s">
        <v>189</v>
      </c>
      <c r="AC3" s="77" t="s">
        <v>190</v>
      </c>
      <c r="AD3" s="71"/>
      <c r="AE3" s="78">
        <v>-580</v>
      </c>
      <c r="AF3" s="79" t="str">
        <f>IFERROR(VLOOKUP(Q3,[3]QUEBRAS!B:D,2,FALSE),"-")</f>
        <v>-</v>
      </c>
      <c r="AG3" s="79" t="str">
        <f>IFERROR(VLOOKUP(Q3,[3]QUEBRAS!B:D,3,FALSE),"-")</f>
        <v>-</v>
      </c>
      <c r="AH3" s="80" t="str">
        <f>IFERROR(VLOOKUP(Q3,'[3]De-Para'!#REF!,4,FALSE),"-")</f>
        <v>-</v>
      </c>
      <c r="AI3" s="80" t="str">
        <f>IFERROR(VLOOKUP(Q3,'[3]De-Para'!#REF!,5,FALSE),"-")</f>
        <v>-</v>
      </c>
      <c r="AJ3" s="81" t="e">
        <f>VLOOKUP(AI3,'[3]De-Para'!$E:$F,2,FALSE)</f>
        <v>#N/A</v>
      </c>
    </row>
    <row r="4" spans="1:36" ht="15.75" x14ac:dyDescent="0.25">
      <c r="A4" s="54" t="s">
        <v>191</v>
      </c>
      <c r="B4" s="55" t="s">
        <v>192</v>
      </c>
      <c r="C4" s="56" t="s">
        <v>191</v>
      </c>
      <c r="D4" s="57" t="s">
        <v>193</v>
      </c>
      <c r="E4" s="55" t="s">
        <v>194</v>
      </c>
      <c r="F4" s="58" t="s">
        <v>195</v>
      </c>
      <c r="G4" s="59" t="s">
        <v>196</v>
      </c>
      <c r="H4" s="55" t="s">
        <v>197</v>
      </c>
      <c r="I4" s="58" t="s">
        <v>179</v>
      </c>
      <c r="J4" s="57" t="s">
        <v>198</v>
      </c>
      <c r="K4" s="60" t="s">
        <v>197</v>
      </c>
      <c r="L4" s="61" t="s">
        <v>179</v>
      </c>
      <c r="M4" s="62" t="s">
        <v>198</v>
      </c>
      <c r="N4" s="63"/>
      <c r="O4" s="64" t="s">
        <v>182</v>
      </c>
      <c r="P4" s="65" t="s">
        <v>183</v>
      </c>
      <c r="Q4" s="59" t="s">
        <v>184</v>
      </c>
      <c r="R4" s="66" t="s">
        <v>199</v>
      </c>
      <c r="S4" s="67" t="s">
        <v>203</v>
      </c>
      <c r="T4" s="68">
        <v>80</v>
      </c>
      <c r="U4" s="69">
        <v>80</v>
      </c>
      <c r="V4" s="70">
        <v>80</v>
      </c>
      <c r="W4" s="71" t="s">
        <v>204</v>
      </c>
      <c r="X4" s="72">
        <v>45658</v>
      </c>
      <c r="Y4" s="73">
        <v>45658</v>
      </c>
      <c r="Z4" s="74">
        <v>9932</v>
      </c>
      <c r="AA4" s="75" t="s">
        <v>205</v>
      </c>
      <c r="AB4" s="76" t="s">
        <v>189</v>
      </c>
      <c r="AC4" s="77" t="s">
        <v>190</v>
      </c>
      <c r="AD4" s="71"/>
      <c r="AE4" s="78">
        <v>-80</v>
      </c>
      <c r="AF4" s="79" t="str">
        <f>IFERROR(VLOOKUP(Q4,[3]QUEBRAS!B:D,2,FALSE),"-")</f>
        <v>-</v>
      </c>
      <c r="AG4" s="79" t="str">
        <f>IFERROR(VLOOKUP(Q4,[3]QUEBRAS!B:D,3,FALSE),"-")</f>
        <v>-</v>
      </c>
      <c r="AH4" s="80" t="str">
        <f>IFERROR(VLOOKUP(Q4,'[3]De-Para'!#REF!,4,FALSE),"-")</f>
        <v>-</v>
      </c>
      <c r="AI4" s="80" t="str">
        <f>IFERROR(VLOOKUP(Q4,'[3]De-Para'!#REF!,5,FALSE),"-")</f>
        <v>-</v>
      </c>
      <c r="AJ4" s="81" t="e">
        <f>VLOOKUP(AI4,'[3]De-Para'!$E:$F,2,FALSE)</f>
        <v>#N/A</v>
      </c>
    </row>
    <row r="5" spans="1:36" ht="15.75" x14ac:dyDescent="0.25">
      <c r="A5" s="54" t="s">
        <v>172</v>
      </c>
      <c r="B5" s="55" t="s">
        <v>173</v>
      </c>
      <c r="C5" s="56" t="s">
        <v>172</v>
      </c>
      <c r="D5" s="57" t="s">
        <v>174</v>
      </c>
      <c r="E5" s="55" t="s">
        <v>175</v>
      </c>
      <c r="F5" s="58" t="s">
        <v>176</v>
      </c>
      <c r="G5" s="59" t="s">
        <v>177</v>
      </c>
      <c r="H5" s="55" t="s">
        <v>178</v>
      </c>
      <c r="I5" s="58" t="s">
        <v>179</v>
      </c>
      <c r="J5" s="57" t="s">
        <v>180</v>
      </c>
      <c r="K5" s="60" t="s">
        <v>178</v>
      </c>
      <c r="L5" s="61" t="s">
        <v>179</v>
      </c>
      <c r="M5" s="62" t="s">
        <v>180</v>
      </c>
      <c r="N5" s="63"/>
      <c r="O5" s="64" t="s">
        <v>206</v>
      </c>
      <c r="P5" s="65" t="s">
        <v>207</v>
      </c>
      <c r="Q5" s="59" t="s">
        <v>208</v>
      </c>
      <c r="R5" s="66" t="s">
        <v>209</v>
      </c>
      <c r="S5" s="67" t="s">
        <v>210</v>
      </c>
      <c r="T5" s="68">
        <v>1226</v>
      </c>
      <c r="U5" s="69">
        <v>1226</v>
      </c>
      <c r="V5" s="70">
        <v>1226</v>
      </c>
      <c r="W5" s="71" t="s">
        <v>211</v>
      </c>
      <c r="X5" s="72">
        <v>45658</v>
      </c>
      <c r="Y5" s="73">
        <v>45672</v>
      </c>
      <c r="Z5" s="74"/>
      <c r="AA5" s="75" t="s">
        <v>212</v>
      </c>
      <c r="AB5" s="76" t="s">
        <v>189</v>
      </c>
      <c r="AC5" s="77" t="s">
        <v>213</v>
      </c>
      <c r="AD5" s="71" t="s">
        <v>214</v>
      </c>
      <c r="AE5" s="78">
        <v>-1226</v>
      </c>
      <c r="AF5" s="79" t="str">
        <f>IFERROR(VLOOKUP(Q5,[3]QUEBRAS!B:D,2,FALSE),"-")</f>
        <v>-</v>
      </c>
      <c r="AG5" s="79" t="str">
        <f>IFERROR(VLOOKUP(Q5,[3]QUEBRAS!B:D,3,FALSE),"-")</f>
        <v>-</v>
      </c>
      <c r="AH5" s="80" t="str">
        <f>IFERROR(VLOOKUP(Q5,'[3]De-Para'!#REF!,4,FALSE),"-")</f>
        <v>-</v>
      </c>
      <c r="AI5" s="80" t="str">
        <f>IFERROR(VLOOKUP(Q5,'[3]De-Para'!#REF!,5,FALSE),"-")</f>
        <v>-</v>
      </c>
      <c r="AJ5" s="81" t="e">
        <f>VLOOKUP(AI5,'[3]De-Para'!$E:$F,2,FALSE)</f>
        <v>#N/A</v>
      </c>
    </row>
    <row r="6" spans="1:36" ht="15.75" x14ac:dyDescent="0.25">
      <c r="A6" s="54" t="s">
        <v>191</v>
      </c>
      <c r="B6" s="55" t="s">
        <v>192</v>
      </c>
      <c r="C6" s="56" t="s">
        <v>191</v>
      </c>
      <c r="D6" s="57" t="s">
        <v>193</v>
      </c>
      <c r="E6" s="55" t="s">
        <v>215</v>
      </c>
      <c r="F6" s="58" t="s">
        <v>176</v>
      </c>
      <c r="G6" s="59" t="s">
        <v>216</v>
      </c>
      <c r="H6" s="55" t="s">
        <v>217</v>
      </c>
      <c r="I6" s="58" t="s">
        <v>179</v>
      </c>
      <c r="J6" s="57" t="s">
        <v>218</v>
      </c>
      <c r="K6" s="60" t="s">
        <v>217</v>
      </c>
      <c r="L6" s="61" t="s">
        <v>179</v>
      </c>
      <c r="M6" s="62" t="s">
        <v>218</v>
      </c>
      <c r="N6" s="63"/>
      <c r="O6" s="64" t="s">
        <v>219</v>
      </c>
      <c r="P6" s="65" t="s">
        <v>220</v>
      </c>
      <c r="Q6" s="59" t="s">
        <v>221</v>
      </c>
      <c r="R6" s="66" t="s">
        <v>185</v>
      </c>
      <c r="S6" s="67" t="s">
        <v>222</v>
      </c>
      <c r="T6" s="68">
        <v>1810</v>
      </c>
      <c r="U6" s="69">
        <v>1810</v>
      </c>
      <c r="V6" s="70">
        <v>1810</v>
      </c>
      <c r="W6" s="71" t="s">
        <v>223</v>
      </c>
      <c r="X6" s="72">
        <v>45658</v>
      </c>
      <c r="Y6" s="73">
        <v>45663</v>
      </c>
      <c r="Z6" s="74">
        <v>6803</v>
      </c>
      <c r="AA6" s="83" t="s">
        <v>224</v>
      </c>
      <c r="AB6" s="76" t="s">
        <v>189</v>
      </c>
      <c r="AC6" s="77" t="s">
        <v>190</v>
      </c>
      <c r="AD6" s="71"/>
      <c r="AE6" s="78">
        <v>-1810</v>
      </c>
      <c r="AF6" s="79" t="str">
        <f>IFERROR(VLOOKUP(Q6,[3]QUEBRAS!B:D,2,FALSE),"-")</f>
        <v>-</v>
      </c>
      <c r="AG6" s="79" t="str">
        <f>IFERROR(VLOOKUP(Q6,[3]QUEBRAS!B:D,3,FALSE),"-")</f>
        <v>-</v>
      </c>
      <c r="AH6" s="80" t="str">
        <f>IFERROR(VLOOKUP(Q6,'[3]De-Para'!#REF!,4,FALSE),"-")</f>
        <v>-</v>
      </c>
      <c r="AI6" s="80" t="str">
        <f>IFERROR(VLOOKUP(Q6,'[3]De-Para'!#REF!,5,FALSE),"-")</f>
        <v>-</v>
      </c>
      <c r="AJ6" s="81" t="e">
        <f>VLOOKUP(AI6,'[3]De-Para'!$E:$F,2,FALSE)</f>
        <v>#N/A</v>
      </c>
    </row>
  </sheetData>
  <dataValidations count="1">
    <dataValidation type="list" allowBlank="1" showInputMessage="1" showErrorMessage="1" sqref="N2:N6" xr:uid="{7FED5D10-148D-4F38-ABC2-2B4992E14E9F}">
      <formula1>"CAMINHOES,MAQUINAS,JULIETAS,CAÇAMBAS"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918B-FB03-4951-82D4-BB49E351E013}">
  <dimension ref="A1:AC45"/>
  <sheetViews>
    <sheetView topLeftCell="D1" workbookViewId="0">
      <selection activeCell="L10" sqref="L10"/>
    </sheetView>
  </sheetViews>
  <sheetFormatPr defaultRowHeight="15" x14ac:dyDescent="0.25"/>
  <cols>
    <col min="3" max="4" width="25.5703125" bestFit="1" customWidth="1"/>
    <col min="9" max="9" width="15.7109375" customWidth="1"/>
    <col min="10" max="10" width="17.85546875" customWidth="1"/>
    <col min="12" max="12" width="65.7109375" bestFit="1" customWidth="1"/>
    <col min="13" max="13" width="15.5703125" bestFit="1" customWidth="1"/>
  </cols>
  <sheetData>
    <row r="1" spans="1:29" ht="81" x14ac:dyDescent="0.25">
      <c r="A1" s="25" t="s">
        <v>34</v>
      </c>
      <c r="B1" s="25" t="s">
        <v>35</v>
      </c>
      <c r="C1" s="25" t="s">
        <v>36</v>
      </c>
      <c r="D1" s="26" t="s">
        <v>37</v>
      </c>
      <c r="E1" s="26" t="s">
        <v>38</v>
      </c>
      <c r="F1" s="26" t="s">
        <v>39</v>
      </c>
      <c r="G1" s="25" t="s">
        <v>40</v>
      </c>
      <c r="H1" s="25" t="s">
        <v>41</v>
      </c>
      <c r="I1" s="25" t="s">
        <v>42</v>
      </c>
      <c r="J1" s="25" t="s">
        <v>43</v>
      </c>
      <c r="K1" s="25" t="s">
        <v>44</v>
      </c>
      <c r="L1" s="25" t="s">
        <v>61</v>
      </c>
      <c r="M1" s="30" t="s">
        <v>62</v>
      </c>
      <c r="N1" s="30" t="s">
        <v>63</v>
      </c>
      <c r="O1" s="30" t="s">
        <v>64</v>
      </c>
      <c r="P1" s="30" t="s">
        <v>65</v>
      </c>
      <c r="Q1" s="30" t="s">
        <v>66</v>
      </c>
      <c r="R1" s="30" t="s">
        <v>67</v>
      </c>
      <c r="S1" s="30" t="s">
        <v>68</v>
      </c>
      <c r="T1" s="30" t="s">
        <v>69</v>
      </c>
      <c r="U1" s="31" t="s">
        <v>70</v>
      </c>
      <c r="V1" s="31" t="s">
        <v>71</v>
      </c>
      <c r="W1" s="31" t="s">
        <v>72</v>
      </c>
      <c r="X1" s="30" t="s">
        <v>73</v>
      </c>
      <c r="Y1" s="25" t="s">
        <v>74</v>
      </c>
      <c r="Z1" s="32" t="s">
        <v>75</v>
      </c>
      <c r="AA1" s="32" t="s">
        <v>76</v>
      </c>
      <c r="AB1" s="32" t="s">
        <v>77</v>
      </c>
      <c r="AC1" s="30" t="s">
        <v>78</v>
      </c>
    </row>
    <row r="2" spans="1:29" x14ac:dyDescent="0.25">
      <c r="A2" s="27">
        <v>1</v>
      </c>
      <c r="B2" s="28" t="s">
        <v>45</v>
      </c>
      <c r="C2" s="29" t="s">
        <v>46</v>
      </c>
      <c r="D2" s="29" t="s">
        <v>47</v>
      </c>
      <c r="E2" s="29" t="s">
        <v>48</v>
      </c>
      <c r="F2" s="29" t="s">
        <v>48</v>
      </c>
      <c r="G2" s="28" t="s">
        <v>49</v>
      </c>
      <c r="H2" s="28">
        <v>417</v>
      </c>
      <c r="I2" s="28" t="s">
        <v>50</v>
      </c>
      <c r="J2" s="28" t="s">
        <v>51</v>
      </c>
      <c r="K2" s="28" t="s">
        <v>52</v>
      </c>
      <c r="L2" s="29" t="s">
        <v>79</v>
      </c>
      <c r="M2" s="33">
        <v>250000</v>
      </c>
      <c r="N2" s="33">
        <v>0</v>
      </c>
      <c r="O2" s="33">
        <v>0</v>
      </c>
      <c r="P2" s="33">
        <v>0</v>
      </c>
      <c r="Q2" s="33">
        <v>0</v>
      </c>
      <c r="R2" s="33">
        <v>0</v>
      </c>
      <c r="S2" s="33">
        <v>0</v>
      </c>
      <c r="T2" s="33">
        <v>250000</v>
      </c>
      <c r="U2" s="34">
        <v>5</v>
      </c>
      <c r="V2" s="34">
        <v>5</v>
      </c>
      <c r="W2" s="34">
        <v>60</v>
      </c>
      <c r="X2" s="33">
        <v>2083.3333333333335</v>
      </c>
      <c r="Y2" s="28" t="s">
        <v>80</v>
      </c>
      <c r="Z2" s="35" t="s">
        <v>81</v>
      </c>
      <c r="AA2" s="36" t="s">
        <v>48</v>
      </c>
      <c r="AB2" s="36" t="s">
        <v>48</v>
      </c>
      <c r="AC2" s="37" t="s">
        <v>82</v>
      </c>
    </row>
    <row r="3" spans="1:29" x14ac:dyDescent="0.25">
      <c r="A3" s="27">
        <v>2</v>
      </c>
      <c r="B3" s="28" t="s">
        <v>45</v>
      </c>
      <c r="C3" s="29" t="s">
        <v>53</v>
      </c>
      <c r="D3" s="29" t="s">
        <v>47</v>
      </c>
      <c r="E3" s="29" t="s">
        <v>48</v>
      </c>
      <c r="F3" s="29" t="s">
        <v>48</v>
      </c>
      <c r="G3" s="28" t="s">
        <v>49</v>
      </c>
      <c r="H3" s="28">
        <v>418</v>
      </c>
      <c r="I3" s="28" t="s">
        <v>50</v>
      </c>
      <c r="J3" s="28" t="s">
        <v>54</v>
      </c>
      <c r="K3" s="28" t="s">
        <v>52</v>
      </c>
      <c r="L3" s="29" t="s">
        <v>83</v>
      </c>
      <c r="M3" s="33">
        <v>250000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250000</v>
      </c>
      <c r="U3" s="34">
        <v>5</v>
      </c>
      <c r="V3" s="34">
        <v>5</v>
      </c>
      <c r="W3" s="34">
        <v>60</v>
      </c>
      <c r="X3" s="33">
        <v>2083.3333333333335</v>
      </c>
      <c r="Y3" s="28" t="s">
        <v>80</v>
      </c>
      <c r="Z3" s="35" t="s">
        <v>81</v>
      </c>
      <c r="AA3" s="36" t="s">
        <v>48</v>
      </c>
      <c r="AB3" s="36" t="s">
        <v>48</v>
      </c>
      <c r="AC3" s="37" t="s">
        <v>82</v>
      </c>
    </row>
    <row r="4" spans="1:29" x14ac:dyDescent="0.25">
      <c r="A4" s="27">
        <v>3</v>
      </c>
      <c r="B4" s="28" t="s">
        <v>45</v>
      </c>
      <c r="C4" s="29" t="s">
        <v>55</v>
      </c>
      <c r="D4" s="29" t="s">
        <v>47</v>
      </c>
      <c r="E4" s="29" t="s">
        <v>48</v>
      </c>
      <c r="F4" s="29" t="s">
        <v>48</v>
      </c>
      <c r="G4" s="28" t="s">
        <v>49</v>
      </c>
      <c r="H4" s="28">
        <v>419</v>
      </c>
      <c r="I4" s="28" t="s">
        <v>50</v>
      </c>
      <c r="J4" s="28" t="s">
        <v>56</v>
      </c>
      <c r="K4" s="28" t="s">
        <v>52</v>
      </c>
      <c r="L4" s="29" t="s">
        <v>83</v>
      </c>
      <c r="M4" s="33">
        <v>250000</v>
      </c>
      <c r="N4" s="33">
        <v>0</v>
      </c>
      <c r="O4" s="33">
        <v>0</v>
      </c>
      <c r="P4" s="33">
        <v>0</v>
      </c>
      <c r="Q4" s="33">
        <v>0</v>
      </c>
      <c r="R4" s="33">
        <v>0</v>
      </c>
      <c r="S4" s="33">
        <v>0</v>
      </c>
      <c r="T4" s="33">
        <v>250000</v>
      </c>
      <c r="U4" s="34">
        <v>5</v>
      </c>
      <c r="V4" s="34">
        <v>5</v>
      </c>
      <c r="W4" s="34">
        <v>60</v>
      </c>
      <c r="X4" s="33">
        <v>2083.3333333333335</v>
      </c>
      <c r="Y4" s="28" t="s">
        <v>80</v>
      </c>
      <c r="Z4" s="35" t="s">
        <v>81</v>
      </c>
      <c r="AA4" s="36" t="s">
        <v>48</v>
      </c>
      <c r="AB4" s="36" t="s">
        <v>48</v>
      </c>
      <c r="AC4" s="37" t="s">
        <v>82</v>
      </c>
    </row>
    <row r="5" spans="1:29" x14ac:dyDescent="0.25">
      <c r="A5" s="27">
        <v>4</v>
      </c>
      <c r="B5" s="28" t="s">
        <v>45</v>
      </c>
      <c r="C5" s="29" t="s">
        <v>57</v>
      </c>
      <c r="D5" s="29" t="s">
        <v>47</v>
      </c>
      <c r="E5" s="29" t="s">
        <v>48</v>
      </c>
      <c r="F5" s="29" t="s">
        <v>48</v>
      </c>
      <c r="G5" s="28" t="s">
        <v>49</v>
      </c>
      <c r="H5" s="28">
        <v>420</v>
      </c>
      <c r="I5" s="28" t="s">
        <v>50</v>
      </c>
      <c r="J5" s="28" t="s">
        <v>58</v>
      </c>
      <c r="K5" s="28" t="s">
        <v>52</v>
      </c>
      <c r="L5" s="29" t="s">
        <v>83</v>
      </c>
      <c r="M5" s="33">
        <v>250000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250000</v>
      </c>
      <c r="U5" s="34">
        <v>5</v>
      </c>
      <c r="V5" s="34">
        <v>5</v>
      </c>
      <c r="W5" s="34">
        <v>60</v>
      </c>
      <c r="X5" s="33">
        <v>2083.3333333333335</v>
      </c>
      <c r="Y5" s="28" t="s">
        <v>80</v>
      </c>
      <c r="Z5" s="35" t="s">
        <v>81</v>
      </c>
      <c r="AA5" s="36" t="s">
        <v>48</v>
      </c>
      <c r="AB5" s="36" t="s">
        <v>48</v>
      </c>
      <c r="AC5" s="37" t="s">
        <v>82</v>
      </c>
    </row>
    <row r="6" spans="1:29" x14ac:dyDescent="0.25">
      <c r="A6" s="27">
        <v>5</v>
      </c>
      <c r="B6" s="28" t="s">
        <v>45</v>
      </c>
      <c r="C6" s="29" t="s">
        <v>59</v>
      </c>
      <c r="D6" s="29" t="s">
        <v>47</v>
      </c>
      <c r="E6" s="29" t="s">
        <v>48</v>
      </c>
      <c r="F6" s="29" t="s">
        <v>48</v>
      </c>
      <c r="G6" s="28" t="s">
        <v>49</v>
      </c>
      <c r="H6" s="28">
        <v>421</v>
      </c>
      <c r="I6" s="28" t="s">
        <v>50</v>
      </c>
      <c r="J6" s="28" t="s">
        <v>60</v>
      </c>
      <c r="K6" s="28" t="s">
        <v>52</v>
      </c>
      <c r="L6" s="29" t="s">
        <v>83</v>
      </c>
      <c r="M6" s="33">
        <v>250000</v>
      </c>
      <c r="N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250000</v>
      </c>
      <c r="U6" s="34">
        <v>5</v>
      </c>
      <c r="V6" s="34">
        <v>5</v>
      </c>
      <c r="W6" s="34">
        <v>60</v>
      </c>
      <c r="X6" s="33">
        <v>2083.3333333333335</v>
      </c>
      <c r="Y6" s="28" t="s">
        <v>80</v>
      </c>
      <c r="Z6" s="35" t="s">
        <v>81</v>
      </c>
      <c r="AA6" s="36" t="s">
        <v>48</v>
      </c>
      <c r="AB6" s="36" t="s">
        <v>48</v>
      </c>
      <c r="AC6" s="37" t="s">
        <v>82</v>
      </c>
    </row>
    <row r="7" spans="1:29" x14ac:dyDescent="0.25">
      <c r="A7" s="27">
        <v>35</v>
      </c>
      <c r="B7" s="28" t="s">
        <v>45</v>
      </c>
      <c r="C7" s="29" t="s">
        <v>53</v>
      </c>
      <c r="D7" s="29" t="s">
        <v>84</v>
      </c>
      <c r="E7" s="38" t="s">
        <v>85</v>
      </c>
      <c r="F7" s="29" t="s">
        <v>86</v>
      </c>
      <c r="G7" s="28" t="s">
        <v>49</v>
      </c>
      <c r="H7" s="28">
        <v>388</v>
      </c>
      <c r="I7" s="28" t="s">
        <v>87</v>
      </c>
      <c r="J7" s="39" t="s">
        <v>88</v>
      </c>
      <c r="K7" s="28" t="s">
        <v>52</v>
      </c>
      <c r="L7" s="43" t="s">
        <v>125</v>
      </c>
      <c r="M7" s="33">
        <v>765000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127000</v>
      </c>
      <c r="T7" s="33">
        <v>892000</v>
      </c>
      <c r="U7" s="34">
        <v>5</v>
      </c>
      <c r="V7" s="34">
        <v>5</v>
      </c>
      <c r="W7" s="34">
        <v>60</v>
      </c>
      <c r="X7" s="33">
        <v>7433.3333333333339</v>
      </c>
      <c r="Y7" s="28" t="s">
        <v>80</v>
      </c>
      <c r="Z7" s="35" t="s">
        <v>81</v>
      </c>
      <c r="AA7" s="35" t="s">
        <v>81</v>
      </c>
      <c r="AB7" s="44">
        <v>29440</v>
      </c>
      <c r="AC7" s="37" t="s">
        <v>82</v>
      </c>
    </row>
    <row r="8" spans="1:29" x14ac:dyDescent="0.25">
      <c r="A8" s="27">
        <v>34</v>
      </c>
      <c r="B8" s="28" t="s">
        <v>45</v>
      </c>
      <c r="C8" s="29" t="s">
        <v>59</v>
      </c>
      <c r="D8" s="29" t="s">
        <v>84</v>
      </c>
      <c r="E8" s="38" t="s">
        <v>85</v>
      </c>
      <c r="F8" s="29" t="s">
        <v>86</v>
      </c>
      <c r="G8" s="28" t="s">
        <v>49</v>
      </c>
      <c r="H8" s="28">
        <v>397</v>
      </c>
      <c r="I8" s="28" t="s">
        <v>50</v>
      </c>
      <c r="J8" s="39" t="s">
        <v>89</v>
      </c>
      <c r="K8" s="28" t="s">
        <v>52</v>
      </c>
      <c r="L8" s="43" t="s">
        <v>126</v>
      </c>
      <c r="M8" s="33">
        <v>765000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127000</v>
      </c>
      <c r="T8" s="33">
        <v>892000</v>
      </c>
      <c r="U8" s="34">
        <v>5</v>
      </c>
      <c r="V8" s="34">
        <v>5</v>
      </c>
      <c r="W8" s="34">
        <v>60</v>
      </c>
      <c r="X8" s="33">
        <v>7433.3333333333339</v>
      </c>
      <c r="Y8" s="28" t="s">
        <v>80</v>
      </c>
      <c r="Z8" s="35" t="s">
        <v>81</v>
      </c>
      <c r="AA8" s="35" t="s">
        <v>81</v>
      </c>
      <c r="AB8" s="44">
        <v>32960</v>
      </c>
      <c r="AC8" s="37" t="s">
        <v>82</v>
      </c>
    </row>
    <row r="9" spans="1:29" x14ac:dyDescent="0.25">
      <c r="A9" s="27">
        <v>36</v>
      </c>
      <c r="B9" s="28" t="s">
        <v>45</v>
      </c>
      <c r="C9" s="29" t="s">
        <v>57</v>
      </c>
      <c r="D9" s="29" t="s">
        <v>84</v>
      </c>
      <c r="E9" s="38" t="s">
        <v>85</v>
      </c>
      <c r="F9" s="29" t="s">
        <v>86</v>
      </c>
      <c r="G9" s="28" t="s">
        <v>49</v>
      </c>
      <c r="H9" s="28">
        <v>392</v>
      </c>
      <c r="I9" s="28" t="s">
        <v>87</v>
      </c>
      <c r="J9" s="39" t="s">
        <v>90</v>
      </c>
      <c r="K9" s="28" t="s">
        <v>52</v>
      </c>
      <c r="L9" s="43" t="s">
        <v>127</v>
      </c>
      <c r="M9" s="33">
        <v>765000</v>
      </c>
      <c r="N9" s="33">
        <v>0</v>
      </c>
      <c r="O9" s="33">
        <v>0</v>
      </c>
      <c r="P9" s="33">
        <v>84000</v>
      </c>
      <c r="Q9" s="33">
        <v>70000</v>
      </c>
      <c r="R9" s="33">
        <v>0</v>
      </c>
      <c r="S9" s="33">
        <v>0</v>
      </c>
      <c r="T9" s="33">
        <v>919000</v>
      </c>
      <c r="U9" s="34">
        <v>5</v>
      </c>
      <c r="V9" s="34">
        <v>5</v>
      </c>
      <c r="W9" s="34">
        <v>60</v>
      </c>
      <c r="X9" s="33">
        <v>7658.3333333333339</v>
      </c>
      <c r="Y9" s="28" t="s">
        <v>80</v>
      </c>
      <c r="Z9" s="35" t="s">
        <v>81</v>
      </c>
      <c r="AA9" s="35" t="s">
        <v>81</v>
      </c>
      <c r="AB9" s="44">
        <v>11600</v>
      </c>
      <c r="AC9" s="37" t="s">
        <v>82</v>
      </c>
    </row>
    <row r="10" spans="1:29" x14ac:dyDescent="0.25">
      <c r="A10" s="27">
        <v>37</v>
      </c>
      <c r="B10" s="28" t="s">
        <v>45</v>
      </c>
      <c r="C10" s="29" t="s">
        <v>49</v>
      </c>
      <c r="D10" s="29" t="s">
        <v>84</v>
      </c>
      <c r="E10" s="29" t="s">
        <v>85</v>
      </c>
      <c r="F10" s="40" t="s">
        <v>91</v>
      </c>
      <c r="G10" s="28" t="s">
        <v>49</v>
      </c>
      <c r="H10" s="28" t="s">
        <v>92</v>
      </c>
      <c r="I10" s="28" t="s">
        <v>87</v>
      </c>
      <c r="J10" s="28" t="s">
        <v>93</v>
      </c>
      <c r="K10" s="28" t="s">
        <v>52</v>
      </c>
      <c r="L10" s="43" t="s">
        <v>128</v>
      </c>
      <c r="M10" s="33">
        <v>765000</v>
      </c>
      <c r="N10" s="33">
        <v>0</v>
      </c>
      <c r="O10" s="33">
        <v>0</v>
      </c>
      <c r="P10" s="33">
        <v>84000</v>
      </c>
      <c r="Q10" s="33">
        <v>0</v>
      </c>
      <c r="R10" s="33">
        <v>0</v>
      </c>
      <c r="S10" s="33">
        <v>0</v>
      </c>
      <c r="T10" s="33">
        <v>849000</v>
      </c>
      <c r="U10" s="34">
        <v>5</v>
      </c>
      <c r="V10" s="34">
        <v>5</v>
      </c>
      <c r="W10" s="34">
        <v>60</v>
      </c>
      <c r="X10" s="33">
        <v>7075</v>
      </c>
      <c r="Y10" s="28" t="s">
        <v>80</v>
      </c>
      <c r="Z10" s="28"/>
      <c r="AA10" s="28"/>
      <c r="AB10" s="28"/>
      <c r="AC10" s="37" t="s">
        <v>91</v>
      </c>
    </row>
    <row r="11" spans="1:29" x14ac:dyDescent="0.25">
      <c r="A11" s="27">
        <v>38</v>
      </c>
      <c r="B11" s="28" t="s">
        <v>45</v>
      </c>
      <c r="C11" s="29" t="s">
        <v>46</v>
      </c>
      <c r="D11" s="29" t="s">
        <v>84</v>
      </c>
      <c r="E11" s="38" t="s">
        <v>85</v>
      </c>
      <c r="F11" s="29" t="s">
        <v>86</v>
      </c>
      <c r="G11" s="28" t="s">
        <v>49</v>
      </c>
      <c r="H11" s="28">
        <v>401</v>
      </c>
      <c r="I11" s="28" t="s">
        <v>87</v>
      </c>
      <c r="J11" s="39" t="s">
        <v>94</v>
      </c>
      <c r="K11" s="28" t="s">
        <v>52</v>
      </c>
      <c r="L11" s="43" t="s">
        <v>128</v>
      </c>
      <c r="M11" s="33">
        <v>645000</v>
      </c>
      <c r="N11" s="33">
        <v>0</v>
      </c>
      <c r="O11" s="33">
        <v>0</v>
      </c>
      <c r="P11" s="33">
        <v>84000</v>
      </c>
      <c r="Q11" s="33">
        <v>0</v>
      </c>
      <c r="R11" s="33">
        <v>0</v>
      </c>
      <c r="S11" s="33">
        <v>0</v>
      </c>
      <c r="T11" s="33">
        <v>729000</v>
      </c>
      <c r="U11" s="34">
        <v>5</v>
      </c>
      <c r="V11" s="34">
        <v>5</v>
      </c>
      <c r="W11" s="34">
        <v>60</v>
      </c>
      <c r="X11" s="33">
        <v>6075</v>
      </c>
      <c r="Y11" s="28" t="s">
        <v>80</v>
      </c>
      <c r="Z11" s="35" t="s">
        <v>81</v>
      </c>
      <c r="AA11" s="35" t="s">
        <v>81</v>
      </c>
      <c r="AB11" s="44">
        <v>24000</v>
      </c>
      <c r="AC11" s="37" t="s">
        <v>82</v>
      </c>
    </row>
    <row r="12" spans="1:29" x14ac:dyDescent="0.25">
      <c r="A12" s="27">
        <v>39</v>
      </c>
      <c r="B12" s="28" t="s">
        <v>45</v>
      </c>
      <c r="C12" s="29" t="s">
        <v>95</v>
      </c>
      <c r="D12" s="29" t="s">
        <v>84</v>
      </c>
      <c r="E12" s="29" t="s">
        <v>85</v>
      </c>
      <c r="F12" s="29" t="s">
        <v>86</v>
      </c>
      <c r="G12" s="28" t="s">
        <v>49</v>
      </c>
      <c r="H12" s="28">
        <v>446</v>
      </c>
      <c r="I12" s="28" t="s">
        <v>87</v>
      </c>
      <c r="J12" s="39" t="s">
        <v>96</v>
      </c>
      <c r="K12" s="28" t="s">
        <v>52</v>
      </c>
      <c r="L12" s="43" t="s">
        <v>129</v>
      </c>
      <c r="M12" s="33">
        <v>645000</v>
      </c>
      <c r="N12" s="33">
        <v>0</v>
      </c>
      <c r="O12" s="33">
        <v>0</v>
      </c>
      <c r="P12" s="33">
        <v>84000</v>
      </c>
      <c r="Q12" s="33">
        <v>70000</v>
      </c>
      <c r="R12" s="33">
        <v>0</v>
      </c>
      <c r="S12" s="33">
        <v>0</v>
      </c>
      <c r="T12" s="33">
        <v>799000</v>
      </c>
      <c r="U12" s="34">
        <v>5</v>
      </c>
      <c r="V12" s="34">
        <v>5</v>
      </c>
      <c r="W12" s="34">
        <v>60</v>
      </c>
      <c r="X12" s="33">
        <v>6658.3333333333339</v>
      </c>
      <c r="Y12" s="28" t="s">
        <v>80</v>
      </c>
      <c r="Z12" s="35" t="s">
        <v>81</v>
      </c>
      <c r="AA12" s="35" t="s">
        <v>81</v>
      </c>
      <c r="AB12" s="44">
        <v>42560</v>
      </c>
      <c r="AC12" s="37" t="s">
        <v>82</v>
      </c>
    </row>
    <row r="13" spans="1:29" x14ac:dyDescent="0.25">
      <c r="A13" s="27">
        <v>40</v>
      </c>
      <c r="B13" s="28" t="s">
        <v>45</v>
      </c>
      <c r="C13" s="29" t="s">
        <v>97</v>
      </c>
      <c r="D13" s="29" t="s">
        <v>84</v>
      </c>
      <c r="E13" s="29" t="s">
        <v>85</v>
      </c>
      <c r="F13" s="40" t="s">
        <v>98</v>
      </c>
      <c r="G13" s="28" t="s">
        <v>49</v>
      </c>
      <c r="H13" s="28">
        <v>402</v>
      </c>
      <c r="I13" s="28" t="s">
        <v>87</v>
      </c>
      <c r="J13" s="28" t="s">
        <v>99</v>
      </c>
      <c r="K13" s="28" t="s">
        <v>52</v>
      </c>
      <c r="L13" s="43" t="s">
        <v>129</v>
      </c>
      <c r="M13" s="33">
        <v>645000</v>
      </c>
      <c r="N13" s="33">
        <v>0</v>
      </c>
      <c r="O13" s="33">
        <v>0</v>
      </c>
      <c r="P13" s="33">
        <v>84000</v>
      </c>
      <c r="Q13" s="33">
        <v>70000</v>
      </c>
      <c r="R13" s="33">
        <v>0</v>
      </c>
      <c r="S13" s="33">
        <v>0</v>
      </c>
      <c r="T13" s="33">
        <v>799000</v>
      </c>
      <c r="U13" s="34">
        <v>5</v>
      </c>
      <c r="V13" s="34">
        <v>5</v>
      </c>
      <c r="W13" s="34">
        <v>60</v>
      </c>
      <c r="X13" s="33">
        <v>6658.3333333333339</v>
      </c>
      <c r="Y13" s="28" t="s">
        <v>80</v>
      </c>
      <c r="Z13" s="35" t="s">
        <v>81</v>
      </c>
      <c r="AA13" s="35" t="s">
        <v>48</v>
      </c>
      <c r="AB13" s="35" t="s">
        <v>130</v>
      </c>
      <c r="AC13" s="37" t="s">
        <v>131</v>
      </c>
    </row>
    <row r="14" spans="1:29" x14ac:dyDescent="0.25">
      <c r="A14" s="27">
        <v>41</v>
      </c>
      <c r="B14" s="28" t="s">
        <v>45</v>
      </c>
      <c r="C14" s="29" t="s">
        <v>49</v>
      </c>
      <c r="D14" s="29" t="s">
        <v>84</v>
      </c>
      <c r="E14" s="29" t="s">
        <v>85</v>
      </c>
      <c r="F14" s="40" t="s">
        <v>91</v>
      </c>
      <c r="G14" s="28" t="s">
        <v>49</v>
      </c>
      <c r="H14" s="28" t="s">
        <v>92</v>
      </c>
      <c r="I14" s="28" t="s">
        <v>87</v>
      </c>
      <c r="J14" s="28" t="s">
        <v>100</v>
      </c>
      <c r="K14" s="28" t="s">
        <v>52</v>
      </c>
      <c r="L14" s="43" t="s">
        <v>132</v>
      </c>
      <c r="M14" s="33">
        <v>2000000</v>
      </c>
      <c r="N14" s="33">
        <v>0</v>
      </c>
      <c r="O14" s="33">
        <v>0</v>
      </c>
      <c r="P14" s="33">
        <v>250000</v>
      </c>
      <c r="Q14" s="33">
        <v>0</v>
      </c>
      <c r="R14" s="33">
        <v>0</v>
      </c>
      <c r="S14" s="33">
        <v>0</v>
      </c>
      <c r="T14" s="33">
        <v>2250000</v>
      </c>
      <c r="U14" s="34">
        <v>5</v>
      </c>
      <c r="V14" s="34">
        <v>5</v>
      </c>
      <c r="W14" s="34">
        <v>60</v>
      </c>
      <c r="X14" s="33">
        <v>18750</v>
      </c>
      <c r="Y14" s="28" t="s">
        <v>80</v>
      </c>
      <c r="Z14" s="28"/>
      <c r="AA14" s="28"/>
      <c r="AB14" s="28"/>
      <c r="AC14" s="37" t="s">
        <v>91</v>
      </c>
    </row>
    <row r="15" spans="1:29" x14ac:dyDescent="0.25">
      <c r="A15" s="27">
        <v>42</v>
      </c>
      <c r="B15" s="28" t="s">
        <v>45</v>
      </c>
      <c r="C15" s="29" t="s">
        <v>59</v>
      </c>
      <c r="D15" s="29" t="s">
        <v>84</v>
      </c>
      <c r="E15" s="29" t="s">
        <v>85</v>
      </c>
      <c r="F15" s="29" t="s">
        <v>86</v>
      </c>
      <c r="G15" s="28" t="s">
        <v>49</v>
      </c>
      <c r="H15" s="28">
        <v>398</v>
      </c>
      <c r="I15" s="28" t="s">
        <v>87</v>
      </c>
      <c r="J15" s="39" t="s">
        <v>101</v>
      </c>
      <c r="K15" s="28" t="s">
        <v>52</v>
      </c>
      <c r="L15" s="43" t="s">
        <v>132</v>
      </c>
      <c r="M15" s="33">
        <v>2000000</v>
      </c>
      <c r="N15" s="33">
        <v>0</v>
      </c>
      <c r="O15" s="33">
        <v>0</v>
      </c>
      <c r="P15" s="33">
        <v>250000</v>
      </c>
      <c r="Q15" s="33">
        <v>0</v>
      </c>
      <c r="R15" s="33">
        <v>0</v>
      </c>
      <c r="S15" s="33">
        <v>0</v>
      </c>
      <c r="T15" s="33">
        <v>2250000</v>
      </c>
      <c r="U15" s="34">
        <v>5</v>
      </c>
      <c r="V15" s="34">
        <v>5</v>
      </c>
      <c r="W15" s="34">
        <v>60</v>
      </c>
      <c r="X15" s="33">
        <v>18750</v>
      </c>
      <c r="Y15" s="28" t="s">
        <v>80</v>
      </c>
      <c r="Z15" s="35" t="s">
        <v>81</v>
      </c>
      <c r="AA15" s="35" t="s">
        <v>81</v>
      </c>
      <c r="AB15" s="44">
        <v>77568</v>
      </c>
      <c r="AC15" s="37" t="s">
        <v>82</v>
      </c>
    </row>
    <row r="16" spans="1:29" x14ac:dyDescent="0.25">
      <c r="A16" s="27">
        <v>43</v>
      </c>
      <c r="B16" s="28" t="s">
        <v>45</v>
      </c>
      <c r="C16" s="29" t="s">
        <v>59</v>
      </c>
      <c r="D16" s="29" t="s">
        <v>84</v>
      </c>
      <c r="E16" s="29" t="s">
        <v>85</v>
      </c>
      <c r="F16" s="29" t="s">
        <v>86</v>
      </c>
      <c r="G16" s="28" t="s">
        <v>49</v>
      </c>
      <c r="H16" s="28">
        <v>408</v>
      </c>
      <c r="I16" s="28" t="s">
        <v>87</v>
      </c>
      <c r="J16" s="39" t="s">
        <v>102</v>
      </c>
      <c r="K16" s="28" t="s">
        <v>52</v>
      </c>
      <c r="L16" s="43" t="s">
        <v>132</v>
      </c>
      <c r="M16" s="33">
        <v>2250000</v>
      </c>
      <c r="N16" s="33">
        <v>0</v>
      </c>
      <c r="O16" s="33">
        <v>0</v>
      </c>
      <c r="P16" s="33">
        <v>250000</v>
      </c>
      <c r="Q16" s="33">
        <v>0</v>
      </c>
      <c r="R16" s="33">
        <v>0</v>
      </c>
      <c r="S16" s="33">
        <v>0</v>
      </c>
      <c r="T16" s="33">
        <v>2500000</v>
      </c>
      <c r="U16" s="34">
        <v>5</v>
      </c>
      <c r="V16" s="34">
        <v>5</v>
      </c>
      <c r="W16" s="34">
        <v>60</v>
      </c>
      <c r="X16" s="33">
        <v>20833.333333333336</v>
      </c>
      <c r="Y16" s="28" t="s">
        <v>80</v>
      </c>
      <c r="Z16" s="35" t="s">
        <v>81</v>
      </c>
      <c r="AA16" s="35" t="s">
        <v>133</v>
      </c>
      <c r="AB16" s="44">
        <v>61440</v>
      </c>
      <c r="AC16" s="37" t="s">
        <v>131</v>
      </c>
    </row>
    <row r="17" spans="1:29" x14ac:dyDescent="0.25">
      <c r="A17" s="27">
        <v>44</v>
      </c>
      <c r="B17" s="28" t="s">
        <v>45</v>
      </c>
      <c r="C17" s="29" t="s">
        <v>103</v>
      </c>
      <c r="D17" s="29" t="s">
        <v>104</v>
      </c>
      <c r="E17" s="29" t="s">
        <v>105</v>
      </c>
      <c r="F17" s="29" t="s">
        <v>106</v>
      </c>
      <c r="G17" s="28" t="s">
        <v>49</v>
      </c>
      <c r="H17" s="28">
        <v>386</v>
      </c>
      <c r="I17" s="28" t="s">
        <v>87</v>
      </c>
      <c r="J17" s="28" t="s">
        <v>107</v>
      </c>
      <c r="K17" s="28" t="s">
        <v>52</v>
      </c>
      <c r="L17" s="43" t="s">
        <v>132</v>
      </c>
      <c r="M17" s="33">
        <v>2250000</v>
      </c>
      <c r="N17" s="33">
        <v>0</v>
      </c>
      <c r="O17" s="33">
        <v>0</v>
      </c>
      <c r="P17" s="33">
        <v>250000</v>
      </c>
      <c r="Q17" s="33">
        <v>0</v>
      </c>
      <c r="R17" s="33">
        <v>0</v>
      </c>
      <c r="S17" s="33">
        <v>0</v>
      </c>
      <c r="T17" s="33">
        <v>2500000</v>
      </c>
      <c r="U17" s="34">
        <v>5</v>
      </c>
      <c r="V17" s="34">
        <v>5</v>
      </c>
      <c r="W17" s="34">
        <v>60</v>
      </c>
      <c r="X17" s="33">
        <v>20833.333333333336</v>
      </c>
      <c r="Y17" s="28" t="s">
        <v>80</v>
      </c>
      <c r="Z17" s="35" t="s">
        <v>81</v>
      </c>
      <c r="AA17" s="35" t="s">
        <v>48</v>
      </c>
      <c r="AB17" s="35" t="s">
        <v>130</v>
      </c>
      <c r="AC17" s="37" t="s">
        <v>131</v>
      </c>
    </row>
    <row r="18" spans="1:29" x14ac:dyDescent="0.25">
      <c r="A18" s="27">
        <v>45</v>
      </c>
      <c r="B18" s="28" t="s">
        <v>45</v>
      </c>
      <c r="C18" s="29" t="s">
        <v>46</v>
      </c>
      <c r="D18" s="40" t="s">
        <v>108</v>
      </c>
      <c r="E18" s="29" t="s">
        <v>48</v>
      </c>
      <c r="F18" s="29" t="s">
        <v>48</v>
      </c>
      <c r="G18" s="28" t="s">
        <v>109</v>
      </c>
      <c r="H18" s="28" t="s">
        <v>92</v>
      </c>
      <c r="I18" s="28" t="s">
        <v>87</v>
      </c>
      <c r="J18" s="28" t="s">
        <v>110</v>
      </c>
      <c r="K18" s="28" t="s">
        <v>52</v>
      </c>
      <c r="L18" s="43" t="s">
        <v>132</v>
      </c>
      <c r="M18" s="33">
        <v>2250000</v>
      </c>
      <c r="N18" s="33">
        <v>0</v>
      </c>
      <c r="O18" s="33">
        <v>0</v>
      </c>
      <c r="P18" s="33">
        <v>250000</v>
      </c>
      <c r="Q18" s="33">
        <v>0</v>
      </c>
      <c r="R18" s="33">
        <v>0</v>
      </c>
      <c r="S18" s="33">
        <v>0</v>
      </c>
      <c r="T18" s="33">
        <v>2500000</v>
      </c>
      <c r="U18" s="34">
        <v>5</v>
      </c>
      <c r="V18" s="34">
        <v>5</v>
      </c>
      <c r="W18" s="34">
        <v>60</v>
      </c>
      <c r="X18" s="33">
        <v>20833.333333333336</v>
      </c>
      <c r="Y18" s="28" t="s">
        <v>80</v>
      </c>
      <c r="Z18" s="28"/>
      <c r="AA18" s="36"/>
      <c r="AB18" s="36"/>
      <c r="AC18" s="29" t="s">
        <v>134</v>
      </c>
    </row>
    <row r="19" spans="1:29" x14ac:dyDescent="0.25">
      <c r="A19" s="27">
        <v>46</v>
      </c>
      <c r="B19" s="28" t="s">
        <v>45</v>
      </c>
      <c r="C19" s="29" t="s">
        <v>53</v>
      </c>
      <c r="D19" s="29" t="s">
        <v>84</v>
      </c>
      <c r="E19" s="29" t="s">
        <v>85</v>
      </c>
      <c r="F19" s="29" t="s">
        <v>86</v>
      </c>
      <c r="G19" s="28" t="s">
        <v>49</v>
      </c>
      <c r="H19" s="28">
        <v>387</v>
      </c>
      <c r="I19" s="28" t="s">
        <v>87</v>
      </c>
      <c r="J19" s="39" t="s">
        <v>111</v>
      </c>
      <c r="K19" s="28" t="s">
        <v>52</v>
      </c>
      <c r="L19" s="43" t="s">
        <v>135</v>
      </c>
      <c r="M19" s="33">
        <v>930000</v>
      </c>
      <c r="N19" s="33">
        <v>0</v>
      </c>
      <c r="O19" s="33">
        <v>0</v>
      </c>
      <c r="P19" s="33">
        <v>250000</v>
      </c>
      <c r="Q19" s="33">
        <v>70000</v>
      </c>
      <c r="R19" s="33">
        <v>0</v>
      </c>
      <c r="S19" s="33">
        <v>0</v>
      </c>
      <c r="T19" s="33">
        <v>1250000</v>
      </c>
      <c r="U19" s="34">
        <v>5</v>
      </c>
      <c r="V19" s="34">
        <v>5</v>
      </c>
      <c r="W19" s="34">
        <v>60</v>
      </c>
      <c r="X19" s="33">
        <v>10416.666666666668</v>
      </c>
      <c r="Y19" s="28" t="s">
        <v>80</v>
      </c>
      <c r="Z19" s="35" t="s">
        <v>81</v>
      </c>
      <c r="AA19" s="35" t="s">
        <v>81</v>
      </c>
      <c r="AB19" s="44">
        <v>75161.600000000006</v>
      </c>
      <c r="AC19" s="37" t="s">
        <v>82</v>
      </c>
    </row>
    <row r="20" spans="1:29" x14ac:dyDescent="0.25">
      <c r="A20" s="27">
        <v>47</v>
      </c>
      <c r="B20" s="28" t="s">
        <v>45</v>
      </c>
      <c r="C20" s="29" t="s">
        <v>55</v>
      </c>
      <c r="D20" s="29" t="s">
        <v>84</v>
      </c>
      <c r="E20" s="29" t="s">
        <v>85</v>
      </c>
      <c r="F20" s="29" t="s">
        <v>86</v>
      </c>
      <c r="G20" s="28" t="s">
        <v>49</v>
      </c>
      <c r="H20" s="28">
        <v>390</v>
      </c>
      <c r="I20" s="28" t="s">
        <v>87</v>
      </c>
      <c r="J20" s="39" t="s">
        <v>112</v>
      </c>
      <c r="K20" s="28" t="s">
        <v>52</v>
      </c>
      <c r="L20" s="43" t="s">
        <v>135</v>
      </c>
      <c r="M20" s="33">
        <v>930000</v>
      </c>
      <c r="N20" s="33">
        <v>0</v>
      </c>
      <c r="O20" s="33">
        <v>0</v>
      </c>
      <c r="P20" s="33">
        <v>250000</v>
      </c>
      <c r="Q20" s="33">
        <v>70000</v>
      </c>
      <c r="R20" s="33">
        <v>0</v>
      </c>
      <c r="S20" s="33">
        <v>0</v>
      </c>
      <c r="T20" s="33">
        <v>1250000</v>
      </c>
      <c r="U20" s="34">
        <v>5</v>
      </c>
      <c r="V20" s="34">
        <v>5</v>
      </c>
      <c r="W20" s="34">
        <v>60</v>
      </c>
      <c r="X20" s="33">
        <v>10416.666666666668</v>
      </c>
      <c r="Y20" s="28" t="s">
        <v>80</v>
      </c>
      <c r="Z20" s="35" t="s">
        <v>81</v>
      </c>
      <c r="AA20" s="35" t="s">
        <v>81</v>
      </c>
      <c r="AB20" s="44">
        <v>60928</v>
      </c>
      <c r="AC20" s="37" t="s">
        <v>82</v>
      </c>
    </row>
    <row r="21" spans="1:29" x14ac:dyDescent="0.25">
      <c r="A21" s="27">
        <v>48</v>
      </c>
      <c r="B21" s="28" t="s">
        <v>45</v>
      </c>
      <c r="C21" s="29" t="s">
        <v>57</v>
      </c>
      <c r="D21" s="29" t="s">
        <v>84</v>
      </c>
      <c r="E21" s="29" t="s">
        <v>85</v>
      </c>
      <c r="F21" s="29" t="s">
        <v>86</v>
      </c>
      <c r="G21" s="28" t="s">
        <v>49</v>
      </c>
      <c r="H21" s="28">
        <v>393</v>
      </c>
      <c r="I21" s="28" t="s">
        <v>87</v>
      </c>
      <c r="J21" s="39" t="s">
        <v>113</v>
      </c>
      <c r="K21" s="28" t="s">
        <v>52</v>
      </c>
      <c r="L21" s="45" t="s">
        <v>135</v>
      </c>
      <c r="M21" s="33">
        <v>930000</v>
      </c>
      <c r="N21" s="33">
        <v>0</v>
      </c>
      <c r="O21" s="33">
        <v>0</v>
      </c>
      <c r="P21" s="33">
        <v>250000</v>
      </c>
      <c r="Q21" s="33">
        <v>70000</v>
      </c>
      <c r="R21" s="33">
        <v>0</v>
      </c>
      <c r="S21" s="33">
        <v>0</v>
      </c>
      <c r="T21" s="33">
        <v>1250000</v>
      </c>
      <c r="U21" s="34">
        <v>5</v>
      </c>
      <c r="V21" s="34">
        <v>5</v>
      </c>
      <c r="W21" s="34">
        <v>60</v>
      </c>
      <c r="X21" s="33">
        <v>10416.666666666668</v>
      </c>
      <c r="Y21" s="28" t="s">
        <v>80</v>
      </c>
      <c r="Z21" s="35" t="s">
        <v>81</v>
      </c>
      <c r="AA21" s="35" t="s">
        <v>81</v>
      </c>
      <c r="AB21" s="44">
        <v>56166.400000000001</v>
      </c>
      <c r="AC21" s="37" t="s">
        <v>82</v>
      </c>
    </row>
    <row r="22" spans="1:29" x14ac:dyDescent="0.25">
      <c r="A22" s="27">
        <v>49</v>
      </c>
      <c r="B22" s="28" t="s">
        <v>45</v>
      </c>
      <c r="C22" s="29" t="s">
        <v>59</v>
      </c>
      <c r="D22" s="29" t="s">
        <v>84</v>
      </c>
      <c r="E22" s="29" t="s">
        <v>85</v>
      </c>
      <c r="F22" s="29" t="s">
        <v>86</v>
      </c>
      <c r="G22" s="28" t="s">
        <v>49</v>
      </c>
      <c r="H22" s="28">
        <v>399</v>
      </c>
      <c r="I22" s="28" t="s">
        <v>87</v>
      </c>
      <c r="J22" s="39" t="s">
        <v>114</v>
      </c>
      <c r="K22" s="28" t="s">
        <v>52</v>
      </c>
      <c r="L22" s="43" t="s">
        <v>135</v>
      </c>
      <c r="M22" s="33">
        <v>930000</v>
      </c>
      <c r="N22" s="33">
        <v>0</v>
      </c>
      <c r="O22" s="33">
        <v>0</v>
      </c>
      <c r="P22" s="33">
        <v>250000</v>
      </c>
      <c r="Q22" s="33">
        <v>70000</v>
      </c>
      <c r="R22" s="33">
        <v>0</v>
      </c>
      <c r="S22" s="33">
        <v>0</v>
      </c>
      <c r="T22" s="33">
        <v>1250000</v>
      </c>
      <c r="U22" s="34">
        <v>5</v>
      </c>
      <c r="V22" s="34">
        <v>5</v>
      </c>
      <c r="W22" s="34">
        <v>60</v>
      </c>
      <c r="X22" s="33">
        <v>10416.666666666668</v>
      </c>
      <c r="Y22" s="28" t="s">
        <v>80</v>
      </c>
      <c r="Z22" s="35" t="s">
        <v>81</v>
      </c>
      <c r="AA22" s="35" t="s">
        <v>133</v>
      </c>
      <c r="AB22" s="44">
        <v>88729.600000000006</v>
      </c>
      <c r="AC22" s="37" t="s">
        <v>82</v>
      </c>
    </row>
    <row r="23" spans="1:29" x14ac:dyDescent="0.25">
      <c r="A23" s="27">
        <v>50</v>
      </c>
      <c r="B23" s="28" t="s">
        <v>45</v>
      </c>
      <c r="C23" s="29" t="s">
        <v>115</v>
      </c>
      <c r="D23" s="29" t="s">
        <v>104</v>
      </c>
      <c r="E23" s="29" t="s">
        <v>105</v>
      </c>
      <c r="F23" s="29" t="s">
        <v>106</v>
      </c>
      <c r="G23" s="28" t="s">
        <v>49</v>
      </c>
      <c r="H23" s="28">
        <v>383</v>
      </c>
      <c r="I23" s="28" t="s">
        <v>87</v>
      </c>
      <c r="J23" s="28" t="s">
        <v>116</v>
      </c>
      <c r="K23" s="28" t="s">
        <v>52</v>
      </c>
      <c r="L23" s="43" t="s">
        <v>135</v>
      </c>
      <c r="M23" s="33">
        <v>930000</v>
      </c>
      <c r="N23" s="33">
        <v>0</v>
      </c>
      <c r="O23" s="33">
        <v>0</v>
      </c>
      <c r="P23" s="33">
        <v>250000</v>
      </c>
      <c r="Q23" s="33">
        <v>70000</v>
      </c>
      <c r="R23" s="33">
        <v>0</v>
      </c>
      <c r="S23" s="33">
        <v>0</v>
      </c>
      <c r="T23" s="33">
        <v>1250000</v>
      </c>
      <c r="U23" s="34">
        <v>5</v>
      </c>
      <c r="V23" s="34">
        <v>5</v>
      </c>
      <c r="W23" s="34">
        <v>60</v>
      </c>
      <c r="X23" s="33">
        <v>10416.666666666701</v>
      </c>
      <c r="Y23" s="28" t="s">
        <v>80</v>
      </c>
      <c r="Z23" s="35" t="s">
        <v>81</v>
      </c>
      <c r="AA23" s="35" t="s">
        <v>48</v>
      </c>
      <c r="AB23" s="35" t="s">
        <v>130</v>
      </c>
      <c r="AC23" s="37" t="s">
        <v>131</v>
      </c>
    </row>
    <row r="24" spans="1:29" x14ac:dyDescent="0.25">
      <c r="A24" s="27">
        <v>51</v>
      </c>
      <c r="B24" s="28" t="s">
        <v>45</v>
      </c>
      <c r="C24" s="29" t="s">
        <v>57</v>
      </c>
      <c r="D24" s="29" t="s">
        <v>84</v>
      </c>
      <c r="E24" s="29" t="s">
        <v>85</v>
      </c>
      <c r="F24" s="29" t="s">
        <v>86</v>
      </c>
      <c r="G24" s="28" t="s">
        <v>49</v>
      </c>
      <c r="H24" s="28">
        <v>394</v>
      </c>
      <c r="I24" s="28" t="s">
        <v>87</v>
      </c>
      <c r="J24" s="39" t="s">
        <v>117</v>
      </c>
      <c r="K24" s="28" t="s">
        <v>52</v>
      </c>
      <c r="L24" s="43" t="s">
        <v>136</v>
      </c>
      <c r="M24" s="33">
        <v>645000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110000</v>
      </c>
      <c r="T24" s="33">
        <v>755000</v>
      </c>
      <c r="U24" s="34">
        <v>5</v>
      </c>
      <c r="V24" s="34">
        <v>5</v>
      </c>
      <c r="W24" s="34">
        <v>60</v>
      </c>
      <c r="X24" s="33">
        <v>6291.6666666666679</v>
      </c>
      <c r="Y24" s="28" t="s">
        <v>80</v>
      </c>
      <c r="Z24" s="35" t="s">
        <v>81</v>
      </c>
      <c r="AA24" s="35" t="s">
        <v>81</v>
      </c>
      <c r="AB24" s="44">
        <v>3367.4</v>
      </c>
      <c r="AC24" s="37" t="s">
        <v>82</v>
      </c>
    </row>
    <row r="25" spans="1:29" x14ac:dyDescent="0.25">
      <c r="A25" s="27">
        <v>52</v>
      </c>
      <c r="B25" s="28" t="s">
        <v>45</v>
      </c>
      <c r="C25" s="29" t="s">
        <v>49</v>
      </c>
      <c r="D25" s="29" t="s">
        <v>84</v>
      </c>
      <c r="E25" s="29" t="s">
        <v>85</v>
      </c>
      <c r="F25" s="40" t="s">
        <v>91</v>
      </c>
      <c r="G25" s="28" t="s">
        <v>49</v>
      </c>
      <c r="H25" s="28" t="s">
        <v>92</v>
      </c>
      <c r="I25" s="28" t="s">
        <v>87</v>
      </c>
      <c r="J25" s="28" t="s">
        <v>118</v>
      </c>
      <c r="K25" s="28" t="s">
        <v>52</v>
      </c>
      <c r="L25" s="43" t="s">
        <v>137</v>
      </c>
      <c r="M25" s="33">
        <v>765000</v>
      </c>
      <c r="N25" s="33">
        <v>0</v>
      </c>
      <c r="O25" s="33">
        <v>0</v>
      </c>
      <c r="P25" s="33">
        <v>0</v>
      </c>
      <c r="Q25" s="33">
        <v>70000</v>
      </c>
      <c r="R25" s="33">
        <v>0</v>
      </c>
      <c r="S25" s="33">
        <v>127000</v>
      </c>
      <c r="T25" s="33">
        <v>962000</v>
      </c>
      <c r="U25" s="34">
        <v>5</v>
      </c>
      <c r="V25" s="34">
        <v>5</v>
      </c>
      <c r="W25" s="34">
        <v>60</v>
      </c>
      <c r="X25" s="33">
        <v>8016.6666666666679</v>
      </c>
      <c r="Y25" s="28" t="s">
        <v>80</v>
      </c>
      <c r="Z25" s="28"/>
      <c r="AA25" s="28"/>
      <c r="AB25" s="28"/>
      <c r="AC25" s="37" t="s">
        <v>91</v>
      </c>
    </row>
    <row r="26" spans="1:29" x14ac:dyDescent="0.25">
      <c r="A26" s="27">
        <v>53</v>
      </c>
      <c r="B26" s="28" t="s">
        <v>45</v>
      </c>
      <c r="C26" s="29" t="s">
        <v>115</v>
      </c>
      <c r="D26" s="29" t="s">
        <v>104</v>
      </c>
      <c r="E26" s="29" t="s">
        <v>105</v>
      </c>
      <c r="F26" s="29" t="s">
        <v>106</v>
      </c>
      <c r="G26" s="28" t="s">
        <v>49</v>
      </c>
      <c r="H26" s="28">
        <v>384</v>
      </c>
      <c r="I26" s="28" t="s">
        <v>87</v>
      </c>
      <c r="J26" s="28" t="s">
        <v>119</v>
      </c>
      <c r="K26" s="28" t="s">
        <v>52</v>
      </c>
      <c r="L26" s="43" t="s">
        <v>137</v>
      </c>
      <c r="M26" s="33">
        <v>765000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127000</v>
      </c>
      <c r="T26" s="33">
        <v>892000</v>
      </c>
      <c r="U26" s="34">
        <v>5</v>
      </c>
      <c r="V26" s="34">
        <v>5</v>
      </c>
      <c r="W26" s="34">
        <v>60</v>
      </c>
      <c r="X26" s="33">
        <v>7433.3333333333339</v>
      </c>
      <c r="Y26" s="28" t="s">
        <v>80</v>
      </c>
      <c r="Z26" s="35" t="s">
        <v>81</v>
      </c>
      <c r="AA26" s="35" t="s">
        <v>48</v>
      </c>
      <c r="AB26" s="35" t="s">
        <v>130</v>
      </c>
      <c r="AC26" s="37" t="s">
        <v>82</v>
      </c>
    </row>
    <row r="27" spans="1:29" x14ac:dyDescent="0.25">
      <c r="A27" s="27">
        <v>54</v>
      </c>
      <c r="B27" s="28" t="s">
        <v>45</v>
      </c>
      <c r="C27" s="29" t="s">
        <v>103</v>
      </c>
      <c r="D27" s="41" t="s">
        <v>120</v>
      </c>
      <c r="E27" s="29" t="s">
        <v>105</v>
      </c>
      <c r="F27" s="40" t="s">
        <v>91</v>
      </c>
      <c r="G27" s="28" t="s">
        <v>109</v>
      </c>
      <c r="H27" s="28" t="s">
        <v>92</v>
      </c>
      <c r="I27" s="28" t="s">
        <v>87</v>
      </c>
      <c r="J27" s="42" t="s">
        <v>121</v>
      </c>
      <c r="K27" s="28" t="s">
        <v>52</v>
      </c>
      <c r="L27" s="29" t="s">
        <v>138</v>
      </c>
      <c r="M27" s="33">
        <v>765000</v>
      </c>
      <c r="N27" s="33">
        <v>0</v>
      </c>
      <c r="O27" s="33">
        <v>0</v>
      </c>
      <c r="P27" s="33">
        <v>0</v>
      </c>
      <c r="Q27" s="33">
        <v>0</v>
      </c>
      <c r="R27" s="33">
        <v>1000000</v>
      </c>
      <c r="S27" s="33">
        <v>0</v>
      </c>
      <c r="T27" s="33">
        <v>1765000</v>
      </c>
      <c r="U27" s="34">
        <v>5</v>
      </c>
      <c r="V27" s="34">
        <v>5</v>
      </c>
      <c r="W27" s="34">
        <v>60</v>
      </c>
      <c r="X27" s="33">
        <v>14708.333333333336</v>
      </c>
      <c r="Y27" s="28" t="s">
        <v>80</v>
      </c>
      <c r="Z27" s="28"/>
      <c r="AA27" s="28"/>
      <c r="AB27" s="28"/>
      <c r="AC27" s="37" t="s">
        <v>139</v>
      </c>
    </row>
    <row r="28" spans="1:29" x14ac:dyDescent="0.25">
      <c r="A28" s="27">
        <v>55</v>
      </c>
      <c r="B28" s="28" t="s">
        <v>45</v>
      </c>
      <c r="C28" s="29" t="s">
        <v>55</v>
      </c>
      <c r="D28" s="29" t="s">
        <v>84</v>
      </c>
      <c r="E28" s="29" t="s">
        <v>85</v>
      </c>
      <c r="F28" s="29" t="s">
        <v>86</v>
      </c>
      <c r="G28" s="28" t="s">
        <v>49</v>
      </c>
      <c r="H28" s="28">
        <v>391</v>
      </c>
      <c r="I28" s="28" t="s">
        <v>87</v>
      </c>
      <c r="J28" s="39" t="s">
        <v>122</v>
      </c>
      <c r="K28" s="28" t="s">
        <v>52</v>
      </c>
      <c r="L28" s="43" t="s">
        <v>140</v>
      </c>
      <c r="M28" s="33">
        <v>765000</v>
      </c>
      <c r="N28" s="33">
        <v>0</v>
      </c>
      <c r="O28" s="33">
        <v>0</v>
      </c>
      <c r="P28" s="33">
        <v>0</v>
      </c>
      <c r="Q28" s="33">
        <v>0</v>
      </c>
      <c r="R28" s="33">
        <v>400000</v>
      </c>
      <c r="S28" s="33">
        <v>0</v>
      </c>
      <c r="T28" s="33">
        <v>1165000</v>
      </c>
      <c r="U28" s="34">
        <v>5</v>
      </c>
      <c r="V28" s="34">
        <v>5</v>
      </c>
      <c r="W28" s="34">
        <v>60</v>
      </c>
      <c r="X28" s="33">
        <v>9708.3333333333339</v>
      </c>
      <c r="Y28" s="28" t="s">
        <v>80</v>
      </c>
      <c r="Z28" s="35" t="s">
        <v>81</v>
      </c>
      <c r="AA28" s="35" t="s">
        <v>81</v>
      </c>
      <c r="AB28" s="44">
        <v>7474.78</v>
      </c>
      <c r="AC28" s="37" t="s">
        <v>82</v>
      </c>
    </row>
    <row r="29" spans="1:29" x14ac:dyDescent="0.25">
      <c r="A29" s="27">
        <v>56</v>
      </c>
      <c r="B29" s="28" t="s">
        <v>45</v>
      </c>
      <c r="C29" s="29" t="s">
        <v>46</v>
      </c>
      <c r="D29" s="29" t="s">
        <v>84</v>
      </c>
      <c r="E29" s="29" t="s">
        <v>85</v>
      </c>
      <c r="F29" s="41" t="s">
        <v>123</v>
      </c>
      <c r="G29" s="28" t="s">
        <v>49</v>
      </c>
      <c r="H29" s="28" t="s">
        <v>92</v>
      </c>
      <c r="I29" s="28" t="s">
        <v>87</v>
      </c>
      <c r="J29" s="28" t="s">
        <v>124</v>
      </c>
      <c r="K29" s="28" t="s">
        <v>52</v>
      </c>
      <c r="L29" s="46" t="s">
        <v>141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2400000</v>
      </c>
      <c r="U29" s="34" t="s">
        <v>130</v>
      </c>
      <c r="V29" s="34" t="s">
        <v>130</v>
      </c>
      <c r="W29" s="34" t="s">
        <v>130</v>
      </c>
      <c r="X29" s="33">
        <v>20000</v>
      </c>
      <c r="Y29" s="28" t="s">
        <v>80</v>
      </c>
      <c r="Z29" s="28"/>
      <c r="AA29" s="28"/>
      <c r="AB29" s="28"/>
      <c r="AC29" s="37" t="s">
        <v>91</v>
      </c>
    </row>
    <row r="30" spans="1:29" x14ac:dyDescent="0.25">
      <c r="A30" s="27">
        <v>72</v>
      </c>
      <c r="B30" s="28" t="s">
        <v>45</v>
      </c>
      <c r="C30" s="29" t="s">
        <v>55</v>
      </c>
      <c r="D30" s="29" t="s">
        <v>84</v>
      </c>
      <c r="E30" s="29" t="s">
        <v>85</v>
      </c>
      <c r="F30" s="29" t="s">
        <v>86</v>
      </c>
      <c r="G30" s="28" t="s">
        <v>49</v>
      </c>
      <c r="H30" s="28">
        <v>389</v>
      </c>
      <c r="I30" s="28" t="s">
        <v>87</v>
      </c>
      <c r="J30" s="39" t="s">
        <v>142</v>
      </c>
      <c r="K30" s="28" t="s">
        <v>52</v>
      </c>
      <c r="L30" s="43" t="s">
        <v>143</v>
      </c>
      <c r="M30" s="33">
        <v>2250000</v>
      </c>
      <c r="N30" s="33">
        <v>0</v>
      </c>
      <c r="O30" s="33">
        <v>0</v>
      </c>
      <c r="P30" s="33">
        <v>250000</v>
      </c>
      <c r="Q30" s="33">
        <v>0</v>
      </c>
      <c r="R30" s="33">
        <v>0</v>
      </c>
      <c r="S30" s="33">
        <v>0</v>
      </c>
      <c r="T30" s="33">
        <v>2500000</v>
      </c>
      <c r="U30" s="34">
        <v>5</v>
      </c>
      <c r="V30" s="34">
        <v>5</v>
      </c>
      <c r="W30" s="34">
        <v>60</v>
      </c>
      <c r="X30" s="33">
        <v>20833.333333333336</v>
      </c>
      <c r="Y30" s="28" t="s">
        <v>80</v>
      </c>
      <c r="Z30" s="35" t="s">
        <v>81</v>
      </c>
      <c r="AA30" s="35" t="s">
        <v>81</v>
      </c>
      <c r="AB30" s="44">
        <v>50688</v>
      </c>
      <c r="AC30" s="37" t="s">
        <v>82</v>
      </c>
    </row>
    <row r="31" spans="1:29" x14ac:dyDescent="0.25">
      <c r="A31" s="27">
        <v>77</v>
      </c>
      <c r="B31" s="28" t="s">
        <v>45</v>
      </c>
      <c r="C31" s="29" t="s">
        <v>46</v>
      </c>
      <c r="D31" s="29" t="s">
        <v>47</v>
      </c>
      <c r="E31" s="29" t="s">
        <v>48</v>
      </c>
      <c r="F31" s="29" t="s">
        <v>48</v>
      </c>
      <c r="G31" s="28" t="s">
        <v>49</v>
      </c>
      <c r="H31" s="28">
        <v>438</v>
      </c>
      <c r="I31" s="28" t="s">
        <v>50</v>
      </c>
      <c r="J31" s="28" t="s">
        <v>144</v>
      </c>
      <c r="K31" s="28" t="s">
        <v>52</v>
      </c>
      <c r="L31" s="43" t="s">
        <v>153</v>
      </c>
      <c r="M31" s="33">
        <v>3500000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3500000</v>
      </c>
      <c r="U31" s="34">
        <v>5</v>
      </c>
      <c r="V31" s="34">
        <v>5</v>
      </c>
      <c r="W31" s="34">
        <v>60</v>
      </c>
      <c r="X31" s="33">
        <v>29166.666666666672</v>
      </c>
      <c r="Y31" s="28" t="s">
        <v>80</v>
      </c>
      <c r="Z31" s="35" t="s">
        <v>81</v>
      </c>
      <c r="AA31" s="36" t="s">
        <v>48</v>
      </c>
      <c r="AB31" s="36" t="s">
        <v>48</v>
      </c>
      <c r="AC31" s="37" t="s">
        <v>82</v>
      </c>
    </row>
    <row r="32" spans="1:29" x14ac:dyDescent="0.25">
      <c r="A32" s="27">
        <v>78</v>
      </c>
      <c r="B32" s="28" t="s">
        <v>45</v>
      </c>
      <c r="C32" s="29" t="s">
        <v>46</v>
      </c>
      <c r="D32" s="29" t="s">
        <v>47</v>
      </c>
      <c r="E32" s="29" t="s">
        <v>48</v>
      </c>
      <c r="F32" s="29" t="s">
        <v>48</v>
      </c>
      <c r="G32" s="28" t="s">
        <v>49</v>
      </c>
      <c r="H32" s="28">
        <v>439</v>
      </c>
      <c r="I32" s="28" t="s">
        <v>50</v>
      </c>
      <c r="J32" s="28" t="s">
        <v>145</v>
      </c>
      <c r="K32" s="28" t="s">
        <v>52</v>
      </c>
      <c r="L32" s="29" t="s">
        <v>154</v>
      </c>
      <c r="M32" s="33">
        <v>5800000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5800000</v>
      </c>
      <c r="U32" s="34">
        <v>5</v>
      </c>
      <c r="V32" s="34">
        <v>5</v>
      </c>
      <c r="W32" s="34">
        <v>60</v>
      </c>
      <c r="X32" s="33">
        <v>48333.333333333343</v>
      </c>
      <c r="Y32" s="28" t="s">
        <v>80</v>
      </c>
      <c r="Z32" s="35" t="s">
        <v>81</v>
      </c>
      <c r="AA32" s="36" t="s">
        <v>48</v>
      </c>
      <c r="AB32" s="36" t="s">
        <v>48</v>
      </c>
      <c r="AC32" s="37" t="s">
        <v>82</v>
      </c>
    </row>
    <row r="33" spans="1:29" x14ac:dyDescent="0.25">
      <c r="A33" s="27">
        <v>79</v>
      </c>
      <c r="B33" s="28" t="s">
        <v>45</v>
      </c>
      <c r="C33" s="29" t="s">
        <v>49</v>
      </c>
      <c r="D33" s="29" t="s">
        <v>47</v>
      </c>
      <c r="E33" s="29" t="s">
        <v>85</v>
      </c>
      <c r="F33" s="40" t="s">
        <v>91</v>
      </c>
      <c r="G33" s="28" t="s">
        <v>49</v>
      </c>
      <c r="H33" s="28" t="s">
        <v>92</v>
      </c>
      <c r="I33" s="28" t="s">
        <v>50</v>
      </c>
      <c r="J33" s="28" t="s">
        <v>146</v>
      </c>
      <c r="K33" s="28" t="s">
        <v>52</v>
      </c>
      <c r="L33" s="43" t="s">
        <v>155</v>
      </c>
      <c r="M33" s="33">
        <v>1000000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1000000</v>
      </c>
      <c r="U33" s="34">
        <v>5</v>
      </c>
      <c r="V33" s="34">
        <v>5</v>
      </c>
      <c r="W33" s="34">
        <v>60</v>
      </c>
      <c r="X33" s="33">
        <v>8333.3333333333339</v>
      </c>
      <c r="Y33" s="28" t="s">
        <v>80</v>
      </c>
      <c r="Z33" s="28"/>
      <c r="AA33" s="28"/>
      <c r="AB33" s="28"/>
      <c r="AC33" s="37" t="s">
        <v>91</v>
      </c>
    </row>
    <row r="34" spans="1:29" x14ac:dyDescent="0.25">
      <c r="A34" s="27">
        <v>80</v>
      </c>
      <c r="B34" s="28" t="s">
        <v>45</v>
      </c>
      <c r="C34" s="29" t="s">
        <v>59</v>
      </c>
      <c r="D34" s="29" t="s">
        <v>47</v>
      </c>
      <c r="E34" s="29" t="s">
        <v>48</v>
      </c>
      <c r="F34" s="29" t="s">
        <v>48</v>
      </c>
      <c r="G34" s="28" t="s">
        <v>49</v>
      </c>
      <c r="H34" s="28">
        <v>442</v>
      </c>
      <c r="I34" s="28" t="s">
        <v>50</v>
      </c>
      <c r="J34" s="28" t="s">
        <v>147</v>
      </c>
      <c r="K34" s="28" t="s">
        <v>52</v>
      </c>
      <c r="L34" s="46" t="s">
        <v>156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8343750</v>
      </c>
      <c r="U34" s="34">
        <v>5</v>
      </c>
      <c r="V34" s="34">
        <v>5</v>
      </c>
      <c r="W34" s="34">
        <v>60</v>
      </c>
      <c r="X34" s="33">
        <v>69531.25</v>
      </c>
      <c r="Y34" s="28" t="s">
        <v>80</v>
      </c>
      <c r="Z34" s="35" t="s">
        <v>81</v>
      </c>
      <c r="AA34" s="36" t="s">
        <v>48</v>
      </c>
      <c r="AB34" s="36" t="s">
        <v>48</v>
      </c>
      <c r="AC34" s="37" t="s">
        <v>131</v>
      </c>
    </row>
    <row r="35" spans="1:29" x14ac:dyDescent="0.25">
      <c r="A35" s="27">
        <v>81</v>
      </c>
      <c r="B35" s="28" t="s">
        <v>45</v>
      </c>
      <c r="C35" s="29" t="s">
        <v>46</v>
      </c>
      <c r="D35" s="29" t="s">
        <v>47</v>
      </c>
      <c r="E35" s="29" t="s">
        <v>48</v>
      </c>
      <c r="F35" s="29" t="s">
        <v>48</v>
      </c>
      <c r="G35" s="28" t="s">
        <v>49</v>
      </c>
      <c r="H35" s="28">
        <v>440</v>
      </c>
      <c r="I35" s="28" t="s">
        <v>50</v>
      </c>
      <c r="J35" s="28" t="s">
        <v>148</v>
      </c>
      <c r="K35" s="28" t="s">
        <v>52</v>
      </c>
      <c r="L35" s="43" t="s">
        <v>156</v>
      </c>
      <c r="M35" s="33">
        <v>8343750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8343750</v>
      </c>
      <c r="U35" s="34">
        <v>5</v>
      </c>
      <c r="V35" s="34">
        <v>5</v>
      </c>
      <c r="W35" s="34">
        <v>60</v>
      </c>
      <c r="X35" s="33">
        <v>69531.25</v>
      </c>
      <c r="Y35" s="28" t="s">
        <v>80</v>
      </c>
      <c r="Z35" s="35" t="s">
        <v>81</v>
      </c>
      <c r="AA35" s="36" t="s">
        <v>48</v>
      </c>
      <c r="AB35" s="36" t="s">
        <v>48</v>
      </c>
      <c r="AC35" s="37" t="s">
        <v>82</v>
      </c>
    </row>
    <row r="36" spans="1:29" x14ac:dyDescent="0.25">
      <c r="A36" s="27">
        <v>82</v>
      </c>
      <c r="B36" s="28" t="s">
        <v>45</v>
      </c>
      <c r="C36" s="29" t="s">
        <v>149</v>
      </c>
      <c r="D36" s="29" t="s">
        <v>104</v>
      </c>
      <c r="E36" s="29" t="s">
        <v>105</v>
      </c>
      <c r="F36" s="29" t="s">
        <v>106</v>
      </c>
      <c r="G36" s="28" t="s">
        <v>49</v>
      </c>
      <c r="H36" s="28">
        <v>382</v>
      </c>
      <c r="I36" s="28" t="s">
        <v>87</v>
      </c>
      <c r="J36" s="28" t="s">
        <v>150</v>
      </c>
      <c r="K36" s="28" t="s">
        <v>52</v>
      </c>
      <c r="L36" s="29" t="s">
        <v>157</v>
      </c>
      <c r="M36" s="33">
        <v>0</v>
      </c>
      <c r="N36" s="33">
        <v>3375000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3375000</v>
      </c>
      <c r="U36" s="34">
        <v>5</v>
      </c>
      <c r="V36" s="34">
        <v>5</v>
      </c>
      <c r="W36" s="34">
        <v>60</v>
      </c>
      <c r="X36" s="33">
        <v>38000</v>
      </c>
      <c r="Y36" s="28" t="s">
        <v>80</v>
      </c>
      <c r="Z36" s="35" t="s">
        <v>81</v>
      </c>
      <c r="AA36" s="35" t="s">
        <v>48</v>
      </c>
      <c r="AB36" s="35" t="s">
        <v>130</v>
      </c>
      <c r="AC36" s="37" t="s">
        <v>131</v>
      </c>
    </row>
    <row r="37" spans="1:29" x14ac:dyDescent="0.25">
      <c r="A37" s="27">
        <v>83</v>
      </c>
      <c r="B37" s="28" t="s">
        <v>45</v>
      </c>
      <c r="C37" s="29" t="s">
        <v>151</v>
      </c>
      <c r="D37" s="29" t="s">
        <v>104</v>
      </c>
      <c r="E37" s="29" t="s">
        <v>105</v>
      </c>
      <c r="F37" s="29" t="s">
        <v>106</v>
      </c>
      <c r="G37" s="28" t="s">
        <v>49</v>
      </c>
      <c r="H37" s="28">
        <v>409</v>
      </c>
      <c r="I37" s="28" t="s">
        <v>87</v>
      </c>
      <c r="J37" s="28" t="s">
        <v>152</v>
      </c>
      <c r="K37" s="28" t="s">
        <v>52</v>
      </c>
      <c r="L37" s="43" t="s">
        <v>157</v>
      </c>
      <c r="M37" s="33">
        <v>0</v>
      </c>
      <c r="N37" s="33">
        <v>3375000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3375000</v>
      </c>
      <c r="U37" s="34">
        <v>5</v>
      </c>
      <c r="V37" s="34">
        <v>5</v>
      </c>
      <c r="W37" s="34">
        <v>60</v>
      </c>
      <c r="X37" s="33">
        <v>38000</v>
      </c>
      <c r="Y37" s="28" t="s">
        <v>80</v>
      </c>
      <c r="Z37" s="35" t="s">
        <v>81</v>
      </c>
      <c r="AA37" s="35" t="s">
        <v>48</v>
      </c>
      <c r="AB37" s="35" t="s">
        <v>130</v>
      </c>
      <c r="AC37" s="37" t="s">
        <v>131</v>
      </c>
    </row>
    <row r="38" spans="1:29" x14ac:dyDescent="0.25">
      <c r="A38" s="27">
        <v>86</v>
      </c>
      <c r="B38" s="28" t="s">
        <v>45</v>
      </c>
      <c r="C38" s="29" t="s">
        <v>158</v>
      </c>
      <c r="D38" s="29" t="s">
        <v>104</v>
      </c>
      <c r="E38" s="29" t="s">
        <v>85</v>
      </c>
      <c r="F38" s="29" t="s">
        <v>159</v>
      </c>
      <c r="G38" s="28" t="s">
        <v>49</v>
      </c>
      <c r="H38" s="28">
        <v>415</v>
      </c>
      <c r="I38" s="28" t="s">
        <v>87</v>
      </c>
      <c r="J38" s="42" t="s">
        <v>160</v>
      </c>
      <c r="K38" s="28" t="s">
        <v>52</v>
      </c>
      <c r="L38" s="29" t="s">
        <v>157</v>
      </c>
      <c r="M38" s="33">
        <v>0</v>
      </c>
      <c r="N38" s="33">
        <v>3375000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3375000</v>
      </c>
      <c r="U38" s="34">
        <v>5</v>
      </c>
      <c r="V38" s="34">
        <v>5</v>
      </c>
      <c r="W38" s="34">
        <v>60</v>
      </c>
      <c r="X38" s="33">
        <v>38000</v>
      </c>
      <c r="Y38" s="28" t="s">
        <v>80</v>
      </c>
      <c r="Z38" s="35" t="s">
        <v>81</v>
      </c>
      <c r="AA38" s="35" t="s">
        <v>81</v>
      </c>
      <c r="AB38" s="44">
        <v>27540</v>
      </c>
      <c r="AC38" s="37" t="s">
        <v>131</v>
      </c>
    </row>
    <row r="39" spans="1:29" x14ac:dyDescent="0.25">
      <c r="A39" s="27">
        <v>87</v>
      </c>
      <c r="B39" s="28" t="s">
        <v>45</v>
      </c>
      <c r="C39" s="29" t="s">
        <v>49</v>
      </c>
      <c r="D39" s="29" t="s">
        <v>84</v>
      </c>
      <c r="E39" s="29" t="s">
        <v>161</v>
      </c>
      <c r="F39" s="40" t="s">
        <v>91</v>
      </c>
      <c r="G39" s="28" t="s">
        <v>49</v>
      </c>
      <c r="H39" s="28" t="s">
        <v>92</v>
      </c>
      <c r="I39" s="28" t="s">
        <v>87</v>
      </c>
      <c r="J39" s="28" t="s">
        <v>162</v>
      </c>
      <c r="K39" s="28" t="s">
        <v>52</v>
      </c>
      <c r="L39" s="43" t="s">
        <v>157</v>
      </c>
      <c r="M39" s="33">
        <v>0</v>
      </c>
      <c r="N39" s="33">
        <v>3375000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3375000</v>
      </c>
      <c r="U39" s="34">
        <v>5</v>
      </c>
      <c r="V39" s="34">
        <v>5</v>
      </c>
      <c r="W39" s="34">
        <v>60</v>
      </c>
      <c r="X39" s="33">
        <v>38000</v>
      </c>
      <c r="Y39" s="28" t="s">
        <v>80</v>
      </c>
      <c r="Z39" s="28"/>
      <c r="AA39" s="28"/>
      <c r="AB39" s="28"/>
      <c r="AC39" s="37" t="s">
        <v>166</v>
      </c>
    </row>
    <row r="40" spans="1:29" x14ac:dyDescent="0.25">
      <c r="A40" s="27">
        <v>88</v>
      </c>
      <c r="B40" s="28" t="s">
        <v>45</v>
      </c>
      <c r="C40" s="29" t="s">
        <v>158</v>
      </c>
      <c r="D40" s="29" t="s">
        <v>104</v>
      </c>
      <c r="E40" s="29" t="s">
        <v>85</v>
      </c>
      <c r="F40" s="29" t="s">
        <v>159</v>
      </c>
      <c r="G40" s="28" t="s">
        <v>49</v>
      </c>
      <c r="H40" s="28">
        <v>351</v>
      </c>
      <c r="I40" s="28" t="s">
        <v>87</v>
      </c>
      <c r="J40" s="42" t="s">
        <v>163</v>
      </c>
      <c r="K40" s="28" t="s">
        <v>52</v>
      </c>
      <c r="L40" s="29" t="s">
        <v>157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2877805.93</v>
      </c>
      <c r="U40" s="34" t="s">
        <v>130</v>
      </c>
      <c r="V40" s="34" t="s">
        <v>130</v>
      </c>
      <c r="W40" s="34" t="s">
        <v>130</v>
      </c>
      <c r="X40" s="33">
        <v>38000</v>
      </c>
      <c r="Y40" s="28" t="s">
        <v>80</v>
      </c>
      <c r="Z40" s="35" t="s">
        <v>81</v>
      </c>
      <c r="AA40" s="35" t="s">
        <v>81</v>
      </c>
      <c r="AB40" s="44">
        <v>189125</v>
      </c>
      <c r="AC40" s="37" t="s">
        <v>82</v>
      </c>
    </row>
    <row r="41" spans="1:29" x14ac:dyDescent="0.25">
      <c r="A41" s="27">
        <v>89</v>
      </c>
      <c r="B41" s="28" t="s">
        <v>45</v>
      </c>
      <c r="C41" s="29" t="s">
        <v>55</v>
      </c>
      <c r="D41" s="29" t="s">
        <v>47</v>
      </c>
      <c r="E41" s="29" t="s">
        <v>48</v>
      </c>
      <c r="F41" s="29" t="s">
        <v>48</v>
      </c>
      <c r="G41" s="28" t="s">
        <v>49</v>
      </c>
      <c r="H41" s="28">
        <v>426</v>
      </c>
      <c r="I41" s="28" t="s">
        <v>50</v>
      </c>
      <c r="J41" s="28" t="s">
        <v>164</v>
      </c>
      <c r="K41" s="28" t="s">
        <v>52</v>
      </c>
      <c r="L41" s="43" t="s">
        <v>167</v>
      </c>
      <c r="M41" s="33">
        <v>4687000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4687000</v>
      </c>
      <c r="U41" s="34">
        <v>5</v>
      </c>
      <c r="V41" s="34">
        <v>5</v>
      </c>
      <c r="W41" s="34">
        <v>60</v>
      </c>
      <c r="X41" s="33">
        <v>39058.333333333336</v>
      </c>
      <c r="Y41" s="28" t="s">
        <v>80</v>
      </c>
      <c r="Z41" s="35" t="s">
        <v>81</v>
      </c>
      <c r="AA41" s="36" t="s">
        <v>48</v>
      </c>
      <c r="AB41" s="36" t="s">
        <v>48</v>
      </c>
      <c r="AC41" s="37" t="s">
        <v>82</v>
      </c>
    </row>
    <row r="42" spans="1:29" x14ac:dyDescent="0.25">
      <c r="A42" s="27">
        <v>90</v>
      </c>
      <c r="B42" s="28" t="s">
        <v>45</v>
      </c>
      <c r="C42" s="29" t="s">
        <v>59</v>
      </c>
      <c r="D42" s="29" t="s">
        <v>47</v>
      </c>
      <c r="E42" s="29" t="s">
        <v>48</v>
      </c>
      <c r="F42" s="29" t="s">
        <v>48</v>
      </c>
      <c r="G42" s="28" t="s">
        <v>49</v>
      </c>
      <c r="H42" s="28">
        <v>395</v>
      </c>
      <c r="I42" s="28" t="s">
        <v>50</v>
      </c>
      <c r="J42" s="28" t="s">
        <v>165</v>
      </c>
      <c r="K42" s="28" t="s">
        <v>52</v>
      </c>
      <c r="L42" s="29" t="s">
        <v>168</v>
      </c>
      <c r="M42" s="33">
        <v>900000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900000</v>
      </c>
      <c r="U42" s="34">
        <v>5</v>
      </c>
      <c r="V42" s="34">
        <v>5</v>
      </c>
      <c r="W42" s="34">
        <v>60</v>
      </c>
      <c r="X42" s="33">
        <v>10000</v>
      </c>
      <c r="Y42" s="28" t="s">
        <v>80</v>
      </c>
      <c r="Z42" s="35" t="s">
        <v>81</v>
      </c>
      <c r="AA42" s="36" t="s">
        <v>48</v>
      </c>
      <c r="AB42" s="36" t="s">
        <v>48</v>
      </c>
      <c r="AC42" s="37" t="s">
        <v>131</v>
      </c>
    </row>
    <row r="43" spans="1:29" x14ac:dyDescent="0.25">
      <c r="A43" s="47"/>
      <c r="B43" s="47"/>
      <c r="C43" s="48"/>
      <c r="D43" s="48"/>
      <c r="E43" s="48"/>
      <c r="F43" s="48"/>
      <c r="G43" s="47"/>
      <c r="H43" s="47"/>
      <c r="I43" s="47"/>
      <c r="J43" s="47"/>
      <c r="K43" s="47"/>
      <c r="L43" s="48"/>
      <c r="M43" s="49"/>
      <c r="N43" s="49"/>
      <c r="O43" s="49"/>
      <c r="P43" s="49"/>
      <c r="Q43" s="49"/>
      <c r="R43" s="49"/>
      <c r="S43" s="49"/>
      <c r="T43" s="50"/>
      <c r="U43" s="51"/>
      <c r="V43" s="51"/>
      <c r="W43" s="51"/>
      <c r="X43" s="52">
        <v>762437.50000000012</v>
      </c>
      <c r="Y43" s="47"/>
      <c r="Z43" s="47"/>
      <c r="AA43" s="47"/>
      <c r="AB43" s="52">
        <v>838748.78</v>
      </c>
      <c r="AC43" s="53"/>
    </row>
    <row r="44" spans="1:29" x14ac:dyDescent="0.25">
      <c r="A44" s="47"/>
      <c r="B44" s="47"/>
      <c r="C44" s="48"/>
      <c r="D44" s="48"/>
      <c r="E44" s="48"/>
      <c r="F44" s="48"/>
      <c r="G44" s="47"/>
      <c r="H44" s="47"/>
      <c r="I44" s="47"/>
      <c r="J44" s="47"/>
      <c r="K44" s="47"/>
      <c r="L44" s="48"/>
      <c r="M44" s="49"/>
      <c r="N44" s="49"/>
      <c r="O44" s="49"/>
      <c r="P44" s="49"/>
      <c r="Q44" s="49"/>
      <c r="R44" s="49"/>
      <c r="S44" s="49"/>
      <c r="T44" s="50"/>
      <c r="U44" s="51"/>
      <c r="V44" s="51"/>
      <c r="W44" s="51"/>
      <c r="X44" s="50"/>
      <c r="Y44" s="47"/>
      <c r="Z44" s="47"/>
      <c r="AA44" s="47"/>
      <c r="AB44" s="47"/>
      <c r="AC44" s="53"/>
    </row>
    <row r="45" spans="1:29" x14ac:dyDescent="0.25">
      <c r="A45" s="47"/>
      <c r="B45" s="47"/>
      <c r="C45" s="48"/>
      <c r="D45" s="48"/>
      <c r="E45" s="48"/>
      <c r="F45" s="48"/>
      <c r="G45" s="47"/>
      <c r="H45" s="47"/>
      <c r="I45" s="47"/>
      <c r="J45" s="47"/>
      <c r="K45" s="47"/>
      <c r="L45" s="48"/>
      <c r="M45" s="49"/>
      <c r="N45" s="49"/>
      <c r="O45" s="49"/>
      <c r="P45" s="49"/>
      <c r="Q45" s="49"/>
      <c r="R45" s="49"/>
      <c r="S45" s="49"/>
      <c r="T45" s="50"/>
      <c r="U45" s="51"/>
      <c r="V45" s="51"/>
      <c r="W45" s="51"/>
      <c r="X45" s="50">
        <v>1156345.83</v>
      </c>
      <c r="Y45" s="47" t="s">
        <v>169</v>
      </c>
      <c r="Z45" s="47"/>
      <c r="AA45" s="47"/>
      <c r="AB45" s="47"/>
      <c r="AC45" s="53"/>
    </row>
  </sheetData>
  <autoFilter ref="A1:AC43" xr:uid="{2AC2918B-FB03-4951-82D4-BB49E351E013}"/>
  <dataValidations count="1">
    <dataValidation type="list" allowBlank="1" showInputMessage="1" showErrorMessage="1" sqref="I2:I42" xr:uid="{101CF2E5-47C2-4DF4-848F-E6450645E949}">
      <formula1>"LOCAÇÃO, SERVIÇO, N/A"</formula1>
    </dataValidation>
  </dataValidations>
  <hyperlinks>
    <hyperlink ref="L6" r:id="rId1" display="ESCAVADEIRA / GARRA LIEBHERR" xr:uid="{4281C7A0-E2D9-4EE1-94F7-3A6037FBDF88}"/>
    <hyperlink ref="L15" r:id="rId2" xr:uid="{1BF860F0-90B3-467C-89D7-504F107B5459}"/>
    <hyperlink ref="L18" r:id="rId3" xr:uid="{D1EDCE3B-2F30-4B37-B613-AD70E840E714}"/>
    <hyperlink ref="L17" r:id="rId4" xr:uid="{168445B3-E716-401F-B936-683FD420D9C1}"/>
    <hyperlink ref="L16" r:id="rId5" xr:uid="{4C4F24CE-7A3D-4025-B997-3C6927ABC5C4}"/>
    <hyperlink ref="L12" r:id="rId6" display="ESCAVADEIRA / GARRA DINAMAC / ELETROIMA" xr:uid="{D76CCB92-6F63-425F-B70B-D448C7499ECD}"/>
    <hyperlink ref="L13" r:id="rId7" display="ESCAVADEIRA / GARRA DINAMAC / ELETROIMA" xr:uid="{2FC81025-8D80-4161-A074-50011C89E329}"/>
    <hyperlink ref="L11" r:id="rId8" display="ESCAVADEIRA / GARRA DINAMAC / ELETROIMA" xr:uid="{F9370005-66B8-4D1B-800F-0621609796A5}"/>
    <hyperlink ref="L10" r:id="rId9" display="ESCAVADEIRA / GARRA DINAMAC / ELETROIMA" xr:uid="{4A96C235-E8C3-42C0-8C1A-7B2A8686395F}"/>
    <hyperlink ref="L9" r:id="rId10" display="ESCAVADEIRA / GARRA CHB / ELETROIMA" xr:uid="{286BB087-E5A7-43E1-BACF-2060F2201BE9}"/>
    <hyperlink ref="L28" r:id="rId11" xr:uid="{AF503514-5BC8-4047-833A-506C660ADB37}"/>
    <hyperlink ref="L8" r:id="rId12" xr:uid="{6A9E470E-282C-48F5-B54E-C04AF0EDCCE5}"/>
    <hyperlink ref="L26" r:id="rId13" xr:uid="{CDF3F814-C9A5-4C47-B97E-C4642063B49B}"/>
    <hyperlink ref="L7" r:id="rId14" xr:uid="{AC2E66D4-A041-41E3-826C-266BA33DBB4B}"/>
    <hyperlink ref="L24" r:id="rId15" xr:uid="{B3841C67-E80C-4A7D-9347-770BAB171CA2}"/>
    <hyperlink ref="L20" r:id="rId16" display="ESCAVADEIRA / GARRA LIEBHERR" xr:uid="{58E9013E-1F8F-41EF-AF63-FB6F738595AD}"/>
    <hyperlink ref="L25" r:id="rId17" display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xr:uid="{4EBEDC89-1824-49DE-9A49-6F3EF71218AF}"/>
    <hyperlink ref="L14" r:id="rId18" xr:uid="{7A81CCC0-1930-4654-ABFD-D5D2B843A694}"/>
    <hyperlink ref="L29" r:id="rId19" xr:uid="{34A6C82B-C550-41F3-A399-7B61DA6DAE0F}"/>
    <hyperlink ref="L30" r:id="rId20" xr:uid="{0E7F9B59-4F68-4475-8FE5-DE5E748889F9}"/>
    <hyperlink ref="L33" r:id="rId21" xr:uid="{2A336167-9FD8-43BF-B765-10E436042978}"/>
    <hyperlink ref="L31" r:id="rId22" xr:uid="{7A119C4C-7A42-4FA4-BC46-B3C45599F4C5}"/>
    <hyperlink ref="L37" r:id="rId23" display="PRENSA MOVEL" xr:uid="{AC5E7158-871B-41EE-AFD4-4918F91708CA}"/>
    <hyperlink ref="L35" r:id="rId24" display="PRENSA FIXA" xr:uid="{BFF488F5-2C78-41BE-824F-5633C95926FA}"/>
    <hyperlink ref="L34" r:id="rId25" display="PRENSA TESOURA HIDRÁULICA JCG800/7000L" xr:uid="{002888FA-3CF5-4AAA-85DB-134F7BB6A43C}"/>
    <hyperlink ref="L39" r:id="rId26" display="PRENSA MOVEL" xr:uid="{BDAF6AFF-2C29-4FB1-9054-036AE072E407}"/>
    <hyperlink ref="L41" r:id="rId27" display="PRENSA SEMI FIXA" xr:uid="{8F5F1612-2CB5-48A2-B1BE-A81AA09DF875}"/>
  </hyperlinks>
  <pageMargins left="0.511811024" right="0.511811024" top="0.78740157499999996" bottom="0.78740157499999996" header="0.31496062000000002" footer="0.31496062000000002"/>
  <legacy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CB46-C93B-45F5-803D-12FBB18A3ACA}">
  <dimension ref="A1:CS234"/>
  <sheetViews>
    <sheetView workbookViewId="0">
      <selection activeCell="I15" sqref="I15"/>
    </sheetView>
  </sheetViews>
  <sheetFormatPr defaultRowHeight="15" x14ac:dyDescent="0.25"/>
  <cols>
    <col min="3" max="3" width="17.5703125" bestFit="1" customWidth="1"/>
    <col min="4" max="4" width="16.28515625" bestFit="1" customWidth="1"/>
    <col min="5" max="5" width="30" customWidth="1"/>
    <col min="7" max="7" width="21.140625" bestFit="1" customWidth="1"/>
    <col min="12" max="12" width="13.7109375" bestFit="1" customWidth="1"/>
    <col min="13" max="13" width="19.28515625" bestFit="1" customWidth="1"/>
    <col min="14" max="14" width="23.28515625" bestFit="1" customWidth="1"/>
    <col min="15" max="15" width="19.140625" bestFit="1" customWidth="1"/>
    <col min="24" max="24" width="20.28515625" bestFit="1" customWidth="1"/>
    <col min="25" max="25" width="19.7109375" bestFit="1" customWidth="1"/>
    <col min="26" max="26" width="30.140625" bestFit="1" customWidth="1"/>
    <col min="27" max="27" width="30.7109375" bestFit="1" customWidth="1"/>
    <col min="37" max="37" width="15.5703125" bestFit="1" customWidth="1"/>
    <col min="38" max="38" width="98.140625" bestFit="1" customWidth="1"/>
    <col min="44" max="44" width="13.28515625" customWidth="1"/>
    <col min="49" max="49" width="21.5703125" bestFit="1" customWidth="1"/>
    <col min="50" max="50" width="19" bestFit="1" customWidth="1"/>
    <col min="58" max="58" width="16.85546875" customWidth="1"/>
    <col min="59" max="59" width="20.28515625" customWidth="1"/>
    <col min="60" max="60" width="22.7109375" customWidth="1"/>
    <col min="69" max="69" width="23.7109375" bestFit="1" customWidth="1"/>
    <col min="71" max="71" width="14.7109375" bestFit="1" customWidth="1"/>
  </cols>
  <sheetData>
    <row r="1" spans="1:97" x14ac:dyDescent="0.25">
      <c r="A1" s="35" t="s">
        <v>34</v>
      </c>
      <c r="B1" s="35" t="s">
        <v>225</v>
      </c>
      <c r="C1" s="35" t="s">
        <v>226</v>
      </c>
      <c r="D1" s="204" t="s">
        <v>40</v>
      </c>
      <c r="E1" s="204" t="s">
        <v>227</v>
      </c>
      <c r="F1" s="204" t="s">
        <v>228</v>
      </c>
      <c r="G1" s="205" t="s">
        <v>229</v>
      </c>
      <c r="H1" s="206" t="s">
        <v>230</v>
      </c>
      <c r="I1" s="35" t="s">
        <v>231</v>
      </c>
      <c r="J1" s="35" t="s">
        <v>232</v>
      </c>
      <c r="K1" s="35" t="s">
        <v>233</v>
      </c>
      <c r="L1" s="207" t="s">
        <v>234</v>
      </c>
      <c r="M1" s="208" t="s">
        <v>235</v>
      </c>
      <c r="N1" s="207" t="s">
        <v>236</v>
      </c>
      <c r="O1" s="208" t="s">
        <v>237</v>
      </c>
      <c r="P1" s="207" t="s">
        <v>238</v>
      </c>
      <c r="Q1" s="35" t="s">
        <v>239</v>
      </c>
      <c r="R1" s="207" t="s">
        <v>240</v>
      </c>
      <c r="S1" s="209" t="s">
        <v>241</v>
      </c>
      <c r="T1" s="209" t="s">
        <v>242</v>
      </c>
      <c r="U1" s="210" t="s">
        <v>243</v>
      </c>
      <c r="V1" s="211" t="s">
        <v>244</v>
      </c>
      <c r="W1" s="211" t="s">
        <v>235</v>
      </c>
      <c r="X1" s="211" t="s">
        <v>237</v>
      </c>
      <c r="Y1" s="211" t="s">
        <v>245</v>
      </c>
      <c r="Z1" s="211" t="s">
        <v>246</v>
      </c>
      <c r="AA1" s="211" t="s">
        <v>247</v>
      </c>
      <c r="AB1" s="211" t="s">
        <v>248</v>
      </c>
      <c r="AC1" s="211" t="s">
        <v>249</v>
      </c>
      <c r="AD1" s="211" t="s">
        <v>250</v>
      </c>
      <c r="AE1" s="35" t="s">
        <v>35</v>
      </c>
      <c r="AF1" s="35" t="s">
        <v>36</v>
      </c>
      <c r="AG1" s="204" t="s">
        <v>43</v>
      </c>
      <c r="AH1" s="35" t="s">
        <v>251</v>
      </c>
      <c r="AI1" s="35" t="s">
        <v>252</v>
      </c>
      <c r="AJ1" s="35" t="s">
        <v>253</v>
      </c>
      <c r="AK1" s="35" t="s">
        <v>170</v>
      </c>
      <c r="AL1" s="35" t="s">
        <v>254</v>
      </c>
      <c r="AM1" s="212" t="s">
        <v>255</v>
      </c>
      <c r="AN1" s="212" t="s">
        <v>256</v>
      </c>
      <c r="AO1" s="213" t="s">
        <v>61</v>
      </c>
      <c r="AP1" s="214" t="s">
        <v>44</v>
      </c>
      <c r="AQ1" s="213" t="e">
        <f>'[1]Critério de Depreciação'!#REF!</f>
        <v>#REF!</v>
      </c>
      <c r="AR1" s="213" t="e">
        <f>'[1]Critério de Depreciação'!#REF!</f>
        <v>#REF!</v>
      </c>
      <c r="AS1" s="214" t="s">
        <v>257</v>
      </c>
      <c r="AT1" s="214" t="s">
        <v>258</v>
      </c>
      <c r="AU1" s="35" t="s">
        <v>259</v>
      </c>
      <c r="AV1" s="214" t="s">
        <v>260</v>
      </c>
      <c r="AW1" s="93" t="s">
        <v>261</v>
      </c>
      <c r="AX1" s="208" t="s">
        <v>262</v>
      </c>
      <c r="AY1" s="208" t="s">
        <v>263</v>
      </c>
      <c r="AZ1" s="207" t="s">
        <v>264</v>
      </c>
      <c r="BA1" s="215" t="s">
        <v>265</v>
      </c>
      <c r="BB1" s="208" t="s">
        <v>266</v>
      </c>
      <c r="BC1" s="207" t="s">
        <v>267</v>
      </c>
      <c r="BD1" s="207" t="s">
        <v>268</v>
      </c>
      <c r="BE1" s="207" t="s">
        <v>269</v>
      </c>
      <c r="BF1" s="216" t="s">
        <v>62</v>
      </c>
      <c r="BG1" s="216" t="s">
        <v>63</v>
      </c>
      <c r="BH1" s="216" t="s">
        <v>64</v>
      </c>
      <c r="BI1" s="216" t="s">
        <v>65</v>
      </c>
      <c r="BJ1" s="216" t="s">
        <v>66</v>
      </c>
      <c r="BK1" s="216" t="s">
        <v>67</v>
      </c>
      <c r="BL1" s="216" t="s">
        <v>68</v>
      </c>
      <c r="BM1" s="93" t="s">
        <v>270</v>
      </c>
      <c r="BN1" s="216" t="s">
        <v>271</v>
      </c>
      <c r="BO1" s="216" t="s">
        <v>272</v>
      </c>
      <c r="BP1" s="93" t="s">
        <v>273</v>
      </c>
      <c r="BQ1" s="216" t="s">
        <v>274</v>
      </c>
      <c r="BR1" s="216" t="s">
        <v>275</v>
      </c>
      <c r="BS1" s="207" t="s">
        <v>276</v>
      </c>
      <c r="BT1" s="217" t="s">
        <v>277</v>
      </c>
      <c r="BU1" s="207" t="s">
        <v>278</v>
      </c>
      <c r="BV1" s="207" t="s">
        <v>279</v>
      </c>
      <c r="BW1" s="218" t="s">
        <v>280</v>
      </c>
      <c r="BX1" s="219" t="s">
        <v>281</v>
      </c>
      <c r="BY1" s="214" t="s">
        <v>282</v>
      </c>
      <c r="BZ1" s="214" t="s">
        <v>283</v>
      </c>
      <c r="CA1" s="214" t="s">
        <v>284</v>
      </c>
      <c r="CB1" s="214" t="s">
        <v>285</v>
      </c>
      <c r="CC1" s="214" t="s">
        <v>286</v>
      </c>
      <c r="CD1" s="214" t="s">
        <v>287</v>
      </c>
      <c r="CE1" s="214" t="s">
        <v>288</v>
      </c>
      <c r="CF1" s="214" t="s">
        <v>289</v>
      </c>
      <c r="CG1" s="214" t="s">
        <v>290</v>
      </c>
      <c r="CH1" s="44" t="s">
        <v>291</v>
      </c>
      <c r="CI1" s="220" t="s">
        <v>292</v>
      </c>
      <c r="CJ1" s="204" t="s">
        <v>70</v>
      </c>
      <c r="CK1" s="204" t="s">
        <v>71</v>
      </c>
      <c r="CL1" s="204" t="s">
        <v>72</v>
      </c>
      <c r="CM1" s="220" t="s">
        <v>293</v>
      </c>
      <c r="CN1" s="204" t="s">
        <v>294</v>
      </c>
      <c r="CO1" s="220" t="s">
        <v>295</v>
      </c>
      <c r="CP1" s="221"/>
      <c r="CQ1" s="221"/>
      <c r="CR1" s="222"/>
      <c r="CS1" s="222"/>
    </row>
    <row r="2" spans="1:97" x14ac:dyDescent="0.25">
      <c r="A2" s="27">
        <v>1</v>
      </c>
      <c r="B2" s="27">
        <v>40</v>
      </c>
      <c r="C2" s="29" t="s">
        <v>457</v>
      </c>
      <c r="D2" s="40" t="s">
        <v>458</v>
      </c>
      <c r="E2" s="40" t="s">
        <v>130</v>
      </c>
      <c r="F2" s="40" t="s">
        <v>130</v>
      </c>
      <c r="G2" s="84" t="s">
        <v>48</v>
      </c>
      <c r="H2" s="41" t="s">
        <v>130</v>
      </c>
      <c r="I2" s="29" t="s">
        <v>130</v>
      </c>
      <c r="J2" s="29" t="s">
        <v>130</v>
      </c>
      <c r="K2" s="29" t="s">
        <v>130</v>
      </c>
      <c r="L2" s="85">
        <v>167.74</v>
      </c>
      <c r="M2" s="86" t="s">
        <v>130</v>
      </c>
      <c r="N2" s="85">
        <v>0</v>
      </c>
      <c r="O2" s="86" t="s">
        <v>130</v>
      </c>
      <c r="P2" s="85">
        <v>0</v>
      </c>
      <c r="Q2" s="29" t="s">
        <v>80</v>
      </c>
      <c r="R2" s="85">
        <v>0</v>
      </c>
      <c r="S2" s="85">
        <v>0</v>
      </c>
      <c r="T2" s="85">
        <v>0</v>
      </c>
      <c r="U2" s="85">
        <v>0</v>
      </c>
      <c r="V2" s="85">
        <v>0</v>
      </c>
      <c r="W2" s="86" t="s">
        <v>130</v>
      </c>
      <c r="X2" s="86" t="s">
        <v>130</v>
      </c>
      <c r="Y2" s="85">
        <v>174.08</v>
      </c>
      <c r="Z2" s="85">
        <f>U2+Y2</f>
        <v>174.08</v>
      </c>
      <c r="AA2" s="85">
        <f>V2+Y2</f>
        <v>174.08</v>
      </c>
      <c r="AB2" s="85">
        <v>0</v>
      </c>
      <c r="AC2" s="85">
        <v>0</v>
      </c>
      <c r="AD2" s="85">
        <v>0</v>
      </c>
      <c r="AE2" s="29" t="s">
        <v>45</v>
      </c>
      <c r="AF2" s="29" t="s">
        <v>459</v>
      </c>
      <c r="AG2" s="40" t="s">
        <v>460</v>
      </c>
      <c r="AH2" s="29" t="s">
        <v>130</v>
      </c>
      <c r="AI2" s="87" t="str">
        <f>IFERROR(VLOOKUP(AG2,[2]Frota!$D$2:$AV$187,2,FALSE),"-")</f>
        <v>01187307529</v>
      </c>
      <c r="AJ2" s="87" t="str">
        <f>IFERROR(VLOOKUP(AG2,[2]Frota!$D$2:$AV$187,3,FALSE),"-")</f>
        <v>9A9A03310K0BE7292</v>
      </c>
      <c r="AK2" s="29" t="s">
        <v>461</v>
      </c>
      <c r="AL2" s="29" t="s">
        <v>462</v>
      </c>
      <c r="AM2" s="34">
        <v>2018</v>
      </c>
      <c r="AN2" s="34">
        <v>2019</v>
      </c>
      <c r="AO2" s="40" t="s">
        <v>463</v>
      </c>
      <c r="AP2" s="29" t="s">
        <v>130</v>
      </c>
      <c r="AQ2" s="88" t="s">
        <v>464</v>
      </c>
      <c r="AR2" s="89">
        <f>VLOOKUP(AQ2,'[1]Critério de Depreciação'!$C$3:$G$8,5,FALSE)</f>
        <v>1.6666666666666667</v>
      </c>
      <c r="AS2" s="29" t="s">
        <v>130</v>
      </c>
      <c r="AT2" s="29" t="s">
        <v>130</v>
      </c>
      <c r="AU2" s="29" t="str">
        <f>IFERROR(VLOOKUP(AG45,[2]Frota!$D$2:$AV$187,12,FALSE),"-")</f>
        <v>-</v>
      </c>
      <c r="AV2" s="29" t="s">
        <v>130</v>
      </c>
      <c r="AW2" s="90">
        <v>0</v>
      </c>
      <c r="AX2" s="86" t="s">
        <v>130</v>
      </c>
      <c r="AY2" s="91" t="s">
        <v>130</v>
      </c>
      <c r="AZ2" s="85">
        <v>5000</v>
      </c>
      <c r="BA2" s="85">
        <v>0</v>
      </c>
      <c r="BB2" s="86" t="s">
        <v>130</v>
      </c>
      <c r="BC2" s="85">
        <v>0</v>
      </c>
      <c r="BD2" s="85">
        <v>0</v>
      </c>
      <c r="BE2" s="92">
        <f>SUM(AZ2:BA2,BC2:BD2)</f>
        <v>5000</v>
      </c>
      <c r="BF2" s="92">
        <v>0</v>
      </c>
      <c r="BG2" s="92">
        <v>0</v>
      </c>
      <c r="BH2" s="92">
        <v>0</v>
      </c>
      <c r="BI2" s="92">
        <v>0</v>
      </c>
      <c r="BJ2" s="92">
        <v>0</v>
      </c>
      <c r="BK2" s="92">
        <v>0</v>
      </c>
      <c r="BL2" s="92">
        <v>0</v>
      </c>
      <c r="BM2" s="93">
        <f>SUM(BF2:BL2)</f>
        <v>0</v>
      </c>
      <c r="BN2" s="92">
        <v>0</v>
      </c>
      <c r="BO2" s="92">
        <v>0</v>
      </c>
      <c r="BP2" s="92">
        <f>BN2+BO2</f>
        <v>0</v>
      </c>
      <c r="BQ2" s="92">
        <v>0</v>
      </c>
      <c r="BR2" s="92">
        <v>0</v>
      </c>
      <c r="BS2" s="85">
        <f>IFERROR((AW2*20%)/12,"-")</f>
        <v>0</v>
      </c>
      <c r="BT2" s="94" t="s">
        <v>130</v>
      </c>
      <c r="BU2" s="94" t="s">
        <v>130</v>
      </c>
      <c r="BV2" s="94" t="s">
        <v>130</v>
      </c>
      <c r="BW2" s="95" t="s">
        <v>130</v>
      </c>
      <c r="BX2" s="96" t="s">
        <v>130</v>
      </c>
      <c r="BY2" s="29" t="s">
        <v>465</v>
      </c>
      <c r="BZ2" s="29" t="s">
        <v>465</v>
      </c>
      <c r="CA2" s="29" t="s">
        <v>465</v>
      </c>
      <c r="CB2" s="29" t="s">
        <v>465</v>
      </c>
      <c r="CC2" s="29" t="s">
        <v>130</v>
      </c>
      <c r="CD2" s="29" t="s">
        <v>130</v>
      </c>
      <c r="CE2" s="29" t="str">
        <f>AF2</f>
        <v>PARTICULAR</v>
      </c>
      <c r="CF2" s="97" t="s">
        <v>130</v>
      </c>
      <c r="CG2" s="97" t="s">
        <v>130</v>
      </c>
      <c r="CH2" s="37">
        <f>BM2</f>
        <v>0</v>
      </c>
      <c r="CI2" s="98" t="s">
        <v>130</v>
      </c>
      <c r="CJ2" s="39">
        <v>5</v>
      </c>
      <c r="CK2" s="39">
        <v>5</v>
      </c>
      <c r="CL2" s="39">
        <f>12*CK2</f>
        <v>60</v>
      </c>
      <c r="CM2" s="99">
        <f>IFERROR((CH2/CL2)*2,"-")</f>
        <v>0</v>
      </c>
      <c r="CN2" s="40" t="str">
        <f>IFERROR(IF(VLOOKUP(AG2,'[1]ATIVOS SAGI'!C:D,1,FALSE)&lt;&gt;"","CADASTRADO","NÃO CADASTRADO"),"NÃO CADASTRADO")</f>
        <v>NÃO CADASTRADO</v>
      </c>
      <c r="CO2" s="99">
        <f t="shared" ref="CO2:CO65" si="0">BM2*AR2/100</f>
        <v>0</v>
      </c>
      <c r="CP2" s="48"/>
      <c r="CQ2" s="48"/>
      <c r="CR2" s="100"/>
      <c r="CS2" s="100"/>
    </row>
    <row r="3" spans="1:97" x14ac:dyDescent="0.25">
      <c r="A3" s="101">
        <v>3</v>
      </c>
      <c r="B3" s="101">
        <v>42</v>
      </c>
      <c r="C3" s="102" t="s">
        <v>296</v>
      </c>
      <c r="D3" s="88" t="s">
        <v>49</v>
      </c>
      <c r="E3" s="88" t="s">
        <v>130</v>
      </c>
      <c r="F3" s="103" t="s">
        <v>130</v>
      </c>
      <c r="G3" s="88"/>
      <c r="H3" s="104" t="s">
        <v>130</v>
      </c>
      <c r="I3" s="102" t="s">
        <v>130</v>
      </c>
      <c r="J3" s="102" t="s">
        <v>130</v>
      </c>
      <c r="K3" s="105" t="s">
        <v>466</v>
      </c>
      <c r="L3" s="105">
        <v>167.74</v>
      </c>
      <c r="M3" s="106" t="s">
        <v>130</v>
      </c>
      <c r="N3" s="105">
        <v>0</v>
      </c>
      <c r="O3" s="106" t="s">
        <v>130</v>
      </c>
      <c r="P3" s="105">
        <v>0</v>
      </c>
      <c r="Q3" s="102" t="s">
        <v>80</v>
      </c>
      <c r="R3" s="105">
        <v>0</v>
      </c>
      <c r="S3" s="105">
        <v>0</v>
      </c>
      <c r="T3" s="105">
        <v>0</v>
      </c>
      <c r="U3" s="105">
        <v>0</v>
      </c>
      <c r="V3" s="105">
        <v>0</v>
      </c>
      <c r="W3" s="106" t="s">
        <v>130</v>
      </c>
      <c r="X3" s="106" t="s">
        <v>130</v>
      </c>
      <c r="Y3" s="105">
        <v>174.08</v>
      </c>
      <c r="Z3" s="105">
        <f>U3+Y3</f>
        <v>174.08</v>
      </c>
      <c r="AA3" s="105">
        <f>V3+Y3</f>
        <v>174.08</v>
      </c>
      <c r="AB3" s="105">
        <v>0</v>
      </c>
      <c r="AC3" s="105">
        <v>0</v>
      </c>
      <c r="AD3" s="105">
        <v>0</v>
      </c>
      <c r="AE3" s="102" t="s">
        <v>297</v>
      </c>
      <c r="AF3" s="102" t="s">
        <v>46</v>
      </c>
      <c r="AG3" s="88" t="s">
        <v>467</v>
      </c>
      <c r="AH3" s="102" t="s">
        <v>468</v>
      </c>
      <c r="AI3" s="107" t="str">
        <f>IFERROR(VLOOKUP(AG3,[2]Frota!$D$2:$AV$187,2,FALSE),"-")</f>
        <v>01267132261</v>
      </c>
      <c r="AJ3" s="107" t="str">
        <f>IFERROR(VLOOKUP(AG3,[2]Frota!$D$2:$AV$187,3,FALSE),"-")</f>
        <v>9E3CLA501MG001556</v>
      </c>
      <c r="AK3" s="102" t="s">
        <v>469</v>
      </c>
      <c r="AL3" s="102" t="s">
        <v>470</v>
      </c>
      <c r="AM3" s="108">
        <v>2021</v>
      </c>
      <c r="AN3" s="108">
        <v>2021</v>
      </c>
      <c r="AO3" s="88" t="s">
        <v>471</v>
      </c>
      <c r="AP3" s="102" t="s">
        <v>130</v>
      </c>
      <c r="AQ3" s="88" t="s">
        <v>464</v>
      </c>
      <c r="AR3" s="89">
        <f>VLOOKUP(AQ3,'[1]Critério de Depreciação'!$C$3:$G$8,5,FALSE)</f>
        <v>1.6666666666666667</v>
      </c>
      <c r="AS3" s="102" t="s">
        <v>130</v>
      </c>
      <c r="AT3" s="102" t="s">
        <v>130</v>
      </c>
      <c r="AU3" s="102" t="str">
        <f>IFERROR(VLOOKUP(AG45,[2]Frota!$D$2:$AV$187,12,FALSE),"-")</f>
        <v>-</v>
      </c>
      <c r="AV3" s="109">
        <v>395</v>
      </c>
      <c r="AW3" s="110">
        <v>1300</v>
      </c>
      <c r="AX3" s="106">
        <v>44349</v>
      </c>
      <c r="AY3" s="111" t="s">
        <v>130</v>
      </c>
      <c r="AZ3" s="105">
        <v>2500</v>
      </c>
      <c r="BA3" s="112" t="s">
        <v>130</v>
      </c>
      <c r="BB3" s="229" t="s">
        <v>130</v>
      </c>
      <c r="BC3" s="105" t="s">
        <v>130</v>
      </c>
      <c r="BD3" s="105" t="s">
        <v>130</v>
      </c>
      <c r="BE3" s="113">
        <f>SUM(AZ3:BA3,BC3:BD3)</f>
        <v>2500</v>
      </c>
      <c r="BF3" s="113">
        <v>0</v>
      </c>
      <c r="BG3" s="113">
        <v>0</v>
      </c>
      <c r="BH3" s="113">
        <v>0</v>
      </c>
      <c r="BI3" s="113">
        <v>0</v>
      </c>
      <c r="BJ3" s="113">
        <v>0</v>
      </c>
      <c r="BK3" s="113">
        <v>0</v>
      </c>
      <c r="BL3" s="113">
        <v>0</v>
      </c>
      <c r="BM3" s="114">
        <f>SUM(BF3:BL3)</f>
        <v>0</v>
      </c>
      <c r="BN3" s="113">
        <v>0</v>
      </c>
      <c r="BO3" s="113">
        <v>0</v>
      </c>
      <c r="BP3" s="113">
        <f>BN3+BO3</f>
        <v>0</v>
      </c>
      <c r="BQ3" s="113">
        <v>0</v>
      </c>
      <c r="BR3" s="113">
        <v>0</v>
      </c>
      <c r="BS3" s="105">
        <f>IFERROR((AW3*20%)/12,"-")</f>
        <v>21.666666666666668</v>
      </c>
      <c r="BT3" s="115" t="s">
        <v>130</v>
      </c>
      <c r="BU3" s="115" t="s">
        <v>130</v>
      </c>
      <c r="BV3" s="115" t="s">
        <v>130</v>
      </c>
      <c r="BW3" s="116" t="s">
        <v>130</v>
      </c>
      <c r="BX3" s="117" t="s">
        <v>130</v>
      </c>
      <c r="BY3" s="102" t="s">
        <v>130</v>
      </c>
      <c r="BZ3" s="102" t="s">
        <v>130</v>
      </c>
      <c r="CA3" s="102" t="s">
        <v>130</v>
      </c>
      <c r="CB3" s="102" t="s">
        <v>130</v>
      </c>
      <c r="CC3" s="102" t="s">
        <v>130</v>
      </c>
      <c r="CD3" s="102" t="s">
        <v>130</v>
      </c>
      <c r="CE3" s="102" t="str">
        <f>AF3</f>
        <v>SP - PRUDENTE - SUCATA</v>
      </c>
      <c r="CF3" s="118" t="s">
        <v>130</v>
      </c>
      <c r="CG3" s="118" t="s">
        <v>130</v>
      </c>
      <c r="CH3" s="119">
        <f>BM3</f>
        <v>0</v>
      </c>
      <c r="CI3" s="120" t="s">
        <v>130</v>
      </c>
      <c r="CJ3" s="121">
        <v>5</v>
      </c>
      <c r="CK3" s="121">
        <v>5</v>
      </c>
      <c r="CL3" s="121">
        <f>12*CK3</f>
        <v>60</v>
      </c>
      <c r="CM3" s="122">
        <f>IFERROR((CH3/CL3)*2,"-")</f>
        <v>0</v>
      </c>
      <c r="CN3" s="88" t="str">
        <f>IFERROR(IF(VLOOKUP(AG3,'[1]ATIVOS SAGI'!C:D,1,FALSE)&lt;&gt;"","CADASTRADO","NÃO CADASTRADO"),"NÃO CADASTRADO")</f>
        <v>CADASTRADO</v>
      </c>
      <c r="CO3" s="122">
        <f t="shared" si="0"/>
        <v>0</v>
      </c>
      <c r="CP3" s="48"/>
      <c r="CQ3" s="48"/>
      <c r="CR3" s="48"/>
      <c r="CS3" s="48"/>
    </row>
    <row r="4" spans="1:97" x14ac:dyDescent="0.25">
      <c r="A4" s="27">
        <v>4</v>
      </c>
      <c r="B4" s="27">
        <v>43</v>
      </c>
      <c r="C4" s="29" t="s">
        <v>296</v>
      </c>
      <c r="D4" s="40" t="s">
        <v>49</v>
      </c>
      <c r="E4" s="40" t="s">
        <v>130</v>
      </c>
      <c r="F4" s="103" t="s">
        <v>130</v>
      </c>
      <c r="G4" s="84" t="s">
        <v>48</v>
      </c>
      <c r="H4" s="41" t="s">
        <v>472</v>
      </c>
      <c r="I4" s="29" t="s">
        <v>130</v>
      </c>
      <c r="J4" s="29" t="s">
        <v>130</v>
      </c>
      <c r="K4" s="85" t="s">
        <v>466</v>
      </c>
      <c r="L4" s="85">
        <v>167.74</v>
      </c>
      <c r="M4" s="86" t="s">
        <v>130</v>
      </c>
      <c r="N4" s="85">
        <v>0</v>
      </c>
      <c r="O4" s="86" t="s">
        <v>130</v>
      </c>
      <c r="P4" s="85">
        <v>0</v>
      </c>
      <c r="Q4" s="29" t="s">
        <v>80</v>
      </c>
      <c r="R4" s="85">
        <v>0</v>
      </c>
      <c r="S4" s="85">
        <v>0</v>
      </c>
      <c r="T4" s="85">
        <v>0</v>
      </c>
      <c r="U4" s="85">
        <v>0</v>
      </c>
      <c r="V4" s="85">
        <v>0</v>
      </c>
      <c r="W4" s="86" t="s">
        <v>130</v>
      </c>
      <c r="X4" s="86" t="s">
        <v>130</v>
      </c>
      <c r="Y4" s="85">
        <v>174.08</v>
      </c>
      <c r="Z4" s="85">
        <f>U4+Y4</f>
        <v>174.08</v>
      </c>
      <c r="AA4" s="85">
        <f>V4+Y4</f>
        <v>174.08</v>
      </c>
      <c r="AB4" s="85">
        <v>0</v>
      </c>
      <c r="AC4" s="85">
        <v>0</v>
      </c>
      <c r="AD4" s="85">
        <v>0</v>
      </c>
      <c r="AE4" s="29" t="s">
        <v>298</v>
      </c>
      <c r="AF4" s="29" t="s">
        <v>46</v>
      </c>
      <c r="AG4" s="40" t="s">
        <v>473</v>
      </c>
      <c r="AH4" s="29" t="s">
        <v>474</v>
      </c>
      <c r="AI4" s="87" t="str">
        <f>IFERROR(VLOOKUP(AG4,[2]Frota!$D$2:$AV$187,2,FALSE),"-")</f>
        <v>00413696545</v>
      </c>
      <c r="AJ4" s="87" t="str">
        <f>IFERROR(VLOOKUP(AG4,[2]Frota!$D$2:$AV$187,3,FALSE),"-")</f>
        <v>9A9BFB300B1D65324</v>
      </c>
      <c r="AK4" s="29" t="s">
        <v>475</v>
      </c>
      <c r="AL4" s="29" t="s">
        <v>476</v>
      </c>
      <c r="AM4" s="34">
        <v>2011</v>
      </c>
      <c r="AN4" s="34">
        <v>2011</v>
      </c>
      <c r="AO4" s="40" t="s">
        <v>477</v>
      </c>
      <c r="AP4" s="29" t="s">
        <v>130</v>
      </c>
      <c r="AQ4" s="88" t="s">
        <v>464</v>
      </c>
      <c r="AR4" s="89">
        <f>VLOOKUP(AQ4,'[1]Critério de Depreciação'!$C$3:$G$8,5,FALSE)</f>
        <v>1.6666666666666667</v>
      </c>
      <c r="AS4" s="29" t="s">
        <v>299</v>
      </c>
      <c r="AT4" s="29" t="s">
        <v>300</v>
      </c>
      <c r="AU4" s="29" t="str">
        <f>IFERROR(VLOOKUP(AG46,[2]Frota!$D$2:$AV$187,12,FALSE),"-")</f>
        <v>-</v>
      </c>
      <c r="AV4" s="45">
        <v>69</v>
      </c>
      <c r="AW4" s="90">
        <v>800</v>
      </c>
      <c r="AX4" s="86">
        <v>40897</v>
      </c>
      <c r="AY4" s="91" t="s">
        <v>130</v>
      </c>
      <c r="AZ4" s="85">
        <v>2500</v>
      </c>
      <c r="BA4" s="123" t="s">
        <v>130</v>
      </c>
      <c r="BB4" s="124" t="s">
        <v>130</v>
      </c>
      <c r="BC4" s="85" t="s">
        <v>130</v>
      </c>
      <c r="BD4" s="85" t="s">
        <v>130</v>
      </c>
      <c r="BE4" s="92">
        <f>SUM(AZ4:BA4,BC4:BD4)</f>
        <v>2500</v>
      </c>
      <c r="BF4" s="92">
        <v>0</v>
      </c>
      <c r="BG4" s="92">
        <v>0</v>
      </c>
      <c r="BH4" s="92">
        <v>0</v>
      </c>
      <c r="BI4" s="92">
        <v>0</v>
      </c>
      <c r="BJ4" s="92">
        <v>0</v>
      </c>
      <c r="BK4" s="92">
        <v>0</v>
      </c>
      <c r="BL4" s="92">
        <v>0</v>
      </c>
      <c r="BM4" s="93">
        <f>SUM(BF4:BL4)</f>
        <v>0</v>
      </c>
      <c r="BN4" s="92">
        <v>0</v>
      </c>
      <c r="BO4" s="92">
        <v>0</v>
      </c>
      <c r="BP4" s="92">
        <v>0</v>
      </c>
      <c r="BQ4" s="92">
        <v>0</v>
      </c>
      <c r="BR4" s="92">
        <v>0</v>
      </c>
      <c r="BS4" s="85">
        <f>IFERROR((AW4*20%)/12,"-")</f>
        <v>13.333333333333334</v>
      </c>
      <c r="BT4" s="125" t="s">
        <v>130</v>
      </c>
      <c r="BU4" s="125" t="s">
        <v>130</v>
      </c>
      <c r="BV4" s="125" t="s">
        <v>130</v>
      </c>
      <c r="BW4" s="126" t="s">
        <v>130</v>
      </c>
      <c r="BX4" s="127" t="s">
        <v>130</v>
      </c>
      <c r="BY4" s="29" t="s">
        <v>478</v>
      </c>
      <c r="BZ4" s="29" t="s">
        <v>478</v>
      </c>
      <c r="CA4" s="29" t="s">
        <v>130</v>
      </c>
      <c r="CB4" s="29" t="s">
        <v>130</v>
      </c>
      <c r="CC4" s="29" t="s">
        <v>130</v>
      </c>
      <c r="CD4" s="29" t="s">
        <v>130</v>
      </c>
      <c r="CE4" s="29" t="str">
        <f>AF4</f>
        <v>SP - PRUDENTE - SUCATA</v>
      </c>
      <c r="CF4" s="97" t="s">
        <v>130</v>
      </c>
      <c r="CG4" s="97" t="s">
        <v>130</v>
      </c>
      <c r="CH4" s="37">
        <f>BM4</f>
        <v>0</v>
      </c>
      <c r="CI4" s="98" t="s">
        <v>130</v>
      </c>
      <c r="CJ4" s="39">
        <v>5</v>
      </c>
      <c r="CK4" s="39">
        <v>5</v>
      </c>
      <c r="CL4" s="39">
        <f>12*CK4</f>
        <v>60</v>
      </c>
      <c r="CM4" s="99">
        <f>IFERROR((CH4/CL4)*2,"-")</f>
        <v>0</v>
      </c>
      <c r="CN4" s="40" t="str">
        <f>IFERROR(IF(VLOOKUP(AG4,'[1]ATIVOS SAGI'!C:D,1,FALSE)&lt;&gt;"","CADASTRADO","NÃO CADASTRADO"),"NÃO CADASTRADO")</f>
        <v>CADASTRADO</v>
      </c>
      <c r="CO4" s="99">
        <f t="shared" si="0"/>
        <v>0</v>
      </c>
      <c r="CP4" s="128" t="s">
        <v>301</v>
      </c>
      <c r="CQ4" s="156"/>
      <c r="CR4" s="100"/>
      <c r="CS4" s="100"/>
    </row>
    <row r="5" spans="1:97" x14ac:dyDescent="0.25">
      <c r="A5" s="27">
        <v>226</v>
      </c>
      <c r="B5" s="129" t="s">
        <v>130</v>
      </c>
      <c r="C5" s="130" t="s">
        <v>130</v>
      </c>
      <c r="D5" s="40" t="s">
        <v>49</v>
      </c>
      <c r="E5" s="103" t="s">
        <v>130</v>
      </c>
      <c r="F5" s="40" t="s">
        <v>130</v>
      </c>
      <c r="G5" s="103"/>
      <c r="H5" s="131" t="s">
        <v>479</v>
      </c>
      <c r="I5" s="102" t="s">
        <v>130</v>
      </c>
      <c r="J5" s="102" t="s">
        <v>130</v>
      </c>
      <c r="K5" s="102" t="s">
        <v>130</v>
      </c>
      <c r="L5" s="105" t="s">
        <v>130</v>
      </c>
      <c r="M5" s="106" t="s">
        <v>130</v>
      </c>
      <c r="N5" s="105" t="s">
        <v>130</v>
      </c>
      <c r="O5" s="106" t="s">
        <v>130</v>
      </c>
      <c r="P5" s="105" t="s">
        <v>130</v>
      </c>
      <c r="Q5" s="105" t="s">
        <v>130</v>
      </c>
      <c r="R5" s="105" t="s">
        <v>130</v>
      </c>
      <c r="S5" s="105" t="s">
        <v>130</v>
      </c>
      <c r="T5" s="105" t="s">
        <v>130</v>
      </c>
      <c r="U5" s="105" t="s">
        <v>130</v>
      </c>
      <c r="V5" s="105" t="s">
        <v>130</v>
      </c>
      <c r="W5" s="105" t="s">
        <v>130</v>
      </c>
      <c r="X5" s="105" t="s">
        <v>130</v>
      </c>
      <c r="Y5" s="105" t="s">
        <v>130</v>
      </c>
      <c r="Z5" s="105" t="s">
        <v>130</v>
      </c>
      <c r="AA5" s="105" t="s">
        <v>130</v>
      </c>
      <c r="AB5" s="105" t="s">
        <v>130</v>
      </c>
      <c r="AC5" s="105" t="s">
        <v>130</v>
      </c>
      <c r="AD5" s="105" t="s">
        <v>130</v>
      </c>
      <c r="AE5" s="130" t="s">
        <v>45</v>
      </c>
      <c r="AF5" s="132" t="s">
        <v>302</v>
      </c>
      <c r="AG5" s="103" t="s">
        <v>480</v>
      </c>
      <c r="AH5" s="130" t="s">
        <v>130</v>
      </c>
      <c r="AI5" s="133" t="s">
        <v>130</v>
      </c>
      <c r="AJ5" s="134" t="s">
        <v>130</v>
      </c>
      <c r="AK5" s="132" t="s">
        <v>130</v>
      </c>
      <c r="AL5" s="132" t="s">
        <v>130</v>
      </c>
      <c r="AM5" s="135" t="s">
        <v>130</v>
      </c>
      <c r="AN5" s="135" t="s">
        <v>130</v>
      </c>
      <c r="AO5" s="230" t="s">
        <v>481</v>
      </c>
      <c r="AP5" s="132" t="s">
        <v>130</v>
      </c>
      <c r="AQ5" s="88" t="s">
        <v>303</v>
      </c>
      <c r="AR5" s="89">
        <f>VLOOKUP(AQ5,'[1]Critério de Depreciação'!$C$3:$G$8,5,FALSE)</f>
        <v>0.83333333333333337</v>
      </c>
      <c r="AS5" s="132" t="s">
        <v>130</v>
      </c>
      <c r="AT5" s="130" t="s">
        <v>130</v>
      </c>
      <c r="AU5" s="130" t="s">
        <v>130</v>
      </c>
      <c r="AV5" s="136" t="s">
        <v>130</v>
      </c>
      <c r="AW5" s="137">
        <v>0</v>
      </c>
      <c r="AX5" s="138" t="s">
        <v>130</v>
      </c>
      <c r="AY5" s="139" t="s">
        <v>130</v>
      </c>
      <c r="AZ5" s="130" t="s">
        <v>130</v>
      </c>
      <c r="BA5" s="130" t="s">
        <v>130</v>
      </c>
      <c r="BB5" s="130" t="s">
        <v>130</v>
      </c>
      <c r="BC5" s="130" t="s">
        <v>130</v>
      </c>
      <c r="BD5" s="130" t="s">
        <v>130</v>
      </c>
      <c r="BE5" s="231" t="s">
        <v>130</v>
      </c>
      <c r="BF5" s="140">
        <v>0</v>
      </c>
      <c r="BG5" s="140">
        <v>0</v>
      </c>
      <c r="BH5" s="140">
        <v>0</v>
      </c>
      <c r="BI5" s="140">
        <v>0</v>
      </c>
      <c r="BJ5" s="140">
        <v>0</v>
      </c>
      <c r="BK5" s="140">
        <v>0</v>
      </c>
      <c r="BL5" s="140">
        <v>0</v>
      </c>
      <c r="BM5" s="141">
        <v>0</v>
      </c>
      <c r="BN5" s="140">
        <v>0</v>
      </c>
      <c r="BO5" s="140">
        <v>0</v>
      </c>
      <c r="BP5" s="140">
        <v>0</v>
      </c>
      <c r="BQ5" s="140">
        <v>0</v>
      </c>
      <c r="BR5" s="140">
        <v>0</v>
      </c>
      <c r="BS5" s="142" t="s">
        <v>130</v>
      </c>
      <c r="BT5" s="143" t="s">
        <v>130</v>
      </c>
      <c r="BU5" s="143" t="s">
        <v>130</v>
      </c>
      <c r="BV5" s="143" t="s">
        <v>130</v>
      </c>
      <c r="BW5" s="144" t="s">
        <v>130</v>
      </c>
      <c r="BX5" s="145" t="s">
        <v>130</v>
      </c>
      <c r="BY5" s="102" t="s">
        <v>130</v>
      </c>
      <c r="BZ5" s="102" t="s">
        <v>130</v>
      </c>
      <c r="CA5" s="102" t="s">
        <v>130</v>
      </c>
      <c r="CB5" s="102" t="s">
        <v>130</v>
      </c>
      <c r="CC5" s="102" t="s">
        <v>130</v>
      </c>
      <c r="CD5" s="102" t="s">
        <v>130</v>
      </c>
      <c r="CE5" s="102" t="s">
        <v>130</v>
      </c>
      <c r="CF5" s="146" t="s">
        <v>130</v>
      </c>
      <c r="CG5" s="146" t="s">
        <v>130</v>
      </c>
      <c r="CH5" s="147" t="s">
        <v>130</v>
      </c>
      <c r="CI5" s="148" t="s">
        <v>130</v>
      </c>
      <c r="CJ5" s="149" t="s">
        <v>130</v>
      </c>
      <c r="CK5" s="149" t="s">
        <v>130</v>
      </c>
      <c r="CL5" s="149" t="s">
        <v>130</v>
      </c>
      <c r="CM5" s="150" t="s">
        <v>130</v>
      </c>
      <c r="CN5" s="103" t="s">
        <v>130</v>
      </c>
      <c r="CO5" s="99">
        <f t="shared" si="0"/>
        <v>0</v>
      </c>
      <c r="CP5" s="48"/>
      <c r="CQ5" s="48"/>
      <c r="CR5" s="100"/>
      <c r="CS5" s="100"/>
    </row>
    <row r="6" spans="1:97" x14ac:dyDescent="0.25">
      <c r="A6" s="27">
        <v>227</v>
      </c>
      <c r="B6" s="129" t="s">
        <v>130</v>
      </c>
      <c r="C6" s="130" t="s">
        <v>130</v>
      </c>
      <c r="D6" s="40" t="s">
        <v>49</v>
      </c>
      <c r="E6" s="103" t="s">
        <v>130</v>
      </c>
      <c r="F6" s="40" t="s">
        <v>130</v>
      </c>
      <c r="G6" s="103"/>
      <c r="H6" s="131" t="s">
        <v>479</v>
      </c>
      <c r="I6" s="102" t="s">
        <v>130</v>
      </c>
      <c r="J6" s="102" t="s">
        <v>130</v>
      </c>
      <c r="K6" s="102" t="s">
        <v>130</v>
      </c>
      <c r="L6" s="105" t="s">
        <v>130</v>
      </c>
      <c r="M6" s="106" t="s">
        <v>130</v>
      </c>
      <c r="N6" s="105" t="s">
        <v>130</v>
      </c>
      <c r="O6" s="106" t="s">
        <v>130</v>
      </c>
      <c r="P6" s="105" t="s">
        <v>130</v>
      </c>
      <c r="Q6" s="105" t="s">
        <v>130</v>
      </c>
      <c r="R6" s="105" t="s">
        <v>130</v>
      </c>
      <c r="S6" s="105" t="s">
        <v>130</v>
      </c>
      <c r="T6" s="105" t="s">
        <v>130</v>
      </c>
      <c r="U6" s="105" t="s">
        <v>130</v>
      </c>
      <c r="V6" s="105" t="s">
        <v>130</v>
      </c>
      <c r="W6" s="105" t="s">
        <v>130</v>
      </c>
      <c r="X6" s="105" t="s">
        <v>130</v>
      </c>
      <c r="Y6" s="105" t="s">
        <v>130</v>
      </c>
      <c r="Z6" s="105" t="s">
        <v>130</v>
      </c>
      <c r="AA6" s="105" t="s">
        <v>130</v>
      </c>
      <c r="AB6" s="105" t="s">
        <v>130</v>
      </c>
      <c r="AC6" s="105" t="s">
        <v>130</v>
      </c>
      <c r="AD6" s="105" t="s">
        <v>130</v>
      </c>
      <c r="AE6" s="130" t="s">
        <v>45</v>
      </c>
      <c r="AF6" s="132" t="s">
        <v>59</v>
      </c>
      <c r="AG6" s="103" t="s">
        <v>480</v>
      </c>
      <c r="AH6" s="130" t="s">
        <v>130</v>
      </c>
      <c r="AI6" s="133" t="s">
        <v>130</v>
      </c>
      <c r="AJ6" s="134" t="s">
        <v>130</v>
      </c>
      <c r="AK6" s="132" t="s">
        <v>130</v>
      </c>
      <c r="AL6" s="132" t="s">
        <v>130</v>
      </c>
      <c r="AM6" s="135" t="s">
        <v>130</v>
      </c>
      <c r="AN6" s="135" t="s">
        <v>130</v>
      </c>
      <c r="AO6" s="230" t="s">
        <v>482</v>
      </c>
      <c r="AP6" s="132" t="s">
        <v>130</v>
      </c>
      <c r="AQ6" s="88" t="s">
        <v>303</v>
      </c>
      <c r="AR6" s="89">
        <f>VLOOKUP(AQ6,'[1]Critério de Depreciação'!$C$3:$G$8,5,FALSE)</f>
        <v>0.83333333333333337</v>
      </c>
      <c r="AS6" s="132" t="s">
        <v>130</v>
      </c>
      <c r="AT6" s="130" t="s">
        <v>130</v>
      </c>
      <c r="AU6" s="130" t="s">
        <v>130</v>
      </c>
      <c r="AV6" s="136" t="s">
        <v>130</v>
      </c>
      <c r="AW6" s="137">
        <v>0</v>
      </c>
      <c r="AX6" s="138" t="s">
        <v>130</v>
      </c>
      <c r="AY6" s="139" t="s">
        <v>130</v>
      </c>
      <c r="AZ6" s="130" t="s">
        <v>130</v>
      </c>
      <c r="BA6" s="130" t="s">
        <v>130</v>
      </c>
      <c r="BB6" s="130" t="s">
        <v>130</v>
      </c>
      <c r="BC6" s="130" t="s">
        <v>130</v>
      </c>
      <c r="BD6" s="130" t="s">
        <v>130</v>
      </c>
      <c r="BE6" s="231" t="s">
        <v>130</v>
      </c>
      <c r="BF6" s="140">
        <v>0</v>
      </c>
      <c r="BG6" s="140">
        <v>0</v>
      </c>
      <c r="BH6" s="140">
        <v>0</v>
      </c>
      <c r="BI6" s="140">
        <v>0</v>
      </c>
      <c r="BJ6" s="140">
        <v>0</v>
      </c>
      <c r="BK6" s="140">
        <v>0</v>
      </c>
      <c r="BL6" s="140">
        <v>0</v>
      </c>
      <c r="BM6" s="141">
        <v>0</v>
      </c>
      <c r="BN6" s="140">
        <v>0</v>
      </c>
      <c r="BO6" s="140">
        <v>0</v>
      </c>
      <c r="BP6" s="140">
        <v>0</v>
      </c>
      <c r="BQ6" s="140">
        <v>0</v>
      </c>
      <c r="BR6" s="140">
        <v>0</v>
      </c>
      <c r="BS6" s="142" t="s">
        <v>130</v>
      </c>
      <c r="BT6" s="143" t="s">
        <v>130</v>
      </c>
      <c r="BU6" s="143" t="s">
        <v>130</v>
      </c>
      <c r="BV6" s="143" t="s">
        <v>130</v>
      </c>
      <c r="BW6" s="144" t="s">
        <v>130</v>
      </c>
      <c r="BX6" s="145" t="s">
        <v>130</v>
      </c>
      <c r="BY6" s="102" t="s">
        <v>130</v>
      </c>
      <c r="BZ6" s="102" t="s">
        <v>130</v>
      </c>
      <c r="CA6" s="102" t="s">
        <v>130</v>
      </c>
      <c r="CB6" s="102" t="s">
        <v>130</v>
      </c>
      <c r="CC6" s="102" t="s">
        <v>130</v>
      </c>
      <c r="CD6" s="102" t="s">
        <v>130</v>
      </c>
      <c r="CE6" s="102" t="s">
        <v>130</v>
      </c>
      <c r="CF6" s="146" t="s">
        <v>130</v>
      </c>
      <c r="CG6" s="146" t="s">
        <v>130</v>
      </c>
      <c r="CH6" s="147" t="s">
        <v>130</v>
      </c>
      <c r="CI6" s="148" t="s">
        <v>130</v>
      </c>
      <c r="CJ6" s="149" t="s">
        <v>130</v>
      </c>
      <c r="CK6" s="149" t="s">
        <v>130</v>
      </c>
      <c r="CL6" s="149" t="s">
        <v>130</v>
      </c>
      <c r="CM6" s="150" t="s">
        <v>130</v>
      </c>
      <c r="CN6" s="103" t="s">
        <v>130</v>
      </c>
      <c r="CO6" s="99">
        <f t="shared" si="0"/>
        <v>0</v>
      </c>
      <c r="CP6" s="48"/>
      <c r="CQ6" s="48"/>
      <c r="CR6" s="100"/>
      <c r="CS6" s="100"/>
    </row>
    <row r="7" spans="1:97" x14ac:dyDescent="0.25">
      <c r="A7" s="27">
        <v>124</v>
      </c>
      <c r="B7" s="27">
        <v>146</v>
      </c>
      <c r="C7" s="29" t="s">
        <v>296</v>
      </c>
      <c r="D7" s="40" t="s">
        <v>49</v>
      </c>
      <c r="E7" s="40" t="s">
        <v>130</v>
      </c>
      <c r="F7" s="88" t="s">
        <v>130</v>
      </c>
      <c r="G7" s="151" t="s">
        <v>483</v>
      </c>
      <c r="H7" s="41" t="s">
        <v>130</v>
      </c>
      <c r="I7" s="29" t="s">
        <v>130</v>
      </c>
      <c r="J7" s="29" t="s">
        <v>130</v>
      </c>
      <c r="K7" s="29" t="s">
        <v>130</v>
      </c>
      <c r="L7" s="85" t="s">
        <v>130</v>
      </c>
      <c r="M7" s="86" t="s">
        <v>130</v>
      </c>
      <c r="N7" s="85" t="s">
        <v>130</v>
      </c>
      <c r="O7" s="86" t="s">
        <v>130</v>
      </c>
      <c r="P7" s="85" t="s">
        <v>130</v>
      </c>
      <c r="Q7" s="29" t="s">
        <v>130</v>
      </c>
      <c r="R7" s="85" t="s">
        <v>130</v>
      </c>
      <c r="S7" s="85" t="s">
        <v>130</v>
      </c>
      <c r="T7" s="85" t="s">
        <v>130</v>
      </c>
      <c r="U7" s="85" t="s">
        <v>130</v>
      </c>
      <c r="V7" s="85" t="s">
        <v>130</v>
      </c>
      <c r="W7" s="85" t="s">
        <v>130</v>
      </c>
      <c r="X7" s="85" t="s">
        <v>130</v>
      </c>
      <c r="Y7" s="85" t="s">
        <v>130</v>
      </c>
      <c r="Z7" s="85" t="s">
        <v>130</v>
      </c>
      <c r="AA7" s="85" t="s">
        <v>130</v>
      </c>
      <c r="AB7" s="85" t="s">
        <v>130</v>
      </c>
      <c r="AC7" s="85" t="s">
        <v>130</v>
      </c>
      <c r="AD7" s="85" t="s">
        <v>130</v>
      </c>
      <c r="AE7" s="29" t="s">
        <v>45</v>
      </c>
      <c r="AF7" s="29" t="s">
        <v>304</v>
      </c>
      <c r="AG7" s="40" t="s">
        <v>484</v>
      </c>
      <c r="AH7" s="29" t="s">
        <v>130</v>
      </c>
      <c r="AI7" s="87" t="str">
        <f>IFERROR(VLOOKUP(AG7,[2]Frota!$D$2:$AV$187,2,FALSE),"-")</f>
        <v>-</v>
      </c>
      <c r="AJ7" s="87" t="str">
        <f>IFERROR(VLOOKUP(AG7,[2]Frota!$D$2:$AV$187,3,FALSE),"-")</f>
        <v>-</v>
      </c>
      <c r="AK7" s="29" t="s">
        <v>485</v>
      </c>
      <c r="AL7" s="29" t="s">
        <v>486</v>
      </c>
      <c r="AM7" s="34">
        <v>2018</v>
      </c>
      <c r="AN7" s="34" t="s">
        <v>130</v>
      </c>
      <c r="AO7" s="152" t="s">
        <v>487</v>
      </c>
      <c r="AP7" s="29" t="s">
        <v>130</v>
      </c>
      <c r="AQ7" s="88" t="s">
        <v>305</v>
      </c>
      <c r="AR7" s="89">
        <f>VLOOKUP(AQ7,'[1]Critério de Depreciação'!$C$3:$G$8,5,FALSE)</f>
        <v>0.83333333333333337</v>
      </c>
      <c r="AS7" s="29" t="s">
        <v>130</v>
      </c>
      <c r="AT7" s="29" t="s">
        <v>130</v>
      </c>
      <c r="AU7" s="29" t="str">
        <f>IFERROR(VLOOKUP(AG51,[2]Frota!$D$2:$AV$187,12,FALSE),"-")</f>
        <v>-</v>
      </c>
      <c r="AV7" s="232">
        <v>33473</v>
      </c>
      <c r="AW7" s="90">
        <v>350000</v>
      </c>
      <c r="AX7" s="86">
        <v>43445</v>
      </c>
      <c r="AY7" s="91" t="s">
        <v>130</v>
      </c>
      <c r="AZ7" s="85">
        <v>1250000</v>
      </c>
      <c r="BA7" s="123" t="s">
        <v>130</v>
      </c>
      <c r="BB7" s="124" t="s">
        <v>130</v>
      </c>
      <c r="BC7" s="85" t="s">
        <v>130</v>
      </c>
      <c r="BD7" s="85" t="s">
        <v>130</v>
      </c>
      <c r="BE7" s="92">
        <f t="shared" ref="BE7:BE31" si="1">SUM(AZ7:BA7,BC7:BD7)</f>
        <v>1250000</v>
      </c>
      <c r="BF7" s="92">
        <v>1300000</v>
      </c>
      <c r="BG7" s="92">
        <v>0</v>
      </c>
      <c r="BH7" s="92">
        <v>0</v>
      </c>
      <c r="BI7" s="92">
        <v>0</v>
      </c>
      <c r="BJ7" s="92">
        <v>0</v>
      </c>
      <c r="BK7" s="92">
        <v>0</v>
      </c>
      <c r="BL7" s="92">
        <v>0</v>
      </c>
      <c r="BM7" s="93">
        <f t="shared" ref="BM7:BM31" si="2">SUM(BF7:BL7)</f>
        <v>1300000</v>
      </c>
      <c r="BN7" s="92">
        <v>0</v>
      </c>
      <c r="BO7" s="92">
        <f>((BF7+BH7+BI7+BJ7+BK7+BL7)*20%)/12</f>
        <v>21666.666666666668</v>
      </c>
      <c r="BP7" s="92">
        <f>BN7+BO7</f>
        <v>21666.666666666668</v>
      </c>
      <c r="BQ7" s="92">
        <v>0</v>
      </c>
      <c r="BR7" s="92">
        <v>0</v>
      </c>
      <c r="BS7" s="85">
        <f t="shared" ref="BS7:BS31" si="3">IFERROR((AW7*20%)/12,"-")</f>
        <v>5833.333333333333</v>
      </c>
      <c r="BT7" s="125" t="s">
        <v>130</v>
      </c>
      <c r="BU7" s="125" t="s">
        <v>130</v>
      </c>
      <c r="BV7" s="125" t="s">
        <v>130</v>
      </c>
      <c r="BW7" s="126" t="s">
        <v>130</v>
      </c>
      <c r="BX7" s="127" t="s">
        <v>130</v>
      </c>
      <c r="BY7" s="29" t="s">
        <v>488</v>
      </c>
      <c r="BZ7" s="29" t="s">
        <v>488</v>
      </c>
      <c r="CA7" s="29" t="s">
        <v>130</v>
      </c>
      <c r="CB7" s="29" t="s">
        <v>130</v>
      </c>
      <c r="CC7" s="29" t="s">
        <v>130</v>
      </c>
      <c r="CD7" s="29" t="s">
        <v>130</v>
      </c>
      <c r="CE7" s="29" t="str">
        <f t="shared" ref="CE7:CE31" si="4">AF7</f>
        <v>LOJA</v>
      </c>
      <c r="CF7" s="97" t="s">
        <v>130</v>
      </c>
      <c r="CG7" s="97" t="s">
        <v>130</v>
      </c>
      <c r="CH7" s="37">
        <f t="shared" ref="CH7:CH31" si="5">BM7</f>
        <v>1300000</v>
      </c>
      <c r="CI7" s="98" t="s">
        <v>130</v>
      </c>
      <c r="CJ7" s="39">
        <v>5</v>
      </c>
      <c r="CK7" s="39">
        <v>5</v>
      </c>
      <c r="CL7" s="39">
        <f t="shared" ref="CL7:CL31" si="6">12*CK7</f>
        <v>60</v>
      </c>
      <c r="CM7" s="99">
        <f t="shared" ref="CM7:CM31" si="7">IFERROR((CH7/CL7)*2,"-")</f>
        <v>43333.333333333336</v>
      </c>
      <c r="CN7" s="40" t="str">
        <f>IFERROR(IF(VLOOKUP(AG7,'[1]ATIVOS SAGI'!C:D,1,FALSE)&lt;&gt;"","CADASTRADO","NÃO CADASTRADO"),"NÃO CADASTRADO")</f>
        <v>NÃO CADASTRADO</v>
      </c>
      <c r="CO7" s="99">
        <f>BM7*AR7/100</f>
        <v>10833.333333333336</v>
      </c>
      <c r="CP7" s="128" t="s">
        <v>301</v>
      </c>
      <c r="CQ7" s="156"/>
      <c r="CR7" s="100"/>
      <c r="CS7" s="100"/>
    </row>
    <row r="8" spans="1:97" x14ac:dyDescent="0.25">
      <c r="A8" s="27">
        <v>100</v>
      </c>
      <c r="B8" s="27">
        <v>19</v>
      </c>
      <c r="C8" s="29" t="s">
        <v>296</v>
      </c>
      <c r="D8" s="40" t="s">
        <v>49</v>
      </c>
      <c r="E8" s="40" t="s">
        <v>130</v>
      </c>
      <c r="F8" s="88" t="s">
        <v>130</v>
      </c>
      <c r="G8" s="40" t="s">
        <v>489</v>
      </c>
      <c r="H8" s="41" t="s">
        <v>306</v>
      </c>
      <c r="I8" s="29" t="s">
        <v>307</v>
      </c>
      <c r="J8" s="29" t="s">
        <v>130</v>
      </c>
      <c r="K8" s="85" t="s">
        <v>466</v>
      </c>
      <c r="L8" s="85">
        <v>167.74</v>
      </c>
      <c r="M8" s="86" t="s">
        <v>130</v>
      </c>
      <c r="N8" s="85">
        <v>0</v>
      </c>
      <c r="O8" s="86" t="s">
        <v>130</v>
      </c>
      <c r="P8" s="85">
        <v>0</v>
      </c>
      <c r="Q8" s="29" t="s">
        <v>80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86" t="s">
        <v>130</v>
      </c>
      <c r="X8" s="86" t="s">
        <v>130</v>
      </c>
      <c r="Y8" s="85">
        <v>174.08</v>
      </c>
      <c r="Z8" s="85">
        <f>U8+Y8</f>
        <v>174.08</v>
      </c>
      <c r="AA8" s="85">
        <f>V8+Y8</f>
        <v>174.08</v>
      </c>
      <c r="AB8" s="85">
        <v>0</v>
      </c>
      <c r="AC8" s="85">
        <v>0</v>
      </c>
      <c r="AD8" s="85">
        <v>0</v>
      </c>
      <c r="AE8" s="29" t="s">
        <v>298</v>
      </c>
      <c r="AF8" s="29" t="s">
        <v>46</v>
      </c>
      <c r="AG8" s="40" t="s">
        <v>490</v>
      </c>
      <c r="AH8" s="29" t="s">
        <v>474</v>
      </c>
      <c r="AI8" s="87" t="str">
        <f>IFERROR(VLOOKUP(AG8,[2]Frota!$D$2:$AV$187,2,FALSE),"-")</f>
        <v>00852520174</v>
      </c>
      <c r="AJ8" s="87" t="str">
        <f>IFERROR(VLOOKUP(AG8,[2]Frota!$D$2:$AV$187,3,FALSE),"-")</f>
        <v>9A9R6502551DV7030</v>
      </c>
      <c r="AK8" s="29" t="s">
        <v>491</v>
      </c>
      <c r="AL8" s="29" t="s">
        <v>492</v>
      </c>
      <c r="AM8" s="34">
        <v>2005</v>
      </c>
      <c r="AN8" s="34">
        <v>2005</v>
      </c>
      <c r="AO8" s="40" t="s">
        <v>493</v>
      </c>
      <c r="AP8" s="29" t="s">
        <v>130</v>
      </c>
      <c r="AQ8" s="88" t="s">
        <v>464</v>
      </c>
      <c r="AR8" s="89">
        <f>VLOOKUP(AQ8,'[1]Critério de Depreciação'!$C$3:$G$8,5,FALSE)</f>
        <v>1.6666666666666667</v>
      </c>
      <c r="AS8" s="29" t="s">
        <v>130</v>
      </c>
      <c r="AT8" s="29" t="s">
        <v>130</v>
      </c>
      <c r="AU8" s="29" t="str">
        <f>IFERROR(VLOOKUP(AG52,[2]Frota!$D$2:$AV$187,12,FALSE),"-")</f>
        <v>-</v>
      </c>
      <c r="AV8" s="29" t="s">
        <v>130</v>
      </c>
      <c r="AW8" s="90">
        <v>110000</v>
      </c>
      <c r="AX8" s="86" t="s">
        <v>130</v>
      </c>
      <c r="AY8" s="91" t="s">
        <v>130</v>
      </c>
      <c r="AZ8" s="85">
        <v>65000</v>
      </c>
      <c r="BA8" s="123" t="s">
        <v>130</v>
      </c>
      <c r="BB8" s="86" t="s">
        <v>130</v>
      </c>
      <c r="BC8" s="85" t="s">
        <v>130</v>
      </c>
      <c r="BD8" s="85" t="s">
        <v>130</v>
      </c>
      <c r="BE8" s="92">
        <f t="shared" si="1"/>
        <v>65000</v>
      </c>
      <c r="BF8" s="92">
        <v>0</v>
      </c>
      <c r="BG8" s="92">
        <v>110000</v>
      </c>
      <c r="BH8" s="92">
        <v>0</v>
      </c>
      <c r="BI8" s="92">
        <v>0</v>
      </c>
      <c r="BJ8" s="92">
        <v>0</v>
      </c>
      <c r="BK8" s="92">
        <v>0</v>
      </c>
      <c r="BL8" s="92">
        <v>0</v>
      </c>
      <c r="BM8" s="93">
        <f t="shared" si="2"/>
        <v>110000</v>
      </c>
      <c r="BN8" s="92">
        <v>0</v>
      </c>
      <c r="BO8" s="92">
        <v>0</v>
      </c>
      <c r="BP8" s="92">
        <v>0</v>
      </c>
      <c r="BQ8" s="92">
        <v>0</v>
      </c>
      <c r="BR8" s="92">
        <v>0</v>
      </c>
      <c r="BS8" s="85">
        <f t="shared" si="3"/>
        <v>1833.3333333333333</v>
      </c>
      <c r="BT8" s="94" t="s">
        <v>130</v>
      </c>
      <c r="BU8" s="94" t="s">
        <v>130</v>
      </c>
      <c r="BV8" s="94" t="s">
        <v>130</v>
      </c>
      <c r="BW8" s="95" t="s">
        <v>130</v>
      </c>
      <c r="BX8" s="96" t="s">
        <v>130</v>
      </c>
      <c r="BY8" s="29" t="s">
        <v>478</v>
      </c>
      <c r="BZ8" s="29" t="s">
        <v>478</v>
      </c>
      <c r="CA8" s="29" t="s">
        <v>130</v>
      </c>
      <c r="CB8" s="29" t="s">
        <v>130</v>
      </c>
      <c r="CC8" s="29" t="s">
        <v>130</v>
      </c>
      <c r="CD8" s="29" t="s">
        <v>130</v>
      </c>
      <c r="CE8" s="29" t="str">
        <f t="shared" si="4"/>
        <v>SP - PRUDENTE - SUCATA</v>
      </c>
      <c r="CF8" s="97" t="s">
        <v>130</v>
      </c>
      <c r="CG8" s="97" t="s">
        <v>130</v>
      </c>
      <c r="CH8" s="37">
        <f t="shared" si="5"/>
        <v>110000</v>
      </c>
      <c r="CI8" s="98" t="s">
        <v>130</v>
      </c>
      <c r="CJ8" s="39">
        <v>5</v>
      </c>
      <c r="CK8" s="39">
        <v>5</v>
      </c>
      <c r="CL8" s="39">
        <f t="shared" si="6"/>
        <v>60</v>
      </c>
      <c r="CM8" s="99">
        <f t="shared" si="7"/>
        <v>3666.6666666666665</v>
      </c>
      <c r="CN8" s="40" t="str">
        <f>IFERROR(IF(VLOOKUP(AG8,'[1]ATIVOS SAGI'!C:D,1,FALSE)&lt;&gt;"","CADASTRADO","NÃO CADASTRADO"),"NÃO CADASTRADO")</f>
        <v>CADASTRADO</v>
      </c>
      <c r="CO8" s="99">
        <f t="shared" si="0"/>
        <v>1833.3333333333335</v>
      </c>
      <c r="CP8" s="128" t="s">
        <v>92</v>
      </c>
      <c r="CQ8" s="156"/>
      <c r="CR8" s="100"/>
      <c r="CS8" s="100"/>
    </row>
    <row r="9" spans="1:97" x14ac:dyDescent="0.25">
      <c r="A9" s="27">
        <v>101</v>
      </c>
      <c r="B9" s="101">
        <v>20</v>
      </c>
      <c r="C9" s="102" t="s">
        <v>296</v>
      </c>
      <c r="D9" s="88" t="s">
        <v>49</v>
      </c>
      <c r="E9" s="88" t="s">
        <v>130</v>
      </c>
      <c r="F9" s="88" t="s">
        <v>130</v>
      </c>
      <c r="G9" s="88"/>
      <c r="H9" s="104" t="s">
        <v>130</v>
      </c>
      <c r="I9" s="102" t="s">
        <v>307</v>
      </c>
      <c r="J9" s="102" t="s">
        <v>130</v>
      </c>
      <c r="K9" s="105" t="s">
        <v>466</v>
      </c>
      <c r="L9" s="105">
        <v>167.74</v>
      </c>
      <c r="M9" s="106" t="s">
        <v>130</v>
      </c>
      <c r="N9" s="105">
        <v>0</v>
      </c>
      <c r="O9" s="106" t="s">
        <v>130</v>
      </c>
      <c r="P9" s="105">
        <v>0</v>
      </c>
      <c r="Q9" s="102" t="s">
        <v>80</v>
      </c>
      <c r="R9" s="105">
        <v>0</v>
      </c>
      <c r="S9" s="105">
        <v>0</v>
      </c>
      <c r="T9" s="105">
        <v>0</v>
      </c>
      <c r="U9" s="105" t="s">
        <v>130</v>
      </c>
      <c r="V9" s="105" t="s">
        <v>130</v>
      </c>
      <c r="W9" s="105" t="s">
        <v>130</v>
      </c>
      <c r="X9" s="105" t="s">
        <v>130</v>
      </c>
      <c r="Y9" s="105" t="s">
        <v>130</v>
      </c>
      <c r="Z9" s="105" t="s">
        <v>130</v>
      </c>
      <c r="AA9" s="105" t="s">
        <v>130</v>
      </c>
      <c r="AB9" s="105" t="s">
        <v>130</v>
      </c>
      <c r="AC9" s="105" t="s">
        <v>130</v>
      </c>
      <c r="AD9" s="105" t="s">
        <v>130</v>
      </c>
      <c r="AE9" s="102" t="s">
        <v>297</v>
      </c>
      <c r="AF9" s="102" t="s">
        <v>302</v>
      </c>
      <c r="AG9" s="88" t="s">
        <v>494</v>
      </c>
      <c r="AH9" s="102" t="s">
        <v>130</v>
      </c>
      <c r="AI9" s="107" t="str">
        <f>IFERROR(VLOOKUP(AG9,[2]Frota!$D$2:$AV$187,2,FALSE),"-")</f>
        <v>00944496849</v>
      </c>
      <c r="AJ9" s="107" t="str">
        <f>IFERROR(VLOOKUP(AG9,[2]Frota!$D$2:$AV$187,3,FALSE),"-")</f>
        <v>95UMFJ4X27E000005</v>
      </c>
      <c r="AK9" s="102" t="s">
        <v>491</v>
      </c>
      <c r="AL9" s="102" t="s">
        <v>492</v>
      </c>
      <c r="AM9" s="108">
        <v>2007</v>
      </c>
      <c r="AN9" s="108">
        <v>2007</v>
      </c>
      <c r="AO9" s="88" t="s">
        <v>493</v>
      </c>
      <c r="AP9" s="102" t="s">
        <v>130</v>
      </c>
      <c r="AQ9" s="88" t="s">
        <v>464</v>
      </c>
      <c r="AR9" s="89">
        <f>VLOOKUP(AQ9,'[1]Critério de Depreciação'!$C$3:$G$8,5,FALSE)</f>
        <v>1.6666666666666667</v>
      </c>
      <c r="AS9" s="102" t="s">
        <v>308</v>
      </c>
      <c r="AT9" s="102" t="s">
        <v>300</v>
      </c>
      <c r="AU9" s="102" t="str">
        <f>IFERROR(VLOOKUP(AG108,[2]Frota!$D$2:$AV$187,12,FALSE),"-")</f>
        <v>-</v>
      </c>
      <c r="AV9" s="102" t="s">
        <v>495</v>
      </c>
      <c r="AW9" s="110">
        <v>0</v>
      </c>
      <c r="AX9" s="106" t="s">
        <v>130</v>
      </c>
      <c r="AY9" s="111" t="s">
        <v>130</v>
      </c>
      <c r="AZ9" s="105">
        <v>65000</v>
      </c>
      <c r="BA9" s="112" t="s">
        <v>130</v>
      </c>
      <c r="BB9" s="106" t="s">
        <v>130</v>
      </c>
      <c r="BC9" s="105" t="s">
        <v>130</v>
      </c>
      <c r="BD9" s="105" t="s">
        <v>130</v>
      </c>
      <c r="BE9" s="113">
        <f t="shared" si="1"/>
        <v>65000</v>
      </c>
      <c r="BF9" s="113">
        <v>0</v>
      </c>
      <c r="BG9" s="113">
        <v>110000</v>
      </c>
      <c r="BH9" s="113">
        <v>0</v>
      </c>
      <c r="BI9" s="113">
        <v>0</v>
      </c>
      <c r="BJ9" s="113">
        <v>0</v>
      </c>
      <c r="BK9" s="113">
        <v>0</v>
      </c>
      <c r="BL9" s="113">
        <v>0</v>
      </c>
      <c r="BM9" s="114">
        <f t="shared" si="2"/>
        <v>110000</v>
      </c>
      <c r="BN9" s="113">
        <v>0</v>
      </c>
      <c r="BO9" s="113">
        <v>0</v>
      </c>
      <c r="BP9" s="113">
        <v>0</v>
      </c>
      <c r="BQ9" s="113">
        <v>0</v>
      </c>
      <c r="BR9" s="113">
        <v>0</v>
      </c>
      <c r="BS9" s="105">
        <f t="shared" si="3"/>
        <v>0</v>
      </c>
      <c r="BT9" s="153" t="s">
        <v>130</v>
      </c>
      <c r="BU9" s="153" t="s">
        <v>130</v>
      </c>
      <c r="BV9" s="153" t="s">
        <v>130</v>
      </c>
      <c r="BW9" s="154" t="s">
        <v>130</v>
      </c>
      <c r="BX9" s="153" t="s">
        <v>130</v>
      </c>
      <c r="BY9" s="29" t="s">
        <v>130</v>
      </c>
      <c r="BZ9" s="29" t="s">
        <v>130</v>
      </c>
      <c r="CA9" s="29" t="s">
        <v>130</v>
      </c>
      <c r="CB9" s="29" t="s">
        <v>130</v>
      </c>
      <c r="CC9" s="29" t="s">
        <v>130</v>
      </c>
      <c r="CD9" s="29" t="s">
        <v>130</v>
      </c>
      <c r="CE9" s="102" t="str">
        <f t="shared" si="4"/>
        <v>SP - PRUDENTE</v>
      </c>
      <c r="CF9" s="118" t="s">
        <v>130</v>
      </c>
      <c r="CG9" s="118" t="s">
        <v>130</v>
      </c>
      <c r="CH9" s="119">
        <f t="shared" si="5"/>
        <v>110000</v>
      </c>
      <c r="CI9" s="120" t="s">
        <v>130</v>
      </c>
      <c r="CJ9" s="121">
        <v>5</v>
      </c>
      <c r="CK9" s="121">
        <v>5</v>
      </c>
      <c r="CL9" s="121">
        <f t="shared" si="6"/>
        <v>60</v>
      </c>
      <c r="CM9" s="122">
        <f t="shared" si="7"/>
        <v>3666.6666666666665</v>
      </c>
      <c r="CN9" s="88" t="str">
        <f>IFERROR(IF(VLOOKUP(AG9,'[1]ATIVOS SAGI'!C:D,1,FALSE)&lt;&gt;"","CADASTRADO","NÃO CADASTRADO"),"NÃO CADASTRADO")</f>
        <v>CADASTRADO</v>
      </c>
      <c r="CO9" s="99">
        <f t="shared" si="0"/>
        <v>1833.3333333333335</v>
      </c>
      <c r="CP9" s="128" t="s">
        <v>92</v>
      </c>
      <c r="CQ9" s="128"/>
      <c r="CR9" s="100"/>
      <c r="CS9" s="100"/>
    </row>
    <row r="10" spans="1:97" x14ac:dyDescent="0.25">
      <c r="A10" s="27">
        <v>102</v>
      </c>
      <c r="B10" s="101">
        <v>21</v>
      </c>
      <c r="C10" s="102" t="s">
        <v>296</v>
      </c>
      <c r="D10" s="88" t="s">
        <v>49</v>
      </c>
      <c r="E10" s="88" t="s">
        <v>130</v>
      </c>
      <c r="F10" s="88" t="s">
        <v>130</v>
      </c>
      <c r="G10" s="88"/>
      <c r="H10" s="104" t="s">
        <v>130</v>
      </c>
      <c r="I10" s="102" t="s">
        <v>307</v>
      </c>
      <c r="J10" s="102" t="s">
        <v>130</v>
      </c>
      <c r="K10" s="102" t="s">
        <v>130</v>
      </c>
      <c r="L10" s="105" t="s">
        <v>130</v>
      </c>
      <c r="M10" s="106" t="s">
        <v>130</v>
      </c>
      <c r="N10" s="105" t="s">
        <v>130</v>
      </c>
      <c r="O10" s="106" t="s">
        <v>130</v>
      </c>
      <c r="P10" s="105" t="s">
        <v>130</v>
      </c>
      <c r="Q10" s="105" t="s">
        <v>130</v>
      </c>
      <c r="R10" s="105" t="s">
        <v>130</v>
      </c>
      <c r="S10" s="105" t="s">
        <v>130</v>
      </c>
      <c r="T10" s="105" t="s">
        <v>130</v>
      </c>
      <c r="U10" s="105" t="s">
        <v>130</v>
      </c>
      <c r="V10" s="105" t="s">
        <v>130</v>
      </c>
      <c r="W10" s="105" t="s">
        <v>130</v>
      </c>
      <c r="X10" s="105" t="s">
        <v>130</v>
      </c>
      <c r="Y10" s="105" t="s">
        <v>130</v>
      </c>
      <c r="Z10" s="105" t="s">
        <v>130</v>
      </c>
      <c r="AA10" s="105" t="s">
        <v>130</v>
      </c>
      <c r="AB10" s="105" t="s">
        <v>130</v>
      </c>
      <c r="AC10" s="105" t="s">
        <v>130</v>
      </c>
      <c r="AD10" s="105" t="s">
        <v>130</v>
      </c>
      <c r="AE10" s="102" t="s">
        <v>297</v>
      </c>
      <c r="AF10" s="102" t="s">
        <v>496</v>
      </c>
      <c r="AG10" s="88" t="s">
        <v>497</v>
      </c>
      <c r="AH10" s="102" t="s">
        <v>130</v>
      </c>
      <c r="AI10" s="107" t="str">
        <f>IFERROR(VLOOKUP(AG10,[2]Frota!$D$2:$AV$187,2,FALSE),"-")</f>
        <v>00321721632</v>
      </c>
      <c r="AJ10" s="107" t="str">
        <f>IFERROR(VLOOKUP(AG10,[2]Frota!$D$2:$AV$187,3,FALSE),"-")</f>
        <v>95UMFJ4X2BE000071</v>
      </c>
      <c r="AK10" s="102" t="s">
        <v>491</v>
      </c>
      <c r="AL10" s="102" t="s">
        <v>492</v>
      </c>
      <c r="AM10" s="108">
        <v>2011</v>
      </c>
      <c r="AN10" s="108">
        <v>2011</v>
      </c>
      <c r="AO10" s="88" t="s">
        <v>493</v>
      </c>
      <c r="AP10" s="102" t="s">
        <v>130</v>
      </c>
      <c r="AQ10" s="88" t="s">
        <v>464</v>
      </c>
      <c r="AR10" s="89">
        <f>VLOOKUP(AQ10,'[1]Critério de Depreciação'!$C$3:$G$8,5,FALSE)</f>
        <v>1.6666666666666667</v>
      </c>
      <c r="AS10" s="102" t="s">
        <v>308</v>
      </c>
      <c r="AT10" s="102" t="s">
        <v>309</v>
      </c>
      <c r="AU10" s="102" t="str">
        <f>IFERROR(VLOOKUP(AG15,[2]Frota!$D$2:$AV$187,12,FALSE),"-")</f>
        <v>1.2.3.4</v>
      </c>
      <c r="AV10" s="109">
        <v>837</v>
      </c>
      <c r="AW10" s="110">
        <v>16000</v>
      </c>
      <c r="AX10" s="106">
        <v>40640</v>
      </c>
      <c r="AY10" s="111" t="s">
        <v>130</v>
      </c>
      <c r="AZ10" s="105">
        <v>86000</v>
      </c>
      <c r="BA10" s="112" t="s">
        <v>130</v>
      </c>
      <c r="BB10" s="229" t="s">
        <v>130</v>
      </c>
      <c r="BC10" s="105" t="s">
        <v>130</v>
      </c>
      <c r="BD10" s="105" t="s">
        <v>130</v>
      </c>
      <c r="BE10" s="113">
        <f t="shared" si="1"/>
        <v>86000</v>
      </c>
      <c r="BF10" s="113">
        <v>0</v>
      </c>
      <c r="BG10" s="113">
        <v>0</v>
      </c>
      <c r="BH10" s="113">
        <v>0</v>
      </c>
      <c r="BI10" s="113">
        <v>0</v>
      </c>
      <c r="BJ10" s="113">
        <v>0</v>
      </c>
      <c r="BK10" s="113">
        <v>0</v>
      </c>
      <c r="BL10" s="113">
        <v>0</v>
      </c>
      <c r="BM10" s="114">
        <f t="shared" si="2"/>
        <v>0</v>
      </c>
      <c r="BN10" s="113">
        <v>0</v>
      </c>
      <c r="BO10" s="113">
        <v>0</v>
      </c>
      <c r="BP10" s="113">
        <v>0</v>
      </c>
      <c r="BQ10" s="113">
        <v>0</v>
      </c>
      <c r="BR10" s="113">
        <v>0</v>
      </c>
      <c r="BS10" s="105">
        <f t="shared" si="3"/>
        <v>266.66666666666669</v>
      </c>
      <c r="BT10" s="115" t="s">
        <v>130</v>
      </c>
      <c r="BU10" s="115" t="s">
        <v>130</v>
      </c>
      <c r="BV10" s="115" t="s">
        <v>130</v>
      </c>
      <c r="BW10" s="116" t="s">
        <v>130</v>
      </c>
      <c r="BX10" s="115" t="s">
        <v>130</v>
      </c>
      <c r="BY10" s="102" t="s">
        <v>310</v>
      </c>
      <c r="BZ10" s="102" t="s">
        <v>310</v>
      </c>
      <c r="CA10" s="102" t="s">
        <v>130</v>
      </c>
      <c r="CB10" s="102" t="s">
        <v>130</v>
      </c>
      <c r="CC10" s="102" t="s">
        <v>130</v>
      </c>
      <c r="CD10" s="102" t="s">
        <v>130</v>
      </c>
      <c r="CE10" s="102" t="str">
        <f t="shared" si="4"/>
        <v>FBU</v>
      </c>
      <c r="CF10" s="118" t="s">
        <v>130</v>
      </c>
      <c r="CG10" s="118" t="s">
        <v>130</v>
      </c>
      <c r="CH10" s="119">
        <f t="shared" si="5"/>
        <v>0</v>
      </c>
      <c r="CI10" s="120" t="s">
        <v>130</v>
      </c>
      <c r="CJ10" s="121">
        <v>5</v>
      </c>
      <c r="CK10" s="121">
        <v>5</v>
      </c>
      <c r="CL10" s="121">
        <f t="shared" si="6"/>
        <v>60</v>
      </c>
      <c r="CM10" s="122">
        <f t="shared" si="7"/>
        <v>0</v>
      </c>
      <c r="CN10" s="88" t="str">
        <f>IFERROR(IF(VLOOKUP(AG10,'[1]ATIVOS SAGI'!C:D,1,FALSE)&lt;&gt;"","CADASTRADO","NÃO CADASTRADO"),"NÃO CADASTRADO")</f>
        <v>CADASTRADO</v>
      </c>
      <c r="CO10" s="99">
        <f t="shared" si="0"/>
        <v>0</v>
      </c>
      <c r="CP10" s="128" t="s">
        <v>301</v>
      </c>
      <c r="CQ10" s="156"/>
      <c r="CR10" s="100"/>
      <c r="CS10" s="100"/>
    </row>
    <row r="11" spans="1:97" x14ac:dyDescent="0.25">
      <c r="A11" s="27">
        <v>103</v>
      </c>
      <c r="B11" s="101">
        <v>22</v>
      </c>
      <c r="C11" s="102" t="s">
        <v>296</v>
      </c>
      <c r="D11" s="88" t="s">
        <v>49</v>
      </c>
      <c r="E11" s="88" t="s">
        <v>130</v>
      </c>
      <c r="F11" s="88" t="s">
        <v>130</v>
      </c>
      <c r="G11" s="88"/>
      <c r="H11" s="104" t="s">
        <v>130</v>
      </c>
      <c r="I11" s="102" t="s">
        <v>307</v>
      </c>
      <c r="J11" s="102" t="s">
        <v>130</v>
      </c>
      <c r="K11" s="102" t="s">
        <v>130</v>
      </c>
      <c r="L11" s="105" t="s">
        <v>130</v>
      </c>
      <c r="M11" s="106" t="s">
        <v>130</v>
      </c>
      <c r="N11" s="105" t="s">
        <v>130</v>
      </c>
      <c r="O11" s="106" t="s">
        <v>130</v>
      </c>
      <c r="P11" s="105" t="s">
        <v>130</v>
      </c>
      <c r="Q11" s="105" t="s">
        <v>130</v>
      </c>
      <c r="R11" s="105" t="s">
        <v>130</v>
      </c>
      <c r="S11" s="105" t="s">
        <v>130</v>
      </c>
      <c r="T11" s="105" t="s">
        <v>130</v>
      </c>
      <c r="U11" s="105" t="s">
        <v>130</v>
      </c>
      <c r="V11" s="105" t="s">
        <v>130</v>
      </c>
      <c r="W11" s="105" t="s">
        <v>130</v>
      </c>
      <c r="X11" s="105" t="s">
        <v>130</v>
      </c>
      <c r="Y11" s="105" t="s">
        <v>130</v>
      </c>
      <c r="Z11" s="105" t="s">
        <v>130</v>
      </c>
      <c r="AA11" s="105" t="s">
        <v>130</v>
      </c>
      <c r="AB11" s="105" t="s">
        <v>130</v>
      </c>
      <c r="AC11" s="105" t="s">
        <v>130</v>
      </c>
      <c r="AD11" s="105" t="s">
        <v>130</v>
      </c>
      <c r="AE11" s="102" t="s">
        <v>297</v>
      </c>
      <c r="AF11" s="102" t="s">
        <v>130</v>
      </c>
      <c r="AG11" s="88" t="s">
        <v>498</v>
      </c>
      <c r="AH11" s="102" t="s">
        <v>130</v>
      </c>
      <c r="AI11" s="107" t="str">
        <f>IFERROR(VLOOKUP(AG11,[2]Frota!$D$2:$AV$187,2,FALSE),"-")</f>
        <v>00321722396</v>
      </c>
      <c r="AJ11" s="107" t="str">
        <f>IFERROR(VLOOKUP(AG11,[2]Frota!$D$2:$AV$187,3,FALSE),"-")</f>
        <v>95UMFJ4X2BE000070</v>
      </c>
      <c r="AK11" s="102" t="s">
        <v>491</v>
      </c>
      <c r="AL11" s="102" t="s">
        <v>492</v>
      </c>
      <c r="AM11" s="108">
        <v>2011</v>
      </c>
      <c r="AN11" s="108">
        <v>2011</v>
      </c>
      <c r="AO11" s="88" t="s">
        <v>493</v>
      </c>
      <c r="AP11" s="102" t="s">
        <v>130</v>
      </c>
      <c r="AQ11" s="88" t="s">
        <v>464</v>
      </c>
      <c r="AR11" s="89">
        <f>VLOOKUP(AQ11,'[1]Critério de Depreciação'!$C$3:$G$8,5,FALSE)</f>
        <v>1.6666666666666667</v>
      </c>
      <c r="AS11" s="102" t="s">
        <v>299</v>
      </c>
      <c r="AT11" s="102" t="s">
        <v>311</v>
      </c>
      <c r="AU11" s="102" t="str">
        <f>IFERROR(VLOOKUP(#REF!,[2]Frota!$D$2:$AV$187,12,FALSE),"-")</f>
        <v>-</v>
      </c>
      <c r="AV11" s="109">
        <v>836</v>
      </c>
      <c r="AW11" s="110">
        <v>16000</v>
      </c>
      <c r="AX11" s="106">
        <v>40640</v>
      </c>
      <c r="AY11" s="111" t="s">
        <v>130</v>
      </c>
      <c r="AZ11" s="105">
        <v>86000</v>
      </c>
      <c r="BA11" s="112" t="s">
        <v>130</v>
      </c>
      <c r="BB11" s="229" t="s">
        <v>130</v>
      </c>
      <c r="BC11" s="105" t="s">
        <v>130</v>
      </c>
      <c r="BD11" s="105" t="s">
        <v>130</v>
      </c>
      <c r="BE11" s="113">
        <f t="shared" si="1"/>
        <v>86000</v>
      </c>
      <c r="BF11" s="113">
        <v>0</v>
      </c>
      <c r="BG11" s="113">
        <v>0</v>
      </c>
      <c r="BH11" s="113">
        <v>0</v>
      </c>
      <c r="BI11" s="113">
        <v>0</v>
      </c>
      <c r="BJ11" s="113">
        <v>0</v>
      </c>
      <c r="BK11" s="113">
        <v>0</v>
      </c>
      <c r="BL11" s="113">
        <v>0</v>
      </c>
      <c r="BM11" s="114">
        <f t="shared" si="2"/>
        <v>0</v>
      </c>
      <c r="BN11" s="113">
        <v>0</v>
      </c>
      <c r="BO11" s="113">
        <v>0</v>
      </c>
      <c r="BP11" s="113">
        <v>0</v>
      </c>
      <c r="BQ11" s="113">
        <v>0</v>
      </c>
      <c r="BR11" s="113">
        <v>0</v>
      </c>
      <c r="BS11" s="105">
        <f t="shared" si="3"/>
        <v>266.66666666666669</v>
      </c>
      <c r="BT11" s="115" t="s">
        <v>130</v>
      </c>
      <c r="BU11" s="115" t="s">
        <v>130</v>
      </c>
      <c r="BV11" s="115" t="s">
        <v>130</v>
      </c>
      <c r="BW11" s="116" t="s">
        <v>130</v>
      </c>
      <c r="BX11" s="115" t="s">
        <v>130</v>
      </c>
      <c r="BY11" s="102" t="s">
        <v>499</v>
      </c>
      <c r="BZ11" s="102" t="s">
        <v>499</v>
      </c>
      <c r="CA11" s="102" t="s">
        <v>130</v>
      </c>
      <c r="CB11" s="102" t="s">
        <v>130</v>
      </c>
      <c r="CC11" s="102" t="s">
        <v>130</v>
      </c>
      <c r="CD11" s="102" t="s">
        <v>130</v>
      </c>
      <c r="CE11" s="102" t="str">
        <f t="shared" si="4"/>
        <v>-</v>
      </c>
      <c r="CF11" s="118" t="s">
        <v>130</v>
      </c>
      <c r="CG11" s="118" t="s">
        <v>130</v>
      </c>
      <c r="CH11" s="119">
        <f t="shared" si="5"/>
        <v>0</v>
      </c>
      <c r="CI11" s="120" t="s">
        <v>130</v>
      </c>
      <c r="CJ11" s="121">
        <v>5</v>
      </c>
      <c r="CK11" s="121">
        <v>5</v>
      </c>
      <c r="CL11" s="121">
        <f t="shared" si="6"/>
        <v>60</v>
      </c>
      <c r="CM11" s="122">
        <f t="shared" si="7"/>
        <v>0</v>
      </c>
      <c r="CN11" s="88" t="str">
        <f>IFERROR(IF(VLOOKUP(AG11,'[1]ATIVOS SAGI'!C:D,1,FALSE)&lt;&gt;"","CADASTRADO","NÃO CADASTRADO"),"NÃO CADASTRADO")</f>
        <v>CADASTRADO</v>
      </c>
      <c r="CO11" s="99">
        <f t="shared" si="0"/>
        <v>0</v>
      </c>
      <c r="CP11" s="128" t="s">
        <v>301</v>
      </c>
      <c r="CQ11" s="156"/>
      <c r="CR11" s="100"/>
      <c r="CS11" s="100"/>
    </row>
    <row r="12" spans="1:97" x14ac:dyDescent="0.25">
      <c r="A12" s="27">
        <v>104</v>
      </c>
      <c r="B12" s="101">
        <v>23</v>
      </c>
      <c r="C12" s="102" t="s">
        <v>296</v>
      </c>
      <c r="D12" s="88" t="s">
        <v>49</v>
      </c>
      <c r="E12" s="88" t="s">
        <v>130</v>
      </c>
      <c r="F12" s="40" t="s">
        <v>130</v>
      </c>
      <c r="G12" s="88"/>
      <c r="H12" s="104" t="s">
        <v>130</v>
      </c>
      <c r="I12" s="102" t="s">
        <v>307</v>
      </c>
      <c r="J12" s="102" t="s">
        <v>130</v>
      </c>
      <c r="K12" s="102" t="s">
        <v>130</v>
      </c>
      <c r="L12" s="105" t="s">
        <v>130</v>
      </c>
      <c r="M12" s="106" t="s">
        <v>130</v>
      </c>
      <c r="N12" s="105" t="s">
        <v>130</v>
      </c>
      <c r="O12" s="106" t="s">
        <v>130</v>
      </c>
      <c r="P12" s="105" t="s">
        <v>130</v>
      </c>
      <c r="Q12" s="105" t="s">
        <v>130</v>
      </c>
      <c r="R12" s="105" t="s">
        <v>130</v>
      </c>
      <c r="S12" s="105" t="s">
        <v>130</v>
      </c>
      <c r="T12" s="105" t="s">
        <v>130</v>
      </c>
      <c r="U12" s="105" t="s">
        <v>130</v>
      </c>
      <c r="V12" s="105" t="s">
        <v>130</v>
      </c>
      <c r="W12" s="105" t="s">
        <v>130</v>
      </c>
      <c r="X12" s="105" t="s">
        <v>130</v>
      </c>
      <c r="Y12" s="105" t="s">
        <v>130</v>
      </c>
      <c r="Z12" s="105" t="s">
        <v>130</v>
      </c>
      <c r="AA12" s="105" t="s">
        <v>130</v>
      </c>
      <c r="AB12" s="105" t="s">
        <v>130</v>
      </c>
      <c r="AC12" s="105" t="s">
        <v>130</v>
      </c>
      <c r="AD12" s="105" t="s">
        <v>130</v>
      </c>
      <c r="AE12" s="102" t="s">
        <v>297</v>
      </c>
      <c r="AF12" s="102" t="s">
        <v>130</v>
      </c>
      <c r="AG12" s="88" t="s">
        <v>500</v>
      </c>
      <c r="AH12" s="102" t="s">
        <v>130</v>
      </c>
      <c r="AI12" s="107" t="str">
        <f>IFERROR(VLOOKUP(AG12,[2]Frota!$D$2:$AV$187,2,FALSE),"-")</f>
        <v>00321723058</v>
      </c>
      <c r="AJ12" s="107" t="str">
        <f>IFERROR(VLOOKUP(AG12,[2]Frota!$D$2:$AV$187,3,FALSE),"-")</f>
        <v>95UMFJ4X2BE000069</v>
      </c>
      <c r="AK12" s="102" t="s">
        <v>491</v>
      </c>
      <c r="AL12" s="102" t="s">
        <v>492</v>
      </c>
      <c r="AM12" s="108">
        <v>2011</v>
      </c>
      <c r="AN12" s="108">
        <v>2011</v>
      </c>
      <c r="AO12" s="88" t="s">
        <v>493</v>
      </c>
      <c r="AP12" s="102" t="s">
        <v>130</v>
      </c>
      <c r="AQ12" s="88" t="s">
        <v>464</v>
      </c>
      <c r="AR12" s="89">
        <f>VLOOKUP(AQ12,'[1]Critério de Depreciação'!$C$3:$G$8,5,FALSE)</f>
        <v>1.6666666666666667</v>
      </c>
      <c r="AS12" s="102" t="s">
        <v>130</v>
      </c>
      <c r="AT12" s="102" t="s">
        <v>309</v>
      </c>
      <c r="AU12" s="102" t="str">
        <f>IFERROR(VLOOKUP(#REF!,[2]Frota!$D$2:$AV$187,12,FALSE),"-")</f>
        <v>-</v>
      </c>
      <c r="AV12" s="109">
        <v>835</v>
      </c>
      <c r="AW12" s="110">
        <v>16000</v>
      </c>
      <c r="AX12" s="106">
        <v>40640</v>
      </c>
      <c r="AY12" s="111" t="s">
        <v>130</v>
      </c>
      <c r="AZ12" s="105">
        <v>86000</v>
      </c>
      <c r="BA12" s="112" t="s">
        <v>130</v>
      </c>
      <c r="BB12" s="229" t="s">
        <v>130</v>
      </c>
      <c r="BC12" s="105" t="s">
        <v>130</v>
      </c>
      <c r="BD12" s="105" t="s">
        <v>130</v>
      </c>
      <c r="BE12" s="113">
        <f t="shared" si="1"/>
        <v>86000</v>
      </c>
      <c r="BF12" s="113">
        <v>0</v>
      </c>
      <c r="BG12" s="113">
        <v>0</v>
      </c>
      <c r="BH12" s="113">
        <v>0</v>
      </c>
      <c r="BI12" s="113">
        <v>0</v>
      </c>
      <c r="BJ12" s="113">
        <v>0</v>
      </c>
      <c r="BK12" s="113">
        <v>0</v>
      </c>
      <c r="BL12" s="113">
        <v>0</v>
      </c>
      <c r="BM12" s="114">
        <f t="shared" si="2"/>
        <v>0</v>
      </c>
      <c r="BN12" s="113">
        <v>0</v>
      </c>
      <c r="BO12" s="113">
        <v>0</v>
      </c>
      <c r="BP12" s="113">
        <v>0</v>
      </c>
      <c r="BQ12" s="113">
        <v>0</v>
      </c>
      <c r="BR12" s="113">
        <v>0</v>
      </c>
      <c r="BS12" s="105">
        <f t="shared" si="3"/>
        <v>266.66666666666669</v>
      </c>
      <c r="BT12" s="115" t="s">
        <v>130</v>
      </c>
      <c r="BU12" s="115" t="s">
        <v>130</v>
      </c>
      <c r="BV12" s="115" t="s">
        <v>130</v>
      </c>
      <c r="BW12" s="116" t="s">
        <v>130</v>
      </c>
      <c r="BX12" s="115" t="s">
        <v>130</v>
      </c>
      <c r="BY12" s="102" t="s">
        <v>478</v>
      </c>
      <c r="BZ12" s="102" t="s">
        <v>478</v>
      </c>
      <c r="CA12" s="102" t="s">
        <v>130</v>
      </c>
      <c r="CB12" s="102" t="s">
        <v>130</v>
      </c>
      <c r="CC12" s="102" t="s">
        <v>130</v>
      </c>
      <c r="CD12" s="102" t="s">
        <v>130</v>
      </c>
      <c r="CE12" s="102" t="str">
        <f t="shared" si="4"/>
        <v>-</v>
      </c>
      <c r="CF12" s="118" t="s">
        <v>130</v>
      </c>
      <c r="CG12" s="118" t="s">
        <v>130</v>
      </c>
      <c r="CH12" s="119">
        <f t="shared" si="5"/>
        <v>0</v>
      </c>
      <c r="CI12" s="120" t="s">
        <v>130</v>
      </c>
      <c r="CJ12" s="121">
        <v>5</v>
      </c>
      <c r="CK12" s="121">
        <v>5</v>
      </c>
      <c r="CL12" s="121">
        <f t="shared" si="6"/>
        <v>60</v>
      </c>
      <c r="CM12" s="122">
        <f t="shared" si="7"/>
        <v>0</v>
      </c>
      <c r="CN12" s="88" t="str">
        <f>IFERROR(IF(VLOOKUP(AG12,'[1]ATIVOS SAGI'!C:D,1,FALSE)&lt;&gt;"","CADASTRADO","NÃO CADASTRADO"),"NÃO CADASTRADO")</f>
        <v>CADASTRADO</v>
      </c>
      <c r="CO12" s="99">
        <f t="shared" si="0"/>
        <v>0</v>
      </c>
      <c r="CP12" s="128" t="s">
        <v>301</v>
      </c>
      <c r="CQ12" s="156"/>
      <c r="CR12" s="100"/>
      <c r="CS12" s="100"/>
    </row>
    <row r="13" spans="1:97" x14ac:dyDescent="0.25">
      <c r="A13" s="27">
        <v>105</v>
      </c>
      <c r="B13" s="101">
        <v>24</v>
      </c>
      <c r="C13" s="102" t="s">
        <v>296</v>
      </c>
      <c r="D13" s="88" t="s">
        <v>49</v>
      </c>
      <c r="E13" s="88" t="s">
        <v>130</v>
      </c>
      <c r="F13" s="40" t="s">
        <v>130</v>
      </c>
      <c r="G13" s="88"/>
      <c r="H13" s="104" t="s">
        <v>130</v>
      </c>
      <c r="I13" s="102" t="s">
        <v>130</v>
      </c>
      <c r="J13" s="102" t="s">
        <v>130</v>
      </c>
      <c r="K13" s="102" t="s">
        <v>130</v>
      </c>
      <c r="L13" s="105" t="s">
        <v>130</v>
      </c>
      <c r="M13" s="106" t="s">
        <v>130</v>
      </c>
      <c r="N13" s="105" t="s">
        <v>130</v>
      </c>
      <c r="O13" s="106" t="s">
        <v>130</v>
      </c>
      <c r="P13" s="105" t="s">
        <v>130</v>
      </c>
      <c r="Q13" s="105" t="s">
        <v>130</v>
      </c>
      <c r="R13" s="105" t="s">
        <v>130</v>
      </c>
      <c r="S13" s="105" t="s">
        <v>130</v>
      </c>
      <c r="T13" s="105" t="s">
        <v>130</v>
      </c>
      <c r="U13" s="105" t="s">
        <v>130</v>
      </c>
      <c r="V13" s="105" t="s">
        <v>130</v>
      </c>
      <c r="W13" s="105" t="s">
        <v>130</v>
      </c>
      <c r="X13" s="105" t="s">
        <v>130</v>
      </c>
      <c r="Y13" s="105" t="s">
        <v>130</v>
      </c>
      <c r="Z13" s="105" t="s">
        <v>130</v>
      </c>
      <c r="AA13" s="105" t="s">
        <v>130</v>
      </c>
      <c r="AB13" s="105" t="s">
        <v>130</v>
      </c>
      <c r="AC13" s="105" t="s">
        <v>130</v>
      </c>
      <c r="AD13" s="105" t="s">
        <v>130</v>
      </c>
      <c r="AE13" s="102" t="s">
        <v>297</v>
      </c>
      <c r="AF13" s="102" t="s">
        <v>130</v>
      </c>
      <c r="AG13" s="88" t="s">
        <v>501</v>
      </c>
      <c r="AH13" s="102" t="s">
        <v>130</v>
      </c>
      <c r="AI13" s="107" t="str">
        <f>IFERROR(VLOOKUP(AG13,[2]Frota!$D$2:$AV$187,2,FALSE),"-")</f>
        <v>00209059842</v>
      </c>
      <c r="AJ13" s="107" t="str">
        <f>IFERROR(VLOOKUP(AG13,[2]Frota!$D$2:$AV$187,3,FALSE),"-")</f>
        <v>9A9R9402AAGEC3009</v>
      </c>
      <c r="AK13" s="102" t="s">
        <v>502</v>
      </c>
      <c r="AL13" s="102" t="s">
        <v>503</v>
      </c>
      <c r="AM13" s="108">
        <v>2010</v>
      </c>
      <c r="AN13" s="108">
        <v>2010</v>
      </c>
      <c r="AO13" s="88" t="s">
        <v>493</v>
      </c>
      <c r="AP13" s="102" t="s">
        <v>130</v>
      </c>
      <c r="AQ13" s="88" t="s">
        <v>464</v>
      </c>
      <c r="AR13" s="89">
        <f>VLOOKUP(AQ13,'[1]Critério de Depreciação'!$C$3:$G$8,5,FALSE)</f>
        <v>1.6666666666666667</v>
      </c>
      <c r="AS13" s="102" t="s">
        <v>299</v>
      </c>
      <c r="AT13" s="102" t="s">
        <v>309</v>
      </c>
      <c r="AU13" s="102" t="str">
        <f>IFERROR(VLOOKUP(#REF!,[2]Frota!$D$2:$AV$187,12,FALSE),"-")</f>
        <v>-</v>
      </c>
      <c r="AV13" s="155">
        <v>882</v>
      </c>
      <c r="AW13" s="110">
        <v>35000</v>
      </c>
      <c r="AX13" s="106">
        <v>40239</v>
      </c>
      <c r="AY13" s="111" t="s">
        <v>130</v>
      </c>
      <c r="AZ13" s="105">
        <v>86000</v>
      </c>
      <c r="BA13" s="112" t="s">
        <v>130</v>
      </c>
      <c r="BB13" s="106" t="s">
        <v>130</v>
      </c>
      <c r="BC13" s="105" t="s">
        <v>130</v>
      </c>
      <c r="BD13" s="105" t="s">
        <v>130</v>
      </c>
      <c r="BE13" s="113">
        <f t="shared" si="1"/>
        <v>86000</v>
      </c>
      <c r="BF13" s="113">
        <v>0</v>
      </c>
      <c r="BG13" s="113">
        <v>0</v>
      </c>
      <c r="BH13" s="113">
        <v>0</v>
      </c>
      <c r="BI13" s="113">
        <v>0</v>
      </c>
      <c r="BJ13" s="113">
        <v>0</v>
      </c>
      <c r="BK13" s="113">
        <v>0</v>
      </c>
      <c r="BL13" s="113">
        <v>0</v>
      </c>
      <c r="BM13" s="114">
        <f t="shared" si="2"/>
        <v>0</v>
      </c>
      <c r="BN13" s="113">
        <v>0</v>
      </c>
      <c r="BO13" s="113">
        <v>0</v>
      </c>
      <c r="BP13" s="113">
        <v>0</v>
      </c>
      <c r="BQ13" s="113">
        <v>0</v>
      </c>
      <c r="BR13" s="113">
        <v>0</v>
      </c>
      <c r="BS13" s="105">
        <f t="shared" si="3"/>
        <v>583.33333333333337</v>
      </c>
      <c r="BT13" s="153" t="s">
        <v>130</v>
      </c>
      <c r="BU13" s="153" t="s">
        <v>130</v>
      </c>
      <c r="BV13" s="153" t="s">
        <v>130</v>
      </c>
      <c r="BW13" s="154" t="s">
        <v>130</v>
      </c>
      <c r="BX13" s="153" t="s">
        <v>130</v>
      </c>
      <c r="BY13" s="102" t="s">
        <v>478</v>
      </c>
      <c r="BZ13" s="102" t="s">
        <v>130</v>
      </c>
      <c r="CA13" s="102" t="s">
        <v>130</v>
      </c>
      <c r="CB13" s="102" t="s">
        <v>130</v>
      </c>
      <c r="CC13" s="102" t="s">
        <v>130</v>
      </c>
      <c r="CD13" s="102" t="s">
        <v>130</v>
      </c>
      <c r="CE13" s="102" t="str">
        <f t="shared" si="4"/>
        <v>-</v>
      </c>
      <c r="CF13" s="118" t="s">
        <v>130</v>
      </c>
      <c r="CG13" s="118" t="s">
        <v>130</v>
      </c>
      <c r="CH13" s="119">
        <f t="shared" si="5"/>
        <v>0</v>
      </c>
      <c r="CI13" s="120" t="s">
        <v>130</v>
      </c>
      <c r="CJ13" s="121">
        <v>5</v>
      </c>
      <c r="CK13" s="121">
        <v>5</v>
      </c>
      <c r="CL13" s="121">
        <f t="shared" si="6"/>
        <v>60</v>
      </c>
      <c r="CM13" s="122">
        <f t="shared" si="7"/>
        <v>0</v>
      </c>
      <c r="CN13" s="88" t="str">
        <f>IFERROR(IF(VLOOKUP(AG13,'[1]ATIVOS SAGI'!C:D,1,FALSE)&lt;&gt;"","CADASTRADO","NÃO CADASTRADO"),"NÃO CADASTRADO")</f>
        <v>CADASTRADO</v>
      </c>
      <c r="CO13" s="99">
        <f t="shared" si="0"/>
        <v>0</v>
      </c>
      <c r="CP13" s="128" t="s">
        <v>301</v>
      </c>
      <c r="CQ13" s="156"/>
      <c r="CR13" s="100"/>
      <c r="CS13" s="100"/>
    </row>
    <row r="14" spans="1:97" x14ac:dyDescent="0.25">
      <c r="A14" s="27">
        <v>106</v>
      </c>
      <c r="B14" s="27">
        <v>129</v>
      </c>
      <c r="C14" s="29" t="s">
        <v>296</v>
      </c>
      <c r="D14" s="40" t="s">
        <v>49</v>
      </c>
      <c r="E14" s="40" t="s">
        <v>130</v>
      </c>
      <c r="F14" s="40" t="s">
        <v>130</v>
      </c>
      <c r="G14" s="40" t="s">
        <v>504</v>
      </c>
      <c r="H14" s="41" t="s">
        <v>505</v>
      </c>
      <c r="I14" s="29" t="s">
        <v>130</v>
      </c>
      <c r="J14" s="29" t="s">
        <v>130</v>
      </c>
      <c r="K14" s="85" t="s">
        <v>466</v>
      </c>
      <c r="L14" s="85">
        <v>167.74</v>
      </c>
      <c r="M14" s="86" t="s">
        <v>130</v>
      </c>
      <c r="N14" s="85">
        <v>0</v>
      </c>
      <c r="O14" s="86" t="s">
        <v>130</v>
      </c>
      <c r="P14" s="85">
        <v>0</v>
      </c>
      <c r="Q14" s="29" t="s">
        <v>80</v>
      </c>
      <c r="R14" s="85">
        <v>0</v>
      </c>
      <c r="S14" s="85">
        <v>0</v>
      </c>
      <c r="T14" s="85">
        <v>0</v>
      </c>
      <c r="U14" s="85">
        <v>0</v>
      </c>
      <c r="V14" s="85">
        <v>0</v>
      </c>
      <c r="W14" s="86" t="s">
        <v>130</v>
      </c>
      <c r="X14" s="86" t="s">
        <v>130</v>
      </c>
      <c r="Y14" s="85">
        <v>174.08</v>
      </c>
      <c r="Z14" s="85">
        <f t="shared" ref="Z14:Z27" si="8">U14+Y14</f>
        <v>174.08</v>
      </c>
      <c r="AA14" s="85">
        <f t="shared" ref="AA14:AA27" si="9">V14+Y14</f>
        <v>174.08</v>
      </c>
      <c r="AB14" s="85">
        <v>156.18</v>
      </c>
      <c r="AC14" s="85">
        <v>0</v>
      </c>
      <c r="AD14" s="85">
        <v>0</v>
      </c>
      <c r="AE14" s="29" t="s">
        <v>45</v>
      </c>
      <c r="AF14" s="29" t="s">
        <v>55</v>
      </c>
      <c r="AG14" s="40" t="s">
        <v>506</v>
      </c>
      <c r="AH14" s="29" t="s">
        <v>468</v>
      </c>
      <c r="AI14" s="87" t="str">
        <f>IFERROR(VLOOKUP(AG14,[2]Frota!$D$2:$AV$187,2,FALSE),"-")</f>
        <v>01265535210</v>
      </c>
      <c r="AJ14" s="87" t="str">
        <f>IFERROR(VLOOKUP(AG14,[2]Frota!$D$2:$AV$187,3,FALSE),"-")</f>
        <v>9A9R0933MMGEC3239</v>
      </c>
      <c r="AK14" s="29" t="s">
        <v>502</v>
      </c>
      <c r="AL14" s="29" t="s">
        <v>507</v>
      </c>
      <c r="AM14" s="34">
        <v>2021</v>
      </c>
      <c r="AN14" s="34">
        <v>2021</v>
      </c>
      <c r="AO14" s="40" t="s">
        <v>508</v>
      </c>
      <c r="AP14" s="29" t="s">
        <v>130</v>
      </c>
      <c r="AQ14" s="88" t="s">
        <v>464</v>
      </c>
      <c r="AR14" s="89">
        <f>VLOOKUP(AQ14,'[1]Critério de Depreciação'!$C$3:$G$8,5,FALSE)</f>
        <v>1.6666666666666667</v>
      </c>
      <c r="AS14" s="29" t="s">
        <v>308</v>
      </c>
      <c r="AT14" s="29" t="s">
        <v>300</v>
      </c>
      <c r="AU14" s="29" t="str">
        <f>IFERROR(VLOOKUP(AG59,[2]Frota!$D$2:$AV$187,12,FALSE),"-")</f>
        <v>-</v>
      </c>
      <c r="AV14" s="45">
        <v>36556</v>
      </c>
      <c r="AW14" s="90">
        <v>101000</v>
      </c>
      <c r="AX14" s="86">
        <v>44306</v>
      </c>
      <c r="AY14" s="91" t="s">
        <v>130</v>
      </c>
      <c r="AZ14" s="85">
        <v>110000</v>
      </c>
      <c r="BA14" s="123" t="s">
        <v>130</v>
      </c>
      <c r="BB14" s="124" t="s">
        <v>130</v>
      </c>
      <c r="BC14" s="85" t="s">
        <v>130</v>
      </c>
      <c r="BD14" s="85" t="s">
        <v>130</v>
      </c>
      <c r="BE14" s="92">
        <f t="shared" si="1"/>
        <v>110000</v>
      </c>
      <c r="BF14" s="92">
        <v>0</v>
      </c>
      <c r="BG14" s="92">
        <v>130000</v>
      </c>
      <c r="BH14" s="92">
        <v>0</v>
      </c>
      <c r="BI14" s="92">
        <v>0</v>
      </c>
      <c r="BJ14" s="92">
        <v>0</v>
      </c>
      <c r="BK14" s="92">
        <v>0</v>
      </c>
      <c r="BL14" s="92">
        <v>0</v>
      </c>
      <c r="BM14" s="93">
        <f t="shared" si="2"/>
        <v>130000</v>
      </c>
      <c r="BN14" s="92">
        <f t="shared" ref="BN14:BN27" si="10">(BG14*20%)/12</f>
        <v>2166.6666666666665</v>
      </c>
      <c r="BO14" s="92">
        <f t="shared" ref="BO14:BO31" si="11">((BF14+BH14+BI14+BJ14+BK14+BL14)*20%)/12</f>
        <v>0</v>
      </c>
      <c r="BP14" s="92">
        <f t="shared" ref="BP14:BP31" si="12">BN14+BO14</f>
        <v>2166.6666666666665</v>
      </c>
      <c r="BQ14" s="92">
        <v>0</v>
      </c>
      <c r="BR14" s="92">
        <v>0</v>
      </c>
      <c r="BS14" s="85">
        <f t="shared" si="3"/>
        <v>1683.3333333333333</v>
      </c>
      <c r="BT14" s="125" t="s">
        <v>130</v>
      </c>
      <c r="BU14" s="125" t="s">
        <v>130</v>
      </c>
      <c r="BV14" s="125" t="s">
        <v>130</v>
      </c>
      <c r="BW14" s="126" t="s">
        <v>130</v>
      </c>
      <c r="BX14" s="127" t="s">
        <v>130</v>
      </c>
      <c r="BY14" s="29" t="s">
        <v>312</v>
      </c>
      <c r="BZ14" s="29" t="s">
        <v>312</v>
      </c>
      <c r="CA14" s="29" t="s">
        <v>130</v>
      </c>
      <c r="CB14" s="29" t="s">
        <v>130</v>
      </c>
      <c r="CC14" s="29" t="s">
        <v>130</v>
      </c>
      <c r="CD14" s="29" t="s">
        <v>130</v>
      </c>
      <c r="CE14" s="29" t="str">
        <f t="shared" si="4"/>
        <v>MS - DOURADOS</v>
      </c>
      <c r="CF14" s="97" t="s">
        <v>130</v>
      </c>
      <c r="CG14" s="97" t="s">
        <v>130</v>
      </c>
      <c r="CH14" s="37">
        <f t="shared" si="5"/>
        <v>130000</v>
      </c>
      <c r="CI14" s="98" t="s">
        <v>130</v>
      </c>
      <c r="CJ14" s="39">
        <v>5</v>
      </c>
      <c r="CK14" s="39">
        <v>5</v>
      </c>
      <c r="CL14" s="39">
        <f t="shared" si="6"/>
        <v>60</v>
      </c>
      <c r="CM14" s="99">
        <f t="shared" si="7"/>
        <v>4333.333333333333</v>
      </c>
      <c r="CN14" s="40" t="str">
        <f>IFERROR(IF(VLOOKUP(AG14,'[1]ATIVOS SAGI'!C:D,1,FALSE)&lt;&gt;"","CADASTRADO","NÃO CADASTRADO"),"NÃO CADASTRADO")</f>
        <v>CADASTRADO</v>
      </c>
      <c r="CO14" s="99">
        <f t="shared" si="0"/>
        <v>2166.666666666667</v>
      </c>
      <c r="CP14" s="128" t="s">
        <v>92</v>
      </c>
      <c r="CQ14" s="128"/>
      <c r="CR14" s="48"/>
      <c r="CS14" s="48"/>
    </row>
    <row r="15" spans="1:97" x14ac:dyDescent="0.25">
      <c r="A15" s="27">
        <v>107</v>
      </c>
      <c r="B15" s="27">
        <v>130</v>
      </c>
      <c r="C15" s="29" t="s">
        <v>296</v>
      </c>
      <c r="D15" s="40" t="s">
        <v>49</v>
      </c>
      <c r="E15" s="40" t="s">
        <v>130</v>
      </c>
      <c r="F15" s="40" t="s">
        <v>130</v>
      </c>
      <c r="G15" s="40" t="s">
        <v>509</v>
      </c>
      <c r="H15" s="41" t="s">
        <v>510</v>
      </c>
      <c r="I15" s="29" t="s">
        <v>130</v>
      </c>
      <c r="J15" s="29" t="s">
        <v>130</v>
      </c>
      <c r="K15" s="85" t="s">
        <v>466</v>
      </c>
      <c r="L15" s="85">
        <v>167.74</v>
      </c>
      <c r="M15" s="86" t="s">
        <v>130</v>
      </c>
      <c r="N15" s="85">
        <v>0</v>
      </c>
      <c r="O15" s="86" t="s">
        <v>130</v>
      </c>
      <c r="P15" s="85">
        <v>0</v>
      </c>
      <c r="Q15" s="29" t="s">
        <v>80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6" t="s">
        <v>130</v>
      </c>
      <c r="X15" s="86" t="s">
        <v>130</v>
      </c>
      <c r="Y15" s="85">
        <v>174.08</v>
      </c>
      <c r="Z15" s="85">
        <f t="shared" si="8"/>
        <v>174.08</v>
      </c>
      <c r="AA15" s="85">
        <f t="shared" si="9"/>
        <v>174.08</v>
      </c>
      <c r="AB15" s="85">
        <v>0</v>
      </c>
      <c r="AC15" s="85">
        <v>0</v>
      </c>
      <c r="AD15" s="85">
        <v>0</v>
      </c>
      <c r="AE15" s="29" t="s">
        <v>45</v>
      </c>
      <c r="AF15" s="29" t="s">
        <v>57</v>
      </c>
      <c r="AG15" s="40" t="s">
        <v>511</v>
      </c>
      <c r="AH15" s="29" t="s">
        <v>468</v>
      </c>
      <c r="AI15" s="87" t="str">
        <f>IFERROR(VLOOKUP(AG15,[2]Frota!$D$2:$AV$187,2,FALSE),"-")</f>
        <v>01265536578</v>
      </c>
      <c r="AJ15" s="87" t="str">
        <f>IFERROR(VLOOKUP(AG15,[2]Frota!$D$2:$AV$187,3,FALSE),"-")</f>
        <v>9A9R0933MMGEC3237</v>
      </c>
      <c r="AK15" s="29" t="s">
        <v>502</v>
      </c>
      <c r="AL15" s="29" t="s">
        <v>507</v>
      </c>
      <c r="AM15" s="34">
        <v>2021</v>
      </c>
      <c r="AN15" s="34">
        <v>2021</v>
      </c>
      <c r="AO15" s="40" t="s">
        <v>508</v>
      </c>
      <c r="AP15" s="29" t="s">
        <v>130</v>
      </c>
      <c r="AQ15" s="88" t="s">
        <v>464</v>
      </c>
      <c r="AR15" s="89">
        <f>VLOOKUP(AQ15,'[1]Critério de Depreciação'!$C$3:$G$8,5,FALSE)</f>
        <v>1.6666666666666667</v>
      </c>
      <c r="AS15" s="29" t="s">
        <v>308</v>
      </c>
      <c r="AT15" s="29" t="s">
        <v>300</v>
      </c>
      <c r="AU15" s="29" t="str">
        <f>IFERROR(VLOOKUP(AG60,[2]Frota!$D$2:$AV$187,12,FALSE),"-")</f>
        <v>-</v>
      </c>
      <c r="AV15" s="45">
        <v>36554</v>
      </c>
      <c r="AW15" s="90">
        <v>101000</v>
      </c>
      <c r="AX15" s="86">
        <v>44306</v>
      </c>
      <c r="AY15" s="91" t="s">
        <v>130</v>
      </c>
      <c r="AZ15" s="85">
        <v>110000</v>
      </c>
      <c r="BA15" s="123" t="s">
        <v>130</v>
      </c>
      <c r="BB15" s="124" t="s">
        <v>130</v>
      </c>
      <c r="BC15" s="85" t="s">
        <v>130</v>
      </c>
      <c r="BD15" s="85" t="s">
        <v>130</v>
      </c>
      <c r="BE15" s="92">
        <f t="shared" si="1"/>
        <v>110000</v>
      </c>
      <c r="BF15" s="92">
        <v>0</v>
      </c>
      <c r="BG15" s="92">
        <v>130000</v>
      </c>
      <c r="BH15" s="92">
        <v>0</v>
      </c>
      <c r="BI15" s="92">
        <v>0</v>
      </c>
      <c r="BJ15" s="92">
        <v>0</v>
      </c>
      <c r="BK15" s="92">
        <v>0</v>
      </c>
      <c r="BL15" s="92">
        <v>0</v>
      </c>
      <c r="BM15" s="93">
        <f t="shared" si="2"/>
        <v>130000</v>
      </c>
      <c r="BN15" s="92">
        <f t="shared" si="10"/>
        <v>2166.6666666666665</v>
      </c>
      <c r="BO15" s="92">
        <f t="shared" si="11"/>
        <v>0</v>
      </c>
      <c r="BP15" s="92">
        <f t="shared" si="12"/>
        <v>2166.6666666666665</v>
      </c>
      <c r="BQ15" s="92">
        <v>0</v>
      </c>
      <c r="BR15" s="92">
        <v>0</v>
      </c>
      <c r="BS15" s="85">
        <f t="shared" si="3"/>
        <v>1683.3333333333333</v>
      </c>
      <c r="BT15" s="125" t="s">
        <v>130</v>
      </c>
      <c r="BU15" s="125" t="s">
        <v>130</v>
      </c>
      <c r="BV15" s="125" t="s">
        <v>130</v>
      </c>
      <c r="BW15" s="126" t="s">
        <v>130</v>
      </c>
      <c r="BX15" s="127" t="s">
        <v>130</v>
      </c>
      <c r="BY15" s="29" t="s">
        <v>313</v>
      </c>
      <c r="BZ15" s="29" t="s">
        <v>313</v>
      </c>
      <c r="CA15" s="29" t="s">
        <v>130</v>
      </c>
      <c r="CB15" s="29" t="s">
        <v>130</v>
      </c>
      <c r="CC15" s="29" t="s">
        <v>130</v>
      </c>
      <c r="CD15" s="29" t="s">
        <v>130</v>
      </c>
      <c r="CE15" s="29" t="str">
        <f t="shared" si="4"/>
        <v>PR - LONDRINA</v>
      </c>
      <c r="CF15" s="97" t="s">
        <v>130</v>
      </c>
      <c r="CG15" s="97" t="s">
        <v>130</v>
      </c>
      <c r="CH15" s="37">
        <f t="shared" si="5"/>
        <v>130000</v>
      </c>
      <c r="CI15" s="98" t="s">
        <v>130</v>
      </c>
      <c r="CJ15" s="39">
        <v>5</v>
      </c>
      <c r="CK15" s="39">
        <v>5</v>
      </c>
      <c r="CL15" s="39">
        <f t="shared" si="6"/>
        <v>60</v>
      </c>
      <c r="CM15" s="99">
        <f t="shared" si="7"/>
        <v>4333.333333333333</v>
      </c>
      <c r="CN15" s="40" t="str">
        <f>IFERROR(IF(VLOOKUP(AG15,'[1]ATIVOS SAGI'!C:D,1,FALSE)&lt;&gt;"","CADASTRADO","NÃO CADASTRADO"),"NÃO CADASTRADO")</f>
        <v>CADASTRADO</v>
      </c>
      <c r="CO15" s="99">
        <f t="shared" si="0"/>
        <v>2166.666666666667</v>
      </c>
      <c r="CP15" s="128" t="s">
        <v>92</v>
      </c>
      <c r="CQ15" s="156"/>
      <c r="CR15" s="100"/>
      <c r="CS15" s="100"/>
    </row>
    <row r="16" spans="1:97" x14ac:dyDescent="0.25">
      <c r="A16" s="27">
        <v>108</v>
      </c>
      <c r="B16" s="27">
        <v>131</v>
      </c>
      <c r="C16" s="29" t="s">
        <v>296</v>
      </c>
      <c r="D16" s="40" t="s">
        <v>49</v>
      </c>
      <c r="E16" s="40" t="s">
        <v>130</v>
      </c>
      <c r="F16" s="40" t="s">
        <v>130</v>
      </c>
      <c r="G16" s="40" t="s">
        <v>504</v>
      </c>
      <c r="H16" s="41" t="s">
        <v>505</v>
      </c>
      <c r="I16" s="29" t="s">
        <v>130</v>
      </c>
      <c r="J16" s="29" t="s">
        <v>130</v>
      </c>
      <c r="K16" s="85" t="s">
        <v>466</v>
      </c>
      <c r="L16" s="85">
        <v>167.74</v>
      </c>
      <c r="M16" s="86" t="s">
        <v>130</v>
      </c>
      <c r="N16" s="85">
        <v>0</v>
      </c>
      <c r="O16" s="86" t="s">
        <v>130</v>
      </c>
      <c r="P16" s="85">
        <v>0</v>
      </c>
      <c r="Q16" s="29" t="s">
        <v>80</v>
      </c>
      <c r="R16" s="85">
        <v>0</v>
      </c>
      <c r="S16" s="85">
        <v>0</v>
      </c>
      <c r="T16" s="85">
        <v>0</v>
      </c>
      <c r="U16" s="85">
        <v>0</v>
      </c>
      <c r="V16" s="85">
        <v>0</v>
      </c>
      <c r="W16" s="86" t="s">
        <v>130</v>
      </c>
      <c r="X16" s="86" t="s">
        <v>130</v>
      </c>
      <c r="Y16" s="85">
        <v>174.08</v>
      </c>
      <c r="Z16" s="85">
        <f t="shared" si="8"/>
        <v>174.08</v>
      </c>
      <c r="AA16" s="85">
        <f t="shared" si="9"/>
        <v>174.08</v>
      </c>
      <c r="AB16" s="85">
        <v>0</v>
      </c>
      <c r="AC16" s="85">
        <v>0</v>
      </c>
      <c r="AD16" s="85">
        <v>0</v>
      </c>
      <c r="AE16" s="29" t="s">
        <v>45</v>
      </c>
      <c r="AF16" s="29" t="s">
        <v>55</v>
      </c>
      <c r="AG16" s="40" t="s">
        <v>512</v>
      </c>
      <c r="AH16" s="29" t="s">
        <v>468</v>
      </c>
      <c r="AI16" s="87" t="str">
        <f>IFERROR(VLOOKUP(AG16,[2]Frota!$D$2:$AV$187,2,FALSE),"-")</f>
        <v>01265537124</v>
      </c>
      <c r="AJ16" s="87" t="str">
        <f>IFERROR(VLOOKUP(AG16,[2]Frota!$D$2:$AV$187,3,FALSE),"-")</f>
        <v>9A9R0933MMGEC3240</v>
      </c>
      <c r="AK16" s="29" t="s">
        <v>502</v>
      </c>
      <c r="AL16" s="29" t="s">
        <v>507</v>
      </c>
      <c r="AM16" s="34">
        <v>2021</v>
      </c>
      <c r="AN16" s="34">
        <v>2021</v>
      </c>
      <c r="AO16" s="40" t="s">
        <v>508</v>
      </c>
      <c r="AP16" s="29" t="s">
        <v>130</v>
      </c>
      <c r="AQ16" s="88" t="s">
        <v>464</v>
      </c>
      <c r="AR16" s="89">
        <f>VLOOKUP(AQ16,'[1]Critério de Depreciação'!$C$3:$G$8,5,FALSE)</f>
        <v>1.6666666666666667</v>
      </c>
      <c r="AS16" s="29" t="s">
        <v>308</v>
      </c>
      <c r="AT16" s="29" t="s">
        <v>513</v>
      </c>
      <c r="AU16" s="29" t="str">
        <f>IFERROR(VLOOKUP(#REF!,[2]Frota!$D$2:$AV$187,12,FALSE),"-")</f>
        <v>-</v>
      </c>
      <c r="AV16" s="45">
        <v>36559</v>
      </c>
      <c r="AW16" s="90">
        <v>101000</v>
      </c>
      <c r="AX16" s="86">
        <v>44306</v>
      </c>
      <c r="AY16" s="91" t="s">
        <v>130</v>
      </c>
      <c r="AZ16" s="85">
        <v>110000</v>
      </c>
      <c r="BA16" s="123" t="s">
        <v>130</v>
      </c>
      <c r="BB16" s="124" t="s">
        <v>130</v>
      </c>
      <c r="BC16" s="85" t="s">
        <v>130</v>
      </c>
      <c r="BD16" s="85" t="s">
        <v>130</v>
      </c>
      <c r="BE16" s="92">
        <f t="shared" si="1"/>
        <v>110000</v>
      </c>
      <c r="BF16" s="92">
        <v>0</v>
      </c>
      <c r="BG16" s="92">
        <v>130000</v>
      </c>
      <c r="BH16" s="92">
        <v>0</v>
      </c>
      <c r="BI16" s="92">
        <v>0</v>
      </c>
      <c r="BJ16" s="92">
        <v>0</v>
      </c>
      <c r="BK16" s="92">
        <v>0</v>
      </c>
      <c r="BL16" s="92">
        <v>0</v>
      </c>
      <c r="BM16" s="93">
        <f t="shared" si="2"/>
        <v>130000</v>
      </c>
      <c r="BN16" s="92">
        <f t="shared" si="10"/>
        <v>2166.6666666666665</v>
      </c>
      <c r="BO16" s="92">
        <f t="shared" si="11"/>
        <v>0</v>
      </c>
      <c r="BP16" s="92">
        <f t="shared" si="12"/>
        <v>2166.6666666666665</v>
      </c>
      <c r="BQ16" s="92">
        <v>0</v>
      </c>
      <c r="BR16" s="92">
        <v>0</v>
      </c>
      <c r="BS16" s="85">
        <f t="shared" si="3"/>
        <v>1683.3333333333333</v>
      </c>
      <c r="BT16" s="125" t="s">
        <v>130</v>
      </c>
      <c r="BU16" s="125" t="s">
        <v>130</v>
      </c>
      <c r="BV16" s="125" t="s">
        <v>130</v>
      </c>
      <c r="BW16" s="126" t="s">
        <v>130</v>
      </c>
      <c r="BX16" s="127" t="s">
        <v>130</v>
      </c>
      <c r="BY16" s="29" t="s">
        <v>310</v>
      </c>
      <c r="BZ16" s="29" t="s">
        <v>310</v>
      </c>
      <c r="CA16" s="29" t="s">
        <v>130</v>
      </c>
      <c r="CB16" s="29" t="s">
        <v>130</v>
      </c>
      <c r="CC16" s="29" t="s">
        <v>130</v>
      </c>
      <c r="CD16" s="29" t="s">
        <v>130</v>
      </c>
      <c r="CE16" s="29" t="str">
        <f t="shared" si="4"/>
        <v>MS - DOURADOS</v>
      </c>
      <c r="CF16" s="97" t="s">
        <v>130</v>
      </c>
      <c r="CG16" s="97" t="s">
        <v>130</v>
      </c>
      <c r="CH16" s="37">
        <f t="shared" si="5"/>
        <v>130000</v>
      </c>
      <c r="CI16" s="98" t="s">
        <v>130</v>
      </c>
      <c r="CJ16" s="39">
        <v>5</v>
      </c>
      <c r="CK16" s="39">
        <v>5</v>
      </c>
      <c r="CL16" s="39">
        <f t="shared" si="6"/>
        <v>60</v>
      </c>
      <c r="CM16" s="99">
        <f t="shared" si="7"/>
        <v>4333.333333333333</v>
      </c>
      <c r="CN16" s="40" t="str">
        <f>IFERROR(IF(VLOOKUP(AG16,'[1]ATIVOS SAGI'!C:D,1,FALSE)&lt;&gt;"","CADASTRADO","NÃO CADASTRADO"),"NÃO CADASTRADO")</f>
        <v>CADASTRADO</v>
      </c>
      <c r="CO16" s="99">
        <f t="shared" si="0"/>
        <v>2166.666666666667</v>
      </c>
      <c r="CP16" s="128" t="s">
        <v>92</v>
      </c>
      <c r="CQ16" s="156"/>
      <c r="CR16" s="48"/>
      <c r="CS16" s="48"/>
    </row>
    <row r="17" spans="1:97" x14ac:dyDescent="0.25">
      <c r="A17" s="27">
        <v>109</v>
      </c>
      <c r="B17" s="27">
        <v>132</v>
      </c>
      <c r="C17" s="29" t="s">
        <v>296</v>
      </c>
      <c r="D17" s="40" t="s">
        <v>49</v>
      </c>
      <c r="E17" s="40" t="s">
        <v>130</v>
      </c>
      <c r="F17" s="40" t="s">
        <v>130</v>
      </c>
      <c r="G17" s="40" t="s">
        <v>489</v>
      </c>
      <c r="H17" s="41" t="s">
        <v>306</v>
      </c>
      <c r="I17" s="29" t="s">
        <v>130</v>
      </c>
      <c r="J17" s="29" t="s">
        <v>130</v>
      </c>
      <c r="K17" s="85" t="s">
        <v>466</v>
      </c>
      <c r="L17" s="85">
        <v>167.74</v>
      </c>
      <c r="M17" s="86" t="s">
        <v>130</v>
      </c>
      <c r="N17" s="85">
        <v>0</v>
      </c>
      <c r="O17" s="86" t="s">
        <v>130</v>
      </c>
      <c r="P17" s="85">
        <v>0</v>
      </c>
      <c r="Q17" s="29" t="s">
        <v>80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6" t="s">
        <v>130</v>
      </c>
      <c r="X17" s="86" t="s">
        <v>130</v>
      </c>
      <c r="Y17" s="85">
        <v>174.08</v>
      </c>
      <c r="Z17" s="85">
        <f t="shared" si="8"/>
        <v>174.08</v>
      </c>
      <c r="AA17" s="85">
        <f t="shared" si="9"/>
        <v>174.08</v>
      </c>
      <c r="AB17" s="85">
        <v>136.08000000000001</v>
      </c>
      <c r="AC17" s="85">
        <v>0</v>
      </c>
      <c r="AD17" s="85">
        <v>0</v>
      </c>
      <c r="AE17" s="29" t="s">
        <v>45</v>
      </c>
      <c r="AF17" s="29" t="s">
        <v>46</v>
      </c>
      <c r="AG17" s="40" t="s">
        <v>514</v>
      </c>
      <c r="AH17" s="29" t="s">
        <v>468</v>
      </c>
      <c r="AI17" s="87" t="str">
        <f>IFERROR(VLOOKUP(AG17,[2]Frota!$D$2:$AV$187,2,FALSE),"-")</f>
        <v>01265535598</v>
      </c>
      <c r="AJ17" s="87" t="str">
        <f>IFERROR(VLOOKUP(AG17,[2]Frota!$D$2:$AV$187,3,FALSE),"-")</f>
        <v>9A9R0933MMGEC3238</v>
      </c>
      <c r="AK17" s="29" t="s">
        <v>502</v>
      </c>
      <c r="AL17" s="29" t="s">
        <v>507</v>
      </c>
      <c r="AM17" s="34">
        <v>2021</v>
      </c>
      <c r="AN17" s="34">
        <v>2021</v>
      </c>
      <c r="AO17" s="40" t="s">
        <v>508</v>
      </c>
      <c r="AP17" s="29" t="s">
        <v>130</v>
      </c>
      <c r="AQ17" s="88" t="s">
        <v>464</v>
      </c>
      <c r="AR17" s="89">
        <f>VLOOKUP(AQ17,'[1]Critério de Depreciação'!$C$3:$G$8,5,FALSE)</f>
        <v>1.6666666666666667</v>
      </c>
      <c r="AS17" s="29" t="s">
        <v>130</v>
      </c>
      <c r="AT17" s="29" t="s">
        <v>130</v>
      </c>
      <c r="AU17" s="29" t="str">
        <f>IFERROR(VLOOKUP(AG61,[2]Frota!$D$2:$AV$187,12,FALSE),"-")</f>
        <v>-</v>
      </c>
      <c r="AV17" s="45">
        <v>36555</v>
      </c>
      <c r="AW17" s="90">
        <v>101000</v>
      </c>
      <c r="AX17" s="86">
        <v>44306</v>
      </c>
      <c r="AY17" s="91" t="s">
        <v>130</v>
      </c>
      <c r="AZ17" s="85">
        <v>110000</v>
      </c>
      <c r="BA17" s="123" t="s">
        <v>130</v>
      </c>
      <c r="BB17" s="124" t="s">
        <v>130</v>
      </c>
      <c r="BC17" s="85" t="s">
        <v>130</v>
      </c>
      <c r="BD17" s="85" t="s">
        <v>130</v>
      </c>
      <c r="BE17" s="92">
        <f t="shared" si="1"/>
        <v>110000</v>
      </c>
      <c r="BF17" s="92">
        <v>0</v>
      </c>
      <c r="BG17" s="92">
        <v>130000</v>
      </c>
      <c r="BH17" s="92">
        <v>0</v>
      </c>
      <c r="BI17" s="92">
        <v>0</v>
      </c>
      <c r="BJ17" s="92">
        <v>0</v>
      </c>
      <c r="BK17" s="92">
        <v>0</v>
      </c>
      <c r="BL17" s="92">
        <v>0</v>
      </c>
      <c r="BM17" s="93">
        <f t="shared" si="2"/>
        <v>130000</v>
      </c>
      <c r="BN17" s="92">
        <f t="shared" si="10"/>
        <v>2166.6666666666665</v>
      </c>
      <c r="BO17" s="92">
        <f t="shared" si="11"/>
        <v>0</v>
      </c>
      <c r="BP17" s="92">
        <f t="shared" si="12"/>
        <v>2166.6666666666665</v>
      </c>
      <c r="BQ17" s="92">
        <v>0</v>
      </c>
      <c r="BR17" s="92">
        <v>0</v>
      </c>
      <c r="BS17" s="85">
        <f t="shared" si="3"/>
        <v>1683.3333333333333</v>
      </c>
      <c r="BT17" s="125" t="s">
        <v>130</v>
      </c>
      <c r="BU17" s="125" t="s">
        <v>130</v>
      </c>
      <c r="BV17" s="125" t="s">
        <v>130</v>
      </c>
      <c r="BW17" s="126" t="s">
        <v>130</v>
      </c>
      <c r="BX17" s="127" t="s">
        <v>130</v>
      </c>
      <c r="BY17" s="29" t="s">
        <v>314</v>
      </c>
      <c r="BZ17" s="29" t="s">
        <v>314</v>
      </c>
      <c r="CA17" s="29" t="s">
        <v>130</v>
      </c>
      <c r="CB17" s="29" t="s">
        <v>130</v>
      </c>
      <c r="CC17" s="29" t="s">
        <v>130</v>
      </c>
      <c r="CD17" s="29" t="s">
        <v>130</v>
      </c>
      <c r="CE17" s="29" t="str">
        <f t="shared" si="4"/>
        <v>SP - PRUDENTE - SUCATA</v>
      </c>
      <c r="CF17" s="97" t="s">
        <v>130</v>
      </c>
      <c r="CG17" s="97" t="s">
        <v>130</v>
      </c>
      <c r="CH17" s="37">
        <f t="shared" si="5"/>
        <v>130000</v>
      </c>
      <c r="CI17" s="98" t="s">
        <v>130</v>
      </c>
      <c r="CJ17" s="39">
        <v>5</v>
      </c>
      <c r="CK17" s="39">
        <v>5</v>
      </c>
      <c r="CL17" s="39">
        <f t="shared" si="6"/>
        <v>60</v>
      </c>
      <c r="CM17" s="99">
        <f t="shared" si="7"/>
        <v>4333.333333333333</v>
      </c>
      <c r="CN17" s="40" t="str">
        <f>IFERROR(IF(VLOOKUP(AG17,'[1]ATIVOS SAGI'!C:D,1,FALSE)&lt;&gt;"","CADASTRADO","NÃO CADASTRADO"),"NÃO CADASTRADO")</f>
        <v>CADASTRADO</v>
      </c>
      <c r="CO17" s="99">
        <f t="shared" si="0"/>
        <v>2166.666666666667</v>
      </c>
      <c r="CP17" s="128" t="s">
        <v>92</v>
      </c>
      <c r="CQ17" s="156"/>
      <c r="CR17" s="48"/>
      <c r="CS17" s="48"/>
    </row>
    <row r="18" spans="1:97" x14ac:dyDescent="0.25">
      <c r="A18" s="27">
        <v>110</v>
      </c>
      <c r="B18" s="27">
        <v>133</v>
      </c>
      <c r="C18" s="29" t="s">
        <v>296</v>
      </c>
      <c r="D18" s="40" t="s">
        <v>49</v>
      </c>
      <c r="E18" s="40" t="s">
        <v>130</v>
      </c>
      <c r="F18" s="40" t="s">
        <v>130</v>
      </c>
      <c r="G18" s="40" t="s">
        <v>489</v>
      </c>
      <c r="H18" s="41" t="s">
        <v>306</v>
      </c>
      <c r="I18" s="29" t="s">
        <v>130</v>
      </c>
      <c r="J18" s="29" t="s">
        <v>130</v>
      </c>
      <c r="K18" s="85" t="s">
        <v>466</v>
      </c>
      <c r="L18" s="85">
        <v>167.74</v>
      </c>
      <c r="M18" s="86" t="s">
        <v>130</v>
      </c>
      <c r="N18" s="85">
        <v>0</v>
      </c>
      <c r="O18" s="86" t="s">
        <v>130</v>
      </c>
      <c r="P18" s="85">
        <v>0</v>
      </c>
      <c r="Q18" s="29" t="s">
        <v>80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6" t="s">
        <v>130</v>
      </c>
      <c r="X18" s="86" t="s">
        <v>130</v>
      </c>
      <c r="Y18" s="85">
        <v>174.08</v>
      </c>
      <c r="Z18" s="85">
        <f t="shared" si="8"/>
        <v>174.08</v>
      </c>
      <c r="AA18" s="85">
        <f t="shared" si="9"/>
        <v>174.08</v>
      </c>
      <c r="AB18" s="85">
        <v>0</v>
      </c>
      <c r="AC18" s="85">
        <v>0</v>
      </c>
      <c r="AD18" s="85">
        <v>0</v>
      </c>
      <c r="AE18" s="29" t="s">
        <v>45</v>
      </c>
      <c r="AF18" s="29" t="s">
        <v>46</v>
      </c>
      <c r="AG18" s="40" t="s">
        <v>515</v>
      </c>
      <c r="AH18" s="29" t="s">
        <v>468</v>
      </c>
      <c r="AI18" s="87" t="str">
        <f>IFERROR(VLOOKUP(AG18,[2]Frota!$D$2:$AV$187,2,FALSE),"-")</f>
        <v>01265537507</v>
      </c>
      <c r="AJ18" s="87" t="str">
        <f>IFERROR(VLOOKUP(AG18,[2]Frota!$D$2:$AV$187,3,FALSE),"-")</f>
        <v>9A9R0933MMGEC3242</v>
      </c>
      <c r="AK18" s="29" t="s">
        <v>502</v>
      </c>
      <c r="AL18" s="29" t="s">
        <v>507</v>
      </c>
      <c r="AM18" s="34">
        <v>2021</v>
      </c>
      <c r="AN18" s="34">
        <v>2021</v>
      </c>
      <c r="AO18" s="40" t="s">
        <v>508</v>
      </c>
      <c r="AP18" s="29" t="s">
        <v>130</v>
      </c>
      <c r="AQ18" s="88" t="s">
        <v>464</v>
      </c>
      <c r="AR18" s="89">
        <f>VLOOKUP(AQ18,'[1]Critério de Depreciação'!$C$3:$G$8,5,FALSE)</f>
        <v>1.6666666666666667</v>
      </c>
      <c r="AS18" s="29" t="s">
        <v>130</v>
      </c>
      <c r="AT18" s="29" t="s">
        <v>130</v>
      </c>
      <c r="AU18" s="29" t="str">
        <f>IFERROR(VLOOKUP(AG62,[2]Frota!$D$2:$AV$187,12,FALSE),"-")</f>
        <v>-</v>
      </c>
      <c r="AV18" s="45">
        <v>36564</v>
      </c>
      <c r="AW18" s="90">
        <v>101000</v>
      </c>
      <c r="AX18" s="86">
        <v>44306</v>
      </c>
      <c r="AY18" s="91" t="s">
        <v>130</v>
      </c>
      <c r="AZ18" s="85">
        <v>110000</v>
      </c>
      <c r="BA18" s="123" t="s">
        <v>130</v>
      </c>
      <c r="BB18" s="124" t="s">
        <v>130</v>
      </c>
      <c r="BC18" s="85" t="s">
        <v>130</v>
      </c>
      <c r="BD18" s="85" t="s">
        <v>130</v>
      </c>
      <c r="BE18" s="92">
        <f t="shared" si="1"/>
        <v>110000</v>
      </c>
      <c r="BF18" s="92">
        <v>0</v>
      </c>
      <c r="BG18" s="92">
        <v>130000</v>
      </c>
      <c r="BH18" s="92">
        <v>0</v>
      </c>
      <c r="BI18" s="92">
        <v>0</v>
      </c>
      <c r="BJ18" s="92">
        <v>0</v>
      </c>
      <c r="BK18" s="92">
        <v>0</v>
      </c>
      <c r="BL18" s="92">
        <v>0</v>
      </c>
      <c r="BM18" s="93">
        <f t="shared" si="2"/>
        <v>130000</v>
      </c>
      <c r="BN18" s="92">
        <f t="shared" si="10"/>
        <v>2166.6666666666665</v>
      </c>
      <c r="BO18" s="92">
        <f t="shared" si="11"/>
        <v>0</v>
      </c>
      <c r="BP18" s="92">
        <f t="shared" si="12"/>
        <v>2166.6666666666665</v>
      </c>
      <c r="BQ18" s="92">
        <v>0</v>
      </c>
      <c r="BR18" s="92">
        <v>0</v>
      </c>
      <c r="BS18" s="85">
        <f t="shared" si="3"/>
        <v>1683.3333333333333</v>
      </c>
      <c r="BT18" s="125" t="s">
        <v>130</v>
      </c>
      <c r="BU18" s="125" t="s">
        <v>130</v>
      </c>
      <c r="BV18" s="125" t="s">
        <v>130</v>
      </c>
      <c r="BW18" s="126" t="s">
        <v>130</v>
      </c>
      <c r="BX18" s="127" t="s">
        <v>130</v>
      </c>
      <c r="BY18" s="29" t="s">
        <v>314</v>
      </c>
      <c r="BZ18" s="29" t="s">
        <v>314</v>
      </c>
      <c r="CA18" s="29" t="s">
        <v>130</v>
      </c>
      <c r="CB18" s="29" t="s">
        <v>130</v>
      </c>
      <c r="CC18" s="29" t="s">
        <v>130</v>
      </c>
      <c r="CD18" s="29" t="s">
        <v>130</v>
      </c>
      <c r="CE18" s="29" t="str">
        <f t="shared" si="4"/>
        <v>SP - PRUDENTE - SUCATA</v>
      </c>
      <c r="CF18" s="97" t="s">
        <v>130</v>
      </c>
      <c r="CG18" s="97" t="s">
        <v>130</v>
      </c>
      <c r="CH18" s="37">
        <f t="shared" si="5"/>
        <v>130000</v>
      </c>
      <c r="CI18" s="98" t="s">
        <v>130</v>
      </c>
      <c r="CJ18" s="39">
        <v>5</v>
      </c>
      <c r="CK18" s="39">
        <v>5</v>
      </c>
      <c r="CL18" s="39">
        <f t="shared" si="6"/>
        <v>60</v>
      </c>
      <c r="CM18" s="99">
        <f t="shared" si="7"/>
        <v>4333.333333333333</v>
      </c>
      <c r="CN18" s="40" t="str">
        <f>IFERROR(IF(VLOOKUP(AG18,'[1]ATIVOS SAGI'!C:D,1,FALSE)&lt;&gt;"","CADASTRADO","NÃO CADASTRADO"),"NÃO CADASTRADO")</f>
        <v>CADASTRADO</v>
      </c>
      <c r="CO18" s="99">
        <f t="shared" si="0"/>
        <v>2166.666666666667</v>
      </c>
      <c r="CP18" s="128" t="s">
        <v>92</v>
      </c>
      <c r="CQ18" s="156"/>
      <c r="CR18" s="100"/>
      <c r="CS18" s="100"/>
    </row>
    <row r="19" spans="1:97" x14ac:dyDescent="0.25">
      <c r="A19" s="27">
        <v>112</v>
      </c>
      <c r="B19" s="27">
        <v>135</v>
      </c>
      <c r="C19" s="29" t="s">
        <v>296</v>
      </c>
      <c r="D19" s="40" t="s">
        <v>49</v>
      </c>
      <c r="E19" s="40" t="s">
        <v>130</v>
      </c>
      <c r="F19" s="40" t="s">
        <v>130</v>
      </c>
      <c r="G19" s="40" t="s">
        <v>489</v>
      </c>
      <c r="H19" s="41" t="s">
        <v>306</v>
      </c>
      <c r="I19" s="29" t="s">
        <v>130</v>
      </c>
      <c r="J19" s="29" t="s">
        <v>130</v>
      </c>
      <c r="K19" s="85" t="s">
        <v>466</v>
      </c>
      <c r="L19" s="85">
        <v>167.74</v>
      </c>
      <c r="M19" s="86" t="s">
        <v>130</v>
      </c>
      <c r="N19" s="85">
        <v>0</v>
      </c>
      <c r="O19" s="86" t="s">
        <v>130</v>
      </c>
      <c r="P19" s="85">
        <v>0</v>
      </c>
      <c r="Q19" s="29" t="s">
        <v>80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6" t="s">
        <v>130</v>
      </c>
      <c r="X19" s="86" t="s">
        <v>130</v>
      </c>
      <c r="Y19" s="85">
        <v>174.08</v>
      </c>
      <c r="Z19" s="85">
        <f t="shared" si="8"/>
        <v>174.08</v>
      </c>
      <c r="AA19" s="85">
        <f t="shared" si="9"/>
        <v>174.08</v>
      </c>
      <c r="AB19" s="85">
        <v>0</v>
      </c>
      <c r="AC19" s="85">
        <v>0</v>
      </c>
      <c r="AD19" s="85">
        <v>0</v>
      </c>
      <c r="AE19" s="29" t="s">
        <v>45</v>
      </c>
      <c r="AF19" s="29" t="s">
        <v>46</v>
      </c>
      <c r="AG19" s="40" t="s">
        <v>516</v>
      </c>
      <c r="AH19" s="29" t="s">
        <v>468</v>
      </c>
      <c r="AI19" s="87" t="str">
        <f>IFERROR(VLOOKUP(AG19,[2]Frota!$D$2:$AV$187,2,FALSE),"-")</f>
        <v>01223927528</v>
      </c>
      <c r="AJ19" s="87" t="str">
        <f>IFERROR(VLOOKUP(AG19,[2]Frota!$D$2:$AV$187,3,FALSE),"-")</f>
        <v>9A9R6003AL1DV7002</v>
      </c>
      <c r="AK19" s="29" t="s">
        <v>517</v>
      </c>
      <c r="AL19" s="29" t="s">
        <v>507</v>
      </c>
      <c r="AM19" s="34">
        <v>2020</v>
      </c>
      <c r="AN19" s="34">
        <v>2020</v>
      </c>
      <c r="AO19" s="40" t="s">
        <v>508</v>
      </c>
      <c r="AP19" s="29" t="s">
        <v>130</v>
      </c>
      <c r="AQ19" s="88" t="s">
        <v>464</v>
      </c>
      <c r="AR19" s="89">
        <f>VLOOKUP(AQ19,'[1]Critério de Depreciação'!$C$3:$G$8,5,FALSE)</f>
        <v>1.6666666666666667</v>
      </c>
      <c r="AS19" s="29" t="s">
        <v>130</v>
      </c>
      <c r="AT19" s="29" t="s">
        <v>130</v>
      </c>
      <c r="AU19" s="29" t="str">
        <f>IFERROR(VLOOKUP(AG64,[2]Frota!$D$2:$AV$187,12,FALSE),"-")</f>
        <v>-</v>
      </c>
      <c r="AV19" s="157" t="s">
        <v>130</v>
      </c>
      <c r="AW19" s="90">
        <v>130000</v>
      </c>
      <c r="AX19" s="86" t="s">
        <v>130</v>
      </c>
      <c r="AY19" s="91">
        <v>80000</v>
      </c>
      <c r="AZ19" s="85">
        <v>110000</v>
      </c>
      <c r="BA19" s="123" t="s">
        <v>130</v>
      </c>
      <c r="BB19" s="86" t="s">
        <v>130</v>
      </c>
      <c r="BC19" s="85" t="s">
        <v>130</v>
      </c>
      <c r="BD19" s="85" t="s">
        <v>130</v>
      </c>
      <c r="BE19" s="92">
        <f t="shared" si="1"/>
        <v>110000</v>
      </c>
      <c r="BF19" s="92">
        <v>0</v>
      </c>
      <c r="BG19" s="92">
        <v>130000</v>
      </c>
      <c r="BH19" s="92">
        <v>0</v>
      </c>
      <c r="BI19" s="92">
        <v>0</v>
      </c>
      <c r="BJ19" s="92">
        <v>0</v>
      </c>
      <c r="BK19" s="92">
        <v>0</v>
      </c>
      <c r="BL19" s="92">
        <v>0</v>
      </c>
      <c r="BM19" s="93">
        <f t="shared" si="2"/>
        <v>130000</v>
      </c>
      <c r="BN19" s="92">
        <f t="shared" si="10"/>
        <v>2166.6666666666665</v>
      </c>
      <c r="BO19" s="92">
        <f t="shared" si="11"/>
        <v>0</v>
      </c>
      <c r="BP19" s="92">
        <f t="shared" si="12"/>
        <v>2166.6666666666665</v>
      </c>
      <c r="BQ19" s="92">
        <v>0</v>
      </c>
      <c r="BR19" s="92">
        <v>0</v>
      </c>
      <c r="BS19" s="85">
        <f t="shared" si="3"/>
        <v>2166.6666666666665</v>
      </c>
      <c r="BT19" s="94" t="s">
        <v>130</v>
      </c>
      <c r="BU19" s="94" t="s">
        <v>130</v>
      </c>
      <c r="BV19" s="94" t="s">
        <v>130</v>
      </c>
      <c r="BW19" s="95" t="s">
        <v>130</v>
      </c>
      <c r="BX19" s="96" t="s">
        <v>130</v>
      </c>
      <c r="BY19" s="29" t="s">
        <v>312</v>
      </c>
      <c r="BZ19" s="29" t="s">
        <v>312</v>
      </c>
      <c r="CA19" s="29" t="s">
        <v>130</v>
      </c>
      <c r="CB19" s="29" t="s">
        <v>130</v>
      </c>
      <c r="CC19" s="29" t="s">
        <v>130</v>
      </c>
      <c r="CD19" s="29" t="s">
        <v>130</v>
      </c>
      <c r="CE19" s="29" t="str">
        <f t="shared" si="4"/>
        <v>SP - PRUDENTE - SUCATA</v>
      </c>
      <c r="CF19" s="97" t="s">
        <v>130</v>
      </c>
      <c r="CG19" s="97" t="s">
        <v>130</v>
      </c>
      <c r="CH19" s="37">
        <f t="shared" si="5"/>
        <v>130000</v>
      </c>
      <c r="CI19" s="98" t="s">
        <v>130</v>
      </c>
      <c r="CJ19" s="39">
        <v>5</v>
      </c>
      <c r="CK19" s="39">
        <v>5</v>
      </c>
      <c r="CL19" s="39">
        <f t="shared" si="6"/>
        <v>60</v>
      </c>
      <c r="CM19" s="99">
        <f t="shared" si="7"/>
        <v>4333.333333333333</v>
      </c>
      <c r="CN19" s="40" t="str">
        <f>IFERROR(IF(VLOOKUP(AG19,'[1]ATIVOS SAGI'!C:D,1,FALSE)&lt;&gt;"","CADASTRADO","NÃO CADASTRADO"),"NÃO CADASTRADO")</f>
        <v>CADASTRADO</v>
      </c>
      <c r="CO19" s="99">
        <f t="shared" si="0"/>
        <v>2166.666666666667</v>
      </c>
      <c r="CP19" s="128" t="s">
        <v>92</v>
      </c>
      <c r="CQ19" s="156"/>
      <c r="CR19" s="48"/>
      <c r="CS19" s="48"/>
    </row>
    <row r="20" spans="1:97" x14ac:dyDescent="0.25">
      <c r="A20" s="27">
        <v>113</v>
      </c>
      <c r="B20" s="27">
        <v>136</v>
      </c>
      <c r="C20" s="29" t="s">
        <v>296</v>
      </c>
      <c r="D20" s="40" t="s">
        <v>49</v>
      </c>
      <c r="E20" s="40" t="s">
        <v>130</v>
      </c>
      <c r="F20" s="40" t="s">
        <v>130</v>
      </c>
      <c r="G20" s="40" t="s">
        <v>489</v>
      </c>
      <c r="H20" s="41" t="s">
        <v>306</v>
      </c>
      <c r="I20" s="29" t="s">
        <v>130</v>
      </c>
      <c r="J20" s="29" t="s">
        <v>130</v>
      </c>
      <c r="K20" s="85" t="s">
        <v>466</v>
      </c>
      <c r="L20" s="85">
        <v>167.74</v>
      </c>
      <c r="M20" s="86" t="s">
        <v>130</v>
      </c>
      <c r="N20" s="85">
        <v>0</v>
      </c>
      <c r="O20" s="86" t="s">
        <v>130</v>
      </c>
      <c r="P20" s="85">
        <v>0</v>
      </c>
      <c r="Q20" s="29" t="s">
        <v>80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6" t="s">
        <v>130</v>
      </c>
      <c r="X20" s="86" t="s">
        <v>130</v>
      </c>
      <c r="Y20" s="85">
        <v>174.08</v>
      </c>
      <c r="Z20" s="85">
        <f t="shared" si="8"/>
        <v>174.08</v>
      </c>
      <c r="AA20" s="85">
        <f t="shared" si="9"/>
        <v>174.08</v>
      </c>
      <c r="AB20" s="85">
        <v>0</v>
      </c>
      <c r="AC20" s="85">
        <v>0</v>
      </c>
      <c r="AD20" s="85">
        <v>0</v>
      </c>
      <c r="AE20" s="29" t="s">
        <v>45</v>
      </c>
      <c r="AF20" s="29" t="s">
        <v>46</v>
      </c>
      <c r="AG20" s="40" t="s">
        <v>518</v>
      </c>
      <c r="AH20" s="29" t="s">
        <v>474</v>
      </c>
      <c r="AI20" s="87" t="str">
        <f>IFERROR(VLOOKUP(AG20,[2]Frota!$D$2:$AV$187,2,FALSE),"-")</f>
        <v>00540684201</v>
      </c>
      <c r="AJ20" s="87" t="str">
        <f>IFERROR(VLOOKUP(AG20,[2]Frota!$D$2:$AV$187,3,FALSE),"-")</f>
        <v>9A9R6503AD1DV7016</v>
      </c>
      <c r="AK20" s="29" t="s">
        <v>517</v>
      </c>
      <c r="AL20" s="29" t="s">
        <v>507</v>
      </c>
      <c r="AM20" s="34">
        <v>2013</v>
      </c>
      <c r="AN20" s="34">
        <v>2013</v>
      </c>
      <c r="AO20" s="40" t="s">
        <v>508</v>
      </c>
      <c r="AP20" s="29" t="s">
        <v>130</v>
      </c>
      <c r="AQ20" s="88" t="s">
        <v>464</v>
      </c>
      <c r="AR20" s="89">
        <f>VLOOKUP(AQ20,'[1]Critério de Depreciação'!$C$3:$G$8,5,FALSE)</f>
        <v>1.6666666666666667</v>
      </c>
      <c r="AS20" s="29" t="s">
        <v>130</v>
      </c>
      <c r="AT20" s="29" t="s">
        <v>130</v>
      </c>
      <c r="AU20" s="29" t="str">
        <f>IFERROR(VLOOKUP(AG65,[2]Frota!$D$2:$AV$187,12,FALSE),"-")</f>
        <v>-</v>
      </c>
      <c r="AV20" s="29" t="s">
        <v>130</v>
      </c>
      <c r="AW20" s="90">
        <v>130000</v>
      </c>
      <c r="AX20" s="86" t="s">
        <v>130</v>
      </c>
      <c r="AY20" s="91" t="s">
        <v>130</v>
      </c>
      <c r="AZ20" s="85">
        <v>100000</v>
      </c>
      <c r="BA20" s="123" t="s">
        <v>130</v>
      </c>
      <c r="BB20" s="86" t="s">
        <v>130</v>
      </c>
      <c r="BC20" s="85" t="s">
        <v>130</v>
      </c>
      <c r="BD20" s="85" t="s">
        <v>130</v>
      </c>
      <c r="BE20" s="92">
        <f t="shared" si="1"/>
        <v>100000</v>
      </c>
      <c r="BF20" s="92">
        <v>0</v>
      </c>
      <c r="BG20" s="92">
        <v>130000</v>
      </c>
      <c r="BH20" s="92">
        <v>0</v>
      </c>
      <c r="BI20" s="92">
        <v>0</v>
      </c>
      <c r="BJ20" s="92">
        <v>0</v>
      </c>
      <c r="BK20" s="92">
        <v>0</v>
      </c>
      <c r="BL20" s="92">
        <v>0</v>
      </c>
      <c r="BM20" s="93">
        <f t="shared" si="2"/>
        <v>130000</v>
      </c>
      <c r="BN20" s="92">
        <f t="shared" si="10"/>
        <v>2166.6666666666665</v>
      </c>
      <c r="BO20" s="92">
        <f t="shared" si="11"/>
        <v>0</v>
      </c>
      <c r="BP20" s="92">
        <f t="shared" si="12"/>
        <v>2166.6666666666665</v>
      </c>
      <c r="BQ20" s="92">
        <v>0</v>
      </c>
      <c r="BR20" s="92">
        <v>0</v>
      </c>
      <c r="BS20" s="85">
        <f t="shared" si="3"/>
        <v>2166.6666666666665</v>
      </c>
      <c r="BT20" s="94" t="s">
        <v>130</v>
      </c>
      <c r="BU20" s="94" t="s">
        <v>130</v>
      </c>
      <c r="BV20" s="94" t="s">
        <v>130</v>
      </c>
      <c r="BW20" s="95" t="s">
        <v>130</v>
      </c>
      <c r="BX20" s="96" t="s">
        <v>130</v>
      </c>
      <c r="BY20" s="29" t="s">
        <v>519</v>
      </c>
      <c r="BZ20" s="29" t="s">
        <v>519</v>
      </c>
      <c r="CA20" s="29" t="s">
        <v>130</v>
      </c>
      <c r="CB20" s="29" t="s">
        <v>130</v>
      </c>
      <c r="CC20" s="29" t="s">
        <v>130</v>
      </c>
      <c r="CD20" s="29" t="s">
        <v>130</v>
      </c>
      <c r="CE20" s="29" t="str">
        <f t="shared" si="4"/>
        <v>SP - PRUDENTE - SUCATA</v>
      </c>
      <c r="CF20" s="97" t="s">
        <v>130</v>
      </c>
      <c r="CG20" s="97" t="s">
        <v>130</v>
      </c>
      <c r="CH20" s="37">
        <f t="shared" si="5"/>
        <v>130000</v>
      </c>
      <c r="CI20" s="98" t="s">
        <v>130</v>
      </c>
      <c r="CJ20" s="39">
        <v>5</v>
      </c>
      <c r="CK20" s="39">
        <v>5</v>
      </c>
      <c r="CL20" s="39">
        <f t="shared" si="6"/>
        <v>60</v>
      </c>
      <c r="CM20" s="99">
        <f t="shared" si="7"/>
        <v>4333.333333333333</v>
      </c>
      <c r="CN20" s="40" t="str">
        <f>IFERROR(IF(VLOOKUP(AG20,'[1]ATIVOS SAGI'!C:D,1,FALSE)&lt;&gt;"","CADASTRADO","NÃO CADASTRADO"),"NÃO CADASTRADO")</f>
        <v>CADASTRADO</v>
      </c>
      <c r="CO20" s="99">
        <f t="shared" si="0"/>
        <v>2166.666666666667</v>
      </c>
      <c r="CP20" s="128" t="s">
        <v>92</v>
      </c>
      <c r="CQ20" s="156"/>
      <c r="CR20" s="100"/>
      <c r="CS20" s="100"/>
    </row>
    <row r="21" spans="1:97" x14ac:dyDescent="0.25">
      <c r="A21" s="27">
        <v>114</v>
      </c>
      <c r="B21" s="27">
        <v>137</v>
      </c>
      <c r="C21" s="29" t="s">
        <v>296</v>
      </c>
      <c r="D21" s="40" t="s">
        <v>49</v>
      </c>
      <c r="E21" s="40" t="s">
        <v>130</v>
      </c>
      <c r="F21" s="40" t="s">
        <v>130</v>
      </c>
      <c r="G21" s="40" t="s">
        <v>315</v>
      </c>
      <c r="H21" s="41" t="s">
        <v>520</v>
      </c>
      <c r="I21" s="29" t="s">
        <v>130</v>
      </c>
      <c r="J21" s="29" t="s">
        <v>130</v>
      </c>
      <c r="K21" s="85" t="s">
        <v>466</v>
      </c>
      <c r="L21" s="85">
        <v>167.74</v>
      </c>
      <c r="M21" s="86" t="s">
        <v>130</v>
      </c>
      <c r="N21" s="85">
        <v>0</v>
      </c>
      <c r="O21" s="86" t="s">
        <v>130</v>
      </c>
      <c r="P21" s="85">
        <v>0</v>
      </c>
      <c r="Q21" s="29" t="s">
        <v>80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6" t="s">
        <v>130</v>
      </c>
      <c r="X21" s="86" t="s">
        <v>130</v>
      </c>
      <c r="Y21" s="85">
        <v>174.08</v>
      </c>
      <c r="Z21" s="85">
        <f t="shared" si="8"/>
        <v>174.08</v>
      </c>
      <c r="AA21" s="85">
        <f t="shared" si="9"/>
        <v>174.08</v>
      </c>
      <c r="AB21" s="85">
        <v>0</v>
      </c>
      <c r="AC21" s="85">
        <v>0</v>
      </c>
      <c r="AD21" s="85">
        <v>0</v>
      </c>
      <c r="AE21" s="29" t="s">
        <v>45</v>
      </c>
      <c r="AF21" s="29" t="s">
        <v>59</v>
      </c>
      <c r="AG21" s="40" t="s">
        <v>521</v>
      </c>
      <c r="AH21" s="29" t="s">
        <v>474</v>
      </c>
      <c r="AI21" s="87" t="str">
        <f>IFERROR(VLOOKUP(AG21,[2]Frota!$D$2:$AV$187,2,FALSE),"-")</f>
        <v>00540683809</v>
      </c>
      <c r="AJ21" s="87" t="str">
        <f>IFERROR(VLOOKUP(AG21,[2]Frota!$D$2:$AV$187,3,FALSE),"-")</f>
        <v>9A9R6503AD1DV7017</v>
      </c>
      <c r="AK21" s="29" t="s">
        <v>517</v>
      </c>
      <c r="AL21" s="29" t="s">
        <v>507</v>
      </c>
      <c r="AM21" s="34">
        <v>2013</v>
      </c>
      <c r="AN21" s="34">
        <v>2013</v>
      </c>
      <c r="AO21" s="40" t="s">
        <v>508</v>
      </c>
      <c r="AP21" s="29" t="s">
        <v>130</v>
      </c>
      <c r="AQ21" s="88" t="s">
        <v>464</v>
      </c>
      <c r="AR21" s="89">
        <f>VLOOKUP(AQ21,'[1]Critério de Depreciação'!$C$3:$G$8,5,FALSE)</f>
        <v>1.6666666666666667</v>
      </c>
      <c r="AS21" s="29" t="s">
        <v>130</v>
      </c>
      <c r="AT21" s="29" t="s">
        <v>130</v>
      </c>
      <c r="AU21" s="29" t="str">
        <f>IFERROR(VLOOKUP(AG66,[2]Frota!$D$2:$AV$187,12,FALSE),"-")</f>
        <v>1.2.3.4</v>
      </c>
      <c r="AV21" s="29" t="s">
        <v>130</v>
      </c>
      <c r="AW21" s="90">
        <v>130000</v>
      </c>
      <c r="AX21" s="86" t="s">
        <v>130</v>
      </c>
      <c r="AY21" s="91" t="s">
        <v>130</v>
      </c>
      <c r="AZ21" s="85">
        <v>100000</v>
      </c>
      <c r="BA21" s="123" t="s">
        <v>130</v>
      </c>
      <c r="BB21" s="86" t="s">
        <v>130</v>
      </c>
      <c r="BC21" s="85" t="s">
        <v>130</v>
      </c>
      <c r="BD21" s="85" t="s">
        <v>130</v>
      </c>
      <c r="BE21" s="92">
        <f t="shared" si="1"/>
        <v>100000</v>
      </c>
      <c r="BF21" s="92">
        <v>0</v>
      </c>
      <c r="BG21" s="92">
        <v>130000</v>
      </c>
      <c r="BH21" s="92">
        <v>0</v>
      </c>
      <c r="BI21" s="92">
        <v>0</v>
      </c>
      <c r="BJ21" s="92">
        <v>0</v>
      </c>
      <c r="BK21" s="92">
        <v>0</v>
      </c>
      <c r="BL21" s="92">
        <v>0</v>
      </c>
      <c r="BM21" s="93">
        <f t="shared" si="2"/>
        <v>130000</v>
      </c>
      <c r="BN21" s="92">
        <f t="shared" si="10"/>
        <v>2166.6666666666665</v>
      </c>
      <c r="BO21" s="92">
        <f t="shared" si="11"/>
        <v>0</v>
      </c>
      <c r="BP21" s="92">
        <f t="shared" si="12"/>
        <v>2166.6666666666665</v>
      </c>
      <c r="BQ21" s="92">
        <v>0</v>
      </c>
      <c r="BR21" s="92">
        <v>0</v>
      </c>
      <c r="BS21" s="85">
        <f t="shared" si="3"/>
        <v>2166.6666666666665</v>
      </c>
      <c r="BT21" s="94" t="s">
        <v>130</v>
      </c>
      <c r="BU21" s="94" t="s">
        <v>130</v>
      </c>
      <c r="BV21" s="94" t="s">
        <v>130</v>
      </c>
      <c r="BW21" s="95" t="s">
        <v>130</v>
      </c>
      <c r="BX21" s="96" t="s">
        <v>130</v>
      </c>
      <c r="BY21" s="29" t="s">
        <v>316</v>
      </c>
      <c r="BZ21" s="29" t="s">
        <v>316</v>
      </c>
      <c r="CA21" s="29" t="s">
        <v>130</v>
      </c>
      <c r="CB21" s="29" t="s">
        <v>130</v>
      </c>
      <c r="CC21" s="29" t="s">
        <v>130</v>
      </c>
      <c r="CD21" s="29" t="s">
        <v>130</v>
      </c>
      <c r="CE21" s="29" t="str">
        <f t="shared" si="4"/>
        <v>PR - MARINGÁ</v>
      </c>
      <c r="CF21" s="97" t="s">
        <v>130</v>
      </c>
      <c r="CG21" s="97" t="s">
        <v>130</v>
      </c>
      <c r="CH21" s="37">
        <f t="shared" si="5"/>
        <v>130000</v>
      </c>
      <c r="CI21" s="98" t="s">
        <v>130</v>
      </c>
      <c r="CJ21" s="39">
        <v>5</v>
      </c>
      <c r="CK21" s="39">
        <v>5</v>
      </c>
      <c r="CL21" s="39">
        <f t="shared" si="6"/>
        <v>60</v>
      </c>
      <c r="CM21" s="99">
        <f t="shared" si="7"/>
        <v>4333.333333333333</v>
      </c>
      <c r="CN21" s="40" t="str">
        <f>IFERROR(IF(VLOOKUP(AG21,'[1]ATIVOS SAGI'!C:D,1,FALSE)&lt;&gt;"","CADASTRADO","NÃO CADASTRADO"),"NÃO CADASTRADO")</f>
        <v>CADASTRADO</v>
      </c>
      <c r="CO21" s="99">
        <f t="shared" si="0"/>
        <v>2166.666666666667</v>
      </c>
      <c r="CP21" s="128" t="s">
        <v>92</v>
      </c>
      <c r="CQ21" s="156"/>
      <c r="CR21" s="100"/>
      <c r="CS21" s="100"/>
    </row>
    <row r="22" spans="1:97" x14ac:dyDescent="0.25">
      <c r="A22" s="27">
        <v>115</v>
      </c>
      <c r="B22" s="27">
        <v>138</v>
      </c>
      <c r="C22" s="29" t="s">
        <v>296</v>
      </c>
      <c r="D22" s="40" t="s">
        <v>49</v>
      </c>
      <c r="E22" s="40" t="s">
        <v>130</v>
      </c>
      <c r="F22" s="40" t="s">
        <v>130</v>
      </c>
      <c r="G22" s="40" t="s">
        <v>315</v>
      </c>
      <c r="H22" s="41" t="s">
        <v>520</v>
      </c>
      <c r="I22" s="29" t="s">
        <v>130</v>
      </c>
      <c r="J22" s="29" t="s">
        <v>130</v>
      </c>
      <c r="K22" s="85" t="s">
        <v>466</v>
      </c>
      <c r="L22" s="85">
        <v>167.74</v>
      </c>
      <c r="M22" s="86" t="s">
        <v>130</v>
      </c>
      <c r="N22" s="85">
        <v>0</v>
      </c>
      <c r="O22" s="86" t="s">
        <v>130</v>
      </c>
      <c r="P22" s="85">
        <v>0</v>
      </c>
      <c r="Q22" s="29" t="s">
        <v>80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6" t="s">
        <v>130</v>
      </c>
      <c r="X22" s="86" t="s">
        <v>130</v>
      </c>
      <c r="Y22" s="85">
        <v>174.08</v>
      </c>
      <c r="Z22" s="85">
        <f t="shared" si="8"/>
        <v>174.08</v>
      </c>
      <c r="AA22" s="85">
        <f t="shared" si="9"/>
        <v>174.08</v>
      </c>
      <c r="AB22" s="85">
        <v>0</v>
      </c>
      <c r="AC22" s="85">
        <v>0</v>
      </c>
      <c r="AD22" s="85">
        <v>0</v>
      </c>
      <c r="AE22" s="29" t="s">
        <v>45</v>
      </c>
      <c r="AF22" s="29" t="s">
        <v>59</v>
      </c>
      <c r="AG22" s="40" t="s">
        <v>522</v>
      </c>
      <c r="AH22" s="29" t="s">
        <v>474</v>
      </c>
      <c r="AI22" s="87" t="str">
        <f>IFERROR(VLOOKUP(AG22,[2]Frota!$D$2:$AV$187,2,FALSE),"-")</f>
        <v>00545788064</v>
      </c>
      <c r="AJ22" s="87" t="str">
        <f>IFERROR(VLOOKUP(AG22,[2]Frota!$D$2:$AV$187,3,FALSE),"-")</f>
        <v>9A9R6503AD1DV7020</v>
      </c>
      <c r="AK22" s="29" t="s">
        <v>517</v>
      </c>
      <c r="AL22" s="29" t="s">
        <v>507</v>
      </c>
      <c r="AM22" s="34">
        <v>2013</v>
      </c>
      <c r="AN22" s="34">
        <v>2013</v>
      </c>
      <c r="AO22" s="40" t="s">
        <v>508</v>
      </c>
      <c r="AP22" s="29" t="s">
        <v>130</v>
      </c>
      <c r="AQ22" s="88" t="s">
        <v>464</v>
      </c>
      <c r="AR22" s="89">
        <f>VLOOKUP(AQ22,'[1]Critério de Depreciação'!$C$3:$G$8,5,FALSE)</f>
        <v>1.6666666666666667</v>
      </c>
      <c r="AS22" s="29" t="s">
        <v>130</v>
      </c>
      <c r="AT22" s="29" t="s">
        <v>130</v>
      </c>
      <c r="AU22" s="29" t="str">
        <f>IFERROR(VLOOKUP(AG67,[2]Frota!$D$2:$AV$187,12,FALSE),"-")</f>
        <v>-</v>
      </c>
      <c r="AV22" s="29" t="s">
        <v>130</v>
      </c>
      <c r="AW22" s="90">
        <v>130000</v>
      </c>
      <c r="AX22" s="86" t="s">
        <v>130</v>
      </c>
      <c r="AY22" s="91" t="s">
        <v>130</v>
      </c>
      <c r="AZ22" s="85">
        <v>100000</v>
      </c>
      <c r="BA22" s="123" t="s">
        <v>130</v>
      </c>
      <c r="BB22" s="86" t="s">
        <v>130</v>
      </c>
      <c r="BC22" s="85" t="s">
        <v>130</v>
      </c>
      <c r="BD22" s="85" t="s">
        <v>130</v>
      </c>
      <c r="BE22" s="92">
        <f t="shared" si="1"/>
        <v>100000</v>
      </c>
      <c r="BF22" s="92">
        <v>0</v>
      </c>
      <c r="BG22" s="92">
        <v>130000</v>
      </c>
      <c r="BH22" s="92">
        <v>0</v>
      </c>
      <c r="BI22" s="92">
        <v>0</v>
      </c>
      <c r="BJ22" s="92">
        <v>0</v>
      </c>
      <c r="BK22" s="92">
        <v>0</v>
      </c>
      <c r="BL22" s="92">
        <v>0</v>
      </c>
      <c r="BM22" s="93">
        <f t="shared" si="2"/>
        <v>130000</v>
      </c>
      <c r="BN22" s="92">
        <f t="shared" si="10"/>
        <v>2166.6666666666665</v>
      </c>
      <c r="BO22" s="92">
        <f t="shared" si="11"/>
        <v>0</v>
      </c>
      <c r="BP22" s="92">
        <f t="shared" si="12"/>
        <v>2166.6666666666665</v>
      </c>
      <c r="BQ22" s="92">
        <v>0</v>
      </c>
      <c r="BR22" s="92">
        <v>0</v>
      </c>
      <c r="BS22" s="85">
        <f t="shared" si="3"/>
        <v>2166.6666666666665</v>
      </c>
      <c r="BT22" s="94" t="s">
        <v>130</v>
      </c>
      <c r="BU22" s="94" t="s">
        <v>130</v>
      </c>
      <c r="BV22" s="94" t="s">
        <v>130</v>
      </c>
      <c r="BW22" s="95" t="s">
        <v>130</v>
      </c>
      <c r="BX22" s="96" t="s">
        <v>130</v>
      </c>
      <c r="BY22" s="29" t="s">
        <v>523</v>
      </c>
      <c r="BZ22" s="29" t="s">
        <v>523</v>
      </c>
      <c r="CA22" s="29" t="s">
        <v>130</v>
      </c>
      <c r="CB22" s="29" t="s">
        <v>130</v>
      </c>
      <c r="CC22" s="29" t="s">
        <v>130</v>
      </c>
      <c r="CD22" s="29" t="s">
        <v>130</v>
      </c>
      <c r="CE22" s="29" t="str">
        <f t="shared" si="4"/>
        <v>PR - MARINGÁ</v>
      </c>
      <c r="CF22" s="97" t="s">
        <v>130</v>
      </c>
      <c r="CG22" s="97" t="s">
        <v>130</v>
      </c>
      <c r="CH22" s="37">
        <f t="shared" si="5"/>
        <v>130000</v>
      </c>
      <c r="CI22" s="98" t="s">
        <v>130</v>
      </c>
      <c r="CJ22" s="39">
        <v>5</v>
      </c>
      <c r="CK22" s="39">
        <v>5</v>
      </c>
      <c r="CL22" s="39">
        <f t="shared" si="6"/>
        <v>60</v>
      </c>
      <c r="CM22" s="99">
        <f t="shared" si="7"/>
        <v>4333.333333333333</v>
      </c>
      <c r="CN22" s="40" t="str">
        <f>IFERROR(IF(VLOOKUP(AG22,'[1]ATIVOS SAGI'!C:D,1,FALSE)&lt;&gt;"","CADASTRADO","NÃO CADASTRADO"),"NÃO CADASTRADO")</f>
        <v>CADASTRADO</v>
      </c>
      <c r="CO22" s="99">
        <f t="shared" si="0"/>
        <v>2166.666666666667</v>
      </c>
      <c r="CP22" s="48"/>
      <c r="CQ22" s="48"/>
      <c r="CR22" s="100"/>
      <c r="CS22" s="100"/>
    </row>
    <row r="23" spans="1:97" x14ac:dyDescent="0.25">
      <c r="A23" s="27">
        <v>116</v>
      </c>
      <c r="B23" s="27">
        <v>139</v>
      </c>
      <c r="C23" s="29" t="s">
        <v>296</v>
      </c>
      <c r="D23" s="40" t="s">
        <v>49</v>
      </c>
      <c r="E23" s="40" t="s">
        <v>130</v>
      </c>
      <c r="F23" s="40" t="s">
        <v>130</v>
      </c>
      <c r="G23" s="40" t="s">
        <v>524</v>
      </c>
      <c r="H23" s="41" t="s">
        <v>109</v>
      </c>
      <c r="I23" s="29" t="s">
        <v>130</v>
      </c>
      <c r="J23" s="29" t="s">
        <v>130</v>
      </c>
      <c r="K23" s="85" t="s">
        <v>466</v>
      </c>
      <c r="L23" s="85">
        <v>167.74</v>
      </c>
      <c r="M23" s="86" t="s">
        <v>130</v>
      </c>
      <c r="N23" s="85">
        <v>0</v>
      </c>
      <c r="O23" s="86" t="s">
        <v>130</v>
      </c>
      <c r="P23" s="85">
        <v>0</v>
      </c>
      <c r="Q23" s="29" t="s">
        <v>80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6" t="s">
        <v>130</v>
      </c>
      <c r="X23" s="86" t="s">
        <v>130</v>
      </c>
      <c r="Y23" s="85">
        <v>174.08</v>
      </c>
      <c r="Z23" s="85">
        <f t="shared" si="8"/>
        <v>174.08</v>
      </c>
      <c r="AA23" s="85">
        <f t="shared" si="9"/>
        <v>174.08</v>
      </c>
      <c r="AB23" s="85">
        <v>0</v>
      </c>
      <c r="AC23" s="85">
        <v>0</v>
      </c>
      <c r="AD23" s="85">
        <v>0</v>
      </c>
      <c r="AE23" s="29" t="s">
        <v>45</v>
      </c>
      <c r="AF23" s="29" t="s">
        <v>53</v>
      </c>
      <c r="AG23" s="40" t="s">
        <v>525</v>
      </c>
      <c r="AH23" s="102" t="s">
        <v>474</v>
      </c>
      <c r="AI23" s="87" t="str">
        <f>IFERROR(VLOOKUP(AG23,[2]Frota!$D$2:$AV$187,2,FALSE),"-")</f>
        <v>00588231967</v>
      </c>
      <c r="AJ23" s="87" t="str">
        <f>IFERROR(VLOOKUP(AG23,[2]Frota!$D$2:$AV$187,3,FALSE),"-")</f>
        <v>9A9R6503AD1DV7021</v>
      </c>
      <c r="AK23" s="29" t="s">
        <v>517</v>
      </c>
      <c r="AL23" s="29" t="s">
        <v>507</v>
      </c>
      <c r="AM23" s="34">
        <v>2013</v>
      </c>
      <c r="AN23" s="34">
        <v>2013</v>
      </c>
      <c r="AO23" s="40" t="s">
        <v>508</v>
      </c>
      <c r="AP23" s="29" t="s">
        <v>130</v>
      </c>
      <c r="AQ23" s="88" t="s">
        <v>464</v>
      </c>
      <c r="AR23" s="89">
        <f>VLOOKUP(AQ23,'[1]Critério de Depreciação'!$C$3:$G$8,5,FALSE)</f>
        <v>1.6666666666666667</v>
      </c>
      <c r="AS23" s="29" t="s">
        <v>130</v>
      </c>
      <c r="AT23" s="29" t="s">
        <v>130</v>
      </c>
      <c r="AU23" s="29" t="str">
        <f>IFERROR(VLOOKUP(AG68,[2]Frota!$D$2:$AV$187,12,FALSE),"-")</f>
        <v>1.2.2.4</v>
      </c>
      <c r="AV23" s="29" t="s">
        <v>130</v>
      </c>
      <c r="AW23" s="90">
        <v>130000</v>
      </c>
      <c r="AX23" s="86" t="s">
        <v>130</v>
      </c>
      <c r="AY23" s="91" t="s">
        <v>130</v>
      </c>
      <c r="AZ23" s="85">
        <v>100000</v>
      </c>
      <c r="BA23" s="123" t="s">
        <v>130</v>
      </c>
      <c r="BB23" s="86" t="s">
        <v>130</v>
      </c>
      <c r="BC23" s="85" t="s">
        <v>130</v>
      </c>
      <c r="BD23" s="85" t="s">
        <v>130</v>
      </c>
      <c r="BE23" s="92">
        <f t="shared" si="1"/>
        <v>100000</v>
      </c>
      <c r="BF23" s="92">
        <v>0</v>
      </c>
      <c r="BG23" s="92">
        <v>130000</v>
      </c>
      <c r="BH23" s="92">
        <v>0</v>
      </c>
      <c r="BI23" s="92">
        <v>0</v>
      </c>
      <c r="BJ23" s="92">
        <v>0</v>
      </c>
      <c r="BK23" s="92">
        <v>0</v>
      </c>
      <c r="BL23" s="92">
        <v>0</v>
      </c>
      <c r="BM23" s="93">
        <f t="shared" si="2"/>
        <v>130000</v>
      </c>
      <c r="BN23" s="92">
        <f t="shared" si="10"/>
        <v>2166.6666666666665</v>
      </c>
      <c r="BO23" s="92">
        <f t="shared" si="11"/>
        <v>0</v>
      </c>
      <c r="BP23" s="92">
        <f t="shared" si="12"/>
        <v>2166.6666666666665</v>
      </c>
      <c r="BQ23" s="92">
        <v>0</v>
      </c>
      <c r="BR23" s="92">
        <v>0</v>
      </c>
      <c r="BS23" s="85">
        <f t="shared" si="3"/>
        <v>2166.6666666666665</v>
      </c>
      <c r="BT23" s="94" t="s">
        <v>130</v>
      </c>
      <c r="BU23" s="94" t="s">
        <v>130</v>
      </c>
      <c r="BV23" s="94" t="s">
        <v>130</v>
      </c>
      <c r="BW23" s="95" t="s">
        <v>130</v>
      </c>
      <c r="BX23" s="96" t="s">
        <v>130</v>
      </c>
      <c r="BY23" s="29" t="s">
        <v>310</v>
      </c>
      <c r="BZ23" s="29" t="s">
        <v>310</v>
      </c>
      <c r="CA23" s="29" t="s">
        <v>130</v>
      </c>
      <c r="CB23" s="29" t="s">
        <v>130</v>
      </c>
      <c r="CC23" s="29" t="s">
        <v>130</v>
      </c>
      <c r="CD23" s="29" t="s">
        <v>130</v>
      </c>
      <c r="CE23" s="29" t="str">
        <f t="shared" si="4"/>
        <v>MS - CAMPO GRANDE</v>
      </c>
      <c r="CF23" s="97" t="s">
        <v>130</v>
      </c>
      <c r="CG23" s="97" t="s">
        <v>130</v>
      </c>
      <c r="CH23" s="37">
        <f t="shared" si="5"/>
        <v>130000</v>
      </c>
      <c r="CI23" s="98" t="s">
        <v>130</v>
      </c>
      <c r="CJ23" s="39">
        <v>5</v>
      </c>
      <c r="CK23" s="39">
        <v>5</v>
      </c>
      <c r="CL23" s="39">
        <f t="shared" si="6"/>
        <v>60</v>
      </c>
      <c r="CM23" s="99">
        <f t="shared" si="7"/>
        <v>4333.333333333333</v>
      </c>
      <c r="CN23" s="40" t="str">
        <f>IFERROR(IF(VLOOKUP(AG23,'[1]ATIVOS SAGI'!C:D,1,FALSE)&lt;&gt;"","CADASTRADO","NÃO CADASTRADO"),"NÃO CADASTRADO")</f>
        <v>CADASTRADO</v>
      </c>
      <c r="CO23" s="99">
        <f t="shared" si="0"/>
        <v>2166.666666666667</v>
      </c>
      <c r="CP23" s="128" t="s">
        <v>92</v>
      </c>
      <c r="CQ23" s="156"/>
      <c r="CR23" s="100"/>
      <c r="CS23" s="100"/>
    </row>
    <row r="24" spans="1:97" x14ac:dyDescent="0.25">
      <c r="A24" s="27">
        <v>117</v>
      </c>
      <c r="B24" s="27">
        <v>140</v>
      </c>
      <c r="C24" s="29" t="s">
        <v>296</v>
      </c>
      <c r="D24" s="40" t="s">
        <v>49</v>
      </c>
      <c r="E24" s="40" t="s">
        <v>130</v>
      </c>
      <c r="F24" s="40" t="s">
        <v>130</v>
      </c>
      <c r="G24" s="40" t="s">
        <v>526</v>
      </c>
      <c r="H24" s="41" t="s">
        <v>527</v>
      </c>
      <c r="I24" s="29" t="e">
        <f>-[1]ANDRESSA!#REF!</f>
        <v>#REF!</v>
      </c>
      <c r="J24" s="29" t="s">
        <v>130</v>
      </c>
      <c r="K24" s="85" t="s">
        <v>466</v>
      </c>
      <c r="L24" s="85">
        <v>167.74</v>
      </c>
      <c r="M24" s="86" t="s">
        <v>130</v>
      </c>
      <c r="N24" s="85">
        <v>0</v>
      </c>
      <c r="O24" s="86" t="s">
        <v>130</v>
      </c>
      <c r="P24" s="85">
        <v>0</v>
      </c>
      <c r="Q24" s="29" t="s">
        <v>80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6" t="s">
        <v>130</v>
      </c>
      <c r="X24" s="86" t="s">
        <v>130</v>
      </c>
      <c r="Y24" s="85">
        <v>174.08</v>
      </c>
      <c r="Z24" s="85">
        <f t="shared" si="8"/>
        <v>174.08</v>
      </c>
      <c r="AA24" s="85">
        <f t="shared" si="9"/>
        <v>174.08</v>
      </c>
      <c r="AB24" s="85">
        <v>0</v>
      </c>
      <c r="AC24" s="85">
        <v>0</v>
      </c>
      <c r="AD24" s="85">
        <v>0</v>
      </c>
      <c r="AE24" s="29" t="s">
        <v>45</v>
      </c>
      <c r="AF24" s="29" t="s">
        <v>302</v>
      </c>
      <c r="AG24" s="40" t="s">
        <v>528</v>
      </c>
      <c r="AH24" s="102" t="s">
        <v>474</v>
      </c>
      <c r="AI24" s="87" t="str">
        <f>IFERROR(VLOOKUP(AG24,[2]Frota!$D$2:$AV$187,2,FALSE),"-")</f>
        <v>00588231134</v>
      </c>
      <c r="AJ24" s="87" t="str">
        <f>IFERROR(VLOOKUP(AG24,[2]Frota!$D$2:$AV$187,3,FALSE),"-")</f>
        <v>9A9R6503AD1DV7022</v>
      </c>
      <c r="AK24" s="29" t="s">
        <v>517</v>
      </c>
      <c r="AL24" s="29" t="s">
        <v>507</v>
      </c>
      <c r="AM24" s="34">
        <v>2013</v>
      </c>
      <c r="AN24" s="34">
        <v>2013</v>
      </c>
      <c r="AO24" s="40" t="s">
        <v>508</v>
      </c>
      <c r="AP24" s="29" t="s">
        <v>130</v>
      </c>
      <c r="AQ24" s="88" t="s">
        <v>464</v>
      </c>
      <c r="AR24" s="89">
        <f>VLOOKUP(AQ24,'[1]Critério de Depreciação'!$C$3:$G$8,5,FALSE)</f>
        <v>1.6666666666666667</v>
      </c>
      <c r="AS24" s="29" t="s">
        <v>130</v>
      </c>
      <c r="AT24" s="29" t="s">
        <v>130</v>
      </c>
      <c r="AU24" s="29" t="str">
        <f>IFERROR(VLOOKUP(AG69,[2]Frota!$D$2:$AV$187,12,FALSE),"-")</f>
        <v>-</v>
      </c>
      <c r="AV24" s="29" t="s">
        <v>130</v>
      </c>
      <c r="AW24" s="90">
        <v>130000</v>
      </c>
      <c r="AX24" s="86" t="s">
        <v>130</v>
      </c>
      <c r="AY24" s="91" t="s">
        <v>130</v>
      </c>
      <c r="AZ24" s="85">
        <v>100000</v>
      </c>
      <c r="BA24" s="123" t="s">
        <v>130</v>
      </c>
      <c r="BB24" s="86" t="s">
        <v>130</v>
      </c>
      <c r="BC24" s="85" t="s">
        <v>130</v>
      </c>
      <c r="BD24" s="85" t="s">
        <v>130</v>
      </c>
      <c r="BE24" s="92">
        <f t="shared" si="1"/>
        <v>100000</v>
      </c>
      <c r="BF24" s="92">
        <v>0</v>
      </c>
      <c r="BG24" s="92">
        <v>130000</v>
      </c>
      <c r="BH24" s="92">
        <v>0</v>
      </c>
      <c r="BI24" s="92">
        <v>0</v>
      </c>
      <c r="BJ24" s="92">
        <v>0</v>
      </c>
      <c r="BK24" s="92">
        <v>0</v>
      </c>
      <c r="BL24" s="92">
        <v>0</v>
      </c>
      <c r="BM24" s="93">
        <f t="shared" si="2"/>
        <v>130000</v>
      </c>
      <c r="BN24" s="92">
        <f t="shared" si="10"/>
        <v>2166.6666666666665</v>
      </c>
      <c r="BO24" s="92">
        <f t="shared" si="11"/>
        <v>0</v>
      </c>
      <c r="BP24" s="92">
        <f t="shared" si="12"/>
        <v>2166.6666666666665</v>
      </c>
      <c r="BQ24" s="92">
        <v>0</v>
      </c>
      <c r="BR24" s="92">
        <v>0</v>
      </c>
      <c r="BS24" s="85">
        <f t="shared" si="3"/>
        <v>2166.6666666666665</v>
      </c>
      <c r="BT24" s="94" t="s">
        <v>130</v>
      </c>
      <c r="BU24" s="94" t="s">
        <v>130</v>
      </c>
      <c r="BV24" s="94" t="s">
        <v>130</v>
      </c>
      <c r="BW24" s="95" t="s">
        <v>130</v>
      </c>
      <c r="BX24" s="96" t="s">
        <v>130</v>
      </c>
      <c r="BY24" s="29" t="s">
        <v>313</v>
      </c>
      <c r="BZ24" s="29" t="s">
        <v>313</v>
      </c>
      <c r="CA24" s="29" t="s">
        <v>130</v>
      </c>
      <c r="CB24" s="29" t="s">
        <v>130</v>
      </c>
      <c r="CC24" s="29" t="s">
        <v>130</v>
      </c>
      <c r="CD24" s="29" t="s">
        <v>130</v>
      </c>
      <c r="CE24" s="29" t="str">
        <f t="shared" si="4"/>
        <v>SP - PRUDENTE</v>
      </c>
      <c r="CF24" s="97" t="s">
        <v>130</v>
      </c>
      <c r="CG24" s="97" t="s">
        <v>130</v>
      </c>
      <c r="CH24" s="37">
        <f t="shared" si="5"/>
        <v>130000</v>
      </c>
      <c r="CI24" s="98" t="s">
        <v>130</v>
      </c>
      <c r="CJ24" s="39">
        <v>5</v>
      </c>
      <c r="CK24" s="39">
        <v>5</v>
      </c>
      <c r="CL24" s="39">
        <f t="shared" si="6"/>
        <v>60</v>
      </c>
      <c r="CM24" s="99">
        <f t="shared" si="7"/>
        <v>4333.333333333333</v>
      </c>
      <c r="CN24" s="40" t="str">
        <f>IFERROR(IF(VLOOKUP(AG24,'[1]ATIVOS SAGI'!C:D,1,FALSE)&lt;&gt;"","CADASTRADO","NÃO CADASTRADO"),"NÃO CADASTRADO")</f>
        <v>CADASTRADO</v>
      </c>
      <c r="CO24" s="99">
        <f t="shared" si="0"/>
        <v>2166.666666666667</v>
      </c>
      <c r="CP24" s="128" t="s">
        <v>92</v>
      </c>
      <c r="CQ24" s="156"/>
      <c r="CR24" s="100"/>
      <c r="CS24" s="100"/>
    </row>
    <row r="25" spans="1:97" x14ac:dyDescent="0.25">
      <c r="A25" s="27">
        <v>118</v>
      </c>
      <c r="B25" s="27">
        <v>141</v>
      </c>
      <c r="C25" s="29" t="s">
        <v>296</v>
      </c>
      <c r="D25" s="40" t="s">
        <v>49</v>
      </c>
      <c r="E25" s="40" t="s">
        <v>130</v>
      </c>
      <c r="F25" s="40" t="s">
        <v>130</v>
      </c>
      <c r="G25" s="40" t="s">
        <v>315</v>
      </c>
      <c r="H25" s="41" t="s">
        <v>520</v>
      </c>
      <c r="I25" s="29" t="s">
        <v>130</v>
      </c>
      <c r="J25" s="29" t="s">
        <v>130</v>
      </c>
      <c r="K25" s="85" t="s">
        <v>466</v>
      </c>
      <c r="L25" s="85">
        <v>167.74</v>
      </c>
      <c r="M25" s="86" t="s">
        <v>130</v>
      </c>
      <c r="N25" s="85">
        <v>0</v>
      </c>
      <c r="O25" s="86" t="s">
        <v>130</v>
      </c>
      <c r="P25" s="85">
        <v>0</v>
      </c>
      <c r="Q25" s="29" t="s">
        <v>80</v>
      </c>
      <c r="R25" s="85">
        <v>0</v>
      </c>
      <c r="S25" s="85">
        <v>0</v>
      </c>
      <c r="T25" s="85">
        <v>0</v>
      </c>
      <c r="U25" s="85">
        <v>0</v>
      </c>
      <c r="V25" s="85">
        <v>0</v>
      </c>
      <c r="W25" s="86" t="s">
        <v>130</v>
      </c>
      <c r="X25" s="86" t="s">
        <v>130</v>
      </c>
      <c r="Y25" s="85">
        <v>174.08</v>
      </c>
      <c r="Z25" s="85">
        <f t="shared" si="8"/>
        <v>174.08</v>
      </c>
      <c r="AA25" s="85">
        <f t="shared" si="9"/>
        <v>174.08</v>
      </c>
      <c r="AB25" s="85">
        <v>0</v>
      </c>
      <c r="AC25" s="85">
        <v>0</v>
      </c>
      <c r="AD25" s="85">
        <v>0</v>
      </c>
      <c r="AE25" s="29" t="s">
        <v>45</v>
      </c>
      <c r="AF25" s="29" t="s">
        <v>59</v>
      </c>
      <c r="AG25" s="40" t="s">
        <v>529</v>
      </c>
      <c r="AH25" s="29" t="s">
        <v>474</v>
      </c>
      <c r="AI25" s="87" t="str">
        <f>IFERROR(VLOOKUP(AG25,[2]Frota!$D$2:$AV$187,2,FALSE),"-")</f>
        <v>00594083010</v>
      </c>
      <c r="AJ25" s="87" t="str">
        <f>IFERROR(VLOOKUP(AG25,[2]Frota!$D$2:$AV$187,3,FALSE),"-")</f>
        <v>9A9R6503AD1DV7023</v>
      </c>
      <c r="AK25" s="29" t="s">
        <v>517</v>
      </c>
      <c r="AL25" s="29" t="s">
        <v>507</v>
      </c>
      <c r="AM25" s="34">
        <v>2013</v>
      </c>
      <c r="AN25" s="34">
        <v>2013</v>
      </c>
      <c r="AO25" s="40" t="s">
        <v>508</v>
      </c>
      <c r="AP25" s="29" t="s">
        <v>130</v>
      </c>
      <c r="AQ25" s="88" t="s">
        <v>464</v>
      </c>
      <c r="AR25" s="89">
        <f>VLOOKUP(AQ25,'[1]Critério de Depreciação'!$C$3:$G$8,5,FALSE)</f>
        <v>1.6666666666666667</v>
      </c>
      <c r="AS25" s="29" t="s">
        <v>130</v>
      </c>
      <c r="AT25" s="29" t="s">
        <v>130</v>
      </c>
      <c r="AU25" s="29" t="str">
        <f>IFERROR(VLOOKUP(AG73,[2]Frota!$D$2:$AV$187,12,FALSE),"-")</f>
        <v>1.2.4.4</v>
      </c>
      <c r="AV25" s="29" t="s">
        <v>130</v>
      </c>
      <c r="AW25" s="90">
        <v>130000</v>
      </c>
      <c r="AX25" s="86" t="s">
        <v>130</v>
      </c>
      <c r="AY25" s="91" t="s">
        <v>130</v>
      </c>
      <c r="AZ25" s="85">
        <v>100000</v>
      </c>
      <c r="BA25" s="123" t="s">
        <v>130</v>
      </c>
      <c r="BB25" s="86" t="s">
        <v>130</v>
      </c>
      <c r="BC25" s="85" t="s">
        <v>130</v>
      </c>
      <c r="BD25" s="85" t="s">
        <v>130</v>
      </c>
      <c r="BE25" s="92">
        <f t="shared" si="1"/>
        <v>100000</v>
      </c>
      <c r="BF25" s="92">
        <v>0</v>
      </c>
      <c r="BG25" s="92">
        <v>130000</v>
      </c>
      <c r="BH25" s="92">
        <v>0</v>
      </c>
      <c r="BI25" s="92">
        <v>0</v>
      </c>
      <c r="BJ25" s="92">
        <v>0</v>
      </c>
      <c r="BK25" s="92">
        <v>0</v>
      </c>
      <c r="BL25" s="92">
        <v>0</v>
      </c>
      <c r="BM25" s="93">
        <f t="shared" si="2"/>
        <v>130000</v>
      </c>
      <c r="BN25" s="92">
        <f t="shared" si="10"/>
        <v>2166.6666666666665</v>
      </c>
      <c r="BO25" s="92">
        <f t="shared" si="11"/>
        <v>0</v>
      </c>
      <c r="BP25" s="92">
        <f t="shared" si="12"/>
        <v>2166.6666666666665</v>
      </c>
      <c r="BQ25" s="92">
        <v>0</v>
      </c>
      <c r="BR25" s="92">
        <v>0</v>
      </c>
      <c r="BS25" s="85">
        <f t="shared" si="3"/>
        <v>2166.6666666666665</v>
      </c>
      <c r="BT25" s="94" t="s">
        <v>130</v>
      </c>
      <c r="BU25" s="94" t="s">
        <v>130</v>
      </c>
      <c r="BV25" s="94" t="s">
        <v>130</v>
      </c>
      <c r="BW25" s="95" t="s">
        <v>130</v>
      </c>
      <c r="BX25" s="96" t="s">
        <v>130</v>
      </c>
      <c r="BY25" s="29" t="s">
        <v>316</v>
      </c>
      <c r="BZ25" s="29" t="s">
        <v>316</v>
      </c>
      <c r="CA25" s="29" t="s">
        <v>130</v>
      </c>
      <c r="CB25" s="29" t="s">
        <v>130</v>
      </c>
      <c r="CC25" s="29" t="s">
        <v>130</v>
      </c>
      <c r="CD25" s="29" t="s">
        <v>130</v>
      </c>
      <c r="CE25" s="29" t="str">
        <f t="shared" si="4"/>
        <v>PR - MARINGÁ</v>
      </c>
      <c r="CF25" s="97" t="s">
        <v>130</v>
      </c>
      <c r="CG25" s="97" t="s">
        <v>130</v>
      </c>
      <c r="CH25" s="37">
        <f t="shared" si="5"/>
        <v>130000</v>
      </c>
      <c r="CI25" s="98" t="s">
        <v>130</v>
      </c>
      <c r="CJ25" s="39">
        <v>5</v>
      </c>
      <c r="CK25" s="39">
        <v>5</v>
      </c>
      <c r="CL25" s="39">
        <f t="shared" si="6"/>
        <v>60</v>
      </c>
      <c r="CM25" s="99">
        <f t="shared" si="7"/>
        <v>4333.333333333333</v>
      </c>
      <c r="CN25" s="40" t="str">
        <f>IFERROR(IF(VLOOKUP(AG25,'[1]ATIVOS SAGI'!C:D,1,FALSE)&lt;&gt;"","CADASTRADO","NÃO CADASTRADO"),"NÃO CADASTRADO")</f>
        <v>CADASTRADO</v>
      </c>
      <c r="CO25" s="99">
        <f t="shared" si="0"/>
        <v>2166.666666666667</v>
      </c>
      <c r="CP25" s="128" t="s">
        <v>92</v>
      </c>
      <c r="CQ25" s="156"/>
      <c r="CR25" s="100"/>
      <c r="CS25" s="100"/>
    </row>
    <row r="26" spans="1:97" x14ac:dyDescent="0.25">
      <c r="A26" s="27">
        <v>119</v>
      </c>
      <c r="B26" s="27">
        <v>142</v>
      </c>
      <c r="C26" s="29" t="s">
        <v>296</v>
      </c>
      <c r="D26" s="40" t="s">
        <v>49</v>
      </c>
      <c r="E26" s="40" t="s">
        <v>130</v>
      </c>
      <c r="F26" s="40" t="s">
        <v>130</v>
      </c>
      <c r="G26" s="40" t="s">
        <v>489</v>
      </c>
      <c r="H26" s="41" t="s">
        <v>306</v>
      </c>
      <c r="I26" s="29" t="s">
        <v>130</v>
      </c>
      <c r="J26" s="29" t="s">
        <v>130</v>
      </c>
      <c r="K26" s="85" t="s">
        <v>466</v>
      </c>
      <c r="L26" s="85">
        <v>167.74</v>
      </c>
      <c r="M26" s="86" t="s">
        <v>130</v>
      </c>
      <c r="N26" s="85">
        <v>0</v>
      </c>
      <c r="O26" s="86" t="s">
        <v>130</v>
      </c>
      <c r="P26" s="85">
        <v>0</v>
      </c>
      <c r="Q26" s="29" t="s">
        <v>80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6" t="s">
        <v>130</v>
      </c>
      <c r="X26" s="86" t="s">
        <v>130</v>
      </c>
      <c r="Y26" s="85">
        <v>174.08</v>
      </c>
      <c r="Z26" s="85">
        <f t="shared" si="8"/>
        <v>174.08</v>
      </c>
      <c r="AA26" s="85">
        <f t="shared" si="9"/>
        <v>174.08</v>
      </c>
      <c r="AB26" s="85">
        <v>0</v>
      </c>
      <c r="AC26" s="85">
        <v>0</v>
      </c>
      <c r="AD26" s="85">
        <v>0</v>
      </c>
      <c r="AE26" s="29" t="s">
        <v>45</v>
      </c>
      <c r="AF26" s="29" t="s">
        <v>46</v>
      </c>
      <c r="AG26" s="40" t="s">
        <v>530</v>
      </c>
      <c r="AH26" s="29" t="s">
        <v>468</v>
      </c>
      <c r="AI26" s="87" t="str">
        <f>IFERROR(VLOOKUP(AG26,[2]Frota!$D$2:$AV$187,2,FALSE),"-")</f>
        <v>00540684589</v>
      </c>
      <c r="AJ26" s="87" t="str">
        <f>IFERROR(VLOOKUP(AG26,[2]Frota!$D$2:$AV$187,3,FALSE),"-")</f>
        <v>9A9R6503AD1DV7018</v>
      </c>
      <c r="AK26" s="29" t="s">
        <v>517</v>
      </c>
      <c r="AL26" s="29" t="s">
        <v>507</v>
      </c>
      <c r="AM26" s="34">
        <v>2013</v>
      </c>
      <c r="AN26" s="34">
        <v>2013</v>
      </c>
      <c r="AO26" s="40" t="s">
        <v>508</v>
      </c>
      <c r="AP26" s="29" t="s">
        <v>130</v>
      </c>
      <c r="AQ26" s="88" t="s">
        <v>464</v>
      </c>
      <c r="AR26" s="89">
        <f>VLOOKUP(AQ26,'[1]Critério de Depreciação'!$C$3:$G$8,5,FALSE)</f>
        <v>1.6666666666666667</v>
      </c>
      <c r="AS26" s="29" t="s">
        <v>130</v>
      </c>
      <c r="AT26" s="29" t="s">
        <v>130</v>
      </c>
      <c r="AU26" s="29" t="str">
        <f>IFERROR(VLOOKUP(AG71,[2]Frota!$D$2:$AV$187,12,FALSE),"-")</f>
        <v>1.2.2.4</v>
      </c>
      <c r="AV26" s="29" t="s">
        <v>130</v>
      </c>
      <c r="AW26" s="90">
        <v>130000</v>
      </c>
      <c r="AX26" s="86" t="s">
        <v>130</v>
      </c>
      <c r="AY26" s="91" t="s">
        <v>130</v>
      </c>
      <c r="AZ26" s="85">
        <v>100000</v>
      </c>
      <c r="BA26" s="123" t="s">
        <v>130</v>
      </c>
      <c r="BB26" s="86" t="s">
        <v>130</v>
      </c>
      <c r="BC26" s="85" t="s">
        <v>130</v>
      </c>
      <c r="BD26" s="85" t="s">
        <v>130</v>
      </c>
      <c r="BE26" s="92">
        <f t="shared" si="1"/>
        <v>100000</v>
      </c>
      <c r="BF26" s="92">
        <v>0</v>
      </c>
      <c r="BG26" s="92">
        <v>130000</v>
      </c>
      <c r="BH26" s="92">
        <v>0</v>
      </c>
      <c r="BI26" s="92">
        <v>0</v>
      </c>
      <c r="BJ26" s="92">
        <v>0</v>
      </c>
      <c r="BK26" s="92">
        <v>0</v>
      </c>
      <c r="BL26" s="92">
        <v>0</v>
      </c>
      <c r="BM26" s="93">
        <f t="shared" si="2"/>
        <v>130000</v>
      </c>
      <c r="BN26" s="92">
        <f t="shared" si="10"/>
        <v>2166.6666666666665</v>
      </c>
      <c r="BO26" s="92">
        <f t="shared" si="11"/>
        <v>0</v>
      </c>
      <c r="BP26" s="92">
        <f t="shared" si="12"/>
        <v>2166.6666666666665</v>
      </c>
      <c r="BQ26" s="92">
        <v>0</v>
      </c>
      <c r="BR26" s="92">
        <v>0</v>
      </c>
      <c r="BS26" s="85">
        <f t="shared" si="3"/>
        <v>2166.6666666666665</v>
      </c>
      <c r="BT26" s="94" t="s">
        <v>130</v>
      </c>
      <c r="BU26" s="94" t="s">
        <v>130</v>
      </c>
      <c r="BV26" s="94" t="s">
        <v>130</v>
      </c>
      <c r="BW26" s="95" t="s">
        <v>130</v>
      </c>
      <c r="BX26" s="96" t="s">
        <v>130</v>
      </c>
      <c r="BY26" s="29" t="s">
        <v>314</v>
      </c>
      <c r="BZ26" s="29" t="s">
        <v>314</v>
      </c>
      <c r="CA26" s="29" t="s">
        <v>130</v>
      </c>
      <c r="CB26" s="29" t="s">
        <v>130</v>
      </c>
      <c r="CC26" s="29" t="s">
        <v>130</v>
      </c>
      <c r="CD26" s="29" t="s">
        <v>130</v>
      </c>
      <c r="CE26" s="29" t="str">
        <f t="shared" si="4"/>
        <v>SP - PRUDENTE - SUCATA</v>
      </c>
      <c r="CF26" s="97" t="s">
        <v>130</v>
      </c>
      <c r="CG26" s="97" t="s">
        <v>130</v>
      </c>
      <c r="CH26" s="37">
        <f t="shared" si="5"/>
        <v>130000</v>
      </c>
      <c r="CI26" s="98" t="s">
        <v>130</v>
      </c>
      <c r="CJ26" s="39">
        <v>5</v>
      </c>
      <c r="CK26" s="39">
        <v>5</v>
      </c>
      <c r="CL26" s="39">
        <f t="shared" si="6"/>
        <v>60</v>
      </c>
      <c r="CM26" s="99">
        <f t="shared" si="7"/>
        <v>4333.333333333333</v>
      </c>
      <c r="CN26" s="40" t="str">
        <f>IFERROR(IF(VLOOKUP(AG26,'[1]ATIVOS SAGI'!C:D,1,FALSE)&lt;&gt;"","CADASTRADO","NÃO CADASTRADO"),"NÃO CADASTRADO")</f>
        <v>CADASTRADO</v>
      </c>
      <c r="CO26" s="99">
        <f t="shared" si="0"/>
        <v>2166.666666666667</v>
      </c>
      <c r="CP26" s="128" t="s">
        <v>92</v>
      </c>
      <c r="CQ26" s="156"/>
      <c r="CR26" s="48"/>
      <c r="CS26" s="48"/>
    </row>
    <row r="27" spans="1:97" x14ac:dyDescent="0.25">
      <c r="A27" s="27">
        <v>120</v>
      </c>
      <c r="B27" s="27">
        <v>143</v>
      </c>
      <c r="C27" s="29" t="s">
        <v>296</v>
      </c>
      <c r="D27" s="40" t="s">
        <v>49</v>
      </c>
      <c r="E27" s="40" t="s">
        <v>130</v>
      </c>
      <c r="F27" s="40" t="s">
        <v>130</v>
      </c>
      <c r="G27" s="40" t="s">
        <v>524</v>
      </c>
      <c r="H27" s="41" t="s">
        <v>109</v>
      </c>
      <c r="I27" s="29" t="s">
        <v>130</v>
      </c>
      <c r="J27" s="29" t="s">
        <v>130</v>
      </c>
      <c r="K27" s="85" t="s">
        <v>466</v>
      </c>
      <c r="L27" s="85">
        <v>167.74</v>
      </c>
      <c r="M27" s="86" t="s">
        <v>130</v>
      </c>
      <c r="N27" s="85">
        <v>0</v>
      </c>
      <c r="O27" s="86" t="s">
        <v>130</v>
      </c>
      <c r="P27" s="85">
        <v>0</v>
      </c>
      <c r="Q27" s="29" t="s">
        <v>80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6" t="s">
        <v>130</v>
      </c>
      <c r="X27" s="86" t="s">
        <v>130</v>
      </c>
      <c r="Y27" s="85">
        <v>174.08</v>
      </c>
      <c r="Z27" s="85">
        <f t="shared" si="8"/>
        <v>174.08</v>
      </c>
      <c r="AA27" s="85">
        <f t="shared" si="9"/>
        <v>174.08</v>
      </c>
      <c r="AB27" s="85">
        <v>0</v>
      </c>
      <c r="AC27" s="85">
        <v>0</v>
      </c>
      <c r="AD27" s="85">
        <v>0</v>
      </c>
      <c r="AE27" s="29" t="s">
        <v>45</v>
      </c>
      <c r="AF27" s="29" t="s">
        <v>53</v>
      </c>
      <c r="AG27" s="40" t="s">
        <v>531</v>
      </c>
      <c r="AH27" s="29" t="s">
        <v>474</v>
      </c>
      <c r="AI27" s="87" t="str">
        <f>IFERROR(VLOOKUP(AG27,[2]Frota!$D$2:$AV$187,2,FALSE),"-")</f>
        <v>00566974908</v>
      </c>
      <c r="AJ27" s="87" t="str">
        <f>IFERROR(VLOOKUP(AG27,[2]Frota!$D$2:$AV$187,3,FALSE),"-")</f>
        <v>9A9R6503AD1DV7019</v>
      </c>
      <c r="AK27" s="29" t="s">
        <v>517</v>
      </c>
      <c r="AL27" s="29" t="s">
        <v>507</v>
      </c>
      <c r="AM27" s="34">
        <v>2011</v>
      </c>
      <c r="AN27" s="34">
        <v>2011</v>
      </c>
      <c r="AO27" s="40" t="s">
        <v>508</v>
      </c>
      <c r="AP27" s="29" t="s">
        <v>130</v>
      </c>
      <c r="AQ27" s="88" t="s">
        <v>464</v>
      </c>
      <c r="AR27" s="89">
        <f>VLOOKUP(AQ27,'[1]Critério de Depreciação'!$C$3:$G$8,5,FALSE)</f>
        <v>1.6666666666666667</v>
      </c>
      <c r="AS27" s="29" t="s">
        <v>130</v>
      </c>
      <c r="AT27" s="29" t="s">
        <v>130</v>
      </c>
      <c r="AU27" s="29" t="str">
        <f>IFERROR(VLOOKUP(AG72,[2]Frota!$D$2:$AV$187,12,FALSE),"-")</f>
        <v>1.2.2.4</v>
      </c>
      <c r="AV27" s="29" t="s">
        <v>130</v>
      </c>
      <c r="AW27" s="90">
        <v>130000</v>
      </c>
      <c r="AX27" s="86" t="s">
        <v>130</v>
      </c>
      <c r="AY27" s="91" t="s">
        <v>130</v>
      </c>
      <c r="AZ27" s="85">
        <v>100000</v>
      </c>
      <c r="BA27" s="123" t="s">
        <v>130</v>
      </c>
      <c r="BB27" s="86" t="s">
        <v>130</v>
      </c>
      <c r="BC27" s="85" t="s">
        <v>130</v>
      </c>
      <c r="BD27" s="85" t="s">
        <v>130</v>
      </c>
      <c r="BE27" s="92">
        <f t="shared" si="1"/>
        <v>100000</v>
      </c>
      <c r="BF27" s="92">
        <v>0</v>
      </c>
      <c r="BG27" s="92">
        <v>130000</v>
      </c>
      <c r="BH27" s="92">
        <v>0</v>
      </c>
      <c r="BI27" s="92">
        <v>0</v>
      </c>
      <c r="BJ27" s="92">
        <v>0</v>
      </c>
      <c r="BK27" s="92">
        <v>0</v>
      </c>
      <c r="BL27" s="92">
        <v>0</v>
      </c>
      <c r="BM27" s="93">
        <f t="shared" si="2"/>
        <v>130000</v>
      </c>
      <c r="BN27" s="92">
        <f t="shared" si="10"/>
        <v>2166.6666666666665</v>
      </c>
      <c r="BO27" s="92">
        <f t="shared" si="11"/>
        <v>0</v>
      </c>
      <c r="BP27" s="92">
        <f t="shared" si="12"/>
        <v>2166.6666666666665</v>
      </c>
      <c r="BQ27" s="92">
        <v>0</v>
      </c>
      <c r="BR27" s="92">
        <v>0</v>
      </c>
      <c r="BS27" s="85">
        <f t="shared" si="3"/>
        <v>2166.6666666666665</v>
      </c>
      <c r="BT27" s="94" t="s">
        <v>130</v>
      </c>
      <c r="BU27" s="94" t="s">
        <v>130</v>
      </c>
      <c r="BV27" s="94" t="s">
        <v>130</v>
      </c>
      <c r="BW27" s="95" t="s">
        <v>130</v>
      </c>
      <c r="BX27" s="96" t="s">
        <v>130</v>
      </c>
      <c r="BY27" s="29" t="s">
        <v>312</v>
      </c>
      <c r="BZ27" s="29" t="s">
        <v>312</v>
      </c>
      <c r="CA27" s="29" t="s">
        <v>130</v>
      </c>
      <c r="CB27" s="29" t="s">
        <v>130</v>
      </c>
      <c r="CC27" s="29" t="s">
        <v>130</v>
      </c>
      <c r="CD27" s="29" t="s">
        <v>130</v>
      </c>
      <c r="CE27" s="29" t="str">
        <f t="shared" si="4"/>
        <v>MS - CAMPO GRANDE</v>
      </c>
      <c r="CF27" s="97" t="s">
        <v>130</v>
      </c>
      <c r="CG27" s="97" t="s">
        <v>130</v>
      </c>
      <c r="CH27" s="37">
        <f t="shared" si="5"/>
        <v>130000</v>
      </c>
      <c r="CI27" s="98" t="s">
        <v>130</v>
      </c>
      <c r="CJ27" s="39">
        <v>5</v>
      </c>
      <c r="CK27" s="39">
        <v>5</v>
      </c>
      <c r="CL27" s="39">
        <f t="shared" si="6"/>
        <v>60</v>
      </c>
      <c r="CM27" s="99">
        <f t="shared" si="7"/>
        <v>4333.333333333333</v>
      </c>
      <c r="CN27" s="40" t="str">
        <f>IFERROR(IF(VLOOKUP(AG27,'[1]ATIVOS SAGI'!C:D,1,FALSE)&lt;&gt;"","CADASTRADO","NÃO CADASTRADO"),"NÃO CADASTRADO")</f>
        <v>CADASTRADO</v>
      </c>
      <c r="CO27" s="99">
        <f t="shared" si="0"/>
        <v>2166.666666666667</v>
      </c>
      <c r="CP27" s="128" t="s">
        <v>92</v>
      </c>
      <c r="CQ27" s="156"/>
      <c r="CR27" s="48"/>
      <c r="CS27" s="48"/>
    </row>
    <row r="28" spans="1:97" x14ac:dyDescent="0.25">
      <c r="A28" s="27">
        <v>126</v>
      </c>
      <c r="B28" s="27">
        <v>148</v>
      </c>
      <c r="C28" s="29" t="s">
        <v>296</v>
      </c>
      <c r="D28" s="40" t="s">
        <v>49</v>
      </c>
      <c r="E28" s="40" t="s">
        <v>130</v>
      </c>
      <c r="F28" s="40" t="s">
        <v>130</v>
      </c>
      <c r="G28" s="151" t="s">
        <v>483</v>
      </c>
      <c r="H28" s="41" t="s">
        <v>130</v>
      </c>
      <c r="I28" s="29" t="s">
        <v>130</v>
      </c>
      <c r="J28" s="29" t="s">
        <v>130</v>
      </c>
      <c r="K28" s="29" t="s">
        <v>130</v>
      </c>
      <c r="L28" s="85" t="s">
        <v>130</v>
      </c>
      <c r="M28" s="86" t="s">
        <v>130</v>
      </c>
      <c r="N28" s="85" t="s">
        <v>130</v>
      </c>
      <c r="O28" s="86" t="s">
        <v>130</v>
      </c>
      <c r="P28" s="85" t="s">
        <v>130</v>
      </c>
      <c r="Q28" s="29" t="s">
        <v>130</v>
      </c>
      <c r="R28" s="85" t="s">
        <v>130</v>
      </c>
      <c r="S28" s="85" t="s">
        <v>130</v>
      </c>
      <c r="T28" s="85" t="s">
        <v>130</v>
      </c>
      <c r="U28" s="85" t="s">
        <v>130</v>
      </c>
      <c r="V28" s="85" t="s">
        <v>130</v>
      </c>
      <c r="W28" s="85" t="s">
        <v>130</v>
      </c>
      <c r="X28" s="85" t="s">
        <v>130</v>
      </c>
      <c r="Y28" s="85" t="s">
        <v>130</v>
      </c>
      <c r="Z28" s="85" t="s">
        <v>130</v>
      </c>
      <c r="AA28" s="85" t="s">
        <v>130</v>
      </c>
      <c r="AB28" s="85" t="s">
        <v>130</v>
      </c>
      <c r="AC28" s="85" t="s">
        <v>130</v>
      </c>
      <c r="AD28" s="85" t="s">
        <v>130</v>
      </c>
      <c r="AE28" s="29" t="s">
        <v>45</v>
      </c>
      <c r="AF28" s="29" t="s">
        <v>304</v>
      </c>
      <c r="AG28" s="40" t="s">
        <v>532</v>
      </c>
      <c r="AH28" s="29" t="s">
        <v>130</v>
      </c>
      <c r="AI28" s="87" t="str">
        <f>IFERROR(VLOOKUP(AG28,[2]Frota!$D$2:$AV$187,2,FALSE),"-")</f>
        <v>-</v>
      </c>
      <c r="AJ28" s="87" t="str">
        <f>IFERROR(VLOOKUP(AG28,[2]Frota!$D$2:$AV$187,3,FALSE),"-")</f>
        <v>-</v>
      </c>
      <c r="AK28" s="29" t="s">
        <v>485</v>
      </c>
      <c r="AL28" s="29" t="s">
        <v>533</v>
      </c>
      <c r="AM28" s="34">
        <v>2021</v>
      </c>
      <c r="AN28" s="34" t="s">
        <v>130</v>
      </c>
      <c r="AO28" s="40" t="s">
        <v>534</v>
      </c>
      <c r="AP28" s="29" t="s">
        <v>130</v>
      </c>
      <c r="AQ28" s="88" t="s">
        <v>305</v>
      </c>
      <c r="AR28" s="89">
        <f>VLOOKUP(AQ28,'[1]Critério de Depreciação'!$C$3:$G$8,5,FALSE)</f>
        <v>0.83333333333333337</v>
      </c>
      <c r="AS28" s="29" t="s">
        <v>130</v>
      </c>
      <c r="AT28" s="29" t="s">
        <v>130</v>
      </c>
      <c r="AU28" s="29" t="str">
        <f>IFERROR(VLOOKUP(AG74,[2]Frota!$D$2:$AV$187,12,FALSE),"-")</f>
        <v>1.3.1.4</v>
      </c>
      <c r="AV28" s="45">
        <v>40584</v>
      </c>
      <c r="AW28" s="90">
        <v>63312</v>
      </c>
      <c r="AX28" s="86">
        <v>44253</v>
      </c>
      <c r="AY28" s="91" t="s">
        <v>130</v>
      </c>
      <c r="AZ28" s="85">
        <v>110000</v>
      </c>
      <c r="BA28" s="123" t="s">
        <v>130</v>
      </c>
      <c r="BB28" s="124" t="s">
        <v>130</v>
      </c>
      <c r="BC28" s="85" t="s">
        <v>130</v>
      </c>
      <c r="BD28" s="85" t="s">
        <v>130</v>
      </c>
      <c r="BE28" s="92">
        <f t="shared" si="1"/>
        <v>110000</v>
      </c>
      <c r="BF28" s="92">
        <v>100000</v>
      </c>
      <c r="BG28" s="92">
        <v>0</v>
      </c>
      <c r="BH28" s="92">
        <v>0</v>
      </c>
      <c r="BI28" s="92">
        <v>0</v>
      </c>
      <c r="BJ28" s="92">
        <v>0</v>
      </c>
      <c r="BK28" s="92">
        <v>0</v>
      </c>
      <c r="BL28" s="92">
        <v>0</v>
      </c>
      <c r="BM28" s="93">
        <f t="shared" si="2"/>
        <v>100000</v>
      </c>
      <c r="BN28" s="92">
        <v>0</v>
      </c>
      <c r="BO28" s="92">
        <f t="shared" si="11"/>
        <v>1666.6666666666667</v>
      </c>
      <c r="BP28" s="92">
        <f t="shared" si="12"/>
        <v>1666.6666666666667</v>
      </c>
      <c r="BQ28" s="92">
        <v>0</v>
      </c>
      <c r="BR28" s="92">
        <v>0</v>
      </c>
      <c r="BS28" s="85">
        <f t="shared" si="3"/>
        <v>1055.2</v>
      </c>
      <c r="BT28" s="125" t="s">
        <v>130</v>
      </c>
      <c r="BU28" s="125" t="s">
        <v>130</v>
      </c>
      <c r="BV28" s="125" t="s">
        <v>130</v>
      </c>
      <c r="BW28" s="126" t="s">
        <v>130</v>
      </c>
      <c r="BX28" s="127" t="s">
        <v>130</v>
      </c>
      <c r="BY28" s="29" t="s">
        <v>488</v>
      </c>
      <c r="BZ28" s="29" t="s">
        <v>488</v>
      </c>
      <c r="CA28" s="29" t="s">
        <v>130</v>
      </c>
      <c r="CB28" s="29" t="s">
        <v>130</v>
      </c>
      <c r="CC28" s="29" t="s">
        <v>130</v>
      </c>
      <c r="CD28" s="29" t="s">
        <v>130</v>
      </c>
      <c r="CE28" s="29" t="str">
        <f t="shared" si="4"/>
        <v>LOJA</v>
      </c>
      <c r="CF28" s="97" t="s">
        <v>130</v>
      </c>
      <c r="CG28" s="97" t="s">
        <v>130</v>
      </c>
      <c r="CH28" s="37">
        <f t="shared" si="5"/>
        <v>100000</v>
      </c>
      <c r="CI28" s="98" t="s">
        <v>130</v>
      </c>
      <c r="CJ28" s="39">
        <v>5</v>
      </c>
      <c r="CK28" s="39">
        <v>5</v>
      </c>
      <c r="CL28" s="39">
        <f t="shared" si="6"/>
        <v>60</v>
      </c>
      <c r="CM28" s="99">
        <f t="shared" si="7"/>
        <v>3333.3333333333335</v>
      </c>
      <c r="CN28" s="40" t="str">
        <f>IFERROR(IF(VLOOKUP(AG28,'[1]ATIVOS SAGI'!C:D,1,FALSE)&lt;&gt;"","CADASTRADO","NÃO CADASTRADO"),"NÃO CADASTRADO")</f>
        <v>NÃO CADASTRADO</v>
      </c>
      <c r="CO28" s="99">
        <f t="shared" si="0"/>
        <v>833.33333333333348</v>
      </c>
      <c r="CP28" s="128" t="s">
        <v>92</v>
      </c>
      <c r="CQ28" s="156"/>
      <c r="CR28" s="48"/>
      <c r="CS28" s="48"/>
    </row>
    <row r="29" spans="1:97" x14ac:dyDescent="0.25">
      <c r="A29" s="27">
        <v>127</v>
      </c>
      <c r="B29" s="27">
        <v>149</v>
      </c>
      <c r="C29" s="29" t="s">
        <v>296</v>
      </c>
      <c r="D29" s="40" t="s">
        <v>49</v>
      </c>
      <c r="E29" s="40" t="s">
        <v>130</v>
      </c>
      <c r="F29" s="40" t="s">
        <v>130</v>
      </c>
      <c r="G29" s="151" t="s">
        <v>483</v>
      </c>
      <c r="H29" s="41" t="s">
        <v>130</v>
      </c>
      <c r="I29" s="29" t="s">
        <v>130</v>
      </c>
      <c r="J29" s="29" t="s">
        <v>130</v>
      </c>
      <c r="K29" s="29" t="s">
        <v>130</v>
      </c>
      <c r="L29" s="85" t="s">
        <v>130</v>
      </c>
      <c r="M29" s="86" t="s">
        <v>130</v>
      </c>
      <c r="N29" s="85" t="s">
        <v>130</v>
      </c>
      <c r="O29" s="86" t="s">
        <v>130</v>
      </c>
      <c r="P29" s="85" t="s">
        <v>130</v>
      </c>
      <c r="Q29" s="29" t="s">
        <v>130</v>
      </c>
      <c r="R29" s="85" t="s">
        <v>130</v>
      </c>
      <c r="S29" s="85" t="s">
        <v>130</v>
      </c>
      <c r="T29" s="85" t="s">
        <v>130</v>
      </c>
      <c r="U29" s="85" t="s">
        <v>130</v>
      </c>
      <c r="V29" s="85" t="s">
        <v>130</v>
      </c>
      <c r="W29" s="85" t="s">
        <v>130</v>
      </c>
      <c r="X29" s="85" t="s">
        <v>130</v>
      </c>
      <c r="Y29" s="85" t="s">
        <v>130</v>
      </c>
      <c r="Z29" s="85" t="s">
        <v>130</v>
      </c>
      <c r="AA29" s="85" t="s">
        <v>130</v>
      </c>
      <c r="AB29" s="85" t="s">
        <v>130</v>
      </c>
      <c r="AC29" s="85" t="s">
        <v>130</v>
      </c>
      <c r="AD29" s="85" t="s">
        <v>130</v>
      </c>
      <c r="AE29" s="29" t="s">
        <v>45</v>
      </c>
      <c r="AF29" s="29" t="s">
        <v>304</v>
      </c>
      <c r="AG29" s="40" t="s">
        <v>535</v>
      </c>
      <c r="AH29" s="29" t="s">
        <v>130</v>
      </c>
      <c r="AI29" s="87" t="str">
        <f>IFERROR(VLOOKUP(AG29,[2]Frota!$D$2:$AV$187,2,FALSE),"-")</f>
        <v>-</v>
      </c>
      <c r="AJ29" s="87" t="str">
        <f>IFERROR(VLOOKUP(AG29,[2]Frota!$D$2:$AV$187,3,FALSE),"-")</f>
        <v>-</v>
      </c>
      <c r="AK29" s="29" t="s">
        <v>485</v>
      </c>
      <c r="AL29" s="29" t="s">
        <v>536</v>
      </c>
      <c r="AM29" s="34">
        <v>2021</v>
      </c>
      <c r="AN29" s="34" t="s">
        <v>130</v>
      </c>
      <c r="AO29" s="40" t="s">
        <v>537</v>
      </c>
      <c r="AP29" s="29" t="s">
        <v>130</v>
      </c>
      <c r="AQ29" s="88" t="s">
        <v>305</v>
      </c>
      <c r="AR29" s="89">
        <f>VLOOKUP(AQ29,'[1]Critério de Depreciação'!$C$3:$G$8,5,FALSE)</f>
        <v>0.83333333333333337</v>
      </c>
      <c r="AS29" s="29" t="s">
        <v>130</v>
      </c>
      <c r="AT29" s="29" t="s">
        <v>130</v>
      </c>
      <c r="AU29" s="29" t="str">
        <f>IFERROR(VLOOKUP(AG75,[2]Frota!$D$2:$AV$187,12,FALSE),"-")</f>
        <v>1.2.2.4</v>
      </c>
      <c r="AV29" s="45">
        <v>40584</v>
      </c>
      <c r="AW29" s="90">
        <v>37429</v>
      </c>
      <c r="AX29" s="86">
        <v>44253</v>
      </c>
      <c r="AY29" s="91" t="s">
        <v>130</v>
      </c>
      <c r="AZ29" s="85">
        <f>90000+20000</f>
        <v>110000</v>
      </c>
      <c r="BA29" s="123" t="s">
        <v>130</v>
      </c>
      <c r="BB29" s="124" t="s">
        <v>130</v>
      </c>
      <c r="BC29" s="85" t="s">
        <v>130</v>
      </c>
      <c r="BD29" s="85" t="s">
        <v>130</v>
      </c>
      <c r="BE29" s="92">
        <f t="shared" si="1"/>
        <v>110000</v>
      </c>
      <c r="BF29" s="92">
        <v>100000</v>
      </c>
      <c r="BG29" s="92">
        <v>0</v>
      </c>
      <c r="BH29" s="92">
        <v>0</v>
      </c>
      <c r="BI29" s="92">
        <v>0</v>
      </c>
      <c r="BJ29" s="92">
        <v>0</v>
      </c>
      <c r="BK29" s="92">
        <v>0</v>
      </c>
      <c r="BL29" s="92">
        <v>0</v>
      </c>
      <c r="BM29" s="93">
        <f t="shared" si="2"/>
        <v>100000</v>
      </c>
      <c r="BN29" s="92">
        <v>0</v>
      </c>
      <c r="BO29" s="92">
        <f t="shared" si="11"/>
        <v>1666.6666666666667</v>
      </c>
      <c r="BP29" s="92">
        <f t="shared" si="12"/>
        <v>1666.6666666666667</v>
      </c>
      <c r="BQ29" s="92">
        <v>0</v>
      </c>
      <c r="BR29" s="92">
        <v>0</v>
      </c>
      <c r="BS29" s="85">
        <f t="shared" si="3"/>
        <v>623.81666666666672</v>
      </c>
      <c r="BT29" s="125" t="s">
        <v>130</v>
      </c>
      <c r="BU29" s="125" t="s">
        <v>130</v>
      </c>
      <c r="BV29" s="125" t="s">
        <v>130</v>
      </c>
      <c r="BW29" s="126" t="s">
        <v>130</v>
      </c>
      <c r="BX29" s="127" t="s">
        <v>130</v>
      </c>
      <c r="BY29" s="29" t="s">
        <v>488</v>
      </c>
      <c r="BZ29" s="29" t="s">
        <v>488</v>
      </c>
      <c r="CA29" s="29" t="s">
        <v>130</v>
      </c>
      <c r="CB29" s="29" t="s">
        <v>130</v>
      </c>
      <c r="CC29" s="29" t="s">
        <v>130</v>
      </c>
      <c r="CD29" s="29" t="s">
        <v>130</v>
      </c>
      <c r="CE29" s="29" t="str">
        <f t="shared" si="4"/>
        <v>LOJA</v>
      </c>
      <c r="CF29" s="97" t="s">
        <v>130</v>
      </c>
      <c r="CG29" s="97" t="s">
        <v>130</v>
      </c>
      <c r="CH29" s="37">
        <f t="shared" si="5"/>
        <v>100000</v>
      </c>
      <c r="CI29" s="98" t="s">
        <v>130</v>
      </c>
      <c r="CJ29" s="39">
        <v>5</v>
      </c>
      <c r="CK29" s="39">
        <v>5</v>
      </c>
      <c r="CL29" s="39">
        <f t="shared" si="6"/>
        <v>60</v>
      </c>
      <c r="CM29" s="99">
        <f t="shared" si="7"/>
        <v>3333.3333333333335</v>
      </c>
      <c r="CN29" s="40" t="str">
        <f>IFERROR(IF(VLOOKUP(AG29,'[1]ATIVOS SAGI'!C:D,1,FALSE)&lt;&gt;"","CADASTRADO","NÃO CADASTRADO"),"NÃO CADASTRADO")</f>
        <v>NÃO CADASTRADO</v>
      </c>
      <c r="CO29" s="99">
        <f t="shared" si="0"/>
        <v>833.33333333333348</v>
      </c>
      <c r="CP29" s="128" t="s">
        <v>92</v>
      </c>
      <c r="CQ29" s="156"/>
      <c r="CR29" s="100"/>
      <c r="CS29" s="100"/>
    </row>
    <row r="30" spans="1:97" x14ac:dyDescent="0.25">
      <c r="A30" s="27">
        <v>128</v>
      </c>
      <c r="B30" s="27">
        <v>150</v>
      </c>
      <c r="C30" s="29" t="s">
        <v>296</v>
      </c>
      <c r="D30" s="40" t="s">
        <v>49</v>
      </c>
      <c r="E30" s="40" t="s">
        <v>130</v>
      </c>
      <c r="F30" s="103" t="s">
        <v>130</v>
      </c>
      <c r="G30" s="151" t="s">
        <v>483</v>
      </c>
      <c r="H30" s="41" t="s">
        <v>130</v>
      </c>
      <c r="I30" s="29" t="s">
        <v>130</v>
      </c>
      <c r="J30" s="29" t="s">
        <v>130</v>
      </c>
      <c r="K30" s="29" t="s">
        <v>130</v>
      </c>
      <c r="L30" s="85" t="s">
        <v>130</v>
      </c>
      <c r="M30" s="86" t="s">
        <v>130</v>
      </c>
      <c r="N30" s="85" t="s">
        <v>130</v>
      </c>
      <c r="O30" s="86" t="s">
        <v>130</v>
      </c>
      <c r="P30" s="85" t="s">
        <v>130</v>
      </c>
      <c r="Q30" s="29" t="s">
        <v>130</v>
      </c>
      <c r="R30" s="85" t="s">
        <v>130</v>
      </c>
      <c r="S30" s="85" t="s">
        <v>130</v>
      </c>
      <c r="T30" s="85" t="s">
        <v>130</v>
      </c>
      <c r="U30" s="85" t="s">
        <v>130</v>
      </c>
      <c r="V30" s="85" t="s">
        <v>130</v>
      </c>
      <c r="W30" s="85" t="s">
        <v>130</v>
      </c>
      <c r="X30" s="85" t="s">
        <v>130</v>
      </c>
      <c r="Y30" s="85" t="s">
        <v>130</v>
      </c>
      <c r="Z30" s="85" t="s">
        <v>130</v>
      </c>
      <c r="AA30" s="85" t="s">
        <v>130</v>
      </c>
      <c r="AB30" s="85" t="s">
        <v>130</v>
      </c>
      <c r="AC30" s="85" t="s">
        <v>130</v>
      </c>
      <c r="AD30" s="85" t="s">
        <v>130</v>
      </c>
      <c r="AE30" s="29" t="s">
        <v>45</v>
      </c>
      <c r="AF30" s="29" t="s">
        <v>304</v>
      </c>
      <c r="AG30" s="40" t="s">
        <v>538</v>
      </c>
      <c r="AH30" s="29" t="s">
        <v>130</v>
      </c>
      <c r="AI30" s="87" t="str">
        <f>IFERROR(VLOOKUP(AG30,[2]Frota!$D$2:$AV$187,2,FALSE),"-")</f>
        <v>-</v>
      </c>
      <c r="AJ30" s="87" t="str">
        <f>IFERROR(VLOOKUP(AG30,[2]Frota!$D$2:$AV$187,3,FALSE),"-")</f>
        <v>-</v>
      </c>
      <c r="AK30" s="29" t="s">
        <v>485</v>
      </c>
      <c r="AL30" s="29" t="s">
        <v>536</v>
      </c>
      <c r="AM30" s="34">
        <v>2021</v>
      </c>
      <c r="AN30" s="34" t="s">
        <v>130</v>
      </c>
      <c r="AO30" s="40" t="s">
        <v>537</v>
      </c>
      <c r="AP30" s="29" t="s">
        <v>130</v>
      </c>
      <c r="AQ30" s="88" t="s">
        <v>305</v>
      </c>
      <c r="AR30" s="89">
        <f>VLOOKUP(AQ30,'[1]Critério de Depreciação'!$C$3:$G$8,5,FALSE)</f>
        <v>0.83333333333333337</v>
      </c>
      <c r="AS30" s="29" t="s">
        <v>130</v>
      </c>
      <c r="AT30" s="29" t="s">
        <v>130</v>
      </c>
      <c r="AU30" s="29" t="str">
        <f>IFERROR(VLOOKUP(AG76,[2]Frota!$D$2:$AV$187,12,FALSE),"-")</f>
        <v>1.3.1.4</v>
      </c>
      <c r="AV30" s="45">
        <v>40584</v>
      </c>
      <c r="AW30" s="90">
        <v>37429</v>
      </c>
      <c r="AX30" s="86">
        <v>44253</v>
      </c>
      <c r="AY30" s="91" t="s">
        <v>130</v>
      </c>
      <c r="AZ30" s="85">
        <f>90000+20000</f>
        <v>110000</v>
      </c>
      <c r="BA30" s="123" t="s">
        <v>130</v>
      </c>
      <c r="BB30" s="124" t="s">
        <v>130</v>
      </c>
      <c r="BC30" s="85" t="s">
        <v>130</v>
      </c>
      <c r="BD30" s="85" t="s">
        <v>130</v>
      </c>
      <c r="BE30" s="92">
        <f t="shared" si="1"/>
        <v>110000</v>
      </c>
      <c r="BF30" s="92">
        <v>100000</v>
      </c>
      <c r="BG30" s="92">
        <v>0</v>
      </c>
      <c r="BH30" s="92">
        <v>0</v>
      </c>
      <c r="BI30" s="92">
        <v>0</v>
      </c>
      <c r="BJ30" s="92">
        <v>0</v>
      </c>
      <c r="BK30" s="92">
        <v>0</v>
      </c>
      <c r="BL30" s="92">
        <v>0</v>
      </c>
      <c r="BM30" s="93">
        <f t="shared" si="2"/>
        <v>100000</v>
      </c>
      <c r="BN30" s="92">
        <v>0</v>
      </c>
      <c r="BO30" s="92">
        <f t="shared" si="11"/>
        <v>1666.6666666666667</v>
      </c>
      <c r="BP30" s="92">
        <f t="shared" si="12"/>
        <v>1666.6666666666667</v>
      </c>
      <c r="BQ30" s="92">
        <v>0</v>
      </c>
      <c r="BR30" s="92">
        <v>0</v>
      </c>
      <c r="BS30" s="85">
        <f t="shared" si="3"/>
        <v>623.81666666666672</v>
      </c>
      <c r="BT30" s="125" t="s">
        <v>130</v>
      </c>
      <c r="BU30" s="125" t="s">
        <v>130</v>
      </c>
      <c r="BV30" s="125" t="s">
        <v>130</v>
      </c>
      <c r="BW30" s="126" t="s">
        <v>130</v>
      </c>
      <c r="BX30" s="127" t="s">
        <v>130</v>
      </c>
      <c r="BY30" s="29" t="s">
        <v>488</v>
      </c>
      <c r="BZ30" s="29" t="s">
        <v>488</v>
      </c>
      <c r="CA30" s="29" t="s">
        <v>130</v>
      </c>
      <c r="CB30" s="29" t="s">
        <v>130</v>
      </c>
      <c r="CC30" s="29" t="s">
        <v>130</v>
      </c>
      <c r="CD30" s="29" t="s">
        <v>130</v>
      </c>
      <c r="CE30" s="29" t="str">
        <f t="shared" si="4"/>
        <v>LOJA</v>
      </c>
      <c r="CF30" s="97" t="s">
        <v>130</v>
      </c>
      <c r="CG30" s="97" t="s">
        <v>130</v>
      </c>
      <c r="CH30" s="37">
        <f t="shared" si="5"/>
        <v>100000</v>
      </c>
      <c r="CI30" s="98" t="s">
        <v>130</v>
      </c>
      <c r="CJ30" s="39">
        <v>5</v>
      </c>
      <c r="CK30" s="39">
        <v>5</v>
      </c>
      <c r="CL30" s="39">
        <f t="shared" si="6"/>
        <v>60</v>
      </c>
      <c r="CM30" s="99">
        <f t="shared" si="7"/>
        <v>3333.3333333333335</v>
      </c>
      <c r="CN30" s="40" t="str">
        <f>IFERROR(IF(VLOOKUP(AG30,'[1]ATIVOS SAGI'!C:D,1,FALSE)&lt;&gt;"","CADASTRADO","NÃO CADASTRADO"),"NÃO CADASTRADO")</f>
        <v>NÃO CADASTRADO</v>
      </c>
      <c r="CO30" s="99">
        <f t="shared" si="0"/>
        <v>833.33333333333348</v>
      </c>
      <c r="CP30" s="128" t="s">
        <v>92</v>
      </c>
      <c r="CQ30" s="156"/>
      <c r="CR30" s="100"/>
      <c r="CS30" s="100"/>
    </row>
    <row r="31" spans="1:97" x14ac:dyDescent="0.25">
      <c r="A31" s="27">
        <v>125</v>
      </c>
      <c r="B31" s="27">
        <v>147</v>
      </c>
      <c r="C31" s="29" t="s">
        <v>296</v>
      </c>
      <c r="D31" s="40" t="s">
        <v>49</v>
      </c>
      <c r="E31" s="40" t="s">
        <v>130</v>
      </c>
      <c r="F31" s="103" t="s">
        <v>130</v>
      </c>
      <c r="G31" s="151" t="s">
        <v>483</v>
      </c>
      <c r="H31" s="41" t="s">
        <v>130</v>
      </c>
      <c r="I31" s="29" t="s">
        <v>130</v>
      </c>
      <c r="J31" s="29" t="s">
        <v>130</v>
      </c>
      <c r="K31" s="29" t="s">
        <v>130</v>
      </c>
      <c r="L31" s="85" t="s">
        <v>130</v>
      </c>
      <c r="M31" s="86" t="s">
        <v>130</v>
      </c>
      <c r="N31" s="85" t="s">
        <v>130</v>
      </c>
      <c r="O31" s="86" t="s">
        <v>130</v>
      </c>
      <c r="P31" s="85" t="s">
        <v>130</v>
      </c>
      <c r="Q31" s="29" t="s">
        <v>130</v>
      </c>
      <c r="R31" s="85" t="s">
        <v>130</v>
      </c>
      <c r="S31" s="85" t="s">
        <v>130</v>
      </c>
      <c r="T31" s="85" t="s">
        <v>130</v>
      </c>
      <c r="U31" s="85" t="s">
        <v>130</v>
      </c>
      <c r="V31" s="85" t="s">
        <v>130</v>
      </c>
      <c r="W31" s="85" t="s">
        <v>130</v>
      </c>
      <c r="X31" s="85" t="s">
        <v>130</v>
      </c>
      <c r="Y31" s="85" t="s">
        <v>130</v>
      </c>
      <c r="Z31" s="85" t="s">
        <v>130</v>
      </c>
      <c r="AA31" s="85" t="s">
        <v>130</v>
      </c>
      <c r="AB31" s="85" t="s">
        <v>130</v>
      </c>
      <c r="AC31" s="85" t="s">
        <v>130</v>
      </c>
      <c r="AD31" s="85" t="s">
        <v>130</v>
      </c>
      <c r="AE31" s="29" t="s">
        <v>45</v>
      </c>
      <c r="AF31" s="29" t="s">
        <v>304</v>
      </c>
      <c r="AG31" s="40" t="s">
        <v>539</v>
      </c>
      <c r="AH31" s="29" t="s">
        <v>130</v>
      </c>
      <c r="AI31" s="87" t="str">
        <f>IFERROR(VLOOKUP(AG31,[2]Frota!$D$2:$AV$187,2,FALSE),"-")</f>
        <v>-</v>
      </c>
      <c r="AJ31" s="87" t="str">
        <f>IFERROR(VLOOKUP(AG31,[2]Frota!$D$2:$AV$187,3,FALSE),"-")</f>
        <v>-</v>
      </c>
      <c r="AK31" s="29" t="s">
        <v>485</v>
      </c>
      <c r="AL31" s="29" t="s">
        <v>540</v>
      </c>
      <c r="AM31" s="34">
        <v>2021</v>
      </c>
      <c r="AN31" s="34" t="s">
        <v>130</v>
      </c>
      <c r="AO31" s="152" t="s">
        <v>541</v>
      </c>
      <c r="AP31" s="29" t="s">
        <v>130</v>
      </c>
      <c r="AQ31" s="88" t="s">
        <v>305</v>
      </c>
      <c r="AR31" s="89">
        <f>VLOOKUP(AQ31,'[1]Critério de Depreciação'!$C$3:$G$8,5,FALSE)</f>
        <v>0.83333333333333337</v>
      </c>
      <c r="AS31" s="29" t="s">
        <v>130</v>
      </c>
      <c r="AT31" s="29" t="s">
        <v>130</v>
      </c>
      <c r="AU31" s="29" t="str">
        <f>IFERROR(VLOOKUP(AG77,[2]Frota!$D$2:$AV$187,12,FALSE),"-")</f>
        <v>1.2.3.4</v>
      </c>
      <c r="AV31" s="45">
        <v>40584</v>
      </c>
      <c r="AW31" s="90">
        <v>361830</v>
      </c>
      <c r="AX31" s="86">
        <v>44253</v>
      </c>
      <c r="AY31" s="91" t="s">
        <v>130</v>
      </c>
      <c r="AZ31" s="85">
        <v>700000</v>
      </c>
      <c r="BA31" s="123" t="s">
        <v>130</v>
      </c>
      <c r="BB31" s="124" t="s">
        <v>130</v>
      </c>
      <c r="BC31" s="85" t="s">
        <v>130</v>
      </c>
      <c r="BD31" s="85" t="s">
        <v>130</v>
      </c>
      <c r="BE31" s="92">
        <f t="shared" si="1"/>
        <v>700000</v>
      </c>
      <c r="BF31" s="92">
        <v>780000</v>
      </c>
      <c r="BG31" s="92">
        <v>0</v>
      </c>
      <c r="BH31" s="92">
        <v>0</v>
      </c>
      <c r="BI31" s="92">
        <v>0</v>
      </c>
      <c r="BJ31" s="92">
        <v>0</v>
      </c>
      <c r="BK31" s="92">
        <v>0</v>
      </c>
      <c r="BL31" s="92">
        <v>0</v>
      </c>
      <c r="BM31" s="93">
        <f t="shared" si="2"/>
        <v>780000</v>
      </c>
      <c r="BN31" s="92">
        <v>0</v>
      </c>
      <c r="BO31" s="92">
        <f t="shared" si="11"/>
        <v>13000</v>
      </c>
      <c r="BP31" s="92">
        <f t="shared" si="12"/>
        <v>13000</v>
      </c>
      <c r="BQ31" s="92">
        <v>0</v>
      </c>
      <c r="BR31" s="92">
        <v>0</v>
      </c>
      <c r="BS31" s="85">
        <f t="shared" si="3"/>
        <v>6030.5</v>
      </c>
      <c r="BT31" s="125" t="s">
        <v>130</v>
      </c>
      <c r="BU31" s="125" t="s">
        <v>130</v>
      </c>
      <c r="BV31" s="125" t="s">
        <v>130</v>
      </c>
      <c r="BW31" s="126" t="s">
        <v>130</v>
      </c>
      <c r="BX31" s="127" t="s">
        <v>130</v>
      </c>
      <c r="BY31" s="29" t="s">
        <v>488</v>
      </c>
      <c r="BZ31" s="29" t="s">
        <v>488</v>
      </c>
      <c r="CA31" s="29" t="s">
        <v>130</v>
      </c>
      <c r="CB31" s="29" t="s">
        <v>130</v>
      </c>
      <c r="CC31" s="29" t="s">
        <v>130</v>
      </c>
      <c r="CD31" s="29" t="s">
        <v>130</v>
      </c>
      <c r="CE31" s="29" t="str">
        <f t="shared" si="4"/>
        <v>LOJA</v>
      </c>
      <c r="CF31" s="97" t="s">
        <v>130</v>
      </c>
      <c r="CG31" s="97" t="s">
        <v>130</v>
      </c>
      <c r="CH31" s="37">
        <f t="shared" si="5"/>
        <v>780000</v>
      </c>
      <c r="CI31" s="98" t="s">
        <v>130</v>
      </c>
      <c r="CJ31" s="39">
        <v>5</v>
      </c>
      <c r="CK31" s="39">
        <v>5</v>
      </c>
      <c r="CL31" s="39">
        <f t="shared" si="6"/>
        <v>60</v>
      </c>
      <c r="CM31" s="99">
        <f t="shared" si="7"/>
        <v>26000</v>
      </c>
      <c r="CN31" s="40" t="str">
        <f>IFERROR(IF(VLOOKUP(AG31,'[1]ATIVOS SAGI'!C:D,1,FALSE)&lt;&gt;"","CADASTRADO","NÃO CADASTRADO"),"NÃO CADASTRADO")</f>
        <v>NÃO CADASTRADO</v>
      </c>
      <c r="CO31" s="99">
        <f t="shared" si="0"/>
        <v>6500</v>
      </c>
      <c r="CP31" s="128" t="s">
        <v>92</v>
      </c>
      <c r="CQ31" s="156"/>
      <c r="CR31" s="100"/>
      <c r="CS31" s="100"/>
    </row>
    <row r="32" spans="1:97" x14ac:dyDescent="0.25">
      <c r="A32" s="27">
        <v>225</v>
      </c>
      <c r="B32" s="129" t="s">
        <v>130</v>
      </c>
      <c r="C32" s="130" t="s">
        <v>130</v>
      </c>
      <c r="D32" s="40" t="s">
        <v>49</v>
      </c>
      <c r="E32" s="103" t="s">
        <v>130</v>
      </c>
      <c r="F32" s="103" t="s">
        <v>130</v>
      </c>
      <c r="G32" s="103"/>
      <c r="H32" s="131" t="s">
        <v>479</v>
      </c>
      <c r="I32" s="102" t="s">
        <v>130</v>
      </c>
      <c r="J32" s="102" t="s">
        <v>130</v>
      </c>
      <c r="K32" s="102" t="s">
        <v>130</v>
      </c>
      <c r="L32" s="105" t="s">
        <v>130</v>
      </c>
      <c r="M32" s="106" t="s">
        <v>130</v>
      </c>
      <c r="N32" s="105" t="s">
        <v>130</v>
      </c>
      <c r="O32" s="106" t="s">
        <v>130</v>
      </c>
      <c r="P32" s="105" t="s">
        <v>130</v>
      </c>
      <c r="Q32" s="105" t="s">
        <v>130</v>
      </c>
      <c r="R32" s="105" t="s">
        <v>130</v>
      </c>
      <c r="S32" s="105" t="s">
        <v>130</v>
      </c>
      <c r="T32" s="105" t="s">
        <v>130</v>
      </c>
      <c r="U32" s="105" t="s">
        <v>130</v>
      </c>
      <c r="V32" s="105" t="s">
        <v>130</v>
      </c>
      <c r="W32" s="105" t="s">
        <v>130</v>
      </c>
      <c r="X32" s="105" t="s">
        <v>130</v>
      </c>
      <c r="Y32" s="105" t="s">
        <v>130</v>
      </c>
      <c r="Z32" s="105" t="s">
        <v>130</v>
      </c>
      <c r="AA32" s="105" t="s">
        <v>130</v>
      </c>
      <c r="AB32" s="105" t="s">
        <v>130</v>
      </c>
      <c r="AC32" s="105" t="s">
        <v>130</v>
      </c>
      <c r="AD32" s="105" t="s">
        <v>130</v>
      </c>
      <c r="AE32" s="130" t="s">
        <v>45</v>
      </c>
      <c r="AF32" s="132" t="s">
        <v>302</v>
      </c>
      <c r="AG32" s="103" t="s">
        <v>542</v>
      </c>
      <c r="AH32" s="130" t="s">
        <v>130</v>
      </c>
      <c r="AI32" s="133" t="s">
        <v>130</v>
      </c>
      <c r="AJ32" s="134" t="s">
        <v>130</v>
      </c>
      <c r="AK32" s="132" t="s">
        <v>130</v>
      </c>
      <c r="AL32" s="132" t="s">
        <v>130</v>
      </c>
      <c r="AM32" s="135" t="s">
        <v>130</v>
      </c>
      <c r="AN32" s="135" t="s">
        <v>130</v>
      </c>
      <c r="AO32" s="230" t="s">
        <v>543</v>
      </c>
      <c r="AP32" s="132" t="s">
        <v>130</v>
      </c>
      <c r="AQ32" s="88" t="s">
        <v>303</v>
      </c>
      <c r="AR32" s="89">
        <f>VLOOKUP(AQ32,'[1]Critério de Depreciação'!$C$3:$G$8,5,FALSE)</f>
        <v>0.83333333333333337</v>
      </c>
      <c r="AS32" s="132" t="s">
        <v>130</v>
      </c>
      <c r="AT32" s="130" t="s">
        <v>130</v>
      </c>
      <c r="AU32" s="130" t="s">
        <v>130</v>
      </c>
      <c r="AV32" s="136" t="s">
        <v>130</v>
      </c>
      <c r="AW32" s="137">
        <v>0</v>
      </c>
      <c r="AX32" s="138" t="s">
        <v>130</v>
      </c>
      <c r="AY32" s="139" t="s">
        <v>130</v>
      </c>
      <c r="AZ32" s="130" t="s">
        <v>130</v>
      </c>
      <c r="BA32" s="130" t="s">
        <v>130</v>
      </c>
      <c r="BB32" s="130" t="s">
        <v>130</v>
      </c>
      <c r="BC32" s="130" t="s">
        <v>130</v>
      </c>
      <c r="BD32" s="130" t="s">
        <v>130</v>
      </c>
      <c r="BE32" s="231" t="s">
        <v>130</v>
      </c>
      <c r="BF32" s="140">
        <v>0</v>
      </c>
      <c r="BG32" s="140">
        <v>0</v>
      </c>
      <c r="BH32" s="140">
        <v>0</v>
      </c>
      <c r="BI32" s="140">
        <v>0</v>
      </c>
      <c r="BJ32" s="140">
        <v>0</v>
      </c>
      <c r="BK32" s="140">
        <v>0</v>
      </c>
      <c r="BL32" s="140">
        <v>0</v>
      </c>
      <c r="BM32" s="141">
        <v>0</v>
      </c>
      <c r="BN32" s="140">
        <v>0</v>
      </c>
      <c r="BO32" s="140">
        <v>0</v>
      </c>
      <c r="BP32" s="140">
        <v>0</v>
      </c>
      <c r="BQ32" s="140">
        <v>0</v>
      </c>
      <c r="BR32" s="140">
        <v>0</v>
      </c>
      <c r="BS32" s="142" t="s">
        <v>130</v>
      </c>
      <c r="BT32" s="143" t="s">
        <v>130</v>
      </c>
      <c r="BU32" s="143" t="s">
        <v>130</v>
      </c>
      <c r="BV32" s="143" t="s">
        <v>130</v>
      </c>
      <c r="BW32" s="144" t="s">
        <v>130</v>
      </c>
      <c r="BX32" s="145" t="s">
        <v>130</v>
      </c>
      <c r="BY32" s="102" t="s">
        <v>130</v>
      </c>
      <c r="BZ32" s="102" t="s">
        <v>130</v>
      </c>
      <c r="CA32" s="102" t="s">
        <v>130</v>
      </c>
      <c r="CB32" s="102" t="s">
        <v>130</v>
      </c>
      <c r="CC32" s="102" t="s">
        <v>130</v>
      </c>
      <c r="CD32" s="102" t="s">
        <v>130</v>
      </c>
      <c r="CE32" s="102" t="s">
        <v>130</v>
      </c>
      <c r="CF32" s="146" t="s">
        <v>130</v>
      </c>
      <c r="CG32" s="146" t="s">
        <v>130</v>
      </c>
      <c r="CH32" s="147" t="s">
        <v>130</v>
      </c>
      <c r="CI32" s="148" t="s">
        <v>130</v>
      </c>
      <c r="CJ32" s="149" t="s">
        <v>130</v>
      </c>
      <c r="CK32" s="149" t="s">
        <v>130</v>
      </c>
      <c r="CL32" s="149" t="s">
        <v>130</v>
      </c>
      <c r="CM32" s="150" t="s">
        <v>130</v>
      </c>
      <c r="CN32" s="103" t="s">
        <v>130</v>
      </c>
      <c r="CO32" s="99">
        <f t="shared" si="0"/>
        <v>0</v>
      </c>
      <c r="CP32" s="128" t="s">
        <v>92</v>
      </c>
      <c r="CQ32" s="156"/>
      <c r="CR32" s="48"/>
      <c r="CS32" s="48"/>
    </row>
    <row r="33" spans="1:97" x14ac:dyDescent="0.25">
      <c r="A33" s="27">
        <v>223</v>
      </c>
      <c r="B33" s="129" t="s">
        <v>130</v>
      </c>
      <c r="C33" s="130" t="s">
        <v>130</v>
      </c>
      <c r="D33" s="40" t="s">
        <v>49</v>
      </c>
      <c r="E33" s="103" t="s">
        <v>130</v>
      </c>
      <c r="F33" s="88" t="s">
        <v>130</v>
      </c>
      <c r="G33" s="103"/>
      <c r="H33" s="131" t="s">
        <v>479</v>
      </c>
      <c r="I33" s="102" t="s">
        <v>130</v>
      </c>
      <c r="J33" s="102" t="s">
        <v>130</v>
      </c>
      <c r="K33" s="102" t="s">
        <v>130</v>
      </c>
      <c r="L33" s="105" t="s">
        <v>130</v>
      </c>
      <c r="M33" s="106" t="s">
        <v>130</v>
      </c>
      <c r="N33" s="105" t="s">
        <v>130</v>
      </c>
      <c r="O33" s="106" t="s">
        <v>130</v>
      </c>
      <c r="P33" s="105" t="s">
        <v>130</v>
      </c>
      <c r="Q33" s="105" t="s">
        <v>130</v>
      </c>
      <c r="R33" s="105" t="s">
        <v>130</v>
      </c>
      <c r="S33" s="105" t="s">
        <v>130</v>
      </c>
      <c r="T33" s="105" t="s">
        <v>130</v>
      </c>
      <c r="U33" s="105" t="s">
        <v>130</v>
      </c>
      <c r="V33" s="105" t="s">
        <v>130</v>
      </c>
      <c r="W33" s="105" t="s">
        <v>130</v>
      </c>
      <c r="X33" s="105" t="s">
        <v>130</v>
      </c>
      <c r="Y33" s="105" t="s">
        <v>130</v>
      </c>
      <c r="Z33" s="105" t="s">
        <v>130</v>
      </c>
      <c r="AA33" s="105" t="s">
        <v>130</v>
      </c>
      <c r="AB33" s="105" t="s">
        <v>130</v>
      </c>
      <c r="AC33" s="105" t="s">
        <v>130</v>
      </c>
      <c r="AD33" s="105" t="s">
        <v>130</v>
      </c>
      <c r="AE33" s="130" t="s">
        <v>45</v>
      </c>
      <c r="AF33" s="132" t="s">
        <v>302</v>
      </c>
      <c r="AG33" s="103" t="s">
        <v>542</v>
      </c>
      <c r="AH33" s="130" t="s">
        <v>130</v>
      </c>
      <c r="AI33" s="133" t="s">
        <v>130</v>
      </c>
      <c r="AJ33" s="134" t="s">
        <v>130</v>
      </c>
      <c r="AK33" s="132" t="s">
        <v>130</v>
      </c>
      <c r="AL33" s="132" t="s">
        <v>130</v>
      </c>
      <c r="AM33" s="135" t="s">
        <v>130</v>
      </c>
      <c r="AN33" s="135" t="s">
        <v>130</v>
      </c>
      <c r="AO33" s="230" t="s">
        <v>544</v>
      </c>
      <c r="AP33" s="132" t="s">
        <v>130</v>
      </c>
      <c r="AQ33" s="88" t="s">
        <v>303</v>
      </c>
      <c r="AR33" s="89">
        <f>VLOOKUP(AQ33,'[1]Critério de Depreciação'!$C$3:$G$8,5,FALSE)</f>
        <v>0.83333333333333337</v>
      </c>
      <c r="AS33" s="132" t="s">
        <v>130</v>
      </c>
      <c r="AT33" s="130" t="s">
        <v>130</v>
      </c>
      <c r="AU33" s="130" t="s">
        <v>130</v>
      </c>
      <c r="AV33" s="136" t="s">
        <v>130</v>
      </c>
      <c r="AW33" s="137">
        <v>0</v>
      </c>
      <c r="AX33" s="138" t="s">
        <v>130</v>
      </c>
      <c r="AY33" s="139" t="s">
        <v>130</v>
      </c>
      <c r="AZ33" s="130" t="s">
        <v>130</v>
      </c>
      <c r="BA33" s="130" t="s">
        <v>130</v>
      </c>
      <c r="BB33" s="130" t="s">
        <v>130</v>
      </c>
      <c r="BC33" s="130" t="s">
        <v>130</v>
      </c>
      <c r="BD33" s="130" t="s">
        <v>130</v>
      </c>
      <c r="BE33" s="231" t="s">
        <v>130</v>
      </c>
      <c r="BF33" s="140">
        <v>0</v>
      </c>
      <c r="BG33" s="140">
        <v>0</v>
      </c>
      <c r="BH33" s="140">
        <v>0</v>
      </c>
      <c r="BI33" s="140">
        <v>0</v>
      </c>
      <c r="BJ33" s="140">
        <v>0</v>
      </c>
      <c r="BK33" s="140">
        <v>0</v>
      </c>
      <c r="BL33" s="140">
        <v>0</v>
      </c>
      <c r="BM33" s="141">
        <v>0</v>
      </c>
      <c r="BN33" s="140">
        <v>0</v>
      </c>
      <c r="BO33" s="140">
        <v>0</v>
      </c>
      <c r="BP33" s="140">
        <v>0</v>
      </c>
      <c r="BQ33" s="140">
        <v>0</v>
      </c>
      <c r="BR33" s="140">
        <v>0</v>
      </c>
      <c r="BS33" s="142" t="s">
        <v>130</v>
      </c>
      <c r="BT33" s="143" t="s">
        <v>130</v>
      </c>
      <c r="BU33" s="143" t="s">
        <v>130</v>
      </c>
      <c r="BV33" s="143" t="s">
        <v>130</v>
      </c>
      <c r="BW33" s="144" t="s">
        <v>130</v>
      </c>
      <c r="BX33" s="145" t="s">
        <v>130</v>
      </c>
      <c r="BY33" s="102" t="s">
        <v>130</v>
      </c>
      <c r="BZ33" s="102" t="s">
        <v>130</v>
      </c>
      <c r="CA33" s="102" t="s">
        <v>130</v>
      </c>
      <c r="CB33" s="102" t="s">
        <v>130</v>
      </c>
      <c r="CC33" s="102" t="s">
        <v>130</v>
      </c>
      <c r="CD33" s="102" t="s">
        <v>130</v>
      </c>
      <c r="CE33" s="102" t="s">
        <v>130</v>
      </c>
      <c r="CF33" s="146" t="s">
        <v>130</v>
      </c>
      <c r="CG33" s="146" t="s">
        <v>130</v>
      </c>
      <c r="CH33" s="147" t="s">
        <v>130</v>
      </c>
      <c r="CI33" s="148" t="s">
        <v>130</v>
      </c>
      <c r="CJ33" s="149" t="s">
        <v>130</v>
      </c>
      <c r="CK33" s="149" t="s">
        <v>130</v>
      </c>
      <c r="CL33" s="149" t="s">
        <v>130</v>
      </c>
      <c r="CM33" s="150" t="s">
        <v>130</v>
      </c>
      <c r="CN33" s="103" t="s">
        <v>130</v>
      </c>
      <c r="CO33" s="99">
        <f t="shared" si="0"/>
        <v>0</v>
      </c>
      <c r="CP33" s="128" t="s">
        <v>92</v>
      </c>
      <c r="CQ33" s="156"/>
      <c r="CR33" s="48"/>
      <c r="CS33" s="48"/>
    </row>
    <row r="34" spans="1:97" x14ac:dyDescent="0.25">
      <c r="A34" s="27">
        <v>224</v>
      </c>
      <c r="B34" s="129" t="s">
        <v>130</v>
      </c>
      <c r="C34" s="130" t="s">
        <v>130</v>
      </c>
      <c r="D34" s="40" t="s">
        <v>49</v>
      </c>
      <c r="E34" s="103" t="s">
        <v>130</v>
      </c>
      <c r="F34" s="88" t="s">
        <v>130</v>
      </c>
      <c r="G34" s="103"/>
      <c r="H34" s="131" t="s">
        <v>479</v>
      </c>
      <c r="I34" s="102" t="s">
        <v>130</v>
      </c>
      <c r="J34" s="102" t="s">
        <v>130</v>
      </c>
      <c r="K34" s="102" t="s">
        <v>130</v>
      </c>
      <c r="L34" s="105" t="s">
        <v>130</v>
      </c>
      <c r="M34" s="106" t="s">
        <v>130</v>
      </c>
      <c r="N34" s="105" t="s">
        <v>130</v>
      </c>
      <c r="O34" s="106" t="s">
        <v>130</v>
      </c>
      <c r="P34" s="105" t="s">
        <v>130</v>
      </c>
      <c r="Q34" s="105" t="s">
        <v>130</v>
      </c>
      <c r="R34" s="105" t="s">
        <v>130</v>
      </c>
      <c r="S34" s="105" t="s">
        <v>130</v>
      </c>
      <c r="T34" s="105" t="s">
        <v>130</v>
      </c>
      <c r="U34" s="105" t="s">
        <v>130</v>
      </c>
      <c r="V34" s="105" t="s">
        <v>130</v>
      </c>
      <c r="W34" s="105" t="s">
        <v>130</v>
      </c>
      <c r="X34" s="105" t="s">
        <v>130</v>
      </c>
      <c r="Y34" s="105" t="s">
        <v>130</v>
      </c>
      <c r="Z34" s="105" t="s">
        <v>130</v>
      </c>
      <c r="AA34" s="105" t="s">
        <v>130</v>
      </c>
      <c r="AB34" s="105" t="s">
        <v>130</v>
      </c>
      <c r="AC34" s="105" t="s">
        <v>130</v>
      </c>
      <c r="AD34" s="105" t="s">
        <v>130</v>
      </c>
      <c r="AE34" s="130" t="s">
        <v>45</v>
      </c>
      <c r="AF34" s="132" t="s">
        <v>302</v>
      </c>
      <c r="AG34" s="103" t="s">
        <v>542</v>
      </c>
      <c r="AH34" s="130" t="s">
        <v>130</v>
      </c>
      <c r="AI34" s="133" t="s">
        <v>130</v>
      </c>
      <c r="AJ34" s="134" t="s">
        <v>130</v>
      </c>
      <c r="AK34" s="132" t="s">
        <v>130</v>
      </c>
      <c r="AL34" s="132" t="s">
        <v>130</v>
      </c>
      <c r="AM34" s="135" t="s">
        <v>130</v>
      </c>
      <c r="AN34" s="135" t="s">
        <v>130</v>
      </c>
      <c r="AO34" s="230" t="s">
        <v>544</v>
      </c>
      <c r="AP34" s="132" t="s">
        <v>130</v>
      </c>
      <c r="AQ34" s="88" t="s">
        <v>303</v>
      </c>
      <c r="AR34" s="89">
        <f>VLOOKUP(AQ34,'[1]Critério de Depreciação'!$C$3:$G$8,5,FALSE)</f>
        <v>0.83333333333333337</v>
      </c>
      <c r="AS34" s="132" t="s">
        <v>130</v>
      </c>
      <c r="AT34" s="130" t="s">
        <v>130</v>
      </c>
      <c r="AU34" s="130" t="s">
        <v>130</v>
      </c>
      <c r="AV34" s="136" t="s">
        <v>130</v>
      </c>
      <c r="AW34" s="137">
        <v>0</v>
      </c>
      <c r="AX34" s="138" t="s">
        <v>130</v>
      </c>
      <c r="AY34" s="139" t="s">
        <v>130</v>
      </c>
      <c r="AZ34" s="130" t="s">
        <v>130</v>
      </c>
      <c r="BA34" s="130" t="s">
        <v>130</v>
      </c>
      <c r="BB34" s="130" t="s">
        <v>130</v>
      </c>
      <c r="BC34" s="130" t="s">
        <v>130</v>
      </c>
      <c r="BD34" s="130" t="s">
        <v>130</v>
      </c>
      <c r="BE34" s="231" t="s">
        <v>130</v>
      </c>
      <c r="BF34" s="140">
        <v>0</v>
      </c>
      <c r="BG34" s="140">
        <v>0</v>
      </c>
      <c r="BH34" s="140">
        <v>0</v>
      </c>
      <c r="BI34" s="140">
        <v>0</v>
      </c>
      <c r="BJ34" s="140">
        <v>0</v>
      </c>
      <c r="BK34" s="140">
        <v>0</v>
      </c>
      <c r="BL34" s="140">
        <v>0</v>
      </c>
      <c r="BM34" s="141">
        <v>0</v>
      </c>
      <c r="BN34" s="140">
        <v>0</v>
      </c>
      <c r="BO34" s="140">
        <v>0</v>
      </c>
      <c r="BP34" s="140">
        <v>0</v>
      </c>
      <c r="BQ34" s="140">
        <v>0</v>
      </c>
      <c r="BR34" s="140">
        <v>0</v>
      </c>
      <c r="BS34" s="142" t="s">
        <v>130</v>
      </c>
      <c r="BT34" s="143" t="s">
        <v>130</v>
      </c>
      <c r="BU34" s="143" t="s">
        <v>130</v>
      </c>
      <c r="BV34" s="143" t="s">
        <v>130</v>
      </c>
      <c r="BW34" s="144" t="s">
        <v>130</v>
      </c>
      <c r="BX34" s="145" t="s">
        <v>130</v>
      </c>
      <c r="BY34" s="102" t="s">
        <v>130</v>
      </c>
      <c r="BZ34" s="102" t="s">
        <v>130</v>
      </c>
      <c r="CA34" s="102" t="s">
        <v>130</v>
      </c>
      <c r="CB34" s="102" t="s">
        <v>130</v>
      </c>
      <c r="CC34" s="102" t="s">
        <v>130</v>
      </c>
      <c r="CD34" s="102" t="s">
        <v>130</v>
      </c>
      <c r="CE34" s="102" t="s">
        <v>130</v>
      </c>
      <c r="CF34" s="146" t="s">
        <v>130</v>
      </c>
      <c r="CG34" s="146" t="s">
        <v>130</v>
      </c>
      <c r="CH34" s="147" t="s">
        <v>130</v>
      </c>
      <c r="CI34" s="148" t="s">
        <v>130</v>
      </c>
      <c r="CJ34" s="149" t="s">
        <v>130</v>
      </c>
      <c r="CK34" s="149" t="s">
        <v>130</v>
      </c>
      <c r="CL34" s="149" t="s">
        <v>130</v>
      </c>
      <c r="CM34" s="150" t="s">
        <v>130</v>
      </c>
      <c r="CN34" s="103" t="s">
        <v>130</v>
      </c>
      <c r="CO34" s="99">
        <f t="shared" si="0"/>
        <v>0</v>
      </c>
      <c r="CP34" s="128" t="s">
        <v>92</v>
      </c>
      <c r="CQ34" s="156"/>
      <c r="CR34" s="48"/>
      <c r="CS34" s="48"/>
    </row>
    <row r="35" spans="1:97" x14ac:dyDescent="0.25">
      <c r="A35" s="27">
        <v>191</v>
      </c>
      <c r="B35" s="101">
        <v>145</v>
      </c>
      <c r="C35" s="102" t="s">
        <v>296</v>
      </c>
      <c r="D35" s="88" t="s">
        <v>49</v>
      </c>
      <c r="E35" s="88" t="s">
        <v>130</v>
      </c>
      <c r="F35" s="88" t="s">
        <v>130</v>
      </c>
      <c r="G35" s="88"/>
      <c r="H35" s="104" t="s">
        <v>130</v>
      </c>
      <c r="I35" s="102" t="s">
        <v>130</v>
      </c>
      <c r="J35" s="102" t="s">
        <v>130</v>
      </c>
      <c r="K35" s="102" t="s">
        <v>130</v>
      </c>
      <c r="L35" s="105" t="s">
        <v>130</v>
      </c>
      <c r="M35" s="106" t="s">
        <v>130</v>
      </c>
      <c r="N35" s="105" t="s">
        <v>130</v>
      </c>
      <c r="O35" s="106" t="s">
        <v>130</v>
      </c>
      <c r="P35" s="105" t="s">
        <v>130</v>
      </c>
      <c r="Q35" s="105" t="s">
        <v>130</v>
      </c>
      <c r="R35" s="105" t="s">
        <v>130</v>
      </c>
      <c r="S35" s="105" t="s">
        <v>130</v>
      </c>
      <c r="T35" s="105" t="s">
        <v>130</v>
      </c>
      <c r="U35" s="105" t="s">
        <v>130</v>
      </c>
      <c r="V35" s="105" t="s">
        <v>130</v>
      </c>
      <c r="W35" s="105" t="s">
        <v>130</v>
      </c>
      <c r="X35" s="105" t="s">
        <v>130</v>
      </c>
      <c r="Y35" s="105" t="s">
        <v>130</v>
      </c>
      <c r="Z35" s="105" t="s">
        <v>130</v>
      </c>
      <c r="AA35" s="105" t="s">
        <v>130</v>
      </c>
      <c r="AB35" s="105" t="s">
        <v>130</v>
      </c>
      <c r="AC35" s="105" t="s">
        <v>130</v>
      </c>
      <c r="AD35" s="105" t="s">
        <v>130</v>
      </c>
      <c r="AE35" s="102" t="s">
        <v>297</v>
      </c>
      <c r="AF35" s="102" t="s">
        <v>130</v>
      </c>
      <c r="AG35" s="88" t="s">
        <v>130</v>
      </c>
      <c r="AH35" s="102" t="s">
        <v>130</v>
      </c>
      <c r="AI35" s="107" t="str">
        <f>IFERROR(VLOOKUP(AG35,[2]Frota!$D$2:$AV$187,2,FALSE),"-")</f>
        <v>-</v>
      </c>
      <c r="AJ35" s="107" t="str">
        <f>IFERROR(VLOOKUP(AG35,[2]Frota!$D$2:$AV$187,3,FALSE),"-")</f>
        <v>-</v>
      </c>
      <c r="AK35" s="102" t="s">
        <v>545</v>
      </c>
      <c r="AL35" s="102" t="s">
        <v>546</v>
      </c>
      <c r="AM35" s="108" t="s">
        <v>130</v>
      </c>
      <c r="AN35" s="108" t="s">
        <v>130</v>
      </c>
      <c r="AO35" s="88" t="s">
        <v>547</v>
      </c>
      <c r="AP35" s="102" t="s">
        <v>130</v>
      </c>
      <c r="AQ35" s="88" t="s">
        <v>464</v>
      </c>
      <c r="AR35" s="89">
        <f>VLOOKUP(AQ35,'[1]Critério de Depreciação'!$C$3:$G$8,5,FALSE)</f>
        <v>1.6666666666666667</v>
      </c>
      <c r="AS35" s="102" t="s">
        <v>130</v>
      </c>
      <c r="AT35" s="102" t="s">
        <v>130</v>
      </c>
      <c r="AU35" s="102" t="str">
        <f>IFERROR(VLOOKUP(#REF!,[2]Frota!$D$2:$AV$187,12,FALSE),"-")</f>
        <v>-</v>
      </c>
      <c r="AV35" s="109" t="s">
        <v>130</v>
      </c>
      <c r="AW35" s="110">
        <v>100000</v>
      </c>
      <c r="AX35" s="106">
        <v>43102</v>
      </c>
      <c r="AY35" s="111" t="s">
        <v>130</v>
      </c>
      <c r="AZ35" s="105">
        <v>400000</v>
      </c>
      <c r="BA35" s="112" t="s">
        <v>130</v>
      </c>
      <c r="BB35" s="229" t="s">
        <v>130</v>
      </c>
      <c r="BC35" s="105" t="s">
        <v>130</v>
      </c>
      <c r="BD35" s="105" t="s">
        <v>130</v>
      </c>
      <c r="BE35" s="113">
        <f t="shared" ref="BE35:BE44" si="13">SUM(AZ35:BA35,BC35:BD35)</f>
        <v>400000</v>
      </c>
      <c r="BF35" s="113">
        <v>0</v>
      </c>
      <c r="BG35" s="113">
        <v>0</v>
      </c>
      <c r="BH35" s="113">
        <v>0</v>
      </c>
      <c r="BI35" s="113">
        <v>0</v>
      </c>
      <c r="BJ35" s="113">
        <v>0</v>
      </c>
      <c r="BK35" s="113">
        <v>0</v>
      </c>
      <c r="BL35" s="113">
        <v>0</v>
      </c>
      <c r="BM35" s="114">
        <f t="shared" ref="BM35:BM42" si="14">SUM(BF35:BL35)</f>
        <v>0</v>
      </c>
      <c r="BN35" s="113">
        <v>0</v>
      </c>
      <c r="BO35" s="113">
        <v>0</v>
      </c>
      <c r="BP35" s="113">
        <v>0</v>
      </c>
      <c r="BQ35" s="113">
        <v>0</v>
      </c>
      <c r="BR35" s="113">
        <v>0</v>
      </c>
      <c r="BS35" s="105">
        <f t="shared" ref="BS35:BS42" si="15">IFERROR((AW35*20%)/12,"-")</f>
        <v>1666.6666666666667</v>
      </c>
      <c r="BT35" s="115" t="s">
        <v>130</v>
      </c>
      <c r="BU35" s="115" t="s">
        <v>130</v>
      </c>
      <c r="BV35" s="115" t="s">
        <v>130</v>
      </c>
      <c r="BW35" s="116" t="s">
        <v>130</v>
      </c>
      <c r="BX35" s="115" t="s">
        <v>130</v>
      </c>
      <c r="BY35" s="102" t="s">
        <v>314</v>
      </c>
      <c r="BZ35" s="102" t="s">
        <v>314</v>
      </c>
      <c r="CA35" s="102" t="s">
        <v>130</v>
      </c>
      <c r="CB35" s="102" t="s">
        <v>130</v>
      </c>
      <c r="CC35" s="102" t="s">
        <v>130</v>
      </c>
      <c r="CD35" s="102" t="s">
        <v>130</v>
      </c>
      <c r="CE35" s="102" t="str">
        <f t="shared" ref="CE35:CE98" si="16">AF35</f>
        <v>-</v>
      </c>
      <c r="CF35" s="118" t="s">
        <v>130</v>
      </c>
      <c r="CG35" s="118" t="s">
        <v>130</v>
      </c>
      <c r="CH35" s="119">
        <f t="shared" ref="CH35:CH44" si="17">BM35</f>
        <v>0</v>
      </c>
      <c r="CI35" s="120" t="s">
        <v>130</v>
      </c>
      <c r="CJ35" s="121">
        <v>5</v>
      </c>
      <c r="CK35" s="121">
        <v>5</v>
      </c>
      <c r="CL35" s="121">
        <f t="shared" ref="CL35:CL44" si="18">12*CK35</f>
        <v>60</v>
      </c>
      <c r="CM35" s="122">
        <f t="shared" ref="CM35:CM44" si="19">IFERROR((CH35/CL35)*2,"-")</f>
        <v>0</v>
      </c>
      <c r="CN35" s="88" t="s">
        <v>130</v>
      </c>
      <c r="CO35" s="99">
        <f t="shared" si="0"/>
        <v>0</v>
      </c>
      <c r="CP35" s="48"/>
      <c r="CQ35" s="48"/>
      <c r="CR35" s="100"/>
      <c r="CS35" s="100"/>
    </row>
    <row r="36" spans="1:97" x14ac:dyDescent="0.25">
      <c r="A36" s="27">
        <v>193</v>
      </c>
      <c r="B36" s="101">
        <v>30</v>
      </c>
      <c r="C36" s="102" t="s">
        <v>296</v>
      </c>
      <c r="D36" s="88" t="s">
        <v>49</v>
      </c>
      <c r="E36" s="88" t="s">
        <v>130</v>
      </c>
      <c r="F36" s="88" t="s">
        <v>130</v>
      </c>
      <c r="G36" s="88"/>
      <c r="H36" s="104" t="s">
        <v>130</v>
      </c>
      <c r="I36" s="102" t="s">
        <v>130</v>
      </c>
      <c r="J36" s="102" t="s">
        <v>130</v>
      </c>
      <c r="K36" s="102" t="s">
        <v>130</v>
      </c>
      <c r="L36" s="105" t="s">
        <v>130</v>
      </c>
      <c r="M36" s="106" t="s">
        <v>130</v>
      </c>
      <c r="N36" s="105" t="s">
        <v>130</v>
      </c>
      <c r="O36" s="106" t="s">
        <v>130</v>
      </c>
      <c r="P36" s="105" t="s">
        <v>130</v>
      </c>
      <c r="Q36" s="105" t="s">
        <v>130</v>
      </c>
      <c r="R36" s="105" t="s">
        <v>130</v>
      </c>
      <c r="S36" s="105" t="s">
        <v>130</v>
      </c>
      <c r="T36" s="105" t="s">
        <v>130</v>
      </c>
      <c r="U36" s="105" t="s">
        <v>130</v>
      </c>
      <c r="V36" s="105" t="s">
        <v>130</v>
      </c>
      <c r="W36" s="105" t="s">
        <v>130</v>
      </c>
      <c r="X36" s="105" t="s">
        <v>130</v>
      </c>
      <c r="Y36" s="105" t="s">
        <v>130</v>
      </c>
      <c r="Z36" s="105" t="s">
        <v>130</v>
      </c>
      <c r="AA36" s="105" t="s">
        <v>130</v>
      </c>
      <c r="AB36" s="105" t="s">
        <v>130</v>
      </c>
      <c r="AC36" s="105" t="s">
        <v>130</v>
      </c>
      <c r="AD36" s="105" t="s">
        <v>130</v>
      </c>
      <c r="AE36" s="102" t="s">
        <v>297</v>
      </c>
      <c r="AF36" s="102" t="s">
        <v>130</v>
      </c>
      <c r="AG36" s="88" t="s">
        <v>548</v>
      </c>
      <c r="AH36" s="102" t="s">
        <v>130</v>
      </c>
      <c r="AI36" s="107" t="str">
        <f>IFERROR(VLOOKUP(AG36,[2]Frota!$D$2:$AV$187,2,FALSE),"-")</f>
        <v>00791008339</v>
      </c>
      <c r="AJ36" s="107" t="str">
        <f>IFERROR(VLOOKUP(AG36,[2]Frota!$D$2:$AV$187,3,FALSE),"-")</f>
        <v>9BFV2UHG52BB17601</v>
      </c>
      <c r="AK36" s="102" t="s">
        <v>549</v>
      </c>
      <c r="AL36" s="102" t="s">
        <v>550</v>
      </c>
      <c r="AM36" s="108">
        <v>2002</v>
      </c>
      <c r="AN36" s="108">
        <v>2002</v>
      </c>
      <c r="AO36" s="88" t="s">
        <v>551</v>
      </c>
      <c r="AP36" s="102" t="s">
        <v>130</v>
      </c>
      <c r="AQ36" s="88" t="s">
        <v>464</v>
      </c>
      <c r="AR36" s="89">
        <f>VLOOKUP(AQ36,'[1]Critério de Depreciação'!$C$3:$G$8,5,FALSE)</f>
        <v>1.6666666666666667</v>
      </c>
      <c r="AS36" s="102" t="s">
        <v>130</v>
      </c>
      <c r="AT36" s="102" t="s">
        <v>130</v>
      </c>
      <c r="AU36" s="102" t="str">
        <f>IFERROR(VLOOKUP(#REF!,[2]Frota!$D$2:$AV$187,12,FALSE),"-")</f>
        <v>-</v>
      </c>
      <c r="AV36" s="109">
        <v>5721</v>
      </c>
      <c r="AW36" s="110">
        <v>41000</v>
      </c>
      <c r="AX36" s="106">
        <v>43999</v>
      </c>
      <c r="AY36" s="111" t="s">
        <v>130</v>
      </c>
      <c r="AZ36" s="105" t="s">
        <v>130</v>
      </c>
      <c r="BA36" s="112">
        <v>86340</v>
      </c>
      <c r="BB36" s="106">
        <v>45215</v>
      </c>
      <c r="BC36" s="105" t="s">
        <v>130</v>
      </c>
      <c r="BD36" s="105" t="s">
        <v>130</v>
      </c>
      <c r="BE36" s="113">
        <f t="shared" si="13"/>
        <v>86340</v>
      </c>
      <c r="BF36" s="113">
        <v>0</v>
      </c>
      <c r="BG36" s="113">
        <v>0</v>
      </c>
      <c r="BH36" s="113">
        <v>0</v>
      </c>
      <c r="BI36" s="113">
        <v>0</v>
      </c>
      <c r="BJ36" s="113">
        <v>0</v>
      </c>
      <c r="BK36" s="113">
        <v>0</v>
      </c>
      <c r="BL36" s="113">
        <v>0</v>
      </c>
      <c r="BM36" s="114">
        <f t="shared" si="14"/>
        <v>0</v>
      </c>
      <c r="BN36" s="113">
        <v>0</v>
      </c>
      <c r="BO36" s="113">
        <v>0</v>
      </c>
      <c r="BP36" s="113">
        <v>0</v>
      </c>
      <c r="BQ36" s="113">
        <v>0</v>
      </c>
      <c r="BR36" s="113">
        <v>0</v>
      </c>
      <c r="BS36" s="105">
        <f t="shared" si="15"/>
        <v>683.33333333333337</v>
      </c>
      <c r="BT36" s="153" t="s">
        <v>130</v>
      </c>
      <c r="BU36" s="153" t="s">
        <v>130</v>
      </c>
      <c r="BV36" s="153" t="s">
        <v>130</v>
      </c>
      <c r="BW36" s="154" t="s">
        <v>130</v>
      </c>
      <c r="BX36" s="153" t="s">
        <v>130</v>
      </c>
      <c r="BY36" s="102" t="s">
        <v>314</v>
      </c>
      <c r="BZ36" s="102" t="s">
        <v>314</v>
      </c>
      <c r="CA36" s="102" t="s">
        <v>130</v>
      </c>
      <c r="CB36" s="102" t="s">
        <v>130</v>
      </c>
      <c r="CC36" s="102" t="s">
        <v>130</v>
      </c>
      <c r="CD36" s="102" t="s">
        <v>130</v>
      </c>
      <c r="CE36" s="102" t="str">
        <f t="shared" si="16"/>
        <v>-</v>
      </c>
      <c r="CF36" s="118" t="s">
        <v>130</v>
      </c>
      <c r="CG36" s="118" t="s">
        <v>130</v>
      </c>
      <c r="CH36" s="119">
        <f t="shared" si="17"/>
        <v>0</v>
      </c>
      <c r="CI36" s="120" t="s">
        <v>130</v>
      </c>
      <c r="CJ36" s="121">
        <v>5</v>
      </c>
      <c r="CK36" s="121">
        <v>5</v>
      </c>
      <c r="CL36" s="121">
        <f t="shared" si="18"/>
        <v>60</v>
      </c>
      <c r="CM36" s="122">
        <f t="shared" si="19"/>
        <v>0</v>
      </c>
      <c r="CN36" s="88" t="str">
        <f>IFERROR(IF(VLOOKUP(AG36,'[1]ATIVOS SAGI'!C:D,1,FALSE)&lt;&gt;"","CADASTRADO","NÃO CADASTRADO"),"NÃO CADASTRADO")</f>
        <v>CADASTRADO</v>
      </c>
      <c r="CO36" s="99">
        <f t="shared" si="0"/>
        <v>0</v>
      </c>
      <c r="CP36" s="128" t="s">
        <v>92</v>
      </c>
      <c r="CQ36" s="156"/>
      <c r="CR36" s="100"/>
      <c r="CS36" s="100"/>
    </row>
    <row r="37" spans="1:97" x14ac:dyDescent="0.25">
      <c r="A37" s="27">
        <v>197</v>
      </c>
      <c r="B37" s="101">
        <v>37</v>
      </c>
      <c r="C37" s="102" t="s">
        <v>296</v>
      </c>
      <c r="D37" s="88" t="s">
        <v>49</v>
      </c>
      <c r="E37" s="88" t="s">
        <v>130</v>
      </c>
      <c r="F37" s="88" t="s">
        <v>130</v>
      </c>
      <c r="G37" s="88"/>
      <c r="H37" s="104" t="s">
        <v>130</v>
      </c>
      <c r="I37" s="102" t="s">
        <v>130</v>
      </c>
      <c r="J37" s="102" t="s">
        <v>130</v>
      </c>
      <c r="K37" s="102" t="s">
        <v>130</v>
      </c>
      <c r="L37" s="105" t="s">
        <v>130</v>
      </c>
      <c r="M37" s="106" t="s">
        <v>130</v>
      </c>
      <c r="N37" s="105" t="s">
        <v>130</v>
      </c>
      <c r="O37" s="106" t="s">
        <v>130</v>
      </c>
      <c r="P37" s="105" t="s">
        <v>130</v>
      </c>
      <c r="Q37" s="105" t="s">
        <v>130</v>
      </c>
      <c r="R37" s="105" t="s">
        <v>130</v>
      </c>
      <c r="S37" s="105" t="s">
        <v>130</v>
      </c>
      <c r="T37" s="105" t="s">
        <v>130</v>
      </c>
      <c r="U37" s="105" t="s">
        <v>130</v>
      </c>
      <c r="V37" s="105" t="s">
        <v>130</v>
      </c>
      <c r="W37" s="105" t="s">
        <v>130</v>
      </c>
      <c r="X37" s="105" t="s">
        <v>130</v>
      </c>
      <c r="Y37" s="105" t="s">
        <v>130</v>
      </c>
      <c r="Z37" s="105" t="s">
        <v>130</v>
      </c>
      <c r="AA37" s="105" t="s">
        <v>130</v>
      </c>
      <c r="AB37" s="105" t="s">
        <v>130</v>
      </c>
      <c r="AC37" s="105" t="s">
        <v>130</v>
      </c>
      <c r="AD37" s="105" t="s">
        <v>130</v>
      </c>
      <c r="AE37" s="102" t="s">
        <v>297</v>
      </c>
      <c r="AF37" s="102" t="s">
        <v>130</v>
      </c>
      <c r="AG37" s="88" t="s">
        <v>552</v>
      </c>
      <c r="AH37" s="102" t="s">
        <v>130</v>
      </c>
      <c r="AI37" s="107" t="str">
        <f>IFERROR(VLOOKUP(AG37,[2]Frota!$D$2:$AV$187,2,FALSE),"-")</f>
        <v>01287305765</v>
      </c>
      <c r="AJ37" s="107" t="str">
        <f>IFERROR(VLOOKUP(AG37,[2]Frota!$D$2:$AV$187,3,FALSE),"-")</f>
        <v>9BD281A31NYW98143</v>
      </c>
      <c r="AK37" s="102" t="s">
        <v>553</v>
      </c>
      <c r="AL37" s="102" t="s">
        <v>554</v>
      </c>
      <c r="AM37" s="108">
        <v>2021</v>
      </c>
      <c r="AN37" s="108">
        <v>2022</v>
      </c>
      <c r="AO37" s="88" t="s">
        <v>555</v>
      </c>
      <c r="AP37" s="102" t="s">
        <v>130</v>
      </c>
      <c r="AQ37" s="88" t="s">
        <v>464</v>
      </c>
      <c r="AR37" s="89">
        <f>VLOOKUP(AQ37,'[1]Critério de Depreciação'!$C$3:$G$8,5,FALSE)</f>
        <v>1.6666666666666667</v>
      </c>
      <c r="AS37" s="102" t="s">
        <v>130</v>
      </c>
      <c r="AT37" s="102" t="s">
        <v>130</v>
      </c>
      <c r="AU37" s="102" t="str">
        <f>IFERROR(VLOOKUP(#REF!,[2]Frota!$D$2:$AV$187,12,FALSE),"-")</f>
        <v>-</v>
      </c>
      <c r="AV37" s="109">
        <v>5456962</v>
      </c>
      <c r="AW37" s="110">
        <v>88526.69</v>
      </c>
      <c r="AX37" s="106">
        <v>44551</v>
      </c>
      <c r="AY37" s="111" t="s">
        <v>130</v>
      </c>
      <c r="AZ37" s="105" t="s">
        <v>130</v>
      </c>
      <c r="BA37" s="112">
        <v>91948</v>
      </c>
      <c r="BB37" s="106">
        <v>45215</v>
      </c>
      <c r="BC37" s="105" t="s">
        <v>130</v>
      </c>
      <c r="BD37" s="105" t="s">
        <v>130</v>
      </c>
      <c r="BE37" s="113">
        <f t="shared" si="13"/>
        <v>91948</v>
      </c>
      <c r="BF37" s="113">
        <v>0</v>
      </c>
      <c r="BG37" s="113">
        <v>0</v>
      </c>
      <c r="BH37" s="113">
        <v>0</v>
      </c>
      <c r="BI37" s="113">
        <v>0</v>
      </c>
      <c r="BJ37" s="113">
        <v>0</v>
      </c>
      <c r="BK37" s="113">
        <v>0</v>
      </c>
      <c r="BL37" s="113">
        <v>0</v>
      </c>
      <c r="BM37" s="114">
        <f t="shared" si="14"/>
        <v>0</v>
      </c>
      <c r="BN37" s="113">
        <v>0</v>
      </c>
      <c r="BO37" s="113">
        <v>0</v>
      </c>
      <c r="BP37" s="113">
        <v>0</v>
      </c>
      <c r="BQ37" s="113">
        <v>0</v>
      </c>
      <c r="BR37" s="113">
        <v>0</v>
      </c>
      <c r="BS37" s="105">
        <f t="shared" si="15"/>
        <v>1475.4448333333332</v>
      </c>
      <c r="BT37" s="153" t="s">
        <v>130</v>
      </c>
      <c r="BU37" s="153" t="s">
        <v>130</v>
      </c>
      <c r="BV37" s="153" t="s">
        <v>130</v>
      </c>
      <c r="BW37" s="154" t="s">
        <v>130</v>
      </c>
      <c r="BX37" s="153" t="s">
        <v>130</v>
      </c>
      <c r="BY37" s="102" t="s">
        <v>556</v>
      </c>
      <c r="BZ37" s="102" t="s">
        <v>556</v>
      </c>
      <c r="CA37" s="102" t="s">
        <v>130</v>
      </c>
      <c r="CB37" s="102" t="s">
        <v>130</v>
      </c>
      <c r="CC37" s="102" t="s">
        <v>130</v>
      </c>
      <c r="CD37" s="102" t="s">
        <v>130</v>
      </c>
      <c r="CE37" s="102" t="str">
        <f t="shared" si="16"/>
        <v>-</v>
      </c>
      <c r="CF37" s="118" t="s">
        <v>130</v>
      </c>
      <c r="CG37" s="118" t="s">
        <v>130</v>
      </c>
      <c r="CH37" s="119">
        <f t="shared" si="17"/>
        <v>0</v>
      </c>
      <c r="CI37" s="120" t="s">
        <v>130</v>
      </c>
      <c r="CJ37" s="121">
        <v>5</v>
      </c>
      <c r="CK37" s="121">
        <v>5</v>
      </c>
      <c r="CL37" s="121">
        <f t="shared" si="18"/>
        <v>60</v>
      </c>
      <c r="CM37" s="122">
        <f t="shared" si="19"/>
        <v>0</v>
      </c>
      <c r="CN37" s="88" t="str">
        <f>IFERROR(IF(VLOOKUP(AG37,'[1]ATIVOS SAGI'!C:D,1,FALSE)&lt;&gt;"","CADASTRADO","NÃO CADASTRADO"),"NÃO CADASTRADO")</f>
        <v>CADASTRADO</v>
      </c>
      <c r="CO37" s="99">
        <f t="shared" si="0"/>
        <v>0</v>
      </c>
      <c r="CP37" s="128" t="s">
        <v>92</v>
      </c>
      <c r="CQ37" s="156"/>
      <c r="CR37" s="100"/>
      <c r="CS37" s="100"/>
    </row>
    <row r="38" spans="1:97" x14ac:dyDescent="0.25">
      <c r="A38" s="27">
        <v>198</v>
      </c>
      <c r="B38" s="101">
        <v>207</v>
      </c>
      <c r="C38" s="102" t="s">
        <v>296</v>
      </c>
      <c r="D38" s="88" t="s">
        <v>49</v>
      </c>
      <c r="E38" s="88" t="s">
        <v>130</v>
      </c>
      <c r="F38" s="88" t="s">
        <v>130</v>
      </c>
      <c r="G38" s="88"/>
      <c r="H38" s="104" t="s">
        <v>130</v>
      </c>
      <c r="I38" s="102" t="s">
        <v>130</v>
      </c>
      <c r="J38" s="102" t="s">
        <v>130</v>
      </c>
      <c r="K38" s="102" t="s">
        <v>130</v>
      </c>
      <c r="L38" s="105" t="s">
        <v>130</v>
      </c>
      <c r="M38" s="106" t="s">
        <v>130</v>
      </c>
      <c r="N38" s="105" t="s">
        <v>130</v>
      </c>
      <c r="O38" s="106" t="s">
        <v>130</v>
      </c>
      <c r="P38" s="105" t="s">
        <v>130</v>
      </c>
      <c r="Q38" s="105" t="s">
        <v>130</v>
      </c>
      <c r="R38" s="105" t="s">
        <v>130</v>
      </c>
      <c r="S38" s="105" t="s">
        <v>130</v>
      </c>
      <c r="T38" s="105" t="s">
        <v>130</v>
      </c>
      <c r="U38" s="105" t="s">
        <v>130</v>
      </c>
      <c r="V38" s="105" t="s">
        <v>130</v>
      </c>
      <c r="W38" s="105" t="s">
        <v>130</v>
      </c>
      <c r="X38" s="105" t="s">
        <v>130</v>
      </c>
      <c r="Y38" s="105" t="s">
        <v>130</v>
      </c>
      <c r="Z38" s="105" t="s">
        <v>130</v>
      </c>
      <c r="AA38" s="105" t="s">
        <v>130</v>
      </c>
      <c r="AB38" s="105" t="s">
        <v>130</v>
      </c>
      <c r="AC38" s="105" t="s">
        <v>130</v>
      </c>
      <c r="AD38" s="105" t="s">
        <v>130</v>
      </c>
      <c r="AE38" s="102" t="s">
        <v>297</v>
      </c>
      <c r="AF38" s="102" t="s">
        <v>130</v>
      </c>
      <c r="AG38" s="88" t="s">
        <v>557</v>
      </c>
      <c r="AH38" s="102" t="s">
        <v>130</v>
      </c>
      <c r="AI38" s="107" t="str">
        <f>IFERROR(VLOOKUP(AG38,[2]Frota!$D$2:$AV$187,2,FALSE),"-")</f>
        <v>01143513115</v>
      </c>
      <c r="AJ38" s="107" t="str">
        <f>IFERROR(VLOOKUP(AG38,[2]Frota!$D$2:$AV$187,3,FALSE),"-")</f>
        <v>99JCA2BNXJT204139</v>
      </c>
      <c r="AK38" s="102" t="s">
        <v>558</v>
      </c>
      <c r="AL38" s="102" t="s">
        <v>559</v>
      </c>
      <c r="AM38" s="108">
        <v>2018</v>
      </c>
      <c r="AN38" s="108">
        <v>2018</v>
      </c>
      <c r="AO38" s="88" t="s">
        <v>560</v>
      </c>
      <c r="AP38" s="102" t="s">
        <v>130</v>
      </c>
      <c r="AQ38" s="88" t="s">
        <v>464</v>
      </c>
      <c r="AR38" s="89">
        <f>VLOOKUP(AQ38,'[1]Critério de Depreciação'!$C$3:$G$8,5,FALSE)</f>
        <v>1.6666666666666667</v>
      </c>
      <c r="AS38" s="102" t="s">
        <v>130</v>
      </c>
      <c r="AT38" s="102" t="s">
        <v>130</v>
      </c>
      <c r="AU38" s="102" t="str">
        <f>IFERROR(VLOOKUP(#REF!,[2]Frota!$D$2:$AV$187,12,FALSE),"-")</f>
        <v>-</v>
      </c>
      <c r="AV38" s="109">
        <v>5592</v>
      </c>
      <c r="AW38" s="110">
        <v>226780</v>
      </c>
      <c r="AX38" s="106">
        <v>43442</v>
      </c>
      <c r="AY38" s="111" t="s">
        <v>130</v>
      </c>
      <c r="AZ38" s="105" t="s">
        <v>130</v>
      </c>
      <c r="BA38" s="112">
        <v>170927</v>
      </c>
      <c r="BB38" s="106">
        <v>45215</v>
      </c>
      <c r="BC38" s="105" t="s">
        <v>130</v>
      </c>
      <c r="BD38" s="105" t="s">
        <v>130</v>
      </c>
      <c r="BE38" s="113">
        <f t="shared" si="13"/>
        <v>170927</v>
      </c>
      <c r="BF38" s="113">
        <v>0</v>
      </c>
      <c r="BG38" s="113">
        <v>0</v>
      </c>
      <c r="BH38" s="113">
        <v>0</v>
      </c>
      <c r="BI38" s="113">
        <v>0</v>
      </c>
      <c r="BJ38" s="113">
        <v>0</v>
      </c>
      <c r="BK38" s="113">
        <v>0</v>
      </c>
      <c r="BL38" s="113">
        <v>0</v>
      </c>
      <c r="BM38" s="114">
        <f t="shared" si="14"/>
        <v>0</v>
      </c>
      <c r="BN38" s="113">
        <v>0</v>
      </c>
      <c r="BO38" s="113">
        <v>0</v>
      </c>
      <c r="BP38" s="113">
        <f t="shared" ref="BP38:BP62" si="20">BN38+BO38</f>
        <v>0</v>
      </c>
      <c r="BQ38" s="113">
        <v>0</v>
      </c>
      <c r="BR38" s="113">
        <v>0</v>
      </c>
      <c r="BS38" s="105">
        <f t="shared" si="15"/>
        <v>3779.6666666666665</v>
      </c>
      <c r="BT38" s="153" t="s">
        <v>130</v>
      </c>
      <c r="BU38" s="153" t="s">
        <v>130</v>
      </c>
      <c r="BV38" s="153" t="s">
        <v>130</v>
      </c>
      <c r="BW38" s="154" t="s">
        <v>130</v>
      </c>
      <c r="BX38" s="153" t="s">
        <v>130</v>
      </c>
      <c r="BY38" s="102" t="s">
        <v>561</v>
      </c>
      <c r="BZ38" s="102" t="s">
        <v>561</v>
      </c>
      <c r="CA38" s="102" t="s">
        <v>130</v>
      </c>
      <c r="CB38" s="102" t="s">
        <v>130</v>
      </c>
      <c r="CC38" s="102" t="s">
        <v>130</v>
      </c>
      <c r="CD38" s="102" t="s">
        <v>130</v>
      </c>
      <c r="CE38" s="102" t="str">
        <f t="shared" si="16"/>
        <v>-</v>
      </c>
      <c r="CF38" s="118" t="s">
        <v>130</v>
      </c>
      <c r="CG38" s="118" t="s">
        <v>130</v>
      </c>
      <c r="CH38" s="119">
        <f t="shared" si="17"/>
        <v>0</v>
      </c>
      <c r="CI38" s="120" t="s">
        <v>130</v>
      </c>
      <c r="CJ38" s="121">
        <v>5</v>
      </c>
      <c r="CK38" s="121">
        <v>5</v>
      </c>
      <c r="CL38" s="121">
        <f t="shared" si="18"/>
        <v>60</v>
      </c>
      <c r="CM38" s="122">
        <f t="shared" si="19"/>
        <v>0</v>
      </c>
      <c r="CN38" s="88" t="str">
        <f>IFERROR(IF(VLOOKUP(AG38,'[1]ATIVOS SAGI'!C:D,1,FALSE)&lt;&gt;"","CADASTRADO","NÃO CADASTRADO"),"NÃO CADASTRADO")</f>
        <v>CADASTRADO</v>
      </c>
      <c r="CO38" s="99">
        <f t="shared" si="0"/>
        <v>0</v>
      </c>
      <c r="CP38" s="128" t="s">
        <v>301</v>
      </c>
      <c r="CQ38" s="128"/>
      <c r="CR38" s="100"/>
      <c r="CS38" s="100"/>
    </row>
    <row r="39" spans="1:97" x14ac:dyDescent="0.25">
      <c r="A39" s="27">
        <v>199</v>
      </c>
      <c r="B39" s="101">
        <v>208</v>
      </c>
      <c r="C39" s="102" t="s">
        <v>296</v>
      </c>
      <c r="D39" s="88" t="s">
        <v>49</v>
      </c>
      <c r="E39" s="88" t="s">
        <v>130</v>
      </c>
      <c r="F39" s="88" t="s">
        <v>130</v>
      </c>
      <c r="G39" s="88"/>
      <c r="H39" s="104" t="s">
        <v>130</v>
      </c>
      <c r="I39" s="102" t="s">
        <v>130</v>
      </c>
      <c r="J39" s="102" t="s">
        <v>130</v>
      </c>
      <c r="K39" s="102" t="s">
        <v>130</v>
      </c>
      <c r="L39" s="105" t="s">
        <v>130</v>
      </c>
      <c r="M39" s="106" t="s">
        <v>130</v>
      </c>
      <c r="N39" s="105" t="s">
        <v>130</v>
      </c>
      <c r="O39" s="106" t="s">
        <v>130</v>
      </c>
      <c r="P39" s="105" t="s">
        <v>130</v>
      </c>
      <c r="Q39" s="105" t="s">
        <v>130</v>
      </c>
      <c r="R39" s="105" t="s">
        <v>130</v>
      </c>
      <c r="S39" s="105" t="s">
        <v>130</v>
      </c>
      <c r="T39" s="105" t="s">
        <v>130</v>
      </c>
      <c r="U39" s="105" t="s">
        <v>130</v>
      </c>
      <c r="V39" s="105" t="s">
        <v>130</v>
      </c>
      <c r="W39" s="105" t="s">
        <v>130</v>
      </c>
      <c r="X39" s="105" t="s">
        <v>130</v>
      </c>
      <c r="Y39" s="105" t="s">
        <v>130</v>
      </c>
      <c r="Z39" s="105" t="s">
        <v>130</v>
      </c>
      <c r="AA39" s="105" t="s">
        <v>130</v>
      </c>
      <c r="AB39" s="105" t="s">
        <v>130</v>
      </c>
      <c r="AC39" s="105" t="s">
        <v>130</v>
      </c>
      <c r="AD39" s="105" t="s">
        <v>130</v>
      </c>
      <c r="AE39" s="102" t="s">
        <v>297</v>
      </c>
      <c r="AF39" s="102" t="s">
        <v>130</v>
      </c>
      <c r="AG39" s="88" t="s">
        <v>562</v>
      </c>
      <c r="AH39" s="102" t="s">
        <v>130</v>
      </c>
      <c r="AI39" s="107" t="str">
        <f>IFERROR(VLOOKUP(AG39,[2]Frota!$D$2:$AV$187,2,FALSE),"-")</f>
        <v>01251983321</v>
      </c>
      <c r="AJ39" s="107" t="str">
        <f>IFERROR(VLOOKUP(AG39,[2]Frota!$D$2:$AV$187,3,FALSE),"-")</f>
        <v>WV1DA22H9MA004521</v>
      </c>
      <c r="AK39" s="102" t="s">
        <v>563</v>
      </c>
      <c r="AL39" s="102" t="s">
        <v>564</v>
      </c>
      <c r="AM39" s="108">
        <v>2020</v>
      </c>
      <c r="AN39" s="108">
        <v>2021</v>
      </c>
      <c r="AO39" s="88" t="s">
        <v>560</v>
      </c>
      <c r="AP39" s="102" t="s">
        <v>130</v>
      </c>
      <c r="AQ39" s="88" t="s">
        <v>464</v>
      </c>
      <c r="AR39" s="89">
        <f>VLOOKUP(AQ39,'[1]Critério de Depreciação'!$C$3:$G$8,5,FALSE)</f>
        <v>1.6666666666666667</v>
      </c>
      <c r="AS39" s="102" t="s">
        <v>130</v>
      </c>
      <c r="AT39" s="102" t="s">
        <v>130</v>
      </c>
      <c r="AU39" s="102" t="str">
        <f>IFERROR(VLOOKUP(#REF!,[2]Frota!$D$2:$AV$187,12,FALSE),"-")</f>
        <v>-</v>
      </c>
      <c r="AV39" s="109">
        <v>64272</v>
      </c>
      <c r="AW39" s="110">
        <v>0</v>
      </c>
      <c r="AX39" s="106" t="s">
        <v>130</v>
      </c>
      <c r="AY39" s="111" t="s">
        <v>130</v>
      </c>
      <c r="AZ39" s="105" t="s">
        <v>130</v>
      </c>
      <c r="BA39" s="112" t="s">
        <v>130</v>
      </c>
      <c r="BB39" s="229" t="s">
        <v>130</v>
      </c>
      <c r="BC39" s="105" t="s">
        <v>130</v>
      </c>
      <c r="BD39" s="105" t="s">
        <v>130</v>
      </c>
      <c r="BE39" s="113">
        <f t="shared" si="13"/>
        <v>0</v>
      </c>
      <c r="BF39" s="113">
        <v>0</v>
      </c>
      <c r="BG39" s="113">
        <v>0</v>
      </c>
      <c r="BH39" s="113">
        <v>0</v>
      </c>
      <c r="BI39" s="113">
        <v>0</v>
      </c>
      <c r="BJ39" s="113">
        <v>0</v>
      </c>
      <c r="BK39" s="113">
        <v>0</v>
      </c>
      <c r="BL39" s="113">
        <v>0</v>
      </c>
      <c r="BM39" s="114">
        <f t="shared" si="14"/>
        <v>0</v>
      </c>
      <c r="BN39" s="113">
        <v>0</v>
      </c>
      <c r="BO39" s="113">
        <v>0</v>
      </c>
      <c r="BP39" s="113">
        <f t="shared" si="20"/>
        <v>0</v>
      </c>
      <c r="BQ39" s="113">
        <v>0</v>
      </c>
      <c r="BR39" s="113">
        <v>0</v>
      </c>
      <c r="BS39" s="105">
        <f t="shared" si="15"/>
        <v>0</v>
      </c>
      <c r="BT39" s="115" t="s">
        <v>130</v>
      </c>
      <c r="BU39" s="115" t="s">
        <v>130</v>
      </c>
      <c r="BV39" s="115" t="s">
        <v>130</v>
      </c>
      <c r="BW39" s="116" t="s">
        <v>130</v>
      </c>
      <c r="BX39" s="115" t="s">
        <v>130</v>
      </c>
      <c r="BY39" s="102" t="s">
        <v>561</v>
      </c>
      <c r="BZ39" s="102" t="s">
        <v>565</v>
      </c>
      <c r="CA39" s="102" t="s">
        <v>130</v>
      </c>
      <c r="CB39" s="102" t="s">
        <v>130</v>
      </c>
      <c r="CC39" s="102" t="s">
        <v>130</v>
      </c>
      <c r="CD39" s="102" t="s">
        <v>130</v>
      </c>
      <c r="CE39" s="102" t="str">
        <f t="shared" si="16"/>
        <v>-</v>
      </c>
      <c r="CF39" s="118" t="s">
        <v>130</v>
      </c>
      <c r="CG39" s="118" t="s">
        <v>130</v>
      </c>
      <c r="CH39" s="119">
        <f t="shared" si="17"/>
        <v>0</v>
      </c>
      <c r="CI39" s="120" t="s">
        <v>130</v>
      </c>
      <c r="CJ39" s="121">
        <v>5</v>
      </c>
      <c r="CK39" s="121">
        <v>5</v>
      </c>
      <c r="CL39" s="121">
        <f t="shared" si="18"/>
        <v>60</v>
      </c>
      <c r="CM39" s="122">
        <f t="shared" si="19"/>
        <v>0</v>
      </c>
      <c r="CN39" s="88" t="str">
        <f>IFERROR(IF(VLOOKUP(AG39,'[1]ATIVOS SAGI'!C:D,1,FALSE)&lt;&gt;"","CADASTRADO","NÃO CADASTRADO"),"NÃO CADASTRADO")</f>
        <v>CADASTRADO</v>
      </c>
      <c r="CO39" s="99">
        <f t="shared" si="0"/>
        <v>0</v>
      </c>
      <c r="CP39" s="128" t="s">
        <v>301</v>
      </c>
      <c r="CQ39" s="128"/>
      <c r="CR39" s="100"/>
      <c r="CS39" s="100"/>
    </row>
    <row r="40" spans="1:97" x14ac:dyDescent="0.25">
      <c r="A40" s="27">
        <v>200</v>
      </c>
      <c r="B40" s="101">
        <v>209</v>
      </c>
      <c r="C40" s="102" t="s">
        <v>296</v>
      </c>
      <c r="D40" s="88" t="s">
        <v>49</v>
      </c>
      <c r="E40" s="88" t="s">
        <v>130</v>
      </c>
      <c r="F40" s="88" t="s">
        <v>130</v>
      </c>
      <c r="G40" s="88"/>
      <c r="H40" s="104" t="s">
        <v>130</v>
      </c>
      <c r="I40" s="102" t="s">
        <v>130</v>
      </c>
      <c r="J40" s="102" t="s">
        <v>130</v>
      </c>
      <c r="K40" s="102" t="s">
        <v>130</v>
      </c>
      <c r="L40" s="105" t="s">
        <v>130</v>
      </c>
      <c r="M40" s="106" t="s">
        <v>130</v>
      </c>
      <c r="N40" s="105" t="s">
        <v>130</v>
      </c>
      <c r="O40" s="106" t="s">
        <v>130</v>
      </c>
      <c r="P40" s="105" t="s">
        <v>130</v>
      </c>
      <c r="Q40" s="105" t="s">
        <v>130</v>
      </c>
      <c r="R40" s="105" t="s">
        <v>130</v>
      </c>
      <c r="S40" s="105" t="s">
        <v>130</v>
      </c>
      <c r="T40" s="105" t="s">
        <v>130</v>
      </c>
      <c r="U40" s="105" t="s">
        <v>130</v>
      </c>
      <c r="V40" s="105" t="s">
        <v>130</v>
      </c>
      <c r="W40" s="105" t="s">
        <v>130</v>
      </c>
      <c r="X40" s="105" t="s">
        <v>130</v>
      </c>
      <c r="Y40" s="105" t="s">
        <v>130</v>
      </c>
      <c r="Z40" s="105" t="s">
        <v>130</v>
      </c>
      <c r="AA40" s="105" t="s">
        <v>130</v>
      </c>
      <c r="AB40" s="105" t="s">
        <v>130</v>
      </c>
      <c r="AC40" s="105" t="s">
        <v>130</v>
      </c>
      <c r="AD40" s="105" t="s">
        <v>130</v>
      </c>
      <c r="AE40" s="102" t="s">
        <v>297</v>
      </c>
      <c r="AF40" s="102" t="s">
        <v>130</v>
      </c>
      <c r="AG40" s="88" t="s">
        <v>566</v>
      </c>
      <c r="AH40" s="102" t="s">
        <v>130</v>
      </c>
      <c r="AI40" s="107" t="str">
        <f>IFERROR(VLOOKUP(AG40,[2]Frota!$D$2:$AV$187,2,FALSE),"-")</f>
        <v>00670836397</v>
      </c>
      <c r="AJ40" s="107" t="str">
        <f>IFERROR(VLOOKUP(AG40,[2]Frota!$D$2:$AV$187,3,FALSE),"-")</f>
        <v>9BM695014VB113239</v>
      </c>
      <c r="AK40" s="102" t="s">
        <v>567</v>
      </c>
      <c r="AL40" s="102" t="s">
        <v>568</v>
      </c>
      <c r="AM40" s="108">
        <v>1997</v>
      </c>
      <c r="AN40" s="108">
        <v>1997</v>
      </c>
      <c r="AO40" s="88" t="s">
        <v>569</v>
      </c>
      <c r="AP40" s="102" t="s">
        <v>130</v>
      </c>
      <c r="AQ40" s="88" t="s">
        <v>464</v>
      </c>
      <c r="AR40" s="89">
        <f>VLOOKUP(AQ40,'[1]Critério de Depreciação'!$C$3:$G$8,5,FALSE)</f>
        <v>1.6666666666666667</v>
      </c>
      <c r="AS40" s="102" t="s">
        <v>130</v>
      </c>
      <c r="AT40" s="102" t="s">
        <v>130</v>
      </c>
      <c r="AU40" s="102" t="str">
        <f>IFERROR(VLOOKUP(#REF!,[2]Frota!$D$2:$AV$187,12,FALSE),"-")</f>
        <v>-</v>
      </c>
      <c r="AV40" s="158" t="s">
        <v>130</v>
      </c>
      <c r="AW40" s="110">
        <v>0</v>
      </c>
      <c r="AX40" s="106" t="s">
        <v>130</v>
      </c>
      <c r="AY40" s="111">
        <v>140000</v>
      </c>
      <c r="AZ40" s="105" t="s">
        <v>130</v>
      </c>
      <c r="BA40" s="112" t="s">
        <v>130</v>
      </c>
      <c r="BB40" s="106" t="s">
        <v>130</v>
      </c>
      <c r="BC40" s="105" t="s">
        <v>130</v>
      </c>
      <c r="BD40" s="105" t="s">
        <v>130</v>
      </c>
      <c r="BE40" s="113">
        <f t="shared" si="13"/>
        <v>0</v>
      </c>
      <c r="BF40" s="113">
        <v>0</v>
      </c>
      <c r="BG40" s="113">
        <v>0</v>
      </c>
      <c r="BH40" s="113">
        <v>0</v>
      </c>
      <c r="BI40" s="113">
        <v>0</v>
      </c>
      <c r="BJ40" s="113">
        <v>0</v>
      </c>
      <c r="BK40" s="113">
        <v>0</v>
      </c>
      <c r="BL40" s="113">
        <v>0</v>
      </c>
      <c r="BM40" s="114">
        <f t="shared" si="14"/>
        <v>0</v>
      </c>
      <c r="BN40" s="113">
        <v>0</v>
      </c>
      <c r="BO40" s="113">
        <v>0</v>
      </c>
      <c r="BP40" s="113">
        <f t="shared" si="20"/>
        <v>0</v>
      </c>
      <c r="BQ40" s="113">
        <v>0</v>
      </c>
      <c r="BR40" s="113">
        <v>0</v>
      </c>
      <c r="BS40" s="105">
        <f t="shared" si="15"/>
        <v>0</v>
      </c>
      <c r="BT40" s="153" t="s">
        <v>130</v>
      </c>
      <c r="BU40" s="153" t="s">
        <v>130</v>
      </c>
      <c r="BV40" s="153" t="s">
        <v>130</v>
      </c>
      <c r="BW40" s="154" t="s">
        <v>130</v>
      </c>
      <c r="BX40" s="153" t="s">
        <v>130</v>
      </c>
      <c r="BY40" s="102" t="s">
        <v>317</v>
      </c>
      <c r="BZ40" s="102" t="s">
        <v>317</v>
      </c>
      <c r="CA40" s="102" t="s">
        <v>130</v>
      </c>
      <c r="CB40" s="102" t="s">
        <v>130</v>
      </c>
      <c r="CC40" s="102" t="s">
        <v>130</v>
      </c>
      <c r="CD40" s="102" t="s">
        <v>130</v>
      </c>
      <c r="CE40" s="102" t="str">
        <f t="shared" si="16"/>
        <v>-</v>
      </c>
      <c r="CF40" s="118" t="s">
        <v>130</v>
      </c>
      <c r="CG40" s="118" t="s">
        <v>130</v>
      </c>
      <c r="CH40" s="119">
        <f t="shared" si="17"/>
        <v>0</v>
      </c>
      <c r="CI40" s="120" t="s">
        <v>130</v>
      </c>
      <c r="CJ40" s="121">
        <v>5</v>
      </c>
      <c r="CK40" s="121">
        <v>5</v>
      </c>
      <c r="CL40" s="121">
        <f t="shared" si="18"/>
        <v>60</v>
      </c>
      <c r="CM40" s="122">
        <f t="shared" si="19"/>
        <v>0</v>
      </c>
      <c r="CN40" s="88" t="str">
        <f>IFERROR(IF(VLOOKUP(AG40,'[1]ATIVOS SAGI'!C:D,1,FALSE)&lt;&gt;"","CADASTRADO","NÃO CADASTRADO"),"NÃO CADASTRADO")</f>
        <v>CADASTRADO</v>
      </c>
      <c r="CO40" s="99">
        <f t="shared" si="0"/>
        <v>0</v>
      </c>
      <c r="CP40" s="48" t="s">
        <v>48</v>
      </c>
      <c r="CQ40" s="100"/>
      <c r="CR40" s="48"/>
      <c r="CS40" s="48"/>
    </row>
    <row r="41" spans="1:97" x14ac:dyDescent="0.25">
      <c r="A41" s="27">
        <v>201</v>
      </c>
      <c r="B41" s="101">
        <v>210</v>
      </c>
      <c r="C41" s="102" t="s">
        <v>296</v>
      </c>
      <c r="D41" s="88" t="s">
        <v>49</v>
      </c>
      <c r="E41" s="88" t="s">
        <v>130</v>
      </c>
      <c r="F41" s="84" t="s">
        <v>570</v>
      </c>
      <c r="G41" s="88"/>
      <c r="H41" s="104" t="s">
        <v>130</v>
      </c>
      <c r="I41" s="102" t="s">
        <v>130</v>
      </c>
      <c r="J41" s="102" t="s">
        <v>130</v>
      </c>
      <c r="K41" s="102" t="s">
        <v>130</v>
      </c>
      <c r="L41" s="105" t="s">
        <v>130</v>
      </c>
      <c r="M41" s="106" t="s">
        <v>130</v>
      </c>
      <c r="N41" s="105" t="s">
        <v>130</v>
      </c>
      <c r="O41" s="106" t="s">
        <v>130</v>
      </c>
      <c r="P41" s="105" t="s">
        <v>130</v>
      </c>
      <c r="Q41" s="105" t="s">
        <v>130</v>
      </c>
      <c r="R41" s="105" t="s">
        <v>130</v>
      </c>
      <c r="S41" s="105" t="s">
        <v>130</v>
      </c>
      <c r="T41" s="105" t="s">
        <v>130</v>
      </c>
      <c r="U41" s="105" t="s">
        <v>130</v>
      </c>
      <c r="V41" s="105" t="s">
        <v>130</v>
      </c>
      <c r="W41" s="105" t="s">
        <v>130</v>
      </c>
      <c r="X41" s="105" t="s">
        <v>130</v>
      </c>
      <c r="Y41" s="105" t="s">
        <v>130</v>
      </c>
      <c r="Z41" s="105" t="s">
        <v>130</v>
      </c>
      <c r="AA41" s="105" t="s">
        <v>130</v>
      </c>
      <c r="AB41" s="105" t="s">
        <v>130</v>
      </c>
      <c r="AC41" s="105" t="s">
        <v>130</v>
      </c>
      <c r="AD41" s="105" t="s">
        <v>130</v>
      </c>
      <c r="AE41" s="102" t="s">
        <v>297</v>
      </c>
      <c r="AF41" s="102" t="s">
        <v>130</v>
      </c>
      <c r="AG41" s="88" t="s">
        <v>571</v>
      </c>
      <c r="AH41" s="102" t="s">
        <v>130</v>
      </c>
      <c r="AI41" s="107" t="str">
        <f>IFERROR(VLOOKUP(AG41,[2]Frota!$D$2:$AV$187,2,FALSE),"-")</f>
        <v>01279832859</v>
      </c>
      <c r="AJ41" s="107" t="str">
        <f>IFERROR(VLOOKUP(AG41,[2]Frota!$D$2:$AV$187,3,FALSE),"-")</f>
        <v>9BWAH5BZXNP023473</v>
      </c>
      <c r="AK41" s="102" t="s">
        <v>563</v>
      </c>
      <c r="AL41" s="102" t="s">
        <v>572</v>
      </c>
      <c r="AM41" s="108">
        <v>2021</v>
      </c>
      <c r="AN41" s="108">
        <v>2022</v>
      </c>
      <c r="AO41" s="88" t="s">
        <v>560</v>
      </c>
      <c r="AP41" s="102" t="s">
        <v>130</v>
      </c>
      <c r="AQ41" s="88" t="s">
        <v>464</v>
      </c>
      <c r="AR41" s="89">
        <f>VLOOKUP(AQ41,'[1]Critério de Depreciação'!$C$3:$G$8,5,FALSE)</f>
        <v>1.6666666666666667</v>
      </c>
      <c r="AS41" s="102" t="s">
        <v>130</v>
      </c>
      <c r="AT41" s="102" t="s">
        <v>130</v>
      </c>
      <c r="AU41" s="102" t="str">
        <f>IFERROR(VLOOKUP(#REF!,[2]Frota!$D$2:$AV$187,12,FALSE),"-")</f>
        <v>-</v>
      </c>
      <c r="AV41" s="109">
        <v>182454</v>
      </c>
      <c r="AW41" s="110">
        <v>96000</v>
      </c>
      <c r="AX41" s="106">
        <v>44494</v>
      </c>
      <c r="AY41" s="111" t="s">
        <v>130</v>
      </c>
      <c r="AZ41" s="105" t="s">
        <v>130</v>
      </c>
      <c r="BA41" s="112">
        <v>90018</v>
      </c>
      <c r="BB41" s="106">
        <v>45215</v>
      </c>
      <c r="BC41" s="105" t="s">
        <v>130</v>
      </c>
      <c r="BD41" s="105" t="s">
        <v>130</v>
      </c>
      <c r="BE41" s="113">
        <f t="shared" si="13"/>
        <v>90018</v>
      </c>
      <c r="BF41" s="113">
        <v>0</v>
      </c>
      <c r="BG41" s="113">
        <v>0</v>
      </c>
      <c r="BH41" s="113">
        <v>0</v>
      </c>
      <c r="BI41" s="113">
        <v>0</v>
      </c>
      <c r="BJ41" s="113">
        <v>0</v>
      </c>
      <c r="BK41" s="113">
        <v>0</v>
      </c>
      <c r="BL41" s="113">
        <v>0</v>
      </c>
      <c r="BM41" s="114">
        <f t="shared" si="14"/>
        <v>0</v>
      </c>
      <c r="BN41" s="113">
        <v>0</v>
      </c>
      <c r="BO41" s="113">
        <v>0</v>
      </c>
      <c r="BP41" s="113">
        <f t="shared" si="20"/>
        <v>0</v>
      </c>
      <c r="BQ41" s="113">
        <v>0</v>
      </c>
      <c r="BR41" s="113">
        <v>0</v>
      </c>
      <c r="BS41" s="105">
        <f t="shared" si="15"/>
        <v>1600</v>
      </c>
      <c r="BT41" s="153" t="s">
        <v>130</v>
      </c>
      <c r="BU41" s="153" t="s">
        <v>130</v>
      </c>
      <c r="BV41" s="153" t="s">
        <v>130</v>
      </c>
      <c r="BW41" s="154" t="s">
        <v>130</v>
      </c>
      <c r="BX41" s="153" t="s">
        <v>130</v>
      </c>
      <c r="BY41" s="102" t="s">
        <v>573</v>
      </c>
      <c r="BZ41" s="102" t="s">
        <v>573</v>
      </c>
      <c r="CA41" s="102" t="s">
        <v>130</v>
      </c>
      <c r="CB41" s="102" t="s">
        <v>130</v>
      </c>
      <c r="CC41" s="102" t="s">
        <v>130</v>
      </c>
      <c r="CD41" s="102" t="s">
        <v>130</v>
      </c>
      <c r="CE41" s="102" t="str">
        <f t="shared" si="16"/>
        <v>-</v>
      </c>
      <c r="CF41" s="118" t="s">
        <v>130</v>
      </c>
      <c r="CG41" s="118" t="s">
        <v>130</v>
      </c>
      <c r="CH41" s="119">
        <f t="shared" si="17"/>
        <v>0</v>
      </c>
      <c r="CI41" s="120" t="s">
        <v>130</v>
      </c>
      <c r="CJ41" s="121">
        <v>5</v>
      </c>
      <c r="CK41" s="121">
        <v>5</v>
      </c>
      <c r="CL41" s="121">
        <f t="shared" si="18"/>
        <v>60</v>
      </c>
      <c r="CM41" s="122">
        <f t="shared" si="19"/>
        <v>0</v>
      </c>
      <c r="CN41" s="88" t="str">
        <f>IFERROR(IF(VLOOKUP(AG41,'[1]ATIVOS SAGI'!C:D,1,FALSE)&lt;&gt;"","CADASTRADO","NÃO CADASTRADO"),"NÃO CADASTRADO")</f>
        <v>CADASTRADO</v>
      </c>
      <c r="CO41" s="99">
        <f t="shared" si="0"/>
        <v>0</v>
      </c>
      <c r="CP41" s="128" t="s">
        <v>92</v>
      </c>
      <c r="CQ41" s="156"/>
      <c r="CR41" s="48"/>
      <c r="CS41" s="48"/>
    </row>
    <row r="42" spans="1:97" x14ac:dyDescent="0.25">
      <c r="A42" s="27">
        <v>205</v>
      </c>
      <c r="B42" s="101">
        <v>211</v>
      </c>
      <c r="C42" s="102" t="s">
        <v>130</v>
      </c>
      <c r="D42" s="40" t="s">
        <v>49</v>
      </c>
      <c r="E42" s="88" t="s">
        <v>130</v>
      </c>
      <c r="F42" s="84" t="s">
        <v>130</v>
      </c>
      <c r="G42" s="88"/>
      <c r="H42" s="104" t="s">
        <v>130</v>
      </c>
      <c r="I42" s="102" t="s">
        <v>130</v>
      </c>
      <c r="J42" s="102" t="s">
        <v>130</v>
      </c>
      <c r="K42" s="105" t="s">
        <v>130</v>
      </c>
      <c r="L42" s="105" t="s">
        <v>130</v>
      </c>
      <c r="M42" s="106" t="s">
        <v>130</v>
      </c>
      <c r="N42" s="105" t="s">
        <v>130</v>
      </c>
      <c r="O42" s="106" t="s">
        <v>130</v>
      </c>
      <c r="P42" s="105" t="s">
        <v>130</v>
      </c>
      <c r="Q42" s="105" t="s">
        <v>130</v>
      </c>
      <c r="R42" s="105" t="s">
        <v>130</v>
      </c>
      <c r="S42" s="105" t="s">
        <v>130</v>
      </c>
      <c r="T42" s="105" t="s">
        <v>130</v>
      </c>
      <c r="U42" s="105" t="s">
        <v>130</v>
      </c>
      <c r="V42" s="105" t="s">
        <v>130</v>
      </c>
      <c r="W42" s="105" t="s">
        <v>130</v>
      </c>
      <c r="X42" s="105" t="s">
        <v>130</v>
      </c>
      <c r="Y42" s="105" t="s">
        <v>130</v>
      </c>
      <c r="Z42" s="105" t="s">
        <v>130</v>
      </c>
      <c r="AA42" s="105" t="s">
        <v>130</v>
      </c>
      <c r="AB42" s="105" t="s">
        <v>130</v>
      </c>
      <c r="AC42" s="105" t="s">
        <v>130</v>
      </c>
      <c r="AD42" s="105" t="s">
        <v>130</v>
      </c>
      <c r="AE42" s="102" t="s">
        <v>297</v>
      </c>
      <c r="AF42" s="102" t="s">
        <v>130</v>
      </c>
      <c r="AG42" s="88" t="s">
        <v>574</v>
      </c>
      <c r="AH42" s="102" t="s">
        <v>130</v>
      </c>
      <c r="AI42" s="107" t="str">
        <f>IFERROR(VLOOKUP(AG42,[2]Frota!$D$2:$AV$187,2,FALSE),"-")</f>
        <v>-</v>
      </c>
      <c r="AJ42" s="107" t="str">
        <f>IFERROR(VLOOKUP(AG42,[2]Frota!$D$2:$AV$187,3,FALSE),"-")</f>
        <v>-</v>
      </c>
      <c r="AK42" s="102" t="s">
        <v>575</v>
      </c>
      <c r="AL42" s="102" t="s">
        <v>576</v>
      </c>
      <c r="AM42" s="108">
        <v>2018</v>
      </c>
      <c r="AN42" s="108">
        <v>2019</v>
      </c>
      <c r="AO42" s="88" t="s">
        <v>560</v>
      </c>
      <c r="AP42" s="102" t="s">
        <v>130</v>
      </c>
      <c r="AQ42" s="88" t="s">
        <v>464</v>
      </c>
      <c r="AR42" s="89">
        <f>VLOOKUP(AQ42,'[1]Critério de Depreciação'!$C$3:$G$8,5,FALSE)</f>
        <v>1.6666666666666667</v>
      </c>
      <c r="AS42" s="102" t="s">
        <v>130</v>
      </c>
      <c r="AT42" s="102" t="s">
        <v>130</v>
      </c>
      <c r="AU42" s="102" t="str">
        <f>IFERROR(VLOOKUP(#REF!,[2]Frota!$D$2:$AV$187,12,FALSE),"-")</f>
        <v>-</v>
      </c>
      <c r="AV42" s="159" t="s">
        <v>130</v>
      </c>
      <c r="AW42" s="110">
        <v>0</v>
      </c>
      <c r="AX42" s="106" t="s">
        <v>130</v>
      </c>
      <c r="AY42" s="111" t="s">
        <v>130</v>
      </c>
      <c r="AZ42" s="105" t="s">
        <v>130</v>
      </c>
      <c r="BA42" s="112" t="s">
        <v>130</v>
      </c>
      <c r="BB42" s="106" t="s">
        <v>130</v>
      </c>
      <c r="BC42" s="105" t="s">
        <v>130</v>
      </c>
      <c r="BD42" s="105" t="s">
        <v>130</v>
      </c>
      <c r="BE42" s="113">
        <f t="shared" si="13"/>
        <v>0</v>
      </c>
      <c r="BF42" s="113">
        <v>0</v>
      </c>
      <c r="BG42" s="113">
        <v>0</v>
      </c>
      <c r="BH42" s="113">
        <v>0</v>
      </c>
      <c r="BI42" s="113">
        <v>0</v>
      </c>
      <c r="BJ42" s="113">
        <v>0</v>
      </c>
      <c r="BK42" s="113">
        <v>0</v>
      </c>
      <c r="BL42" s="113">
        <v>0</v>
      </c>
      <c r="BM42" s="114">
        <f t="shared" si="14"/>
        <v>0</v>
      </c>
      <c r="BN42" s="113">
        <v>0</v>
      </c>
      <c r="BO42" s="113">
        <v>0</v>
      </c>
      <c r="BP42" s="113">
        <f t="shared" si="20"/>
        <v>0</v>
      </c>
      <c r="BQ42" s="113">
        <v>0</v>
      </c>
      <c r="BR42" s="113">
        <v>0</v>
      </c>
      <c r="BS42" s="105">
        <f t="shared" si="15"/>
        <v>0</v>
      </c>
      <c r="BT42" s="153" t="s">
        <v>130</v>
      </c>
      <c r="BU42" s="153" t="s">
        <v>130</v>
      </c>
      <c r="BV42" s="153" t="s">
        <v>130</v>
      </c>
      <c r="BW42" s="154" t="s">
        <v>130</v>
      </c>
      <c r="BX42" s="153" t="s">
        <v>130</v>
      </c>
      <c r="BY42" s="102" t="s">
        <v>130</v>
      </c>
      <c r="BZ42" s="102" t="s">
        <v>130</v>
      </c>
      <c r="CA42" s="102" t="s">
        <v>130</v>
      </c>
      <c r="CB42" s="102" t="s">
        <v>130</v>
      </c>
      <c r="CC42" s="102" t="s">
        <v>130</v>
      </c>
      <c r="CD42" s="102" t="s">
        <v>130</v>
      </c>
      <c r="CE42" s="102" t="str">
        <f t="shared" si="16"/>
        <v>-</v>
      </c>
      <c r="CF42" s="118" t="s">
        <v>130</v>
      </c>
      <c r="CG42" s="118" t="s">
        <v>130</v>
      </c>
      <c r="CH42" s="119">
        <f t="shared" si="17"/>
        <v>0</v>
      </c>
      <c r="CI42" s="120" t="s">
        <v>130</v>
      </c>
      <c r="CJ42" s="121">
        <v>5</v>
      </c>
      <c r="CK42" s="121">
        <v>5</v>
      </c>
      <c r="CL42" s="121">
        <f t="shared" si="18"/>
        <v>60</v>
      </c>
      <c r="CM42" s="122">
        <f t="shared" si="19"/>
        <v>0</v>
      </c>
      <c r="CN42" s="88" t="str">
        <f>IFERROR(IF(VLOOKUP(AG42,'[1]ATIVOS SAGI'!C:D,1,FALSE)&lt;&gt;"","CADASTRADO","NÃO CADASTRADO"),"NÃO CADASTRADO")</f>
        <v>NÃO CADASTRADO</v>
      </c>
      <c r="CO42" s="99">
        <f t="shared" si="0"/>
        <v>0</v>
      </c>
      <c r="CP42" s="48" t="s">
        <v>48</v>
      </c>
      <c r="CQ42" s="48"/>
      <c r="CR42" s="48"/>
      <c r="CS42" s="48"/>
    </row>
    <row r="43" spans="1:97" x14ac:dyDescent="0.25">
      <c r="A43" s="27">
        <v>206</v>
      </c>
      <c r="B43" s="27">
        <v>212</v>
      </c>
      <c r="C43" s="29" t="s">
        <v>577</v>
      </c>
      <c r="D43" s="40" t="s">
        <v>578</v>
      </c>
      <c r="E43" s="84" t="s">
        <v>570</v>
      </c>
      <c r="F43" s="88" t="s">
        <v>130</v>
      </c>
      <c r="G43" s="84" t="s">
        <v>48</v>
      </c>
      <c r="H43" s="160" t="s">
        <v>472</v>
      </c>
      <c r="I43" s="29" t="s">
        <v>130</v>
      </c>
      <c r="J43" s="161">
        <f>10086.54</f>
        <v>10086.540000000001</v>
      </c>
      <c r="K43" s="85" t="s">
        <v>466</v>
      </c>
      <c r="L43" s="85">
        <v>167.74</v>
      </c>
      <c r="M43" s="86" t="s">
        <v>130</v>
      </c>
      <c r="N43" s="85" t="s">
        <v>130</v>
      </c>
      <c r="O43" s="86">
        <v>45702</v>
      </c>
      <c r="P43" s="85">
        <v>9918.7900000000009</v>
      </c>
      <c r="Q43" s="85" t="s">
        <v>130</v>
      </c>
      <c r="R43" s="85" t="s">
        <v>130</v>
      </c>
      <c r="S43" s="85" t="s">
        <v>130</v>
      </c>
      <c r="T43" s="85" t="s">
        <v>130</v>
      </c>
      <c r="U43" s="85">
        <v>9072.2000000000007</v>
      </c>
      <c r="V43" s="85">
        <v>8800.0300000000007</v>
      </c>
      <c r="W43" s="86">
        <v>46035</v>
      </c>
      <c r="X43" s="86">
        <v>46066</v>
      </c>
      <c r="Y43" s="85">
        <v>174.08</v>
      </c>
      <c r="Z43" s="85">
        <f>U43+Y43</f>
        <v>9246.2800000000007</v>
      </c>
      <c r="AA43" s="85">
        <f>V43+Y43</f>
        <v>8974.11</v>
      </c>
      <c r="AB43" s="85">
        <v>104.12</v>
      </c>
      <c r="AC43" s="85">
        <v>0</v>
      </c>
      <c r="AD43" s="85">
        <v>0</v>
      </c>
      <c r="AE43" s="29" t="s">
        <v>45</v>
      </c>
      <c r="AF43" s="29" t="s">
        <v>579</v>
      </c>
      <c r="AG43" s="40" t="s">
        <v>580</v>
      </c>
      <c r="AH43" s="29" t="s">
        <v>468</v>
      </c>
      <c r="AI43" s="162" t="s">
        <v>581</v>
      </c>
      <c r="AJ43" s="87" t="s">
        <v>582</v>
      </c>
      <c r="AK43" s="29" t="s">
        <v>563</v>
      </c>
      <c r="AL43" s="29" t="s">
        <v>583</v>
      </c>
      <c r="AM43" s="34">
        <v>2024</v>
      </c>
      <c r="AN43" s="34">
        <v>2025</v>
      </c>
      <c r="AO43" s="233" t="s">
        <v>560</v>
      </c>
      <c r="AP43" s="29" t="s">
        <v>130</v>
      </c>
      <c r="AQ43" s="88" t="s">
        <v>464</v>
      </c>
      <c r="AR43" s="89">
        <f>VLOOKUP(AQ43,'[1]Critério de Depreciação'!$C$3:$G$8,5,FALSE)</f>
        <v>1.6666666666666667</v>
      </c>
      <c r="AS43" s="29" t="s">
        <v>130</v>
      </c>
      <c r="AT43" s="29" t="s">
        <v>130</v>
      </c>
      <c r="AU43" s="29" t="s">
        <v>130</v>
      </c>
      <c r="AV43" s="163">
        <v>732136</v>
      </c>
      <c r="AW43" s="90">
        <v>298284.82</v>
      </c>
      <c r="AX43" s="86">
        <v>45646</v>
      </c>
      <c r="AY43" s="91" t="s">
        <v>130</v>
      </c>
      <c r="AZ43" s="85" t="s">
        <v>130</v>
      </c>
      <c r="BA43" s="123" t="s">
        <v>130</v>
      </c>
      <c r="BB43" s="86" t="s">
        <v>130</v>
      </c>
      <c r="BC43" s="85" t="s">
        <v>130</v>
      </c>
      <c r="BD43" s="85" t="s">
        <v>130</v>
      </c>
      <c r="BE43" s="92">
        <f t="shared" si="13"/>
        <v>0</v>
      </c>
      <c r="BF43" s="92">
        <v>0</v>
      </c>
      <c r="BG43" s="92">
        <v>0</v>
      </c>
      <c r="BH43" s="92">
        <v>0</v>
      </c>
      <c r="BI43" s="92">
        <v>0</v>
      </c>
      <c r="BJ43" s="92">
        <v>0</v>
      </c>
      <c r="BK43" s="92">
        <v>0</v>
      </c>
      <c r="BL43" s="92">
        <v>0</v>
      </c>
      <c r="BM43" s="93">
        <v>298284.82</v>
      </c>
      <c r="BN43" s="92">
        <v>0</v>
      </c>
      <c r="BO43" s="92">
        <v>0</v>
      </c>
      <c r="BP43" s="92">
        <f t="shared" si="20"/>
        <v>0</v>
      </c>
      <c r="BQ43" s="92">
        <v>0</v>
      </c>
      <c r="BR43" s="92">
        <v>0</v>
      </c>
      <c r="BS43" s="85" t="s">
        <v>130</v>
      </c>
      <c r="BT43" s="94" t="s">
        <v>130</v>
      </c>
      <c r="BU43" s="94" t="s">
        <v>130</v>
      </c>
      <c r="BV43" s="94" t="s">
        <v>130</v>
      </c>
      <c r="BW43" s="95">
        <v>20.94</v>
      </c>
      <c r="BX43" s="96" t="s">
        <v>130</v>
      </c>
      <c r="BY43" s="29" t="s">
        <v>130</v>
      </c>
      <c r="BZ43" s="29" t="s">
        <v>130</v>
      </c>
      <c r="CA43" s="29" t="s">
        <v>130</v>
      </c>
      <c r="CB43" s="29" t="s">
        <v>130</v>
      </c>
      <c r="CC43" s="29" t="s">
        <v>130</v>
      </c>
      <c r="CD43" s="29" t="s">
        <v>130</v>
      </c>
      <c r="CE43" s="29" t="str">
        <f t="shared" si="16"/>
        <v>ACIONISTA</v>
      </c>
      <c r="CF43" s="97" t="s">
        <v>130</v>
      </c>
      <c r="CG43" s="97" t="s">
        <v>130</v>
      </c>
      <c r="CH43" s="37">
        <f t="shared" si="17"/>
        <v>298284.82</v>
      </c>
      <c r="CI43" s="98" t="s">
        <v>130</v>
      </c>
      <c r="CJ43" s="39">
        <v>5</v>
      </c>
      <c r="CK43" s="39">
        <v>5</v>
      </c>
      <c r="CL43" s="39">
        <f t="shared" si="18"/>
        <v>60</v>
      </c>
      <c r="CM43" s="99">
        <f t="shared" si="19"/>
        <v>9942.8273333333327</v>
      </c>
      <c r="CN43" s="40" t="str">
        <f>IFERROR(IF(VLOOKUP(AG43,'[1]ATIVOS SAGI'!C:D,1,FALSE)&lt;&gt;"","CADASTRADO","NÃO CADASTRADO"),"NÃO CADASTRADO")</f>
        <v>NÃO CADASTRADO</v>
      </c>
      <c r="CO43" s="99">
        <f t="shared" si="0"/>
        <v>4971.4136666666673</v>
      </c>
      <c r="CP43" s="48" t="s">
        <v>48</v>
      </c>
      <c r="CQ43" s="48"/>
      <c r="CR43" s="48"/>
      <c r="CS43" s="48"/>
    </row>
    <row r="44" spans="1:97" x14ac:dyDescent="0.25">
      <c r="A44" s="27">
        <v>216</v>
      </c>
      <c r="B44" s="164" t="s">
        <v>130</v>
      </c>
      <c r="C44" s="132" t="s">
        <v>130</v>
      </c>
      <c r="D44" s="40" t="s">
        <v>49</v>
      </c>
      <c r="E44" s="84" t="s">
        <v>130</v>
      </c>
      <c r="F44" s="88" t="s">
        <v>130</v>
      </c>
      <c r="G44" s="84" t="s">
        <v>489</v>
      </c>
      <c r="H44" s="160" t="s">
        <v>306</v>
      </c>
      <c r="I44" s="132" t="s">
        <v>130</v>
      </c>
      <c r="J44" s="132" t="s">
        <v>130</v>
      </c>
      <c r="K44" s="132" t="s">
        <v>130</v>
      </c>
      <c r="L44" s="165" t="s">
        <v>130</v>
      </c>
      <c r="M44" s="166" t="s">
        <v>130</v>
      </c>
      <c r="N44" s="165" t="s">
        <v>130</v>
      </c>
      <c r="O44" s="166" t="s">
        <v>130</v>
      </c>
      <c r="P44" s="165" t="s">
        <v>130</v>
      </c>
      <c r="Q44" s="165" t="s">
        <v>130</v>
      </c>
      <c r="R44" s="165" t="s">
        <v>130</v>
      </c>
      <c r="S44" s="165" t="s">
        <v>130</v>
      </c>
      <c r="T44" s="165" t="s">
        <v>130</v>
      </c>
      <c r="U44" s="165" t="s">
        <v>130</v>
      </c>
      <c r="V44" s="165" t="s">
        <v>130</v>
      </c>
      <c r="W44" s="165" t="s">
        <v>130</v>
      </c>
      <c r="X44" s="165" t="s">
        <v>130</v>
      </c>
      <c r="Y44" s="165" t="s">
        <v>130</v>
      </c>
      <c r="Z44" s="165" t="s">
        <v>130</v>
      </c>
      <c r="AA44" s="165" t="s">
        <v>130</v>
      </c>
      <c r="AB44" s="165" t="s">
        <v>130</v>
      </c>
      <c r="AC44" s="165" t="s">
        <v>130</v>
      </c>
      <c r="AD44" s="165" t="s">
        <v>130</v>
      </c>
      <c r="AE44" s="132" t="s">
        <v>45</v>
      </c>
      <c r="AF44" s="29" t="s">
        <v>46</v>
      </c>
      <c r="AG44" s="40" t="s">
        <v>130</v>
      </c>
      <c r="AH44" s="29" t="s">
        <v>130</v>
      </c>
      <c r="AI44" s="167" t="s">
        <v>130</v>
      </c>
      <c r="AJ44" s="168" t="s">
        <v>130</v>
      </c>
      <c r="AK44" s="132" t="s">
        <v>130</v>
      </c>
      <c r="AL44" s="132" t="s">
        <v>130</v>
      </c>
      <c r="AM44" s="135" t="s">
        <v>130</v>
      </c>
      <c r="AN44" s="135" t="s">
        <v>130</v>
      </c>
      <c r="AO44" s="84" t="s">
        <v>584</v>
      </c>
      <c r="AP44" s="132" t="s">
        <v>130</v>
      </c>
      <c r="AQ44" s="88" t="s">
        <v>464</v>
      </c>
      <c r="AR44" s="89">
        <f>VLOOKUP(AQ44,'[1]Critério de Depreciação'!$C$3:$G$8,5,FALSE)</f>
        <v>1.6666666666666667</v>
      </c>
      <c r="AS44" s="132" t="s">
        <v>130</v>
      </c>
      <c r="AT44" s="132" t="s">
        <v>130</v>
      </c>
      <c r="AU44" s="132" t="s">
        <v>130</v>
      </c>
      <c r="AV44" s="136" t="s">
        <v>130</v>
      </c>
      <c r="AW44" s="169">
        <v>0</v>
      </c>
      <c r="AX44" s="166" t="s">
        <v>130</v>
      </c>
      <c r="AY44" s="170" t="s">
        <v>130</v>
      </c>
      <c r="AZ44" s="132" t="s">
        <v>130</v>
      </c>
      <c r="BA44" s="132" t="s">
        <v>130</v>
      </c>
      <c r="BB44" s="132" t="s">
        <v>130</v>
      </c>
      <c r="BC44" s="132" t="s">
        <v>130</v>
      </c>
      <c r="BD44" s="132" t="s">
        <v>130</v>
      </c>
      <c r="BE44" s="171">
        <f t="shared" si="13"/>
        <v>0</v>
      </c>
      <c r="BF44" s="172">
        <v>0</v>
      </c>
      <c r="BG44" s="172">
        <v>0</v>
      </c>
      <c r="BH44" s="172">
        <v>0</v>
      </c>
      <c r="BI44" s="172">
        <v>0</v>
      </c>
      <c r="BJ44" s="172">
        <v>0</v>
      </c>
      <c r="BK44" s="172">
        <v>0</v>
      </c>
      <c r="BL44" s="172">
        <v>0</v>
      </c>
      <c r="BM44" s="93">
        <f t="shared" ref="BM44:BM89" si="21">SUM(BF44:BL44)</f>
        <v>0</v>
      </c>
      <c r="BN44" s="92">
        <v>0</v>
      </c>
      <c r="BO44" s="92">
        <f>((BF44+BH44+BI44+BJ44+BK44+BL44)*20%)/12</f>
        <v>0</v>
      </c>
      <c r="BP44" s="92">
        <f t="shared" si="20"/>
        <v>0</v>
      </c>
      <c r="BQ44" s="92">
        <v>0</v>
      </c>
      <c r="BR44" s="92">
        <v>0</v>
      </c>
      <c r="BS44" s="165" t="s">
        <v>130</v>
      </c>
      <c r="BT44" s="173" t="s">
        <v>130</v>
      </c>
      <c r="BU44" s="173" t="s">
        <v>130</v>
      </c>
      <c r="BV44" s="173" t="s">
        <v>130</v>
      </c>
      <c r="BW44" s="174" t="s">
        <v>130</v>
      </c>
      <c r="BX44" s="175" t="s">
        <v>130</v>
      </c>
      <c r="BY44" s="132" t="s">
        <v>130</v>
      </c>
      <c r="BZ44" s="132" t="s">
        <v>130</v>
      </c>
      <c r="CA44" s="132" t="s">
        <v>130</v>
      </c>
      <c r="CB44" s="132" t="s">
        <v>130</v>
      </c>
      <c r="CC44" s="132" t="s">
        <v>130</v>
      </c>
      <c r="CD44" s="132" t="s">
        <v>130</v>
      </c>
      <c r="CE44" s="132" t="str">
        <f t="shared" si="16"/>
        <v>SP - PRUDENTE - SUCATA</v>
      </c>
      <c r="CF44" s="176" t="s">
        <v>130</v>
      </c>
      <c r="CG44" s="176" t="s">
        <v>130</v>
      </c>
      <c r="CH44" s="37">
        <f t="shared" si="17"/>
        <v>0</v>
      </c>
      <c r="CI44" s="98" t="s">
        <v>130</v>
      </c>
      <c r="CJ44" s="39">
        <v>5</v>
      </c>
      <c r="CK44" s="39">
        <v>5</v>
      </c>
      <c r="CL44" s="39">
        <f t="shared" si="18"/>
        <v>60</v>
      </c>
      <c r="CM44" s="99">
        <f t="shared" si="19"/>
        <v>0</v>
      </c>
      <c r="CN44" s="84" t="s">
        <v>130</v>
      </c>
      <c r="CO44" s="99">
        <f t="shared" si="0"/>
        <v>0</v>
      </c>
      <c r="CP44" s="48" t="s">
        <v>48</v>
      </c>
      <c r="CQ44" s="48"/>
      <c r="CR44" s="48"/>
      <c r="CS44" s="48"/>
    </row>
    <row r="45" spans="1:97" x14ac:dyDescent="0.25">
      <c r="A45" s="27">
        <v>217</v>
      </c>
      <c r="B45" s="101" t="s">
        <v>130</v>
      </c>
      <c r="C45" s="102" t="s">
        <v>130</v>
      </c>
      <c r="D45" s="40" t="s">
        <v>49</v>
      </c>
      <c r="E45" s="88" t="s">
        <v>130</v>
      </c>
      <c r="F45" s="40" t="s">
        <v>130</v>
      </c>
      <c r="G45" s="88"/>
      <c r="H45" s="104" t="s">
        <v>130</v>
      </c>
      <c r="I45" s="102" t="s">
        <v>130</v>
      </c>
      <c r="J45" s="102" t="s">
        <v>130</v>
      </c>
      <c r="K45" s="102" t="s">
        <v>130</v>
      </c>
      <c r="L45" s="105" t="s">
        <v>130</v>
      </c>
      <c r="M45" s="106" t="s">
        <v>130</v>
      </c>
      <c r="N45" s="105" t="s">
        <v>130</v>
      </c>
      <c r="O45" s="106" t="s">
        <v>130</v>
      </c>
      <c r="P45" s="105" t="s">
        <v>130</v>
      </c>
      <c r="Q45" s="105" t="s">
        <v>130</v>
      </c>
      <c r="R45" s="105" t="s">
        <v>130</v>
      </c>
      <c r="S45" s="105" t="s">
        <v>130</v>
      </c>
      <c r="T45" s="105" t="s">
        <v>130</v>
      </c>
      <c r="U45" s="105" t="s">
        <v>130</v>
      </c>
      <c r="V45" s="105" t="s">
        <v>130</v>
      </c>
      <c r="W45" s="105" t="s">
        <v>130</v>
      </c>
      <c r="X45" s="105" t="s">
        <v>130</v>
      </c>
      <c r="Y45" s="105" t="s">
        <v>130</v>
      </c>
      <c r="Z45" s="105" t="s">
        <v>130</v>
      </c>
      <c r="AA45" s="105" t="s">
        <v>130</v>
      </c>
      <c r="AB45" s="105" t="s">
        <v>130</v>
      </c>
      <c r="AC45" s="105" t="s">
        <v>130</v>
      </c>
      <c r="AD45" s="105" t="s">
        <v>130</v>
      </c>
      <c r="AE45" s="102" t="s">
        <v>297</v>
      </c>
      <c r="AF45" s="102" t="s">
        <v>130</v>
      </c>
      <c r="AG45" s="88" t="s">
        <v>130</v>
      </c>
      <c r="AH45" s="102" t="s">
        <v>130</v>
      </c>
      <c r="AI45" s="177" t="s">
        <v>130</v>
      </c>
      <c r="AJ45" s="107" t="s">
        <v>130</v>
      </c>
      <c r="AK45" s="102" t="s">
        <v>130</v>
      </c>
      <c r="AL45" s="102" t="s">
        <v>130</v>
      </c>
      <c r="AM45" s="108" t="s">
        <v>130</v>
      </c>
      <c r="AN45" s="108" t="s">
        <v>130</v>
      </c>
      <c r="AO45" s="88" t="s">
        <v>585</v>
      </c>
      <c r="AP45" s="102" t="s">
        <v>130</v>
      </c>
      <c r="AQ45" s="88" t="s">
        <v>464</v>
      </c>
      <c r="AR45" s="89">
        <f>VLOOKUP(AQ45,'[1]Critério de Depreciação'!$C$3:$G$8,5,FALSE)</f>
        <v>1.6666666666666667</v>
      </c>
      <c r="AS45" s="102" t="s">
        <v>130</v>
      </c>
      <c r="AT45" s="102" t="s">
        <v>130</v>
      </c>
      <c r="AU45" s="102" t="s">
        <v>130</v>
      </c>
      <c r="AV45" s="178" t="s">
        <v>130</v>
      </c>
      <c r="AW45" s="110">
        <v>0</v>
      </c>
      <c r="AX45" s="106" t="s">
        <v>130</v>
      </c>
      <c r="AY45" s="111" t="s">
        <v>130</v>
      </c>
      <c r="AZ45" s="102" t="s">
        <v>130</v>
      </c>
      <c r="BA45" s="102" t="s">
        <v>130</v>
      </c>
      <c r="BB45" s="102" t="s">
        <v>130</v>
      </c>
      <c r="BC45" s="102" t="s">
        <v>130</v>
      </c>
      <c r="BD45" s="102" t="s">
        <v>130</v>
      </c>
      <c r="BE45" s="179" t="s">
        <v>130</v>
      </c>
      <c r="BF45" s="113">
        <v>0</v>
      </c>
      <c r="BG45" s="113">
        <v>0</v>
      </c>
      <c r="BH45" s="113">
        <v>0</v>
      </c>
      <c r="BI45" s="113">
        <v>0</v>
      </c>
      <c r="BJ45" s="113">
        <v>0</v>
      </c>
      <c r="BK45" s="113">
        <v>0</v>
      </c>
      <c r="BL45" s="113">
        <v>0</v>
      </c>
      <c r="BM45" s="114">
        <f t="shared" si="21"/>
        <v>0</v>
      </c>
      <c r="BN45" s="113">
        <v>0</v>
      </c>
      <c r="BO45" s="113">
        <v>0</v>
      </c>
      <c r="BP45" s="113">
        <f t="shared" si="20"/>
        <v>0</v>
      </c>
      <c r="BQ45" s="113">
        <v>0</v>
      </c>
      <c r="BR45" s="113">
        <v>0</v>
      </c>
      <c r="BS45" s="105" t="s">
        <v>130</v>
      </c>
      <c r="BT45" s="153" t="s">
        <v>130</v>
      </c>
      <c r="BU45" s="153" t="s">
        <v>130</v>
      </c>
      <c r="BV45" s="153" t="s">
        <v>130</v>
      </c>
      <c r="BW45" s="154" t="s">
        <v>130</v>
      </c>
      <c r="BX45" s="153" t="s">
        <v>130</v>
      </c>
      <c r="BY45" s="102" t="s">
        <v>130</v>
      </c>
      <c r="BZ45" s="102" t="s">
        <v>130</v>
      </c>
      <c r="CA45" s="102" t="s">
        <v>130</v>
      </c>
      <c r="CB45" s="102" t="s">
        <v>130</v>
      </c>
      <c r="CC45" s="102" t="s">
        <v>130</v>
      </c>
      <c r="CD45" s="102" t="s">
        <v>130</v>
      </c>
      <c r="CE45" s="102" t="str">
        <f t="shared" si="16"/>
        <v>-</v>
      </c>
      <c r="CF45" s="118" t="s">
        <v>130</v>
      </c>
      <c r="CG45" s="118" t="s">
        <v>130</v>
      </c>
      <c r="CH45" s="119" t="s">
        <v>130</v>
      </c>
      <c r="CI45" s="120" t="s">
        <v>130</v>
      </c>
      <c r="CJ45" s="121">
        <v>5</v>
      </c>
      <c r="CK45" s="121">
        <v>5</v>
      </c>
      <c r="CL45" s="121" t="s">
        <v>130</v>
      </c>
      <c r="CM45" s="122" t="s">
        <v>130</v>
      </c>
      <c r="CN45" s="88" t="s">
        <v>130</v>
      </c>
      <c r="CO45" s="99">
        <f t="shared" si="0"/>
        <v>0</v>
      </c>
      <c r="CP45" s="128" t="s">
        <v>92</v>
      </c>
      <c r="CQ45" s="128"/>
      <c r="CR45" s="48"/>
      <c r="CS45" s="48"/>
    </row>
    <row r="46" spans="1:97" x14ac:dyDescent="0.25">
      <c r="A46" s="27">
        <v>218</v>
      </c>
      <c r="B46" s="101" t="s">
        <v>130</v>
      </c>
      <c r="C46" s="102" t="s">
        <v>130</v>
      </c>
      <c r="D46" s="40" t="s">
        <v>49</v>
      </c>
      <c r="E46" s="88" t="s">
        <v>130</v>
      </c>
      <c r="F46" s="40" t="s">
        <v>130</v>
      </c>
      <c r="G46" s="40" t="s">
        <v>526</v>
      </c>
      <c r="H46" s="104" t="s">
        <v>130</v>
      </c>
      <c r="I46" s="102" t="s">
        <v>130</v>
      </c>
      <c r="J46" s="102" t="s">
        <v>130</v>
      </c>
      <c r="K46" s="102" t="s">
        <v>130</v>
      </c>
      <c r="L46" s="105" t="s">
        <v>130</v>
      </c>
      <c r="M46" s="106" t="s">
        <v>130</v>
      </c>
      <c r="N46" s="105" t="s">
        <v>130</v>
      </c>
      <c r="O46" s="106" t="s">
        <v>130</v>
      </c>
      <c r="P46" s="105" t="s">
        <v>130</v>
      </c>
      <c r="Q46" s="105" t="s">
        <v>130</v>
      </c>
      <c r="R46" s="105" t="s">
        <v>130</v>
      </c>
      <c r="S46" s="105" t="s">
        <v>130</v>
      </c>
      <c r="T46" s="105" t="s">
        <v>130</v>
      </c>
      <c r="U46" s="105" t="s">
        <v>130</v>
      </c>
      <c r="V46" s="105" t="s">
        <v>130</v>
      </c>
      <c r="W46" s="105" t="s">
        <v>130</v>
      </c>
      <c r="X46" s="105" t="s">
        <v>130</v>
      </c>
      <c r="Y46" s="105" t="s">
        <v>130</v>
      </c>
      <c r="Z46" s="105" t="s">
        <v>130</v>
      </c>
      <c r="AA46" s="105" t="s">
        <v>130</v>
      </c>
      <c r="AB46" s="105" t="s">
        <v>130</v>
      </c>
      <c r="AC46" s="105" t="s">
        <v>130</v>
      </c>
      <c r="AD46" s="105" t="s">
        <v>130</v>
      </c>
      <c r="AE46" s="102" t="s">
        <v>298</v>
      </c>
      <c r="AF46" s="102" t="s">
        <v>130</v>
      </c>
      <c r="AG46" s="88" t="s">
        <v>130</v>
      </c>
      <c r="AH46" s="29" t="s">
        <v>130</v>
      </c>
      <c r="AI46" s="177" t="s">
        <v>130</v>
      </c>
      <c r="AJ46" s="107" t="s">
        <v>130</v>
      </c>
      <c r="AK46" s="102" t="s">
        <v>130</v>
      </c>
      <c r="AL46" s="102" t="s">
        <v>130</v>
      </c>
      <c r="AM46" s="108" t="s">
        <v>130</v>
      </c>
      <c r="AN46" s="108" t="s">
        <v>130</v>
      </c>
      <c r="AO46" s="88" t="s">
        <v>318</v>
      </c>
      <c r="AP46" s="102" t="s">
        <v>130</v>
      </c>
      <c r="AQ46" s="88" t="s">
        <v>464</v>
      </c>
      <c r="AR46" s="89">
        <f>VLOOKUP(AQ46,'[1]Critério de Depreciação'!$C$3:$G$8,5,FALSE)</f>
        <v>1.6666666666666667</v>
      </c>
      <c r="AS46" s="102" t="s">
        <v>130</v>
      </c>
      <c r="AT46" s="102" t="s">
        <v>130</v>
      </c>
      <c r="AU46" s="102" t="s">
        <v>130</v>
      </c>
      <c r="AV46" s="178" t="s">
        <v>130</v>
      </c>
      <c r="AW46" s="110">
        <v>0</v>
      </c>
      <c r="AX46" s="106" t="s">
        <v>130</v>
      </c>
      <c r="AY46" s="111" t="s">
        <v>130</v>
      </c>
      <c r="AZ46" s="102" t="s">
        <v>130</v>
      </c>
      <c r="BA46" s="102" t="s">
        <v>130</v>
      </c>
      <c r="BB46" s="102" t="s">
        <v>130</v>
      </c>
      <c r="BC46" s="102" t="s">
        <v>130</v>
      </c>
      <c r="BD46" s="102" t="s">
        <v>130</v>
      </c>
      <c r="BE46" s="179" t="s">
        <v>130</v>
      </c>
      <c r="BF46" s="113">
        <v>0</v>
      </c>
      <c r="BG46" s="113">
        <v>0</v>
      </c>
      <c r="BH46" s="113">
        <v>80000</v>
      </c>
      <c r="BI46" s="113">
        <v>0</v>
      </c>
      <c r="BJ46" s="113">
        <v>0</v>
      </c>
      <c r="BK46" s="113">
        <v>0</v>
      </c>
      <c r="BL46" s="113">
        <v>0</v>
      </c>
      <c r="BM46" s="114">
        <f t="shared" si="21"/>
        <v>80000</v>
      </c>
      <c r="BN46" s="113">
        <v>0</v>
      </c>
      <c r="BO46" s="113">
        <v>0</v>
      </c>
      <c r="BP46" s="92">
        <f t="shared" si="20"/>
        <v>0</v>
      </c>
      <c r="BQ46" s="113">
        <v>0</v>
      </c>
      <c r="BR46" s="113">
        <v>0</v>
      </c>
      <c r="BS46" s="105" t="s">
        <v>130</v>
      </c>
      <c r="BT46" s="153" t="s">
        <v>130</v>
      </c>
      <c r="BU46" s="153" t="s">
        <v>130</v>
      </c>
      <c r="BV46" s="153" t="s">
        <v>130</v>
      </c>
      <c r="BW46" s="154" t="s">
        <v>130</v>
      </c>
      <c r="BX46" s="180" t="s">
        <v>130</v>
      </c>
      <c r="BY46" s="102" t="s">
        <v>130</v>
      </c>
      <c r="BZ46" s="102" t="s">
        <v>130</v>
      </c>
      <c r="CA46" s="102" t="s">
        <v>130</v>
      </c>
      <c r="CB46" s="102" t="s">
        <v>130</v>
      </c>
      <c r="CC46" s="102" t="s">
        <v>130</v>
      </c>
      <c r="CD46" s="102" t="s">
        <v>130</v>
      </c>
      <c r="CE46" s="102" t="str">
        <f t="shared" si="16"/>
        <v>-</v>
      </c>
      <c r="CF46" s="118" t="s">
        <v>130</v>
      </c>
      <c r="CG46" s="118" t="s">
        <v>130</v>
      </c>
      <c r="CH46" s="119" t="s">
        <v>130</v>
      </c>
      <c r="CI46" s="120" t="s">
        <v>130</v>
      </c>
      <c r="CJ46" s="121">
        <v>5</v>
      </c>
      <c r="CK46" s="121">
        <v>5</v>
      </c>
      <c r="CL46" s="121" t="s">
        <v>130</v>
      </c>
      <c r="CM46" s="122" t="s">
        <v>130</v>
      </c>
      <c r="CN46" s="88" t="s">
        <v>130</v>
      </c>
      <c r="CO46" s="99">
        <f t="shared" si="0"/>
        <v>1333.3333333333335</v>
      </c>
      <c r="CP46" s="128" t="s">
        <v>301</v>
      </c>
      <c r="CQ46" s="128"/>
      <c r="CR46" s="100"/>
      <c r="CS46" s="100"/>
    </row>
    <row r="47" spans="1:97" x14ac:dyDescent="0.25">
      <c r="A47" s="27">
        <v>123</v>
      </c>
      <c r="B47" s="27">
        <v>144</v>
      </c>
      <c r="C47" s="29" t="s">
        <v>296</v>
      </c>
      <c r="D47" s="40" t="s">
        <v>49</v>
      </c>
      <c r="E47" s="40" t="s">
        <v>130</v>
      </c>
      <c r="F47" s="40" t="s">
        <v>130</v>
      </c>
      <c r="G47" s="151" t="s">
        <v>520</v>
      </c>
      <c r="H47" s="41" t="s">
        <v>130</v>
      </c>
      <c r="I47" s="29" t="s">
        <v>130</v>
      </c>
      <c r="J47" s="29" t="s">
        <v>130</v>
      </c>
      <c r="K47" s="29" t="s">
        <v>130</v>
      </c>
      <c r="L47" s="85" t="s">
        <v>130</v>
      </c>
      <c r="M47" s="86" t="s">
        <v>130</v>
      </c>
      <c r="N47" s="85" t="s">
        <v>130</v>
      </c>
      <c r="O47" s="86" t="s">
        <v>130</v>
      </c>
      <c r="P47" s="85" t="s">
        <v>130</v>
      </c>
      <c r="Q47" s="29" t="s">
        <v>130</v>
      </c>
      <c r="R47" s="85" t="s">
        <v>130</v>
      </c>
      <c r="S47" s="85" t="s">
        <v>130</v>
      </c>
      <c r="T47" s="85" t="s">
        <v>130</v>
      </c>
      <c r="U47" s="85" t="s">
        <v>130</v>
      </c>
      <c r="V47" s="85" t="s">
        <v>130</v>
      </c>
      <c r="W47" s="85" t="s">
        <v>130</v>
      </c>
      <c r="X47" s="85" t="s">
        <v>130</v>
      </c>
      <c r="Y47" s="85" t="s">
        <v>130</v>
      </c>
      <c r="Z47" s="85" t="s">
        <v>130</v>
      </c>
      <c r="AA47" s="85" t="s">
        <v>130</v>
      </c>
      <c r="AB47" s="85" t="s">
        <v>130</v>
      </c>
      <c r="AC47" s="85" t="s">
        <v>130</v>
      </c>
      <c r="AD47" s="85" t="s">
        <v>130</v>
      </c>
      <c r="AE47" s="29" t="s">
        <v>45</v>
      </c>
      <c r="AF47" s="29" t="s">
        <v>59</v>
      </c>
      <c r="AG47" s="40" t="s">
        <v>165</v>
      </c>
      <c r="AH47" s="29" t="s">
        <v>130</v>
      </c>
      <c r="AI47" s="87" t="str">
        <f>IFERROR(VLOOKUP(AG47,[2]Frota!$D$2:$AV$187,2,FALSE),"-")</f>
        <v>-</v>
      </c>
      <c r="AJ47" s="87" t="str">
        <f>IFERROR(VLOOKUP(AG47,[2]Frota!$D$2:$AV$187,3,FALSE),"-")</f>
        <v>-</v>
      </c>
      <c r="AK47" s="29" t="s">
        <v>586</v>
      </c>
      <c r="AL47" s="29" t="s">
        <v>587</v>
      </c>
      <c r="AM47" s="34">
        <v>2021</v>
      </c>
      <c r="AN47" s="34">
        <v>2022</v>
      </c>
      <c r="AO47" s="40" t="s">
        <v>168</v>
      </c>
      <c r="AP47" s="29" t="s">
        <v>130</v>
      </c>
      <c r="AQ47" s="88" t="s">
        <v>305</v>
      </c>
      <c r="AR47" s="89">
        <f>VLOOKUP(AQ47,'[1]Critério de Depreciação'!$C$3:$G$8,5,FALSE)</f>
        <v>0.83333333333333337</v>
      </c>
      <c r="AS47" s="29" t="s">
        <v>130</v>
      </c>
      <c r="AT47" s="29" t="s">
        <v>130</v>
      </c>
      <c r="AU47" s="29" t="str">
        <f>IFERROR(VLOOKUP(AG93,[2]Frota!$D$2:$AV$187,12,FALSE),"-")</f>
        <v>-</v>
      </c>
      <c r="AV47" s="45" t="s">
        <v>130</v>
      </c>
      <c r="AW47" s="90">
        <v>600000</v>
      </c>
      <c r="AX47" s="86">
        <v>44433</v>
      </c>
      <c r="AY47" s="91" t="s">
        <v>130</v>
      </c>
      <c r="AZ47" s="85">
        <v>800000</v>
      </c>
      <c r="BA47" s="123" t="s">
        <v>130</v>
      </c>
      <c r="BB47" s="124" t="s">
        <v>130</v>
      </c>
      <c r="BC47" s="85" t="s">
        <v>130</v>
      </c>
      <c r="BD47" s="85" t="s">
        <v>130</v>
      </c>
      <c r="BE47" s="92">
        <f t="shared" ref="BE47:BE110" si="22">SUM(AZ47:BA47,BC47:BD47)</f>
        <v>800000</v>
      </c>
      <c r="BF47" s="92">
        <v>900000</v>
      </c>
      <c r="BG47" s="92">
        <v>0</v>
      </c>
      <c r="BH47" s="92">
        <v>0</v>
      </c>
      <c r="BI47" s="92">
        <v>0</v>
      </c>
      <c r="BJ47" s="92">
        <v>0</v>
      </c>
      <c r="BK47" s="92">
        <v>0</v>
      </c>
      <c r="BL47" s="92">
        <v>0</v>
      </c>
      <c r="BM47" s="93">
        <f t="shared" si="21"/>
        <v>900000</v>
      </c>
      <c r="BN47" s="92">
        <v>0</v>
      </c>
      <c r="BO47" s="92">
        <f>((BF47+BH47+BI47+BJ47+BK47+BL47)*20%)/12</f>
        <v>15000</v>
      </c>
      <c r="BP47" s="92">
        <f t="shared" si="20"/>
        <v>15000</v>
      </c>
      <c r="BQ47" s="92">
        <v>0</v>
      </c>
      <c r="BR47" s="92">
        <v>0</v>
      </c>
      <c r="BS47" s="85">
        <f t="shared" ref="BS47:BS110" si="23">IFERROR((AW47*20%)/12,"-")</f>
        <v>10000</v>
      </c>
      <c r="BT47" s="125" t="s">
        <v>130</v>
      </c>
      <c r="BU47" s="125" t="s">
        <v>130</v>
      </c>
      <c r="BV47" s="125" t="s">
        <v>130</v>
      </c>
      <c r="BW47" s="126" t="s">
        <v>130</v>
      </c>
      <c r="BX47" s="127" t="s">
        <v>130</v>
      </c>
      <c r="BY47" s="29" t="s">
        <v>316</v>
      </c>
      <c r="BZ47" s="29" t="s">
        <v>316</v>
      </c>
      <c r="CA47" s="29" t="s">
        <v>130</v>
      </c>
      <c r="CB47" s="29" t="s">
        <v>130</v>
      </c>
      <c r="CC47" s="29" t="s">
        <v>130</v>
      </c>
      <c r="CD47" s="29" t="s">
        <v>130</v>
      </c>
      <c r="CE47" s="29" t="str">
        <f t="shared" si="16"/>
        <v>PR - MARINGÁ</v>
      </c>
      <c r="CF47" s="97" t="s">
        <v>130</v>
      </c>
      <c r="CG47" s="97" t="s">
        <v>130</v>
      </c>
      <c r="CH47" s="37">
        <f t="shared" ref="CH47:CH110" si="24">BM47</f>
        <v>900000</v>
      </c>
      <c r="CI47" s="98" t="s">
        <v>130</v>
      </c>
      <c r="CJ47" s="39">
        <v>5</v>
      </c>
      <c r="CK47" s="39">
        <v>5</v>
      </c>
      <c r="CL47" s="39">
        <f t="shared" ref="CL47:CL110" si="25">12*CK47</f>
        <v>60</v>
      </c>
      <c r="CM47" s="99">
        <f t="shared" ref="CM47:CM110" si="26">IFERROR((CH47/CL47)*2,"-")</f>
        <v>30000</v>
      </c>
      <c r="CN47" s="40" t="str">
        <f>IFERROR(IF(VLOOKUP(AG47,'[1]ATIVOS SAGI'!C:D,1,FALSE)&lt;&gt;"","CADASTRADO","NÃO CADASTRADO"),"NÃO CADASTRADO")</f>
        <v>NÃO CADASTRADO</v>
      </c>
      <c r="CO47" s="99">
        <f>BM47*AR47/100</f>
        <v>7500</v>
      </c>
      <c r="CP47" s="197" t="s">
        <v>301</v>
      </c>
      <c r="CQ47" s="100"/>
      <c r="CR47" s="100" t="s">
        <v>319</v>
      </c>
      <c r="CS47" s="100"/>
    </row>
    <row r="48" spans="1:97" x14ac:dyDescent="0.25">
      <c r="A48" s="27">
        <v>141</v>
      </c>
      <c r="B48" s="27">
        <v>163</v>
      </c>
      <c r="C48" s="29" t="s">
        <v>296</v>
      </c>
      <c r="D48" s="40" t="s">
        <v>49</v>
      </c>
      <c r="E48" s="40" t="s">
        <v>130</v>
      </c>
      <c r="F48" s="40" t="s">
        <v>130</v>
      </c>
      <c r="G48" s="40"/>
      <c r="H48" s="41" t="s">
        <v>130</v>
      </c>
      <c r="I48" s="29" t="s">
        <v>130</v>
      </c>
      <c r="J48" s="29" t="s">
        <v>130</v>
      </c>
      <c r="K48" s="29" t="s">
        <v>130</v>
      </c>
      <c r="L48" s="85" t="s">
        <v>130</v>
      </c>
      <c r="M48" s="86" t="s">
        <v>130</v>
      </c>
      <c r="N48" s="85" t="s">
        <v>130</v>
      </c>
      <c r="O48" s="86" t="s">
        <v>130</v>
      </c>
      <c r="P48" s="85" t="s">
        <v>130</v>
      </c>
      <c r="Q48" s="29" t="s">
        <v>130</v>
      </c>
      <c r="R48" s="85" t="s">
        <v>130</v>
      </c>
      <c r="S48" s="85" t="s">
        <v>130</v>
      </c>
      <c r="T48" s="85" t="s">
        <v>130</v>
      </c>
      <c r="U48" s="85" t="s">
        <v>130</v>
      </c>
      <c r="V48" s="85" t="s">
        <v>130</v>
      </c>
      <c r="W48" s="85" t="s">
        <v>130</v>
      </c>
      <c r="X48" s="85" t="s">
        <v>130</v>
      </c>
      <c r="Y48" s="85" t="s">
        <v>130</v>
      </c>
      <c r="Z48" s="85" t="s">
        <v>130</v>
      </c>
      <c r="AA48" s="85" t="s">
        <v>130</v>
      </c>
      <c r="AB48" s="85" t="s">
        <v>130</v>
      </c>
      <c r="AC48" s="85" t="s">
        <v>130</v>
      </c>
      <c r="AD48" s="85" t="s">
        <v>130</v>
      </c>
      <c r="AE48" s="29" t="s">
        <v>45</v>
      </c>
      <c r="AF48" s="29" t="s">
        <v>130</v>
      </c>
      <c r="AG48" s="40" t="s">
        <v>588</v>
      </c>
      <c r="AH48" s="29" t="s">
        <v>130</v>
      </c>
      <c r="AI48" s="87" t="str">
        <f>IFERROR(VLOOKUP(AG48,[2]Frota!$D$2:$AV$187,2,FALSE),"-")</f>
        <v>-</v>
      </c>
      <c r="AJ48" s="87" t="str">
        <f>IFERROR(VLOOKUP(AG48,[2]Frota!$D$2:$AV$187,3,FALSE),"-")</f>
        <v>-</v>
      </c>
      <c r="AK48" s="29" t="s">
        <v>320</v>
      </c>
      <c r="AL48" s="29" t="s">
        <v>589</v>
      </c>
      <c r="AM48" s="34" t="s">
        <v>130</v>
      </c>
      <c r="AN48" s="34" t="s">
        <v>130</v>
      </c>
      <c r="AO48" s="40" t="s">
        <v>590</v>
      </c>
      <c r="AP48" s="29" t="s">
        <v>591</v>
      </c>
      <c r="AQ48" s="88" t="s">
        <v>303</v>
      </c>
      <c r="AR48" s="89">
        <f>VLOOKUP(AQ48,'[1]Critério de Depreciação'!$C$3:$G$8,5,FALSE)</f>
        <v>0.83333333333333337</v>
      </c>
      <c r="AS48" s="29" t="s">
        <v>130</v>
      </c>
      <c r="AT48" s="29" t="s">
        <v>130</v>
      </c>
      <c r="AU48" s="29" t="str">
        <f>IFERROR(VLOOKUP(#REF!,[2]Frota!$D$2:$AV$187,12,FALSE),"-")</f>
        <v>-</v>
      </c>
      <c r="AV48" s="29" t="s">
        <v>130</v>
      </c>
      <c r="AW48" s="90">
        <v>0</v>
      </c>
      <c r="AX48" s="86" t="s">
        <v>130</v>
      </c>
      <c r="AY48" s="91" t="s">
        <v>130</v>
      </c>
      <c r="AZ48" s="85">
        <f>22*30000</f>
        <v>660000</v>
      </c>
      <c r="BA48" s="123" t="s">
        <v>130</v>
      </c>
      <c r="BB48" s="86" t="s">
        <v>130</v>
      </c>
      <c r="BC48" s="85" t="s">
        <v>130</v>
      </c>
      <c r="BD48" s="85" t="s">
        <v>130</v>
      </c>
      <c r="BE48" s="92">
        <f t="shared" si="22"/>
        <v>660000</v>
      </c>
      <c r="BF48" s="92">
        <v>0</v>
      </c>
      <c r="BG48" s="92">
        <v>0</v>
      </c>
      <c r="BH48" s="92">
        <v>0</v>
      </c>
      <c r="BI48" s="92">
        <v>0</v>
      </c>
      <c r="BJ48" s="92">
        <v>0</v>
      </c>
      <c r="BK48" s="92">
        <v>0</v>
      </c>
      <c r="BL48" s="92">
        <v>0</v>
      </c>
      <c r="BM48" s="93">
        <f t="shared" si="21"/>
        <v>0</v>
      </c>
      <c r="BN48" s="92">
        <v>0</v>
      </c>
      <c r="BO48" s="92">
        <v>0</v>
      </c>
      <c r="BP48" s="92">
        <f t="shared" si="20"/>
        <v>0</v>
      </c>
      <c r="BQ48" s="92">
        <v>0</v>
      </c>
      <c r="BR48" s="92">
        <v>0</v>
      </c>
      <c r="BS48" s="85">
        <f t="shared" si="23"/>
        <v>0</v>
      </c>
      <c r="BT48" s="94" t="s">
        <v>130</v>
      </c>
      <c r="BU48" s="94" t="s">
        <v>130</v>
      </c>
      <c r="BV48" s="94" t="s">
        <v>130</v>
      </c>
      <c r="BW48" s="95" t="s">
        <v>130</v>
      </c>
      <c r="BX48" s="96" t="s">
        <v>130</v>
      </c>
      <c r="BY48" s="29" t="s">
        <v>130</v>
      </c>
      <c r="BZ48" s="29" t="s">
        <v>130</v>
      </c>
      <c r="CA48" s="29" t="s">
        <v>130</v>
      </c>
      <c r="CB48" s="29" t="s">
        <v>130</v>
      </c>
      <c r="CC48" s="29" t="s">
        <v>130</v>
      </c>
      <c r="CD48" s="29" t="s">
        <v>130</v>
      </c>
      <c r="CE48" s="29" t="str">
        <f t="shared" si="16"/>
        <v>-</v>
      </c>
      <c r="CF48" s="97" t="s">
        <v>130</v>
      </c>
      <c r="CG48" s="97" t="s">
        <v>130</v>
      </c>
      <c r="CH48" s="37">
        <f t="shared" si="24"/>
        <v>0</v>
      </c>
      <c r="CI48" s="98" t="s">
        <v>130</v>
      </c>
      <c r="CJ48" s="39">
        <v>5</v>
      </c>
      <c r="CK48" s="39">
        <v>5</v>
      </c>
      <c r="CL48" s="39">
        <f t="shared" si="25"/>
        <v>60</v>
      </c>
      <c r="CM48" s="99">
        <f t="shared" si="26"/>
        <v>0</v>
      </c>
      <c r="CN48" s="40" t="s">
        <v>130</v>
      </c>
      <c r="CO48" s="99">
        <f t="shared" si="0"/>
        <v>0</v>
      </c>
      <c r="CP48" s="128" t="s">
        <v>301</v>
      </c>
      <c r="CQ48" s="128"/>
      <c r="CR48" s="100"/>
      <c r="CS48" s="100"/>
    </row>
    <row r="49" spans="1:97" x14ac:dyDescent="0.25">
      <c r="A49" s="27">
        <v>143</v>
      </c>
      <c r="B49" s="27">
        <v>165</v>
      </c>
      <c r="C49" s="29" t="s">
        <v>296</v>
      </c>
      <c r="D49" s="40" t="s">
        <v>49</v>
      </c>
      <c r="E49" s="40" t="s">
        <v>130</v>
      </c>
      <c r="F49" s="40" t="s">
        <v>130</v>
      </c>
      <c r="G49" s="40"/>
      <c r="H49" s="41" t="s">
        <v>130</v>
      </c>
      <c r="I49" s="29" t="s">
        <v>130</v>
      </c>
      <c r="J49" s="29" t="s">
        <v>130</v>
      </c>
      <c r="K49" s="29" t="s">
        <v>130</v>
      </c>
      <c r="L49" s="85" t="s">
        <v>130</v>
      </c>
      <c r="M49" s="86" t="s">
        <v>130</v>
      </c>
      <c r="N49" s="85" t="s">
        <v>130</v>
      </c>
      <c r="O49" s="86" t="s">
        <v>130</v>
      </c>
      <c r="P49" s="85" t="s">
        <v>130</v>
      </c>
      <c r="Q49" s="29" t="s">
        <v>130</v>
      </c>
      <c r="R49" s="85" t="s">
        <v>130</v>
      </c>
      <c r="S49" s="85" t="s">
        <v>130</v>
      </c>
      <c r="T49" s="85" t="s">
        <v>130</v>
      </c>
      <c r="U49" s="85" t="s">
        <v>130</v>
      </c>
      <c r="V49" s="85" t="s">
        <v>130</v>
      </c>
      <c r="W49" s="85" t="s">
        <v>130</v>
      </c>
      <c r="X49" s="85" t="s">
        <v>130</v>
      </c>
      <c r="Y49" s="85" t="s">
        <v>130</v>
      </c>
      <c r="Z49" s="85" t="s">
        <v>130</v>
      </c>
      <c r="AA49" s="85" t="s">
        <v>130</v>
      </c>
      <c r="AB49" s="85" t="s">
        <v>130</v>
      </c>
      <c r="AC49" s="85" t="s">
        <v>130</v>
      </c>
      <c r="AD49" s="85" t="s">
        <v>130</v>
      </c>
      <c r="AE49" s="29" t="s">
        <v>45</v>
      </c>
      <c r="AF49" s="29" t="s">
        <v>130</v>
      </c>
      <c r="AG49" s="40" t="s">
        <v>592</v>
      </c>
      <c r="AH49" s="29" t="s">
        <v>130</v>
      </c>
      <c r="AI49" s="87" t="str">
        <f>IFERROR(VLOOKUP(AG49,[2]Frota!$D$2:$AV$187,2,FALSE),"-")</f>
        <v>-</v>
      </c>
      <c r="AJ49" s="87" t="str">
        <f>IFERROR(VLOOKUP(AG49,[2]Frota!$D$2:$AV$187,3,FALSE),"-")</f>
        <v>-</v>
      </c>
      <c r="AK49" s="29" t="s">
        <v>320</v>
      </c>
      <c r="AL49" s="29" t="s">
        <v>589</v>
      </c>
      <c r="AM49" s="34" t="s">
        <v>130</v>
      </c>
      <c r="AN49" s="34" t="s">
        <v>130</v>
      </c>
      <c r="AO49" s="40" t="s">
        <v>593</v>
      </c>
      <c r="AP49" s="29" t="s">
        <v>594</v>
      </c>
      <c r="AQ49" s="88" t="s">
        <v>303</v>
      </c>
      <c r="AR49" s="89">
        <f>VLOOKUP(AQ49,'[1]Critério de Depreciação'!$C$3:$G$8,5,FALSE)</f>
        <v>0.83333333333333337</v>
      </c>
      <c r="AS49" s="29" t="s">
        <v>130</v>
      </c>
      <c r="AT49" s="29" t="s">
        <v>130</v>
      </c>
      <c r="AU49" s="29" t="str">
        <f>IFERROR(VLOOKUP(#REF!,[2]Frota!$D$2:$AV$187,12,FALSE),"-")</f>
        <v>-</v>
      </c>
      <c r="AV49" s="29" t="s">
        <v>130</v>
      </c>
      <c r="AW49" s="90">
        <v>0</v>
      </c>
      <c r="AX49" s="86" t="s">
        <v>130</v>
      </c>
      <c r="AY49" s="91" t="s">
        <v>130</v>
      </c>
      <c r="AZ49" s="85">
        <f>32*35000</f>
        <v>1120000</v>
      </c>
      <c r="BA49" s="123" t="s">
        <v>130</v>
      </c>
      <c r="BB49" s="86" t="s">
        <v>130</v>
      </c>
      <c r="BC49" s="85" t="s">
        <v>130</v>
      </c>
      <c r="BD49" s="85" t="s">
        <v>130</v>
      </c>
      <c r="BE49" s="92">
        <f t="shared" si="22"/>
        <v>1120000</v>
      </c>
      <c r="BF49" s="92">
        <v>0</v>
      </c>
      <c r="BG49" s="92">
        <v>0</v>
      </c>
      <c r="BH49" s="92">
        <v>0</v>
      </c>
      <c r="BI49" s="92">
        <v>0</v>
      </c>
      <c r="BJ49" s="92">
        <v>0</v>
      </c>
      <c r="BK49" s="92">
        <v>0</v>
      </c>
      <c r="BL49" s="92">
        <v>0</v>
      </c>
      <c r="BM49" s="93">
        <f t="shared" si="21"/>
        <v>0</v>
      </c>
      <c r="BN49" s="92">
        <v>0</v>
      </c>
      <c r="BO49" s="92">
        <v>0</v>
      </c>
      <c r="BP49" s="92">
        <f t="shared" si="20"/>
        <v>0</v>
      </c>
      <c r="BQ49" s="92">
        <v>0</v>
      </c>
      <c r="BR49" s="92">
        <v>0</v>
      </c>
      <c r="BS49" s="85">
        <f t="shared" si="23"/>
        <v>0</v>
      </c>
      <c r="BT49" s="94" t="s">
        <v>130</v>
      </c>
      <c r="BU49" s="94" t="s">
        <v>130</v>
      </c>
      <c r="BV49" s="94" t="s">
        <v>130</v>
      </c>
      <c r="BW49" s="95" t="s">
        <v>130</v>
      </c>
      <c r="BX49" s="96" t="s">
        <v>130</v>
      </c>
      <c r="BY49" s="29" t="s">
        <v>130</v>
      </c>
      <c r="BZ49" s="29" t="s">
        <v>130</v>
      </c>
      <c r="CA49" s="29" t="s">
        <v>130</v>
      </c>
      <c r="CB49" s="29" t="s">
        <v>130</v>
      </c>
      <c r="CC49" s="29" t="s">
        <v>130</v>
      </c>
      <c r="CD49" s="29" t="s">
        <v>130</v>
      </c>
      <c r="CE49" s="29" t="str">
        <f t="shared" si="16"/>
        <v>-</v>
      </c>
      <c r="CF49" s="97" t="s">
        <v>130</v>
      </c>
      <c r="CG49" s="97" t="s">
        <v>130</v>
      </c>
      <c r="CH49" s="37">
        <f t="shared" si="24"/>
        <v>0</v>
      </c>
      <c r="CI49" s="98" t="s">
        <v>130</v>
      </c>
      <c r="CJ49" s="39">
        <v>5</v>
      </c>
      <c r="CK49" s="39">
        <v>5</v>
      </c>
      <c r="CL49" s="39">
        <f t="shared" si="25"/>
        <v>60</v>
      </c>
      <c r="CM49" s="99">
        <f t="shared" si="26"/>
        <v>0</v>
      </c>
      <c r="CN49" s="40" t="s">
        <v>130</v>
      </c>
      <c r="CO49" s="99">
        <f t="shared" si="0"/>
        <v>0</v>
      </c>
      <c r="CP49" s="128" t="s">
        <v>301</v>
      </c>
      <c r="CQ49" s="128"/>
      <c r="CR49" s="100"/>
      <c r="CS49" s="100"/>
    </row>
    <row r="50" spans="1:97" x14ac:dyDescent="0.25">
      <c r="A50" s="27">
        <v>140</v>
      </c>
      <c r="B50" s="27">
        <v>162</v>
      </c>
      <c r="C50" s="29" t="s">
        <v>296</v>
      </c>
      <c r="D50" s="40" t="s">
        <v>49</v>
      </c>
      <c r="E50" s="40" t="s">
        <v>130</v>
      </c>
      <c r="F50" s="40" t="s">
        <v>130</v>
      </c>
      <c r="G50" s="40"/>
      <c r="H50" s="41" t="s">
        <v>130</v>
      </c>
      <c r="I50" s="29" t="s">
        <v>130</v>
      </c>
      <c r="J50" s="29" t="s">
        <v>130</v>
      </c>
      <c r="K50" s="29" t="s">
        <v>130</v>
      </c>
      <c r="L50" s="85" t="s">
        <v>130</v>
      </c>
      <c r="M50" s="86" t="s">
        <v>130</v>
      </c>
      <c r="N50" s="85" t="s">
        <v>130</v>
      </c>
      <c r="O50" s="86" t="s">
        <v>130</v>
      </c>
      <c r="P50" s="85" t="s">
        <v>130</v>
      </c>
      <c r="Q50" s="29" t="s">
        <v>130</v>
      </c>
      <c r="R50" s="85" t="s">
        <v>130</v>
      </c>
      <c r="S50" s="85" t="s">
        <v>130</v>
      </c>
      <c r="T50" s="85" t="s">
        <v>130</v>
      </c>
      <c r="U50" s="85" t="s">
        <v>130</v>
      </c>
      <c r="V50" s="85" t="s">
        <v>130</v>
      </c>
      <c r="W50" s="85" t="s">
        <v>130</v>
      </c>
      <c r="X50" s="85" t="s">
        <v>130</v>
      </c>
      <c r="Y50" s="85" t="s">
        <v>130</v>
      </c>
      <c r="Z50" s="85" t="s">
        <v>130</v>
      </c>
      <c r="AA50" s="85" t="s">
        <v>130</v>
      </c>
      <c r="AB50" s="85" t="s">
        <v>130</v>
      </c>
      <c r="AC50" s="85" t="s">
        <v>130</v>
      </c>
      <c r="AD50" s="85" t="s">
        <v>130</v>
      </c>
      <c r="AE50" s="29" t="s">
        <v>45</v>
      </c>
      <c r="AF50" s="29" t="s">
        <v>130</v>
      </c>
      <c r="AG50" s="40" t="s">
        <v>595</v>
      </c>
      <c r="AH50" s="29" t="s">
        <v>130</v>
      </c>
      <c r="AI50" s="87" t="str">
        <f>IFERROR(VLOOKUP(AG50,[2]Frota!$D$2:$AV$187,2,FALSE),"-")</f>
        <v>-</v>
      </c>
      <c r="AJ50" s="87" t="str">
        <f>IFERROR(VLOOKUP(AG50,[2]Frota!$D$2:$AV$187,3,FALSE),"-")</f>
        <v>-</v>
      </c>
      <c r="AK50" s="29" t="s">
        <v>320</v>
      </c>
      <c r="AL50" s="29" t="s">
        <v>589</v>
      </c>
      <c r="AM50" s="34" t="s">
        <v>130</v>
      </c>
      <c r="AN50" s="34" t="s">
        <v>130</v>
      </c>
      <c r="AO50" s="40" t="s">
        <v>596</v>
      </c>
      <c r="AP50" s="29" t="s">
        <v>597</v>
      </c>
      <c r="AQ50" s="88" t="s">
        <v>303</v>
      </c>
      <c r="AR50" s="89">
        <f>VLOOKUP(AQ50,'[1]Critério de Depreciação'!$C$3:$G$8,5,FALSE)</f>
        <v>0.83333333333333337</v>
      </c>
      <c r="AS50" s="29" t="s">
        <v>130</v>
      </c>
      <c r="AT50" s="29" t="s">
        <v>130</v>
      </c>
      <c r="AU50" s="29" t="str">
        <f>IFERROR(VLOOKUP(#REF!,[2]Frota!$D$2:$AV$187,12,FALSE),"-")</f>
        <v>-</v>
      </c>
      <c r="AV50" s="29" t="s">
        <v>130</v>
      </c>
      <c r="AW50" s="90">
        <v>0</v>
      </c>
      <c r="AX50" s="86" t="s">
        <v>130</v>
      </c>
      <c r="AY50" s="91" t="s">
        <v>130</v>
      </c>
      <c r="AZ50" s="85">
        <f>410*25000</f>
        <v>10250000</v>
      </c>
      <c r="BA50" s="123" t="s">
        <v>130</v>
      </c>
      <c r="BB50" s="86" t="s">
        <v>130</v>
      </c>
      <c r="BC50" s="85" t="s">
        <v>130</v>
      </c>
      <c r="BD50" s="85" t="s">
        <v>130</v>
      </c>
      <c r="BE50" s="92">
        <f t="shared" si="22"/>
        <v>10250000</v>
      </c>
      <c r="BF50" s="92">
        <v>0</v>
      </c>
      <c r="BG50" s="92">
        <v>0</v>
      </c>
      <c r="BH50" s="92">
        <v>0</v>
      </c>
      <c r="BI50" s="92">
        <v>0</v>
      </c>
      <c r="BJ50" s="92">
        <v>0</v>
      </c>
      <c r="BK50" s="92">
        <v>0</v>
      </c>
      <c r="BL50" s="92">
        <v>0</v>
      </c>
      <c r="BM50" s="93">
        <f t="shared" si="21"/>
        <v>0</v>
      </c>
      <c r="BN50" s="92">
        <v>0</v>
      </c>
      <c r="BO50" s="92">
        <v>0</v>
      </c>
      <c r="BP50" s="92">
        <f t="shared" si="20"/>
        <v>0</v>
      </c>
      <c r="BQ50" s="92">
        <v>0</v>
      </c>
      <c r="BR50" s="92">
        <v>0</v>
      </c>
      <c r="BS50" s="85">
        <f t="shared" si="23"/>
        <v>0</v>
      </c>
      <c r="BT50" s="94" t="s">
        <v>130</v>
      </c>
      <c r="BU50" s="94" t="s">
        <v>130</v>
      </c>
      <c r="BV50" s="94" t="s">
        <v>130</v>
      </c>
      <c r="BW50" s="95" t="s">
        <v>130</v>
      </c>
      <c r="BX50" s="96" t="s">
        <v>130</v>
      </c>
      <c r="BY50" s="29" t="s">
        <v>130</v>
      </c>
      <c r="BZ50" s="29" t="s">
        <v>130</v>
      </c>
      <c r="CA50" s="29" t="s">
        <v>130</v>
      </c>
      <c r="CB50" s="29" t="s">
        <v>130</v>
      </c>
      <c r="CC50" s="29" t="s">
        <v>130</v>
      </c>
      <c r="CD50" s="29" t="s">
        <v>130</v>
      </c>
      <c r="CE50" s="29" t="str">
        <f t="shared" si="16"/>
        <v>-</v>
      </c>
      <c r="CF50" s="97" t="s">
        <v>130</v>
      </c>
      <c r="CG50" s="97" t="s">
        <v>130</v>
      </c>
      <c r="CH50" s="37">
        <f t="shared" si="24"/>
        <v>0</v>
      </c>
      <c r="CI50" s="98" t="s">
        <v>130</v>
      </c>
      <c r="CJ50" s="39">
        <v>5</v>
      </c>
      <c r="CK50" s="39">
        <v>5</v>
      </c>
      <c r="CL50" s="39">
        <f t="shared" si="25"/>
        <v>60</v>
      </c>
      <c r="CM50" s="99">
        <f t="shared" si="26"/>
        <v>0</v>
      </c>
      <c r="CN50" s="40" t="s">
        <v>130</v>
      </c>
      <c r="CO50" s="99">
        <f t="shared" si="0"/>
        <v>0</v>
      </c>
      <c r="CP50" s="128" t="s">
        <v>301</v>
      </c>
      <c r="CQ50" s="128"/>
      <c r="CR50" s="100"/>
      <c r="CS50" s="100" t="s">
        <v>321</v>
      </c>
    </row>
    <row r="51" spans="1:97" x14ac:dyDescent="0.25">
      <c r="A51" s="27">
        <v>139</v>
      </c>
      <c r="B51" s="27">
        <v>161</v>
      </c>
      <c r="C51" s="29" t="s">
        <v>296</v>
      </c>
      <c r="D51" s="40" t="s">
        <v>49</v>
      </c>
      <c r="E51" s="40" t="s">
        <v>130</v>
      </c>
      <c r="F51" s="40" t="s">
        <v>130</v>
      </c>
      <c r="G51" s="40"/>
      <c r="H51" s="41" t="s">
        <v>130</v>
      </c>
      <c r="I51" s="29" t="s">
        <v>130</v>
      </c>
      <c r="J51" s="29" t="s">
        <v>130</v>
      </c>
      <c r="K51" s="29" t="s">
        <v>130</v>
      </c>
      <c r="L51" s="85" t="s">
        <v>130</v>
      </c>
      <c r="M51" s="86" t="s">
        <v>130</v>
      </c>
      <c r="N51" s="85" t="s">
        <v>130</v>
      </c>
      <c r="O51" s="86" t="s">
        <v>130</v>
      </c>
      <c r="P51" s="85" t="s">
        <v>130</v>
      </c>
      <c r="Q51" s="29" t="s">
        <v>130</v>
      </c>
      <c r="R51" s="85" t="s">
        <v>130</v>
      </c>
      <c r="S51" s="85" t="s">
        <v>130</v>
      </c>
      <c r="T51" s="85" t="s">
        <v>130</v>
      </c>
      <c r="U51" s="85" t="s">
        <v>130</v>
      </c>
      <c r="V51" s="85" t="s">
        <v>130</v>
      </c>
      <c r="W51" s="85" t="s">
        <v>130</v>
      </c>
      <c r="X51" s="85" t="s">
        <v>130</v>
      </c>
      <c r="Y51" s="85" t="s">
        <v>130</v>
      </c>
      <c r="Z51" s="85" t="s">
        <v>130</v>
      </c>
      <c r="AA51" s="85" t="s">
        <v>130</v>
      </c>
      <c r="AB51" s="85" t="s">
        <v>130</v>
      </c>
      <c r="AC51" s="85" t="s">
        <v>130</v>
      </c>
      <c r="AD51" s="85" t="s">
        <v>130</v>
      </c>
      <c r="AE51" s="29" t="s">
        <v>45</v>
      </c>
      <c r="AF51" s="29" t="s">
        <v>130</v>
      </c>
      <c r="AG51" s="40" t="s">
        <v>598</v>
      </c>
      <c r="AH51" s="29" t="s">
        <v>130</v>
      </c>
      <c r="AI51" s="87" t="str">
        <f>IFERROR(VLOOKUP(AG51,[2]Frota!$D$2:$AV$187,2,FALSE),"-")</f>
        <v>-</v>
      </c>
      <c r="AJ51" s="87" t="str">
        <f>IFERROR(VLOOKUP(AG51,[2]Frota!$D$2:$AV$187,3,FALSE),"-")</f>
        <v>-</v>
      </c>
      <c r="AK51" s="29" t="s">
        <v>320</v>
      </c>
      <c r="AL51" s="29" t="s">
        <v>589</v>
      </c>
      <c r="AM51" s="34" t="s">
        <v>130</v>
      </c>
      <c r="AN51" s="34" t="s">
        <v>130</v>
      </c>
      <c r="AO51" s="40" t="s">
        <v>599</v>
      </c>
      <c r="AP51" s="29" t="s">
        <v>600</v>
      </c>
      <c r="AQ51" s="88" t="s">
        <v>303</v>
      </c>
      <c r="AR51" s="89">
        <f>VLOOKUP(AQ51,'[1]Critério de Depreciação'!$C$3:$G$8,5,FALSE)</f>
        <v>0.83333333333333337</v>
      </c>
      <c r="AS51" s="29" t="s">
        <v>130</v>
      </c>
      <c r="AT51" s="29" t="s">
        <v>130</v>
      </c>
      <c r="AU51" s="29" t="str">
        <f>IFERROR(VLOOKUP(#REF!,[2]Frota!$D$2:$AV$187,12,FALSE),"-")</f>
        <v>-</v>
      </c>
      <c r="AV51" s="29" t="s">
        <v>130</v>
      </c>
      <c r="AW51" s="90">
        <v>0</v>
      </c>
      <c r="AX51" s="86" t="s">
        <v>130</v>
      </c>
      <c r="AY51" s="91" t="s">
        <v>130</v>
      </c>
      <c r="AZ51" s="85">
        <f>6*2000</f>
        <v>12000</v>
      </c>
      <c r="BA51" s="123" t="s">
        <v>130</v>
      </c>
      <c r="BB51" s="86" t="s">
        <v>130</v>
      </c>
      <c r="BC51" s="85" t="s">
        <v>130</v>
      </c>
      <c r="BD51" s="85" t="s">
        <v>130</v>
      </c>
      <c r="BE51" s="92">
        <f t="shared" si="22"/>
        <v>12000</v>
      </c>
      <c r="BF51" s="92">
        <v>0</v>
      </c>
      <c r="BG51" s="92">
        <v>0</v>
      </c>
      <c r="BH51" s="92">
        <v>0</v>
      </c>
      <c r="BI51" s="92">
        <v>0</v>
      </c>
      <c r="BJ51" s="92">
        <v>0</v>
      </c>
      <c r="BK51" s="92">
        <v>0</v>
      </c>
      <c r="BL51" s="92">
        <v>0</v>
      </c>
      <c r="BM51" s="93">
        <f t="shared" si="21"/>
        <v>0</v>
      </c>
      <c r="BN51" s="92">
        <v>0</v>
      </c>
      <c r="BO51" s="92">
        <v>0</v>
      </c>
      <c r="BP51" s="92">
        <f t="shared" si="20"/>
        <v>0</v>
      </c>
      <c r="BQ51" s="92">
        <v>0</v>
      </c>
      <c r="BR51" s="92">
        <v>0</v>
      </c>
      <c r="BS51" s="85">
        <f t="shared" si="23"/>
        <v>0</v>
      </c>
      <c r="BT51" s="94" t="s">
        <v>130</v>
      </c>
      <c r="BU51" s="94" t="s">
        <v>130</v>
      </c>
      <c r="BV51" s="94" t="s">
        <v>130</v>
      </c>
      <c r="BW51" s="95" t="s">
        <v>130</v>
      </c>
      <c r="BX51" s="96" t="s">
        <v>130</v>
      </c>
      <c r="BY51" s="29" t="s">
        <v>130</v>
      </c>
      <c r="BZ51" s="29" t="s">
        <v>130</v>
      </c>
      <c r="CA51" s="29" t="s">
        <v>130</v>
      </c>
      <c r="CB51" s="29" t="s">
        <v>130</v>
      </c>
      <c r="CC51" s="29" t="s">
        <v>130</v>
      </c>
      <c r="CD51" s="29" t="s">
        <v>130</v>
      </c>
      <c r="CE51" s="29" t="str">
        <f t="shared" si="16"/>
        <v>-</v>
      </c>
      <c r="CF51" s="97" t="s">
        <v>130</v>
      </c>
      <c r="CG51" s="97" t="s">
        <v>130</v>
      </c>
      <c r="CH51" s="37">
        <f t="shared" si="24"/>
        <v>0</v>
      </c>
      <c r="CI51" s="98" t="s">
        <v>130</v>
      </c>
      <c r="CJ51" s="39">
        <v>5</v>
      </c>
      <c r="CK51" s="39">
        <v>5</v>
      </c>
      <c r="CL51" s="39">
        <f t="shared" si="25"/>
        <v>60</v>
      </c>
      <c r="CM51" s="99">
        <f t="shared" si="26"/>
        <v>0</v>
      </c>
      <c r="CN51" s="40" t="s">
        <v>130</v>
      </c>
      <c r="CO51" s="99">
        <f t="shared" si="0"/>
        <v>0</v>
      </c>
      <c r="CP51" s="128" t="s">
        <v>301</v>
      </c>
      <c r="CQ51" s="128"/>
      <c r="CR51" s="100"/>
      <c r="CS51" s="100"/>
    </row>
    <row r="52" spans="1:97" x14ac:dyDescent="0.25">
      <c r="A52" s="27">
        <v>142</v>
      </c>
      <c r="B52" s="27">
        <v>164</v>
      </c>
      <c r="C52" s="29" t="s">
        <v>296</v>
      </c>
      <c r="D52" s="40" t="s">
        <v>49</v>
      </c>
      <c r="E52" s="40" t="s">
        <v>130</v>
      </c>
      <c r="F52" s="40" t="s">
        <v>130</v>
      </c>
      <c r="G52" s="40"/>
      <c r="H52" s="41" t="s">
        <v>130</v>
      </c>
      <c r="I52" s="29" t="s">
        <v>130</v>
      </c>
      <c r="J52" s="29" t="s">
        <v>130</v>
      </c>
      <c r="K52" s="29" t="s">
        <v>130</v>
      </c>
      <c r="L52" s="85" t="s">
        <v>130</v>
      </c>
      <c r="M52" s="86" t="s">
        <v>130</v>
      </c>
      <c r="N52" s="85" t="s">
        <v>130</v>
      </c>
      <c r="O52" s="86" t="s">
        <v>130</v>
      </c>
      <c r="P52" s="85" t="s">
        <v>130</v>
      </c>
      <c r="Q52" s="29" t="s">
        <v>130</v>
      </c>
      <c r="R52" s="85" t="s">
        <v>130</v>
      </c>
      <c r="S52" s="85" t="s">
        <v>130</v>
      </c>
      <c r="T52" s="85" t="s">
        <v>130</v>
      </c>
      <c r="U52" s="85" t="s">
        <v>130</v>
      </c>
      <c r="V52" s="85" t="s">
        <v>130</v>
      </c>
      <c r="W52" s="85" t="s">
        <v>130</v>
      </c>
      <c r="X52" s="85" t="s">
        <v>130</v>
      </c>
      <c r="Y52" s="85" t="s">
        <v>130</v>
      </c>
      <c r="Z52" s="85" t="s">
        <v>130</v>
      </c>
      <c r="AA52" s="85" t="s">
        <v>130</v>
      </c>
      <c r="AB52" s="85" t="s">
        <v>130</v>
      </c>
      <c r="AC52" s="85" t="s">
        <v>130</v>
      </c>
      <c r="AD52" s="85" t="s">
        <v>130</v>
      </c>
      <c r="AE52" s="29" t="s">
        <v>45</v>
      </c>
      <c r="AF52" s="29" t="s">
        <v>130</v>
      </c>
      <c r="AG52" s="40" t="s">
        <v>601</v>
      </c>
      <c r="AH52" s="29" t="s">
        <v>130</v>
      </c>
      <c r="AI52" s="87" t="str">
        <f>IFERROR(VLOOKUP(AG52,[2]Frota!$D$2:$AV$187,2,FALSE),"-")</f>
        <v>-</v>
      </c>
      <c r="AJ52" s="87" t="str">
        <f>IFERROR(VLOOKUP(AG52,[2]Frota!$D$2:$AV$187,3,FALSE),"-")</f>
        <v>-</v>
      </c>
      <c r="AK52" s="29" t="s">
        <v>320</v>
      </c>
      <c r="AL52" s="29" t="s">
        <v>589</v>
      </c>
      <c r="AM52" s="34" t="s">
        <v>130</v>
      </c>
      <c r="AN52" s="34" t="s">
        <v>130</v>
      </c>
      <c r="AO52" s="40" t="s">
        <v>602</v>
      </c>
      <c r="AP52" s="29" t="s">
        <v>603</v>
      </c>
      <c r="AQ52" s="88" t="s">
        <v>303</v>
      </c>
      <c r="AR52" s="89">
        <f>VLOOKUP(AQ52,'[1]Critério de Depreciação'!$C$3:$G$8,5,FALSE)</f>
        <v>0.83333333333333337</v>
      </c>
      <c r="AS52" s="29" t="s">
        <v>130</v>
      </c>
      <c r="AT52" s="29" t="s">
        <v>130</v>
      </c>
      <c r="AU52" s="29" t="str">
        <f>IFERROR(VLOOKUP(#REF!,[2]Frota!$D$2:$AV$187,12,FALSE),"-")</f>
        <v>-</v>
      </c>
      <c r="AV52" s="29" t="s">
        <v>130</v>
      </c>
      <c r="AW52" s="90">
        <v>0</v>
      </c>
      <c r="AX52" s="86" t="s">
        <v>130</v>
      </c>
      <c r="AY52" s="91" t="s">
        <v>130</v>
      </c>
      <c r="AZ52" s="85">
        <f>67*28000</f>
        <v>1876000</v>
      </c>
      <c r="BA52" s="123" t="s">
        <v>130</v>
      </c>
      <c r="BB52" s="86" t="s">
        <v>130</v>
      </c>
      <c r="BC52" s="85" t="s">
        <v>130</v>
      </c>
      <c r="BD52" s="85" t="s">
        <v>130</v>
      </c>
      <c r="BE52" s="92">
        <f t="shared" si="22"/>
        <v>1876000</v>
      </c>
      <c r="BF52" s="92">
        <v>0</v>
      </c>
      <c r="BG52" s="92">
        <v>0</v>
      </c>
      <c r="BH52" s="92">
        <v>0</v>
      </c>
      <c r="BI52" s="92">
        <v>0</v>
      </c>
      <c r="BJ52" s="92">
        <v>0</v>
      </c>
      <c r="BK52" s="92">
        <v>0</v>
      </c>
      <c r="BL52" s="92">
        <v>0</v>
      </c>
      <c r="BM52" s="93">
        <f t="shared" si="21"/>
        <v>0</v>
      </c>
      <c r="BN52" s="92">
        <v>0</v>
      </c>
      <c r="BO52" s="92">
        <v>0</v>
      </c>
      <c r="BP52" s="92">
        <f t="shared" si="20"/>
        <v>0</v>
      </c>
      <c r="BQ52" s="92">
        <v>0</v>
      </c>
      <c r="BR52" s="92">
        <v>0</v>
      </c>
      <c r="BS52" s="85">
        <f t="shared" si="23"/>
        <v>0</v>
      </c>
      <c r="BT52" s="94" t="s">
        <v>130</v>
      </c>
      <c r="BU52" s="94" t="s">
        <v>130</v>
      </c>
      <c r="BV52" s="94" t="s">
        <v>130</v>
      </c>
      <c r="BW52" s="95" t="s">
        <v>130</v>
      </c>
      <c r="BX52" s="96" t="s">
        <v>130</v>
      </c>
      <c r="BY52" s="29" t="s">
        <v>130</v>
      </c>
      <c r="BZ52" s="29" t="s">
        <v>130</v>
      </c>
      <c r="CA52" s="29" t="s">
        <v>130</v>
      </c>
      <c r="CB52" s="29" t="s">
        <v>130</v>
      </c>
      <c r="CC52" s="29" t="s">
        <v>130</v>
      </c>
      <c r="CD52" s="29" t="s">
        <v>130</v>
      </c>
      <c r="CE52" s="29" t="str">
        <f t="shared" si="16"/>
        <v>-</v>
      </c>
      <c r="CF52" s="97" t="s">
        <v>130</v>
      </c>
      <c r="CG52" s="97" t="s">
        <v>130</v>
      </c>
      <c r="CH52" s="37">
        <f t="shared" si="24"/>
        <v>0</v>
      </c>
      <c r="CI52" s="98" t="s">
        <v>130</v>
      </c>
      <c r="CJ52" s="39">
        <v>5</v>
      </c>
      <c r="CK52" s="39">
        <v>5</v>
      </c>
      <c r="CL52" s="39">
        <f t="shared" si="25"/>
        <v>60</v>
      </c>
      <c r="CM52" s="99">
        <f t="shared" si="26"/>
        <v>0</v>
      </c>
      <c r="CN52" s="40" t="s">
        <v>130</v>
      </c>
      <c r="CO52" s="99">
        <f t="shared" si="0"/>
        <v>0</v>
      </c>
      <c r="CP52" s="128" t="s">
        <v>301</v>
      </c>
      <c r="CQ52" s="128"/>
      <c r="CR52" s="100"/>
      <c r="CS52" s="100"/>
    </row>
    <row r="53" spans="1:97" x14ac:dyDescent="0.25">
      <c r="A53" s="27">
        <v>172</v>
      </c>
      <c r="B53" s="27">
        <v>184</v>
      </c>
      <c r="C53" s="29" t="s">
        <v>296</v>
      </c>
      <c r="D53" s="40" t="s">
        <v>49</v>
      </c>
      <c r="E53" s="40" t="s">
        <v>130</v>
      </c>
      <c r="F53" s="40" t="s">
        <v>130</v>
      </c>
      <c r="G53" s="40"/>
      <c r="H53" s="41" t="s">
        <v>130</v>
      </c>
      <c r="I53" s="29" t="s">
        <v>130</v>
      </c>
      <c r="J53" s="29" t="s">
        <v>130</v>
      </c>
      <c r="K53" s="29" t="s">
        <v>130</v>
      </c>
      <c r="L53" s="85" t="s">
        <v>130</v>
      </c>
      <c r="M53" s="86" t="s">
        <v>130</v>
      </c>
      <c r="N53" s="85" t="s">
        <v>130</v>
      </c>
      <c r="O53" s="86" t="s">
        <v>130</v>
      </c>
      <c r="P53" s="85" t="s">
        <v>130</v>
      </c>
      <c r="Q53" s="29" t="s">
        <v>130</v>
      </c>
      <c r="R53" s="85" t="s">
        <v>130</v>
      </c>
      <c r="S53" s="85" t="s">
        <v>130</v>
      </c>
      <c r="T53" s="85" t="s">
        <v>130</v>
      </c>
      <c r="U53" s="85" t="s">
        <v>130</v>
      </c>
      <c r="V53" s="85" t="s">
        <v>130</v>
      </c>
      <c r="W53" s="85" t="s">
        <v>130</v>
      </c>
      <c r="X53" s="85" t="s">
        <v>130</v>
      </c>
      <c r="Y53" s="85" t="s">
        <v>130</v>
      </c>
      <c r="Z53" s="85" t="s">
        <v>130</v>
      </c>
      <c r="AA53" s="85" t="s">
        <v>130</v>
      </c>
      <c r="AB53" s="85" t="s">
        <v>130</v>
      </c>
      <c r="AC53" s="85" t="s">
        <v>130</v>
      </c>
      <c r="AD53" s="85" t="s">
        <v>130</v>
      </c>
      <c r="AE53" s="29" t="s">
        <v>45</v>
      </c>
      <c r="AF53" s="29" t="s">
        <v>130</v>
      </c>
      <c r="AG53" s="40" t="s">
        <v>51</v>
      </c>
      <c r="AH53" s="29" t="s">
        <v>130</v>
      </c>
      <c r="AI53" s="87" t="str">
        <f>IFERROR(VLOOKUP(AG53,[2]Frota!$D$2:$AV$187,2,FALSE),"-")</f>
        <v>-</v>
      </c>
      <c r="AJ53" s="87" t="str">
        <f>IFERROR(VLOOKUP(AG53,[2]Frota!$D$2:$AV$187,3,FALSE),"-")</f>
        <v>-</v>
      </c>
      <c r="AK53" s="29" t="s">
        <v>604</v>
      </c>
      <c r="AL53" s="29" t="s">
        <v>176</v>
      </c>
      <c r="AM53" s="34" t="s">
        <v>130</v>
      </c>
      <c r="AN53" s="34" t="s">
        <v>130</v>
      </c>
      <c r="AO53" s="40" t="s">
        <v>79</v>
      </c>
      <c r="AP53" s="29" t="s">
        <v>605</v>
      </c>
      <c r="AQ53" s="88" t="s">
        <v>303</v>
      </c>
      <c r="AR53" s="89">
        <f>VLOOKUP(AQ53,'[1]Critério de Depreciação'!$C$3:$G$8,5,FALSE)</f>
        <v>0.83333333333333337</v>
      </c>
      <c r="AS53" s="29" t="s">
        <v>130</v>
      </c>
      <c r="AT53" s="29" t="s">
        <v>130</v>
      </c>
      <c r="AU53" s="29" t="str">
        <f>IFERROR(VLOOKUP(#REF!,[2]Frota!$D$2:$AV$187,12,FALSE),"-")</f>
        <v>-</v>
      </c>
      <c r="AV53" s="45" t="s">
        <v>130</v>
      </c>
      <c r="AW53" s="90">
        <v>213000</v>
      </c>
      <c r="AX53" s="86" t="s">
        <v>130</v>
      </c>
      <c r="AY53" s="91" t="s">
        <v>130</v>
      </c>
      <c r="AZ53" s="85">
        <f>65000+60000+35000</f>
        <v>160000</v>
      </c>
      <c r="BA53" s="123" t="s">
        <v>130</v>
      </c>
      <c r="BB53" s="86" t="s">
        <v>130</v>
      </c>
      <c r="BC53" s="85" t="s">
        <v>130</v>
      </c>
      <c r="BD53" s="85" t="s">
        <v>130</v>
      </c>
      <c r="BE53" s="92">
        <f t="shared" si="22"/>
        <v>160000</v>
      </c>
      <c r="BF53" s="92">
        <v>213000</v>
      </c>
      <c r="BG53" s="92">
        <v>0</v>
      </c>
      <c r="BH53" s="92">
        <v>0</v>
      </c>
      <c r="BI53" s="92">
        <v>0</v>
      </c>
      <c r="BJ53" s="92">
        <v>0</v>
      </c>
      <c r="BK53" s="92">
        <v>0</v>
      </c>
      <c r="BL53" s="92">
        <v>0</v>
      </c>
      <c r="BM53" s="93">
        <f t="shared" si="21"/>
        <v>213000</v>
      </c>
      <c r="BN53" s="92">
        <v>0</v>
      </c>
      <c r="BO53" s="92">
        <f t="shared" ref="BO53:BO62" si="27">((BF53+BH53+BI53+BJ53+BK53+BL53)*20%)/12</f>
        <v>3550</v>
      </c>
      <c r="BP53" s="92">
        <f t="shared" si="20"/>
        <v>3550</v>
      </c>
      <c r="BQ53" s="92">
        <v>0</v>
      </c>
      <c r="BR53" s="92">
        <v>0</v>
      </c>
      <c r="BS53" s="85">
        <f t="shared" si="23"/>
        <v>3550</v>
      </c>
      <c r="BT53" s="94" t="s">
        <v>130</v>
      </c>
      <c r="BU53" s="94" t="s">
        <v>130</v>
      </c>
      <c r="BV53" s="94" t="s">
        <v>130</v>
      </c>
      <c r="BW53" s="95" t="s">
        <v>130</v>
      </c>
      <c r="BX53" s="96" t="s">
        <v>130</v>
      </c>
      <c r="BY53" s="29" t="s">
        <v>130</v>
      </c>
      <c r="BZ53" s="29" t="s">
        <v>130</v>
      </c>
      <c r="CA53" s="29" t="s">
        <v>130</v>
      </c>
      <c r="CB53" s="29" t="s">
        <v>130</v>
      </c>
      <c r="CC53" s="29" t="s">
        <v>130</v>
      </c>
      <c r="CD53" s="29" t="s">
        <v>130</v>
      </c>
      <c r="CE53" s="29" t="str">
        <f t="shared" si="16"/>
        <v>-</v>
      </c>
      <c r="CF53" s="97" t="s">
        <v>130</v>
      </c>
      <c r="CG53" s="97" t="s">
        <v>130</v>
      </c>
      <c r="CH53" s="37">
        <f t="shared" si="24"/>
        <v>213000</v>
      </c>
      <c r="CI53" s="98" t="s">
        <v>130</v>
      </c>
      <c r="CJ53" s="39">
        <v>5</v>
      </c>
      <c r="CK53" s="39">
        <v>5</v>
      </c>
      <c r="CL53" s="39">
        <f t="shared" si="25"/>
        <v>60</v>
      </c>
      <c r="CM53" s="99">
        <f t="shared" si="26"/>
        <v>7100</v>
      </c>
      <c r="CN53" s="88" t="s">
        <v>130</v>
      </c>
      <c r="CO53" s="99">
        <f t="shared" si="0"/>
        <v>1775</v>
      </c>
      <c r="CP53" s="128" t="s">
        <v>92</v>
      </c>
      <c r="CQ53" s="128"/>
      <c r="CR53" s="48"/>
      <c r="CS53" s="48"/>
    </row>
    <row r="54" spans="1:97" x14ac:dyDescent="0.25">
      <c r="A54" s="27">
        <v>169</v>
      </c>
      <c r="B54" s="27">
        <v>181</v>
      </c>
      <c r="C54" s="29" t="s">
        <v>296</v>
      </c>
      <c r="D54" s="40" t="s">
        <v>49</v>
      </c>
      <c r="E54" s="40" t="s">
        <v>130</v>
      </c>
      <c r="F54" s="40" t="s">
        <v>130</v>
      </c>
      <c r="G54" s="40"/>
      <c r="H54" s="41" t="s">
        <v>130</v>
      </c>
      <c r="I54" s="29" t="s">
        <v>130</v>
      </c>
      <c r="J54" s="29" t="s">
        <v>130</v>
      </c>
      <c r="K54" s="29" t="s">
        <v>130</v>
      </c>
      <c r="L54" s="85" t="s">
        <v>130</v>
      </c>
      <c r="M54" s="86" t="s">
        <v>130</v>
      </c>
      <c r="N54" s="85" t="s">
        <v>130</v>
      </c>
      <c r="O54" s="86" t="s">
        <v>130</v>
      </c>
      <c r="P54" s="85" t="s">
        <v>130</v>
      </c>
      <c r="Q54" s="29" t="s">
        <v>130</v>
      </c>
      <c r="R54" s="85" t="s">
        <v>130</v>
      </c>
      <c r="S54" s="85" t="s">
        <v>130</v>
      </c>
      <c r="T54" s="85" t="s">
        <v>130</v>
      </c>
      <c r="U54" s="85" t="s">
        <v>130</v>
      </c>
      <c r="V54" s="85" t="s">
        <v>130</v>
      </c>
      <c r="W54" s="85" t="s">
        <v>130</v>
      </c>
      <c r="X54" s="85" t="s">
        <v>130</v>
      </c>
      <c r="Y54" s="85" t="s">
        <v>130</v>
      </c>
      <c r="Z54" s="85" t="s">
        <v>130</v>
      </c>
      <c r="AA54" s="85" t="s">
        <v>130</v>
      </c>
      <c r="AB54" s="85" t="s">
        <v>130</v>
      </c>
      <c r="AC54" s="85" t="s">
        <v>130</v>
      </c>
      <c r="AD54" s="85" t="s">
        <v>130</v>
      </c>
      <c r="AE54" s="29" t="s">
        <v>45</v>
      </c>
      <c r="AF54" s="29" t="s">
        <v>130</v>
      </c>
      <c r="AG54" s="40" t="s">
        <v>60</v>
      </c>
      <c r="AH54" s="29" t="s">
        <v>130</v>
      </c>
      <c r="AI54" s="87" t="str">
        <f>IFERROR(VLOOKUP(AG54,[2]Frota!$D$2:$AV$187,2,FALSE),"-")</f>
        <v>-</v>
      </c>
      <c r="AJ54" s="87" t="str">
        <f>IFERROR(VLOOKUP(AG54,[2]Frota!$D$2:$AV$187,3,FALSE),"-")</f>
        <v>-</v>
      </c>
      <c r="AK54" s="29" t="s">
        <v>604</v>
      </c>
      <c r="AL54" s="29" t="s">
        <v>316</v>
      </c>
      <c r="AM54" s="34" t="s">
        <v>130</v>
      </c>
      <c r="AN54" s="34" t="s">
        <v>130</v>
      </c>
      <c r="AO54" s="40" t="s">
        <v>83</v>
      </c>
      <c r="AP54" s="29" t="s">
        <v>605</v>
      </c>
      <c r="AQ54" s="88" t="s">
        <v>303</v>
      </c>
      <c r="AR54" s="89">
        <f>VLOOKUP(AQ54,'[1]Critério de Depreciação'!$C$3:$G$8,5,FALSE)</f>
        <v>0.83333333333333337</v>
      </c>
      <c r="AS54" s="29" t="s">
        <v>130</v>
      </c>
      <c r="AT54" s="29" t="s">
        <v>130</v>
      </c>
      <c r="AU54" s="29" t="str">
        <f>IFERROR(VLOOKUP(#REF!,[2]Frota!$D$2:$AV$187,12,FALSE),"-")</f>
        <v>-</v>
      </c>
      <c r="AV54" s="45" t="s">
        <v>130</v>
      </c>
      <c r="AW54" s="90">
        <v>310000</v>
      </c>
      <c r="AX54" s="86" t="s">
        <v>130</v>
      </c>
      <c r="AY54" s="91" t="s">
        <v>130</v>
      </c>
      <c r="AZ54" s="85">
        <f>270000/30*21</f>
        <v>189000</v>
      </c>
      <c r="BA54" s="123" t="s">
        <v>130</v>
      </c>
      <c r="BB54" s="86" t="s">
        <v>130</v>
      </c>
      <c r="BC54" s="85" t="s">
        <v>130</v>
      </c>
      <c r="BD54" s="85" t="s">
        <v>130</v>
      </c>
      <c r="BE54" s="92">
        <f t="shared" si="22"/>
        <v>189000</v>
      </c>
      <c r="BF54" s="92">
        <f t="shared" ref="BF54:BF59" si="28">250000+30000+30000</f>
        <v>310000</v>
      </c>
      <c r="BG54" s="92">
        <v>0</v>
      </c>
      <c r="BH54" s="92">
        <v>0</v>
      </c>
      <c r="BI54" s="92">
        <v>0</v>
      </c>
      <c r="BJ54" s="92">
        <v>0</v>
      </c>
      <c r="BK54" s="92">
        <v>0</v>
      </c>
      <c r="BL54" s="92">
        <v>0</v>
      </c>
      <c r="BM54" s="93">
        <f t="shared" si="21"/>
        <v>310000</v>
      </c>
      <c r="BN54" s="92">
        <v>0</v>
      </c>
      <c r="BO54" s="92">
        <f t="shared" si="27"/>
        <v>5166.666666666667</v>
      </c>
      <c r="BP54" s="92">
        <f t="shared" si="20"/>
        <v>5166.666666666667</v>
      </c>
      <c r="BQ54" s="92">
        <v>0</v>
      </c>
      <c r="BR54" s="92">
        <v>0</v>
      </c>
      <c r="BS54" s="85">
        <f t="shared" si="23"/>
        <v>5166.666666666667</v>
      </c>
      <c r="BT54" s="94" t="s">
        <v>130</v>
      </c>
      <c r="BU54" s="94" t="s">
        <v>130</v>
      </c>
      <c r="BV54" s="94" t="s">
        <v>130</v>
      </c>
      <c r="BW54" s="95" t="s">
        <v>130</v>
      </c>
      <c r="BX54" s="96" t="s">
        <v>130</v>
      </c>
      <c r="BY54" s="29" t="s">
        <v>130</v>
      </c>
      <c r="BZ54" s="29" t="s">
        <v>130</v>
      </c>
      <c r="CA54" s="29" t="s">
        <v>130</v>
      </c>
      <c r="CB54" s="29" t="s">
        <v>130</v>
      </c>
      <c r="CC54" s="29" t="s">
        <v>130</v>
      </c>
      <c r="CD54" s="29" t="s">
        <v>130</v>
      </c>
      <c r="CE54" s="29" t="str">
        <f t="shared" si="16"/>
        <v>-</v>
      </c>
      <c r="CF54" s="97" t="s">
        <v>130</v>
      </c>
      <c r="CG54" s="97" t="s">
        <v>130</v>
      </c>
      <c r="CH54" s="37">
        <f t="shared" si="24"/>
        <v>310000</v>
      </c>
      <c r="CI54" s="98" t="s">
        <v>130</v>
      </c>
      <c r="CJ54" s="39">
        <v>5</v>
      </c>
      <c r="CK54" s="39">
        <v>5</v>
      </c>
      <c r="CL54" s="39">
        <f t="shared" si="25"/>
        <v>60</v>
      </c>
      <c r="CM54" s="99">
        <f t="shared" si="26"/>
        <v>10333.333333333334</v>
      </c>
      <c r="CN54" s="88" t="s">
        <v>130</v>
      </c>
      <c r="CO54" s="99">
        <f t="shared" si="0"/>
        <v>2583.3333333333335</v>
      </c>
      <c r="CP54" s="128" t="s">
        <v>301</v>
      </c>
      <c r="CQ54" s="128"/>
      <c r="CR54" s="100"/>
      <c r="CS54" s="100"/>
    </row>
    <row r="55" spans="1:97" x14ac:dyDescent="0.25">
      <c r="A55" s="27">
        <v>170</v>
      </c>
      <c r="B55" s="27">
        <v>182</v>
      </c>
      <c r="C55" s="29" t="s">
        <v>296</v>
      </c>
      <c r="D55" s="40" t="s">
        <v>49</v>
      </c>
      <c r="E55" s="40" t="s">
        <v>130</v>
      </c>
      <c r="F55" s="40" t="s">
        <v>130</v>
      </c>
      <c r="G55" s="40"/>
      <c r="H55" s="41" t="s">
        <v>130</v>
      </c>
      <c r="I55" s="29" t="s">
        <v>130</v>
      </c>
      <c r="J55" s="29" t="s">
        <v>130</v>
      </c>
      <c r="K55" s="29" t="s">
        <v>130</v>
      </c>
      <c r="L55" s="85" t="s">
        <v>130</v>
      </c>
      <c r="M55" s="86" t="s">
        <v>130</v>
      </c>
      <c r="N55" s="85" t="s">
        <v>130</v>
      </c>
      <c r="O55" s="86" t="s">
        <v>130</v>
      </c>
      <c r="P55" s="85" t="s">
        <v>130</v>
      </c>
      <c r="Q55" s="29" t="s">
        <v>130</v>
      </c>
      <c r="R55" s="85" t="s">
        <v>130</v>
      </c>
      <c r="S55" s="85" t="s">
        <v>130</v>
      </c>
      <c r="T55" s="85" t="s">
        <v>130</v>
      </c>
      <c r="U55" s="85" t="s">
        <v>130</v>
      </c>
      <c r="V55" s="85" t="s">
        <v>130</v>
      </c>
      <c r="W55" s="85" t="s">
        <v>130</v>
      </c>
      <c r="X55" s="85" t="s">
        <v>130</v>
      </c>
      <c r="Y55" s="85" t="s">
        <v>130</v>
      </c>
      <c r="Z55" s="85" t="s">
        <v>130</v>
      </c>
      <c r="AA55" s="85" t="s">
        <v>130</v>
      </c>
      <c r="AB55" s="85" t="s">
        <v>130</v>
      </c>
      <c r="AC55" s="85" t="s">
        <v>130</v>
      </c>
      <c r="AD55" s="85" t="s">
        <v>130</v>
      </c>
      <c r="AE55" s="29" t="s">
        <v>45</v>
      </c>
      <c r="AF55" s="29" t="s">
        <v>130</v>
      </c>
      <c r="AG55" s="40" t="s">
        <v>606</v>
      </c>
      <c r="AH55" s="29" t="s">
        <v>130</v>
      </c>
      <c r="AI55" s="87" t="str">
        <f>IFERROR(VLOOKUP(AG55,[2]Frota!$D$2:$AV$187,2,FALSE),"-")</f>
        <v>-</v>
      </c>
      <c r="AJ55" s="87" t="str">
        <f>IFERROR(VLOOKUP(AG55,[2]Frota!$D$2:$AV$187,3,FALSE),"-")</f>
        <v>-</v>
      </c>
      <c r="AK55" s="29" t="s">
        <v>604</v>
      </c>
      <c r="AL55" s="29" t="s">
        <v>316</v>
      </c>
      <c r="AM55" s="34" t="s">
        <v>130</v>
      </c>
      <c r="AN55" s="34" t="s">
        <v>130</v>
      </c>
      <c r="AO55" s="40" t="s">
        <v>83</v>
      </c>
      <c r="AP55" s="29" t="s">
        <v>605</v>
      </c>
      <c r="AQ55" s="88" t="s">
        <v>303</v>
      </c>
      <c r="AR55" s="89">
        <f>VLOOKUP(AQ55,'[1]Critério de Depreciação'!$C$3:$G$8,5,FALSE)</f>
        <v>0.83333333333333337</v>
      </c>
      <c r="AS55" s="29" t="s">
        <v>130</v>
      </c>
      <c r="AT55" s="29" t="s">
        <v>130</v>
      </c>
      <c r="AU55" s="29" t="str">
        <f>IFERROR(VLOOKUP(#REF!,[2]Frota!$D$2:$AV$187,12,FALSE),"-")</f>
        <v>-</v>
      </c>
      <c r="AV55" s="45" t="s">
        <v>130</v>
      </c>
      <c r="AW55" s="90">
        <v>310000</v>
      </c>
      <c r="AX55" s="86" t="s">
        <v>130</v>
      </c>
      <c r="AY55" s="91" t="s">
        <v>130</v>
      </c>
      <c r="AZ55" s="85">
        <v>189000</v>
      </c>
      <c r="BA55" s="123" t="s">
        <v>130</v>
      </c>
      <c r="BB55" s="86" t="s">
        <v>130</v>
      </c>
      <c r="BC55" s="85" t="s">
        <v>130</v>
      </c>
      <c r="BD55" s="85" t="s">
        <v>130</v>
      </c>
      <c r="BE55" s="92">
        <f t="shared" si="22"/>
        <v>189000</v>
      </c>
      <c r="BF55" s="92">
        <f t="shared" si="28"/>
        <v>310000</v>
      </c>
      <c r="BG55" s="92">
        <v>0</v>
      </c>
      <c r="BH55" s="92">
        <v>0</v>
      </c>
      <c r="BI55" s="92">
        <v>0</v>
      </c>
      <c r="BJ55" s="92">
        <v>0</v>
      </c>
      <c r="BK55" s="92">
        <v>0</v>
      </c>
      <c r="BL55" s="92">
        <v>0</v>
      </c>
      <c r="BM55" s="93">
        <f t="shared" si="21"/>
        <v>310000</v>
      </c>
      <c r="BN55" s="92">
        <v>0</v>
      </c>
      <c r="BO55" s="92">
        <f t="shared" si="27"/>
        <v>5166.666666666667</v>
      </c>
      <c r="BP55" s="92">
        <f t="shared" si="20"/>
        <v>5166.666666666667</v>
      </c>
      <c r="BQ55" s="92">
        <v>0</v>
      </c>
      <c r="BR55" s="92">
        <v>0</v>
      </c>
      <c r="BS55" s="85">
        <f t="shared" si="23"/>
        <v>5166.666666666667</v>
      </c>
      <c r="BT55" s="94" t="s">
        <v>130</v>
      </c>
      <c r="BU55" s="94" t="s">
        <v>130</v>
      </c>
      <c r="BV55" s="94" t="s">
        <v>130</v>
      </c>
      <c r="BW55" s="95" t="s">
        <v>130</v>
      </c>
      <c r="BX55" s="96" t="s">
        <v>130</v>
      </c>
      <c r="BY55" s="29" t="s">
        <v>130</v>
      </c>
      <c r="BZ55" s="29" t="s">
        <v>130</v>
      </c>
      <c r="CA55" s="29" t="s">
        <v>130</v>
      </c>
      <c r="CB55" s="29" t="s">
        <v>130</v>
      </c>
      <c r="CC55" s="29" t="s">
        <v>130</v>
      </c>
      <c r="CD55" s="29" t="s">
        <v>130</v>
      </c>
      <c r="CE55" s="29" t="str">
        <f t="shared" si="16"/>
        <v>-</v>
      </c>
      <c r="CF55" s="97" t="s">
        <v>130</v>
      </c>
      <c r="CG55" s="97" t="s">
        <v>130</v>
      </c>
      <c r="CH55" s="37">
        <f t="shared" si="24"/>
        <v>310000</v>
      </c>
      <c r="CI55" s="98" t="s">
        <v>130</v>
      </c>
      <c r="CJ55" s="39">
        <v>5</v>
      </c>
      <c r="CK55" s="39">
        <v>5</v>
      </c>
      <c r="CL55" s="39">
        <f t="shared" si="25"/>
        <v>60</v>
      </c>
      <c r="CM55" s="99">
        <f t="shared" si="26"/>
        <v>10333.333333333334</v>
      </c>
      <c r="CN55" s="88" t="s">
        <v>130</v>
      </c>
      <c r="CO55" s="99">
        <f t="shared" si="0"/>
        <v>2583.3333333333335</v>
      </c>
      <c r="CP55" s="197" t="s">
        <v>301</v>
      </c>
      <c r="CQ55" s="100"/>
      <c r="CR55" s="100"/>
      <c r="CS55" s="100"/>
    </row>
    <row r="56" spans="1:97" x14ac:dyDescent="0.25">
      <c r="A56" s="27">
        <v>171</v>
      </c>
      <c r="B56" s="27">
        <v>183</v>
      </c>
      <c r="C56" s="29" t="s">
        <v>296</v>
      </c>
      <c r="D56" s="40" t="s">
        <v>49</v>
      </c>
      <c r="E56" s="40" t="s">
        <v>130</v>
      </c>
      <c r="F56" s="40" t="s">
        <v>130</v>
      </c>
      <c r="G56" s="151"/>
      <c r="H56" s="41" t="s">
        <v>130</v>
      </c>
      <c r="I56" s="29" t="s">
        <v>130</v>
      </c>
      <c r="J56" s="29" t="s">
        <v>130</v>
      </c>
      <c r="K56" s="29" t="s">
        <v>130</v>
      </c>
      <c r="L56" s="85" t="s">
        <v>130</v>
      </c>
      <c r="M56" s="86" t="s">
        <v>130</v>
      </c>
      <c r="N56" s="85" t="s">
        <v>130</v>
      </c>
      <c r="O56" s="86" t="s">
        <v>130</v>
      </c>
      <c r="P56" s="85" t="s">
        <v>130</v>
      </c>
      <c r="Q56" s="29" t="s">
        <v>130</v>
      </c>
      <c r="R56" s="85" t="s">
        <v>130</v>
      </c>
      <c r="S56" s="85" t="s">
        <v>130</v>
      </c>
      <c r="T56" s="85" t="s">
        <v>130</v>
      </c>
      <c r="U56" s="85" t="s">
        <v>130</v>
      </c>
      <c r="V56" s="85" t="s">
        <v>130</v>
      </c>
      <c r="W56" s="85" t="s">
        <v>130</v>
      </c>
      <c r="X56" s="85" t="s">
        <v>130</v>
      </c>
      <c r="Y56" s="85" t="s">
        <v>130</v>
      </c>
      <c r="Z56" s="85" t="s">
        <v>130</v>
      </c>
      <c r="AA56" s="85" t="s">
        <v>130</v>
      </c>
      <c r="AB56" s="85" t="s">
        <v>130</v>
      </c>
      <c r="AC56" s="85" t="s">
        <v>130</v>
      </c>
      <c r="AD56" s="85" t="s">
        <v>130</v>
      </c>
      <c r="AE56" s="29" t="s">
        <v>45</v>
      </c>
      <c r="AF56" s="29" t="s">
        <v>57</v>
      </c>
      <c r="AG56" s="40" t="s">
        <v>58</v>
      </c>
      <c r="AH56" s="29" t="s">
        <v>130</v>
      </c>
      <c r="AI56" s="87" t="str">
        <f>IFERROR(VLOOKUP(AG56,[2]Frota!$D$2:$AV$187,2,FALSE),"-")</f>
        <v>-</v>
      </c>
      <c r="AJ56" s="87" t="str">
        <f>IFERROR(VLOOKUP(AG56,[2]Frota!$D$2:$AV$187,3,FALSE),"-")</f>
        <v>-</v>
      </c>
      <c r="AK56" s="29" t="s">
        <v>604</v>
      </c>
      <c r="AL56" s="29" t="s">
        <v>607</v>
      </c>
      <c r="AM56" s="34" t="s">
        <v>130</v>
      </c>
      <c r="AN56" s="34" t="s">
        <v>130</v>
      </c>
      <c r="AO56" s="40" t="s">
        <v>83</v>
      </c>
      <c r="AP56" s="29" t="s">
        <v>605</v>
      </c>
      <c r="AQ56" s="88" t="s">
        <v>303</v>
      </c>
      <c r="AR56" s="89">
        <f>VLOOKUP(AQ56,'[1]Critério de Depreciação'!$C$3:$G$8,5,FALSE)</f>
        <v>0.83333333333333337</v>
      </c>
      <c r="AS56" s="29" t="s">
        <v>130</v>
      </c>
      <c r="AT56" s="29" t="s">
        <v>130</v>
      </c>
      <c r="AU56" s="29" t="str">
        <f>IFERROR(VLOOKUP(#REF!,[2]Frota!$D$2:$AV$187,12,FALSE),"-")</f>
        <v>-</v>
      </c>
      <c r="AV56" s="45" t="s">
        <v>130</v>
      </c>
      <c r="AW56" s="90">
        <v>310000</v>
      </c>
      <c r="AX56" s="86" t="s">
        <v>130</v>
      </c>
      <c r="AY56" s="91" t="s">
        <v>130</v>
      </c>
      <c r="AZ56" s="85">
        <f>270000/30*21</f>
        <v>189000</v>
      </c>
      <c r="BA56" s="123" t="s">
        <v>130</v>
      </c>
      <c r="BB56" s="86" t="s">
        <v>130</v>
      </c>
      <c r="BC56" s="85" t="s">
        <v>130</v>
      </c>
      <c r="BD56" s="85" t="s">
        <v>130</v>
      </c>
      <c r="BE56" s="92">
        <f t="shared" si="22"/>
        <v>189000</v>
      </c>
      <c r="BF56" s="92">
        <f t="shared" si="28"/>
        <v>310000</v>
      </c>
      <c r="BG56" s="92">
        <v>0</v>
      </c>
      <c r="BH56" s="92">
        <v>0</v>
      </c>
      <c r="BI56" s="92">
        <v>0</v>
      </c>
      <c r="BJ56" s="92">
        <v>0</v>
      </c>
      <c r="BK56" s="92">
        <v>0</v>
      </c>
      <c r="BL56" s="92">
        <v>0</v>
      </c>
      <c r="BM56" s="93">
        <f t="shared" si="21"/>
        <v>310000</v>
      </c>
      <c r="BN56" s="92">
        <v>0</v>
      </c>
      <c r="BO56" s="92">
        <f t="shared" si="27"/>
        <v>5166.666666666667</v>
      </c>
      <c r="BP56" s="92">
        <f t="shared" si="20"/>
        <v>5166.666666666667</v>
      </c>
      <c r="BQ56" s="92">
        <v>0</v>
      </c>
      <c r="BR56" s="92">
        <v>0</v>
      </c>
      <c r="BS56" s="85">
        <f t="shared" si="23"/>
        <v>5166.666666666667</v>
      </c>
      <c r="BT56" s="94" t="s">
        <v>130</v>
      </c>
      <c r="BU56" s="94" t="s">
        <v>130</v>
      </c>
      <c r="BV56" s="94" t="s">
        <v>130</v>
      </c>
      <c r="BW56" s="95" t="s">
        <v>130</v>
      </c>
      <c r="BX56" s="96" t="s">
        <v>130</v>
      </c>
      <c r="BY56" s="29" t="s">
        <v>130</v>
      </c>
      <c r="BZ56" s="29" t="s">
        <v>130</v>
      </c>
      <c r="CA56" s="29" t="s">
        <v>130</v>
      </c>
      <c r="CB56" s="29" t="s">
        <v>130</v>
      </c>
      <c r="CC56" s="29" t="s">
        <v>130</v>
      </c>
      <c r="CD56" s="29" t="s">
        <v>130</v>
      </c>
      <c r="CE56" s="29" t="str">
        <f t="shared" si="16"/>
        <v>PR - LONDRINA</v>
      </c>
      <c r="CF56" s="97" t="s">
        <v>130</v>
      </c>
      <c r="CG56" s="97" t="s">
        <v>130</v>
      </c>
      <c r="CH56" s="37">
        <f t="shared" si="24"/>
        <v>310000</v>
      </c>
      <c r="CI56" s="98" t="s">
        <v>130</v>
      </c>
      <c r="CJ56" s="39">
        <v>5</v>
      </c>
      <c r="CK56" s="39">
        <v>5</v>
      </c>
      <c r="CL56" s="39">
        <f t="shared" si="25"/>
        <v>60</v>
      </c>
      <c r="CM56" s="99">
        <f t="shared" si="26"/>
        <v>10333.333333333334</v>
      </c>
      <c r="CN56" s="88" t="s">
        <v>130</v>
      </c>
      <c r="CO56" s="99">
        <f t="shared" si="0"/>
        <v>2583.3333333333335</v>
      </c>
      <c r="CP56" s="128" t="s">
        <v>301</v>
      </c>
      <c r="CQ56" s="128"/>
      <c r="CR56" s="100"/>
      <c r="CS56" s="100"/>
    </row>
    <row r="57" spans="1:97" x14ac:dyDescent="0.25">
      <c r="A57" s="27">
        <v>173</v>
      </c>
      <c r="B57" s="27">
        <v>185</v>
      </c>
      <c r="C57" s="29" t="s">
        <v>296</v>
      </c>
      <c r="D57" s="40" t="s">
        <v>49</v>
      </c>
      <c r="E57" s="40" t="s">
        <v>130</v>
      </c>
      <c r="F57" s="40" t="s">
        <v>130</v>
      </c>
      <c r="G57" s="40"/>
      <c r="H57" s="41" t="s">
        <v>130</v>
      </c>
      <c r="I57" s="29" t="s">
        <v>130</v>
      </c>
      <c r="J57" s="29" t="s">
        <v>130</v>
      </c>
      <c r="K57" s="29" t="s">
        <v>130</v>
      </c>
      <c r="L57" s="85" t="s">
        <v>130</v>
      </c>
      <c r="M57" s="86" t="s">
        <v>130</v>
      </c>
      <c r="N57" s="85" t="s">
        <v>130</v>
      </c>
      <c r="O57" s="86" t="s">
        <v>130</v>
      </c>
      <c r="P57" s="85" t="s">
        <v>130</v>
      </c>
      <c r="Q57" s="29" t="s">
        <v>130</v>
      </c>
      <c r="R57" s="85" t="s">
        <v>130</v>
      </c>
      <c r="S57" s="85" t="s">
        <v>130</v>
      </c>
      <c r="T57" s="85" t="s">
        <v>130</v>
      </c>
      <c r="U57" s="85" t="s">
        <v>130</v>
      </c>
      <c r="V57" s="85" t="s">
        <v>130</v>
      </c>
      <c r="W57" s="85" t="s">
        <v>130</v>
      </c>
      <c r="X57" s="85" t="s">
        <v>130</v>
      </c>
      <c r="Y57" s="85" t="s">
        <v>130</v>
      </c>
      <c r="Z57" s="85" t="s">
        <v>130</v>
      </c>
      <c r="AA57" s="85" t="s">
        <v>130</v>
      </c>
      <c r="AB57" s="85" t="s">
        <v>130</v>
      </c>
      <c r="AC57" s="85" t="s">
        <v>130</v>
      </c>
      <c r="AD57" s="85" t="s">
        <v>130</v>
      </c>
      <c r="AE57" s="29" t="s">
        <v>45</v>
      </c>
      <c r="AF57" s="29" t="s">
        <v>130</v>
      </c>
      <c r="AG57" s="40" t="s">
        <v>608</v>
      </c>
      <c r="AH57" s="29" t="s">
        <v>130</v>
      </c>
      <c r="AI57" s="87" t="str">
        <f>IFERROR(VLOOKUP(AG57,[2]Frota!$D$2:$AV$187,2,FALSE),"-")</f>
        <v>-</v>
      </c>
      <c r="AJ57" s="87" t="str">
        <f>IFERROR(VLOOKUP(AG57,[2]Frota!$D$2:$AV$187,3,FALSE),"-")</f>
        <v>-</v>
      </c>
      <c r="AK57" s="29" t="s">
        <v>604</v>
      </c>
      <c r="AL57" s="29" t="s">
        <v>176</v>
      </c>
      <c r="AM57" s="34" t="s">
        <v>130</v>
      </c>
      <c r="AN57" s="34" t="s">
        <v>130</v>
      </c>
      <c r="AO57" s="40" t="s">
        <v>83</v>
      </c>
      <c r="AP57" s="29" t="s">
        <v>605</v>
      </c>
      <c r="AQ57" s="88" t="s">
        <v>303</v>
      </c>
      <c r="AR57" s="89">
        <f>VLOOKUP(AQ57,'[1]Critério de Depreciação'!$C$3:$G$8,5,FALSE)</f>
        <v>0.83333333333333337</v>
      </c>
      <c r="AS57" s="29" t="s">
        <v>130</v>
      </c>
      <c r="AT57" s="29" t="s">
        <v>130</v>
      </c>
      <c r="AU57" s="29" t="str">
        <f>IFERROR(VLOOKUP(#REF!,[2]Frota!$D$2:$AV$187,12,FALSE),"-")</f>
        <v>-</v>
      </c>
      <c r="AV57" s="45" t="s">
        <v>130</v>
      </c>
      <c r="AW57" s="90">
        <v>310000</v>
      </c>
      <c r="AX57" s="86" t="s">
        <v>130</v>
      </c>
      <c r="AY57" s="91" t="s">
        <v>130</v>
      </c>
      <c r="AZ57" s="85">
        <f>270000/30*21</f>
        <v>189000</v>
      </c>
      <c r="BA57" s="123" t="s">
        <v>130</v>
      </c>
      <c r="BB57" s="86" t="s">
        <v>130</v>
      </c>
      <c r="BC57" s="85" t="s">
        <v>130</v>
      </c>
      <c r="BD57" s="85" t="s">
        <v>130</v>
      </c>
      <c r="BE57" s="92">
        <f t="shared" si="22"/>
        <v>189000</v>
      </c>
      <c r="BF57" s="92">
        <f t="shared" si="28"/>
        <v>310000</v>
      </c>
      <c r="BG57" s="92">
        <v>0</v>
      </c>
      <c r="BH57" s="92">
        <v>0</v>
      </c>
      <c r="BI57" s="92">
        <v>0</v>
      </c>
      <c r="BJ57" s="92">
        <v>0</v>
      </c>
      <c r="BK57" s="92">
        <v>0</v>
      </c>
      <c r="BL57" s="92">
        <v>0</v>
      </c>
      <c r="BM57" s="93">
        <f t="shared" si="21"/>
        <v>310000</v>
      </c>
      <c r="BN57" s="92">
        <v>0</v>
      </c>
      <c r="BO57" s="92">
        <f t="shared" si="27"/>
        <v>5166.666666666667</v>
      </c>
      <c r="BP57" s="92">
        <f t="shared" si="20"/>
        <v>5166.666666666667</v>
      </c>
      <c r="BQ57" s="92">
        <v>0</v>
      </c>
      <c r="BR57" s="92">
        <v>0</v>
      </c>
      <c r="BS57" s="85">
        <f t="shared" si="23"/>
        <v>5166.666666666667</v>
      </c>
      <c r="BT57" s="94" t="s">
        <v>130</v>
      </c>
      <c r="BU57" s="94" t="s">
        <v>130</v>
      </c>
      <c r="BV57" s="94" t="s">
        <v>130</v>
      </c>
      <c r="BW57" s="95" t="s">
        <v>130</v>
      </c>
      <c r="BX57" s="96" t="s">
        <v>130</v>
      </c>
      <c r="BY57" s="29" t="s">
        <v>130</v>
      </c>
      <c r="BZ57" s="29" t="s">
        <v>130</v>
      </c>
      <c r="CA57" s="29" t="s">
        <v>130</v>
      </c>
      <c r="CB57" s="29" t="s">
        <v>130</v>
      </c>
      <c r="CC57" s="29" t="s">
        <v>130</v>
      </c>
      <c r="CD57" s="29" t="s">
        <v>130</v>
      </c>
      <c r="CE57" s="29" t="str">
        <f t="shared" si="16"/>
        <v>-</v>
      </c>
      <c r="CF57" s="97" t="s">
        <v>130</v>
      </c>
      <c r="CG57" s="97" t="s">
        <v>130</v>
      </c>
      <c r="CH57" s="37">
        <f t="shared" si="24"/>
        <v>310000</v>
      </c>
      <c r="CI57" s="98" t="s">
        <v>130</v>
      </c>
      <c r="CJ57" s="39">
        <v>5</v>
      </c>
      <c r="CK57" s="39">
        <v>5</v>
      </c>
      <c r="CL57" s="39">
        <f t="shared" si="25"/>
        <v>60</v>
      </c>
      <c r="CM57" s="99">
        <f t="shared" si="26"/>
        <v>10333.333333333334</v>
      </c>
      <c r="CN57" s="88" t="s">
        <v>130</v>
      </c>
      <c r="CO57" s="99">
        <f t="shared" si="0"/>
        <v>2583.3333333333335</v>
      </c>
      <c r="CP57" s="128" t="s">
        <v>301</v>
      </c>
      <c r="CQ57" s="128"/>
      <c r="CR57" s="100"/>
      <c r="CS57" s="100"/>
    </row>
    <row r="58" spans="1:97" x14ac:dyDescent="0.25">
      <c r="A58" s="27">
        <v>174</v>
      </c>
      <c r="B58" s="27">
        <v>186</v>
      </c>
      <c r="C58" s="29" t="s">
        <v>296</v>
      </c>
      <c r="D58" s="40" t="s">
        <v>49</v>
      </c>
      <c r="E58" s="40" t="s">
        <v>130</v>
      </c>
      <c r="F58" s="40" t="s">
        <v>130</v>
      </c>
      <c r="G58" s="151"/>
      <c r="H58" s="41" t="s">
        <v>130</v>
      </c>
      <c r="I58" s="29" t="s">
        <v>130</v>
      </c>
      <c r="J58" s="29" t="s">
        <v>130</v>
      </c>
      <c r="K58" s="29" t="s">
        <v>130</v>
      </c>
      <c r="L58" s="85" t="s">
        <v>130</v>
      </c>
      <c r="M58" s="86" t="s">
        <v>130</v>
      </c>
      <c r="N58" s="85" t="s">
        <v>130</v>
      </c>
      <c r="O58" s="86" t="s">
        <v>130</v>
      </c>
      <c r="P58" s="85" t="s">
        <v>130</v>
      </c>
      <c r="Q58" s="29" t="s">
        <v>130</v>
      </c>
      <c r="R58" s="85" t="s">
        <v>130</v>
      </c>
      <c r="S58" s="85" t="s">
        <v>130</v>
      </c>
      <c r="T58" s="85" t="s">
        <v>130</v>
      </c>
      <c r="U58" s="85" t="s">
        <v>130</v>
      </c>
      <c r="V58" s="85" t="s">
        <v>130</v>
      </c>
      <c r="W58" s="85" t="s">
        <v>130</v>
      </c>
      <c r="X58" s="85" t="s">
        <v>130</v>
      </c>
      <c r="Y58" s="85" t="s">
        <v>130</v>
      </c>
      <c r="Z58" s="85" t="s">
        <v>130</v>
      </c>
      <c r="AA58" s="85" t="s">
        <v>130</v>
      </c>
      <c r="AB58" s="85" t="s">
        <v>130</v>
      </c>
      <c r="AC58" s="85" t="s">
        <v>130</v>
      </c>
      <c r="AD58" s="85" t="s">
        <v>130</v>
      </c>
      <c r="AE58" s="29" t="s">
        <v>45</v>
      </c>
      <c r="AF58" s="29" t="s">
        <v>55</v>
      </c>
      <c r="AG58" s="40" t="s">
        <v>56</v>
      </c>
      <c r="AH58" s="29" t="s">
        <v>130</v>
      </c>
      <c r="AI58" s="87" t="str">
        <f>IFERROR(VLOOKUP(AG58,[2]Frota!$D$2:$AV$187,2,FALSE),"-")</f>
        <v>-</v>
      </c>
      <c r="AJ58" s="87" t="str">
        <f>IFERROR(VLOOKUP(AG58,[2]Frota!$D$2:$AV$187,3,FALSE),"-")</f>
        <v>-</v>
      </c>
      <c r="AK58" s="29" t="s">
        <v>609</v>
      </c>
      <c r="AL58" s="29" t="s">
        <v>610</v>
      </c>
      <c r="AM58" s="34" t="s">
        <v>130</v>
      </c>
      <c r="AN58" s="34" t="s">
        <v>130</v>
      </c>
      <c r="AO58" s="40" t="s">
        <v>83</v>
      </c>
      <c r="AP58" s="29" t="s">
        <v>605</v>
      </c>
      <c r="AQ58" s="88" t="s">
        <v>303</v>
      </c>
      <c r="AR58" s="89">
        <f>VLOOKUP(AQ58,'[1]Critério de Depreciação'!$C$3:$G$8,5,FALSE)</f>
        <v>0.83333333333333337</v>
      </c>
      <c r="AS58" s="29" t="s">
        <v>130</v>
      </c>
      <c r="AT58" s="29" t="s">
        <v>130</v>
      </c>
      <c r="AU58" s="29" t="str">
        <f>IFERROR(VLOOKUP(#REF!,[2]Frota!$D$2:$AV$187,12,FALSE),"-")</f>
        <v>-</v>
      </c>
      <c r="AV58" s="45" t="s">
        <v>130</v>
      </c>
      <c r="AW58" s="90">
        <v>310000</v>
      </c>
      <c r="AX58" s="86" t="s">
        <v>130</v>
      </c>
      <c r="AY58" s="91" t="s">
        <v>130</v>
      </c>
      <c r="AZ58" s="85">
        <f>270000/30*21</f>
        <v>189000</v>
      </c>
      <c r="BA58" s="123" t="s">
        <v>130</v>
      </c>
      <c r="BB58" s="86" t="s">
        <v>130</v>
      </c>
      <c r="BC58" s="85" t="s">
        <v>130</v>
      </c>
      <c r="BD58" s="85" t="s">
        <v>130</v>
      </c>
      <c r="BE58" s="92">
        <f t="shared" si="22"/>
        <v>189000</v>
      </c>
      <c r="BF58" s="92">
        <f t="shared" si="28"/>
        <v>310000</v>
      </c>
      <c r="BG58" s="92">
        <v>0</v>
      </c>
      <c r="BH58" s="92">
        <v>0</v>
      </c>
      <c r="BI58" s="92">
        <v>0</v>
      </c>
      <c r="BJ58" s="92">
        <v>0</v>
      </c>
      <c r="BK58" s="92">
        <v>0</v>
      </c>
      <c r="BL58" s="92">
        <v>0</v>
      </c>
      <c r="BM58" s="93">
        <f t="shared" si="21"/>
        <v>310000</v>
      </c>
      <c r="BN58" s="92">
        <v>0</v>
      </c>
      <c r="BO58" s="92">
        <f t="shared" si="27"/>
        <v>5166.666666666667</v>
      </c>
      <c r="BP58" s="92">
        <f t="shared" si="20"/>
        <v>5166.666666666667</v>
      </c>
      <c r="BQ58" s="92">
        <v>0</v>
      </c>
      <c r="BR58" s="92">
        <v>0</v>
      </c>
      <c r="BS58" s="85">
        <f t="shared" si="23"/>
        <v>5166.666666666667</v>
      </c>
      <c r="BT58" s="94" t="s">
        <v>130</v>
      </c>
      <c r="BU58" s="94" t="s">
        <v>130</v>
      </c>
      <c r="BV58" s="94" t="s">
        <v>130</v>
      </c>
      <c r="BW58" s="95" t="s">
        <v>130</v>
      </c>
      <c r="BX58" s="96" t="s">
        <v>130</v>
      </c>
      <c r="BY58" s="29" t="s">
        <v>130</v>
      </c>
      <c r="BZ58" s="29" t="s">
        <v>130</v>
      </c>
      <c r="CA58" s="29" t="s">
        <v>130</v>
      </c>
      <c r="CB58" s="29" t="s">
        <v>130</v>
      </c>
      <c r="CC58" s="29" t="s">
        <v>130</v>
      </c>
      <c r="CD58" s="29" t="s">
        <v>130</v>
      </c>
      <c r="CE58" s="29" t="str">
        <f t="shared" si="16"/>
        <v>MS - DOURADOS</v>
      </c>
      <c r="CF58" s="97" t="s">
        <v>130</v>
      </c>
      <c r="CG58" s="97" t="s">
        <v>130</v>
      </c>
      <c r="CH58" s="37">
        <f t="shared" si="24"/>
        <v>310000</v>
      </c>
      <c r="CI58" s="98" t="s">
        <v>130</v>
      </c>
      <c r="CJ58" s="39">
        <v>5</v>
      </c>
      <c r="CK58" s="39">
        <v>5</v>
      </c>
      <c r="CL58" s="39">
        <f t="shared" si="25"/>
        <v>60</v>
      </c>
      <c r="CM58" s="99">
        <f t="shared" si="26"/>
        <v>10333.333333333334</v>
      </c>
      <c r="CN58" s="88" t="s">
        <v>130</v>
      </c>
      <c r="CO58" s="99">
        <f t="shared" si="0"/>
        <v>2583.3333333333335</v>
      </c>
      <c r="CP58" s="128" t="s">
        <v>92</v>
      </c>
      <c r="CQ58" s="128"/>
      <c r="CR58" s="100"/>
      <c r="CS58" s="100"/>
    </row>
    <row r="59" spans="1:97" x14ac:dyDescent="0.25">
      <c r="A59" s="27">
        <v>175</v>
      </c>
      <c r="B59" s="27">
        <v>187</v>
      </c>
      <c r="C59" s="29" t="s">
        <v>296</v>
      </c>
      <c r="D59" s="40" t="s">
        <v>49</v>
      </c>
      <c r="E59" s="40" t="s">
        <v>130</v>
      </c>
      <c r="F59" s="40" t="s">
        <v>130</v>
      </c>
      <c r="G59" s="151"/>
      <c r="H59" s="41" t="s">
        <v>130</v>
      </c>
      <c r="I59" s="29" t="s">
        <v>130</v>
      </c>
      <c r="J59" s="29" t="s">
        <v>130</v>
      </c>
      <c r="K59" s="29" t="s">
        <v>130</v>
      </c>
      <c r="L59" s="85" t="s">
        <v>130</v>
      </c>
      <c r="M59" s="86" t="s">
        <v>130</v>
      </c>
      <c r="N59" s="85" t="s">
        <v>130</v>
      </c>
      <c r="O59" s="86" t="s">
        <v>130</v>
      </c>
      <c r="P59" s="85" t="s">
        <v>130</v>
      </c>
      <c r="Q59" s="29" t="s">
        <v>130</v>
      </c>
      <c r="R59" s="85" t="s">
        <v>130</v>
      </c>
      <c r="S59" s="85" t="s">
        <v>130</v>
      </c>
      <c r="T59" s="85" t="s">
        <v>130</v>
      </c>
      <c r="U59" s="85" t="s">
        <v>130</v>
      </c>
      <c r="V59" s="85" t="s">
        <v>130</v>
      </c>
      <c r="W59" s="85" t="s">
        <v>130</v>
      </c>
      <c r="X59" s="85" t="s">
        <v>130</v>
      </c>
      <c r="Y59" s="85" t="s">
        <v>130</v>
      </c>
      <c r="Z59" s="85" t="s">
        <v>130</v>
      </c>
      <c r="AA59" s="85" t="s">
        <v>130</v>
      </c>
      <c r="AB59" s="85" t="s">
        <v>130</v>
      </c>
      <c r="AC59" s="85" t="s">
        <v>130</v>
      </c>
      <c r="AD59" s="85" t="s">
        <v>130</v>
      </c>
      <c r="AE59" s="29" t="s">
        <v>45</v>
      </c>
      <c r="AF59" s="29" t="s">
        <v>611</v>
      </c>
      <c r="AG59" s="40" t="s">
        <v>54</v>
      </c>
      <c r="AH59" s="29" t="s">
        <v>130</v>
      </c>
      <c r="AI59" s="87" t="str">
        <f>IFERROR(VLOOKUP(AG59,[2]Frota!$D$2:$AV$187,2,FALSE),"-")</f>
        <v>-</v>
      </c>
      <c r="AJ59" s="87" t="str">
        <f>IFERROR(VLOOKUP(AG59,[2]Frota!$D$2:$AV$187,3,FALSE),"-")</f>
        <v>-</v>
      </c>
      <c r="AK59" s="29" t="s">
        <v>609</v>
      </c>
      <c r="AL59" s="29" t="s">
        <v>612</v>
      </c>
      <c r="AM59" s="34" t="s">
        <v>130</v>
      </c>
      <c r="AN59" s="34" t="s">
        <v>130</v>
      </c>
      <c r="AO59" s="40" t="s">
        <v>83</v>
      </c>
      <c r="AP59" s="29" t="s">
        <v>605</v>
      </c>
      <c r="AQ59" s="88" t="s">
        <v>303</v>
      </c>
      <c r="AR59" s="89">
        <f>VLOOKUP(AQ59,'[1]Critério de Depreciação'!$C$3:$G$8,5,FALSE)</f>
        <v>0.83333333333333337</v>
      </c>
      <c r="AS59" s="29" t="s">
        <v>130</v>
      </c>
      <c r="AT59" s="29" t="s">
        <v>130</v>
      </c>
      <c r="AU59" s="29" t="str">
        <f>IFERROR(VLOOKUP(#REF!,[2]Frota!$D$2:$AV$187,12,FALSE),"-")</f>
        <v>-</v>
      </c>
      <c r="AV59" s="45" t="s">
        <v>130</v>
      </c>
      <c r="AW59" s="90">
        <v>310000</v>
      </c>
      <c r="AX59" s="86" t="s">
        <v>130</v>
      </c>
      <c r="AY59" s="91" t="s">
        <v>130</v>
      </c>
      <c r="AZ59" s="85">
        <f>270000/30*21</f>
        <v>189000</v>
      </c>
      <c r="BA59" s="123" t="s">
        <v>130</v>
      </c>
      <c r="BB59" s="86" t="s">
        <v>130</v>
      </c>
      <c r="BC59" s="85" t="s">
        <v>130</v>
      </c>
      <c r="BD59" s="85" t="s">
        <v>130</v>
      </c>
      <c r="BE59" s="92">
        <f t="shared" si="22"/>
        <v>189000</v>
      </c>
      <c r="BF59" s="92">
        <f t="shared" si="28"/>
        <v>310000</v>
      </c>
      <c r="BG59" s="92">
        <v>0</v>
      </c>
      <c r="BH59" s="92">
        <v>0</v>
      </c>
      <c r="BI59" s="92">
        <v>0</v>
      </c>
      <c r="BJ59" s="92">
        <v>0</v>
      </c>
      <c r="BK59" s="92">
        <v>0</v>
      </c>
      <c r="BL59" s="92">
        <v>0</v>
      </c>
      <c r="BM59" s="93">
        <f t="shared" si="21"/>
        <v>310000</v>
      </c>
      <c r="BN59" s="92">
        <v>0</v>
      </c>
      <c r="BO59" s="92">
        <f t="shared" si="27"/>
        <v>5166.666666666667</v>
      </c>
      <c r="BP59" s="92">
        <f t="shared" si="20"/>
        <v>5166.666666666667</v>
      </c>
      <c r="BQ59" s="92">
        <v>0</v>
      </c>
      <c r="BR59" s="92">
        <v>0</v>
      </c>
      <c r="BS59" s="85">
        <f t="shared" si="23"/>
        <v>5166.666666666667</v>
      </c>
      <c r="BT59" s="94" t="s">
        <v>130</v>
      </c>
      <c r="BU59" s="94" t="s">
        <v>130</v>
      </c>
      <c r="BV59" s="94" t="s">
        <v>130</v>
      </c>
      <c r="BW59" s="95" t="s">
        <v>130</v>
      </c>
      <c r="BX59" s="96" t="s">
        <v>130</v>
      </c>
      <c r="BY59" s="29" t="s">
        <v>130</v>
      </c>
      <c r="BZ59" s="29" t="s">
        <v>130</v>
      </c>
      <c r="CA59" s="29" t="s">
        <v>130</v>
      </c>
      <c r="CB59" s="29" t="s">
        <v>130</v>
      </c>
      <c r="CC59" s="29" t="s">
        <v>130</v>
      </c>
      <c r="CD59" s="29" t="s">
        <v>130</v>
      </c>
      <c r="CE59" s="29" t="str">
        <f t="shared" si="16"/>
        <v>MS - 3 LAGOAS</v>
      </c>
      <c r="CF59" s="97" t="s">
        <v>130</v>
      </c>
      <c r="CG59" s="97" t="s">
        <v>130</v>
      </c>
      <c r="CH59" s="37">
        <f t="shared" si="24"/>
        <v>310000</v>
      </c>
      <c r="CI59" s="98" t="s">
        <v>130</v>
      </c>
      <c r="CJ59" s="39">
        <v>5</v>
      </c>
      <c r="CK59" s="39">
        <v>5</v>
      </c>
      <c r="CL59" s="39">
        <f t="shared" si="25"/>
        <v>60</v>
      </c>
      <c r="CM59" s="99">
        <f t="shared" si="26"/>
        <v>10333.333333333334</v>
      </c>
      <c r="CN59" s="88" t="s">
        <v>130</v>
      </c>
      <c r="CO59" s="99">
        <f t="shared" si="0"/>
        <v>2583.3333333333335</v>
      </c>
      <c r="CP59" s="128" t="s">
        <v>92</v>
      </c>
      <c r="CQ59" s="128"/>
      <c r="CR59" s="100"/>
      <c r="CS59" s="100"/>
    </row>
    <row r="60" spans="1:97" x14ac:dyDescent="0.25">
      <c r="A60" s="27">
        <v>176</v>
      </c>
      <c r="B60" s="27">
        <v>188</v>
      </c>
      <c r="C60" s="29" t="s">
        <v>296</v>
      </c>
      <c r="D60" s="40" t="s">
        <v>49</v>
      </c>
      <c r="E60" s="40" t="s">
        <v>130</v>
      </c>
      <c r="F60" s="40" t="s">
        <v>130</v>
      </c>
      <c r="G60" s="40"/>
      <c r="H60" s="41" t="s">
        <v>130</v>
      </c>
      <c r="I60" s="29" t="s">
        <v>130</v>
      </c>
      <c r="J60" s="29" t="s">
        <v>130</v>
      </c>
      <c r="K60" s="29" t="s">
        <v>130</v>
      </c>
      <c r="L60" s="85" t="s">
        <v>130</v>
      </c>
      <c r="M60" s="86" t="s">
        <v>130</v>
      </c>
      <c r="N60" s="85" t="s">
        <v>130</v>
      </c>
      <c r="O60" s="86" t="s">
        <v>130</v>
      </c>
      <c r="P60" s="85" t="s">
        <v>130</v>
      </c>
      <c r="Q60" s="29" t="s">
        <v>130</v>
      </c>
      <c r="R60" s="85" t="s">
        <v>130</v>
      </c>
      <c r="S60" s="85" t="s">
        <v>130</v>
      </c>
      <c r="T60" s="85" t="s">
        <v>130</v>
      </c>
      <c r="U60" s="85" t="s">
        <v>130</v>
      </c>
      <c r="V60" s="85" t="s">
        <v>130</v>
      </c>
      <c r="W60" s="85" t="s">
        <v>130</v>
      </c>
      <c r="X60" s="85" t="s">
        <v>130</v>
      </c>
      <c r="Y60" s="85" t="s">
        <v>130</v>
      </c>
      <c r="Z60" s="85" t="s">
        <v>130</v>
      </c>
      <c r="AA60" s="85" t="s">
        <v>130</v>
      </c>
      <c r="AB60" s="85" t="s">
        <v>130</v>
      </c>
      <c r="AC60" s="85" t="s">
        <v>130</v>
      </c>
      <c r="AD60" s="85" t="s">
        <v>130</v>
      </c>
      <c r="AE60" s="29" t="s">
        <v>45</v>
      </c>
      <c r="AF60" s="29" t="s">
        <v>130</v>
      </c>
      <c r="AG60" s="40" t="s">
        <v>613</v>
      </c>
      <c r="AH60" s="29" t="s">
        <v>130</v>
      </c>
      <c r="AI60" s="87" t="str">
        <f>IFERROR(VLOOKUP(AG60,[2]Frota!$D$2:$AV$187,2,FALSE),"-")</f>
        <v>-</v>
      </c>
      <c r="AJ60" s="87" t="str">
        <f>IFERROR(VLOOKUP(AG60,[2]Frota!$D$2:$AV$187,3,FALSE),"-")</f>
        <v>-</v>
      </c>
      <c r="AK60" s="29" t="s">
        <v>614</v>
      </c>
      <c r="AL60" s="29" t="s">
        <v>615</v>
      </c>
      <c r="AM60" s="34" t="s">
        <v>130</v>
      </c>
      <c r="AN60" s="34" t="s">
        <v>130</v>
      </c>
      <c r="AO60" s="40" t="s">
        <v>616</v>
      </c>
      <c r="AP60" s="29" t="s">
        <v>605</v>
      </c>
      <c r="AQ60" s="88" t="s">
        <v>303</v>
      </c>
      <c r="AR60" s="89">
        <f>VLOOKUP(AQ60,'[1]Critério de Depreciação'!$C$3:$G$8,5,FALSE)</f>
        <v>0.83333333333333337</v>
      </c>
      <c r="AS60" s="29" t="s">
        <v>130</v>
      </c>
      <c r="AT60" s="29" t="s">
        <v>130</v>
      </c>
      <c r="AU60" s="29" t="str">
        <f>IFERROR(VLOOKUP(#REF!,[2]Frota!$D$2:$AV$187,12,FALSE),"-")</f>
        <v>-</v>
      </c>
      <c r="AV60" s="45" t="s">
        <v>130</v>
      </c>
      <c r="AW60" s="90">
        <v>200000</v>
      </c>
      <c r="AX60" s="86" t="s">
        <v>130</v>
      </c>
      <c r="AY60" s="91" t="s">
        <v>130</v>
      </c>
      <c r="AZ60" s="85">
        <f>20000+45000</f>
        <v>65000</v>
      </c>
      <c r="BA60" s="123" t="s">
        <v>130</v>
      </c>
      <c r="BB60" s="86" t="s">
        <v>130</v>
      </c>
      <c r="BC60" s="85" t="s">
        <v>130</v>
      </c>
      <c r="BD60" s="85" t="s">
        <v>130</v>
      </c>
      <c r="BE60" s="92">
        <f t="shared" si="22"/>
        <v>65000</v>
      </c>
      <c r="BF60" s="92">
        <v>200000</v>
      </c>
      <c r="BG60" s="92">
        <v>0</v>
      </c>
      <c r="BH60" s="92">
        <v>0</v>
      </c>
      <c r="BI60" s="92">
        <v>0</v>
      </c>
      <c r="BJ60" s="92">
        <v>0</v>
      </c>
      <c r="BK60" s="92">
        <v>0</v>
      </c>
      <c r="BL60" s="92">
        <v>0</v>
      </c>
      <c r="BM60" s="93">
        <f t="shared" si="21"/>
        <v>200000</v>
      </c>
      <c r="BN60" s="92">
        <v>0</v>
      </c>
      <c r="BO60" s="92">
        <f t="shared" si="27"/>
        <v>3333.3333333333335</v>
      </c>
      <c r="BP60" s="92">
        <f t="shared" si="20"/>
        <v>3333.3333333333335</v>
      </c>
      <c r="BQ60" s="92">
        <v>0</v>
      </c>
      <c r="BR60" s="92">
        <v>0</v>
      </c>
      <c r="BS60" s="85">
        <f t="shared" si="23"/>
        <v>3333.3333333333335</v>
      </c>
      <c r="BT60" s="94" t="s">
        <v>130</v>
      </c>
      <c r="BU60" s="94" t="s">
        <v>130</v>
      </c>
      <c r="BV60" s="94" t="s">
        <v>130</v>
      </c>
      <c r="BW60" s="95" t="s">
        <v>130</v>
      </c>
      <c r="BX60" s="96" t="s">
        <v>130</v>
      </c>
      <c r="BY60" s="29" t="s">
        <v>130</v>
      </c>
      <c r="BZ60" s="29" t="s">
        <v>130</v>
      </c>
      <c r="CA60" s="29" t="s">
        <v>130</v>
      </c>
      <c r="CB60" s="29" t="s">
        <v>130</v>
      </c>
      <c r="CC60" s="29" t="s">
        <v>130</v>
      </c>
      <c r="CD60" s="29" t="s">
        <v>130</v>
      </c>
      <c r="CE60" s="29" t="str">
        <f t="shared" si="16"/>
        <v>-</v>
      </c>
      <c r="CF60" s="97" t="s">
        <v>130</v>
      </c>
      <c r="CG60" s="97" t="s">
        <v>130</v>
      </c>
      <c r="CH60" s="37">
        <f t="shared" si="24"/>
        <v>200000</v>
      </c>
      <c r="CI60" s="98" t="s">
        <v>130</v>
      </c>
      <c r="CJ60" s="39">
        <v>5</v>
      </c>
      <c r="CK60" s="39">
        <v>5</v>
      </c>
      <c r="CL60" s="39">
        <f t="shared" si="25"/>
        <v>60</v>
      </c>
      <c r="CM60" s="99">
        <f t="shared" si="26"/>
        <v>6666.666666666667</v>
      </c>
      <c r="CN60" s="88" t="s">
        <v>130</v>
      </c>
      <c r="CO60" s="99">
        <f t="shared" si="0"/>
        <v>1666.666666666667</v>
      </c>
      <c r="CP60" s="128" t="s">
        <v>92</v>
      </c>
      <c r="CQ60" s="128"/>
      <c r="CR60" s="48"/>
      <c r="CS60" s="48"/>
    </row>
    <row r="61" spans="1:97" x14ac:dyDescent="0.25">
      <c r="A61" s="27">
        <v>177</v>
      </c>
      <c r="B61" s="27">
        <v>189</v>
      </c>
      <c r="C61" s="29" t="s">
        <v>296</v>
      </c>
      <c r="D61" s="40" t="s">
        <v>49</v>
      </c>
      <c r="E61" s="40" t="s">
        <v>130</v>
      </c>
      <c r="F61" s="40" t="s">
        <v>130</v>
      </c>
      <c r="G61" s="40"/>
      <c r="H61" s="41" t="s">
        <v>130</v>
      </c>
      <c r="I61" s="29" t="s">
        <v>130</v>
      </c>
      <c r="J61" s="29" t="s">
        <v>130</v>
      </c>
      <c r="K61" s="29" t="s">
        <v>130</v>
      </c>
      <c r="L61" s="85" t="s">
        <v>130</v>
      </c>
      <c r="M61" s="86" t="s">
        <v>130</v>
      </c>
      <c r="N61" s="85" t="s">
        <v>130</v>
      </c>
      <c r="O61" s="86" t="s">
        <v>130</v>
      </c>
      <c r="P61" s="85" t="s">
        <v>130</v>
      </c>
      <c r="Q61" s="29" t="s">
        <v>130</v>
      </c>
      <c r="R61" s="85" t="s">
        <v>130</v>
      </c>
      <c r="S61" s="85" t="s">
        <v>130</v>
      </c>
      <c r="T61" s="85" t="s">
        <v>130</v>
      </c>
      <c r="U61" s="85" t="s">
        <v>130</v>
      </c>
      <c r="V61" s="85" t="s">
        <v>130</v>
      </c>
      <c r="W61" s="85" t="s">
        <v>130</v>
      </c>
      <c r="X61" s="85" t="s">
        <v>130</v>
      </c>
      <c r="Y61" s="85" t="s">
        <v>130</v>
      </c>
      <c r="Z61" s="85" t="s">
        <v>130</v>
      </c>
      <c r="AA61" s="85" t="s">
        <v>130</v>
      </c>
      <c r="AB61" s="85" t="s">
        <v>130</v>
      </c>
      <c r="AC61" s="85" t="s">
        <v>130</v>
      </c>
      <c r="AD61" s="85" t="s">
        <v>130</v>
      </c>
      <c r="AE61" s="29" t="s">
        <v>45</v>
      </c>
      <c r="AF61" s="29" t="s">
        <v>130</v>
      </c>
      <c r="AG61" s="40" t="s">
        <v>617</v>
      </c>
      <c r="AH61" s="29" t="s">
        <v>130</v>
      </c>
      <c r="AI61" s="87" t="str">
        <f>IFERROR(VLOOKUP(AG61,[2]Frota!$D$2:$AV$187,2,FALSE),"-")</f>
        <v>-</v>
      </c>
      <c r="AJ61" s="87" t="str">
        <f>IFERROR(VLOOKUP(AG61,[2]Frota!$D$2:$AV$187,3,FALSE),"-")</f>
        <v>-</v>
      </c>
      <c r="AK61" s="29" t="s">
        <v>614</v>
      </c>
      <c r="AL61" s="29" t="s">
        <v>615</v>
      </c>
      <c r="AM61" s="34" t="s">
        <v>130</v>
      </c>
      <c r="AN61" s="34" t="s">
        <v>130</v>
      </c>
      <c r="AO61" s="40" t="s">
        <v>616</v>
      </c>
      <c r="AP61" s="29" t="s">
        <v>605</v>
      </c>
      <c r="AQ61" s="88" t="s">
        <v>303</v>
      </c>
      <c r="AR61" s="89">
        <f>VLOOKUP(AQ61,'[1]Critério de Depreciação'!$C$3:$G$8,5,FALSE)</f>
        <v>0.83333333333333337</v>
      </c>
      <c r="AS61" s="29" t="s">
        <v>130</v>
      </c>
      <c r="AT61" s="29" t="s">
        <v>130</v>
      </c>
      <c r="AU61" s="29" t="str">
        <f>IFERROR(VLOOKUP(#REF!,[2]Frota!$D$2:$AV$187,12,FALSE),"-")</f>
        <v>-</v>
      </c>
      <c r="AV61" s="45" t="s">
        <v>130</v>
      </c>
      <c r="AW61" s="90">
        <v>200000</v>
      </c>
      <c r="AX61" s="86" t="s">
        <v>130</v>
      </c>
      <c r="AY61" s="91" t="s">
        <v>130</v>
      </c>
      <c r="AZ61" s="85">
        <f>20000+45000</f>
        <v>65000</v>
      </c>
      <c r="BA61" s="123" t="s">
        <v>130</v>
      </c>
      <c r="BB61" s="86" t="s">
        <v>130</v>
      </c>
      <c r="BC61" s="85" t="s">
        <v>130</v>
      </c>
      <c r="BD61" s="85" t="s">
        <v>130</v>
      </c>
      <c r="BE61" s="92">
        <f t="shared" si="22"/>
        <v>65000</v>
      </c>
      <c r="BF61" s="92">
        <v>200000</v>
      </c>
      <c r="BG61" s="92">
        <v>0</v>
      </c>
      <c r="BH61" s="92">
        <v>0</v>
      </c>
      <c r="BI61" s="92">
        <v>0</v>
      </c>
      <c r="BJ61" s="92">
        <v>0</v>
      </c>
      <c r="BK61" s="92">
        <v>0</v>
      </c>
      <c r="BL61" s="92">
        <v>0</v>
      </c>
      <c r="BM61" s="93">
        <f t="shared" si="21"/>
        <v>200000</v>
      </c>
      <c r="BN61" s="92">
        <v>0</v>
      </c>
      <c r="BO61" s="92">
        <f t="shared" si="27"/>
        <v>3333.3333333333335</v>
      </c>
      <c r="BP61" s="92">
        <f t="shared" si="20"/>
        <v>3333.3333333333335</v>
      </c>
      <c r="BQ61" s="92">
        <v>0</v>
      </c>
      <c r="BR61" s="92">
        <v>0</v>
      </c>
      <c r="BS61" s="85">
        <f t="shared" si="23"/>
        <v>3333.3333333333335</v>
      </c>
      <c r="BT61" s="94" t="s">
        <v>130</v>
      </c>
      <c r="BU61" s="94" t="s">
        <v>130</v>
      </c>
      <c r="BV61" s="94" t="s">
        <v>130</v>
      </c>
      <c r="BW61" s="95" t="s">
        <v>130</v>
      </c>
      <c r="BX61" s="96" t="s">
        <v>130</v>
      </c>
      <c r="BY61" s="29" t="s">
        <v>130</v>
      </c>
      <c r="BZ61" s="29" t="s">
        <v>130</v>
      </c>
      <c r="CA61" s="29" t="s">
        <v>130</v>
      </c>
      <c r="CB61" s="29" t="s">
        <v>130</v>
      </c>
      <c r="CC61" s="29" t="s">
        <v>130</v>
      </c>
      <c r="CD61" s="29" t="s">
        <v>130</v>
      </c>
      <c r="CE61" s="29" t="str">
        <f t="shared" si="16"/>
        <v>-</v>
      </c>
      <c r="CF61" s="97" t="s">
        <v>130</v>
      </c>
      <c r="CG61" s="97" t="s">
        <v>130</v>
      </c>
      <c r="CH61" s="37">
        <f t="shared" si="24"/>
        <v>200000</v>
      </c>
      <c r="CI61" s="98" t="s">
        <v>130</v>
      </c>
      <c r="CJ61" s="39">
        <v>5</v>
      </c>
      <c r="CK61" s="39">
        <v>5</v>
      </c>
      <c r="CL61" s="39">
        <f t="shared" si="25"/>
        <v>60</v>
      </c>
      <c r="CM61" s="99">
        <f t="shared" si="26"/>
        <v>6666.666666666667</v>
      </c>
      <c r="CN61" s="88" t="s">
        <v>130</v>
      </c>
      <c r="CO61" s="99">
        <f t="shared" si="0"/>
        <v>1666.666666666667</v>
      </c>
      <c r="CP61" s="128" t="s">
        <v>92</v>
      </c>
      <c r="CQ61" s="128"/>
      <c r="CR61" s="48"/>
      <c r="CS61" s="48"/>
    </row>
    <row r="62" spans="1:97" x14ac:dyDescent="0.25">
      <c r="A62" s="27">
        <v>178</v>
      </c>
      <c r="B62" s="27">
        <v>190</v>
      </c>
      <c r="C62" s="29" t="s">
        <v>296</v>
      </c>
      <c r="D62" s="40" t="s">
        <v>49</v>
      </c>
      <c r="E62" s="40" t="s">
        <v>130</v>
      </c>
      <c r="F62" s="88" t="s">
        <v>130</v>
      </c>
      <c r="G62" s="40"/>
      <c r="H62" s="41" t="s">
        <v>130</v>
      </c>
      <c r="I62" s="29" t="s">
        <v>130</v>
      </c>
      <c r="J62" s="29" t="s">
        <v>130</v>
      </c>
      <c r="K62" s="29" t="s">
        <v>130</v>
      </c>
      <c r="L62" s="85" t="s">
        <v>130</v>
      </c>
      <c r="M62" s="86" t="s">
        <v>130</v>
      </c>
      <c r="N62" s="85" t="s">
        <v>130</v>
      </c>
      <c r="O62" s="86" t="s">
        <v>130</v>
      </c>
      <c r="P62" s="85" t="s">
        <v>130</v>
      </c>
      <c r="Q62" s="29" t="s">
        <v>130</v>
      </c>
      <c r="R62" s="85" t="s">
        <v>130</v>
      </c>
      <c r="S62" s="85" t="s">
        <v>130</v>
      </c>
      <c r="T62" s="85" t="s">
        <v>130</v>
      </c>
      <c r="U62" s="85" t="s">
        <v>130</v>
      </c>
      <c r="V62" s="85" t="s">
        <v>130</v>
      </c>
      <c r="W62" s="85" t="s">
        <v>130</v>
      </c>
      <c r="X62" s="85" t="s">
        <v>130</v>
      </c>
      <c r="Y62" s="85" t="s">
        <v>130</v>
      </c>
      <c r="Z62" s="85" t="s">
        <v>130</v>
      </c>
      <c r="AA62" s="85" t="s">
        <v>130</v>
      </c>
      <c r="AB62" s="85" t="s">
        <v>130</v>
      </c>
      <c r="AC62" s="85" t="s">
        <v>130</v>
      </c>
      <c r="AD62" s="85" t="s">
        <v>130</v>
      </c>
      <c r="AE62" s="29" t="s">
        <v>45</v>
      </c>
      <c r="AF62" s="29" t="s">
        <v>130</v>
      </c>
      <c r="AG62" s="40" t="s">
        <v>618</v>
      </c>
      <c r="AH62" s="29" t="s">
        <v>130</v>
      </c>
      <c r="AI62" s="87" t="str">
        <f>IFERROR(VLOOKUP(AG62,[2]Frota!$D$2:$AV$187,2,FALSE),"-")</f>
        <v>-</v>
      </c>
      <c r="AJ62" s="87" t="str">
        <f>IFERROR(VLOOKUP(AG62,[2]Frota!$D$2:$AV$187,3,FALSE),"-")</f>
        <v>-</v>
      </c>
      <c r="AK62" s="29" t="s">
        <v>614</v>
      </c>
      <c r="AL62" s="29" t="s">
        <v>176</v>
      </c>
      <c r="AM62" s="34" t="s">
        <v>130</v>
      </c>
      <c r="AN62" s="34" t="s">
        <v>130</v>
      </c>
      <c r="AO62" s="40" t="s">
        <v>616</v>
      </c>
      <c r="AP62" s="29" t="s">
        <v>605</v>
      </c>
      <c r="AQ62" s="88" t="s">
        <v>303</v>
      </c>
      <c r="AR62" s="89">
        <f>VLOOKUP(AQ62,'[1]Critério de Depreciação'!$C$3:$G$8,5,FALSE)</f>
        <v>0.83333333333333337</v>
      </c>
      <c r="AS62" s="29" t="s">
        <v>130</v>
      </c>
      <c r="AT62" s="29" t="s">
        <v>130</v>
      </c>
      <c r="AU62" s="29" t="str">
        <f>IFERROR(VLOOKUP(#REF!,[2]Frota!$D$2:$AV$187,12,FALSE),"-")</f>
        <v>-</v>
      </c>
      <c r="AV62" s="45" t="s">
        <v>130</v>
      </c>
      <c r="AW62" s="90">
        <v>200000</v>
      </c>
      <c r="AX62" s="86" t="s">
        <v>130</v>
      </c>
      <c r="AY62" s="91" t="s">
        <v>130</v>
      </c>
      <c r="AZ62" s="85">
        <f>20000+45000</f>
        <v>65000</v>
      </c>
      <c r="BA62" s="123" t="s">
        <v>130</v>
      </c>
      <c r="BB62" s="86" t="s">
        <v>130</v>
      </c>
      <c r="BC62" s="85" t="s">
        <v>130</v>
      </c>
      <c r="BD62" s="85" t="s">
        <v>130</v>
      </c>
      <c r="BE62" s="92">
        <f t="shared" si="22"/>
        <v>65000</v>
      </c>
      <c r="BF62" s="92">
        <v>200000</v>
      </c>
      <c r="BG62" s="92">
        <v>0</v>
      </c>
      <c r="BH62" s="92">
        <v>0</v>
      </c>
      <c r="BI62" s="92">
        <v>0</v>
      </c>
      <c r="BJ62" s="92">
        <v>0</v>
      </c>
      <c r="BK62" s="92">
        <v>0</v>
      </c>
      <c r="BL62" s="92">
        <v>0</v>
      </c>
      <c r="BM62" s="93">
        <f t="shared" si="21"/>
        <v>200000</v>
      </c>
      <c r="BN62" s="92">
        <v>0</v>
      </c>
      <c r="BO62" s="92">
        <f t="shared" si="27"/>
        <v>3333.3333333333335</v>
      </c>
      <c r="BP62" s="92">
        <f t="shared" si="20"/>
        <v>3333.3333333333335</v>
      </c>
      <c r="BQ62" s="92">
        <v>0</v>
      </c>
      <c r="BR62" s="92">
        <v>0</v>
      </c>
      <c r="BS62" s="85">
        <f t="shared" si="23"/>
        <v>3333.3333333333335</v>
      </c>
      <c r="BT62" s="94" t="s">
        <v>130</v>
      </c>
      <c r="BU62" s="94" t="s">
        <v>130</v>
      </c>
      <c r="BV62" s="94" t="s">
        <v>130</v>
      </c>
      <c r="BW62" s="95" t="s">
        <v>130</v>
      </c>
      <c r="BX62" s="96" t="s">
        <v>130</v>
      </c>
      <c r="BY62" s="29" t="s">
        <v>130</v>
      </c>
      <c r="BZ62" s="29" t="s">
        <v>130</v>
      </c>
      <c r="CA62" s="29" t="s">
        <v>130</v>
      </c>
      <c r="CB62" s="29" t="s">
        <v>130</v>
      </c>
      <c r="CC62" s="29" t="s">
        <v>130</v>
      </c>
      <c r="CD62" s="29" t="s">
        <v>130</v>
      </c>
      <c r="CE62" s="29" t="str">
        <f t="shared" si="16"/>
        <v>-</v>
      </c>
      <c r="CF62" s="97" t="s">
        <v>130</v>
      </c>
      <c r="CG62" s="97" t="s">
        <v>130</v>
      </c>
      <c r="CH62" s="37">
        <f t="shared" si="24"/>
        <v>200000</v>
      </c>
      <c r="CI62" s="98" t="s">
        <v>130</v>
      </c>
      <c r="CJ62" s="39">
        <v>5</v>
      </c>
      <c r="CK62" s="39">
        <v>5</v>
      </c>
      <c r="CL62" s="39">
        <f t="shared" si="25"/>
        <v>60</v>
      </c>
      <c r="CM62" s="99">
        <f t="shared" si="26"/>
        <v>6666.666666666667</v>
      </c>
      <c r="CN62" s="88" t="s">
        <v>130</v>
      </c>
      <c r="CO62" s="99">
        <f t="shared" si="0"/>
        <v>1666.666666666667</v>
      </c>
      <c r="CP62" s="128" t="s">
        <v>92</v>
      </c>
      <c r="CQ62" s="128"/>
      <c r="CR62" s="48"/>
      <c r="CS62" s="48"/>
    </row>
    <row r="63" spans="1:97" x14ac:dyDescent="0.25">
      <c r="A63" s="27">
        <v>52</v>
      </c>
      <c r="B63" s="27">
        <v>2</v>
      </c>
      <c r="C63" s="29" t="s">
        <v>296</v>
      </c>
      <c r="D63" s="40" t="s">
        <v>49</v>
      </c>
      <c r="E63" s="40" t="s">
        <v>130</v>
      </c>
      <c r="F63" s="88" t="s">
        <v>130</v>
      </c>
      <c r="G63" s="40" t="s">
        <v>489</v>
      </c>
      <c r="H63" s="41" t="s">
        <v>306</v>
      </c>
      <c r="I63" s="29" t="s">
        <v>307</v>
      </c>
      <c r="J63" s="85">
        <f>L63+N63</f>
        <v>1496.03</v>
      </c>
      <c r="K63" s="85" t="s">
        <v>466</v>
      </c>
      <c r="L63" s="85">
        <v>167.74</v>
      </c>
      <c r="M63" s="86">
        <v>45672</v>
      </c>
      <c r="N63" s="85">
        <v>1328.29</v>
      </c>
      <c r="O63" s="86">
        <v>45769</v>
      </c>
      <c r="P63" s="85">
        <v>1369.38</v>
      </c>
      <c r="Q63" s="29" t="s">
        <v>80</v>
      </c>
      <c r="R63" s="85">
        <v>0</v>
      </c>
      <c r="S63" s="85">
        <v>0</v>
      </c>
      <c r="T63" s="85">
        <v>0</v>
      </c>
      <c r="U63" s="85">
        <v>1376.91</v>
      </c>
      <c r="V63" s="85">
        <v>1335.6</v>
      </c>
      <c r="W63" s="86">
        <v>46036</v>
      </c>
      <c r="X63" s="86">
        <v>46134</v>
      </c>
      <c r="Y63" s="85">
        <v>174.08</v>
      </c>
      <c r="Z63" s="85">
        <f>U63+Y63</f>
        <v>1550.99</v>
      </c>
      <c r="AA63" s="85">
        <f>V63+Y63</f>
        <v>1509.6799999999998</v>
      </c>
      <c r="AB63" s="85">
        <v>0</v>
      </c>
      <c r="AC63" s="85">
        <v>0</v>
      </c>
      <c r="AD63" s="85">
        <v>0</v>
      </c>
      <c r="AE63" s="29" t="s">
        <v>298</v>
      </c>
      <c r="AF63" s="29" t="s">
        <v>46</v>
      </c>
      <c r="AG63" s="234" t="s">
        <v>619</v>
      </c>
      <c r="AH63" s="29" t="s">
        <v>474</v>
      </c>
      <c r="AI63" s="87" t="str">
        <f>IFERROR(VLOOKUP(AG63,[2]Frota!$D$2:$AV$187,2,FALSE),"-")</f>
        <v>00206268920</v>
      </c>
      <c r="AJ63" s="87" t="str">
        <f>IFERROR(VLOOKUP(AG63,[2]Frota!$D$2:$AV$187,3,FALSE),"-")</f>
        <v>9BFYCAWY2ABB46976</v>
      </c>
      <c r="AK63" s="29" t="s">
        <v>549</v>
      </c>
      <c r="AL63" s="29" t="s">
        <v>620</v>
      </c>
      <c r="AM63" s="34">
        <v>2009</v>
      </c>
      <c r="AN63" s="34">
        <v>2010</v>
      </c>
      <c r="AO63" s="40" t="s">
        <v>621</v>
      </c>
      <c r="AP63" s="29" t="s">
        <v>622</v>
      </c>
      <c r="AQ63" s="88" t="s">
        <v>464</v>
      </c>
      <c r="AR63" s="89">
        <f>VLOOKUP(AQ63,'[1]Critério de Depreciação'!$C$3:$G$8,5,FALSE)</f>
        <v>1.6666666666666667</v>
      </c>
      <c r="AS63" s="29" t="s">
        <v>130</v>
      </c>
      <c r="AT63" s="29" t="s">
        <v>322</v>
      </c>
      <c r="AU63" s="29" t="str">
        <f>IFERROR(VLOOKUP(AG108,[2]Frota!$D$2:$AV$187,12,FALSE),"-")</f>
        <v>-</v>
      </c>
      <c r="AV63" s="45">
        <v>27768</v>
      </c>
      <c r="AW63" s="90">
        <v>160000</v>
      </c>
      <c r="AX63" s="86">
        <v>40174</v>
      </c>
      <c r="AY63" s="91" t="s">
        <v>130</v>
      </c>
      <c r="AZ63" s="85" t="s">
        <v>130</v>
      </c>
      <c r="BA63" s="123">
        <v>94668</v>
      </c>
      <c r="BB63" s="86">
        <v>45215</v>
      </c>
      <c r="BC63" s="85">
        <v>85000</v>
      </c>
      <c r="BD63" s="85">
        <v>190000</v>
      </c>
      <c r="BE63" s="92">
        <f t="shared" si="22"/>
        <v>369668</v>
      </c>
      <c r="BF63" s="92">
        <v>0</v>
      </c>
      <c r="BG63" s="92">
        <v>160000</v>
      </c>
      <c r="BH63" s="92">
        <f>85000+15000</f>
        <v>100000</v>
      </c>
      <c r="BI63" s="92">
        <v>0</v>
      </c>
      <c r="BJ63" s="92">
        <v>0</v>
      </c>
      <c r="BK63" s="92">
        <v>0</v>
      </c>
      <c r="BL63" s="92">
        <v>0</v>
      </c>
      <c r="BM63" s="93">
        <f t="shared" si="21"/>
        <v>260000</v>
      </c>
      <c r="BN63" s="92">
        <v>0</v>
      </c>
      <c r="BO63" s="92">
        <v>0</v>
      </c>
      <c r="BP63" s="92">
        <v>0</v>
      </c>
      <c r="BQ63" s="92">
        <v>0</v>
      </c>
      <c r="BR63" s="92">
        <v>0</v>
      </c>
      <c r="BS63" s="85">
        <f t="shared" si="23"/>
        <v>2666.6666666666665</v>
      </c>
      <c r="BT63" s="94" t="s">
        <v>130</v>
      </c>
      <c r="BU63" s="94" t="s">
        <v>130</v>
      </c>
      <c r="BV63" s="94" t="s">
        <v>130</v>
      </c>
      <c r="BW63" s="95" t="s">
        <v>130</v>
      </c>
      <c r="BX63" s="96" t="s">
        <v>130</v>
      </c>
      <c r="BY63" s="29" t="s">
        <v>317</v>
      </c>
      <c r="BZ63" s="29" t="s">
        <v>314</v>
      </c>
      <c r="CA63" s="29" t="s">
        <v>130</v>
      </c>
      <c r="CB63" s="29" t="s">
        <v>130</v>
      </c>
      <c r="CC63" s="29" t="s">
        <v>130</v>
      </c>
      <c r="CD63" s="29" t="s">
        <v>130</v>
      </c>
      <c r="CE63" s="29" t="str">
        <f t="shared" si="16"/>
        <v>SP - PRUDENTE - SUCATA</v>
      </c>
      <c r="CF63" s="97" t="s">
        <v>130</v>
      </c>
      <c r="CG63" s="97" t="s">
        <v>130</v>
      </c>
      <c r="CH63" s="37">
        <f t="shared" si="24"/>
        <v>260000</v>
      </c>
      <c r="CI63" s="98" t="s">
        <v>130</v>
      </c>
      <c r="CJ63" s="39">
        <v>5</v>
      </c>
      <c r="CK63" s="39">
        <v>5</v>
      </c>
      <c r="CL63" s="39">
        <f t="shared" si="25"/>
        <v>60</v>
      </c>
      <c r="CM63" s="99">
        <f t="shared" si="26"/>
        <v>8666.6666666666661</v>
      </c>
      <c r="CN63" s="40" t="str">
        <f>IFERROR(IF(VLOOKUP(AG63,'[1]ATIVOS SAGI'!C:D,1,FALSE)&lt;&gt;"","CADASTRADO","NÃO CADASTRADO"),"NÃO CADASTRADO")</f>
        <v>CADASTRADO</v>
      </c>
      <c r="CO63" s="99">
        <f t="shared" si="0"/>
        <v>4333.3333333333339</v>
      </c>
      <c r="CP63" s="128" t="s">
        <v>92</v>
      </c>
      <c r="CQ63" s="128"/>
      <c r="CR63" s="48"/>
      <c r="CS63" s="48"/>
    </row>
    <row r="64" spans="1:97" x14ac:dyDescent="0.25">
      <c r="A64" s="27">
        <v>53</v>
      </c>
      <c r="B64" s="101">
        <v>3</v>
      </c>
      <c r="C64" s="102" t="s">
        <v>296</v>
      </c>
      <c r="D64" s="88" t="s">
        <v>49</v>
      </c>
      <c r="E64" s="88" t="s">
        <v>130</v>
      </c>
      <c r="F64" s="88" t="s">
        <v>130</v>
      </c>
      <c r="G64" s="88"/>
      <c r="H64" s="104" t="s">
        <v>130</v>
      </c>
      <c r="I64" s="102" t="s">
        <v>307</v>
      </c>
      <c r="J64" s="105">
        <f>L64+N64</f>
        <v>1496.03</v>
      </c>
      <c r="K64" s="105" t="s">
        <v>466</v>
      </c>
      <c r="L64" s="105">
        <v>167.74</v>
      </c>
      <c r="M64" s="106">
        <v>45673</v>
      </c>
      <c r="N64" s="105">
        <v>1328.29</v>
      </c>
      <c r="O64" s="106">
        <v>45769</v>
      </c>
      <c r="P64" s="105">
        <v>1369.38</v>
      </c>
      <c r="Q64" s="102" t="s">
        <v>80</v>
      </c>
      <c r="R64" s="105">
        <v>0</v>
      </c>
      <c r="S64" s="105">
        <v>0</v>
      </c>
      <c r="T64" s="105">
        <v>0</v>
      </c>
      <c r="U64" s="105" t="s">
        <v>130</v>
      </c>
      <c r="V64" s="105" t="s">
        <v>130</v>
      </c>
      <c r="W64" s="105" t="s">
        <v>130</v>
      </c>
      <c r="X64" s="105" t="s">
        <v>130</v>
      </c>
      <c r="Y64" s="105" t="s">
        <v>130</v>
      </c>
      <c r="Z64" s="105" t="s">
        <v>130</v>
      </c>
      <c r="AA64" s="105" t="s">
        <v>130</v>
      </c>
      <c r="AB64" s="105" t="s">
        <v>130</v>
      </c>
      <c r="AC64" s="105" t="s">
        <v>130</v>
      </c>
      <c r="AD64" s="105" t="s">
        <v>130</v>
      </c>
      <c r="AE64" s="102" t="s">
        <v>297</v>
      </c>
      <c r="AF64" s="102" t="s">
        <v>302</v>
      </c>
      <c r="AG64" s="88" t="s">
        <v>623</v>
      </c>
      <c r="AH64" s="102" t="s">
        <v>130</v>
      </c>
      <c r="AI64" s="107" t="str">
        <f>IFERROR(VLOOKUP(AG64,[2]Frota!$D$2:$AV$187,2,FALSE),"-")</f>
        <v>00203465792</v>
      </c>
      <c r="AJ64" s="107" t="str">
        <f>IFERROR(VLOOKUP(AG64,[2]Frota!$D$2:$AV$187,3,FALSE),"-")</f>
        <v>9BFYCAWY0ABB46975</v>
      </c>
      <c r="AK64" s="102" t="s">
        <v>549</v>
      </c>
      <c r="AL64" s="102" t="s">
        <v>620</v>
      </c>
      <c r="AM64" s="108">
        <v>2009</v>
      </c>
      <c r="AN64" s="108">
        <v>2010</v>
      </c>
      <c r="AO64" s="88" t="s">
        <v>624</v>
      </c>
      <c r="AP64" s="102" t="s">
        <v>622</v>
      </c>
      <c r="AQ64" s="88" t="s">
        <v>464</v>
      </c>
      <c r="AR64" s="89">
        <f>VLOOKUP(AQ64,'[1]Critério de Depreciação'!$C$3:$G$8,5,FALSE)</f>
        <v>1.6666666666666667</v>
      </c>
      <c r="AS64" s="102" t="s">
        <v>130</v>
      </c>
      <c r="AT64" s="102" t="s">
        <v>322</v>
      </c>
      <c r="AU64" s="102" t="str">
        <f>IFERROR(VLOOKUP(AG109,[2]Frota!$D$2:$AV$187,12,FALSE),"-")</f>
        <v>1.3.1.4</v>
      </c>
      <c r="AV64" s="109">
        <v>27687</v>
      </c>
      <c r="AW64" s="110">
        <v>160000</v>
      </c>
      <c r="AX64" s="106">
        <v>40169</v>
      </c>
      <c r="AY64" s="111" t="s">
        <v>130</v>
      </c>
      <c r="AZ64" s="105" t="s">
        <v>130</v>
      </c>
      <c r="BA64" s="112">
        <v>110516</v>
      </c>
      <c r="BB64" s="106">
        <v>45215</v>
      </c>
      <c r="BC64" s="105">
        <v>85000</v>
      </c>
      <c r="BD64" s="105">
        <v>190000</v>
      </c>
      <c r="BE64" s="113">
        <f t="shared" si="22"/>
        <v>385516</v>
      </c>
      <c r="BF64" s="113">
        <v>0</v>
      </c>
      <c r="BG64" s="113">
        <v>399000</v>
      </c>
      <c r="BH64" s="113">
        <v>0</v>
      </c>
      <c r="BI64" s="113">
        <v>0</v>
      </c>
      <c r="BJ64" s="113">
        <v>0</v>
      </c>
      <c r="BK64" s="113">
        <v>0</v>
      </c>
      <c r="BL64" s="113">
        <v>0</v>
      </c>
      <c r="BM64" s="114">
        <f t="shared" si="21"/>
        <v>399000</v>
      </c>
      <c r="BN64" s="113">
        <v>0</v>
      </c>
      <c r="BO64" s="113">
        <v>0</v>
      </c>
      <c r="BP64" s="113">
        <v>0</v>
      </c>
      <c r="BQ64" s="113">
        <v>0</v>
      </c>
      <c r="BR64" s="113">
        <v>0</v>
      </c>
      <c r="BS64" s="105">
        <f t="shared" si="23"/>
        <v>2666.6666666666665</v>
      </c>
      <c r="BT64" s="153" t="s">
        <v>130</v>
      </c>
      <c r="BU64" s="153" t="s">
        <v>130</v>
      </c>
      <c r="BV64" s="153" t="s">
        <v>130</v>
      </c>
      <c r="BW64" s="154" t="s">
        <v>130</v>
      </c>
      <c r="BX64" s="180" t="s">
        <v>130</v>
      </c>
      <c r="BY64" s="29" t="s">
        <v>314</v>
      </c>
      <c r="BZ64" s="29" t="s">
        <v>314</v>
      </c>
      <c r="CA64" s="29" t="s">
        <v>130</v>
      </c>
      <c r="CB64" s="29" t="s">
        <v>130</v>
      </c>
      <c r="CC64" s="29" t="s">
        <v>130</v>
      </c>
      <c r="CD64" s="29" t="s">
        <v>130</v>
      </c>
      <c r="CE64" s="29" t="str">
        <f t="shared" si="16"/>
        <v>SP - PRUDENTE</v>
      </c>
      <c r="CF64" s="118" t="s">
        <v>130</v>
      </c>
      <c r="CG64" s="118" t="s">
        <v>130</v>
      </c>
      <c r="CH64" s="119">
        <f t="shared" si="24"/>
        <v>399000</v>
      </c>
      <c r="CI64" s="120" t="s">
        <v>130</v>
      </c>
      <c r="CJ64" s="121">
        <v>5</v>
      </c>
      <c r="CK64" s="121">
        <v>5</v>
      </c>
      <c r="CL64" s="121">
        <f t="shared" si="25"/>
        <v>60</v>
      </c>
      <c r="CM64" s="122">
        <f t="shared" si="26"/>
        <v>13300</v>
      </c>
      <c r="CN64" s="88" t="str">
        <f>IFERROR(IF(VLOOKUP(AG64,'[1]ATIVOS SAGI'!C:D,1,FALSE)&lt;&gt;"","CADASTRADO","NÃO CADASTRADO"),"NÃO CADASTRADO")</f>
        <v>CADASTRADO</v>
      </c>
      <c r="CO64" s="99">
        <f t="shared" si="0"/>
        <v>6650</v>
      </c>
      <c r="CP64" s="128" t="s">
        <v>301</v>
      </c>
      <c r="CQ64" s="128"/>
      <c r="CR64" s="48"/>
      <c r="CS64" s="48"/>
    </row>
    <row r="65" spans="1:97" x14ac:dyDescent="0.25">
      <c r="A65" s="27">
        <v>54</v>
      </c>
      <c r="B65" s="101">
        <v>4</v>
      </c>
      <c r="C65" s="102" t="s">
        <v>296</v>
      </c>
      <c r="D65" s="88" t="s">
        <v>49</v>
      </c>
      <c r="E65" s="88" t="s">
        <v>130</v>
      </c>
      <c r="F65" s="40" t="s">
        <v>130</v>
      </c>
      <c r="G65" s="88"/>
      <c r="H65" s="104" t="s">
        <v>130</v>
      </c>
      <c r="I65" s="102" t="s">
        <v>307</v>
      </c>
      <c r="J65" s="105">
        <f>L65+N65</f>
        <v>1496.03</v>
      </c>
      <c r="K65" s="105" t="s">
        <v>130</v>
      </c>
      <c r="L65" s="105">
        <v>167.74</v>
      </c>
      <c r="M65" s="106">
        <v>45674</v>
      </c>
      <c r="N65" s="105">
        <v>1328.29</v>
      </c>
      <c r="O65" s="106">
        <v>45769</v>
      </c>
      <c r="P65" s="105">
        <v>1369.38</v>
      </c>
      <c r="Q65" s="102" t="s">
        <v>80</v>
      </c>
      <c r="R65" s="105">
        <v>0</v>
      </c>
      <c r="S65" s="105">
        <v>0</v>
      </c>
      <c r="T65" s="105">
        <v>0</v>
      </c>
      <c r="U65" s="105" t="s">
        <v>130</v>
      </c>
      <c r="V65" s="105" t="s">
        <v>130</v>
      </c>
      <c r="W65" s="105" t="s">
        <v>130</v>
      </c>
      <c r="X65" s="105" t="s">
        <v>130</v>
      </c>
      <c r="Y65" s="105" t="s">
        <v>130</v>
      </c>
      <c r="Z65" s="105" t="s">
        <v>130</v>
      </c>
      <c r="AA65" s="105" t="s">
        <v>130</v>
      </c>
      <c r="AB65" s="105" t="s">
        <v>130</v>
      </c>
      <c r="AC65" s="105" t="s">
        <v>130</v>
      </c>
      <c r="AD65" s="105" t="s">
        <v>130</v>
      </c>
      <c r="AE65" s="102" t="s">
        <v>297</v>
      </c>
      <c r="AF65" s="102" t="s">
        <v>625</v>
      </c>
      <c r="AG65" s="88" t="s">
        <v>626</v>
      </c>
      <c r="AH65" s="102" t="s">
        <v>130</v>
      </c>
      <c r="AI65" s="107" t="str">
        <f>IFERROR(VLOOKUP(AG65,[2]Frota!$D$2:$AV$187,2,FALSE),"-")</f>
        <v>00204108985</v>
      </c>
      <c r="AJ65" s="107" t="str">
        <f>IFERROR(VLOOKUP(AG65,[2]Frota!$D$2:$AV$187,3,FALSE),"-")</f>
        <v>9BFYCAWY5ABB45014</v>
      </c>
      <c r="AK65" s="102" t="s">
        <v>549</v>
      </c>
      <c r="AL65" s="102" t="s">
        <v>620</v>
      </c>
      <c r="AM65" s="108">
        <v>2010</v>
      </c>
      <c r="AN65" s="108">
        <v>2010</v>
      </c>
      <c r="AO65" s="88" t="s">
        <v>627</v>
      </c>
      <c r="AP65" s="102" t="s">
        <v>622</v>
      </c>
      <c r="AQ65" s="88" t="s">
        <v>464</v>
      </c>
      <c r="AR65" s="89">
        <f>VLOOKUP(AQ65,'[1]Critério de Depreciação'!$C$3:$G$8,5,FALSE)</f>
        <v>1.6666666666666667</v>
      </c>
      <c r="AS65" s="102" t="s">
        <v>130</v>
      </c>
      <c r="AT65" s="102" t="s">
        <v>322</v>
      </c>
      <c r="AU65" s="102" t="str">
        <f>IFERROR(VLOOKUP(AG203,[2]Frota!$D$2:$AV$187,12,FALSE),"-")</f>
        <v>1.2.4.2</v>
      </c>
      <c r="AV65" s="109">
        <v>27688</v>
      </c>
      <c r="AW65" s="110">
        <v>160000</v>
      </c>
      <c r="AX65" s="106">
        <v>43821</v>
      </c>
      <c r="AY65" s="111" t="s">
        <v>130</v>
      </c>
      <c r="AZ65" s="105" t="s">
        <v>130</v>
      </c>
      <c r="BA65" s="112">
        <v>94668</v>
      </c>
      <c r="BB65" s="106">
        <v>45215</v>
      </c>
      <c r="BC65" s="105">
        <v>85000</v>
      </c>
      <c r="BD65" s="105">
        <v>190000</v>
      </c>
      <c r="BE65" s="113">
        <f t="shared" si="22"/>
        <v>369668</v>
      </c>
      <c r="BF65" s="113">
        <v>0</v>
      </c>
      <c r="BG65" s="113">
        <v>0</v>
      </c>
      <c r="BH65" s="113">
        <v>125000</v>
      </c>
      <c r="BI65" s="113">
        <v>438500</v>
      </c>
      <c r="BJ65" s="113">
        <v>0</v>
      </c>
      <c r="BK65" s="113">
        <v>0</v>
      </c>
      <c r="BL65" s="113">
        <v>0</v>
      </c>
      <c r="BM65" s="114">
        <f t="shared" si="21"/>
        <v>563500</v>
      </c>
      <c r="BN65" s="113">
        <v>0</v>
      </c>
      <c r="BO65" s="113">
        <v>0</v>
      </c>
      <c r="BP65" s="113">
        <v>0</v>
      </c>
      <c r="BQ65" s="113">
        <v>0</v>
      </c>
      <c r="BR65" s="113">
        <v>0</v>
      </c>
      <c r="BS65" s="105">
        <f t="shared" si="23"/>
        <v>2666.6666666666665</v>
      </c>
      <c r="BT65" s="153" t="s">
        <v>130</v>
      </c>
      <c r="BU65" s="153" t="s">
        <v>130</v>
      </c>
      <c r="BV65" s="153" t="s">
        <v>130</v>
      </c>
      <c r="BW65" s="154" t="s">
        <v>130</v>
      </c>
      <c r="BX65" s="153" t="s">
        <v>130</v>
      </c>
      <c r="BY65" s="102" t="s">
        <v>317</v>
      </c>
      <c r="BZ65" s="102" t="s">
        <v>130</v>
      </c>
      <c r="CA65" s="102" t="s">
        <v>130</v>
      </c>
      <c r="CB65" s="102" t="s">
        <v>130</v>
      </c>
      <c r="CC65" s="102" t="s">
        <v>130</v>
      </c>
      <c r="CD65" s="102" t="s">
        <v>130</v>
      </c>
      <c r="CE65" s="102" t="str">
        <f t="shared" si="16"/>
        <v xml:space="preserve">SP - PRUDENTE </v>
      </c>
      <c r="CF65" s="118" t="s">
        <v>130</v>
      </c>
      <c r="CG65" s="118" t="s">
        <v>130</v>
      </c>
      <c r="CH65" s="119">
        <f t="shared" si="24"/>
        <v>563500</v>
      </c>
      <c r="CI65" s="120" t="s">
        <v>130</v>
      </c>
      <c r="CJ65" s="121">
        <v>5</v>
      </c>
      <c r="CK65" s="121">
        <v>5</v>
      </c>
      <c r="CL65" s="121">
        <f t="shared" si="25"/>
        <v>60</v>
      </c>
      <c r="CM65" s="122">
        <f t="shared" si="26"/>
        <v>18783.333333333332</v>
      </c>
      <c r="CN65" s="88" t="str">
        <f>IFERROR(IF(VLOOKUP(AG65,'[1]ATIVOS SAGI'!C:D,1,FALSE)&lt;&gt;"","CADASTRADO","NÃO CADASTRADO"),"NÃO CADASTRADO")</f>
        <v>CADASTRADO</v>
      </c>
      <c r="CO65" s="99">
        <f t="shared" si="0"/>
        <v>9391.6666666666679</v>
      </c>
      <c r="CP65" s="48" t="s">
        <v>48</v>
      </c>
      <c r="CQ65" s="48"/>
      <c r="CR65" s="48"/>
      <c r="CS65" s="48"/>
    </row>
    <row r="66" spans="1:97" x14ac:dyDescent="0.25">
      <c r="A66" s="27">
        <v>57</v>
      </c>
      <c r="B66" s="101">
        <v>8</v>
      </c>
      <c r="C66" s="102" t="s">
        <v>296</v>
      </c>
      <c r="D66" s="88" t="s">
        <v>49</v>
      </c>
      <c r="E66" s="88" t="s">
        <v>130</v>
      </c>
      <c r="F66" s="40" t="s">
        <v>130</v>
      </c>
      <c r="G66" s="88"/>
      <c r="H66" s="104" t="s">
        <v>130</v>
      </c>
      <c r="I66" s="102" t="s">
        <v>130</v>
      </c>
      <c r="J66" s="102" t="s">
        <v>130</v>
      </c>
      <c r="K66" s="102" t="s">
        <v>130</v>
      </c>
      <c r="L66" s="105" t="s">
        <v>130</v>
      </c>
      <c r="M66" s="106" t="s">
        <v>130</v>
      </c>
      <c r="N66" s="105" t="s">
        <v>130</v>
      </c>
      <c r="O66" s="106" t="s">
        <v>130</v>
      </c>
      <c r="P66" s="105" t="s">
        <v>130</v>
      </c>
      <c r="Q66" s="105" t="s">
        <v>130</v>
      </c>
      <c r="R66" s="105" t="s">
        <v>130</v>
      </c>
      <c r="S66" s="105" t="s">
        <v>130</v>
      </c>
      <c r="T66" s="105" t="s">
        <v>130</v>
      </c>
      <c r="U66" s="105" t="s">
        <v>130</v>
      </c>
      <c r="V66" s="105" t="s">
        <v>130</v>
      </c>
      <c r="W66" s="105" t="s">
        <v>130</v>
      </c>
      <c r="X66" s="105" t="s">
        <v>130</v>
      </c>
      <c r="Y66" s="105" t="s">
        <v>130</v>
      </c>
      <c r="Z66" s="105" t="s">
        <v>130</v>
      </c>
      <c r="AA66" s="105" t="s">
        <v>130</v>
      </c>
      <c r="AB66" s="105" t="s">
        <v>130</v>
      </c>
      <c r="AC66" s="105" t="s">
        <v>130</v>
      </c>
      <c r="AD66" s="105" t="s">
        <v>130</v>
      </c>
      <c r="AE66" s="102" t="s">
        <v>297</v>
      </c>
      <c r="AF66" s="102" t="s">
        <v>130</v>
      </c>
      <c r="AG66" s="88" t="s">
        <v>628</v>
      </c>
      <c r="AH66" s="102" t="s">
        <v>130</v>
      </c>
      <c r="AI66" s="107" t="str">
        <f>IFERROR(VLOOKUP(AG66,[2]Frota!$D$2:$AV$187,2,FALSE),"-")</f>
        <v>01017215100</v>
      </c>
      <c r="AJ66" s="107" t="str">
        <f>IFERROR(VLOOKUP(AG66,[2]Frota!$D$2:$AV$187,3,FALSE),"-")</f>
        <v>9BFYEB5J3EB560539</v>
      </c>
      <c r="AK66" s="102" t="s">
        <v>549</v>
      </c>
      <c r="AL66" s="102" t="s">
        <v>629</v>
      </c>
      <c r="AM66" s="108">
        <v>2014</v>
      </c>
      <c r="AN66" s="108">
        <v>2014</v>
      </c>
      <c r="AO66" s="88" t="s">
        <v>630</v>
      </c>
      <c r="AP66" s="102" t="s">
        <v>622</v>
      </c>
      <c r="AQ66" s="88" t="s">
        <v>464</v>
      </c>
      <c r="AR66" s="89">
        <f>VLOOKUP(AQ66,'[1]Critério de Depreciação'!$C$3:$G$8,5,FALSE)</f>
        <v>1.6666666666666667</v>
      </c>
      <c r="AS66" s="102" t="s">
        <v>130</v>
      </c>
      <c r="AT66" s="102" t="s">
        <v>322</v>
      </c>
      <c r="AU66" s="102" t="str">
        <f>IFERROR(VLOOKUP(AG72,[2]Frota!$D$2:$AV$187,12,FALSE),"-")</f>
        <v>1.2.2.4</v>
      </c>
      <c r="AV66" s="102" t="s">
        <v>130</v>
      </c>
      <c r="AW66" s="110">
        <v>0</v>
      </c>
      <c r="AX66" s="106" t="s">
        <v>130</v>
      </c>
      <c r="AY66" s="111" t="s">
        <v>130</v>
      </c>
      <c r="AZ66" s="105" t="s">
        <v>130</v>
      </c>
      <c r="BA66" s="112">
        <v>175395</v>
      </c>
      <c r="BB66" s="106">
        <v>45215</v>
      </c>
      <c r="BC66" s="105">
        <v>85000</v>
      </c>
      <c r="BD66" s="105" t="s">
        <v>130</v>
      </c>
      <c r="BE66" s="113">
        <f t="shared" si="22"/>
        <v>260395</v>
      </c>
      <c r="BF66" s="113">
        <v>0</v>
      </c>
      <c r="BG66" s="113">
        <v>0</v>
      </c>
      <c r="BH66" s="113">
        <v>0</v>
      </c>
      <c r="BI66" s="113">
        <v>0</v>
      </c>
      <c r="BJ66" s="113">
        <v>0</v>
      </c>
      <c r="BK66" s="113">
        <v>0</v>
      </c>
      <c r="BL66" s="113">
        <v>0</v>
      </c>
      <c r="BM66" s="114">
        <f t="shared" si="21"/>
        <v>0</v>
      </c>
      <c r="BN66" s="113">
        <v>0</v>
      </c>
      <c r="BO66" s="113">
        <v>0</v>
      </c>
      <c r="BP66" s="113">
        <v>0</v>
      </c>
      <c r="BQ66" s="113">
        <v>0</v>
      </c>
      <c r="BR66" s="113">
        <v>0</v>
      </c>
      <c r="BS66" s="105">
        <f t="shared" si="23"/>
        <v>0</v>
      </c>
      <c r="BT66" s="153" t="s">
        <v>130</v>
      </c>
      <c r="BU66" s="153" t="s">
        <v>130</v>
      </c>
      <c r="BV66" s="153" t="s">
        <v>130</v>
      </c>
      <c r="BW66" s="154" t="s">
        <v>130</v>
      </c>
      <c r="BX66" s="153" t="s">
        <v>130</v>
      </c>
      <c r="BY66" s="102" t="s">
        <v>314</v>
      </c>
      <c r="BZ66" s="102" t="s">
        <v>316</v>
      </c>
      <c r="CA66" s="102" t="s">
        <v>130</v>
      </c>
      <c r="CB66" s="102" t="s">
        <v>130</v>
      </c>
      <c r="CC66" s="102" t="s">
        <v>130</v>
      </c>
      <c r="CD66" s="102" t="s">
        <v>130</v>
      </c>
      <c r="CE66" s="102" t="str">
        <f t="shared" si="16"/>
        <v>-</v>
      </c>
      <c r="CF66" s="118" t="s">
        <v>130</v>
      </c>
      <c r="CG66" s="118" t="s">
        <v>130</v>
      </c>
      <c r="CH66" s="119">
        <f t="shared" si="24"/>
        <v>0</v>
      </c>
      <c r="CI66" s="120" t="s">
        <v>130</v>
      </c>
      <c r="CJ66" s="121">
        <v>5</v>
      </c>
      <c r="CK66" s="121">
        <v>5</v>
      </c>
      <c r="CL66" s="121">
        <f t="shared" si="25"/>
        <v>60</v>
      </c>
      <c r="CM66" s="122">
        <f t="shared" si="26"/>
        <v>0</v>
      </c>
      <c r="CN66" s="88" t="str">
        <f>IFERROR(IF(VLOOKUP(AG66,'[1]ATIVOS SAGI'!C:D,1,FALSE)&lt;&gt;"","CADASTRADO","NÃO CADASTRADO"),"NÃO CADASTRADO")</f>
        <v>CADASTRADO</v>
      </c>
      <c r="CO66" s="99">
        <f t="shared" ref="CO66:CO130" si="29">BM66*AR66/100</f>
        <v>0</v>
      </c>
      <c r="CP66" s="48" t="s">
        <v>48</v>
      </c>
      <c r="CQ66" s="48"/>
      <c r="CR66" s="48"/>
      <c r="CS66" s="48"/>
    </row>
    <row r="67" spans="1:97" x14ac:dyDescent="0.25">
      <c r="A67" s="27">
        <v>58</v>
      </c>
      <c r="B67" s="27">
        <v>93</v>
      </c>
      <c r="C67" s="29" t="s">
        <v>296</v>
      </c>
      <c r="D67" s="40" t="s">
        <v>49</v>
      </c>
      <c r="E67" s="40" t="s">
        <v>130</v>
      </c>
      <c r="F67" s="40" t="s">
        <v>130</v>
      </c>
      <c r="G67" s="40" t="s">
        <v>489</v>
      </c>
      <c r="H67" s="104" t="s">
        <v>631</v>
      </c>
      <c r="I67" s="29" t="s">
        <v>130</v>
      </c>
      <c r="J67" s="85">
        <f t="shared" ref="J67:J86" si="30">L67+N67</f>
        <v>3151.29</v>
      </c>
      <c r="K67" s="85" t="s">
        <v>466</v>
      </c>
      <c r="L67" s="85">
        <v>167.74</v>
      </c>
      <c r="M67" s="86">
        <v>45672</v>
      </c>
      <c r="N67" s="85">
        <v>2983.55</v>
      </c>
      <c r="O67" s="86">
        <v>45769</v>
      </c>
      <c r="P67" s="85">
        <v>3075.82</v>
      </c>
      <c r="Q67" s="29" t="s">
        <v>80</v>
      </c>
      <c r="R67" s="85">
        <v>0</v>
      </c>
      <c r="S67" s="85">
        <v>0</v>
      </c>
      <c r="T67" s="85">
        <v>0</v>
      </c>
      <c r="U67" s="85">
        <v>3136.26</v>
      </c>
      <c r="V67" s="85">
        <v>3042.17</v>
      </c>
      <c r="W67" s="86">
        <v>46036</v>
      </c>
      <c r="X67" s="86">
        <v>46134</v>
      </c>
      <c r="Y67" s="85">
        <v>174.08</v>
      </c>
      <c r="Z67" s="85">
        <f t="shared" ref="Z67:Z86" si="31">U67+Y67</f>
        <v>3310.34</v>
      </c>
      <c r="AA67" s="85">
        <f t="shared" ref="AA67:AA86" si="32">V67+Y67</f>
        <v>3216.25</v>
      </c>
      <c r="AB67" s="85">
        <v>0</v>
      </c>
      <c r="AC67" s="85">
        <v>0</v>
      </c>
      <c r="AD67" s="85">
        <v>0</v>
      </c>
      <c r="AE67" s="29" t="s">
        <v>298</v>
      </c>
      <c r="AF67" s="29" t="s">
        <v>46</v>
      </c>
      <c r="AG67" s="234" t="s">
        <v>632</v>
      </c>
      <c r="AH67" s="29" t="s">
        <v>474</v>
      </c>
      <c r="AI67" s="87" t="str">
        <f>IFERROR(VLOOKUP(AG67,[2]Frota!$D$2:$AV$187,2,FALSE),"-")</f>
        <v>00501284613</v>
      </c>
      <c r="AJ67" s="87" t="str">
        <f>IFERROR(VLOOKUP(AG67,[2]Frota!$D$2:$AV$187,3,FALSE),"-")</f>
        <v>93KP0S1CXDE137844</v>
      </c>
      <c r="AK67" s="29" t="s">
        <v>633</v>
      </c>
      <c r="AL67" s="29" t="s">
        <v>634</v>
      </c>
      <c r="AM67" s="34">
        <v>2012</v>
      </c>
      <c r="AN67" s="34">
        <v>2013</v>
      </c>
      <c r="AO67" s="40" t="s">
        <v>635</v>
      </c>
      <c r="AP67" s="29" t="s">
        <v>622</v>
      </c>
      <c r="AQ67" s="88" t="s">
        <v>464</v>
      </c>
      <c r="AR67" s="89">
        <f>VLOOKUP(AQ67,'[1]Critério de Depreciação'!$C$3:$G$8,5,FALSE)</f>
        <v>1.6666666666666667</v>
      </c>
      <c r="AS67" s="29" t="s">
        <v>130</v>
      </c>
      <c r="AT67" s="29" t="s">
        <v>322</v>
      </c>
      <c r="AU67" s="29" t="str">
        <f>IFERROR(VLOOKUP(AG110,[2]Frota!$D$2:$AV$187,12,FALSE),"-")</f>
        <v>1.2.7.4</v>
      </c>
      <c r="AV67" s="45">
        <v>38190</v>
      </c>
      <c r="AW67" s="90">
        <v>209000</v>
      </c>
      <c r="AX67" s="86">
        <v>41242</v>
      </c>
      <c r="AY67" s="91" t="s">
        <v>130</v>
      </c>
      <c r="AZ67" s="85" t="s">
        <v>130</v>
      </c>
      <c r="BA67" s="123">
        <v>188251</v>
      </c>
      <c r="BB67" s="86">
        <v>45215</v>
      </c>
      <c r="BC67" s="85">
        <v>85000</v>
      </c>
      <c r="BD67" s="85">
        <v>240000</v>
      </c>
      <c r="BE67" s="92">
        <f t="shared" si="22"/>
        <v>513251</v>
      </c>
      <c r="BF67" s="92">
        <v>0</v>
      </c>
      <c r="BG67" s="92">
        <v>540000</v>
      </c>
      <c r="BH67" s="92">
        <v>125000</v>
      </c>
      <c r="BI67" s="92">
        <v>397000</v>
      </c>
      <c r="BJ67" s="92">
        <v>0</v>
      </c>
      <c r="BK67" s="92">
        <v>0</v>
      </c>
      <c r="BL67" s="92">
        <v>0</v>
      </c>
      <c r="BM67" s="93">
        <f t="shared" si="21"/>
        <v>1062000</v>
      </c>
      <c r="BN67" s="92">
        <f t="shared" ref="BN67:BN86" si="33">(BG67*20%)/12</f>
        <v>9000</v>
      </c>
      <c r="BO67" s="92">
        <f t="shared" ref="BO67:BO86" si="34">((BF67+BH67+BI67+BJ67+BK67+BL67)*20%)/12</f>
        <v>8700</v>
      </c>
      <c r="BP67" s="92">
        <f t="shared" ref="BP67:BP86" si="35">BN67+BO67</f>
        <v>17700</v>
      </c>
      <c r="BQ67" s="92">
        <v>0</v>
      </c>
      <c r="BR67" s="92">
        <v>0</v>
      </c>
      <c r="BS67" s="85">
        <f t="shared" si="23"/>
        <v>3483.3333333333335</v>
      </c>
      <c r="BT67" s="94" t="s">
        <v>130</v>
      </c>
      <c r="BU67" s="86" t="s">
        <v>130</v>
      </c>
      <c r="BV67" s="86" t="s">
        <v>130</v>
      </c>
      <c r="BW67" s="95" t="s">
        <v>130</v>
      </c>
      <c r="BX67" s="96" t="s">
        <v>636</v>
      </c>
      <c r="BY67" s="29" t="s">
        <v>314</v>
      </c>
      <c r="BZ67" s="29" t="s">
        <v>312</v>
      </c>
      <c r="CA67" s="29" t="s">
        <v>130</v>
      </c>
      <c r="CB67" s="29" t="s">
        <v>130</v>
      </c>
      <c r="CC67" s="29" t="s">
        <v>130</v>
      </c>
      <c r="CD67" s="29" t="s">
        <v>314</v>
      </c>
      <c r="CE67" s="29" t="str">
        <f t="shared" si="16"/>
        <v>SP - PRUDENTE - SUCATA</v>
      </c>
      <c r="CF67" s="97">
        <v>337712</v>
      </c>
      <c r="CG67" s="97">
        <v>3703.6</v>
      </c>
      <c r="CH67" s="37">
        <f t="shared" si="24"/>
        <v>1062000</v>
      </c>
      <c r="CI67" s="98" t="s">
        <v>130</v>
      </c>
      <c r="CJ67" s="39">
        <v>5</v>
      </c>
      <c r="CK67" s="39">
        <v>5</v>
      </c>
      <c r="CL67" s="39">
        <f t="shared" si="25"/>
        <v>60</v>
      </c>
      <c r="CM67" s="99">
        <f t="shared" si="26"/>
        <v>35400</v>
      </c>
      <c r="CN67" s="40" t="str">
        <f>IFERROR(IF(VLOOKUP(AG67,'[1]ATIVOS SAGI'!C:D,1,FALSE)&lt;&gt;"","CADASTRADO","NÃO CADASTRADO"),"NÃO CADASTRADO")</f>
        <v>CADASTRADO</v>
      </c>
      <c r="CO67" s="99">
        <f t="shared" si="29"/>
        <v>17700</v>
      </c>
      <c r="CP67" s="223" t="s">
        <v>81</v>
      </c>
      <c r="CQ67" s="48"/>
      <c r="CR67" s="48"/>
      <c r="CS67" s="48"/>
    </row>
    <row r="68" spans="1:97" x14ac:dyDescent="0.25">
      <c r="A68" s="27">
        <v>59</v>
      </c>
      <c r="B68" s="27">
        <v>94</v>
      </c>
      <c r="C68" s="29" t="s">
        <v>296</v>
      </c>
      <c r="D68" s="40" t="s">
        <v>49</v>
      </c>
      <c r="E68" s="40" t="s">
        <v>130</v>
      </c>
      <c r="F68" s="40" t="s">
        <v>130</v>
      </c>
      <c r="G68" s="40" t="s">
        <v>489</v>
      </c>
      <c r="H68" s="41" t="s">
        <v>306</v>
      </c>
      <c r="I68" s="29" t="s">
        <v>130</v>
      </c>
      <c r="J68" s="85">
        <f t="shared" si="30"/>
        <v>3151.29</v>
      </c>
      <c r="K68" s="85" t="s">
        <v>466</v>
      </c>
      <c r="L68" s="85">
        <v>167.74</v>
      </c>
      <c r="M68" s="86">
        <v>45678</v>
      </c>
      <c r="N68" s="85">
        <v>2983.55</v>
      </c>
      <c r="O68" s="86">
        <v>45769</v>
      </c>
      <c r="P68" s="85">
        <v>3075.82</v>
      </c>
      <c r="Q68" s="29" t="s">
        <v>570</v>
      </c>
      <c r="R68" s="85">
        <v>132.47999999999999</v>
      </c>
      <c r="S68" s="85">
        <v>0</v>
      </c>
      <c r="T68" s="85">
        <v>0</v>
      </c>
      <c r="U68" s="85">
        <v>3136.26</v>
      </c>
      <c r="V68" s="85">
        <v>3042.17</v>
      </c>
      <c r="W68" s="86">
        <v>46041</v>
      </c>
      <c r="X68" s="86">
        <v>46134</v>
      </c>
      <c r="Y68" s="85">
        <v>174.08</v>
      </c>
      <c r="Z68" s="85">
        <f t="shared" si="31"/>
        <v>3310.34</v>
      </c>
      <c r="AA68" s="85">
        <f t="shared" si="32"/>
        <v>3216.25</v>
      </c>
      <c r="AB68" s="85">
        <v>0</v>
      </c>
      <c r="AC68" s="85">
        <v>0</v>
      </c>
      <c r="AD68" s="85">
        <v>0</v>
      </c>
      <c r="AE68" s="29" t="s">
        <v>298</v>
      </c>
      <c r="AF68" s="29" t="s">
        <v>46</v>
      </c>
      <c r="AG68" s="234" t="s">
        <v>637</v>
      </c>
      <c r="AH68" s="29" t="s">
        <v>474</v>
      </c>
      <c r="AI68" s="87" t="str">
        <f>IFERROR(VLOOKUP(AG68,[2]Frota!$D$2:$AV$187,2,FALSE),"-")</f>
        <v>00501188428</v>
      </c>
      <c r="AJ68" s="87" t="str">
        <f>IFERROR(VLOOKUP(AG68,[2]Frota!$D$2:$AV$187,3,FALSE),"-")</f>
        <v>93KP0S1C7DE137843</v>
      </c>
      <c r="AK68" s="29" t="s">
        <v>633</v>
      </c>
      <c r="AL68" s="29" t="s">
        <v>634</v>
      </c>
      <c r="AM68" s="34">
        <v>2012</v>
      </c>
      <c r="AN68" s="34">
        <v>2013</v>
      </c>
      <c r="AO68" s="40" t="s">
        <v>621</v>
      </c>
      <c r="AP68" s="29" t="s">
        <v>622</v>
      </c>
      <c r="AQ68" s="88" t="s">
        <v>464</v>
      </c>
      <c r="AR68" s="89">
        <f>VLOOKUP(AQ68,'[1]Critério de Depreciação'!$C$3:$G$8,5,FALSE)</f>
        <v>1.6666666666666667</v>
      </c>
      <c r="AS68" s="29" t="s">
        <v>130</v>
      </c>
      <c r="AT68" s="29" t="s">
        <v>322</v>
      </c>
      <c r="AU68" s="29" t="str">
        <f>IFERROR(VLOOKUP(AG111,[2]Frota!$D$2:$AV$187,12,FALSE),"-")</f>
        <v>-</v>
      </c>
      <c r="AV68" s="45">
        <v>38131</v>
      </c>
      <c r="AW68" s="90">
        <v>209000</v>
      </c>
      <c r="AX68" s="86">
        <v>41241</v>
      </c>
      <c r="AY68" s="91" t="s">
        <v>130</v>
      </c>
      <c r="AZ68" s="85" t="s">
        <v>130</v>
      </c>
      <c r="BA68" s="123">
        <v>188251</v>
      </c>
      <c r="BB68" s="86">
        <v>45215</v>
      </c>
      <c r="BC68" s="85">
        <v>85000</v>
      </c>
      <c r="BD68" s="85">
        <v>240000</v>
      </c>
      <c r="BE68" s="92">
        <f t="shared" si="22"/>
        <v>513251</v>
      </c>
      <c r="BF68" s="92">
        <v>0</v>
      </c>
      <c r="BG68" s="92">
        <v>540000</v>
      </c>
      <c r="BH68" s="92">
        <v>125000</v>
      </c>
      <c r="BI68" s="92">
        <v>397000</v>
      </c>
      <c r="BJ68" s="92">
        <v>0</v>
      </c>
      <c r="BK68" s="92">
        <v>0</v>
      </c>
      <c r="BL68" s="92">
        <v>0</v>
      </c>
      <c r="BM68" s="93">
        <f t="shared" si="21"/>
        <v>1062000</v>
      </c>
      <c r="BN68" s="92">
        <f t="shared" si="33"/>
        <v>9000</v>
      </c>
      <c r="BO68" s="92">
        <f t="shared" si="34"/>
        <v>8700</v>
      </c>
      <c r="BP68" s="92">
        <f t="shared" si="35"/>
        <v>17700</v>
      </c>
      <c r="BQ68" s="92">
        <v>0</v>
      </c>
      <c r="BR68" s="92">
        <v>0</v>
      </c>
      <c r="BS68" s="85">
        <f t="shared" si="23"/>
        <v>3483.3333333333335</v>
      </c>
      <c r="BT68" s="94">
        <v>69.900000000000006</v>
      </c>
      <c r="BU68" s="86">
        <v>45703</v>
      </c>
      <c r="BV68" s="86" t="s">
        <v>130</v>
      </c>
      <c r="BW68" s="95">
        <v>20.94</v>
      </c>
      <c r="BX68" s="96" t="s">
        <v>638</v>
      </c>
      <c r="BY68" s="29" t="s">
        <v>310</v>
      </c>
      <c r="BZ68" s="29" t="s">
        <v>310</v>
      </c>
      <c r="CA68" s="29" t="s">
        <v>130</v>
      </c>
      <c r="CB68" s="29" t="s">
        <v>130</v>
      </c>
      <c r="CC68" s="29" t="s">
        <v>130</v>
      </c>
      <c r="CD68" s="29" t="s">
        <v>312</v>
      </c>
      <c r="CE68" s="29" t="str">
        <f t="shared" si="16"/>
        <v>SP - PRUDENTE - SUCATA</v>
      </c>
      <c r="CF68" s="97">
        <v>392036</v>
      </c>
      <c r="CG68" s="97">
        <v>484</v>
      </c>
      <c r="CH68" s="37">
        <f t="shared" si="24"/>
        <v>1062000</v>
      </c>
      <c r="CI68" s="98" t="s">
        <v>130</v>
      </c>
      <c r="CJ68" s="39">
        <v>5</v>
      </c>
      <c r="CK68" s="39">
        <v>5</v>
      </c>
      <c r="CL68" s="39">
        <f t="shared" si="25"/>
        <v>60</v>
      </c>
      <c r="CM68" s="99">
        <f t="shared" si="26"/>
        <v>35400</v>
      </c>
      <c r="CN68" s="40" t="str">
        <f>IFERROR(IF(VLOOKUP(AG68,'[1]ATIVOS SAGI'!C:D,1,FALSE)&lt;&gt;"","CADASTRADO","NÃO CADASTRADO"),"NÃO CADASTRADO")</f>
        <v>CADASTRADO</v>
      </c>
      <c r="CO68" s="99">
        <f t="shared" si="29"/>
        <v>17700</v>
      </c>
      <c r="CP68" s="223" t="s">
        <v>81</v>
      </c>
      <c r="CQ68" s="48"/>
      <c r="CR68" s="48"/>
      <c r="CS68" s="48"/>
    </row>
    <row r="69" spans="1:97" x14ac:dyDescent="0.25">
      <c r="A69" s="27">
        <v>60</v>
      </c>
      <c r="B69" s="27">
        <v>95</v>
      </c>
      <c r="C69" s="29" t="s">
        <v>296</v>
      </c>
      <c r="D69" s="40" t="s">
        <v>49</v>
      </c>
      <c r="E69" s="40" t="s">
        <v>130</v>
      </c>
      <c r="F69" s="40" t="s">
        <v>130</v>
      </c>
      <c r="G69" s="40" t="s">
        <v>489</v>
      </c>
      <c r="H69" s="41" t="s">
        <v>306</v>
      </c>
      <c r="I69" s="29" t="s">
        <v>130</v>
      </c>
      <c r="J69" s="85">
        <f t="shared" si="30"/>
        <v>3151.29</v>
      </c>
      <c r="K69" s="85" t="s">
        <v>130</v>
      </c>
      <c r="L69" s="85">
        <v>167.74</v>
      </c>
      <c r="M69" s="86">
        <v>45674</v>
      </c>
      <c r="N69" s="85">
        <v>2983.55</v>
      </c>
      <c r="O69" s="86">
        <v>45769</v>
      </c>
      <c r="P69" s="85">
        <v>3075.82</v>
      </c>
      <c r="Q69" s="29" t="s">
        <v>570</v>
      </c>
      <c r="R69" s="85">
        <v>134.79</v>
      </c>
      <c r="S69" s="85">
        <v>0</v>
      </c>
      <c r="T69" s="85">
        <v>0</v>
      </c>
      <c r="U69" s="85">
        <v>3136.26</v>
      </c>
      <c r="V69" s="85">
        <v>3042.17</v>
      </c>
      <c r="W69" s="86">
        <v>46038</v>
      </c>
      <c r="X69" s="86">
        <v>46134</v>
      </c>
      <c r="Y69" s="85">
        <v>174.08</v>
      </c>
      <c r="Z69" s="85">
        <f t="shared" si="31"/>
        <v>3310.34</v>
      </c>
      <c r="AA69" s="85">
        <f t="shared" si="32"/>
        <v>3216.25</v>
      </c>
      <c r="AB69" s="85">
        <v>469.55</v>
      </c>
      <c r="AC69" s="85">
        <v>0</v>
      </c>
      <c r="AD69" s="85">
        <v>0</v>
      </c>
      <c r="AE69" s="29" t="s">
        <v>298</v>
      </c>
      <c r="AF69" s="29" t="s">
        <v>46</v>
      </c>
      <c r="AG69" s="40" t="s">
        <v>639</v>
      </c>
      <c r="AH69" s="29" t="s">
        <v>468</v>
      </c>
      <c r="AI69" s="87" t="str">
        <f>IFERROR(VLOOKUP(AG69,[2]Frota!$D$2:$AV$187,2,FALSE),"-")</f>
        <v>00501292055</v>
      </c>
      <c r="AJ69" s="87" t="str">
        <f>IFERROR(VLOOKUP(AG69,[2]Frota!$D$2:$AV$187,3,FALSE),"-")</f>
        <v>93KP0S1C5DE137658</v>
      </c>
      <c r="AK69" s="29" t="s">
        <v>633</v>
      </c>
      <c r="AL69" s="29" t="s">
        <v>634</v>
      </c>
      <c r="AM69" s="34">
        <v>2012</v>
      </c>
      <c r="AN69" s="34">
        <v>2013</v>
      </c>
      <c r="AO69" s="40" t="s">
        <v>635</v>
      </c>
      <c r="AP69" s="29" t="s">
        <v>622</v>
      </c>
      <c r="AQ69" s="88" t="s">
        <v>464</v>
      </c>
      <c r="AR69" s="89">
        <f>VLOOKUP(AQ69,'[1]Critério de Depreciação'!$C$3:$G$8,5,FALSE)</f>
        <v>1.6666666666666667</v>
      </c>
      <c r="AS69" s="29" t="s">
        <v>130</v>
      </c>
      <c r="AT69" s="29" t="s">
        <v>322</v>
      </c>
      <c r="AU69" s="29" t="str">
        <f>IFERROR(VLOOKUP(AG112,[2]Frota!$D$2:$AV$187,12,FALSE),"-")</f>
        <v>1.1.17</v>
      </c>
      <c r="AV69" s="45">
        <v>38130</v>
      </c>
      <c r="AW69" s="90">
        <v>209000</v>
      </c>
      <c r="AX69" s="86">
        <v>41241</v>
      </c>
      <c r="AY69" s="91" t="s">
        <v>130</v>
      </c>
      <c r="AZ69" s="85" t="s">
        <v>130</v>
      </c>
      <c r="BA69" s="123">
        <v>188251</v>
      </c>
      <c r="BB69" s="86">
        <v>45215</v>
      </c>
      <c r="BC69" s="85">
        <v>85000</v>
      </c>
      <c r="BD69" s="85">
        <v>240000</v>
      </c>
      <c r="BE69" s="92">
        <f t="shared" si="22"/>
        <v>513251</v>
      </c>
      <c r="BF69" s="92">
        <v>0</v>
      </c>
      <c r="BG69" s="92">
        <v>540000</v>
      </c>
      <c r="BH69" s="92">
        <v>125000</v>
      </c>
      <c r="BI69" s="92">
        <v>397000</v>
      </c>
      <c r="BJ69" s="92">
        <v>0</v>
      </c>
      <c r="BK69" s="92">
        <v>0</v>
      </c>
      <c r="BL69" s="92">
        <v>0</v>
      </c>
      <c r="BM69" s="93">
        <f t="shared" si="21"/>
        <v>1062000</v>
      </c>
      <c r="BN69" s="92">
        <f t="shared" si="33"/>
        <v>9000</v>
      </c>
      <c r="BO69" s="92">
        <f t="shared" si="34"/>
        <v>8700</v>
      </c>
      <c r="BP69" s="92">
        <f t="shared" si="35"/>
        <v>17700</v>
      </c>
      <c r="BQ69" s="92">
        <v>0</v>
      </c>
      <c r="BR69" s="92">
        <v>0</v>
      </c>
      <c r="BS69" s="85">
        <f t="shared" si="23"/>
        <v>3483.3333333333335</v>
      </c>
      <c r="BT69" s="94">
        <v>69.900000000000006</v>
      </c>
      <c r="BU69" s="86">
        <v>45703</v>
      </c>
      <c r="BV69" s="86" t="s">
        <v>130</v>
      </c>
      <c r="BW69" s="95" t="s">
        <v>130</v>
      </c>
      <c r="BX69" s="96" t="s">
        <v>636</v>
      </c>
      <c r="BY69" s="29" t="s">
        <v>314</v>
      </c>
      <c r="BZ69" s="29" t="s">
        <v>314</v>
      </c>
      <c r="CA69" s="29" t="s">
        <v>130</v>
      </c>
      <c r="CB69" s="29" t="s">
        <v>130</v>
      </c>
      <c r="CC69" s="29" t="s">
        <v>130</v>
      </c>
      <c r="CD69" s="29" t="s">
        <v>313</v>
      </c>
      <c r="CE69" s="29" t="str">
        <f t="shared" si="16"/>
        <v>SP - PRUDENTE - SUCATA</v>
      </c>
      <c r="CF69" s="97">
        <v>300959</v>
      </c>
      <c r="CG69" s="97">
        <v>92.5</v>
      </c>
      <c r="CH69" s="37">
        <f t="shared" si="24"/>
        <v>1062000</v>
      </c>
      <c r="CI69" s="98" t="s">
        <v>130</v>
      </c>
      <c r="CJ69" s="39">
        <v>5</v>
      </c>
      <c r="CK69" s="39">
        <v>5</v>
      </c>
      <c r="CL69" s="39">
        <f t="shared" si="25"/>
        <v>60</v>
      </c>
      <c r="CM69" s="99">
        <f t="shared" si="26"/>
        <v>35400</v>
      </c>
      <c r="CN69" s="40" t="str">
        <f>IFERROR(IF(VLOOKUP(AG69,'[1]ATIVOS SAGI'!C:D,1,FALSE)&lt;&gt;"","CADASTRADO","NÃO CADASTRADO"),"NÃO CADASTRADO")</f>
        <v>CADASTRADO</v>
      </c>
      <c r="CO69" s="99">
        <f t="shared" si="29"/>
        <v>17700</v>
      </c>
      <c r="CP69" s="223" t="s">
        <v>81</v>
      </c>
      <c r="CQ69" s="48"/>
      <c r="CR69" s="48"/>
      <c r="CS69" s="48"/>
    </row>
    <row r="70" spans="1:97" x14ac:dyDescent="0.25">
      <c r="A70" s="27">
        <v>111</v>
      </c>
      <c r="B70" s="27">
        <v>134</v>
      </c>
      <c r="C70" s="29" t="s">
        <v>296</v>
      </c>
      <c r="D70" s="40" t="s">
        <v>49</v>
      </c>
      <c r="E70" s="40" t="s">
        <v>130</v>
      </c>
      <c r="F70" s="40" t="s">
        <v>130</v>
      </c>
      <c r="G70" s="40" t="s">
        <v>504</v>
      </c>
      <c r="H70" s="41" t="s">
        <v>505</v>
      </c>
      <c r="I70" s="29" t="s">
        <v>130</v>
      </c>
      <c r="J70" s="29" t="s">
        <v>130</v>
      </c>
      <c r="K70" s="85" t="s">
        <v>466</v>
      </c>
      <c r="L70" s="85">
        <v>167.74</v>
      </c>
      <c r="M70" s="86" t="s">
        <v>130</v>
      </c>
      <c r="N70" s="85">
        <v>0</v>
      </c>
      <c r="O70" s="86" t="s">
        <v>130</v>
      </c>
      <c r="P70" s="85">
        <v>0</v>
      </c>
      <c r="Q70" s="29" t="s">
        <v>80</v>
      </c>
      <c r="R70" s="85">
        <v>0</v>
      </c>
      <c r="S70" s="85">
        <v>0</v>
      </c>
      <c r="T70" s="85">
        <v>0</v>
      </c>
      <c r="U70" s="85">
        <v>0</v>
      </c>
      <c r="V70" s="85">
        <v>0</v>
      </c>
      <c r="W70" s="86" t="s">
        <v>130</v>
      </c>
      <c r="X70" s="86" t="s">
        <v>130</v>
      </c>
      <c r="Y70" s="85">
        <v>174.08</v>
      </c>
      <c r="Z70" s="85">
        <f>U70+Y70</f>
        <v>174.08</v>
      </c>
      <c r="AA70" s="85">
        <f>V70+Y70</f>
        <v>174.08</v>
      </c>
      <c r="AB70" s="85">
        <v>0</v>
      </c>
      <c r="AC70" s="85">
        <v>0</v>
      </c>
      <c r="AD70" s="85">
        <v>0</v>
      </c>
      <c r="AE70" s="29" t="s">
        <v>45</v>
      </c>
      <c r="AF70" s="29" t="s">
        <v>55</v>
      </c>
      <c r="AG70" s="40" t="s">
        <v>640</v>
      </c>
      <c r="AH70" s="29" t="s">
        <v>468</v>
      </c>
      <c r="AI70" s="87" t="str">
        <f>IFERROR(VLOOKUP(AG70,[2]Frota!$D$2:$AV$187,2,FALSE),"-")</f>
        <v>01265534761</v>
      </c>
      <c r="AJ70" s="87" t="str">
        <f>IFERROR(VLOOKUP(AG70,[2]Frota!$D$2:$AV$187,3,FALSE),"-")</f>
        <v>9A9R0933MMGEC3241</v>
      </c>
      <c r="AK70" s="29" t="s">
        <v>502</v>
      </c>
      <c r="AL70" s="29" t="s">
        <v>507</v>
      </c>
      <c r="AM70" s="34">
        <v>2021</v>
      </c>
      <c r="AN70" s="34">
        <v>2021</v>
      </c>
      <c r="AO70" s="40" t="s">
        <v>508</v>
      </c>
      <c r="AP70" s="29" t="s">
        <v>130</v>
      </c>
      <c r="AQ70" s="88" t="s">
        <v>464</v>
      </c>
      <c r="AR70" s="89">
        <f>VLOOKUP(AQ70,'[1]Critério de Depreciação'!$C$3:$G$8,5,FALSE)</f>
        <v>1.6666666666666667</v>
      </c>
      <c r="AS70" s="29" t="s">
        <v>130</v>
      </c>
      <c r="AT70" s="29" t="s">
        <v>130</v>
      </c>
      <c r="AU70" s="29" t="str">
        <f>IFERROR(VLOOKUP(AG63,[2]Frota!$D$2:$AV$187,12,FALSE),"-")</f>
        <v>1.3.1.4</v>
      </c>
      <c r="AV70" s="45">
        <v>36562</v>
      </c>
      <c r="AW70" s="90">
        <v>101000</v>
      </c>
      <c r="AX70" s="86">
        <v>44306</v>
      </c>
      <c r="AY70" s="91" t="s">
        <v>130</v>
      </c>
      <c r="AZ70" s="85">
        <v>110000</v>
      </c>
      <c r="BA70" s="123" t="s">
        <v>130</v>
      </c>
      <c r="BB70" s="124" t="s">
        <v>130</v>
      </c>
      <c r="BC70" s="85" t="s">
        <v>130</v>
      </c>
      <c r="BD70" s="85" t="s">
        <v>130</v>
      </c>
      <c r="BE70" s="92">
        <f>SUM(AZ70:BA70,BC70:BD70)</f>
        <v>110000</v>
      </c>
      <c r="BF70" s="92">
        <v>0</v>
      </c>
      <c r="BG70" s="92">
        <v>130000</v>
      </c>
      <c r="BH70" s="92">
        <v>0</v>
      </c>
      <c r="BI70" s="92">
        <v>0</v>
      </c>
      <c r="BJ70" s="92">
        <v>0</v>
      </c>
      <c r="BK70" s="92">
        <v>0</v>
      </c>
      <c r="BL70" s="92">
        <v>0</v>
      </c>
      <c r="BM70" s="93">
        <f>SUM(BF70:BL70)</f>
        <v>130000</v>
      </c>
      <c r="BN70" s="92">
        <f>(BG70*20%)/12</f>
        <v>2166.6666666666665</v>
      </c>
      <c r="BO70" s="92">
        <f>((BF70+BH70+BI70+BJ70+BK70+BL70)*20%)/12</f>
        <v>0</v>
      </c>
      <c r="BP70" s="92">
        <f>BN70+BO70</f>
        <v>2166.6666666666665</v>
      </c>
      <c r="BQ70" s="92">
        <v>0</v>
      </c>
      <c r="BR70" s="92">
        <v>0</v>
      </c>
      <c r="BS70" s="85">
        <f>IFERROR((AW70*20%)/12,"-")</f>
        <v>1683.3333333333333</v>
      </c>
      <c r="BT70" s="125" t="s">
        <v>130</v>
      </c>
      <c r="BU70" s="125" t="s">
        <v>130</v>
      </c>
      <c r="BV70" s="125" t="s">
        <v>130</v>
      </c>
      <c r="BW70" s="126" t="s">
        <v>130</v>
      </c>
      <c r="BX70" s="127" t="s">
        <v>130</v>
      </c>
      <c r="BY70" s="29" t="s">
        <v>310</v>
      </c>
      <c r="BZ70" s="29" t="s">
        <v>310</v>
      </c>
      <c r="CA70" s="29" t="s">
        <v>130</v>
      </c>
      <c r="CB70" s="29" t="s">
        <v>130</v>
      </c>
      <c r="CC70" s="29" t="s">
        <v>130</v>
      </c>
      <c r="CD70" s="29" t="s">
        <v>130</v>
      </c>
      <c r="CE70" s="29" t="str">
        <f>AF70</f>
        <v>MS - DOURADOS</v>
      </c>
      <c r="CF70" s="97" t="s">
        <v>130</v>
      </c>
      <c r="CG70" s="97" t="s">
        <v>130</v>
      </c>
      <c r="CH70" s="37">
        <f>BM70</f>
        <v>130000</v>
      </c>
      <c r="CI70" s="98" t="s">
        <v>130</v>
      </c>
      <c r="CJ70" s="39">
        <v>5</v>
      </c>
      <c r="CK70" s="39">
        <v>5</v>
      </c>
      <c r="CL70" s="39">
        <f>12*CK70</f>
        <v>60</v>
      </c>
      <c r="CM70" s="99">
        <f>IFERROR((CH70/CL70)*2,"-")</f>
        <v>4333.333333333333</v>
      </c>
      <c r="CN70" s="40" t="str">
        <f>IFERROR(IF(VLOOKUP(AG70,'[1]ATIVOS SAGI'!C:D,1,FALSE)&lt;&gt;"","CADASTRADO","NÃO CADASTRADO"),"NÃO CADASTRADO")</f>
        <v>CADASTRADO</v>
      </c>
      <c r="CO70" s="99">
        <f>BM70*AR70/100</f>
        <v>2166.666666666667</v>
      </c>
      <c r="CP70" s="221" t="s">
        <v>81</v>
      </c>
      <c r="CQ70" s="48"/>
      <c r="CR70" s="48"/>
      <c r="CS70" s="48"/>
    </row>
    <row r="71" spans="1:97" x14ac:dyDescent="0.25">
      <c r="A71" s="27">
        <v>62</v>
      </c>
      <c r="B71" s="27">
        <v>97</v>
      </c>
      <c r="C71" s="29" t="s">
        <v>296</v>
      </c>
      <c r="D71" s="40" t="s">
        <v>49</v>
      </c>
      <c r="E71" s="40" t="s">
        <v>130</v>
      </c>
      <c r="F71" s="40" t="s">
        <v>130</v>
      </c>
      <c r="G71" s="40" t="s">
        <v>504</v>
      </c>
      <c r="H71" s="41" t="s">
        <v>505</v>
      </c>
      <c r="I71" s="29" t="s">
        <v>130</v>
      </c>
      <c r="J71" s="85">
        <f t="shared" si="30"/>
        <v>5871.6399999999994</v>
      </c>
      <c r="K71" s="85" t="s">
        <v>466</v>
      </c>
      <c r="L71" s="85">
        <v>167.74</v>
      </c>
      <c r="M71" s="86">
        <v>45678</v>
      </c>
      <c r="N71" s="85">
        <v>5703.9</v>
      </c>
      <c r="O71" s="86">
        <v>45769</v>
      </c>
      <c r="P71" s="85">
        <v>5880.31</v>
      </c>
      <c r="Q71" s="29" t="s">
        <v>80</v>
      </c>
      <c r="R71" s="85">
        <v>0</v>
      </c>
      <c r="S71" s="85">
        <v>0</v>
      </c>
      <c r="T71" s="85">
        <v>0</v>
      </c>
      <c r="U71" s="85">
        <v>6116.01</v>
      </c>
      <c r="V71" s="85">
        <v>5932.52</v>
      </c>
      <c r="W71" s="86">
        <v>46043</v>
      </c>
      <c r="X71" s="86">
        <v>46134</v>
      </c>
      <c r="Y71" s="85">
        <v>174.08</v>
      </c>
      <c r="Z71" s="85">
        <f t="shared" si="31"/>
        <v>6290.09</v>
      </c>
      <c r="AA71" s="85">
        <f t="shared" si="32"/>
        <v>6106.6</v>
      </c>
      <c r="AB71" s="85">
        <v>0</v>
      </c>
      <c r="AC71" s="85">
        <v>0</v>
      </c>
      <c r="AD71" s="85">
        <v>0</v>
      </c>
      <c r="AE71" s="29" t="s">
        <v>45</v>
      </c>
      <c r="AF71" s="29" t="s">
        <v>55</v>
      </c>
      <c r="AG71" s="40" t="s">
        <v>641</v>
      </c>
      <c r="AH71" s="29" t="s">
        <v>468</v>
      </c>
      <c r="AI71" s="87" t="str">
        <f>IFERROR(VLOOKUP(AG71,[2]Frota!$D$2:$AV$187,2,FALSE),"-")</f>
        <v>01274597380</v>
      </c>
      <c r="AJ71" s="87" t="str">
        <f>IFERROR(VLOOKUP(AG71,[2]Frota!$D$2:$AV$187,3,FALSE),"-")</f>
        <v>93KP0S1F4ME171053</v>
      </c>
      <c r="AK71" s="29" t="s">
        <v>633</v>
      </c>
      <c r="AL71" s="29" t="s">
        <v>634</v>
      </c>
      <c r="AM71" s="34">
        <v>2021</v>
      </c>
      <c r="AN71" s="34">
        <v>2021</v>
      </c>
      <c r="AO71" s="40" t="s">
        <v>642</v>
      </c>
      <c r="AP71" s="29" t="s">
        <v>622</v>
      </c>
      <c r="AQ71" s="88" t="s">
        <v>464</v>
      </c>
      <c r="AR71" s="89">
        <f>VLOOKUP(AQ71,'[1]Critério de Depreciação'!$C$3:$G$8,5,FALSE)</f>
        <v>1.6666666666666667</v>
      </c>
      <c r="AS71" s="29" t="s">
        <v>130</v>
      </c>
      <c r="AT71" s="29" t="s">
        <v>322</v>
      </c>
      <c r="AU71" s="29" t="str">
        <f>IFERROR(VLOOKUP(AG114,[2]Frota!$D$2:$AV$187,12,FALSE),"-")</f>
        <v>1.6.1</v>
      </c>
      <c r="AV71" s="45">
        <v>179219</v>
      </c>
      <c r="AW71" s="90">
        <v>350000</v>
      </c>
      <c r="AX71" s="86">
        <v>44209</v>
      </c>
      <c r="AY71" s="91" t="s">
        <v>130</v>
      </c>
      <c r="AZ71" s="85" t="s">
        <v>130</v>
      </c>
      <c r="BA71" s="123">
        <v>433810</v>
      </c>
      <c r="BB71" s="86">
        <v>45215</v>
      </c>
      <c r="BC71" s="85">
        <v>85000</v>
      </c>
      <c r="BD71" s="85">
        <v>240000</v>
      </c>
      <c r="BE71" s="92">
        <f t="shared" si="22"/>
        <v>758810</v>
      </c>
      <c r="BF71" s="92">
        <v>0</v>
      </c>
      <c r="BG71" s="92">
        <v>540000</v>
      </c>
      <c r="BH71" s="92">
        <v>125000</v>
      </c>
      <c r="BI71" s="92">
        <v>397000</v>
      </c>
      <c r="BJ71" s="92">
        <v>0</v>
      </c>
      <c r="BK71" s="92">
        <v>0</v>
      </c>
      <c r="BL71" s="92">
        <v>0</v>
      </c>
      <c r="BM71" s="93">
        <f t="shared" si="21"/>
        <v>1062000</v>
      </c>
      <c r="BN71" s="92">
        <f t="shared" si="33"/>
        <v>9000</v>
      </c>
      <c r="BO71" s="92">
        <f t="shared" si="34"/>
        <v>8700</v>
      </c>
      <c r="BP71" s="92">
        <f t="shared" si="35"/>
        <v>17700</v>
      </c>
      <c r="BQ71" s="92">
        <v>0</v>
      </c>
      <c r="BR71" s="92">
        <v>0</v>
      </c>
      <c r="BS71" s="85">
        <f t="shared" si="23"/>
        <v>5833.333333333333</v>
      </c>
      <c r="BT71" s="94">
        <v>69.900000000000006</v>
      </c>
      <c r="BU71" s="86">
        <v>45703</v>
      </c>
      <c r="BV71" s="86" t="s">
        <v>130</v>
      </c>
      <c r="BW71" s="95">
        <v>20.94</v>
      </c>
      <c r="BX71" s="96" t="s">
        <v>638</v>
      </c>
      <c r="BY71" s="29" t="s">
        <v>312</v>
      </c>
      <c r="BZ71" s="29" t="s">
        <v>310</v>
      </c>
      <c r="CA71" s="29" t="s">
        <v>130</v>
      </c>
      <c r="CB71" s="29" t="s">
        <v>130</v>
      </c>
      <c r="CC71" s="29" t="s">
        <v>130</v>
      </c>
      <c r="CD71" s="29" t="s">
        <v>316</v>
      </c>
      <c r="CE71" s="29" t="str">
        <f t="shared" si="16"/>
        <v>MS - DOURADOS</v>
      </c>
      <c r="CF71" s="97">
        <v>130215</v>
      </c>
      <c r="CG71" s="97">
        <v>93.8</v>
      </c>
      <c r="CH71" s="37">
        <f t="shared" si="24"/>
        <v>1062000</v>
      </c>
      <c r="CI71" s="98" t="s">
        <v>130</v>
      </c>
      <c r="CJ71" s="39">
        <v>5</v>
      </c>
      <c r="CK71" s="39">
        <v>5</v>
      </c>
      <c r="CL71" s="39">
        <f t="shared" si="25"/>
        <v>60</v>
      </c>
      <c r="CM71" s="99">
        <f t="shared" si="26"/>
        <v>35400</v>
      </c>
      <c r="CN71" s="40" t="str">
        <f>IFERROR(IF(VLOOKUP(AG71,'[1]ATIVOS SAGI'!C:D,1,FALSE)&lt;&gt;"","CADASTRADO","NÃO CADASTRADO"),"NÃO CADASTRADO")</f>
        <v>CADASTRADO</v>
      </c>
      <c r="CO71" s="99">
        <f t="shared" si="29"/>
        <v>17700</v>
      </c>
      <c r="CP71" s="221" t="s">
        <v>81</v>
      </c>
      <c r="CQ71" s="48"/>
      <c r="CR71" s="48"/>
      <c r="CS71" s="48"/>
    </row>
    <row r="72" spans="1:97" x14ac:dyDescent="0.25">
      <c r="A72" s="27">
        <v>63</v>
      </c>
      <c r="B72" s="27">
        <v>98</v>
      </c>
      <c r="C72" s="29" t="s">
        <v>296</v>
      </c>
      <c r="D72" s="40" t="s">
        <v>49</v>
      </c>
      <c r="E72" s="40" t="s">
        <v>130</v>
      </c>
      <c r="F72" s="40" t="s">
        <v>130</v>
      </c>
      <c r="G72" s="40" t="s">
        <v>504</v>
      </c>
      <c r="H72" s="41" t="s">
        <v>505</v>
      </c>
      <c r="I72" s="29" t="s">
        <v>130</v>
      </c>
      <c r="J72" s="85">
        <f t="shared" si="30"/>
        <v>5871.6399999999994</v>
      </c>
      <c r="K72" s="85" t="s">
        <v>466</v>
      </c>
      <c r="L72" s="85">
        <v>167.74</v>
      </c>
      <c r="M72" s="86">
        <v>45678</v>
      </c>
      <c r="N72" s="85">
        <v>5703.9</v>
      </c>
      <c r="O72" s="86">
        <v>45769</v>
      </c>
      <c r="P72" s="85">
        <v>5880.31</v>
      </c>
      <c r="Q72" s="29" t="s">
        <v>80</v>
      </c>
      <c r="R72" s="85">
        <v>0</v>
      </c>
      <c r="S72" s="85">
        <v>0</v>
      </c>
      <c r="T72" s="85">
        <v>0</v>
      </c>
      <c r="U72" s="85">
        <v>6116.01</v>
      </c>
      <c r="V72" s="85">
        <v>5932.52</v>
      </c>
      <c r="W72" s="86">
        <v>46041</v>
      </c>
      <c r="X72" s="86">
        <v>46134</v>
      </c>
      <c r="Y72" s="85">
        <v>174.08</v>
      </c>
      <c r="Z72" s="85">
        <f t="shared" si="31"/>
        <v>6290.09</v>
      </c>
      <c r="AA72" s="85">
        <f t="shared" si="32"/>
        <v>6106.6</v>
      </c>
      <c r="AB72" s="85">
        <v>314.31</v>
      </c>
      <c r="AC72" s="85">
        <v>0</v>
      </c>
      <c r="AD72" s="85">
        <v>0</v>
      </c>
      <c r="AE72" s="29" t="s">
        <v>45</v>
      </c>
      <c r="AF72" s="29" t="s">
        <v>53</v>
      </c>
      <c r="AG72" s="40" t="s">
        <v>643</v>
      </c>
      <c r="AH72" s="29" t="s">
        <v>468</v>
      </c>
      <c r="AI72" s="87" t="str">
        <f>IFERROR(VLOOKUP(AG72,[2]Frota!$D$2:$AV$187,2,FALSE),"-")</f>
        <v>01272096294</v>
      </c>
      <c r="AJ72" s="87" t="str">
        <f>IFERROR(VLOOKUP(AG72,[2]Frota!$D$2:$AV$187,3,FALSE),"-")</f>
        <v>93KP0S1F1ME171052</v>
      </c>
      <c r="AK72" s="29" t="s">
        <v>633</v>
      </c>
      <c r="AL72" s="29" t="s">
        <v>634</v>
      </c>
      <c r="AM72" s="34">
        <v>2021</v>
      </c>
      <c r="AN72" s="34">
        <v>2021</v>
      </c>
      <c r="AO72" s="40" t="s">
        <v>642</v>
      </c>
      <c r="AP72" s="29" t="s">
        <v>622</v>
      </c>
      <c r="AQ72" s="88" t="s">
        <v>464</v>
      </c>
      <c r="AR72" s="89">
        <f>VLOOKUP(AQ72,'[1]Critério de Depreciação'!$C$3:$G$8,5,FALSE)</f>
        <v>1.6666666666666667</v>
      </c>
      <c r="AS72" s="29" t="s">
        <v>130</v>
      </c>
      <c r="AT72" s="29" t="s">
        <v>322</v>
      </c>
      <c r="AU72" s="29" t="str">
        <f>IFERROR(VLOOKUP(AG115,[2]Frota!$D$2:$AV$187,12,FALSE),"-")</f>
        <v>1.3.1.4</v>
      </c>
      <c r="AV72" s="45">
        <v>179221</v>
      </c>
      <c r="AW72" s="90">
        <v>350000</v>
      </c>
      <c r="AX72" s="86">
        <v>44209</v>
      </c>
      <c r="AY72" s="91" t="s">
        <v>130</v>
      </c>
      <c r="AZ72" s="85" t="s">
        <v>130</v>
      </c>
      <c r="BA72" s="123">
        <v>433810</v>
      </c>
      <c r="BB72" s="86">
        <v>45215</v>
      </c>
      <c r="BC72" s="85">
        <v>85000</v>
      </c>
      <c r="BD72" s="85">
        <v>240000</v>
      </c>
      <c r="BE72" s="92">
        <f t="shared" si="22"/>
        <v>758810</v>
      </c>
      <c r="BF72" s="92">
        <v>0</v>
      </c>
      <c r="BG72" s="92">
        <v>540000</v>
      </c>
      <c r="BH72" s="92">
        <v>125000</v>
      </c>
      <c r="BI72" s="92">
        <v>397000</v>
      </c>
      <c r="BJ72" s="92">
        <v>0</v>
      </c>
      <c r="BK72" s="92">
        <v>0</v>
      </c>
      <c r="BL72" s="92">
        <v>0</v>
      </c>
      <c r="BM72" s="93">
        <f t="shared" si="21"/>
        <v>1062000</v>
      </c>
      <c r="BN72" s="92">
        <f t="shared" si="33"/>
        <v>9000</v>
      </c>
      <c r="BO72" s="92">
        <f t="shared" si="34"/>
        <v>8700</v>
      </c>
      <c r="BP72" s="92">
        <f t="shared" si="35"/>
        <v>17700</v>
      </c>
      <c r="BQ72" s="92">
        <v>0</v>
      </c>
      <c r="BR72" s="92">
        <v>0</v>
      </c>
      <c r="BS72" s="85">
        <f t="shared" si="23"/>
        <v>5833.333333333333</v>
      </c>
      <c r="BT72" s="94">
        <v>69.900000000000006</v>
      </c>
      <c r="BU72" s="86">
        <v>45703</v>
      </c>
      <c r="BV72" s="86" t="s">
        <v>130</v>
      </c>
      <c r="BW72" s="95">
        <v>20.94</v>
      </c>
      <c r="BX72" s="96" t="s">
        <v>638</v>
      </c>
      <c r="BY72" s="29" t="s">
        <v>310</v>
      </c>
      <c r="BZ72" s="29" t="s">
        <v>310</v>
      </c>
      <c r="CA72" s="29" t="s">
        <v>130</v>
      </c>
      <c r="CB72" s="29" t="s">
        <v>130</v>
      </c>
      <c r="CC72" s="29" t="s">
        <v>130</v>
      </c>
      <c r="CD72" s="29" t="s">
        <v>310</v>
      </c>
      <c r="CE72" s="29" t="str">
        <f t="shared" si="16"/>
        <v>MS - CAMPO GRANDE</v>
      </c>
      <c r="CF72" s="97">
        <v>119638</v>
      </c>
      <c r="CG72" s="97">
        <v>610.20000000000005</v>
      </c>
      <c r="CH72" s="37">
        <f t="shared" si="24"/>
        <v>1062000</v>
      </c>
      <c r="CI72" s="98" t="s">
        <v>130</v>
      </c>
      <c r="CJ72" s="39">
        <v>5</v>
      </c>
      <c r="CK72" s="39">
        <v>5</v>
      </c>
      <c r="CL72" s="39">
        <f t="shared" si="25"/>
        <v>60</v>
      </c>
      <c r="CM72" s="99">
        <f t="shared" si="26"/>
        <v>35400</v>
      </c>
      <c r="CN72" s="40" t="str">
        <f>IFERROR(IF(VLOOKUP(AG72,'[1]ATIVOS SAGI'!C:D,1,FALSE)&lt;&gt;"","CADASTRADO","NÃO CADASTRADO"),"NÃO CADASTRADO")</f>
        <v>CADASTRADO</v>
      </c>
      <c r="CO72" s="99">
        <f t="shared" si="29"/>
        <v>17700</v>
      </c>
      <c r="CP72" s="221" t="s">
        <v>81</v>
      </c>
      <c r="CQ72" s="48"/>
      <c r="CR72" s="48"/>
      <c r="CS72" s="48"/>
    </row>
    <row r="73" spans="1:97" x14ac:dyDescent="0.25">
      <c r="A73" s="27">
        <v>61</v>
      </c>
      <c r="B73" s="27">
        <v>96</v>
      </c>
      <c r="C73" s="29" t="s">
        <v>296</v>
      </c>
      <c r="D73" s="40" t="s">
        <v>49</v>
      </c>
      <c r="E73" s="40" t="s">
        <v>130</v>
      </c>
      <c r="F73" s="40" t="s">
        <v>130</v>
      </c>
      <c r="G73" s="40" t="s">
        <v>489</v>
      </c>
      <c r="H73" s="104" t="s">
        <v>644</v>
      </c>
      <c r="I73" s="29" t="s">
        <v>130</v>
      </c>
      <c r="J73" s="85">
        <f>L73+N73</f>
        <v>3151.29</v>
      </c>
      <c r="K73" s="85" t="s">
        <v>466</v>
      </c>
      <c r="L73" s="85">
        <v>167.74</v>
      </c>
      <c r="M73" s="86">
        <v>45679</v>
      </c>
      <c r="N73" s="85">
        <v>2983.55</v>
      </c>
      <c r="O73" s="86">
        <v>45769</v>
      </c>
      <c r="P73" s="85">
        <v>3075.82</v>
      </c>
      <c r="Q73" s="29" t="s">
        <v>80</v>
      </c>
      <c r="R73" s="85">
        <v>0</v>
      </c>
      <c r="S73" s="85">
        <v>0</v>
      </c>
      <c r="T73" s="85">
        <v>0</v>
      </c>
      <c r="U73" s="85">
        <v>3136.26</v>
      </c>
      <c r="V73" s="85">
        <v>3042.17</v>
      </c>
      <c r="W73" s="86">
        <v>46043</v>
      </c>
      <c r="X73" s="86">
        <v>46134</v>
      </c>
      <c r="Y73" s="85">
        <v>174.08</v>
      </c>
      <c r="Z73" s="85">
        <f>U73+Y73</f>
        <v>3310.34</v>
      </c>
      <c r="AA73" s="85">
        <f>V73+Y73</f>
        <v>3216.25</v>
      </c>
      <c r="AB73" s="85">
        <v>0</v>
      </c>
      <c r="AC73" s="85">
        <v>0</v>
      </c>
      <c r="AD73" s="85">
        <v>0</v>
      </c>
      <c r="AE73" s="102" t="s">
        <v>298</v>
      </c>
      <c r="AF73" s="29" t="s">
        <v>46</v>
      </c>
      <c r="AG73" s="234" t="s">
        <v>645</v>
      </c>
      <c r="AH73" s="29" t="s">
        <v>468</v>
      </c>
      <c r="AI73" s="87" t="str">
        <f>IFERROR(VLOOKUP(AG73,[2]Frota!$D$2:$AV$187,2,FALSE),"-")</f>
        <v>00501493085</v>
      </c>
      <c r="AJ73" s="87" t="str">
        <f>IFERROR(VLOOKUP(AG73,[2]Frota!$D$2:$AV$187,3,FALSE),"-")</f>
        <v>93KP0S1C8DE137476</v>
      </c>
      <c r="AK73" s="29" t="s">
        <v>633</v>
      </c>
      <c r="AL73" s="29" t="s">
        <v>634</v>
      </c>
      <c r="AM73" s="34">
        <v>2012</v>
      </c>
      <c r="AN73" s="34">
        <v>2013</v>
      </c>
      <c r="AO73" s="40" t="s">
        <v>635</v>
      </c>
      <c r="AP73" s="29" t="s">
        <v>622</v>
      </c>
      <c r="AQ73" s="88" t="s">
        <v>464</v>
      </c>
      <c r="AR73" s="89">
        <f>VLOOKUP(AQ73,'[1]Critério de Depreciação'!$C$3:$G$8,5,FALSE)</f>
        <v>1.6666666666666667</v>
      </c>
      <c r="AS73" s="29" t="s">
        <v>130</v>
      </c>
      <c r="AT73" s="29" t="s">
        <v>322</v>
      </c>
      <c r="AU73" s="29" t="str">
        <f>IFERROR(VLOOKUP(AG113,[2]Frota!$D$2:$AV$187,12,FALSE),"-")</f>
        <v>1.2.2.4</v>
      </c>
      <c r="AV73" s="45">
        <v>38191</v>
      </c>
      <c r="AW73" s="90">
        <v>209000</v>
      </c>
      <c r="AX73" s="86">
        <v>41242</v>
      </c>
      <c r="AY73" s="91" t="s">
        <v>130</v>
      </c>
      <c r="AZ73" s="85" t="s">
        <v>130</v>
      </c>
      <c r="BA73" s="123">
        <v>188251</v>
      </c>
      <c r="BB73" s="86">
        <v>45215</v>
      </c>
      <c r="BC73" s="85">
        <v>85000</v>
      </c>
      <c r="BD73" s="85">
        <v>240000</v>
      </c>
      <c r="BE73" s="92">
        <f>SUM(AZ73:BA73,BC73:BD73)</f>
        <v>513251</v>
      </c>
      <c r="BF73" s="92">
        <v>0</v>
      </c>
      <c r="BG73" s="92">
        <v>540000</v>
      </c>
      <c r="BH73" s="92">
        <v>125000</v>
      </c>
      <c r="BI73" s="92">
        <v>397000</v>
      </c>
      <c r="BJ73" s="92">
        <v>0</v>
      </c>
      <c r="BK73" s="92">
        <v>0</v>
      </c>
      <c r="BL73" s="92">
        <v>0</v>
      </c>
      <c r="BM73" s="93">
        <f>SUM(BF73:BL73)</f>
        <v>1062000</v>
      </c>
      <c r="BN73" s="92">
        <f>(BG73*20%)/12</f>
        <v>9000</v>
      </c>
      <c r="BO73" s="92">
        <f>((BF73+BH73+BI73+BJ73+BK73+BL73)*20%)/12</f>
        <v>8700</v>
      </c>
      <c r="BP73" s="92">
        <f>BN73+BO73</f>
        <v>17700</v>
      </c>
      <c r="BQ73" s="92">
        <v>0</v>
      </c>
      <c r="BR73" s="92">
        <v>0</v>
      </c>
      <c r="BS73" s="85">
        <f>IFERROR((AW73*20%)/12,"-")</f>
        <v>3483.3333333333335</v>
      </c>
      <c r="BT73" s="94">
        <v>69.900000000000006</v>
      </c>
      <c r="BU73" s="86">
        <v>45703</v>
      </c>
      <c r="BV73" s="86" t="s">
        <v>130</v>
      </c>
      <c r="BW73" s="95">
        <v>20.94</v>
      </c>
      <c r="BX73" s="96" t="s">
        <v>636</v>
      </c>
      <c r="BY73" s="29" t="s">
        <v>316</v>
      </c>
      <c r="BZ73" s="29" t="s">
        <v>316</v>
      </c>
      <c r="CA73" s="29" t="s">
        <v>130</v>
      </c>
      <c r="CB73" s="29" t="s">
        <v>130</v>
      </c>
      <c r="CC73" s="29" t="s">
        <v>130</v>
      </c>
      <c r="CD73" s="29" t="s">
        <v>316</v>
      </c>
      <c r="CE73" s="29" t="str">
        <f>AF73</f>
        <v>SP - PRUDENTE - SUCATA</v>
      </c>
      <c r="CF73" s="97">
        <v>245972</v>
      </c>
      <c r="CG73" s="97">
        <v>400.9</v>
      </c>
      <c r="CH73" s="37">
        <f>BM73</f>
        <v>1062000</v>
      </c>
      <c r="CI73" s="98" t="s">
        <v>130</v>
      </c>
      <c r="CJ73" s="39">
        <v>5</v>
      </c>
      <c r="CK73" s="39">
        <v>5</v>
      </c>
      <c r="CL73" s="39">
        <f>12*CK73</f>
        <v>60</v>
      </c>
      <c r="CM73" s="99">
        <f>IFERROR((CH73/CL73)*2,"-")</f>
        <v>35400</v>
      </c>
      <c r="CN73" s="40" t="str">
        <f>IFERROR(IF(VLOOKUP(AG73,'[1]ATIVOS SAGI'!C:D,1,FALSE)&lt;&gt;"","CADASTRADO","NÃO CADASTRADO"),"NÃO CADASTRADO")</f>
        <v>CADASTRADO</v>
      </c>
      <c r="CO73" s="99">
        <f>BM73*AR73/100</f>
        <v>17700</v>
      </c>
      <c r="CP73" s="223" t="s">
        <v>81</v>
      </c>
      <c r="CQ73" s="48"/>
      <c r="CR73" s="48"/>
      <c r="CS73" s="48"/>
    </row>
    <row r="74" spans="1:97" x14ac:dyDescent="0.25">
      <c r="A74" s="27">
        <v>64</v>
      </c>
      <c r="B74" s="27">
        <v>99</v>
      </c>
      <c r="C74" s="29" t="s">
        <v>296</v>
      </c>
      <c r="D74" s="40" t="s">
        <v>49</v>
      </c>
      <c r="E74" s="40" t="s">
        <v>130</v>
      </c>
      <c r="F74" s="40" t="s">
        <v>130</v>
      </c>
      <c r="G74" s="40" t="s">
        <v>489</v>
      </c>
      <c r="H74" s="41" t="s">
        <v>306</v>
      </c>
      <c r="I74" s="29" t="s">
        <v>130</v>
      </c>
      <c r="J74" s="85">
        <f t="shared" si="30"/>
        <v>5871.6399999999994</v>
      </c>
      <c r="K74" s="85" t="s">
        <v>466</v>
      </c>
      <c r="L74" s="85">
        <v>167.74</v>
      </c>
      <c r="M74" s="86">
        <v>45670</v>
      </c>
      <c r="N74" s="85">
        <v>5703.9</v>
      </c>
      <c r="O74" s="86">
        <v>45769</v>
      </c>
      <c r="P74" s="85">
        <v>5880.31</v>
      </c>
      <c r="Q74" s="29" t="s">
        <v>80</v>
      </c>
      <c r="R74" s="85">
        <v>0</v>
      </c>
      <c r="S74" s="85">
        <v>0</v>
      </c>
      <c r="T74" s="85">
        <v>0</v>
      </c>
      <c r="U74" s="85">
        <v>6116.01</v>
      </c>
      <c r="V74" s="85">
        <v>5932.52</v>
      </c>
      <c r="W74" s="86">
        <v>46034</v>
      </c>
      <c r="X74" s="86">
        <v>46134</v>
      </c>
      <c r="Y74" s="85">
        <v>174.08</v>
      </c>
      <c r="Z74" s="85">
        <f t="shared" si="31"/>
        <v>6290.09</v>
      </c>
      <c r="AA74" s="85">
        <f t="shared" si="32"/>
        <v>6106.6</v>
      </c>
      <c r="AB74" s="85">
        <v>0</v>
      </c>
      <c r="AC74" s="85">
        <v>0</v>
      </c>
      <c r="AD74" s="85">
        <v>0</v>
      </c>
      <c r="AE74" s="29" t="s">
        <v>45</v>
      </c>
      <c r="AF74" s="29" t="s">
        <v>46</v>
      </c>
      <c r="AG74" s="40" t="s">
        <v>646</v>
      </c>
      <c r="AH74" s="29" t="s">
        <v>468</v>
      </c>
      <c r="AI74" s="87" t="str">
        <f>IFERROR(VLOOKUP(AG74,[2]Frota!$D$2:$AV$187,2,FALSE),"-")</f>
        <v>01274316690</v>
      </c>
      <c r="AJ74" s="87" t="str">
        <f>IFERROR(VLOOKUP(AG74,[2]Frota!$D$2:$AV$187,3,FALSE),"-")</f>
        <v>93KP0S1F2ME171056</v>
      </c>
      <c r="AK74" s="29" t="s">
        <v>633</v>
      </c>
      <c r="AL74" s="29" t="s">
        <v>634</v>
      </c>
      <c r="AM74" s="34">
        <v>2021</v>
      </c>
      <c r="AN74" s="34">
        <v>2021</v>
      </c>
      <c r="AO74" s="40" t="s">
        <v>642</v>
      </c>
      <c r="AP74" s="29" t="s">
        <v>622</v>
      </c>
      <c r="AQ74" s="88" t="s">
        <v>464</v>
      </c>
      <c r="AR74" s="89">
        <f>VLOOKUP(AQ74,'[1]Critério de Depreciação'!$C$3:$G$8,5,FALSE)</f>
        <v>1.6666666666666667</v>
      </c>
      <c r="AS74" s="29" t="s">
        <v>130</v>
      </c>
      <c r="AT74" s="29" t="s">
        <v>322</v>
      </c>
      <c r="AU74" s="29" t="str">
        <f>IFERROR(VLOOKUP(AG116,[2]Frota!$D$2:$AV$187,12,FALSE),"-")</f>
        <v>1.3.1.4</v>
      </c>
      <c r="AV74" s="45">
        <v>179220</v>
      </c>
      <c r="AW74" s="90">
        <v>350000</v>
      </c>
      <c r="AX74" s="86">
        <v>44209</v>
      </c>
      <c r="AY74" s="91" t="s">
        <v>130</v>
      </c>
      <c r="AZ74" s="85" t="s">
        <v>130</v>
      </c>
      <c r="BA74" s="123">
        <v>433810</v>
      </c>
      <c r="BB74" s="86">
        <v>45215</v>
      </c>
      <c r="BC74" s="85">
        <v>85000</v>
      </c>
      <c r="BD74" s="85">
        <v>240000</v>
      </c>
      <c r="BE74" s="92">
        <f t="shared" si="22"/>
        <v>758810</v>
      </c>
      <c r="BF74" s="92">
        <v>0</v>
      </c>
      <c r="BG74" s="92">
        <v>540000</v>
      </c>
      <c r="BH74" s="92">
        <v>125000</v>
      </c>
      <c r="BI74" s="92">
        <v>397000</v>
      </c>
      <c r="BJ74" s="92">
        <v>0</v>
      </c>
      <c r="BK74" s="92">
        <v>0</v>
      </c>
      <c r="BL74" s="92">
        <v>0</v>
      </c>
      <c r="BM74" s="93">
        <f t="shared" si="21"/>
        <v>1062000</v>
      </c>
      <c r="BN74" s="92">
        <f t="shared" si="33"/>
        <v>9000</v>
      </c>
      <c r="BO74" s="92">
        <f t="shared" si="34"/>
        <v>8700</v>
      </c>
      <c r="BP74" s="92">
        <f t="shared" si="35"/>
        <v>17700</v>
      </c>
      <c r="BQ74" s="92">
        <v>0</v>
      </c>
      <c r="BR74" s="92">
        <v>0</v>
      </c>
      <c r="BS74" s="85">
        <f t="shared" si="23"/>
        <v>5833.333333333333</v>
      </c>
      <c r="BT74" s="94">
        <v>69.900000000000006</v>
      </c>
      <c r="BU74" s="86">
        <v>45703</v>
      </c>
      <c r="BV74" s="86" t="s">
        <v>130</v>
      </c>
      <c r="BW74" s="95">
        <v>20.94</v>
      </c>
      <c r="BX74" s="96" t="s">
        <v>636</v>
      </c>
      <c r="BY74" s="29" t="s">
        <v>314</v>
      </c>
      <c r="BZ74" s="29" t="s">
        <v>314</v>
      </c>
      <c r="CA74" s="29" t="s">
        <v>130</v>
      </c>
      <c r="CB74" s="29" t="s">
        <v>130</v>
      </c>
      <c r="CC74" s="29" t="s">
        <v>130</v>
      </c>
      <c r="CD74" s="29" t="s">
        <v>314</v>
      </c>
      <c r="CE74" s="29" t="str">
        <f t="shared" si="16"/>
        <v>SP - PRUDENTE - SUCATA</v>
      </c>
      <c r="CF74" s="97">
        <v>143405</v>
      </c>
      <c r="CG74" s="97">
        <v>1634.3</v>
      </c>
      <c r="CH74" s="37">
        <f t="shared" si="24"/>
        <v>1062000</v>
      </c>
      <c r="CI74" s="98" t="s">
        <v>130</v>
      </c>
      <c r="CJ74" s="39">
        <v>5</v>
      </c>
      <c r="CK74" s="39">
        <v>5</v>
      </c>
      <c r="CL74" s="39">
        <f t="shared" si="25"/>
        <v>60</v>
      </c>
      <c r="CM74" s="99">
        <f t="shared" si="26"/>
        <v>35400</v>
      </c>
      <c r="CN74" s="40" t="str">
        <f>IFERROR(IF(VLOOKUP(AG74,'[1]ATIVOS SAGI'!C:D,1,FALSE)&lt;&gt;"","CADASTRADO","NÃO CADASTRADO"),"NÃO CADASTRADO")</f>
        <v>CADASTRADO</v>
      </c>
      <c r="CO74" s="99">
        <f t="shared" si="29"/>
        <v>17700</v>
      </c>
      <c r="CP74" s="223" t="s">
        <v>81</v>
      </c>
      <c r="CQ74" s="48"/>
      <c r="CR74" s="48"/>
      <c r="CS74" s="48"/>
    </row>
    <row r="75" spans="1:97" x14ac:dyDescent="0.25">
      <c r="A75" s="27">
        <v>65</v>
      </c>
      <c r="B75" s="27">
        <v>100</v>
      </c>
      <c r="C75" s="29" t="s">
        <v>296</v>
      </c>
      <c r="D75" s="40" t="s">
        <v>49</v>
      </c>
      <c r="E75" s="40" t="s">
        <v>130</v>
      </c>
      <c r="F75" s="40" t="s">
        <v>130</v>
      </c>
      <c r="G75" s="40" t="s">
        <v>315</v>
      </c>
      <c r="H75" s="41" t="s">
        <v>520</v>
      </c>
      <c r="I75" s="29" t="s">
        <v>130</v>
      </c>
      <c r="J75" s="85">
        <f t="shared" si="30"/>
        <v>5871.6399999999994</v>
      </c>
      <c r="K75" s="85" t="s">
        <v>466</v>
      </c>
      <c r="L75" s="85">
        <v>167.74</v>
      </c>
      <c r="M75" s="86">
        <v>45674</v>
      </c>
      <c r="N75" s="85">
        <v>5703.9</v>
      </c>
      <c r="O75" s="86">
        <v>45769</v>
      </c>
      <c r="P75" s="85">
        <v>5880.31</v>
      </c>
      <c r="Q75" s="29" t="s">
        <v>80</v>
      </c>
      <c r="R75" s="85">
        <v>0</v>
      </c>
      <c r="S75" s="85">
        <v>0</v>
      </c>
      <c r="T75" s="85">
        <v>0</v>
      </c>
      <c r="U75" s="85">
        <v>6116.01</v>
      </c>
      <c r="V75" s="85">
        <v>5932.52</v>
      </c>
      <c r="W75" s="86">
        <v>46038</v>
      </c>
      <c r="X75" s="86">
        <v>46134</v>
      </c>
      <c r="Y75" s="85">
        <v>174.08</v>
      </c>
      <c r="Z75" s="85">
        <f t="shared" si="31"/>
        <v>6290.09</v>
      </c>
      <c r="AA75" s="85">
        <f t="shared" si="32"/>
        <v>6106.6</v>
      </c>
      <c r="AB75" s="85">
        <v>0</v>
      </c>
      <c r="AC75" s="85">
        <v>0</v>
      </c>
      <c r="AD75" s="85">
        <v>0</v>
      </c>
      <c r="AE75" s="29" t="s">
        <v>45</v>
      </c>
      <c r="AF75" s="29" t="s">
        <v>59</v>
      </c>
      <c r="AG75" s="40" t="s">
        <v>647</v>
      </c>
      <c r="AH75" s="29" t="s">
        <v>468</v>
      </c>
      <c r="AI75" s="87" t="str">
        <f>IFERROR(VLOOKUP(AG75,[2]Frota!$D$2:$AV$187,2,FALSE),"-")</f>
        <v>01274597355</v>
      </c>
      <c r="AJ75" s="87" t="str">
        <f>IFERROR(VLOOKUP(AG75,[2]Frota!$D$2:$AV$187,3,FALSE),"-")</f>
        <v>93KP0S1FXME171055</v>
      </c>
      <c r="AK75" s="29" t="s">
        <v>633</v>
      </c>
      <c r="AL75" s="29" t="s">
        <v>634</v>
      </c>
      <c r="AM75" s="34">
        <v>2021</v>
      </c>
      <c r="AN75" s="34">
        <v>2021</v>
      </c>
      <c r="AO75" s="40" t="s">
        <v>642</v>
      </c>
      <c r="AP75" s="29" t="s">
        <v>622</v>
      </c>
      <c r="AQ75" s="88" t="s">
        <v>464</v>
      </c>
      <c r="AR75" s="89">
        <f>VLOOKUP(AQ75,'[1]Critério de Depreciação'!$C$3:$G$8,5,FALSE)</f>
        <v>1.6666666666666667</v>
      </c>
      <c r="AS75" s="29" t="s">
        <v>130</v>
      </c>
      <c r="AT75" s="29" t="s">
        <v>322</v>
      </c>
      <c r="AU75" s="29" t="str">
        <f>IFERROR(VLOOKUP(AG117,[2]Frota!$D$2:$AV$187,12,FALSE),"-")</f>
        <v>-</v>
      </c>
      <c r="AV75" s="45">
        <v>179223</v>
      </c>
      <c r="AW75" s="90">
        <v>350000</v>
      </c>
      <c r="AX75" s="86">
        <v>44209</v>
      </c>
      <c r="AY75" s="91" t="s">
        <v>130</v>
      </c>
      <c r="AZ75" s="85" t="s">
        <v>130</v>
      </c>
      <c r="BA75" s="123">
        <v>433810</v>
      </c>
      <c r="BB75" s="86">
        <v>45215</v>
      </c>
      <c r="BC75" s="85">
        <v>85000</v>
      </c>
      <c r="BD75" s="85">
        <v>240000</v>
      </c>
      <c r="BE75" s="92">
        <f t="shared" si="22"/>
        <v>758810</v>
      </c>
      <c r="BF75" s="92">
        <v>0</v>
      </c>
      <c r="BG75" s="92">
        <v>540000</v>
      </c>
      <c r="BH75" s="92">
        <v>125000</v>
      </c>
      <c r="BI75" s="92">
        <v>397000</v>
      </c>
      <c r="BJ75" s="92">
        <v>0</v>
      </c>
      <c r="BK75" s="92">
        <v>0</v>
      </c>
      <c r="BL75" s="92">
        <v>0</v>
      </c>
      <c r="BM75" s="93">
        <f t="shared" si="21"/>
        <v>1062000</v>
      </c>
      <c r="BN75" s="92">
        <f t="shared" si="33"/>
        <v>9000</v>
      </c>
      <c r="BO75" s="92">
        <f t="shared" si="34"/>
        <v>8700</v>
      </c>
      <c r="BP75" s="92">
        <f t="shared" si="35"/>
        <v>17700</v>
      </c>
      <c r="BQ75" s="92">
        <v>0</v>
      </c>
      <c r="BR75" s="92">
        <v>0</v>
      </c>
      <c r="BS75" s="85">
        <f t="shared" si="23"/>
        <v>5833.333333333333</v>
      </c>
      <c r="BT75" s="94">
        <v>69.900000000000006</v>
      </c>
      <c r="BU75" s="86">
        <v>45703</v>
      </c>
      <c r="BV75" s="86" t="s">
        <v>130</v>
      </c>
      <c r="BW75" s="95">
        <v>20.94</v>
      </c>
      <c r="BX75" s="96" t="s">
        <v>638</v>
      </c>
      <c r="BY75" s="29" t="s">
        <v>310</v>
      </c>
      <c r="BZ75" s="29" t="s">
        <v>310</v>
      </c>
      <c r="CA75" s="29" t="s">
        <v>130</v>
      </c>
      <c r="CB75" s="29" t="s">
        <v>130</v>
      </c>
      <c r="CC75" s="29" t="s">
        <v>130</v>
      </c>
      <c r="CD75" s="29" t="s">
        <v>648</v>
      </c>
      <c r="CE75" s="29" t="str">
        <f t="shared" si="16"/>
        <v>PR - MARINGÁ</v>
      </c>
      <c r="CF75" s="97">
        <v>127933</v>
      </c>
      <c r="CG75" s="97">
        <v>1239.9000000000001</v>
      </c>
      <c r="CH75" s="37">
        <f t="shared" si="24"/>
        <v>1062000</v>
      </c>
      <c r="CI75" s="98" t="s">
        <v>130</v>
      </c>
      <c r="CJ75" s="39">
        <v>5</v>
      </c>
      <c r="CK75" s="39">
        <v>5</v>
      </c>
      <c r="CL75" s="39">
        <f t="shared" si="25"/>
        <v>60</v>
      </c>
      <c r="CM75" s="99">
        <f t="shared" si="26"/>
        <v>35400</v>
      </c>
      <c r="CN75" s="40" t="str">
        <f>IFERROR(IF(VLOOKUP(AG75,'[1]ATIVOS SAGI'!C:D,1,FALSE)&lt;&gt;"","CADASTRADO","NÃO CADASTRADO"),"NÃO CADASTRADO")</f>
        <v>CADASTRADO</v>
      </c>
      <c r="CO75" s="99">
        <f t="shared" si="29"/>
        <v>17700</v>
      </c>
      <c r="CP75" s="223" t="s">
        <v>81</v>
      </c>
      <c r="CQ75" s="48"/>
      <c r="CR75" s="48"/>
      <c r="CS75" s="48"/>
    </row>
    <row r="76" spans="1:97" x14ac:dyDescent="0.25">
      <c r="A76" s="27">
        <v>66</v>
      </c>
      <c r="B76" s="27">
        <v>101</v>
      </c>
      <c r="C76" s="29" t="s">
        <v>296</v>
      </c>
      <c r="D76" s="40" t="s">
        <v>49</v>
      </c>
      <c r="E76" s="40" t="s">
        <v>130</v>
      </c>
      <c r="F76" s="40" t="s">
        <v>130</v>
      </c>
      <c r="G76" s="40" t="s">
        <v>509</v>
      </c>
      <c r="H76" s="41" t="s">
        <v>510</v>
      </c>
      <c r="I76" s="29" t="s">
        <v>130</v>
      </c>
      <c r="J76" s="85">
        <f t="shared" si="30"/>
        <v>5871.6399999999994</v>
      </c>
      <c r="K76" s="85" t="s">
        <v>466</v>
      </c>
      <c r="L76" s="85">
        <v>167.74</v>
      </c>
      <c r="M76" s="86">
        <v>45672</v>
      </c>
      <c r="N76" s="85">
        <v>5703.9</v>
      </c>
      <c r="O76" s="86">
        <v>45769</v>
      </c>
      <c r="P76" s="85">
        <v>5880.31</v>
      </c>
      <c r="Q76" s="29" t="s">
        <v>80</v>
      </c>
      <c r="R76" s="85">
        <v>0</v>
      </c>
      <c r="S76" s="85">
        <v>0</v>
      </c>
      <c r="T76" s="85">
        <v>0</v>
      </c>
      <c r="U76" s="85">
        <v>6116.01</v>
      </c>
      <c r="V76" s="85">
        <v>5932.52</v>
      </c>
      <c r="W76" s="86">
        <v>46036</v>
      </c>
      <c r="X76" s="86">
        <v>46134</v>
      </c>
      <c r="Y76" s="85">
        <v>174.08</v>
      </c>
      <c r="Z76" s="85">
        <f t="shared" si="31"/>
        <v>6290.09</v>
      </c>
      <c r="AA76" s="85">
        <f t="shared" si="32"/>
        <v>6106.6</v>
      </c>
      <c r="AB76" s="85">
        <v>303.24</v>
      </c>
      <c r="AC76" s="85">
        <v>0</v>
      </c>
      <c r="AD76" s="85">
        <v>0</v>
      </c>
      <c r="AE76" s="29" t="s">
        <v>45</v>
      </c>
      <c r="AF76" s="29" t="s">
        <v>57</v>
      </c>
      <c r="AG76" s="40" t="s">
        <v>649</v>
      </c>
      <c r="AH76" s="29" t="s">
        <v>468</v>
      </c>
      <c r="AI76" s="87" t="str">
        <f>IFERROR(VLOOKUP(AG76,[2]Frota!$D$2:$AV$187,2,FALSE),"-")</f>
        <v>01284368685</v>
      </c>
      <c r="AJ76" s="87" t="str">
        <f>IFERROR(VLOOKUP(AG76,[2]Frota!$D$2:$AV$187,3,FALSE),"-")</f>
        <v>93KP0S1F7ME171080</v>
      </c>
      <c r="AK76" s="29" t="s">
        <v>633</v>
      </c>
      <c r="AL76" s="29" t="s">
        <v>634</v>
      </c>
      <c r="AM76" s="34">
        <v>2021</v>
      </c>
      <c r="AN76" s="34">
        <v>2021</v>
      </c>
      <c r="AO76" s="40" t="s">
        <v>642</v>
      </c>
      <c r="AP76" s="29" t="s">
        <v>622</v>
      </c>
      <c r="AQ76" s="88" t="s">
        <v>464</v>
      </c>
      <c r="AR76" s="89">
        <f>VLOOKUP(AQ76,'[1]Critério de Depreciação'!$C$3:$G$8,5,FALSE)</f>
        <v>1.6666666666666667</v>
      </c>
      <c r="AS76" s="29" t="s">
        <v>130</v>
      </c>
      <c r="AT76" s="29" t="s">
        <v>322</v>
      </c>
      <c r="AU76" s="29" t="str">
        <f>IFERROR(VLOOKUP(AG118,[2]Frota!$D$2:$AV$187,12,FALSE),"-")</f>
        <v>-</v>
      </c>
      <c r="AV76" s="45">
        <v>179253</v>
      </c>
      <c r="AW76" s="90">
        <v>350000</v>
      </c>
      <c r="AX76" s="86">
        <v>44210</v>
      </c>
      <c r="AY76" s="91" t="s">
        <v>130</v>
      </c>
      <c r="AZ76" s="85" t="s">
        <v>130</v>
      </c>
      <c r="BA76" s="123">
        <v>433810</v>
      </c>
      <c r="BB76" s="86">
        <v>45215</v>
      </c>
      <c r="BC76" s="85">
        <v>85000</v>
      </c>
      <c r="BD76" s="85">
        <v>240000</v>
      </c>
      <c r="BE76" s="92">
        <f t="shared" si="22"/>
        <v>758810</v>
      </c>
      <c r="BF76" s="92">
        <v>0</v>
      </c>
      <c r="BG76" s="92">
        <v>540000</v>
      </c>
      <c r="BH76" s="92">
        <v>125000</v>
      </c>
      <c r="BI76" s="92">
        <v>397000</v>
      </c>
      <c r="BJ76" s="92">
        <v>0</v>
      </c>
      <c r="BK76" s="92">
        <v>0</v>
      </c>
      <c r="BL76" s="92">
        <v>0</v>
      </c>
      <c r="BM76" s="93">
        <f t="shared" si="21"/>
        <v>1062000</v>
      </c>
      <c r="BN76" s="92">
        <f t="shared" si="33"/>
        <v>9000</v>
      </c>
      <c r="BO76" s="92">
        <f t="shared" si="34"/>
        <v>8700</v>
      </c>
      <c r="BP76" s="92">
        <f t="shared" si="35"/>
        <v>17700</v>
      </c>
      <c r="BQ76" s="92">
        <v>0</v>
      </c>
      <c r="BR76" s="92">
        <v>0</v>
      </c>
      <c r="BS76" s="85">
        <f t="shared" si="23"/>
        <v>5833.333333333333</v>
      </c>
      <c r="BT76" s="94">
        <v>69.900000000000006</v>
      </c>
      <c r="BU76" s="86">
        <v>45703</v>
      </c>
      <c r="BV76" s="86" t="s">
        <v>130</v>
      </c>
      <c r="BW76" s="95">
        <v>20.94</v>
      </c>
      <c r="BX76" s="96" t="s">
        <v>636</v>
      </c>
      <c r="BY76" s="29" t="s">
        <v>314</v>
      </c>
      <c r="BZ76" s="29" t="s">
        <v>314</v>
      </c>
      <c r="CA76" s="29" t="s">
        <v>130</v>
      </c>
      <c r="CB76" s="29" t="s">
        <v>130</v>
      </c>
      <c r="CC76" s="29" t="s">
        <v>130</v>
      </c>
      <c r="CD76" s="29" t="s">
        <v>314</v>
      </c>
      <c r="CE76" s="29" t="str">
        <f t="shared" si="16"/>
        <v>PR - LONDRINA</v>
      </c>
      <c r="CF76" s="97">
        <v>133990</v>
      </c>
      <c r="CG76" s="97">
        <v>1169.0999999999999</v>
      </c>
      <c r="CH76" s="37">
        <f t="shared" si="24"/>
        <v>1062000</v>
      </c>
      <c r="CI76" s="98" t="s">
        <v>130</v>
      </c>
      <c r="CJ76" s="39">
        <v>5</v>
      </c>
      <c r="CK76" s="39">
        <v>5</v>
      </c>
      <c r="CL76" s="39">
        <f t="shared" si="25"/>
        <v>60</v>
      </c>
      <c r="CM76" s="99">
        <f t="shared" si="26"/>
        <v>35400</v>
      </c>
      <c r="CN76" s="40" t="str">
        <f>IFERROR(IF(VLOOKUP(AG76,'[1]ATIVOS SAGI'!C:D,1,FALSE)&lt;&gt;"","CADASTRADO","NÃO CADASTRADO"),"NÃO CADASTRADO")</f>
        <v>CADASTRADO</v>
      </c>
      <c r="CO76" s="99">
        <f t="shared" si="29"/>
        <v>17700</v>
      </c>
      <c r="CP76" s="221" t="s">
        <v>81</v>
      </c>
      <c r="CQ76" s="48"/>
      <c r="CR76" s="48"/>
      <c r="CS76" s="48"/>
    </row>
    <row r="77" spans="1:97" x14ac:dyDescent="0.25">
      <c r="A77" s="27">
        <v>67</v>
      </c>
      <c r="B77" s="27">
        <v>102</v>
      </c>
      <c r="C77" s="29" t="s">
        <v>296</v>
      </c>
      <c r="D77" s="40" t="s">
        <v>49</v>
      </c>
      <c r="E77" s="40" t="s">
        <v>130</v>
      </c>
      <c r="F77" s="40" t="s">
        <v>130</v>
      </c>
      <c r="G77" s="40" t="s">
        <v>524</v>
      </c>
      <c r="H77" s="41" t="s">
        <v>109</v>
      </c>
      <c r="I77" s="29" t="s">
        <v>130</v>
      </c>
      <c r="J77" s="85">
        <f t="shared" si="30"/>
        <v>5871.6399999999994</v>
      </c>
      <c r="K77" s="85" t="s">
        <v>466</v>
      </c>
      <c r="L77" s="85">
        <v>167.74</v>
      </c>
      <c r="M77" s="86">
        <v>45674</v>
      </c>
      <c r="N77" s="85">
        <v>5703.9</v>
      </c>
      <c r="O77" s="86">
        <v>45769</v>
      </c>
      <c r="P77" s="85">
        <v>5880.31</v>
      </c>
      <c r="Q77" s="29" t="s">
        <v>80</v>
      </c>
      <c r="R77" s="85">
        <v>0</v>
      </c>
      <c r="S77" s="85">
        <v>0</v>
      </c>
      <c r="T77" s="85">
        <v>0</v>
      </c>
      <c r="U77" s="85">
        <v>6116.01</v>
      </c>
      <c r="V77" s="85">
        <v>5932.52</v>
      </c>
      <c r="W77" s="86">
        <v>46038</v>
      </c>
      <c r="X77" s="86">
        <v>46134</v>
      </c>
      <c r="Y77" s="85">
        <v>174.08</v>
      </c>
      <c r="Z77" s="85">
        <f t="shared" si="31"/>
        <v>6290.09</v>
      </c>
      <c r="AA77" s="85">
        <f t="shared" si="32"/>
        <v>6106.6</v>
      </c>
      <c r="AB77" s="85">
        <v>0</v>
      </c>
      <c r="AC77" s="85">
        <v>0</v>
      </c>
      <c r="AD77" s="85">
        <v>0</v>
      </c>
      <c r="AE77" s="235" t="s">
        <v>45</v>
      </c>
      <c r="AF77" s="29" t="s">
        <v>53</v>
      </c>
      <c r="AG77" s="40" t="s">
        <v>650</v>
      </c>
      <c r="AH77" s="29" t="s">
        <v>468</v>
      </c>
      <c r="AI77" s="162" t="s">
        <v>651</v>
      </c>
      <c r="AJ77" s="87" t="str">
        <f>IFERROR(VLOOKUP(AG77,[2]Frota!$D$2:$AV$187,3,FALSE),"-")</f>
        <v>93KP0S1F7ME171054</v>
      </c>
      <c r="AK77" s="29" t="s">
        <v>633</v>
      </c>
      <c r="AL77" s="29" t="s">
        <v>634</v>
      </c>
      <c r="AM77" s="34">
        <v>2021</v>
      </c>
      <c r="AN77" s="34">
        <v>2021</v>
      </c>
      <c r="AO77" s="40" t="s">
        <v>642</v>
      </c>
      <c r="AP77" s="29" t="s">
        <v>622</v>
      </c>
      <c r="AQ77" s="88" t="s">
        <v>464</v>
      </c>
      <c r="AR77" s="89">
        <f>VLOOKUP(AQ77,'[1]Critério de Depreciação'!$C$3:$G$8,5,FALSE)</f>
        <v>1.6666666666666667</v>
      </c>
      <c r="AS77" s="29" t="s">
        <v>130</v>
      </c>
      <c r="AT77" s="29" t="s">
        <v>322</v>
      </c>
      <c r="AU77" s="29" t="str">
        <f>IFERROR(VLOOKUP(AG119,[2]Frota!$D$2:$AV$187,12,FALSE),"-")</f>
        <v>-</v>
      </c>
      <c r="AV77" s="45">
        <v>179252</v>
      </c>
      <c r="AW77" s="90">
        <v>350000</v>
      </c>
      <c r="AX77" s="86">
        <v>44210</v>
      </c>
      <c r="AY77" s="91" t="s">
        <v>130</v>
      </c>
      <c r="AZ77" s="85" t="s">
        <v>130</v>
      </c>
      <c r="BA77" s="123">
        <v>433810</v>
      </c>
      <c r="BB77" s="86">
        <v>45215</v>
      </c>
      <c r="BC77" s="85">
        <v>85000</v>
      </c>
      <c r="BD77" s="85">
        <v>240000</v>
      </c>
      <c r="BE77" s="92">
        <f t="shared" si="22"/>
        <v>758810</v>
      </c>
      <c r="BF77" s="92">
        <v>0</v>
      </c>
      <c r="BG77" s="92">
        <v>540000</v>
      </c>
      <c r="BH77" s="92">
        <v>125000</v>
      </c>
      <c r="BI77" s="92">
        <v>397000</v>
      </c>
      <c r="BJ77" s="92">
        <v>0</v>
      </c>
      <c r="BK77" s="92">
        <v>0</v>
      </c>
      <c r="BL77" s="92">
        <v>0</v>
      </c>
      <c r="BM77" s="93">
        <f t="shared" si="21"/>
        <v>1062000</v>
      </c>
      <c r="BN77" s="92">
        <f t="shared" si="33"/>
        <v>9000</v>
      </c>
      <c r="BO77" s="92">
        <f t="shared" si="34"/>
        <v>8700</v>
      </c>
      <c r="BP77" s="92">
        <f t="shared" si="35"/>
        <v>17700</v>
      </c>
      <c r="BQ77" s="92">
        <v>0</v>
      </c>
      <c r="BR77" s="92">
        <v>0</v>
      </c>
      <c r="BS77" s="85">
        <f t="shared" si="23"/>
        <v>5833.333333333333</v>
      </c>
      <c r="BT77" s="94">
        <v>69.900000000000006</v>
      </c>
      <c r="BU77" s="86">
        <v>45703</v>
      </c>
      <c r="BV77" s="86" t="s">
        <v>130</v>
      </c>
      <c r="BW77" s="95">
        <v>20.94</v>
      </c>
      <c r="BX77" s="96" t="s">
        <v>638</v>
      </c>
      <c r="BY77" s="29" t="s">
        <v>313</v>
      </c>
      <c r="BZ77" s="29" t="s">
        <v>313</v>
      </c>
      <c r="CA77" s="29" t="s">
        <v>130</v>
      </c>
      <c r="CB77" s="29" t="s">
        <v>130</v>
      </c>
      <c r="CC77" s="29" t="s">
        <v>130</v>
      </c>
      <c r="CD77" s="29" t="s">
        <v>312</v>
      </c>
      <c r="CE77" s="29" t="str">
        <f t="shared" si="16"/>
        <v>MS - CAMPO GRANDE</v>
      </c>
      <c r="CF77" s="97">
        <v>76180</v>
      </c>
      <c r="CG77" s="97">
        <v>93.6</v>
      </c>
      <c r="CH77" s="37">
        <f t="shared" si="24"/>
        <v>1062000</v>
      </c>
      <c r="CI77" s="98" t="s">
        <v>130</v>
      </c>
      <c r="CJ77" s="39">
        <v>5</v>
      </c>
      <c r="CK77" s="39">
        <v>5</v>
      </c>
      <c r="CL77" s="39">
        <f t="shared" si="25"/>
        <v>60</v>
      </c>
      <c r="CM77" s="99">
        <f t="shared" si="26"/>
        <v>35400</v>
      </c>
      <c r="CN77" s="40" t="str">
        <f>IFERROR(IF(VLOOKUP(AG77,'[1]ATIVOS SAGI'!C:D,1,FALSE)&lt;&gt;"","CADASTRADO","NÃO CADASTRADO"),"NÃO CADASTRADO")</f>
        <v>CADASTRADO</v>
      </c>
      <c r="CO77" s="99">
        <f t="shared" si="29"/>
        <v>17700</v>
      </c>
      <c r="CP77" s="221" t="s">
        <v>81</v>
      </c>
      <c r="CQ77" s="48"/>
      <c r="CR77" s="48"/>
      <c r="CS77" s="48"/>
    </row>
    <row r="78" spans="1:97" x14ac:dyDescent="0.25">
      <c r="A78" s="27">
        <v>68</v>
      </c>
      <c r="B78" s="27">
        <v>103</v>
      </c>
      <c r="C78" s="29" t="s">
        <v>296</v>
      </c>
      <c r="D78" s="40" t="s">
        <v>49</v>
      </c>
      <c r="E78" s="40" t="s">
        <v>130</v>
      </c>
      <c r="F78" s="40" t="s">
        <v>130</v>
      </c>
      <c r="G78" s="40" t="s">
        <v>489</v>
      </c>
      <c r="H78" s="41" t="s">
        <v>306</v>
      </c>
      <c r="I78" s="29" t="s">
        <v>130</v>
      </c>
      <c r="J78" s="85">
        <f t="shared" si="30"/>
        <v>2802.67</v>
      </c>
      <c r="K78" s="85" t="s">
        <v>466</v>
      </c>
      <c r="L78" s="85">
        <v>167.74</v>
      </c>
      <c r="M78" s="86">
        <v>45678</v>
      </c>
      <c r="N78" s="85">
        <v>2634.93</v>
      </c>
      <c r="O78" s="86">
        <v>45769</v>
      </c>
      <c r="P78" s="85">
        <v>2716.42</v>
      </c>
      <c r="Q78" s="29" t="s">
        <v>80</v>
      </c>
      <c r="R78" s="85">
        <v>0</v>
      </c>
      <c r="S78" s="85">
        <v>0</v>
      </c>
      <c r="T78" s="85">
        <v>0</v>
      </c>
      <c r="U78" s="85">
        <v>3547.12</v>
      </c>
      <c r="V78" s="85">
        <v>3440.71</v>
      </c>
      <c r="W78" s="86">
        <v>46043</v>
      </c>
      <c r="X78" s="86">
        <v>46134</v>
      </c>
      <c r="Y78" s="85">
        <v>174.08</v>
      </c>
      <c r="Z78" s="85">
        <f t="shared" si="31"/>
        <v>3721.2</v>
      </c>
      <c r="AA78" s="85">
        <f t="shared" si="32"/>
        <v>3614.79</v>
      </c>
      <c r="AB78" s="85">
        <v>132.82</v>
      </c>
      <c r="AC78" s="85">
        <v>0</v>
      </c>
      <c r="AD78" s="85">
        <v>0</v>
      </c>
      <c r="AE78" s="235" t="s">
        <v>45</v>
      </c>
      <c r="AF78" s="29" t="s">
        <v>46</v>
      </c>
      <c r="AG78" s="40" t="s">
        <v>652</v>
      </c>
      <c r="AH78" s="29" t="s">
        <v>474</v>
      </c>
      <c r="AI78" s="87" t="str">
        <f>IFERROR(VLOOKUP(AG78,[2]Frota!$D$2:$AV$187,2,FALSE),"-")</f>
        <v>00324556233</v>
      </c>
      <c r="AJ78" s="87" t="str">
        <f>IFERROR(VLOOKUP(AG78,[2]Frota!$D$2:$AV$187,3,FALSE),"-")</f>
        <v>9BM958094BB784875</v>
      </c>
      <c r="AK78" s="29" t="s">
        <v>567</v>
      </c>
      <c r="AL78" s="29" t="s">
        <v>653</v>
      </c>
      <c r="AM78" s="34">
        <v>2011</v>
      </c>
      <c r="AN78" s="34">
        <v>2011</v>
      </c>
      <c r="AO78" s="40" t="s">
        <v>654</v>
      </c>
      <c r="AP78" s="29" t="s">
        <v>622</v>
      </c>
      <c r="AQ78" s="88" t="s">
        <v>464</v>
      </c>
      <c r="AR78" s="89">
        <f>VLOOKUP(AQ78,'[1]Critério de Depreciação'!$C$3:$G$8,5,FALSE)</f>
        <v>1.6666666666666667</v>
      </c>
      <c r="AS78" s="29" t="s">
        <v>130</v>
      </c>
      <c r="AT78" s="29" t="s">
        <v>322</v>
      </c>
      <c r="AU78" s="29" t="str">
        <f>IFERROR(VLOOKUP(AG120,[2]Frota!$D$2:$AV$187,12,FALSE),"-")</f>
        <v>-</v>
      </c>
      <c r="AV78" s="29" t="s">
        <v>130</v>
      </c>
      <c r="AW78" s="90">
        <v>977000</v>
      </c>
      <c r="AX78" s="86" t="s">
        <v>130</v>
      </c>
      <c r="AY78" s="91" t="s">
        <v>130</v>
      </c>
      <c r="AZ78" s="85" t="s">
        <v>130</v>
      </c>
      <c r="BA78" s="123">
        <v>161962</v>
      </c>
      <c r="BB78" s="86">
        <v>45215</v>
      </c>
      <c r="BC78" s="85">
        <v>50000</v>
      </c>
      <c r="BD78" s="85">
        <v>240000</v>
      </c>
      <c r="BE78" s="92">
        <f t="shared" si="22"/>
        <v>451962</v>
      </c>
      <c r="BF78" s="92">
        <v>0</v>
      </c>
      <c r="BG78" s="92">
        <v>500000</v>
      </c>
      <c r="BH78" s="92">
        <v>80000</v>
      </c>
      <c r="BI78" s="92">
        <v>397000</v>
      </c>
      <c r="BJ78" s="92">
        <v>0</v>
      </c>
      <c r="BK78" s="92">
        <v>0</v>
      </c>
      <c r="BL78" s="92">
        <v>0</v>
      </c>
      <c r="BM78" s="93">
        <f t="shared" si="21"/>
        <v>977000</v>
      </c>
      <c r="BN78" s="92">
        <f t="shared" si="33"/>
        <v>8333.3333333333339</v>
      </c>
      <c r="BO78" s="92">
        <f t="shared" si="34"/>
        <v>7950</v>
      </c>
      <c r="BP78" s="92">
        <f t="shared" si="35"/>
        <v>16283.333333333334</v>
      </c>
      <c r="BQ78" s="92">
        <v>0</v>
      </c>
      <c r="BR78" s="92">
        <v>0</v>
      </c>
      <c r="BS78" s="85">
        <f t="shared" si="23"/>
        <v>16283.333333333334</v>
      </c>
      <c r="BT78" s="94">
        <v>69.900000000000006</v>
      </c>
      <c r="BU78" s="86">
        <v>45703</v>
      </c>
      <c r="BV78" s="86" t="s">
        <v>130</v>
      </c>
      <c r="BW78" s="95">
        <v>20.94</v>
      </c>
      <c r="BX78" s="96" t="s">
        <v>638</v>
      </c>
      <c r="BY78" s="29" t="s">
        <v>312</v>
      </c>
      <c r="BZ78" s="29" t="s">
        <v>655</v>
      </c>
      <c r="CA78" s="29" t="s">
        <v>130</v>
      </c>
      <c r="CB78" s="29" t="s">
        <v>130</v>
      </c>
      <c r="CC78" s="29" t="s">
        <v>130</v>
      </c>
      <c r="CD78" s="29" t="s">
        <v>312</v>
      </c>
      <c r="CE78" s="29" t="str">
        <f t="shared" si="16"/>
        <v>SP - PRUDENTE - SUCATA</v>
      </c>
      <c r="CF78" s="97">
        <v>223807</v>
      </c>
      <c r="CG78" s="97" t="s">
        <v>130</v>
      </c>
      <c r="CH78" s="37">
        <f t="shared" si="24"/>
        <v>977000</v>
      </c>
      <c r="CI78" s="98" t="s">
        <v>130</v>
      </c>
      <c r="CJ78" s="39">
        <v>5</v>
      </c>
      <c r="CK78" s="39">
        <v>5</v>
      </c>
      <c r="CL78" s="39">
        <f t="shared" si="25"/>
        <v>60</v>
      </c>
      <c r="CM78" s="99">
        <f t="shared" si="26"/>
        <v>32566.666666666668</v>
      </c>
      <c r="CN78" s="40" t="str">
        <f>IFERROR(IF(VLOOKUP(AG78,'[1]ATIVOS SAGI'!C:D,1,FALSE)&lt;&gt;"","CADASTRADO","NÃO CADASTRADO"),"NÃO CADASTRADO")</f>
        <v>CADASTRADO</v>
      </c>
      <c r="CO78" s="99">
        <f t="shared" si="29"/>
        <v>16283.333333333336</v>
      </c>
      <c r="CP78" s="223" t="s">
        <v>81</v>
      </c>
      <c r="CQ78" s="48"/>
      <c r="CR78" s="48"/>
      <c r="CS78" s="48"/>
    </row>
    <row r="79" spans="1:97" x14ac:dyDescent="0.25">
      <c r="A79" s="27">
        <v>69</v>
      </c>
      <c r="B79" s="27">
        <v>104</v>
      </c>
      <c r="C79" s="29" t="s">
        <v>296</v>
      </c>
      <c r="D79" s="40" t="s">
        <v>49</v>
      </c>
      <c r="E79" s="40" t="s">
        <v>130</v>
      </c>
      <c r="F79" s="40" t="s">
        <v>130</v>
      </c>
      <c r="G79" s="40" t="s">
        <v>489</v>
      </c>
      <c r="H79" s="41" t="s">
        <v>306</v>
      </c>
      <c r="I79" s="29" t="s">
        <v>130</v>
      </c>
      <c r="J79" s="85">
        <f t="shared" si="30"/>
        <v>2802.67</v>
      </c>
      <c r="K79" s="85" t="s">
        <v>466</v>
      </c>
      <c r="L79" s="85">
        <v>167.74</v>
      </c>
      <c r="M79" s="86">
        <v>45678</v>
      </c>
      <c r="N79" s="85">
        <v>2634.93</v>
      </c>
      <c r="O79" s="86">
        <v>45769</v>
      </c>
      <c r="P79" s="85">
        <v>2716.42</v>
      </c>
      <c r="Q79" s="29" t="s">
        <v>80</v>
      </c>
      <c r="R79" s="85">
        <v>0</v>
      </c>
      <c r="S79" s="85">
        <v>0</v>
      </c>
      <c r="T79" s="85">
        <v>0</v>
      </c>
      <c r="U79" s="85">
        <v>3547.12</v>
      </c>
      <c r="V79" s="85">
        <v>3440.71</v>
      </c>
      <c r="W79" s="86">
        <v>46043</v>
      </c>
      <c r="X79" s="86">
        <v>46134</v>
      </c>
      <c r="Y79" s="85">
        <v>174.08</v>
      </c>
      <c r="Z79" s="85">
        <f t="shared" si="31"/>
        <v>3721.2</v>
      </c>
      <c r="AA79" s="85">
        <f t="shared" si="32"/>
        <v>3614.79</v>
      </c>
      <c r="AB79" s="85">
        <v>0</v>
      </c>
      <c r="AC79" s="85">
        <v>0</v>
      </c>
      <c r="AD79" s="85">
        <v>0</v>
      </c>
      <c r="AE79" s="235" t="s">
        <v>45</v>
      </c>
      <c r="AF79" s="29" t="s">
        <v>302</v>
      </c>
      <c r="AG79" s="40" t="s">
        <v>656</v>
      </c>
      <c r="AH79" s="29" t="s">
        <v>474</v>
      </c>
      <c r="AI79" s="87" t="str">
        <f>IFERROR(VLOOKUP(AG79,[2]Frota!$D$2:$AV$187,2,FALSE),"-")</f>
        <v>00419877908</v>
      </c>
      <c r="AJ79" s="87" t="str">
        <f>IFERROR(VLOOKUP(AG79,[2]Frota!$D$2:$AV$187,3,FALSE),"-")</f>
        <v>9BM958094CB830722</v>
      </c>
      <c r="AK79" s="29" t="s">
        <v>567</v>
      </c>
      <c r="AL79" s="29" t="s">
        <v>653</v>
      </c>
      <c r="AM79" s="34">
        <v>2011</v>
      </c>
      <c r="AN79" s="34">
        <v>2012</v>
      </c>
      <c r="AO79" s="40" t="s">
        <v>657</v>
      </c>
      <c r="AP79" s="29" t="s">
        <v>622</v>
      </c>
      <c r="AQ79" s="88" t="s">
        <v>464</v>
      </c>
      <c r="AR79" s="89">
        <f>VLOOKUP(AQ79,'[1]Critério de Depreciação'!$C$3:$G$8,5,FALSE)</f>
        <v>1.6666666666666667</v>
      </c>
      <c r="AS79" s="29" t="s">
        <v>130</v>
      </c>
      <c r="AT79" s="29" t="s">
        <v>322</v>
      </c>
      <c r="AU79" s="29" t="str">
        <f>IFERROR(VLOOKUP(AG121,[2]Frota!$D$2:$AV$187,12,FALSE),"-")</f>
        <v>-</v>
      </c>
      <c r="AV79" s="45">
        <v>3937</v>
      </c>
      <c r="AW79" s="90">
        <v>120000</v>
      </c>
      <c r="AX79" s="86">
        <v>42943</v>
      </c>
      <c r="AY79" s="91" t="s">
        <v>130</v>
      </c>
      <c r="AZ79" s="85" t="s">
        <v>130</v>
      </c>
      <c r="BA79" s="123">
        <v>161962</v>
      </c>
      <c r="BB79" s="86">
        <v>45215</v>
      </c>
      <c r="BC79" s="85">
        <v>50000</v>
      </c>
      <c r="BD79" s="85">
        <v>240000</v>
      </c>
      <c r="BE79" s="92">
        <f t="shared" si="22"/>
        <v>451962</v>
      </c>
      <c r="BF79" s="92">
        <v>0</v>
      </c>
      <c r="BG79" s="92">
        <v>500000</v>
      </c>
      <c r="BH79" s="92">
        <v>80000</v>
      </c>
      <c r="BI79" s="92">
        <v>397000</v>
      </c>
      <c r="BJ79" s="92">
        <v>0</v>
      </c>
      <c r="BK79" s="92">
        <v>0</v>
      </c>
      <c r="BL79" s="92">
        <v>0</v>
      </c>
      <c r="BM79" s="93">
        <f t="shared" si="21"/>
        <v>977000</v>
      </c>
      <c r="BN79" s="92">
        <f t="shared" si="33"/>
        <v>8333.3333333333339</v>
      </c>
      <c r="BO79" s="92">
        <f t="shared" si="34"/>
        <v>7950</v>
      </c>
      <c r="BP79" s="92">
        <f t="shared" si="35"/>
        <v>16283.333333333334</v>
      </c>
      <c r="BQ79" s="92">
        <v>0</v>
      </c>
      <c r="BR79" s="92">
        <v>0</v>
      </c>
      <c r="BS79" s="85">
        <f t="shared" si="23"/>
        <v>2000</v>
      </c>
      <c r="BT79" s="94">
        <v>69.900000000000006</v>
      </c>
      <c r="BU79" s="86">
        <v>45703</v>
      </c>
      <c r="BV79" s="86" t="s">
        <v>130</v>
      </c>
      <c r="BW79" s="95">
        <v>20.94</v>
      </c>
      <c r="BX79" s="96" t="s">
        <v>638</v>
      </c>
      <c r="BY79" s="29" t="s">
        <v>312</v>
      </c>
      <c r="BZ79" s="29" t="s">
        <v>312</v>
      </c>
      <c r="CA79" s="29" t="s">
        <v>130</v>
      </c>
      <c r="CB79" s="29" t="s">
        <v>130</v>
      </c>
      <c r="CC79" s="29" t="s">
        <v>130</v>
      </c>
      <c r="CD79" s="29" t="s">
        <v>314</v>
      </c>
      <c r="CE79" s="29" t="str">
        <f t="shared" si="16"/>
        <v>SP - PRUDENTE</v>
      </c>
      <c r="CF79" s="97">
        <v>288174</v>
      </c>
      <c r="CG79" s="97">
        <v>3308</v>
      </c>
      <c r="CH79" s="37">
        <f t="shared" si="24"/>
        <v>977000</v>
      </c>
      <c r="CI79" s="98" t="s">
        <v>130</v>
      </c>
      <c r="CJ79" s="39">
        <v>5</v>
      </c>
      <c r="CK79" s="39">
        <v>5</v>
      </c>
      <c r="CL79" s="39">
        <f t="shared" si="25"/>
        <v>60</v>
      </c>
      <c r="CM79" s="99">
        <f t="shared" si="26"/>
        <v>32566.666666666668</v>
      </c>
      <c r="CN79" s="40" t="str">
        <f>IFERROR(IF(VLOOKUP(AG79,'[1]ATIVOS SAGI'!C:D,1,FALSE)&lt;&gt;"","CADASTRADO","NÃO CADASTRADO"),"NÃO CADASTRADO")</f>
        <v>CADASTRADO</v>
      </c>
      <c r="CO79" s="99">
        <f t="shared" si="29"/>
        <v>16283.333333333336</v>
      </c>
      <c r="CP79" s="223" t="s">
        <v>81</v>
      </c>
      <c r="CQ79" s="48"/>
      <c r="CR79" s="48"/>
      <c r="CS79" s="48"/>
    </row>
    <row r="80" spans="1:97" x14ac:dyDescent="0.25">
      <c r="A80" s="27">
        <v>70</v>
      </c>
      <c r="B80" s="27">
        <v>105</v>
      </c>
      <c r="C80" s="29" t="s">
        <v>296</v>
      </c>
      <c r="D80" s="40" t="s">
        <v>49</v>
      </c>
      <c r="E80" s="40" t="s">
        <v>130</v>
      </c>
      <c r="F80" s="40" t="s">
        <v>130</v>
      </c>
      <c r="G80" s="40" t="s">
        <v>315</v>
      </c>
      <c r="H80" s="41" t="s">
        <v>520</v>
      </c>
      <c r="I80" s="29" t="s">
        <v>130</v>
      </c>
      <c r="J80" s="85">
        <f t="shared" si="30"/>
        <v>3831.96</v>
      </c>
      <c r="K80" s="85" t="s">
        <v>466</v>
      </c>
      <c r="L80" s="85">
        <v>167.74</v>
      </c>
      <c r="M80" s="86">
        <v>45679</v>
      </c>
      <c r="N80" s="85">
        <v>3664.22</v>
      </c>
      <c r="O80" s="86">
        <v>45799</v>
      </c>
      <c r="P80" s="85">
        <v>3777.55</v>
      </c>
      <c r="Q80" s="29" t="s">
        <v>80</v>
      </c>
      <c r="R80" s="85">
        <v>0</v>
      </c>
      <c r="S80" s="85">
        <v>0</v>
      </c>
      <c r="T80" s="85">
        <v>0</v>
      </c>
      <c r="U80" s="85">
        <v>4355.2</v>
      </c>
      <c r="V80" s="85">
        <v>4224.54</v>
      </c>
      <c r="W80" s="86">
        <v>46043</v>
      </c>
      <c r="X80" s="86">
        <v>46134</v>
      </c>
      <c r="Y80" s="85">
        <v>174.08</v>
      </c>
      <c r="Z80" s="85">
        <f t="shared" si="31"/>
        <v>4529.28</v>
      </c>
      <c r="AA80" s="85">
        <f t="shared" si="32"/>
        <v>4398.62</v>
      </c>
      <c r="AB80" s="85">
        <v>0</v>
      </c>
      <c r="AC80" s="85">
        <v>0</v>
      </c>
      <c r="AD80" s="85">
        <v>0</v>
      </c>
      <c r="AE80" s="235" t="s">
        <v>45</v>
      </c>
      <c r="AF80" s="29" t="s">
        <v>59</v>
      </c>
      <c r="AG80" s="40" t="s">
        <v>658</v>
      </c>
      <c r="AH80" s="29" t="s">
        <v>474</v>
      </c>
      <c r="AI80" s="87" t="str">
        <f>IFERROR(VLOOKUP(AG80,[2]Frota!$D$2:$AV$187,2,FALSE),"-")</f>
        <v>01166648505</v>
      </c>
      <c r="AJ80" s="87" t="str">
        <f>IFERROR(VLOOKUP(AG80,[2]Frota!$D$2:$AV$187,3,FALSE),"-")</f>
        <v>9BFYEBVF5KBL73366</v>
      </c>
      <c r="AK80" s="29" t="s">
        <v>549</v>
      </c>
      <c r="AL80" s="29" t="s">
        <v>659</v>
      </c>
      <c r="AM80" s="34">
        <v>2018</v>
      </c>
      <c r="AN80" s="34">
        <v>2019</v>
      </c>
      <c r="AO80" s="152" t="s">
        <v>660</v>
      </c>
      <c r="AP80" s="29" t="s">
        <v>622</v>
      </c>
      <c r="AQ80" s="88" t="s">
        <v>464</v>
      </c>
      <c r="AR80" s="89">
        <f>VLOOKUP(AQ80,'[1]Critério de Depreciação'!$C$3:$G$8,5,FALSE)</f>
        <v>1.6666666666666667</v>
      </c>
      <c r="AS80" s="29" t="s">
        <v>130</v>
      </c>
      <c r="AT80" s="29" t="s">
        <v>322</v>
      </c>
      <c r="AU80" s="29" t="str">
        <f>IFERROR(VLOOKUP(AG122,[2]Frota!$D$2:$AV$187,12,FALSE),"-")</f>
        <v>-</v>
      </c>
      <c r="AV80" s="45">
        <v>152546</v>
      </c>
      <c r="AW80" s="90">
        <v>230000</v>
      </c>
      <c r="AX80" s="86">
        <v>43266</v>
      </c>
      <c r="AY80" s="91" t="s">
        <v>130</v>
      </c>
      <c r="AZ80" s="85" t="s">
        <v>130</v>
      </c>
      <c r="BA80" s="123">
        <v>257346</v>
      </c>
      <c r="BB80" s="86">
        <v>45215</v>
      </c>
      <c r="BC80" s="85">
        <v>50000</v>
      </c>
      <c r="BD80" s="85">
        <v>400000</v>
      </c>
      <c r="BE80" s="92">
        <f t="shared" si="22"/>
        <v>707346</v>
      </c>
      <c r="BF80" s="92">
        <v>0</v>
      </c>
      <c r="BG80" s="92">
        <v>500000</v>
      </c>
      <c r="BH80" s="92">
        <v>40000</v>
      </c>
      <c r="BI80" s="92">
        <v>582000</v>
      </c>
      <c r="BJ80" s="92">
        <v>0</v>
      </c>
      <c r="BK80" s="92">
        <v>0</v>
      </c>
      <c r="BL80" s="92">
        <v>0</v>
      </c>
      <c r="BM80" s="93">
        <f t="shared" si="21"/>
        <v>1122000</v>
      </c>
      <c r="BN80" s="92">
        <f t="shared" si="33"/>
        <v>8333.3333333333339</v>
      </c>
      <c r="BO80" s="92">
        <f t="shared" si="34"/>
        <v>10366.666666666666</v>
      </c>
      <c r="BP80" s="92">
        <f t="shared" si="35"/>
        <v>18700</v>
      </c>
      <c r="BQ80" s="92">
        <v>0</v>
      </c>
      <c r="BR80" s="92">
        <v>0</v>
      </c>
      <c r="BS80" s="85">
        <f t="shared" si="23"/>
        <v>3833.3333333333335</v>
      </c>
      <c r="BT80" s="94">
        <v>69.900000000000006</v>
      </c>
      <c r="BU80" s="94" t="s">
        <v>130</v>
      </c>
      <c r="BV80" s="94" t="s">
        <v>130</v>
      </c>
      <c r="BW80" s="95">
        <v>20.94</v>
      </c>
      <c r="BX80" s="96" t="s">
        <v>636</v>
      </c>
      <c r="BY80" s="29" t="s">
        <v>316</v>
      </c>
      <c r="BZ80" s="29" t="s">
        <v>313</v>
      </c>
      <c r="CA80" s="29" t="s">
        <v>130</v>
      </c>
      <c r="CB80" s="29" t="s">
        <v>130</v>
      </c>
      <c r="CC80" s="29" t="s">
        <v>130</v>
      </c>
      <c r="CD80" s="29" t="s">
        <v>661</v>
      </c>
      <c r="CE80" s="29" t="str">
        <f t="shared" si="16"/>
        <v>PR - MARINGÁ</v>
      </c>
      <c r="CF80" s="97" t="s">
        <v>130</v>
      </c>
      <c r="CG80" s="97" t="s">
        <v>130</v>
      </c>
      <c r="CH80" s="37">
        <f t="shared" si="24"/>
        <v>1122000</v>
      </c>
      <c r="CI80" s="98" t="s">
        <v>130</v>
      </c>
      <c r="CJ80" s="39">
        <v>5</v>
      </c>
      <c r="CK80" s="39">
        <v>5</v>
      </c>
      <c r="CL80" s="39">
        <f t="shared" si="25"/>
        <v>60</v>
      </c>
      <c r="CM80" s="99">
        <f t="shared" si="26"/>
        <v>37400</v>
      </c>
      <c r="CN80" s="40" t="str">
        <f>IFERROR(IF(VLOOKUP(AG80,'[1]ATIVOS SAGI'!C:D,1,FALSE)&lt;&gt;"","CADASTRADO","NÃO CADASTRADO"),"NÃO CADASTRADO")</f>
        <v>CADASTRADO</v>
      </c>
      <c r="CO80" s="99">
        <f t="shared" si="29"/>
        <v>18700</v>
      </c>
      <c r="CP80" s="223" t="s">
        <v>81</v>
      </c>
      <c r="CQ80" s="48"/>
      <c r="CR80" s="48"/>
      <c r="CS80" s="48"/>
    </row>
    <row r="81" spans="1:97" x14ac:dyDescent="0.25">
      <c r="A81" s="27">
        <v>71</v>
      </c>
      <c r="B81" s="27">
        <v>106</v>
      </c>
      <c r="C81" s="29" t="s">
        <v>296</v>
      </c>
      <c r="D81" s="40" t="s">
        <v>49</v>
      </c>
      <c r="E81" s="40" t="s">
        <v>130</v>
      </c>
      <c r="F81" s="40" t="s">
        <v>130</v>
      </c>
      <c r="G81" s="40" t="s">
        <v>489</v>
      </c>
      <c r="H81" s="41" t="s">
        <v>306</v>
      </c>
      <c r="I81" s="29" t="s">
        <v>130</v>
      </c>
      <c r="J81" s="85">
        <f t="shared" si="30"/>
        <v>3831.96</v>
      </c>
      <c r="K81" s="85" t="s">
        <v>466</v>
      </c>
      <c r="L81" s="85">
        <v>167.74</v>
      </c>
      <c r="M81" s="86">
        <v>45680</v>
      </c>
      <c r="N81" s="85">
        <v>3664.22</v>
      </c>
      <c r="O81" s="86">
        <v>45769</v>
      </c>
      <c r="P81" s="85">
        <v>3777.55</v>
      </c>
      <c r="Q81" s="29" t="s">
        <v>80</v>
      </c>
      <c r="R81" s="85">
        <v>0</v>
      </c>
      <c r="S81" s="85">
        <v>0</v>
      </c>
      <c r="T81" s="85">
        <v>0</v>
      </c>
      <c r="U81" s="85">
        <v>4355.2</v>
      </c>
      <c r="V81" s="85">
        <v>4224.54</v>
      </c>
      <c r="W81" s="86">
        <v>46044</v>
      </c>
      <c r="X81" s="86">
        <v>46134</v>
      </c>
      <c r="Y81" s="85">
        <v>174.08</v>
      </c>
      <c r="Z81" s="85">
        <f t="shared" si="31"/>
        <v>4529.28</v>
      </c>
      <c r="AA81" s="85">
        <f t="shared" si="32"/>
        <v>4398.62</v>
      </c>
      <c r="AB81" s="85">
        <v>0</v>
      </c>
      <c r="AC81" s="85">
        <v>0</v>
      </c>
      <c r="AD81" s="85">
        <v>0</v>
      </c>
      <c r="AE81" s="29" t="s">
        <v>45</v>
      </c>
      <c r="AF81" s="29" t="s">
        <v>302</v>
      </c>
      <c r="AG81" s="40" t="s">
        <v>662</v>
      </c>
      <c r="AH81" s="29" t="s">
        <v>474</v>
      </c>
      <c r="AI81" s="87" t="str">
        <f>IFERROR(VLOOKUP(AG81,[2]Frota!$D$2:$AV$187,2,FALSE),"-")</f>
        <v>01166844088</v>
      </c>
      <c r="AJ81" s="87" t="str">
        <f>IFERROR(VLOOKUP(AG81,[2]Frota!$D$2:$AV$187,3,FALSE),"-")</f>
        <v>9BFYEBVFXKBL73508</v>
      </c>
      <c r="AK81" s="29" t="s">
        <v>549</v>
      </c>
      <c r="AL81" s="29" t="s">
        <v>659</v>
      </c>
      <c r="AM81" s="34">
        <v>2018</v>
      </c>
      <c r="AN81" s="34">
        <v>2019</v>
      </c>
      <c r="AO81" s="152" t="s">
        <v>663</v>
      </c>
      <c r="AP81" s="29" t="s">
        <v>622</v>
      </c>
      <c r="AQ81" s="88" t="s">
        <v>464</v>
      </c>
      <c r="AR81" s="89">
        <f>VLOOKUP(AQ81,'[1]Critério de Depreciação'!$C$3:$G$8,5,FALSE)</f>
        <v>1.6666666666666667</v>
      </c>
      <c r="AS81" s="29" t="s">
        <v>130</v>
      </c>
      <c r="AT81" s="29" t="s">
        <v>322</v>
      </c>
      <c r="AU81" s="29" t="str">
        <f>IFERROR(VLOOKUP(AG123,[2]Frota!$D$2:$AV$187,12,FALSE),"-")</f>
        <v>-</v>
      </c>
      <c r="AV81" s="45">
        <v>152972</v>
      </c>
      <c r="AW81" s="90">
        <v>230000</v>
      </c>
      <c r="AX81" s="86" t="s">
        <v>664</v>
      </c>
      <c r="AY81" s="91" t="s">
        <v>130</v>
      </c>
      <c r="AZ81" s="85" t="s">
        <v>130</v>
      </c>
      <c r="BA81" s="123">
        <v>257346</v>
      </c>
      <c r="BB81" s="86">
        <v>45215</v>
      </c>
      <c r="BC81" s="85">
        <v>50000</v>
      </c>
      <c r="BD81" s="85">
        <v>400000</v>
      </c>
      <c r="BE81" s="92">
        <f t="shared" si="22"/>
        <v>707346</v>
      </c>
      <c r="BF81" s="92">
        <v>0</v>
      </c>
      <c r="BG81" s="92">
        <v>500000</v>
      </c>
      <c r="BH81" s="92">
        <v>40000</v>
      </c>
      <c r="BI81" s="92">
        <v>582000</v>
      </c>
      <c r="BJ81" s="92">
        <v>0</v>
      </c>
      <c r="BK81" s="92">
        <v>0</v>
      </c>
      <c r="BL81" s="92">
        <v>0</v>
      </c>
      <c r="BM81" s="93">
        <f t="shared" si="21"/>
        <v>1122000</v>
      </c>
      <c r="BN81" s="92">
        <f t="shared" si="33"/>
        <v>8333.3333333333339</v>
      </c>
      <c r="BO81" s="92">
        <f t="shared" si="34"/>
        <v>10366.666666666666</v>
      </c>
      <c r="BP81" s="92">
        <f t="shared" si="35"/>
        <v>18700</v>
      </c>
      <c r="BQ81" s="92">
        <v>0</v>
      </c>
      <c r="BR81" s="92">
        <v>0</v>
      </c>
      <c r="BS81" s="85">
        <f t="shared" si="23"/>
        <v>3833.3333333333335</v>
      </c>
      <c r="BT81" s="94">
        <v>69.900000000000006</v>
      </c>
      <c r="BU81" s="86">
        <v>45703</v>
      </c>
      <c r="BV81" s="86" t="s">
        <v>130</v>
      </c>
      <c r="BW81" s="95">
        <v>20.94</v>
      </c>
      <c r="BX81" s="96" t="s">
        <v>636</v>
      </c>
      <c r="BY81" s="29" t="s">
        <v>314</v>
      </c>
      <c r="BZ81" s="29" t="s">
        <v>655</v>
      </c>
      <c r="CA81" s="29" t="s">
        <v>130</v>
      </c>
      <c r="CB81" s="29" t="s">
        <v>130</v>
      </c>
      <c r="CC81" s="29" t="s">
        <v>130</v>
      </c>
      <c r="CD81" s="29" t="s">
        <v>314</v>
      </c>
      <c r="CE81" s="29" t="str">
        <f t="shared" si="16"/>
        <v>SP - PRUDENTE</v>
      </c>
      <c r="CF81" s="97" t="s">
        <v>130</v>
      </c>
      <c r="CG81" s="97" t="s">
        <v>130</v>
      </c>
      <c r="CH81" s="37">
        <f t="shared" si="24"/>
        <v>1122000</v>
      </c>
      <c r="CI81" s="98" t="s">
        <v>130</v>
      </c>
      <c r="CJ81" s="39">
        <v>5</v>
      </c>
      <c r="CK81" s="39">
        <v>5</v>
      </c>
      <c r="CL81" s="39">
        <f t="shared" si="25"/>
        <v>60</v>
      </c>
      <c r="CM81" s="99">
        <f t="shared" si="26"/>
        <v>37400</v>
      </c>
      <c r="CN81" s="40" t="str">
        <f>IFERROR(IF(VLOOKUP(AG81,'[1]ATIVOS SAGI'!C:D,1,FALSE)&lt;&gt;"","CADASTRADO","NÃO CADASTRADO"),"NÃO CADASTRADO")</f>
        <v>CADASTRADO</v>
      </c>
      <c r="CO81" s="99">
        <f t="shared" si="29"/>
        <v>18700</v>
      </c>
      <c r="CP81" s="223" t="s">
        <v>81</v>
      </c>
      <c r="CQ81" s="48"/>
      <c r="CR81" s="48"/>
      <c r="CS81" s="48"/>
    </row>
    <row r="82" spans="1:97" x14ac:dyDescent="0.25">
      <c r="A82" s="27">
        <v>72</v>
      </c>
      <c r="B82" s="27">
        <v>107</v>
      </c>
      <c r="C82" s="29" t="s">
        <v>296</v>
      </c>
      <c r="D82" s="40" t="s">
        <v>49</v>
      </c>
      <c r="E82" s="40" t="s">
        <v>130</v>
      </c>
      <c r="F82" s="40" t="s">
        <v>130</v>
      </c>
      <c r="G82" s="40" t="s">
        <v>315</v>
      </c>
      <c r="H82" s="104" t="s">
        <v>631</v>
      </c>
      <c r="I82" s="29" t="s">
        <v>130</v>
      </c>
      <c r="J82" s="85">
        <f t="shared" si="30"/>
        <v>4269.41</v>
      </c>
      <c r="K82" s="85" t="s">
        <v>466</v>
      </c>
      <c r="L82" s="85">
        <v>167.74</v>
      </c>
      <c r="M82" s="86">
        <v>45680</v>
      </c>
      <c r="N82" s="85">
        <v>4101.67</v>
      </c>
      <c r="O82" s="86">
        <v>45769</v>
      </c>
      <c r="P82" s="85">
        <v>4228.53</v>
      </c>
      <c r="Q82" s="29" t="s">
        <v>80</v>
      </c>
      <c r="R82" s="85">
        <v>0</v>
      </c>
      <c r="S82" s="85">
        <v>0</v>
      </c>
      <c r="T82" s="85">
        <v>0</v>
      </c>
      <c r="U82" s="85">
        <v>4028.46</v>
      </c>
      <c r="V82" s="85">
        <v>3907.6</v>
      </c>
      <c r="W82" s="86">
        <v>46044</v>
      </c>
      <c r="X82" s="86">
        <v>46134</v>
      </c>
      <c r="Y82" s="85">
        <v>174.08</v>
      </c>
      <c r="Z82" s="85">
        <f t="shared" si="31"/>
        <v>4202.54</v>
      </c>
      <c r="AA82" s="85">
        <f t="shared" si="32"/>
        <v>4081.68</v>
      </c>
      <c r="AB82" s="85">
        <v>0</v>
      </c>
      <c r="AC82" s="85">
        <v>0</v>
      </c>
      <c r="AD82" s="85">
        <v>0</v>
      </c>
      <c r="AE82" s="235" t="s">
        <v>45</v>
      </c>
      <c r="AF82" s="29" t="s">
        <v>59</v>
      </c>
      <c r="AG82" s="40" t="s">
        <v>665</v>
      </c>
      <c r="AH82" s="29" t="s">
        <v>474</v>
      </c>
      <c r="AI82" s="87" t="str">
        <f>IFERROR(VLOOKUP(AG82,[2]Frota!$D$2:$AV$187,2,FALSE),"-")</f>
        <v>01156069430</v>
      </c>
      <c r="AJ82" s="87" t="str">
        <f>IFERROR(VLOOKUP(AG82,[2]Frota!$D$2:$AV$187,3,FALSE),"-")</f>
        <v>93KP0S1C5JE161255</v>
      </c>
      <c r="AK82" s="29" t="s">
        <v>633</v>
      </c>
      <c r="AL82" s="29" t="s">
        <v>634</v>
      </c>
      <c r="AM82" s="34">
        <v>2018</v>
      </c>
      <c r="AN82" s="34">
        <v>2018</v>
      </c>
      <c r="AO82" s="152" t="s">
        <v>660</v>
      </c>
      <c r="AP82" s="29" t="s">
        <v>622</v>
      </c>
      <c r="AQ82" s="88" t="s">
        <v>464</v>
      </c>
      <c r="AR82" s="89">
        <f>VLOOKUP(AQ82,'[1]Critério de Depreciação'!$C$3:$G$8,5,FALSE)</f>
        <v>1.6666666666666667</v>
      </c>
      <c r="AS82" s="29" t="s">
        <v>130</v>
      </c>
      <c r="AT82" s="29" t="s">
        <v>323</v>
      </c>
      <c r="AU82" s="29" t="str">
        <f>IFERROR(VLOOKUP(AG124,[2]Frota!$D$2:$AV$187,12,FALSE),"-")</f>
        <v>1.7.1.11</v>
      </c>
      <c r="AV82" s="45">
        <v>130112</v>
      </c>
      <c r="AW82" s="90">
        <v>247500</v>
      </c>
      <c r="AX82" s="86">
        <v>43199</v>
      </c>
      <c r="AY82" s="91" t="s">
        <v>130</v>
      </c>
      <c r="AZ82" s="85" t="s">
        <v>130</v>
      </c>
      <c r="BA82" s="123">
        <v>275214</v>
      </c>
      <c r="BB82" s="86">
        <v>45215</v>
      </c>
      <c r="BC82" s="85">
        <v>50000</v>
      </c>
      <c r="BD82" s="85">
        <v>400000</v>
      </c>
      <c r="BE82" s="92">
        <f t="shared" si="22"/>
        <v>725214</v>
      </c>
      <c r="BF82" s="92">
        <v>0</v>
      </c>
      <c r="BG82" s="92">
        <v>540000</v>
      </c>
      <c r="BH82" s="92">
        <v>40000</v>
      </c>
      <c r="BI82" s="92">
        <v>582000</v>
      </c>
      <c r="BJ82" s="92">
        <v>0</v>
      </c>
      <c r="BK82" s="92">
        <v>0</v>
      </c>
      <c r="BL82" s="92">
        <v>0</v>
      </c>
      <c r="BM82" s="93">
        <f t="shared" si="21"/>
        <v>1162000</v>
      </c>
      <c r="BN82" s="92">
        <f t="shared" si="33"/>
        <v>9000</v>
      </c>
      <c r="BO82" s="92">
        <f t="shared" si="34"/>
        <v>10366.666666666666</v>
      </c>
      <c r="BP82" s="92">
        <f t="shared" si="35"/>
        <v>19366.666666666664</v>
      </c>
      <c r="BQ82" s="92">
        <v>0</v>
      </c>
      <c r="BR82" s="92">
        <v>0</v>
      </c>
      <c r="BS82" s="85">
        <f t="shared" si="23"/>
        <v>4125</v>
      </c>
      <c r="BT82" s="94">
        <v>69.900000000000006</v>
      </c>
      <c r="BU82" s="94" t="s">
        <v>130</v>
      </c>
      <c r="BV82" s="94" t="s">
        <v>130</v>
      </c>
      <c r="BW82" s="95">
        <v>20.94</v>
      </c>
      <c r="BX82" s="96" t="s">
        <v>636</v>
      </c>
      <c r="BY82" s="29" t="s">
        <v>314</v>
      </c>
      <c r="BZ82" s="29" t="s">
        <v>655</v>
      </c>
      <c r="CA82" s="29" t="s">
        <v>130</v>
      </c>
      <c r="CB82" s="29" t="s">
        <v>130</v>
      </c>
      <c r="CC82" s="29" t="s">
        <v>130</v>
      </c>
      <c r="CD82" s="29" t="s">
        <v>314</v>
      </c>
      <c r="CE82" s="29" t="str">
        <f t="shared" si="16"/>
        <v>PR - MARINGÁ</v>
      </c>
      <c r="CF82" s="97" t="s">
        <v>130</v>
      </c>
      <c r="CG82" s="97" t="s">
        <v>130</v>
      </c>
      <c r="CH82" s="37">
        <f t="shared" si="24"/>
        <v>1162000</v>
      </c>
      <c r="CI82" s="98" t="s">
        <v>130</v>
      </c>
      <c r="CJ82" s="39">
        <v>5</v>
      </c>
      <c r="CK82" s="39">
        <v>5</v>
      </c>
      <c r="CL82" s="39">
        <f t="shared" si="25"/>
        <v>60</v>
      </c>
      <c r="CM82" s="99">
        <f t="shared" si="26"/>
        <v>38733.333333333336</v>
      </c>
      <c r="CN82" s="40" t="str">
        <f>IFERROR(IF(VLOOKUP(AG82,'[1]ATIVOS SAGI'!C:D,1,FALSE)&lt;&gt;"","CADASTRADO","NÃO CADASTRADO"),"NÃO CADASTRADO")</f>
        <v>CADASTRADO</v>
      </c>
      <c r="CO82" s="99">
        <f t="shared" si="29"/>
        <v>19366.666666666668</v>
      </c>
      <c r="CP82" s="223" t="s">
        <v>81</v>
      </c>
      <c r="CQ82" s="48"/>
      <c r="CR82" s="48"/>
      <c r="CS82" s="48"/>
    </row>
    <row r="83" spans="1:97" x14ac:dyDescent="0.25">
      <c r="A83" s="27">
        <v>73</v>
      </c>
      <c r="B83" s="27">
        <v>108</v>
      </c>
      <c r="C83" s="29" t="s">
        <v>296</v>
      </c>
      <c r="D83" s="40" t="s">
        <v>49</v>
      </c>
      <c r="E83" s="40" t="s">
        <v>130</v>
      </c>
      <c r="F83" s="40" t="s">
        <v>130</v>
      </c>
      <c r="G83" s="40" t="s">
        <v>315</v>
      </c>
      <c r="H83" s="41" t="s">
        <v>520</v>
      </c>
      <c r="I83" s="29" t="s">
        <v>130</v>
      </c>
      <c r="J83" s="85">
        <f t="shared" si="30"/>
        <v>4269.41</v>
      </c>
      <c r="K83" s="85" t="s">
        <v>466</v>
      </c>
      <c r="L83" s="85">
        <v>167.74</v>
      </c>
      <c r="M83" s="86">
        <v>45679</v>
      </c>
      <c r="N83" s="85">
        <v>4101.67</v>
      </c>
      <c r="O83" s="86">
        <v>45769</v>
      </c>
      <c r="P83" s="85">
        <v>4228.53</v>
      </c>
      <c r="Q83" s="29" t="s">
        <v>80</v>
      </c>
      <c r="R83" s="85">
        <v>0</v>
      </c>
      <c r="S83" s="85">
        <v>0</v>
      </c>
      <c r="T83" s="85">
        <v>0</v>
      </c>
      <c r="U83" s="85">
        <v>4028.46</v>
      </c>
      <c r="V83" s="85">
        <v>3907.6</v>
      </c>
      <c r="W83" s="86">
        <v>46043</v>
      </c>
      <c r="X83" s="86">
        <v>46134</v>
      </c>
      <c r="Y83" s="85">
        <v>174.08</v>
      </c>
      <c r="Z83" s="85">
        <f t="shared" si="31"/>
        <v>4202.54</v>
      </c>
      <c r="AA83" s="85">
        <f t="shared" si="32"/>
        <v>4081.68</v>
      </c>
      <c r="AB83" s="85">
        <v>0</v>
      </c>
      <c r="AC83" s="85">
        <v>0</v>
      </c>
      <c r="AD83" s="85">
        <v>0</v>
      </c>
      <c r="AE83" s="29" t="s">
        <v>45</v>
      </c>
      <c r="AF83" s="29" t="s">
        <v>59</v>
      </c>
      <c r="AG83" s="40" t="s">
        <v>666</v>
      </c>
      <c r="AH83" s="29" t="s">
        <v>468</v>
      </c>
      <c r="AI83" s="87" t="str">
        <f>IFERROR(VLOOKUP(AG83,[2]Frota!$D$2:$AV$187,2,FALSE),"-")</f>
        <v>01156069910</v>
      </c>
      <c r="AJ83" s="87" t="str">
        <f>IFERROR(VLOOKUP(AG83,[2]Frota!$D$2:$AV$187,3,FALSE),"-")</f>
        <v>93KP0S1C5JE161545</v>
      </c>
      <c r="AK83" s="29" t="s">
        <v>633</v>
      </c>
      <c r="AL83" s="29" t="s">
        <v>634</v>
      </c>
      <c r="AM83" s="34">
        <v>2018</v>
      </c>
      <c r="AN83" s="34">
        <v>2018</v>
      </c>
      <c r="AO83" s="152" t="s">
        <v>667</v>
      </c>
      <c r="AP83" s="29" t="s">
        <v>622</v>
      </c>
      <c r="AQ83" s="88" t="s">
        <v>464</v>
      </c>
      <c r="AR83" s="89">
        <f>VLOOKUP(AQ83,'[1]Critério de Depreciação'!$C$3:$G$8,5,FALSE)</f>
        <v>1.6666666666666667</v>
      </c>
      <c r="AS83" s="29" t="s">
        <v>130</v>
      </c>
      <c r="AT83" s="29" t="s">
        <v>322</v>
      </c>
      <c r="AU83" s="29" t="str">
        <f>IFERROR(VLOOKUP(AG125,[2]Frota!$D$2:$AV$187,12,FALSE),"-")</f>
        <v>-</v>
      </c>
      <c r="AV83" s="45">
        <v>132611</v>
      </c>
      <c r="AW83" s="90">
        <v>247500</v>
      </c>
      <c r="AX83" s="86">
        <v>43250</v>
      </c>
      <c r="AY83" s="91" t="s">
        <v>130</v>
      </c>
      <c r="AZ83" s="85" t="s">
        <v>130</v>
      </c>
      <c r="BA83" s="123">
        <v>275214</v>
      </c>
      <c r="BB83" s="86">
        <v>45215</v>
      </c>
      <c r="BC83" s="85">
        <v>50000</v>
      </c>
      <c r="BD83" s="85">
        <v>400000</v>
      </c>
      <c r="BE83" s="92">
        <f t="shared" si="22"/>
        <v>725214</v>
      </c>
      <c r="BF83" s="92">
        <v>0</v>
      </c>
      <c r="BG83" s="92">
        <v>540000</v>
      </c>
      <c r="BH83" s="92">
        <v>40000</v>
      </c>
      <c r="BI83" s="92">
        <v>582000</v>
      </c>
      <c r="BJ83" s="92">
        <v>0</v>
      </c>
      <c r="BK83" s="92">
        <v>0</v>
      </c>
      <c r="BL83" s="92">
        <v>0</v>
      </c>
      <c r="BM83" s="93">
        <f t="shared" si="21"/>
        <v>1162000</v>
      </c>
      <c r="BN83" s="92">
        <f t="shared" si="33"/>
        <v>9000</v>
      </c>
      <c r="BO83" s="92">
        <f t="shared" si="34"/>
        <v>10366.666666666666</v>
      </c>
      <c r="BP83" s="92">
        <f t="shared" si="35"/>
        <v>19366.666666666664</v>
      </c>
      <c r="BQ83" s="92">
        <v>0</v>
      </c>
      <c r="BR83" s="92">
        <v>0</v>
      </c>
      <c r="BS83" s="85">
        <f t="shared" si="23"/>
        <v>4125</v>
      </c>
      <c r="BT83" s="94">
        <v>69.900000000000006</v>
      </c>
      <c r="BU83" s="94" t="s">
        <v>130</v>
      </c>
      <c r="BV83" s="94" t="s">
        <v>130</v>
      </c>
      <c r="BW83" s="95">
        <v>20.94</v>
      </c>
      <c r="BX83" s="96" t="s">
        <v>636</v>
      </c>
      <c r="BY83" s="29" t="s">
        <v>668</v>
      </c>
      <c r="BZ83" s="29" t="s">
        <v>668</v>
      </c>
      <c r="CA83" s="29" t="s">
        <v>130</v>
      </c>
      <c r="CB83" s="29" t="s">
        <v>130</v>
      </c>
      <c r="CC83" s="29" t="s">
        <v>130</v>
      </c>
      <c r="CD83" s="29" t="s">
        <v>314</v>
      </c>
      <c r="CE83" s="29" t="str">
        <f t="shared" si="16"/>
        <v>PR - MARINGÁ</v>
      </c>
      <c r="CF83" s="97" t="s">
        <v>130</v>
      </c>
      <c r="CG83" s="97" t="s">
        <v>130</v>
      </c>
      <c r="CH83" s="37">
        <f t="shared" si="24"/>
        <v>1162000</v>
      </c>
      <c r="CI83" s="98" t="s">
        <v>130</v>
      </c>
      <c r="CJ83" s="39">
        <v>5</v>
      </c>
      <c r="CK83" s="39">
        <v>5</v>
      </c>
      <c r="CL83" s="39">
        <f t="shared" si="25"/>
        <v>60</v>
      </c>
      <c r="CM83" s="99">
        <f t="shared" si="26"/>
        <v>38733.333333333336</v>
      </c>
      <c r="CN83" s="40" t="str">
        <f>IFERROR(IF(VLOOKUP(AG83,'[1]ATIVOS SAGI'!C:D,1,FALSE)&lt;&gt;"","CADASTRADO","NÃO CADASTRADO"),"NÃO CADASTRADO")</f>
        <v>CADASTRADO</v>
      </c>
      <c r="CO83" s="99">
        <f t="shared" si="29"/>
        <v>19366.666666666668</v>
      </c>
      <c r="CP83" s="223" t="s">
        <v>81</v>
      </c>
      <c r="CQ83" s="48"/>
      <c r="CR83" s="48"/>
      <c r="CS83" s="48"/>
    </row>
    <row r="84" spans="1:97" x14ac:dyDescent="0.25">
      <c r="A84" s="27">
        <v>74</v>
      </c>
      <c r="B84" s="27">
        <v>109</v>
      </c>
      <c r="C84" s="29" t="s">
        <v>296</v>
      </c>
      <c r="D84" s="40" t="s">
        <v>49</v>
      </c>
      <c r="E84" s="40" t="s">
        <v>130</v>
      </c>
      <c r="F84" s="40" t="s">
        <v>130</v>
      </c>
      <c r="G84" s="40" t="s">
        <v>489</v>
      </c>
      <c r="H84" s="104" t="s">
        <v>644</v>
      </c>
      <c r="I84" s="29" t="s">
        <v>130</v>
      </c>
      <c r="J84" s="85">
        <f t="shared" si="30"/>
        <v>5605.29</v>
      </c>
      <c r="K84" s="85" t="s">
        <v>466</v>
      </c>
      <c r="L84" s="85">
        <v>167.74</v>
      </c>
      <c r="M84" s="86">
        <v>45673</v>
      </c>
      <c r="N84" s="85">
        <v>5437.55</v>
      </c>
      <c r="O84" s="86">
        <v>45769</v>
      </c>
      <c r="P84" s="85">
        <v>5605.72</v>
      </c>
      <c r="Q84" s="29" t="s">
        <v>570</v>
      </c>
      <c r="R84" s="85">
        <v>104.12</v>
      </c>
      <c r="S84" s="85">
        <v>0</v>
      </c>
      <c r="T84" s="85">
        <v>0</v>
      </c>
      <c r="U84" s="85">
        <v>5173.21</v>
      </c>
      <c r="V84" s="85">
        <v>5018.01</v>
      </c>
      <c r="W84" s="86">
        <v>46037</v>
      </c>
      <c r="X84" s="86">
        <v>46134</v>
      </c>
      <c r="Y84" s="85">
        <v>174.08</v>
      </c>
      <c r="Z84" s="85">
        <f t="shared" si="31"/>
        <v>5347.29</v>
      </c>
      <c r="AA84" s="85">
        <f t="shared" si="32"/>
        <v>5192.09</v>
      </c>
      <c r="AB84" s="85">
        <v>0</v>
      </c>
      <c r="AC84" s="85">
        <v>0</v>
      </c>
      <c r="AD84" s="85">
        <v>0</v>
      </c>
      <c r="AE84" s="29" t="s">
        <v>45</v>
      </c>
      <c r="AF84" s="29" t="s">
        <v>46</v>
      </c>
      <c r="AG84" s="40" t="s">
        <v>669</v>
      </c>
      <c r="AH84" s="29" t="s">
        <v>468</v>
      </c>
      <c r="AI84" s="87" t="str">
        <f>IFERROR(VLOOKUP(AG84,[2]Frota!$D$2:$AV$187,2,FALSE),"-")</f>
        <v>01258236327</v>
      </c>
      <c r="AJ84" s="87" t="str">
        <f>IFERROR(VLOOKUP(AG84,[2]Frota!$D$2:$AV$187,3,FALSE),"-")</f>
        <v>93KP0S1C1ME171046</v>
      </c>
      <c r="AK84" s="29" t="s">
        <v>633</v>
      </c>
      <c r="AL84" s="29" t="s">
        <v>634</v>
      </c>
      <c r="AM84" s="34">
        <v>2021</v>
      </c>
      <c r="AN84" s="34">
        <v>2021</v>
      </c>
      <c r="AO84" s="152" t="s">
        <v>663</v>
      </c>
      <c r="AP84" s="29" t="s">
        <v>622</v>
      </c>
      <c r="AQ84" s="88" t="s">
        <v>464</v>
      </c>
      <c r="AR84" s="89">
        <f>VLOOKUP(AQ84,'[1]Critério de Depreciação'!$C$3:$G$8,5,FALSE)</f>
        <v>1.6666666666666667</v>
      </c>
      <c r="AS84" s="29" t="s">
        <v>130</v>
      </c>
      <c r="AT84" s="29" t="s">
        <v>670</v>
      </c>
      <c r="AU84" s="29" t="str">
        <f>IFERROR(VLOOKUP(AG126,[2]Frota!$D$2:$AV$187,12,FALSE),"-")</f>
        <v>1.7.1.4</v>
      </c>
      <c r="AV84" s="45">
        <v>17927</v>
      </c>
      <c r="AW84" s="90">
        <v>325000</v>
      </c>
      <c r="AX84" s="86">
        <v>44209</v>
      </c>
      <c r="AY84" s="91" t="s">
        <v>130</v>
      </c>
      <c r="AZ84" s="85" t="s">
        <v>130</v>
      </c>
      <c r="BA84" s="123">
        <v>396554</v>
      </c>
      <c r="BB84" s="86">
        <v>45215</v>
      </c>
      <c r="BC84" s="85">
        <v>50000</v>
      </c>
      <c r="BD84" s="85">
        <v>400000</v>
      </c>
      <c r="BE84" s="92">
        <f t="shared" si="22"/>
        <v>846554</v>
      </c>
      <c r="BF84" s="92">
        <v>0</v>
      </c>
      <c r="BG84" s="92">
        <v>540000</v>
      </c>
      <c r="BH84" s="92">
        <v>40000</v>
      </c>
      <c r="BI84" s="92">
        <v>582000</v>
      </c>
      <c r="BJ84" s="92">
        <v>0</v>
      </c>
      <c r="BK84" s="92">
        <v>0</v>
      </c>
      <c r="BL84" s="92">
        <v>0</v>
      </c>
      <c r="BM84" s="93">
        <f t="shared" si="21"/>
        <v>1162000</v>
      </c>
      <c r="BN84" s="92">
        <f t="shared" si="33"/>
        <v>9000</v>
      </c>
      <c r="BO84" s="92">
        <f t="shared" si="34"/>
        <v>10366.666666666666</v>
      </c>
      <c r="BP84" s="92">
        <f t="shared" si="35"/>
        <v>19366.666666666664</v>
      </c>
      <c r="BQ84" s="92">
        <v>0</v>
      </c>
      <c r="BR84" s="92">
        <v>0</v>
      </c>
      <c r="BS84" s="85">
        <f t="shared" si="23"/>
        <v>5416.666666666667</v>
      </c>
      <c r="BT84" s="94">
        <v>69.900000000000006</v>
      </c>
      <c r="BU84" s="86">
        <v>45703</v>
      </c>
      <c r="BV84" s="86" t="s">
        <v>130</v>
      </c>
      <c r="BW84" s="95">
        <v>20.94</v>
      </c>
      <c r="BX84" s="96" t="s">
        <v>636</v>
      </c>
      <c r="BY84" s="29" t="s">
        <v>316</v>
      </c>
      <c r="BZ84" s="29" t="s">
        <v>316</v>
      </c>
      <c r="CA84" s="29" t="s">
        <v>130</v>
      </c>
      <c r="CB84" s="29" t="s">
        <v>130</v>
      </c>
      <c r="CC84" s="29" t="s">
        <v>130</v>
      </c>
      <c r="CD84" s="29" t="s">
        <v>671</v>
      </c>
      <c r="CE84" s="29" t="str">
        <f t="shared" si="16"/>
        <v>SP - PRUDENTE - SUCATA</v>
      </c>
      <c r="CF84" s="97">
        <v>25687</v>
      </c>
      <c r="CG84" s="97">
        <v>1977</v>
      </c>
      <c r="CH84" s="37">
        <f t="shared" si="24"/>
        <v>1162000</v>
      </c>
      <c r="CI84" s="98" t="s">
        <v>130</v>
      </c>
      <c r="CJ84" s="39">
        <v>5</v>
      </c>
      <c r="CK84" s="39">
        <v>5</v>
      </c>
      <c r="CL84" s="39">
        <f t="shared" si="25"/>
        <v>60</v>
      </c>
      <c r="CM84" s="99">
        <f t="shared" si="26"/>
        <v>38733.333333333336</v>
      </c>
      <c r="CN84" s="40" t="str">
        <f>IFERROR(IF(VLOOKUP(AG84,'[1]ATIVOS SAGI'!C:D,1,FALSE)&lt;&gt;"","CADASTRADO","NÃO CADASTRADO"),"NÃO CADASTRADO")</f>
        <v>CADASTRADO</v>
      </c>
      <c r="CO84" s="99">
        <f t="shared" si="29"/>
        <v>19366.666666666668</v>
      </c>
      <c r="CP84" s="100" t="s">
        <v>92</v>
      </c>
      <c r="CQ84" s="48"/>
      <c r="CR84" s="48"/>
      <c r="CS84" s="48"/>
    </row>
    <row r="85" spans="1:97" x14ac:dyDescent="0.25">
      <c r="A85" s="27">
        <v>75</v>
      </c>
      <c r="B85" s="27">
        <v>110</v>
      </c>
      <c r="C85" s="29" t="s">
        <v>296</v>
      </c>
      <c r="D85" s="40" t="s">
        <v>49</v>
      </c>
      <c r="E85" s="40" t="s">
        <v>130</v>
      </c>
      <c r="F85" s="88" t="s">
        <v>130</v>
      </c>
      <c r="G85" s="40" t="s">
        <v>315</v>
      </c>
      <c r="H85" s="41" t="s">
        <v>520</v>
      </c>
      <c r="I85" s="29" t="s">
        <v>130</v>
      </c>
      <c r="J85" s="85">
        <f t="shared" si="30"/>
        <v>2960.55</v>
      </c>
      <c r="K85" s="85" t="s">
        <v>466</v>
      </c>
      <c r="L85" s="85">
        <v>167.74</v>
      </c>
      <c r="M85" s="86">
        <v>45674</v>
      </c>
      <c r="N85" s="85">
        <v>2792.81</v>
      </c>
      <c r="O85" s="86">
        <v>45769</v>
      </c>
      <c r="P85" s="85">
        <v>2879.19</v>
      </c>
      <c r="Q85" s="29" t="s">
        <v>80</v>
      </c>
      <c r="R85" s="85">
        <v>0</v>
      </c>
      <c r="S85" s="85">
        <v>0</v>
      </c>
      <c r="T85" s="85">
        <v>0</v>
      </c>
      <c r="U85" s="85">
        <v>3175.08</v>
      </c>
      <c r="V85" s="85">
        <v>3079.82</v>
      </c>
      <c r="W85" s="86">
        <v>46038</v>
      </c>
      <c r="X85" s="86">
        <v>46134</v>
      </c>
      <c r="Y85" s="85">
        <v>174.08</v>
      </c>
      <c r="Z85" s="85">
        <f t="shared" si="31"/>
        <v>3349.16</v>
      </c>
      <c r="AA85" s="85">
        <f t="shared" si="32"/>
        <v>3253.9</v>
      </c>
      <c r="AB85" s="85">
        <v>265.64999999999998</v>
      </c>
      <c r="AC85" s="85">
        <v>0</v>
      </c>
      <c r="AD85" s="85">
        <v>0</v>
      </c>
      <c r="AE85" s="29" t="s">
        <v>45</v>
      </c>
      <c r="AF85" s="29" t="s">
        <v>59</v>
      </c>
      <c r="AG85" s="40" t="s">
        <v>672</v>
      </c>
      <c r="AH85" s="29" t="s">
        <v>468</v>
      </c>
      <c r="AI85" s="87" t="str">
        <f>IFERROR(VLOOKUP(AG85,[2]Frota!$D$2:$AV$187,2,FALSE),"-")</f>
        <v>01020611240</v>
      </c>
      <c r="AJ85" s="87" t="str">
        <f>IFERROR(VLOOKUP(AG85,[2]Frota!$D$2:$AV$187,3,FALSE),"-")</f>
        <v>93KP0R1C9EE148541</v>
      </c>
      <c r="AK85" s="29" t="s">
        <v>633</v>
      </c>
      <c r="AL85" s="29" t="s">
        <v>673</v>
      </c>
      <c r="AM85" s="34">
        <v>2014</v>
      </c>
      <c r="AN85" s="34">
        <v>2014</v>
      </c>
      <c r="AO85" s="40" t="s">
        <v>674</v>
      </c>
      <c r="AP85" s="29" t="s">
        <v>622</v>
      </c>
      <c r="AQ85" s="88" t="s">
        <v>464</v>
      </c>
      <c r="AR85" s="89">
        <f>VLOOKUP(AQ85,'[1]Critério de Depreciação'!$C$3:$G$8,5,FALSE)</f>
        <v>1.6666666666666667</v>
      </c>
      <c r="AS85" s="29" t="s">
        <v>130</v>
      </c>
      <c r="AT85" s="29" t="s">
        <v>130</v>
      </c>
      <c r="AU85" s="29" t="str">
        <f>IFERROR(VLOOKUP(AG127,[2]Frota!$D$2:$AV$187,12,FALSE),"-")</f>
        <v>1.7.1.4</v>
      </c>
      <c r="AV85" s="157" t="s">
        <v>130</v>
      </c>
      <c r="AW85" s="90">
        <v>984500</v>
      </c>
      <c r="AX85" s="86" t="s">
        <v>130</v>
      </c>
      <c r="AY85" s="91">
        <f>228000+285000+40000</f>
        <v>553000</v>
      </c>
      <c r="AZ85" s="85" t="s">
        <v>130</v>
      </c>
      <c r="BA85" s="123">
        <v>163349</v>
      </c>
      <c r="BB85" s="86">
        <v>45215</v>
      </c>
      <c r="BC85" s="85">
        <v>50000</v>
      </c>
      <c r="BD85" s="85">
        <v>200000</v>
      </c>
      <c r="BE85" s="92">
        <f t="shared" si="22"/>
        <v>413349</v>
      </c>
      <c r="BF85" s="92">
        <v>0</v>
      </c>
      <c r="BG85" s="92">
        <v>500000</v>
      </c>
      <c r="BH85" s="92">
        <v>80000</v>
      </c>
      <c r="BI85" s="92">
        <v>404500</v>
      </c>
      <c r="BJ85" s="92">
        <v>0</v>
      </c>
      <c r="BK85" s="92">
        <v>0</v>
      </c>
      <c r="BL85" s="92">
        <v>0</v>
      </c>
      <c r="BM85" s="93">
        <f t="shared" si="21"/>
        <v>984500</v>
      </c>
      <c r="BN85" s="92">
        <f t="shared" si="33"/>
        <v>8333.3333333333339</v>
      </c>
      <c r="BO85" s="92">
        <f t="shared" si="34"/>
        <v>8075</v>
      </c>
      <c r="BP85" s="92">
        <f t="shared" si="35"/>
        <v>16408.333333333336</v>
      </c>
      <c r="BQ85" s="92">
        <v>0</v>
      </c>
      <c r="BR85" s="92">
        <v>0</v>
      </c>
      <c r="BS85" s="85">
        <f t="shared" si="23"/>
        <v>16408.333333333332</v>
      </c>
      <c r="BT85" s="94">
        <v>69.900000000000006</v>
      </c>
      <c r="BU85" s="86">
        <v>45703</v>
      </c>
      <c r="BV85" s="86" t="s">
        <v>130</v>
      </c>
      <c r="BW85" s="95">
        <v>20.94</v>
      </c>
      <c r="BX85" s="96" t="s">
        <v>636</v>
      </c>
      <c r="BY85" s="29" t="s">
        <v>314</v>
      </c>
      <c r="BZ85" s="29" t="s">
        <v>655</v>
      </c>
      <c r="CA85" s="29" t="s">
        <v>130</v>
      </c>
      <c r="CB85" s="29" t="s">
        <v>130</v>
      </c>
      <c r="CC85" s="29" t="s">
        <v>130</v>
      </c>
      <c r="CD85" s="29" t="s">
        <v>314</v>
      </c>
      <c r="CE85" s="29" t="str">
        <f t="shared" si="16"/>
        <v>PR - MARINGÁ</v>
      </c>
      <c r="CF85" s="97">
        <v>330918</v>
      </c>
      <c r="CG85" s="97" t="s">
        <v>130</v>
      </c>
      <c r="CH85" s="37">
        <f t="shared" si="24"/>
        <v>984500</v>
      </c>
      <c r="CI85" s="98" t="s">
        <v>130</v>
      </c>
      <c r="CJ85" s="39">
        <v>5</v>
      </c>
      <c r="CK85" s="39">
        <v>5</v>
      </c>
      <c r="CL85" s="39">
        <f t="shared" si="25"/>
        <v>60</v>
      </c>
      <c r="CM85" s="99">
        <f t="shared" si="26"/>
        <v>32816.666666666664</v>
      </c>
      <c r="CN85" s="40" t="str">
        <f>IFERROR(IF(VLOOKUP(AG85,'[1]ATIVOS SAGI'!C:D,1,FALSE)&lt;&gt;"","CADASTRADO","NÃO CADASTRADO"),"NÃO CADASTRADO")</f>
        <v>CADASTRADO</v>
      </c>
      <c r="CO85" s="99">
        <f t="shared" si="29"/>
        <v>16408.333333333336</v>
      </c>
      <c r="CP85" s="223" t="s">
        <v>81</v>
      </c>
      <c r="CQ85" s="48"/>
      <c r="CR85" s="48"/>
      <c r="CS85" s="48"/>
    </row>
    <row r="86" spans="1:97" x14ac:dyDescent="0.25">
      <c r="A86" s="27">
        <v>76</v>
      </c>
      <c r="B86" s="27">
        <v>111</v>
      </c>
      <c r="C86" s="29" t="s">
        <v>296</v>
      </c>
      <c r="D86" s="40" t="s">
        <v>49</v>
      </c>
      <c r="E86" s="40" t="s">
        <v>130</v>
      </c>
      <c r="F86" s="88" t="s">
        <v>130</v>
      </c>
      <c r="G86" s="40" t="s">
        <v>524</v>
      </c>
      <c r="H86" s="41" t="s">
        <v>109</v>
      </c>
      <c r="I86" s="29" t="s">
        <v>130</v>
      </c>
      <c r="J86" s="85">
        <f t="shared" si="30"/>
        <v>4423.5999999999995</v>
      </c>
      <c r="K86" s="85" t="s">
        <v>466</v>
      </c>
      <c r="L86" s="85">
        <v>167.74</v>
      </c>
      <c r="M86" s="86">
        <v>45672</v>
      </c>
      <c r="N86" s="85">
        <v>4255.8599999999997</v>
      </c>
      <c r="O86" s="86">
        <v>45769</v>
      </c>
      <c r="P86" s="85">
        <v>4387.4799999999996</v>
      </c>
      <c r="Q86" s="29" t="s">
        <v>80</v>
      </c>
      <c r="R86" s="85">
        <v>0</v>
      </c>
      <c r="S86" s="85">
        <v>0</v>
      </c>
      <c r="T86" s="85">
        <v>0</v>
      </c>
      <c r="U86" s="85">
        <v>4831.0600000000004</v>
      </c>
      <c r="V86" s="85">
        <v>4686.13</v>
      </c>
      <c r="W86" s="86">
        <v>46036</v>
      </c>
      <c r="X86" s="86">
        <v>46134</v>
      </c>
      <c r="Y86" s="85">
        <v>174.08</v>
      </c>
      <c r="Z86" s="85">
        <f t="shared" si="31"/>
        <v>5005.1400000000003</v>
      </c>
      <c r="AA86" s="85">
        <f t="shared" si="32"/>
        <v>4860.21</v>
      </c>
      <c r="AB86" s="85">
        <v>0</v>
      </c>
      <c r="AC86" s="85">
        <v>0</v>
      </c>
      <c r="AD86" s="85">
        <v>0</v>
      </c>
      <c r="AE86" s="29" t="s">
        <v>45</v>
      </c>
      <c r="AF86" s="29" t="s">
        <v>46</v>
      </c>
      <c r="AG86" s="40" t="s">
        <v>675</v>
      </c>
      <c r="AH86" s="29" t="s">
        <v>468</v>
      </c>
      <c r="AI86" s="87" t="str">
        <f>IFERROR(VLOOKUP(AG86,[2]Frota!$D$2:$AV$187,2,FALSE),"-")</f>
        <v>01180403336</v>
      </c>
      <c r="AJ86" s="87" t="str">
        <f>IFERROR(VLOOKUP(AG86,[2]Frota!$D$2:$AV$187,3,FALSE),"-")</f>
        <v>93KP0S1FXKE162811</v>
      </c>
      <c r="AK86" s="29" t="s">
        <v>633</v>
      </c>
      <c r="AL86" s="29" t="s">
        <v>676</v>
      </c>
      <c r="AM86" s="34">
        <v>2018</v>
      </c>
      <c r="AN86" s="34">
        <v>2019</v>
      </c>
      <c r="AO86" s="40" t="s">
        <v>624</v>
      </c>
      <c r="AP86" s="29" t="s">
        <v>622</v>
      </c>
      <c r="AQ86" s="88" t="s">
        <v>464</v>
      </c>
      <c r="AR86" s="89">
        <f>VLOOKUP(AQ86,'[1]Critério de Depreciação'!$C$3:$G$8,5,FALSE)</f>
        <v>1.6666666666666667</v>
      </c>
      <c r="AS86" s="29" t="s">
        <v>130</v>
      </c>
      <c r="AT86" s="29" t="s">
        <v>130</v>
      </c>
      <c r="AU86" s="29" t="str">
        <f>IFERROR(VLOOKUP(AG128,[2]Frota!$D$2:$AV$187,12,FALSE),"-")</f>
        <v>-</v>
      </c>
      <c r="AV86" s="157" t="s">
        <v>130</v>
      </c>
      <c r="AW86" s="90">
        <v>1040000</v>
      </c>
      <c r="AX86" s="86" t="s">
        <v>130</v>
      </c>
      <c r="AY86" s="91">
        <f>395000+170000+75000</f>
        <v>640000</v>
      </c>
      <c r="AZ86" s="85" t="s">
        <v>130</v>
      </c>
      <c r="BA86" s="123">
        <v>319848</v>
      </c>
      <c r="BB86" s="86">
        <v>45215</v>
      </c>
      <c r="BC86" s="85">
        <v>85000</v>
      </c>
      <c r="BD86" s="85">
        <v>180000</v>
      </c>
      <c r="BE86" s="92">
        <f t="shared" si="22"/>
        <v>584848</v>
      </c>
      <c r="BF86" s="92">
        <v>0</v>
      </c>
      <c r="BG86" s="92">
        <v>640000</v>
      </c>
      <c r="BH86" s="92">
        <v>125000</v>
      </c>
      <c r="BI86" s="92">
        <v>275000</v>
      </c>
      <c r="BJ86" s="92">
        <v>0</v>
      </c>
      <c r="BK86" s="92">
        <v>0</v>
      </c>
      <c r="BL86" s="92">
        <v>0</v>
      </c>
      <c r="BM86" s="93">
        <f t="shared" si="21"/>
        <v>1040000</v>
      </c>
      <c r="BN86" s="92">
        <f t="shared" si="33"/>
        <v>10666.666666666666</v>
      </c>
      <c r="BO86" s="92">
        <f t="shared" si="34"/>
        <v>6666.666666666667</v>
      </c>
      <c r="BP86" s="92">
        <f t="shared" si="35"/>
        <v>17333.333333333332</v>
      </c>
      <c r="BQ86" s="92">
        <v>0</v>
      </c>
      <c r="BR86" s="92">
        <v>0</v>
      </c>
      <c r="BS86" s="85">
        <f t="shared" si="23"/>
        <v>17333.333333333332</v>
      </c>
      <c r="BT86" s="94">
        <v>69.900000000000006</v>
      </c>
      <c r="BU86" s="86">
        <v>45703</v>
      </c>
      <c r="BV86" s="86" t="s">
        <v>130</v>
      </c>
      <c r="BW86" s="95">
        <v>20.94</v>
      </c>
      <c r="BX86" s="96" t="s">
        <v>636</v>
      </c>
      <c r="BY86" s="29" t="s">
        <v>312</v>
      </c>
      <c r="BZ86" s="29" t="s">
        <v>310</v>
      </c>
      <c r="CA86" s="29" t="s">
        <v>130</v>
      </c>
      <c r="CB86" s="29" t="s">
        <v>130</v>
      </c>
      <c r="CC86" s="29" t="s">
        <v>130</v>
      </c>
      <c r="CD86" s="29" t="s">
        <v>677</v>
      </c>
      <c r="CE86" s="29" t="str">
        <f t="shared" si="16"/>
        <v>SP - PRUDENTE - SUCATA</v>
      </c>
      <c r="CF86" s="97" t="s">
        <v>130</v>
      </c>
      <c r="CG86" s="97" t="s">
        <v>130</v>
      </c>
      <c r="CH86" s="37">
        <f t="shared" si="24"/>
        <v>1040000</v>
      </c>
      <c r="CI86" s="98" t="s">
        <v>130</v>
      </c>
      <c r="CJ86" s="39">
        <v>5</v>
      </c>
      <c r="CK86" s="39">
        <v>5</v>
      </c>
      <c r="CL86" s="39">
        <f t="shared" si="25"/>
        <v>60</v>
      </c>
      <c r="CM86" s="99">
        <f t="shared" si="26"/>
        <v>34666.666666666664</v>
      </c>
      <c r="CN86" s="40" t="str">
        <f>IFERROR(IF(VLOOKUP(AG86,'[1]ATIVOS SAGI'!C:D,1,FALSE)&lt;&gt;"","CADASTRADO","NÃO CADASTRADO"),"NÃO CADASTRADO")</f>
        <v>CADASTRADO</v>
      </c>
      <c r="CO86" s="99">
        <f t="shared" si="29"/>
        <v>17333.333333333336</v>
      </c>
      <c r="CP86" s="221" t="s">
        <v>81</v>
      </c>
      <c r="CQ86" s="48"/>
      <c r="CR86" s="48"/>
      <c r="CS86" s="48"/>
    </row>
    <row r="87" spans="1:97" x14ac:dyDescent="0.25">
      <c r="A87" s="27">
        <v>77</v>
      </c>
      <c r="B87" s="101">
        <v>9</v>
      </c>
      <c r="C87" s="102" t="s">
        <v>296</v>
      </c>
      <c r="D87" s="88" t="s">
        <v>49</v>
      </c>
      <c r="E87" s="88" t="s">
        <v>130</v>
      </c>
      <c r="F87" s="88" t="s">
        <v>130</v>
      </c>
      <c r="G87" s="88"/>
      <c r="H87" s="104" t="s">
        <v>130</v>
      </c>
      <c r="I87" s="102" t="s">
        <v>307</v>
      </c>
      <c r="J87" s="102" t="s">
        <v>130</v>
      </c>
      <c r="K87" s="102" t="s">
        <v>130</v>
      </c>
      <c r="L87" s="105" t="s">
        <v>130</v>
      </c>
      <c r="M87" s="106" t="s">
        <v>130</v>
      </c>
      <c r="N87" s="105" t="s">
        <v>130</v>
      </c>
      <c r="O87" s="106" t="s">
        <v>130</v>
      </c>
      <c r="P87" s="105" t="s">
        <v>130</v>
      </c>
      <c r="Q87" s="105" t="s">
        <v>130</v>
      </c>
      <c r="R87" s="105" t="s">
        <v>130</v>
      </c>
      <c r="S87" s="105" t="s">
        <v>130</v>
      </c>
      <c r="T87" s="105" t="s">
        <v>130</v>
      </c>
      <c r="U87" s="105" t="s">
        <v>130</v>
      </c>
      <c r="V87" s="105" t="s">
        <v>130</v>
      </c>
      <c r="W87" s="105" t="s">
        <v>130</v>
      </c>
      <c r="X87" s="105" t="s">
        <v>130</v>
      </c>
      <c r="Y87" s="105" t="s">
        <v>130</v>
      </c>
      <c r="Z87" s="105" t="s">
        <v>130</v>
      </c>
      <c r="AA87" s="105" t="s">
        <v>130</v>
      </c>
      <c r="AB87" s="105" t="s">
        <v>130</v>
      </c>
      <c r="AC87" s="105" t="s">
        <v>130</v>
      </c>
      <c r="AD87" s="105" t="s">
        <v>130</v>
      </c>
      <c r="AE87" s="102" t="s">
        <v>297</v>
      </c>
      <c r="AF87" s="102" t="s">
        <v>130</v>
      </c>
      <c r="AG87" s="88" t="s">
        <v>678</v>
      </c>
      <c r="AH87" s="102" t="s">
        <v>130</v>
      </c>
      <c r="AI87" s="107" t="str">
        <f>IFERROR(VLOOKUP(AG87,[2]Frota!$D$2:$AV$187,2,FALSE),"-")</f>
        <v>00757128785</v>
      </c>
      <c r="AJ87" s="107" t="str">
        <f>IFERROR(VLOOKUP(AG87,[2]Frota!$D$2:$AV$187,3,FALSE),"-")</f>
        <v>9BM6953011B259823</v>
      </c>
      <c r="AK87" s="102" t="s">
        <v>567</v>
      </c>
      <c r="AL87" s="102" t="s">
        <v>568</v>
      </c>
      <c r="AM87" s="108">
        <v>2001</v>
      </c>
      <c r="AN87" s="108">
        <v>2001</v>
      </c>
      <c r="AO87" s="88" t="s">
        <v>679</v>
      </c>
      <c r="AP87" s="102" t="s">
        <v>622</v>
      </c>
      <c r="AQ87" s="88" t="s">
        <v>464</v>
      </c>
      <c r="AR87" s="89">
        <f>VLOOKUP(AQ87,'[1]Critério de Depreciação'!$C$3:$G$8,5,FALSE)</f>
        <v>1.6666666666666667</v>
      </c>
      <c r="AS87" s="102" t="s">
        <v>130</v>
      </c>
      <c r="AT87" s="102" t="s">
        <v>130</v>
      </c>
      <c r="AU87" s="102" t="str">
        <f>IFERROR(VLOOKUP(#REF!,[2]Frota!$D$2:$AV$187,12,FALSE),"-")</f>
        <v>-</v>
      </c>
      <c r="AV87" s="158" t="s">
        <v>130</v>
      </c>
      <c r="AW87" s="110">
        <v>0</v>
      </c>
      <c r="AX87" s="106" t="s">
        <v>130</v>
      </c>
      <c r="AY87" s="111">
        <f>130000+40000+200000</f>
        <v>370000</v>
      </c>
      <c r="AZ87" s="105">
        <v>106000</v>
      </c>
      <c r="BA87" s="112" t="s">
        <v>130</v>
      </c>
      <c r="BB87" s="106" t="s">
        <v>130</v>
      </c>
      <c r="BC87" s="105">
        <v>50000</v>
      </c>
      <c r="BD87" s="105">
        <v>150000</v>
      </c>
      <c r="BE87" s="113">
        <f t="shared" si="22"/>
        <v>306000</v>
      </c>
      <c r="BF87" s="113">
        <v>0</v>
      </c>
      <c r="BG87" s="113">
        <v>0</v>
      </c>
      <c r="BH87" s="113">
        <v>0</v>
      </c>
      <c r="BI87" s="113">
        <v>0</v>
      </c>
      <c r="BJ87" s="113">
        <v>0</v>
      </c>
      <c r="BK87" s="113">
        <v>0</v>
      </c>
      <c r="BL87" s="113">
        <v>0</v>
      </c>
      <c r="BM87" s="114">
        <f t="shared" si="21"/>
        <v>0</v>
      </c>
      <c r="BN87" s="113">
        <v>0</v>
      </c>
      <c r="BO87" s="113">
        <v>0</v>
      </c>
      <c r="BP87" s="113">
        <v>0</v>
      </c>
      <c r="BQ87" s="113">
        <v>0</v>
      </c>
      <c r="BR87" s="113">
        <v>0</v>
      </c>
      <c r="BS87" s="105">
        <f t="shared" si="23"/>
        <v>0</v>
      </c>
      <c r="BT87" s="153" t="s">
        <v>130</v>
      </c>
      <c r="BU87" s="153" t="s">
        <v>130</v>
      </c>
      <c r="BV87" s="153" t="s">
        <v>130</v>
      </c>
      <c r="BW87" s="154" t="s">
        <v>130</v>
      </c>
      <c r="BX87" s="153" t="s">
        <v>130</v>
      </c>
      <c r="BY87" s="102" t="s">
        <v>312</v>
      </c>
      <c r="BZ87" s="102" t="s">
        <v>312</v>
      </c>
      <c r="CA87" s="102" t="s">
        <v>130</v>
      </c>
      <c r="CB87" s="102" t="s">
        <v>130</v>
      </c>
      <c r="CC87" s="102" t="s">
        <v>130</v>
      </c>
      <c r="CD87" s="102" t="s">
        <v>130</v>
      </c>
      <c r="CE87" s="102" t="str">
        <f t="shared" si="16"/>
        <v>-</v>
      </c>
      <c r="CF87" s="118" t="s">
        <v>130</v>
      </c>
      <c r="CG87" s="118" t="s">
        <v>130</v>
      </c>
      <c r="CH87" s="119">
        <f t="shared" si="24"/>
        <v>0</v>
      </c>
      <c r="CI87" s="120" t="s">
        <v>130</v>
      </c>
      <c r="CJ87" s="121">
        <v>5</v>
      </c>
      <c r="CK87" s="121">
        <v>5</v>
      </c>
      <c r="CL87" s="121">
        <f t="shared" si="25"/>
        <v>60</v>
      </c>
      <c r="CM87" s="122">
        <f t="shared" si="26"/>
        <v>0</v>
      </c>
      <c r="CN87" s="88" t="str">
        <f>IFERROR(IF(VLOOKUP(AG87,'[1]ATIVOS SAGI'!C:D,1,FALSE)&lt;&gt;"","CADASTRADO","NÃO CADASTRADO"),"NÃO CADASTRADO")</f>
        <v>CADASTRADO</v>
      </c>
      <c r="CO87" s="99">
        <f t="shared" si="29"/>
        <v>0</v>
      </c>
      <c r="CP87" s="48" t="s">
        <v>48</v>
      </c>
      <c r="CQ87" s="48"/>
      <c r="CR87" s="48"/>
      <c r="CS87" s="48"/>
    </row>
    <row r="88" spans="1:97" x14ac:dyDescent="0.25">
      <c r="A88" s="27">
        <v>78</v>
      </c>
      <c r="B88" s="101">
        <v>10</v>
      </c>
      <c r="C88" s="102" t="s">
        <v>296</v>
      </c>
      <c r="D88" s="88" t="s">
        <v>49</v>
      </c>
      <c r="E88" s="88" t="s">
        <v>130</v>
      </c>
      <c r="F88" s="88" t="s">
        <v>130</v>
      </c>
      <c r="G88" s="88"/>
      <c r="H88" s="104" t="s">
        <v>130</v>
      </c>
      <c r="I88" s="102" t="s">
        <v>307</v>
      </c>
      <c r="J88" s="102" t="s">
        <v>130</v>
      </c>
      <c r="K88" s="102" t="s">
        <v>130</v>
      </c>
      <c r="L88" s="105" t="s">
        <v>130</v>
      </c>
      <c r="M88" s="106" t="s">
        <v>130</v>
      </c>
      <c r="N88" s="105" t="s">
        <v>130</v>
      </c>
      <c r="O88" s="106" t="s">
        <v>130</v>
      </c>
      <c r="P88" s="105" t="s">
        <v>130</v>
      </c>
      <c r="Q88" s="105" t="s">
        <v>130</v>
      </c>
      <c r="R88" s="105" t="s">
        <v>130</v>
      </c>
      <c r="S88" s="105" t="s">
        <v>130</v>
      </c>
      <c r="T88" s="105" t="s">
        <v>130</v>
      </c>
      <c r="U88" s="105" t="s">
        <v>130</v>
      </c>
      <c r="V88" s="105" t="s">
        <v>130</v>
      </c>
      <c r="W88" s="105" t="s">
        <v>130</v>
      </c>
      <c r="X88" s="105" t="s">
        <v>130</v>
      </c>
      <c r="Y88" s="105" t="s">
        <v>130</v>
      </c>
      <c r="Z88" s="105" t="s">
        <v>130</v>
      </c>
      <c r="AA88" s="105" t="s">
        <v>130</v>
      </c>
      <c r="AB88" s="105" t="s">
        <v>130</v>
      </c>
      <c r="AC88" s="105" t="s">
        <v>130</v>
      </c>
      <c r="AD88" s="105" t="s">
        <v>130</v>
      </c>
      <c r="AE88" s="102" t="s">
        <v>297</v>
      </c>
      <c r="AF88" s="102" t="s">
        <v>130</v>
      </c>
      <c r="AG88" s="88" t="s">
        <v>680</v>
      </c>
      <c r="AH88" s="102" t="s">
        <v>130</v>
      </c>
      <c r="AI88" s="107" t="str">
        <f>IFERROR(VLOOKUP(AG88,[2]Frota!$D$2:$AV$187,2,FALSE),"-")</f>
        <v>-</v>
      </c>
      <c r="AJ88" s="107" t="str">
        <f>IFERROR(VLOOKUP(AG88,[2]Frota!$D$2:$AV$187,3,FALSE),"-")</f>
        <v>-</v>
      </c>
      <c r="AK88" s="102" t="s">
        <v>563</v>
      </c>
      <c r="AL88" s="102" t="s">
        <v>681</v>
      </c>
      <c r="AM88" s="108">
        <v>2011</v>
      </c>
      <c r="AN88" s="108">
        <v>2011</v>
      </c>
      <c r="AO88" s="88" t="s">
        <v>682</v>
      </c>
      <c r="AP88" s="102" t="s">
        <v>622</v>
      </c>
      <c r="AQ88" s="88" t="s">
        <v>464</v>
      </c>
      <c r="AR88" s="89">
        <f>VLOOKUP(AQ88,'[1]Critério de Depreciação'!$C$3:$G$8,5,FALSE)</f>
        <v>1.6666666666666667</v>
      </c>
      <c r="AS88" s="102" t="s">
        <v>130</v>
      </c>
      <c r="AT88" s="102" t="s">
        <v>130</v>
      </c>
      <c r="AU88" s="102" t="str">
        <f>IFERROR(VLOOKUP(#REF!,[2]Frota!$D$2:$AV$187,12,FALSE),"-")</f>
        <v>-</v>
      </c>
      <c r="AV88" s="158" t="s">
        <v>130</v>
      </c>
      <c r="AW88" s="110">
        <v>0</v>
      </c>
      <c r="AX88" s="106" t="s">
        <v>130</v>
      </c>
      <c r="AY88" s="111">
        <f>211000+200000+50000</f>
        <v>461000</v>
      </c>
      <c r="AZ88" s="105" t="s">
        <v>130</v>
      </c>
      <c r="BA88" s="112">
        <v>149174</v>
      </c>
      <c r="BB88" s="106">
        <v>45215</v>
      </c>
      <c r="BC88" s="105">
        <v>50000</v>
      </c>
      <c r="BD88" s="105">
        <v>150000</v>
      </c>
      <c r="BE88" s="113">
        <f t="shared" si="22"/>
        <v>349174</v>
      </c>
      <c r="BF88" s="113">
        <v>0</v>
      </c>
      <c r="BG88" s="113">
        <v>0</v>
      </c>
      <c r="BH88" s="113">
        <v>0</v>
      </c>
      <c r="BI88" s="113">
        <v>0</v>
      </c>
      <c r="BJ88" s="113">
        <v>0</v>
      </c>
      <c r="BK88" s="113">
        <v>0</v>
      </c>
      <c r="BL88" s="113">
        <v>0</v>
      </c>
      <c r="BM88" s="114">
        <f t="shared" si="21"/>
        <v>0</v>
      </c>
      <c r="BN88" s="113">
        <v>0</v>
      </c>
      <c r="BO88" s="113">
        <v>0</v>
      </c>
      <c r="BP88" s="113">
        <v>0</v>
      </c>
      <c r="BQ88" s="113">
        <v>0</v>
      </c>
      <c r="BR88" s="113">
        <v>0</v>
      </c>
      <c r="BS88" s="105">
        <f t="shared" si="23"/>
        <v>0</v>
      </c>
      <c r="BT88" s="153" t="s">
        <v>130</v>
      </c>
      <c r="BU88" s="153" t="s">
        <v>130</v>
      </c>
      <c r="BV88" s="153" t="s">
        <v>130</v>
      </c>
      <c r="BW88" s="154" t="s">
        <v>130</v>
      </c>
      <c r="BX88" s="153" t="s">
        <v>130</v>
      </c>
      <c r="BY88" s="102" t="s">
        <v>312</v>
      </c>
      <c r="BZ88" s="102" t="s">
        <v>655</v>
      </c>
      <c r="CA88" s="102" t="s">
        <v>130</v>
      </c>
      <c r="CB88" s="102" t="s">
        <v>130</v>
      </c>
      <c r="CC88" s="102" t="s">
        <v>130</v>
      </c>
      <c r="CD88" s="102" t="s">
        <v>130</v>
      </c>
      <c r="CE88" s="102" t="str">
        <f t="shared" si="16"/>
        <v>-</v>
      </c>
      <c r="CF88" s="118" t="s">
        <v>130</v>
      </c>
      <c r="CG88" s="118" t="s">
        <v>130</v>
      </c>
      <c r="CH88" s="119">
        <f t="shared" si="24"/>
        <v>0</v>
      </c>
      <c r="CI88" s="120" t="s">
        <v>130</v>
      </c>
      <c r="CJ88" s="121">
        <v>5</v>
      </c>
      <c r="CK88" s="121">
        <v>5</v>
      </c>
      <c r="CL88" s="121">
        <f t="shared" si="25"/>
        <v>60</v>
      </c>
      <c r="CM88" s="122">
        <f t="shared" si="26"/>
        <v>0</v>
      </c>
      <c r="CN88" s="88" t="str">
        <f>IFERROR(IF(VLOOKUP(AG88,'[1]ATIVOS SAGI'!C:D,1,FALSE)&lt;&gt;"","CADASTRADO","NÃO CADASTRADO"),"NÃO CADASTRADO")</f>
        <v>CADASTRADO</v>
      </c>
      <c r="CO88" s="99">
        <f t="shared" si="29"/>
        <v>0</v>
      </c>
      <c r="CP88" s="48" t="s">
        <v>48</v>
      </c>
      <c r="CQ88" s="48"/>
      <c r="CR88" s="48"/>
      <c r="CS88" s="48"/>
    </row>
    <row r="89" spans="1:97" x14ac:dyDescent="0.25">
      <c r="A89" s="27">
        <v>149</v>
      </c>
      <c r="B89" s="101">
        <v>29</v>
      </c>
      <c r="C89" s="102" t="s">
        <v>296</v>
      </c>
      <c r="D89" s="88" t="s">
        <v>49</v>
      </c>
      <c r="E89" s="88" t="s">
        <v>130</v>
      </c>
      <c r="F89" s="40" t="s">
        <v>130</v>
      </c>
      <c r="G89" s="88"/>
      <c r="H89" s="104" t="s">
        <v>130</v>
      </c>
      <c r="I89" s="102" t="s">
        <v>307</v>
      </c>
      <c r="J89" s="102" t="s">
        <v>130</v>
      </c>
      <c r="K89" s="102" t="s">
        <v>130</v>
      </c>
      <c r="L89" s="105" t="s">
        <v>130</v>
      </c>
      <c r="M89" s="106" t="s">
        <v>130</v>
      </c>
      <c r="N89" s="105" t="s">
        <v>130</v>
      </c>
      <c r="O89" s="106" t="s">
        <v>130</v>
      </c>
      <c r="P89" s="105" t="s">
        <v>130</v>
      </c>
      <c r="Q89" s="105" t="s">
        <v>130</v>
      </c>
      <c r="R89" s="105" t="s">
        <v>130</v>
      </c>
      <c r="S89" s="105" t="s">
        <v>130</v>
      </c>
      <c r="T89" s="105" t="s">
        <v>130</v>
      </c>
      <c r="U89" s="105" t="s">
        <v>130</v>
      </c>
      <c r="V89" s="105" t="s">
        <v>130</v>
      </c>
      <c r="W89" s="105" t="s">
        <v>130</v>
      </c>
      <c r="X89" s="105" t="s">
        <v>130</v>
      </c>
      <c r="Y89" s="105" t="s">
        <v>130</v>
      </c>
      <c r="Z89" s="105" t="s">
        <v>130</v>
      </c>
      <c r="AA89" s="105" t="s">
        <v>130</v>
      </c>
      <c r="AB89" s="105" t="s">
        <v>130</v>
      </c>
      <c r="AC89" s="105" t="s">
        <v>130</v>
      </c>
      <c r="AD89" s="105" t="s">
        <v>130</v>
      </c>
      <c r="AE89" s="102" t="s">
        <v>297</v>
      </c>
      <c r="AF89" s="102" t="s">
        <v>130</v>
      </c>
      <c r="AG89" s="88" t="s">
        <v>683</v>
      </c>
      <c r="AH89" s="102" t="s">
        <v>130</v>
      </c>
      <c r="AI89" s="107" t="str">
        <f>IFERROR(VLOOKUP(AG89,[2]Frota!$D$2:$AV$187,2,FALSE),"-")</f>
        <v>00630276790</v>
      </c>
      <c r="AJ89" s="107" t="str">
        <f>IFERROR(VLOOKUP(AG89,[2]Frota!$D$2:$AV$187,3,FALSE),"-")</f>
        <v>9BM384024RB033719</v>
      </c>
      <c r="AK89" s="102" t="s">
        <v>567</v>
      </c>
      <c r="AL89" s="102" t="s">
        <v>684</v>
      </c>
      <c r="AM89" s="108">
        <v>1994</v>
      </c>
      <c r="AN89" s="108">
        <v>1994</v>
      </c>
      <c r="AO89" s="88" t="s">
        <v>685</v>
      </c>
      <c r="AP89" s="102" t="s">
        <v>622</v>
      </c>
      <c r="AQ89" s="88" t="s">
        <v>464</v>
      </c>
      <c r="AR89" s="89">
        <f>VLOOKUP(AQ89,'[1]Critério de Depreciação'!$C$3:$G$8,5,FALSE)</f>
        <v>1.6666666666666667</v>
      </c>
      <c r="AS89" s="102" t="s">
        <v>130</v>
      </c>
      <c r="AT89" s="102" t="s">
        <v>130</v>
      </c>
      <c r="AU89" s="102" t="str">
        <f>IFERROR(VLOOKUP(#REF!,[2]Frota!$D$2:$AV$187,12,FALSE),"-")</f>
        <v>-</v>
      </c>
      <c r="AV89" s="102" t="s">
        <v>130</v>
      </c>
      <c r="AW89" s="110">
        <v>0</v>
      </c>
      <c r="AX89" s="106" t="s">
        <v>130</v>
      </c>
      <c r="AY89" s="111" t="s">
        <v>130</v>
      </c>
      <c r="AZ89" s="105" t="s">
        <v>130</v>
      </c>
      <c r="BA89" s="112">
        <v>59796</v>
      </c>
      <c r="BB89" s="106" t="s">
        <v>130</v>
      </c>
      <c r="BC89" s="105" t="s">
        <v>130</v>
      </c>
      <c r="BD89" s="105" t="s">
        <v>130</v>
      </c>
      <c r="BE89" s="113">
        <f t="shared" si="22"/>
        <v>59796</v>
      </c>
      <c r="BF89" s="113">
        <v>0</v>
      </c>
      <c r="BG89" s="113">
        <v>0</v>
      </c>
      <c r="BH89" s="113">
        <v>0</v>
      </c>
      <c r="BI89" s="113">
        <v>0</v>
      </c>
      <c r="BJ89" s="113">
        <v>0</v>
      </c>
      <c r="BK89" s="113">
        <v>0</v>
      </c>
      <c r="BL89" s="113">
        <v>0</v>
      </c>
      <c r="BM89" s="114">
        <f t="shared" si="21"/>
        <v>0</v>
      </c>
      <c r="BN89" s="113">
        <v>0</v>
      </c>
      <c r="BO89" s="113">
        <v>0</v>
      </c>
      <c r="BP89" s="113">
        <v>0</v>
      </c>
      <c r="BQ89" s="113">
        <v>0</v>
      </c>
      <c r="BR89" s="113">
        <v>0</v>
      </c>
      <c r="BS89" s="105">
        <f t="shared" si="23"/>
        <v>0</v>
      </c>
      <c r="BT89" s="153" t="s">
        <v>130</v>
      </c>
      <c r="BU89" s="153" t="s">
        <v>130</v>
      </c>
      <c r="BV89" s="153" t="s">
        <v>130</v>
      </c>
      <c r="BW89" s="154" t="s">
        <v>130</v>
      </c>
      <c r="BX89" s="153" t="s">
        <v>130</v>
      </c>
      <c r="BY89" s="102" t="s">
        <v>317</v>
      </c>
      <c r="BZ89" s="102" t="s">
        <v>317</v>
      </c>
      <c r="CA89" s="102" t="s">
        <v>130</v>
      </c>
      <c r="CB89" s="102" t="s">
        <v>130</v>
      </c>
      <c r="CC89" s="102" t="s">
        <v>130</v>
      </c>
      <c r="CD89" s="102" t="s">
        <v>130</v>
      </c>
      <c r="CE89" s="102" t="str">
        <f t="shared" si="16"/>
        <v>-</v>
      </c>
      <c r="CF89" s="118" t="s">
        <v>130</v>
      </c>
      <c r="CG89" s="118" t="s">
        <v>130</v>
      </c>
      <c r="CH89" s="119">
        <f t="shared" si="24"/>
        <v>0</v>
      </c>
      <c r="CI89" s="120" t="s">
        <v>130</v>
      </c>
      <c r="CJ89" s="121">
        <v>5</v>
      </c>
      <c r="CK89" s="121">
        <v>5</v>
      </c>
      <c r="CL89" s="121">
        <f t="shared" si="25"/>
        <v>60</v>
      </c>
      <c r="CM89" s="122">
        <f t="shared" si="26"/>
        <v>0</v>
      </c>
      <c r="CN89" s="88" t="str">
        <f>IFERROR(IF(VLOOKUP(AG89,'[1]ATIVOS SAGI'!C:D,1,FALSE)&lt;&gt;"","CADASTRADO","NÃO CADASTRADO"),"NÃO CADASTRADO")</f>
        <v>CADASTRADO</v>
      </c>
      <c r="CO89" s="99">
        <f t="shared" si="29"/>
        <v>0</v>
      </c>
      <c r="CP89" s="48" t="s">
        <v>48</v>
      </c>
      <c r="CQ89" s="48"/>
      <c r="CR89" s="48"/>
      <c r="CS89" s="48"/>
    </row>
    <row r="90" spans="1:97" x14ac:dyDescent="0.25">
      <c r="A90" s="27">
        <v>194</v>
      </c>
      <c r="B90" s="101">
        <v>1</v>
      </c>
      <c r="C90" s="102" t="s">
        <v>296</v>
      </c>
      <c r="D90" s="88" t="s">
        <v>49</v>
      </c>
      <c r="E90" s="88" t="s">
        <v>130</v>
      </c>
      <c r="F90" s="40" t="s">
        <v>130</v>
      </c>
      <c r="G90" s="88"/>
      <c r="H90" s="104" t="s">
        <v>130</v>
      </c>
      <c r="I90" s="102" t="s">
        <v>130</v>
      </c>
      <c r="J90" s="102" t="s">
        <v>130</v>
      </c>
      <c r="K90" s="102" t="s">
        <v>130</v>
      </c>
      <c r="L90" s="105" t="s">
        <v>130</v>
      </c>
      <c r="M90" s="106" t="s">
        <v>130</v>
      </c>
      <c r="N90" s="105" t="s">
        <v>130</v>
      </c>
      <c r="O90" s="106" t="s">
        <v>130</v>
      </c>
      <c r="P90" s="105" t="s">
        <v>130</v>
      </c>
      <c r="Q90" s="105" t="s">
        <v>130</v>
      </c>
      <c r="R90" s="105" t="s">
        <v>130</v>
      </c>
      <c r="S90" s="105" t="s">
        <v>130</v>
      </c>
      <c r="T90" s="105" t="s">
        <v>130</v>
      </c>
      <c r="U90" s="105" t="s">
        <v>130</v>
      </c>
      <c r="V90" s="105" t="s">
        <v>130</v>
      </c>
      <c r="W90" s="105" t="s">
        <v>130</v>
      </c>
      <c r="X90" s="105" t="s">
        <v>130</v>
      </c>
      <c r="Y90" s="105" t="s">
        <v>130</v>
      </c>
      <c r="Z90" s="105" t="s">
        <v>130</v>
      </c>
      <c r="AA90" s="105" t="s">
        <v>130</v>
      </c>
      <c r="AB90" s="105" t="s">
        <v>130</v>
      </c>
      <c r="AC90" s="105" t="s">
        <v>130</v>
      </c>
      <c r="AD90" s="105" t="s">
        <v>130</v>
      </c>
      <c r="AE90" s="102" t="s">
        <v>297</v>
      </c>
      <c r="AF90" s="102" t="s">
        <v>130</v>
      </c>
      <c r="AG90" s="88" t="s">
        <v>686</v>
      </c>
      <c r="AH90" s="102" t="s">
        <v>130</v>
      </c>
      <c r="AI90" s="107" t="str">
        <f>IFERROR(VLOOKUP(AG90,[2]Frota!$D$2:$AV$187,2,FALSE),"-")</f>
        <v>00817061398</v>
      </c>
      <c r="AJ90" s="107" t="str">
        <f>IFERROR(VLOOKUP(AG90,[2]Frota!$D$2:$AV$187,3,FALSE),"-")</f>
        <v>9BFYTHZF33B820120</v>
      </c>
      <c r="AK90" s="102" t="s">
        <v>549</v>
      </c>
      <c r="AL90" s="102" t="s">
        <v>687</v>
      </c>
      <c r="AM90" s="108">
        <v>2002</v>
      </c>
      <c r="AN90" s="108">
        <v>2003</v>
      </c>
      <c r="AO90" s="88" t="s">
        <v>688</v>
      </c>
      <c r="AP90" s="102" t="s">
        <v>622</v>
      </c>
      <c r="AQ90" s="88" t="s">
        <v>464</v>
      </c>
      <c r="AR90" s="89">
        <f>VLOOKUP(AQ90,'[1]Critério de Depreciação'!$C$3:$G$8,5,FALSE)</f>
        <v>1.6666666666666667</v>
      </c>
      <c r="AS90" s="102" t="s">
        <v>130</v>
      </c>
      <c r="AT90" s="102" t="s">
        <v>130</v>
      </c>
      <c r="AU90" s="102" t="str">
        <f>IFERROR(VLOOKUP(#REF!,[2]Frota!$D$2:$AV$187,12,FALSE),"-")</f>
        <v>-</v>
      </c>
      <c r="AV90" s="102" t="s">
        <v>130</v>
      </c>
      <c r="AW90" s="110">
        <v>0</v>
      </c>
      <c r="AX90" s="106" t="s">
        <v>130</v>
      </c>
      <c r="AY90" s="111" t="s">
        <v>130</v>
      </c>
      <c r="AZ90" s="105" t="s">
        <v>130</v>
      </c>
      <c r="BA90" s="112">
        <v>76616</v>
      </c>
      <c r="BB90" s="106">
        <v>45215</v>
      </c>
      <c r="BC90" s="105" t="s">
        <v>130</v>
      </c>
      <c r="BD90" s="105">
        <v>180000</v>
      </c>
      <c r="BE90" s="113">
        <f t="shared" si="22"/>
        <v>256616</v>
      </c>
      <c r="BF90" s="113">
        <v>0</v>
      </c>
      <c r="BG90" s="113">
        <v>0</v>
      </c>
      <c r="BH90" s="113">
        <v>0</v>
      </c>
      <c r="BI90" s="113">
        <v>0</v>
      </c>
      <c r="BJ90" s="113">
        <v>0</v>
      </c>
      <c r="BK90" s="113">
        <v>0</v>
      </c>
      <c r="BL90" s="113">
        <v>0</v>
      </c>
      <c r="BM90" s="114">
        <f>SUM(BD90:BL90)</f>
        <v>436616</v>
      </c>
      <c r="BN90" s="113">
        <v>0</v>
      </c>
      <c r="BO90" s="113">
        <v>0</v>
      </c>
      <c r="BP90" s="113">
        <v>0</v>
      </c>
      <c r="BQ90" s="113">
        <v>0</v>
      </c>
      <c r="BR90" s="113">
        <v>0</v>
      </c>
      <c r="BS90" s="105">
        <f t="shared" si="23"/>
        <v>0</v>
      </c>
      <c r="BT90" s="153" t="s">
        <v>130</v>
      </c>
      <c r="BU90" s="153" t="s">
        <v>130</v>
      </c>
      <c r="BV90" s="153" t="s">
        <v>130</v>
      </c>
      <c r="BW90" s="154" t="s">
        <v>130</v>
      </c>
      <c r="BX90" s="153" t="s">
        <v>130</v>
      </c>
      <c r="BY90" s="102" t="s">
        <v>689</v>
      </c>
      <c r="BZ90" s="102" t="s">
        <v>689</v>
      </c>
      <c r="CA90" s="102" t="s">
        <v>130</v>
      </c>
      <c r="CB90" s="102" t="s">
        <v>130</v>
      </c>
      <c r="CC90" s="102" t="s">
        <v>130</v>
      </c>
      <c r="CD90" s="102" t="s">
        <v>130</v>
      </c>
      <c r="CE90" s="102" t="str">
        <f t="shared" si="16"/>
        <v>-</v>
      </c>
      <c r="CF90" s="118" t="s">
        <v>130</v>
      </c>
      <c r="CG90" s="118" t="s">
        <v>130</v>
      </c>
      <c r="CH90" s="119">
        <f t="shared" si="24"/>
        <v>436616</v>
      </c>
      <c r="CI90" s="120" t="s">
        <v>130</v>
      </c>
      <c r="CJ90" s="121">
        <v>5</v>
      </c>
      <c r="CK90" s="121">
        <v>5</v>
      </c>
      <c r="CL90" s="121">
        <f t="shared" si="25"/>
        <v>60</v>
      </c>
      <c r="CM90" s="122">
        <f t="shared" si="26"/>
        <v>14553.866666666667</v>
      </c>
      <c r="CN90" s="88" t="str">
        <f>IFERROR(IF(VLOOKUP(AG90,'[1]ATIVOS SAGI'!C:D,1,FALSE)&lt;&gt;"","CADASTRADO","NÃO CADASTRADO"),"NÃO CADASTRADO")</f>
        <v>CADASTRADO</v>
      </c>
      <c r="CO90" s="99">
        <f t="shared" si="29"/>
        <v>7276.9333333333334</v>
      </c>
      <c r="CP90" s="48" t="s">
        <v>48</v>
      </c>
      <c r="CQ90" s="48"/>
      <c r="CR90" s="48"/>
      <c r="CS90" s="48"/>
    </row>
    <row r="91" spans="1:97" x14ac:dyDescent="0.25">
      <c r="A91" s="27">
        <v>97</v>
      </c>
      <c r="B91" s="27">
        <v>127</v>
      </c>
      <c r="C91" s="29" t="s">
        <v>296</v>
      </c>
      <c r="D91" s="40" t="s">
        <v>49</v>
      </c>
      <c r="E91" s="40" t="s">
        <v>130</v>
      </c>
      <c r="F91" s="88" t="s">
        <v>130</v>
      </c>
      <c r="G91" s="40"/>
      <c r="H91" s="41" t="s">
        <v>306</v>
      </c>
      <c r="I91" s="29" t="s">
        <v>307</v>
      </c>
      <c r="J91" s="29" t="s">
        <v>130</v>
      </c>
      <c r="K91" s="85" t="s">
        <v>466</v>
      </c>
      <c r="L91" s="85">
        <v>167.74</v>
      </c>
      <c r="M91" s="86" t="s">
        <v>130</v>
      </c>
      <c r="N91" s="85">
        <v>0</v>
      </c>
      <c r="O91" s="86" t="s">
        <v>130</v>
      </c>
      <c r="P91" s="85">
        <v>0</v>
      </c>
      <c r="Q91" s="29" t="s">
        <v>80</v>
      </c>
      <c r="R91" s="85">
        <v>0</v>
      </c>
      <c r="S91" s="85">
        <v>0</v>
      </c>
      <c r="T91" s="85">
        <v>0</v>
      </c>
      <c r="U91" s="85">
        <v>0</v>
      </c>
      <c r="V91" s="85">
        <v>0</v>
      </c>
      <c r="W91" s="86" t="s">
        <v>130</v>
      </c>
      <c r="X91" s="86" t="s">
        <v>130</v>
      </c>
      <c r="Y91" s="85">
        <v>174.08</v>
      </c>
      <c r="Z91" s="85">
        <f>U91+Y91</f>
        <v>174.08</v>
      </c>
      <c r="AA91" s="85">
        <f>V91+Y91</f>
        <v>174.08</v>
      </c>
      <c r="AB91" s="85">
        <v>0</v>
      </c>
      <c r="AC91" s="85">
        <v>0</v>
      </c>
      <c r="AD91" s="85">
        <v>0</v>
      </c>
      <c r="AE91" s="29" t="s">
        <v>298</v>
      </c>
      <c r="AF91" s="29" t="s">
        <v>46</v>
      </c>
      <c r="AG91" s="40" t="s">
        <v>690</v>
      </c>
      <c r="AH91" s="29" t="s">
        <v>474</v>
      </c>
      <c r="AI91" s="87" t="str">
        <f>IFERROR(VLOOKUP(AG91,[2]Frota!$D$2:$AV$187,2,FALSE),"-")</f>
        <v>00938748106</v>
      </c>
      <c r="AJ91" s="87" t="str">
        <f>IFERROR(VLOOKUP(AG91,[2]Frota!$D$2:$AV$187,3,FALSE),"-")</f>
        <v>9EP02093071004824</v>
      </c>
      <c r="AK91" s="29" t="s">
        <v>691</v>
      </c>
      <c r="AL91" s="29" t="s">
        <v>692</v>
      </c>
      <c r="AM91" s="34">
        <v>2007</v>
      </c>
      <c r="AN91" s="34">
        <v>2007</v>
      </c>
      <c r="AO91" s="40" t="s">
        <v>693</v>
      </c>
      <c r="AP91" s="29" t="s">
        <v>693</v>
      </c>
      <c r="AQ91" s="88" t="s">
        <v>303</v>
      </c>
      <c r="AR91" s="89">
        <f>VLOOKUP(AQ91,'[1]Critério de Depreciação'!$C$3:$G$8,5,FALSE)</f>
        <v>0.83333333333333337</v>
      </c>
      <c r="AS91" s="29" t="s">
        <v>130</v>
      </c>
      <c r="AT91" s="29" t="s">
        <v>130</v>
      </c>
      <c r="AU91" s="29" t="str">
        <f>IFERROR(VLOOKUP(AG135,[2]Frota!$D$2:$AV$187,12,FALSE),"-")</f>
        <v>-</v>
      </c>
      <c r="AV91" s="29" t="s">
        <v>130</v>
      </c>
      <c r="AW91" s="90">
        <v>0</v>
      </c>
      <c r="AX91" s="86" t="s">
        <v>130</v>
      </c>
      <c r="AY91" s="91" t="s">
        <v>130</v>
      </c>
      <c r="AZ91" s="85">
        <v>85000</v>
      </c>
      <c r="BA91" s="123" t="s">
        <v>130</v>
      </c>
      <c r="BB91" s="86" t="s">
        <v>130</v>
      </c>
      <c r="BC91" s="85" t="s">
        <v>130</v>
      </c>
      <c r="BD91" s="85" t="s">
        <v>130</v>
      </c>
      <c r="BE91" s="92">
        <f t="shared" si="22"/>
        <v>85000</v>
      </c>
      <c r="BF91" s="92">
        <v>0</v>
      </c>
      <c r="BG91" s="92">
        <v>0</v>
      </c>
      <c r="BH91" s="92">
        <v>0</v>
      </c>
      <c r="BI91" s="92">
        <v>0</v>
      </c>
      <c r="BJ91" s="92">
        <v>0</v>
      </c>
      <c r="BK91" s="92">
        <v>0</v>
      </c>
      <c r="BL91" s="92">
        <v>0</v>
      </c>
      <c r="BM91" s="93">
        <f t="shared" ref="BM91:BM117" si="36">SUM(BF91:BL91)</f>
        <v>0</v>
      </c>
      <c r="BN91" s="92">
        <v>0</v>
      </c>
      <c r="BO91" s="92">
        <f>((BF91+BH91+BI91+BJ91+BK91+BL91)*20%)/12</f>
        <v>0</v>
      </c>
      <c r="BP91" s="92">
        <v>0</v>
      </c>
      <c r="BQ91" s="92">
        <v>0</v>
      </c>
      <c r="BR91" s="92">
        <v>0</v>
      </c>
      <c r="BS91" s="85">
        <f t="shared" si="23"/>
        <v>0</v>
      </c>
      <c r="BT91" s="94" t="s">
        <v>130</v>
      </c>
      <c r="BU91" s="94" t="s">
        <v>130</v>
      </c>
      <c r="BV91" s="94" t="s">
        <v>130</v>
      </c>
      <c r="BW91" s="95" t="s">
        <v>130</v>
      </c>
      <c r="BX91" s="96" t="s">
        <v>130</v>
      </c>
      <c r="BY91" s="29" t="s">
        <v>130</v>
      </c>
      <c r="BZ91" s="29" t="s">
        <v>130</v>
      </c>
      <c r="CA91" s="29" t="s">
        <v>130</v>
      </c>
      <c r="CB91" s="29" t="s">
        <v>130</v>
      </c>
      <c r="CC91" s="29" t="s">
        <v>130</v>
      </c>
      <c r="CD91" s="29" t="s">
        <v>130</v>
      </c>
      <c r="CE91" s="29" t="str">
        <f t="shared" si="16"/>
        <v>SP - PRUDENTE - SUCATA</v>
      </c>
      <c r="CF91" s="97" t="s">
        <v>130</v>
      </c>
      <c r="CG91" s="97" t="s">
        <v>130</v>
      </c>
      <c r="CH91" s="37">
        <f t="shared" si="24"/>
        <v>0</v>
      </c>
      <c r="CI91" s="98" t="s">
        <v>130</v>
      </c>
      <c r="CJ91" s="39">
        <v>5</v>
      </c>
      <c r="CK91" s="39">
        <v>5</v>
      </c>
      <c r="CL91" s="39">
        <f t="shared" si="25"/>
        <v>60</v>
      </c>
      <c r="CM91" s="99">
        <f t="shared" si="26"/>
        <v>0</v>
      </c>
      <c r="CN91" s="40" t="str">
        <f>IFERROR(IF(VLOOKUP(AG91,'[1]ATIVOS SAGI'!C:D,1,FALSE)&lt;&gt;"","CADASTRADO","NÃO CADASTRADO"),"NÃO CADASTRADO")</f>
        <v>CADASTRADO</v>
      </c>
      <c r="CO91" s="99">
        <f t="shared" si="29"/>
        <v>0</v>
      </c>
      <c r="CP91" s="100" t="s">
        <v>301</v>
      </c>
      <c r="CQ91" s="48"/>
      <c r="CR91" s="48"/>
      <c r="CS91" s="48"/>
    </row>
    <row r="92" spans="1:97" x14ac:dyDescent="0.25">
      <c r="A92" s="27">
        <v>98</v>
      </c>
      <c r="B92" s="27">
        <v>128</v>
      </c>
      <c r="C92" s="29" t="s">
        <v>296</v>
      </c>
      <c r="D92" s="40" t="s">
        <v>49</v>
      </c>
      <c r="E92" s="40" t="s">
        <v>130</v>
      </c>
      <c r="F92" s="88" t="s">
        <v>130</v>
      </c>
      <c r="G92" s="40"/>
      <c r="H92" s="41" t="s">
        <v>306</v>
      </c>
      <c r="I92" s="29" t="s">
        <v>307</v>
      </c>
      <c r="J92" s="29" t="s">
        <v>130</v>
      </c>
      <c r="K92" s="85" t="s">
        <v>466</v>
      </c>
      <c r="L92" s="85">
        <v>167.74</v>
      </c>
      <c r="M92" s="86" t="s">
        <v>130</v>
      </c>
      <c r="N92" s="85">
        <v>0</v>
      </c>
      <c r="O92" s="86" t="s">
        <v>130</v>
      </c>
      <c r="P92" s="85">
        <v>0</v>
      </c>
      <c r="Q92" s="29" t="s">
        <v>80</v>
      </c>
      <c r="R92" s="85">
        <v>0</v>
      </c>
      <c r="S92" s="85">
        <v>0</v>
      </c>
      <c r="T92" s="85">
        <v>0</v>
      </c>
      <c r="U92" s="85">
        <v>0</v>
      </c>
      <c r="V92" s="85">
        <v>0</v>
      </c>
      <c r="W92" s="86" t="s">
        <v>130</v>
      </c>
      <c r="X92" s="86" t="s">
        <v>130</v>
      </c>
      <c r="Y92" s="85">
        <v>174.08</v>
      </c>
      <c r="Z92" s="85">
        <f>U92+Y92</f>
        <v>174.08</v>
      </c>
      <c r="AA92" s="85">
        <f>V92+Y92</f>
        <v>174.08</v>
      </c>
      <c r="AB92" s="85">
        <v>0</v>
      </c>
      <c r="AC92" s="85">
        <v>0</v>
      </c>
      <c r="AD92" s="85">
        <v>0</v>
      </c>
      <c r="AE92" s="29" t="s">
        <v>298</v>
      </c>
      <c r="AF92" s="29" t="s">
        <v>46</v>
      </c>
      <c r="AG92" s="40" t="s">
        <v>694</v>
      </c>
      <c r="AH92" s="29" t="s">
        <v>474</v>
      </c>
      <c r="AI92" s="87" t="str">
        <f>IFERROR(VLOOKUP(AG92,[2]Frota!$D$2:$AV$187,2,FALSE),"-")</f>
        <v>00940494906</v>
      </c>
      <c r="AJ92" s="87" t="str">
        <f>IFERROR(VLOOKUP(AG92,[2]Frota!$D$2:$AV$187,3,FALSE),"-")</f>
        <v>9ADB107378M258770</v>
      </c>
      <c r="AK92" s="29" t="s">
        <v>695</v>
      </c>
      <c r="AL92" s="29" t="s">
        <v>696</v>
      </c>
      <c r="AM92" s="34">
        <v>2007</v>
      </c>
      <c r="AN92" s="34">
        <v>2008</v>
      </c>
      <c r="AO92" s="40" t="s">
        <v>693</v>
      </c>
      <c r="AP92" s="29" t="s">
        <v>693</v>
      </c>
      <c r="AQ92" s="88" t="s">
        <v>303</v>
      </c>
      <c r="AR92" s="89">
        <f>VLOOKUP(AQ92,'[1]Critério de Depreciação'!$C$3:$G$8,5,FALSE)</f>
        <v>0.83333333333333337</v>
      </c>
      <c r="AS92" s="29" t="s">
        <v>130</v>
      </c>
      <c r="AT92" s="29" t="s">
        <v>130</v>
      </c>
      <c r="AU92" s="29" t="str">
        <f>IFERROR(VLOOKUP(AG136,[2]Frota!$D$2:$AV$187,12,FALSE),"-")</f>
        <v>-</v>
      </c>
      <c r="AV92" s="29" t="s">
        <v>130</v>
      </c>
      <c r="AW92" s="90">
        <v>0</v>
      </c>
      <c r="AX92" s="86" t="s">
        <v>130</v>
      </c>
      <c r="AY92" s="91" t="s">
        <v>130</v>
      </c>
      <c r="AZ92" s="85">
        <v>85000</v>
      </c>
      <c r="BA92" s="123" t="s">
        <v>130</v>
      </c>
      <c r="BB92" s="86" t="s">
        <v>130</v>
      </c>
      <c r="BC92" s="85" t="s">
        <v>130</v>
      </c>
      <c r="BD92" s="85" t="s">
        <v>130</v>
      </c>
      <c r="BE92" s="92">
        <f t="shared" si="22"/>
        <v>85000</v>
      </c>
      <c r="BF92" s="92">
        <v>0</v>
      </c>
      <c r="BG92" s="92">
        <v>0</v>
      </c>
      <c r="BH92" s="92">
        <v>0</v>
      </c>
      <c r="BI92" s="92">
        <v>0</v>
      </c>
      <c r="BJ92" s="92">
        <v>0</v>
      </c>
      <c r="BK92" s="92">
        <v>0</v>
      </c>
      <c r="BL92" s="92">
        <v>0</v>
      </c>
      <c r="BM92" s="93">
        <f t="shared" si="36"/>
        <v>0</v>
      </c>
      <c r="BN92" s="92">
        <v>0</v>
      </c>
      <c r="BO92" s="92">
        <f>((BF92+BH92+BI92+BJ92+BK92+BL92)*20%)/12</f>
        <v>0</v>
      </c>
      <c r="BP92" s="92">
        <v>0</v>
      </c>
      <c r="BQ92" s="92">
        <v>0</v>
      </c>
      <c r="BR92" s="92">
        <v>0</v>
      </c>
      <c r="BS92" s="85">
        <f t="shared" si="23"/>
        <v>0</v>
      </c>
      <c r="BT92" s="94" t="s">
        <v>130</v>
      </c>
      <c r="BU92" s="94" t="s">
        <v>130</v>
      </c>
      <c r="BV92" s="94" t="s">
        <v>130</v>
      </c>
      <c r="BW92" s="95" t="s">
        <v>130</v>
      </c>
      <c r="BX92" s="96" t="s">
        <v>130</v>
      </c>
      <c r="BY92" s="29" t="s">
        <v>130</v>
      </c>
      <c r="BZ92" s="29" t="s">
        <v>130</v>
      </c>
      <c r="CA92" s="29" t="s">
        <v>130</v>
      </c>
      <c r="CB92" s="29" t="s">
        <v>130</v>
      </c>
      <c r="CC92" s="29" t="s">
        <v>130</v>
      </c>
      <c r="CD92" s="29" t="s">
        <v>130</v>
      </c>
      <c r="CE92" s="29" t="str">
        <f t="shared" si="16"/>
        <v>SP - PRUDENTE - SUCATA</v>
      </c>
      <c r="CF92" s="97" t="s">
        <v>130</v>
      </c>
      <c r="CG92" s="97" t="s">
        <v>130</v>
      </c>
      <c r="CH92" s="37">
        <f t="shared" si="24"/>
        <v>0</v>
      </c>
      <c r="CI92" s="98" t="s">
        <v>130</v>
      </c>
      <c r="CJ92" s="39">
        <v>5</v>
      </c>
      <c r="CK92" s="39">
        <v>5</v>
      </c>
      <c r="CL92" s="39">
        <f t="shared" si="25"/>
        <v>60</v>
      </c>
      <c r="CM92" s="99">
        <f t="shared" si="26"/>
        <v>0</v>
      </c>
      <c r="CN92" s="40" t="str">
        <f>IFERROR(IF(VLOOKUP(AG92,'[1]ATIVOS SAGI'!C:D,1,FALSE)&lt;&gt;"","CADASTRADO","NÃO CADASTRADO"),"NÃO CADASTRADO")</f>
        <v>CADASTRADO</v>
      </c>
      <c r="CO92" s="99">
        <f t="shared" si="29"/>
        <v>0</v>
      </c>
      <c r="CP92" s="100" t="s">
        <v>301</v>
      </c>
      <c r="CQ92" s="48"/>
      <c r="CR92" s="48"/>
      <c r="CS92" s="48"/>
    </row>
    <row r="93" spans="1:97" x14ac:dyDescent="0.25">
      <c r="A93" s="27">
        <v>55</v>
      </c>
      <c r="B93" s="101">
        <v>6</v>
      </c>
      <c r="C93" s="102" t="s">
        <v>296</v>
      </c>
      <c r="D93" s="88" t="s">
        <v>49</v>
      </c>
      <c r="E93" s="88" t="s">
        <v>130</v>
      </c>
      <c r="F93" s="88" t="s">
        <v>130</v>
      </c>
      <c r="G93" s="88"/>
      <c r="H93" s="104" t="s">
        <v>130</v>
      </c>
      <c r="I93" s="102" t="s">
        <v>130</v>
      </c>
      <c r="J93" s="102" t="s">
        <v>130</v>
      </c>
      <c r="K93" s="102" t="s">
        <v>130</v>
      </c>
      <c r="L93" s="105" t="s">
        <v>130</v>
      </c>
      <c r="M93" s="106" t="s">
        <v>130</v>
      </c>
      <c r="N93" s="105" t="s">
        <v>130</v>
      </c>
      <c r="O93" s="106" t="s">
        <v>130</v>
      </c>
      <c r="P93" s="105" t="s">
        <v>130</v>
      </c>
      <c r="Q93" s="105" t="s">
        <v>130</v>
      </c>
      <c r="R93" s="105" t="s">
        <v>130</v>
      </c>
      <c r="S93" s="105" t="s">
        <v>130</v>
      </c>
      <c r="T93" s="105" t="s">
        <v>130</v>
      </c>
      <c r="U93" s="105" t="s">
        <v>130</v>
      </c>
      <c r="V93" s="105" t="s">
        <v>130</v>
      </c>
      <c r="W93" s="105" t="s">
        <v>130</v>
      </c>
      <c r="X93" s="105" t="s">
        <v>130</v>
      </c>
      <c r="Y93" s="105" t="s">
        <v>130</v>
      </c>
      <c r="Z93" s="105" t="s">
        <v>130</v>
      </c>
      <c r="AA93" s="105" t="s">
        <v>130</v>
      </c>
      <c r="AB93" s="105" t="s">
        <v>130</v>
      </c>
      <c r="AC93" s="105" t="s">
        <v>130</v>
      </c>
      <c r="AD93" s="105" t="s">
        <v>130</v>
      </c>
      <c r="AE93" s="102" t="s">
        <v>297</v>
      </c>
      <c r="AF93" s="102" t="s">
        <v>130</v>
      </c>
      <c r="AG93" s="88" t="s">
        <v>697</v>
      </c>
      <c r="AH93" s="102" t="s">
        <v>130</v>
      </c>
      <c r="AI93" s="107" t="str">
        <f>IFERROR(VLOOKUP(AG93,[2]Frota!$D$2:$AV$187,2,FALSE),"-")</f>
        <v>00203475631</v>
      </c>
      <c r="AJ93" s="107" t="str">
        <f>IFERROR(VLOOKUP(AG93,[2]Frota!$D$2:$AV$187,3,FALSE),"-")</f>
        <v>9BFYCAWYXABB48670</v>
      </c>
      <c r="AK93" s="102" t="s">
        <v>549</v>
      </c>
      <c r="AL93" s="102" t="s">
        <v>620</v>
      </c>
      <c r="AM93" s="108">
        <v>2010</v>
      </c>
      <c r="AN93" s="108">
        <v>2010</v>
      </c>
      <c r="AO93" s="88" t="s">
        <v>698</v>
      </c>
      <c r="AP93" s="102" t="s">
        <v>621</v>
      </c>
      <c r="AQ93" s="88" t="s">
        <v>464</v>
      </c>
      <c r="AR93" s="89">
        <f>VLOOKUP(AQ93,'[1]Critério de Depreciação'!$C$3:$G$8,5,FALSE)</f>
        <v>1.6666666666666667</v>
      </c>
      <c r="AS93" s="102" t="s">
        <v>130</v>
      </c>
      <c r="AT93" s="102" t="s">
        <v>322</v>
      </c>
      <c r="AU93" s="102" t="str">
        <f>IFERROR(VLOOKUP(AG99,[2]Frota!$D$2:$AV$187,12,FALSE),"-")</f>
        <v>1.2.3.4</v>
      </c>
      <c r="AV93" s="178">
        <v>28644</v>
      </c>
      <c r="AW93" s="110">
        <v>160000</v>
      </c>
      <c r="AX93" s="106">
        <v>40192</v>
      </c>
      <c r="AY93" s="111" t="s">
        <v>130</v>
      </c>
      <c r="AZ93" s="105" t="s">
        <v>130</v>
      </c>
      <c r="BA93" s="112">
        <v>102418</v>
      </c>
      <c r="BB93" s="106">
        <v>45215</v>
      </c>
      <c r="BC93" s="105">
        <v>85000</v>
      </c>
      <c r="BD93" s="105" t="s">
        <v>130</v>
      </c>
      <c r="BE93" s="113">
        <f t="shared" si="22"/>
        <v>187418</v>
      </c>
      <c r="BF93" s="113">
        <v>0</v>
      </c>
      <c r="BG93" s="113">
        <v>0</v>
      </c>
      <c r="BH93" s="113">
        <v>0</v>
      </c>
      <c r="BI93" s="113">
        <v>0</v>
      </c>
      <c r="BJ93" s="113">
        <v>0</v>
      </c>
      <c r="BK93" s="113">
        <v>0</v>
      </c>
      <c r="BL93" s="113">
        <v>0</v>
      </c>
      <c r="BM93" s="114">
        <f t="shared" si="36"/>
        <v>0</v>
      </c>
      <c r="BN93" s="113">
        <v>0</v>
      </c>
      <c r="BO93" s="113">
        <v>0</v>
      </c>
      <c r="BP93" s="113">
        <v>0</v>
      </c>
      <c r="BQ93" s="113">
        <v>0</v>
      </c>
      <c r="BR93" s="113">
        <v>0</v>
      </c>
      <c r="BS93" s="105">
        <f t="shared" si="23"/>
        <v>2666.6666666666665</v>
      </c>
      <c r="BT93" s="153" t="s">
        <v>130</v>
      </c>
      <c r="BU93" s="153" t="s">
        <v>130</v>
      </c>
      <c r="BV93" s="153" t="s">
        <v>130</v>
      </c>
      <c r="BW93" s="154" t="s">
        <v>130</v>
      </c>
      <c r="BX93" s="153" t="s">
        <v>130</v>
      </c>
      <c r="BY93" s="102" t="s">
        <v>314</v>
      </c>
      <c r="BZ93" s="102" t="s">
        <v>314</v>
      </c>
      <c r="CA93" s="102" t="s">
        <v>130</v>
      </c>
      <c r="CB93" s="102" t="s">
        <v>130</v>
      </c>
      <c r="CC93" s="102" t="s">
        <v>130</v>
      </c>
      <c r="CD93" s="102" t="s">
        <v>130</v>
      </c>
      <c r="CE93" s="102" t="str">
        <f t="shared" si="16"/>
        <v>-</v>
      </c>
      <c r="CF93" s="118" t="s">
        <v>130</v>
      </c>
      <c r="CG93" s="118" t="s">
        <v>130</v>
      </c>
      <c r="CH93" s="119">
        <f t="shared" si="24"/>
        <v>0</v>
      </c>
      <c r="CI93" s="120" t="s">
        <v>130</v>
      </c>
      <c r="CJ93" s="121">
        <v>5</v>
      </c>
      <c r="CK93" s="121">
        <v>5</v>
      </c>
      <c r="CL93" s="121">
        <f t="shared" si="25"/>
        <v>60</v>
      </c>
      <c r="CM93" s="122">
        <f t="shared" si="26"/>
        <v>0</v>
      </c>
      <c r="CN93" s="88" t="str">
        <f>IFERROR(IF(VLOOKUP(AG93,'[1]ATIVOS SAGI'!C:D,1,FALSE)&lt;&gt;"","CADASTRADO","NÃO CADASTRADO"),"NÃO CADASTRADO")</f>
        <v>CADASTRADO</v>
      </c>
      <c r="CO93" s="99">
        <f t="shared" si="29"/>
        <v>0</v>
      </c>
      <c r="CP93" s="48" t="s">
        <v>48</v>
      </c>
      <c r="CQ93" s="48"/>
      <c r="CR93" s="48"/>
      <c r="CS93" s="48"/>
    </row>
    <row r="94" spans="1:97" x14ac:dyDescent="0.25">
      <c r="A94" s="27">
        <v>56</v>
      </c>
      <c r="B94" s="101">
        <v>7</v>
      </c>
      <c r="C94" s="102" t="s">
        <v>296</v>
      </c>
      <c r="D94" s="88" t="s">
        <v>49</v>
      </c>
      <c r="E94" s="88" t="s">
        <v>130</v>
      </c>
      <c r="F94" s="88" t="s">
        <v>130</v>
      </c>
      <c r="G94" s="88"/>
      <c r="H94" s="104" t="s">
        <v>130</v>
      </c>
      <c r="I94" s="102" t="s">
        <v>307</v>
      </c>
      <c r="J94" s="102" t="s">
        <v>130</v>
      </c>
      <c r="K94" s="102" t="s">
        <v>130</v>
      </c>
      <c r="L94" s="105" t="s">
        <v>130</v>
      </c>
      <c r="M94" s="106" t="s">
        <v>130</v>
      </c>
      <c r="N94" s="105" t="s">
        <v>130</v>
      </c>
      <c r="O94" s="106" t="s">
        <v>130</v>
      </c>
      <c r="P94" s="105" t="s">
        <v>130</v>
      </c>
      <c r="Q94" s="105" t="s">
        <v>130</v>
      </c>
      <c r="R94" s="105" t="s">
        <v>130</v>
      </c>
      <c r="S94" s="105" t="s">
        <v>130</v>
      </c>
      <c r="T94" s="105" t="s">
        <v>130</v>
      </c>
      <c r="U94" s="105" t="s">
        <v>130</v>
      </c>
      <c r="V94" s="105" t="s">
        <v>130</v>
      </c>
      <c r="W94" s="105" t="s">
        <v>130</v>
      </c>
      <c r="X94" s="105" t="s">
        <v>130</v>
      </c>
      <c r="Y94" s="105" t="s">
        <v>130</v>
      </c>
      <c r="Z94" s="105" t="s">
        <v>130</v>
      </c>
      <c r="AA94" s="105" t="s">
        <v>130</v>
      </c>
      <c r="AB94" s="105" t="s">
        <v>130</v>
      </c>
      <c r="AC94" s="105" t="s">
        <v>130</v>
      </c>
      <c r="AD94" s="105" t="s">
        <v>130</v>
      </c>
      <c r="AE94" s="102" t="s">
        <v>297</v>
      </c>
      <c r="AF94" s="102" t="s">
        <v>302</v>
      </c>
      <c r="AG94" s="88" t="s">
        <v>699</v>
      </c>
      <c r="AH94" s="102" t="s">
        <v>130</v>
      </c>
      <c r="AI94" s="117" t="s">
        <v>700</v>
      </c>
      <c r="AJ94" s="107" t="s">
        <v>701</v>
      </c>
      <c r="AK94" s="102" t="s">
        <v>549</v>
      </c>
      <c r="AL94" s="102" t="s">
        <v>620</v>
      </c>
      <c r="AM94" s="108">
        <v>2009</v>
      </c>
      <c r="AN94" s="108">
        <v>2010</v>
      </c>
      <c r="AO94" s="88" t="s">
        <v>698</v>
      </c>
      <c r="AP94" s="102" t="s">
        <v>621</v>
      </c>
      <c r="AQ94" s="88" t="s">
        <v>464</v>
      </c>
      <c r="AR94" s="89">
        <f>VLOOKUP(AQ94,'[1]Critério de Depreciação'!$C$3:$G$8,5,FALSE)</f>
        <v>1.6666666666666667</v>
      </c>
      <c r="AS94" s="102" t="s">
        <v>130</v>
      </c>
      <c r="AT94" s="102" t="s">
        <v>322</v>
      </c>
      <c r="AU94" s="102" t="str">
        <f>IFERROR(VLOOKUP(AG100,[2]Frota!$D$2:$AV$187,12,FALSE),"-")</f>
        <v>1.2.4.4</v>
      </c>
      <c r="AV94" s="224">
        <v>28327</v>
      </c>
      <c r="AW94" s="110">
        <v>0</v>
      </c>
      <c r="AX94" s="106" t="s">
        <v>130</v>
      </c>
      <c r="AY94" s="111" t="s">
        <v>130</v>
      </c>
      <c r="AZ94" s="105" t="s">
        <v>130</v>
      </c>
      <c r="BA94" s="112">
        <v>110516</v>
      </c>
      <c r="BB94" s="106">
        <v>45216</v>
      </c>
      <c r="BC94" s="105">
        <v>85000</v>
      </c>
      <c r="BD94" s="105" t="s">
        <v>130</v>
      </c>
      <c r="BE94" s="113">
        <f t="shared" si="22"/>
        <v>195516</v>
      </c>
      <c r="BF94" s="113">
        <v>0</v>
      </c>
      <c r="BG94" s="113">
        <v>0</v>
      </c>
      <c r="BH94" s="113">
        <v>0</v>
      </c>
      <c r="BI94" s="113">
        <v>0</v>
      </c>
      <c r="BJ94" s="113">
        <v>0</v>
      </c>
      <c r="BK94" s="113">
        <v>0</v>
      </c>
      <c r="BL94" s="113">
        <v>0</v>
      </c>
      <c r="BM94" s="114">
        <f t="shared" si="36"/>
        <v>0</v>
      </c>
      <c r="BN94" s="113">
        <v>0</v>
      </c>
      <c r="BO94" s="113">
        <v>0</v>
      </c>
      <c r="BP94" s="113">
        <v>0</v>
      </c>
      <c r="BQ94" s="113">
        <v>0</v>
      </c>
      <c r="BR94" s="113">
        <v>0</v>
      </c>
      <c r="BS94" s="105">
        <f t="shared" si="23"/>
        <v>0</v>
      </c>
      <c r="BT94" s="153" t="s">
        <v>130</v>
      </c>
      <c r="BU94" s="153" t="s">
        <v>130</v>
      </c>
      <c r="BV94" s="153" t="s">
        <v>130</v>
      </c>
      <c r="BW94" s="154" t="s">
        <v>130</v>
      </c>
      <c r="BX94" s="153" t="s">
        <v>130</v>
      </c>
      <c r="BY94" s="102" t="s">
        <v>314</v>
      </c>
      <c r="BZ94" s="102" t="s">
        <v>314</v>
      </c>
      <c r="CA94" s="102" t="s">
        <v>130</v>
      </c>
      <c r="CB94" s="102" t="s">
        <v>130</v>
      </c>
      <c r="CC94" s="102" t="s">
        <v>130</v>
      </c>
      <c r="CD94" s="102" t="s">
        <v>130</v>
      </c>
      <c r="CE94" s="102" t="str">
        <f t="shared" si="16"/>
        <v>SP - PRUDENTE</v>
      </c>
      <c r="CF94" s="118" t="s">
        <v>130</v>
      </c>
      <c r="CG94" s="118" t="s">
        <v>130</v>
      </c>
      <c r="CH94" s="119">
        <f t="shared" si="24"/>
        <v>0</v>
      </c>
      <c r="CI94" s="120" t="s">
        <v>130</v>
      </c>
      <c r="CJ94" s="121">
        <v>5</v>
      </c>
      <c r="CK94" s="121">
        <v>5</v>
      </c>
      <c r="CL94" s="121">
        <f t="shared" si="25"/>
        <v>60</v>
      </c>
      <c r="CM94" s="122">
        <f t="shared" si="26"/>
        <v>0</v>
      </c>
      <c r="CN94" s="88" t="str">
        <f>IFERROR(IF(VLOOKUP(AG94,'[1]ATIVOS SAGI'!C:D,1,FALSE)&lt;&gt;"","CADASTRADO","NÃO CADASTRADO"),"NÃO CADASTRADO")</f>
        <v>CADASTRADO</v>
      </c>
      <c r="CO94" s="99">
        <f t="shared" si="29"/>
        <v>0</v>
      </c>
      <c r="CP94" s="48" t="s">
        <v>48</v>
      </c>
      <c r="CQ94" s="48"/>
      <c r="CR94" s="48"/>
      <c r="CS94" s="48"/>
    </row>
    <row r="95" spans="1:97" x14ac:dyDescent="0.25">
      <c r="A95" s="27">
        <v>79</v>
      </c>
      <c r="B95" s="101">
        <v>112</v>
      </c>
      <c r="C95" s="102" t="s">
        <v>296</v>
      </c>
      <c r="D95" s="88" t="s">
        <v>49</v>
      </c>
      <c r="E95" s="88" t="s">
        <v>130</v>
      </c>
      <c r="F95" s="40" t="s">
        <v>130</v>
      </c>
      <c r="G95" s="88"/>
      <c r="H95" s="104" t="s">
        <v>130</v>
      </c>
      <c r="I95" s="102" t="s">
        <v>130</v>
      </c>
      <c r="J95" s="105">
        <f t="shared" ref="J95:J105" si="37">L95+N95</f>
        <v>3253.88</v>
      </c>
      <c r="K95" s="105" t="s">
        <v>466</v>
      </c>
      <c r="L95" s="105">
        <v>167.74</v>
      </c>
      <c r="M95" s="106">
        <v>45678</v>
      </c>
      <c r="N95" s="105">
        <v>3086.14</v>
      </c>
      <c r="O95" s="106">
        <v>45769</v>
      </c>
      <c r="P95" s="105">
        <v>3181.59</v>
      </c>
      <c r="Q95" s="102" t="s">
        <v>80</v>
      </c>
      <c r="R95" s="105">
        <v>0</v>
      </c>
      <c r="S95" s="105">
        <v>0</v>
      </c>
      <c r="T95" s="105">
        <v>0</v>
      </c>
      <c r="U95" s="105" t="s">
        <v>130</v>
      </c>
      <c r="V95" s="105" t="s">
        <v>130</v>
      </c>
      <c r="W95" s="105" t="s">
        <v>130</v>
      </c>
      <c r="X95" s="105" t="s">
        <v>130</v>
      </c>
      <c r="Y95" s="105" t="s">
        <v>130</v>
      </c>
      <c r="Z95" s="105" t="s">
        <v>130</v>
      </c>
      <c r="AA95" s="105" t="s">
        <v>130</v>
      </c>
      <c r="AB95" s="105" t="s">
        <v>130</v>
      </c>
      <c r="AC95" s="105" t="s">
        <v>130</v>
      </c>
      <c r="AD95" s="105" t="s">
        <v>130</v>
      </c>
      <c r="AE95" s="102" t="s">
        <v>297</v>
      </c>
      <c r="AF95" s="102" t="s">
        <v>302</v>
      </c>
      <c r="AG95" s="88" t="s">
        <v>702</v>
      </c>
      <c r="AH95" s="102" t="s">
        <v>474</v>
      </c>
      <c r="AI95" s="107" t="str">
        <f>IFERROR(VLOOKUP(AG95,[2]Frota!$D$2:$AV$187,2,FALSE),"-")</f>
        <v>00537170251</v>
      </c>
      <c r="AJ95" s="107" t="str">
        <f>IFERROR(VLOOKUP(AG95,[2]Frota!$D$2:$AV$187,3,FALSE),"-")</f>
        <v>93KP0S1C3DE139926</v>
      </c>
      <c r="AK95" s="102" t="s">
        <v>633</v>
      </c>
      <c r="AL95" s="102" t="s">
        <v>634</v>
      </c>
      <c r="AM95" s="108">
        <v>2013</v>
      </c>
      <c r="AN95" s="108">
        <v>2013</v>
      </c>
      <c r="AO95" s="88" t="s">
        <v>703</v>
      </c>
      <c r="AP95" s="102" t="s">
        <v>621</v>
      </c>
      <c r="AQ95" s="88" t="s">
        <v>464</v>
      </c>
      <c r="AR95" s="89">
        <f>VLOOKUP(AQ95,'[1]Critério de Depreciação'!$C$3:$G$8,5,FALSE)</f>
        <v>1.6666666666666667</v>
      </c>
      <c r="AS95" s="102" t="s">
        <v>130</v>
      </c>
      <c r="AT95" s="102" t="s">
        <v>130</v>
      </c>
      <c r="AU95" s="102" t="str">
        <f>IFERROR(VLOOKUP(AG139,[2]Frota!$D$2:$AV$187,12,FALSE),"-")</f>
        <v>-</v>
      </c>
      <c r="AV95" s="158" t="s">
        <v>130</v>
      </c>
      <c r="AW95" s="110">
        <v>0</v>
      </c>
      <c r="AX95" s="106" t="s">
        <v>130</v>
      </c>
      <c r="AY95" s="111" t="s">
        <v>130</v>
      </c>
      <c r="AZ95" s="105" t="s">
        <v>130</v>
      </c>
      <c r="BA95" s="112">
        <v>231123</v>
      </c>
      <c r="BB95" s="106" t="s">
        <v>130</v>
      </c>
      <c r="BC95" s="105">
        <v>85000</v>
      </c>
      <c r="BD95" s="105" t="s">
        <v>130</v>
      </c>
      <c r="BE95" s="113">
        <f t="shared" si="22"/>
        <v>316123</v>
      </c>
      <c r="BF95" s="113">
        <v>0</v>
      </c>
      <c r="BG95" s="113">
        <v>540000</v>
      </c>
      <c r="BH95" s="113">
        <v>125000</v>
      </c>
      <c r="BI95" s="113">
        <v>0</v>
      </c>
      <c r="BJ95" s="113">
        <v>0</v>
      </c>
      <c r="BK95" s="113">
        <v>0</v>
      </c>
      <c r="BL95" s="113">
        <v>0</v>
      </c>
      <c r="BM95" s="114">
        <f t="shared" si="36"/>
        <v>665000</v>
      </c>
      <c r="BN95" s="113">
        <f t="shared" ref="BN95:BN105" si="38">(BG95*20%)/12</f>
        <v>9000</v>
      </c>
      <c r="BO95" s="113">
        <f t="shared" ref="BO95:BO105" si="39">((BF95+BH95+BI95+BJ95+BK95+BL95)*20%)/12</f>
        <v>2083.3333333333335</v>
      </c>
      <c r="BP95" s="113">
        <f t="shared" ref="BP95:BP105" si="40">BN95+BO95</f>
        <v>11083.333333333334</v>
      </c>
      <c r="BQ95" s="113">
        <v>0</v>
      </c>
      <c r="BR95" s="113">
        <v>0</v>
      </c>
      <c r="BS95" s="105">
        <f t="shared" si="23"/>
        <v>0</v>
      </c>
      <c r="BT95" s="153">
        <v>69.900000000000006</v>
      </c>
      <c r="BU95" s="106">
        <v>45703</v>
      </c>
      <c r="BV95" s="106" t="s">
        <v>130</v>
      </c>
      <c r="BW95" s="154" t="s">
        <v>130</v>
      </c>
      <c r="BX95" s="180" t="s">
        <v>636</v>
      </c>
      <c r="BY95" s="29" t="s">
        <v>130</v>
      </c>
      <c r="BZ95" s="29" t="s">
        <v>313</v>
      </c>
      <c r="CA95" s="29" t="s">
        <v>130</v>
      </c>
      <c r="CB95" s="29" t="s">
        <v>130</v>
      </c>
      <c r="CC95" s="29" t="s">
        <v>130</v>
      </c>
      <c r="CD95" s="29" t="s">
        <v>313</v>
      </c>
      <c r="CE95" s="29" t="str">
        <f t="shared" si="16"/>
        <v>SP - PRUDENTE</v>
      </c>
      <c r="CF95" s="118">
        <v>463291</v>
      </c>
      <c r="CG95" s="118" t="s">
        <v>130</v>
      </c>
      <c r="CH95" s="119">
        <f t="shared" si="24"/>
        <v>665000</v>
      </c>
      <c r="CI95" s="120" t="s">
        <v>130</v>
      </c>
      <c r="CJ95" s="121">
        <v>5</v>
      </c>
      <c r="CK95" s="121">
        <v>5</v>
      </c>
      <c r="CL95" s="121">
        <f t="shared" si="25"/>
        <v>60</v>
      </c>
      <c r="CM95" s="122">
        <f t="shared" si="26"/>
        <v>22166.666666666668</v>
      </c>
      <c r="CN95" s="88" t="str">
        <f>IFERROR(IF(VLOOKUP(AG95,'[1]ATIVOS SAGI'!C:D,1,FALSE)&lt;&gt;"","CADASTRADO","NÃO CADASTRADO"),"NÃO CADASTRADO")</f>
        <v>CADASTRADO</v>
      </c>
      <c r="CO95" s="99">
        <f t="shared" si="29"/>
        <v>11083.333333333336</v>
      </c>
      <c r="CP95" s="48" t="s">
        <v>48</v>
      </c>
      <c r="CQ95" s="48"/>
      <c r="CR95" s="48"/>
      <c r="CS95" s="48"/>
    </row>
    <row r="96" spans="1:97" x14ac:dyDescent="0.25">
      <c r="A96" s="27">
        <v>80</v>
      </c>
      <c r="B96" s="101">
        <v>113</v>
      </c>
      <c r="C96" s="102" t="s">
        <v>296</v>
      </c>
      <c r="D96" s="88" t="s">
        <v>49</v>
      </c>
      <c r="E96" s="88" t="s">
        <v>130</v>
      </c>
      <c r="F96" s="88" t="s">
        <v>130</v>
      </c>
      <c r="G96" s="88"/>
      <c r="H96" s="104" t="s">
        <v>130</v>
      </c>
      <c r="I96" s="102" t="s">
        <v>130</v>
      </c>
      <c r="J96" s="105">
        <f t="shared" si="37"/>
        <v>3253.88</v>
      </c>
      <c r="K96" s="105" t="s">
        <v>466</v>
      </c>
      <c r="L96" s="105">
        <v>167.74</v>
      </c>
      <c r="M96" s="106">
        <v>45679</v>
      </c>
      <c r="N96" s="105">
        <v>3086.14</v>
      </c>
      <c r="O96" s="106">
        <v>45769</v>
      </c>
      <c r="P96" s="105">
        <v>3181.59</v>
      </c>
      <c r="Q96" s="102" t="s">
        <v>80</v>
      </c>
      <c r="R96" s="105">
        <v>0</v>
      </c>
      <c r="S96" s="105">
        <v>0</v>
      </c>
      <c r="T96" s="105">
        <v>0</v>
      </c>
      <c r="U96" s="105" t="s">
        <v>130</v>
      </c>
      <c r="V96" s="105" t="s">
        <v>130</v>
      </c>
      <c r="W96" s="105" t="s">
        <v>130</v>
      </c>
      <c r="X96" s="105" t="s">
        <v>130</v>
      </c>
      <c r="Y96" s="105" t="s">
        <v>130</v>
      </c>
      <c r="Z96" s="105" t="s">
        <v>130</v>
      </c>
      <c r="AA96" s="105" t="s">
        <v>130</v>
      </c>
      <c r="AB96" s="105" t="s">
        <v>130</v>
      </c>
      <c r="AC96" s="105" t="s">
        <v>130</v>
      </c>
      <c r="AD96" s="105" t="s">
        <v>130</v>
      </c>
      <c r="AE96" s="102" t="s">
        <v>297</v>
      </c>
      <c r="AF96" s="102" t="s">
        <v>59</v>
      </c>
      <c r="AG96" s="88" t="s">
        <v>704</v>
      </c>
      <c r="AH96" s="102" t="s">
        <v>474</v>
      </c>
      <c r="AI96" s="107" t="str">
        <f>IFERROR(VLOOKUP(AG96,[2]Frota!$D$2:$AV$187,2,FALSE),"-")</f>
        <v>00537170502</v>
      </c>
      <c r="AJ96" s="107" t="str">
        <f>IFERROR(VLOOKUP(AG96,[2]Frota!$D$2:$AV$187,3,FALSE),"-")</f>
        <v>93KP0S1C1DE139929</v>
      </c>
      <c r="AK96" s="102" t="s">
        <v>633</v>
      </c>
      <c r="AL96" s="102" t="s">
        <v>634</v>
      </c>
      <c r="AM96" s="108">
        <v>2013</v>
      </c>
      <c r="AN96" s="108">
        <v>2013</v>
      </c>
      <c r="AO96" s="88" t="s">
        <v>703</v>
      </c>
      <c r="AP96" s="102" t="s">
        <v>621</v>
      </c>
      <c r="AQ96" s="88" t="s">
        <v>464</v>
      </c>
      <c r="AR96" s="89">
        <f>VLOOKUP(AQ96,'[1]Critério de Depreciação'!$C$3:$G$8,5,FALSE)</f>
        <v>1.6666666666666667</v>
      </c>
      <c r="AS96" s="102" t="s">
        <v>130</v>
      </c>
      <c r="AT96" s="102" t="s">
        <v>130</v>
      </c>
      <c r="AU96" s="102" t="str">
        <f>IFERROR(VLOOKUP(AG140,[2]Frota!$D$2:$AV$187,12,FALSE),"-")</f>
        <v>-</v>
      </c>
      <c r="AV96" s="102" t="s">
        <v>130</v>
      </c>
      <c r="AW96" s="110">
        <v>0</v>
      </c>
      <c r="AX96" s="106" t="s">
        <v>130</v>
      </c>
      <c r="AY96" s="111" t="s">
        <v>130</v>
      </c>
      <c r="AZ96" s="105" t="s">
        <v>130</v>
      </c>
      <c r="BA96" s="112">
        <v>206082</v>
      </c>
      <c r="BB96" s="106">
        <v>45215</v>
      </c>
      <c r="BC96" s="105">
        <v>85000</v>
      </c>
      <c r="BD96" s="105" t="s">
        <v>130</v>
      </c>
      <c r="BE96" s="113">
        <f t="shared" si="22"/>
        <v>291082</v>
      </c>
      <c r="BF96" s="113">
        <v>0</v>
      </c>
      <c r="BG96" s="113">
        <v>540000</v>
      </c>
      <c r="BH96" s="113">
        <v>125000</v>
      </c>
      <c r="BI96" s="113">
        <v>0</v>
      </c>
      <c r="BJ96" s="113">
        <v>0</v>
      </c>
      <c r="BK96" s="113">
        <v>0</v>
      </c>
      <c r="BL96" s="113">
        <v>0</v>
      </c>
      <c r="BM96" s="114">
        <f t="shared" si="36"/>
        <v>665000</v>
      </c>
      <c r="BN96" s="113">
        <f t="shared" si="38"/>
        <v>9000</v>
      </c>
      <c r="BO96" s="113">
        <f t="shared" si="39"/>
        <v>2083.3333333333335</v>
      </c>
      <c r="BP96" s="113">
        <f t="shared" si="40"/>
        <v>11083.333333333334</v>
      </c>
      <c r="BQ96" s="113">
        <v>0</v>
      </c>
      <c r="BR96" s="113">
        <v>0</v>
      </c>
      <c r="BS96" s="105">
        <f t="shared" si="23"/>
        <v>0</v>
      </c>
      <c r="BT96" s="153">
        <v>69.900000000000006</v>
      </c>
      <c r="BU96" s="106">
        <v>45703</v>
      </c>
      <c r="BV96" s="106" t="s">
        <v>130</v>
      </c>
      <c r="BW96" s="154" t="s">
        <v>130</v>
      </c>
      <c r="BX96" s="180" t="s">
        <v>636</v>
      </c>
      <c r="BY96" s="29" t="s">
        <v>316</v>
      </c>
      <c r="BZ96" s="29" t="s">
        <v>316</v>
      </c>
      <c r="CA96" s="29" t="s">
        <v>130</v>
      </c>
      <c r="CB96" s="29" t="s">
        <v>130</v>
      </c>
      <c r="CC96" s="29" t="s">
        <v>130</v>
      </c>
      <c r="CD96" s="29" t="s">
        <v>316</v>
      </c>
      <c r="CE96" s="29" t="str">
        <f t="shared" si="16"/>
        <v>PR - MARINGÁ</v>
      </c>
      <c r="CF96" s="118">
        <v>457021</v>
      </c>
      <c r="CG96" s="118" t="s">
        <v>130</v>
      </c>
      <c r="CH96" s="119">
        <f t="shared" si="24"/>
        <v>665000</v>
      </c>
      <c r="CI96" s="120" t="s">
        <v>130</v>
      </c>
      <c r="CJ96" s="121">
        <v>5</v>
      </c>
      <c r="CK96" s="121">
        <v>5</v>
      </c>
      <c r="CL96" s="121">
        <f t="shared" si="25"/>
        <v>60</v>
      </c>
      <c r="CM96" s="122">
        <f t="shared" si="26"/>
        <v>22166.666666666668</v>
      </c>
      <c r="CN96" s="88" t="str">
        <f>IFERROR(IF(VLOOKUP(AG96,'[1]ATIVOS SAGI'!C:D,1,FALSE)&lt;&gt;"","CADASTRADO","NÃO CADASTRADO"),"NÃO CADASTRADO")</f>
        <v>CADASTRADO</v>
      </c>
      <c r="CO96" s="99">
        <f t="shared" si="29"/>
        <v>11083.333333333336</v>
      </c>
      <c r="CP96" s="48" t="s">
        <v>48</v>
      </c>
      <c r="CQ96" s="48"/>
      <c r="CR96" s="48"/>
      <c r="CS96" s="48"/>
    </row>
    <row r="97" spans="1:97" x14ac:dyDescent="0.25">
      <c r="A97" s="27">
        <v>81</v>
      </c>
      <c r="B97" s="27">
        <v>114</v>
      </c>
      <c r="C97" s="29" t="s">
        <v>296</v>
      </c>
      <c r="D97" s="40" t="s">
        <v>49</v>
      </c>
      <c r="E97" s="40" t="s">
        <v>130</v>
      </c>
      <c r="F97" s="40" t="s">
        <v>130</v>
      </c>
      <c r="G97" s="40" t="s">
        <v>315</v>
      </c>
      <c r="H97" s="41" t="s">
        <v>520</v>
      </c>
      <c r="I97" s="29" t="s">
        <v>130</v>
      </c>
      <c r="J97" s="85">
        <f t="shared" si="37"/>
        <v>3253.88</v>
      </c>
      <c r="K97" s="85" t="s">
        <v>466</v>
      </c>
      <c r="L97" s="85">
        <v>167.74</v>
      </c>
      <c r="M97" s="86">
        <v>45674</v>
      </c>
      <c r="N97" s="85">
        <v>3086.14</v>
      </c>
      <c r="O97" s="86">
        <v>45769</v>
      </c>
      <c r="P97" s="85">
        <v>3181.59</v>
      </c>
      <c r="Q97" s="29" t="s">
        <v>80</v>
      </c>
      <c r="R97" s="85">
        <v>0</v>
      </c>
      <c r="S97" s="85">
        <v>0</v>
      </c>
      <c r="T97" s="85">
        <v>0</v>
      </c>
      <c r="U97" s="85">
        <v>3265</v>
      </c>
      <c r="V97" s="85">
        <v>3167.05</v>
      </c>
      <c r="W97" s="86">
        <v>46038</v>
      </c>
      <c r="X97" s="86">
        <v>46134</v>
      </c>
      <c r="Y97" s="85">
        <v>174.08</v>
      </c>
      <c r="Z97" s="85">
        <f>U97+Y97</f>
        <v>3439.08</v>
      </c>
      <c r="AA97" s="85">
        <f>V97+Y97</f>
        <v>3341.13</v>
      </c>
      <c r="AB97" s="85">
        <v>0</v>
      </c>
      <c r="AC97" s="85">
        <v>0</v>
      </c>
      <c r="AD97" s="85">
        <v>0</v>
      </c>
      <c r="AE97" s="29" t="s">
        <v>45</v>
      </c>
      <c r="AF97" s="29" t="s">
        <v>59</v>
      </c>
      <c r="AG97" s="40" t="s">
        <v>705</v>
      </c>
      <c r="AH97" s="29" t="s">
        <v>468</v>
      </c>
      <c r="AI97" s="87" t="str">
        <f>IFERROR(VLOOKUP(AG97,[2]Frota!$D$2:$AV$187,2,FALSE),"-")</f>
        <v>00537169741</v>
      </c>
      <c r="AJ97" s="87" t="str">
        <f>IFERROR(VLOOKUP(AG97,[2]Frota!$D$2:$AV$187,3,FALSE),"-")</f>
        <v>93KP0S1C6DE139927</v>
      </c>
      <c r="AK97" s="29" t="s">
        <v>633</v>
      </c>
      <c r="AL97" s="29" t="s">
        <v>634</v>
      </c>
      <c r="AM97" s="34">
        <v>2013</v>
      </c>
      <c r="AN97" s="34">
        <v>2013</v>
      </c>
      <c r="AO97" s="40" t="s">
        <v>703</v>
      </c>
      <c r="AP97" s="29" t="s">
        <v>621</v>
      </c>
      <c r="AQ97" s="88" t="s">
        <v>464</v>
      </c>
      <c r="AR97" s="89">
        <f>VLOOKUP(AQ97,'[1]Critério de Depreciação'!$C$3:$G$8,5,FALSE)</f>
        <v>1.6666666666666667</v>
      </c>
      <c r="AS97" s="29" t="s">
        <v>130</v>
      </c>
      <c r="AT97" s="29" t="s">
        <v>130</v>
      </c>
      <c r="AU97" s="29" t="str">
        <f>IFERROR(VLOOKUP(AG141,[2]Frota!$D$2:$AV$187,12,FALSE),"-")</f>
        <v>-</v>
      </c>
      <c r="AV97" s="29" t="s">
        <v>130</v>
      </c>
      <c r="AW97" s="90">
        <v>665000</v>
      </c>
      <c r="AX97" s="86" t="s">
        <v>130</v>
      </c>
      <c r="AY97" s="91" t="s">
        <v>130</v>
      </c>
      <c r="AZ97" s="85" t="s">
        <v>130</v>
      </c>
      <c r="BA97" s="123">
        <v>206082</v>
      </c>
      <c r="BB97" s="86">
        <v>45215</v>
      </c>
      <c r="BC97" s="85">
        <v>85000</v>
      </c>
      <c r="BD97" s="85" t="s">
        <v>130</v>
      </c>
      <c r="BE97" s="92">
        <f t="shared" si="22"/>
        <v>291082</v>
      </c>
      <c r="BF97" s="92">
        <v>0</v>
      </c>
      <c r="BG97" s="92">
        <v>665000</v>
      </c>
      <c r="BH97" s="92">
        <v>125000</v>
      </c>
      <c r="BI97" s="92">
        <v>0</v>
      </c>
      <c r="BJ97" s="92">
        <v>0</v>
      </c>
      <c r="BK97" s="92">
        <v>0</v>
      </c>
      <c r="BL97" s="92">
        <v>0</v>
      </c>
      <c r="BM97" s="93">
        <f t="shared" si="36"/>
        <v>790000</v>
      </c>
      <c r="BN97" s="92">
        <f t="shared" si="38"/>
        <v>11083.333333333334</v>
      </c>
      <c r="BO97" s="92">
        <f t="shared" si="39"/>
        <v>2083.3333333333335</v>
      </c>
      <c r="BP97" s="92">
        <f t="shared" si="40"/>
        <v>13166.666666666668</v>
      </c>
      <c r="BQ97" s="92">
        <v>0</v>
      </c>
      <c r="BR97" s="92">
        <v>0</v>
      </c>
      <c r="BS97" s="85">
        <f t="shared" si="23"/>
        <v>11083.333333333334</v>
      </c>
      <c r="BT97" s="94">
        <v>69.900000000000006</v>
      </c>
      <c r="BU97" s="86">
        <v>45703</v>
      </c>
      <c r="BV97" s="86" t="s">
        <v>130</v>
      </c>
      <c r="BW97" s="95">
        <v>20.94</v>
      </c>
      <c r="BX97" s="96" t="s">
        <v>636</v>
      </c>
      <c r="BY97" s="29" t="s">
        <v>312</v>
      </c>
      <c r="BZ97" s="29" t="s">
        <v>312</v>
      </c>
      <c r="CA97" s="29" t="s">
        <v>130</v>
      </c>
      <c r="CB97" s="29" t="s">
        <v>130</v>
      </c>
      <c r="CC97" s="29" t="s">
        <v>130</v>
      </c>
      <c r="CD97" s="29" t="s">
        <v>310</v>
      </c>
      <c r="CE97" s="29" t="str">
        <f t="shared" si="16"/>
        <v>PR - MARINGÁ</v>
      </c>
      <c r="CF97" s="97">
        <v>499232</v>
      </c>
      <c r="CG97" s="97" t="s">
        <v>130</v>
      </c>
      <c r="CH97" s="37">
        <f t="shared" si="24"/>
        <v>790000</v>
      </c>
      <c r="CI97" s="98" t="s">
        <v>130</v>
      </c>
      <c r="CJ97" s="39">
        <v>5</v>
      </c>
      <c r="CK97" s="39">
        <v>5</v>
      </c>
      <c r="CL97" s="39">
        <f t="shared" si="25"/>
        <v>60</v>
      </c>
      <c r="CM97" s="99">
        <f t="shared" si="26"/>
        <v>26333.333333333332</v>
      </c>
      <c r="CN97" s="40" t="str">
        <f>IFERROR(IF(VLOOKUP(AG97,'[1]ATIVOS SAGI'!C:D,1,FALSE)&lt;&gt;"","CADASTRADO","NÃO CADASTRADO"),"NÃO CADASTRADO")</f>
        <v>CADASTRADO</v>
      </c>
      <c r="CO97" s="99">
        <f t="shared" si="29"/>
        <v>13166.666666666668</v>
      </c>
      <c r="CP97" s="223" t="s">
        <v>81</v>
      </c>
      <c r="CQ97" s="48"/>
      <c r="CR97" s="48"/>
      <c r="CS97" s="48"/>
    </row>
    <row r="98" spans="1:97" x14ac:dyDescent="0.25">
      <c r="A98" s="27">
        <v>82</v>
      </c>
      <c r="B98" s="101">
        <v>115</v>
      </c>
      <c r="C98" s="102" t="s">
        <v>296</v>
      </c>
      <c r="D98" s="88" t="s">
        <v>49</v>
      </c>
      <c r="E98" s="88" t="s">
        <v>130</v>
      </c>
      <c r="F98" s="40" t="s">
        <v>130</v>
      </c>
      <c r="G98" s="88"/>
      <c r="H98" s="104" t="s">
        <v>130</v>
      </c>
      <c r="I98" s="102" t="s">
        <v>130</v>
      </c>
      <c r="J98" s="105">
        <f t="shared" si="37"/>
        <v>3253.88</v>
      </c>
      <c r="K98" s="105" t="s">
        <v>466</v>
      </c>
      <c r="L98" s="105">
        <v>167.74</v>
      </c>
      <c r="M98" s="106">
        <v>45678</v>
      </c>
      <c r="N98" s="105">
        <v>3086.14</v>
      </c>
      <c r="O98" s="106">
        <v>45769</v>
      </c>
      <c r="P98" s="105">
        <v>3181.59</v>
      </c>
      <c r="Q98" s="102" t="s">
        <v>80</v>
      </c>
      <c r="R98" s="105">
        <v>0</v>
      </c>
      <c r="S98" s="105">
        <v>0</v>
      </c>
      <c r="T98" s="105">
        <v>0</v>
      </c>
      <c r="U98" s="105" t="s">
        <v>130</v>
      </c>
      <c r="V98" s="105" t="s">
        <v>130</v>
      </c>
      <c r="W98" s="105" t="s">
        <v>130</v>
      </c>
      <c r="X98" s="105" t="s">
        <v>130</v>
      </c>
      <c r="Y98" s="105" t="s">
        <v>130</v>
      </c>
      <c r="Z98" s="105" t="s">
        <v>130</v>
      </c>
      <c r="AA98" s="105" t="s">
        <v>130</v>
      </c>
      <c r="AB98" s="105" t="s">
        <v>130</v>
      </c>
      <c r="AC98" s="105" t="s">
        <v>130</v>
      </c>
      <c r="AD98" s="105" t="s">
        <v>130</v>
      </c>
      <c r="AE98" s="102" t="s">
        <v>297</v>
      </c>
      <c r="AF98" s="102" t="s">
        <v>302</v>
      </c>
      <c r="AG98" s="88" t="s">
        <v>706</v>
      </c>
      <c r="AH98" s="102" t="s">
        <v>130</v>
      </c>
      <c r="AI98" s="107" t="str">
        <f>IFERROR(VLOOKUP(AG98,[2]Frota!$D$2:$AV$187,2,FALSE),"-")</f>
        <v>00537170103</v>
      </c>
      <c r="AJ98" s="107" t="str">
        <f>IFERROR(VLOOKUP(AG98,[2]Frota!$D$2:$AV$187,3,FALSE),"-")</f>
        <v>93KP0S1C9DE139928</v>
      </c>
      <c r="AK98" s="102" t="s">
        <v>633</v>
      </c>
      <c r="AL98" s="102" t="s">
        <v>634</v>
      </c>
      <c r="AM98" s="108">
        <v>2013</v>
      </c>
      <c r="AN98" s="108">
        <v>2013</v>
      </c>
      <c r="AO98" s="88" t="s">
        <v>703</v>
      </c>
      <c r="AP98" s="102" t="s">
        <v>621</v>
      </c>
      <c r="AQ98" s="88" t="s">
        <v>464</v>
      </c>
      <c r="AR98" s="89">
        <f>VLOOKUP(AQ98,'[1]Critério de Depreciação'!$C$3:$G$8,5,FALSE)</f>
        <v>1.6666666666666667</v>
      </c>
      <c r="AS98" s="102" t="s">
        <v>130</v>
      </c>
      <c r="AT98" s="102" t="s">
        <v>130</v>
      </c>
      <c r="AU98" s="102" t="str">
        <f>IFERROR(VLOOKUP(AG142,[2]Frota!$D$2:$AV$187,12,FALSE),"-")</f>
        <v>-</v>
      </c>
      <c r="AV98" s="102" t="s">
        <v>130</v>
      </c>
      <c r="AW98" s="110">
        <v>0</v>
      </c>
      <c r="AX98" s="106" t="s">
        <v>130</v>
      </c>
      <c r="AY98" s="111" t="s">
        <v>130</v>
      </c>
      <c r="AZ98" s="105" t="s">
        <v>130</v>
      </c>
      <c r="BA98" s="112">
        <v>206082</v>
      </c>
      <c r="BB98" s="106">
        <v>45215</v>
      </c>
      <c r="BC98" s="105">
        <v>85000</v>
      </c>
      <c r="BD98" s="105" t="s">
        <v>130</v>
      </c>
      <c r="BE98" s="113">
        <f t="shared" si="22"/>
        <v>291082</v>
      </c>
      <c r="BF98" s="113">
        <v>0</v>
      </c>
      <c r="BG98" s="113">
        <v>540000</v>
      </c>
      <c r="BH98" s="113">
        <v>125000</v>
      </c>
      <c r="BI98" s="113">
        <v>0</v>
      </c>
      <c r="BJ98" s="113">
        <v>0</v>
      </c>
      <c r="BK98" s="113">
        <v>0</v>
      </c>
      <c r="BL98" s="113">
        <v>0</v>
      </c>
      <c r="BM98" s="114">
        <f t="shared" si="36"/>
        <v>665000</v>
      </c>
      <c r="BN98" s="113">
        <f t="shared" si="38"/>
        <v>9000</v>
      </c>
      <c r="BO98" s="113">
        <f t="shared" si="39"/>
        <v>2083.3333333333335</v>
      </c>
      <c r="BP98" s="113">
        <f t="shared" si="40"/>
        <v>11083.333333333334</v>
      </c>
      <c r="BQ98" s="113">
        <v>0</v>
      </c>
      <c r="BR98" s="113">
        <v>0</v>
      </c>
      <c r="BS98" s="105">
        <f t="shared" si="23"/>
        <v>0</v>
      </c>
      <c r="BT98" s="153">
        <v>69.900000000000006</v>
      </c>
      <c r="BU98" s="106">
        <v>45703</v>
      </c>
      <c r="BV98" s="106" t="s">
        <v>130</v>
      </c>
      <c r="BW98" s="154" t="s">
        <v>130</v>
      </c>
      <c r="BX98" s="180" t="s">
        <v>636</v>
      </c>
      <c r="BY98" s="102" t="s">
        <v>314</v>
      </c>
      <c r="BZ98" s="102" t="s">
        <v>314</v>
      </c>
      <c r="CA98" s="102" t="s">
        <v>130</v>
      </c>
      <c r="CB98" s="102" t="s">
        <v>130</v>
      </c>
      <c r="CC98" s="102" t="s">
        <v>130</v>
      </c>
      <c r="CD98" s="102" t="s">
        <v>314</v>
      </c>
      <c r="CE98" s="102" t="str">
        <f t="shared" si="16"/>
        <v>SP - PRUDENTE</v>
      </c>
      <c r="CF98" s="118">
        <v>558219</v>
      </c>
      <c r="CG98" s="118" t="s">
        <v>130</v>
      </c>
      <c r="CH98" s="119">
        <f t="shared" si="24"/>
        <v>665000</v>
      </c>
      <c r="CI98" s="120" t="s">
        <v>130</v>
      </c>
      <c r="CJ98" s="121">
        <v>5</v>
      </c>
      <c r="CK98" s="121">
        <v>5</v>
      </c>
      <c r="CL98" s="121">
        <f t="shared" si="25"/>
        <v>60</v>
      </c>
      <c r="CM98" s="122">
        <f t="shared" si="26"/>
        <v>22166.666666666668</v>
      </c>
      <c r="CN98" s="88" t="str">
        <f>IFERROR(IF(VLOOKUP(AG98,'[1]ATIVOS SAGI'!C:D,1,FALSE)&lt;&gt;"","CADASTRADO","NÃO CADASTRADO"),"NÃO CADASTRADO")</f>
        <v>CADASTRADO</v>
      </c>
      <c r="CO98" s="99">
        <f t="shared" si="29"/>
        <v>11083.333333333336</v>
      </c>
      <c r="CP98" s="48" t="s">
        <v>48</v>
      </c>
      <c r="CQ98" s="48"/>
      <c r="CR98" s="48"/>
      <c r="CS98" s="48"/>
    </row>
    <row r="99" spans="1:97" x14ac:dyDescent="0.25">
      <c r="A99" s="27">
        <v>83</v>
      </c>
      <c r="B99" s="27">
        <v>117</v>
      </c>
      <c r="C99" s="29" t="s">
        <v>296</v>
      </c>
      <c r="D99" s="40" t="s">
        <v>49</v>
      </c>
      <c r="E99" s="40" t="s">
        <v>130</v>
      </c>
      <c r="F99" s="40" t="s">
        <v>130</v>
      </c>
      <c r="G99" s="40" t="s">
        <v>489</v>
      </c>
      <c r="H99" s="41" t="s">
        <v>306</v>
      </c>
      <c r="I99" s="29" t="s">
        <v>130</v>
      </c>
      <c r="J99" s="85">
        <f t="shared" si="37"/>
        <v>1608</v>
      </c>
      <c r="K99" s="85" t="s">
        <v>466</v>
      </c>
      <c r="L99" s="85">
        <v>167.74</v>
      </c>
      <c r="M99" s="86">
        <v>45679</v>
      </c>
      <c r="N99" s="85">
        <v>1440.26</v>
      </c>
      <c r="O99" s="86">
        <v>45769</v>
      </c>
      <c r="P99" s="85">
        <v>1484.8</v>
      </c>
      <c r="Q99" s="29" t="s">
        <v>80</v>
      </c>
      <c r="R99" s="85">
        <v>0</v>
      </c>
      <c r="S99" s="85">
        <v>0</v>
      </c>
      <c r="T99" s="85">
        <v>0</v>
      </c>
      <c r="U99" s="85">
        <v>2048.13</v>
      </c>
      <c r="V99" s="85">
        <v>1986.68</v>
      </c>
      <c r="W99" s="86">
        <v>46043</v>
      </c>
      <c r="X99" s="86">
        <v>46134</v>
      </c>
      <c r="Y99" s="85">
        <v>174.08</v>
      </c>
      <c r="Z99" s="85">
        <f t="shared" ref="Z99:Z105" si="41">U99+Y99</f>
        <v>2222.21</v>
      </c>
      <c r="AA99" s="85">
        <f t="shared" ref="AA99:AA105" si="42">V99+Y99</f>
        <v>2160.7600000000002</v>
      </c>
      <c r="AB99" s="85">
        <v>0</v>
      </c>
      <c r="AC99" s="85">
        <v>0</v>
      </c>
      <c r="AD99" s="85">
        <v>0</v>
      </c>
      <c r="AE99" s="102" t="s">
        <v>298</v>
      </c>
      <c r="AF99" s="29" t="s">
        <v>46</v>
      </c>
      <c r="AG99" s="234" t="s">
        <v>707</v>
      </c>
      <c r="AH99" s="29" t="s">
        <v>474</v>
      </c>
      <c r="AI99" s="87" t="str">
        <f>IFERROR(VLOOKUP(AG99,[2]Frota!$D$2:$AV$187,2,FALSE),"-")</f>
        <v>00232414572</v>
      </c>
      <c r="AJ99" s="87" t="str">
        <f>IFERROR(VLOOKUP(AG99,[2]Frota!$D$2:$AV$187,3,FALSE),"-")</f>
        <v>9BFXCE2UXBBB63127</v>
      </c>
      <c r="AK99" s="29" t="s">
        <v>549</v>
      </c>
      <c r="AL99" s="29" t="s">
        <v>708</v>
      </c>
      <c r="AM99" s="34">
        <v>2010</v>
      </c>
      <c r="AN99" s="34">
        <v>2011</v>
      </c>
      <c r="AO99" s="40" t="s">
        <v>709</v>
      </c>
      <c r="AP99" s="29" t="s">
        <v>621</v>
      </c>
      <c r="AQ99" s="88" t="s">
        <v>464</v>
      </c>
      <c r="AR99" s="89">
        <f>VLOOKUP(AQ99,'[1]Critério de Depreciação'!$C$3:$G$8,5,FALSE)</f>
        <v>1.6666666666666667</v>
      </c>
      <c r="AS99" s="29" t="s">
        <v>130</v>
      </c>
      <c r="AT99" s="29" t="s">
        <v>130</v>
      </c>
      <c r="AU99" s="29" t="str">
        <f>IFERROR(VLOOKUP(AG143,[2]Frota!$D$2:$AV$187,12,FALSE),"-")</f>
        <v>-</v>
      </c>
      <c r="AV99" s="181">
        <v>40950</v>
      </c>
      <c r="AW99" s="90">
        <v>110000</v>
      </c>
      <c r="AX99" s="86">
        <v>40381</v>
      </c>
      <c r="AY99" s="91" t="s">
        <v>130</v>
      </c>
      <c r="AZ99" s="85" t="s">
        <v>130</v>
      </c>
      <c r="BA99" s="123">
        <v>88859</v>
      </c>
      <c r="BB99" s="86">
        <v>45215</v>
      </c>
      <c r="BC99" s="85" t="s">
        <v>130</v>
      </c>
      <c r="BD99" s="85">
        <v>60000</v>
      </c>
      <c r="BE99" s="92">
        <f t="shared" si="22"/>
        <v>148859</v>
      </c>
      <c r="BF99" s="92">
        <v>0</v>
      </c>
      <c r="BG99" s="92">
        <v>460000</v>
      </c>
      <c r="BH99" s="92">
        <v>100000</v>
      </c>
      <c r="BI99" s="92">
        <v>0</v>
      </c>
      <c r="BJ99" s="92">
        <v>0</v>
      </c>
      <c r="BK99" s="92">
        <v>0</v>
      </c>
      <c r="BL99" s="92">
        <v>0</v>
      </c>
      <c r="BM99" s="93">
        <f t="shared" si="36"/>
        <v>560000</v>
      </c>
      <c r="BN99" s="92">
        <f t="shared" si="38"/>
        <v>7666.666666666667</v>
      </c>
      <c r="BO99" s="92">
        <f t="shared" si="39"/>
        <v>1666.6666666666667</v>
      </c>
      <c r="BP99" s="92">
        <f t="shared" si="40"/>
        <v>9333.3333333333339</v>
      </c>
      <c r="BQ99" s="92">
        <v>0</v>
      </c>
      <c r="BR99" s="92">
        <v>0</v>
      </c>
      <c r="BS99" s="85">
        <f t="shared" si="23"/>
        <v>1833.3333333333333</v>
      </c>
      <c r="BT99" s="94">
        <v>69.900000000000006</v>
      </c>
      <c r="BU99" s="94" t="s">
        <v>130</v>
      </c>
      <c r="BV99" s="94" t="s">
        <v>130</v>
      </c>
      <c r="BW99" s="95" t="s">
        <v>130</v>
      </c>
      <c r="BX99" s="96" t="s">
        <v>636</v>
      </c>
      <c r="BY99" s="29" t="s">
        <v>313</v>
      </c>
      <c r="BZ99" s="29" t="s">
        <v>313</v>
      </c>
      <c r="CA99" s="29" t="s">
        <v>130</v>
      </c>
      <c r="CB99" s="29" t="s">
        <v>130</v>
      </c>
      <c r="CC99" s="29" t="s">
        <v>130</v>
      </c>
      <c r="CD99" s="29" t="s">
        <v>313</v>
      </c>
      <c r="CE99" s="29" t="str">
        <f t="shared" ref="CE99:CE116" si="43">AF99</f>
        <v>SP - PRUDENTE - SUCATA</v>
      </c>
      <c r="CF99" s="97" t="s">
        <v>130</v>
      </c>
      <c r="CG99" s="97" t="s">
        <v>130</v>
      </c>
      <c r="CH99" s="37">
        <f t="shared" si="24"/>
        <v>560000</v>
      </c>
      <c r="CI99" s="98" t="s">
        <v>130</v>
      </c>
      <c r="CJ99" s="39">
        <v>5</v>
      </c>
      <c r="CK99" s="39">
        <v>5</v>
      </c>
      <c r="CL99" s="39">
        <f t="shared" si="25"/>
        <v>60</v>
      </c>
      <c r="CM99" s="99">
        <f t="shared" si="26"/>
        <v>18666.666666666668</v>
      </c>
      <c r="CN99" s="40" t="str">
        <f>IFERROR(IF(VLOOKUP(AG99,'[1]ATIVOS SAGI'!C:D,1,FALSE)&lt;&gt;"","CADASTRADO","NÃO CADASTRADO"),"NÃO CADASTRADO")</f>
        <v>CADASTRADO</v>
      </c>
      <c r="CO99" s="99">
        <f t="shared" si="29"/>
        <v>9333.3333333333339</v>
      </c>
      <c r="CP99" s="223" t="s">
        <v>81</v>
      </c>
      <c r="CQ99" s="48"/>
      <c r="CR99" s="48"/>
      <c r="CS99" s="48"/>
    </row>
    <row r="100" spans="1:97" x14ac:dyDescent="0.25">
      <c r="A100" s="27">
        <v>84</v>
      </c>
      <c r="B100" s="27">
        <v>118</v>
      </c>
      <c r="C100" s="29" t="s">
        <v>296</v>
      </c>
      <c r="D100" s="40" t="s">
        <v>49</v>
      </c>
      <c r="E100" s="40" t="s">
        <v>130</v>
      </c>
      <c r="F100" s="40" t="s">
        <v>130</v>
      </c>
      <c r="G100" s="40" t="s">
        <v>489</v>
      </c>
      <c r="H100" s="41" t="s">
        <v>306</v>
      </c>
      <c r="I100" s="29" t="s">
        <v>130</v>
      </c>
      <c r="J100" s="85">
        <f t="shared" si="37"/>
        <v>1608</v>
      </c>
      <c r="K100" s="85" t="s">
        <v>466</v>
      </c>
      <c r="L100" s="85">
        <v>167.74</v>
      </c>
      <c r="M100" s="86">
        <v>45680</v>
      </c>
      <c r="N100" s="85">
        <v>1440.26</v>
      </c>
      <c r="O100" s="86">
        <v>45769</v>
      </c>
      <c r="P100" s="85">
        <v>1484.8</v>
      </c>
      <c r="Q100" s="29" t="s">
        <v>80</v>
      </c>
      <c r="R100" s="85">
        <v>0</v>
      </c>
      <c r="S100" s="85">
        <v>0</v>
      </c>
      <c r="T100" s="85">
        <v>0</v>
      </c>
      <c r="U100" s="85">
        <v>2048.13</v>
      </c>
      <c r="V100" s="85">
        <v>1986.68</v>
      </c>
      <c r="W100" s="86">
        <v>46044</v>
      </c>
      <c r="X100" s="86">
        <v>46134</v>
      </c>
      <c r="Y100" s="85">
        <v>174.08</v>
      </c>
      <c r="Z100" s="85">
        <f t="shared" si="41"/>
        <v>2222.21</v>
      </c>
      <c r="AA100" s="85">
        <f t="shared" si="42"/>
        <v>2160.7600000000002</v>
      </c>
      <c r="AB100" s="85">
        <v>0</v>
      </c>
      <c r="AC100" s="85">
        <v>0</v>
      </c>
      <c r="AD100" s="85">
        <v>0</v>
      </c>
      <c r="AE100" s="102" t="s">
        <v>298</v>
      </c>
      <c r="AF100" s="29" t="s">
        <v>46</v>
      </c>
      <c r="AG100" s="234" t="s">
        <v>710</v>
      </c>
      <c r="AH100" s="29" t="s">
        <v>474</v>
      </c>
      <c r="AI100" s="87" t="str">
        <f>IFERROR(VLOOKUP(AG100,[2]Frota!$D$2:$AV$187,2,FALSE),"-")</f>
        <v>00232416028</v>
      </c>
      <c r="AJ100" s="87" t="str">
        <f>IFERROR(VLOOKUP(AG100,[2]Frota!$D$2:$AV$187,3,FALSE),"-")</f>
        <v>9BFXCE2U9BBB63118</v>
      </c>
      <c r="AK100" s="29" t="s">
        <v>549</v>
      </c>
      <c r="AL100" s="29" t="s">
        <v>708</v>
      </c>
      <c r="AM100" s="34">
        <v>2010</v>
      </c>
      <c r="AN100" s="34">
        <v>2011</v>
      </c>
      <c r="AO100" s="40" t="s">
        <v>709</v>
      </c>
      <c r="AP100" s="29" t="s">
        <v>621</v>
      </c>
      <c r="AQ100" s="88" t="s">
        <v>464</v>
      </c>
      <c r="AR100" s="89">
        <f>VLOOKUP(AQ100,'[1]Critério de Depreciação'!$C$3:$G$8,5,FALSE)</f>
        <v>1.6666666666666667</v>
      </c>
      <c r="AS100" s="29" t="s">
        <v>130</v>
      </c>
      <c r="AT100" s="29" t="s">
        <v>130</v>
      </c>
      <c r="AU100" s="29" t="str">
        <f>IFERROR(VLOOKUP(AG144,[2]Frota!$D$2:$AV$187,12,FALSE),"-")</f>
        <v>-</v>
      </c>
      <c r="AV100" s="181">
        <v>40952</v>
      </c>
      <c r="AW100" s="90">
        <v>110000</v>
      </c>
      <c r="AX100" s="86">
        <v>40381</v>
      </c>
      <c r="AY100" s="91" t="s">
        <v>130</v>
      </c>
      <c r="AZ100" s="85" t="s">
        <v>130</v>
      </c>
      <c r="BA100" s="123">
        <v>88859</v>
      </c>
      <c r="BB100" s="86">
        <v>45215</v>
      </c>
      <c r="BC100" s="85" t="s">
        <v>130</v>
      </c>
      <c r="BD100" s="85">
        <v>60000</v>
      </c>
      <c r="BE100" s="92">
        <f t="shared" si="22"/>
        <v>148859</v>
      </c>
      <c r="BF100" s="92">
        <v>0</v>
      </c>
      <c r="BG100" s="92">
        <v>460000</v>
      </c>
      <c r="BH100" s="92">
        <v>100000</v>
      </c>
      <c r="BI100" s="92">
        <v>0</v>
      </c>
      <c r="BJ100" s="92">
        <v>0</v>
      </c>
      <c r="BK100" s="92">
        <v>0</v>
      </c>
      <c r="BL100" s="92">
        <v>0</v>
      </c>
      <c r="BM100" s="93">
        <f t="shared" si="36"/>
        <v>560000</v>
      </c>
      <c r="BN100" s="92">
        <f t="shared" si="38"/>
        <v>7666.666666666667</v>
      </c>
      <c r="BO100" s="92">
        <f t="shared" si="39"/>
        <v>1666.6666666666667</v>
      </c>
      <c r="BP100" s="92">
        <f t="shared" si="40"/>
        <v>9333.3333333333339</v>
      </c>
      <c r="BQ100" s="92">
        <v>0</v>
      </c>
      <c r="BR100" s="92">
        <v>0</v>
      </c>
      <c r="BS100" s="85">
        <f t="shared" si="23"/>
        <v>1833.3333333333333</v>
      </c>
      <c r="BT100" s="94">
        <v>69.900000000000006</v>
      </c>
      <c r="BU100" s="94" t="s">
        <v>130</v>
      </c>
      <c r="BV100" s="94" t="s">
        <v>130</v>
      </c>
      <c r="BW100" s="95" t="s">
        <v>130</v>
      </c>
      <c r="BX100" s="96" t="s">
        <v>636</v>
      </c>
      <c r="BY100" s="29" t="s">
        <v>316</v>
      </c>
      <c r="BZ100" s="29" t="s">
        <v>316</v>
      </c>
      <c r="CA100" s="29" t="s">
        <v>130</v>
      </c>
      <c r="CB100" s="29" t="s">
        <v>130</v>
      </c>
      <c r="CC100" s="29" t="s">
        <v>130</v>
      </c>
      <c r="CD100" s="29" t="s">
        <v>314</v>
      </c>
      <c r="CE100" s="29" t="str">
        <f t="shared" si="43"/>
        <v>SP - PRUDENTE - SUCATA</v>
      </c>
      <c r="CF100" s="97" t="s">
        <v>130</v>
      </c>
      <c r="CG100" s="97" t="s">
        <v>130</v>
      </c>
      <c r="CH100" s="37">
        <f t="shared" si="24"/>
        <v>560000</v>
      </c>
      <c r="CI100" s="98" t="s">
        <v>130</v>
      </c>
      <c r="CJ100" s="39">
        <v>5</v>
      </c>
      <c r="CK100" s="39">
        <v>5</v>
      </c>
      <c r="CL100" s="39">
        <f t="shared" si="25"/>
        <v>60</v>
      </c>
      <c r="CM100" s="99">
        <f t="shared" si="26"/>
        <v>18666.666666666668</v>
      </c>
      <c r="CN100" s="40" t="str">
        <f>IFERROR(IF(VLOOKUP(AG100,'[1]ATIVOS SAGI'!C:D,1,FALSE)&lt;&gt;"","CADASTRADO","NÃO CADASTRADO"),"NÃO CADASTRADO")</f>
        <v>CADASTRADO</v>
      </c>
      <c r="CO100" s="99">
        <f t="shared" si="29"/>
        <v>9333.3333333333339</v>
      </c>
      <c r="CP100" s="223" t="s">
        <v>81</v>
      </c>
      <c r="CQ100" s="48"/>
      <c r="CR100" s="48"/>
      <c r="CS100" s="48"/>
    </row>
    <row r="101" spans="1:97" x14ac:dyDescent="0.25">
      <c r="A101" s="27">
        <v>85</v>
      </c>
      <c r="B101" s="27">
        <v>120</v>
      </c>
      <c r="C101" s="29" t="s">
        <v>296</v>
      </c>
      <c r="D101" s="40" t="s">
        <v>49</v>
      </c>
      <c r="E101" s="40" t="s">
        <v>130</v>
      </c>
      <c r="F101" s="40" t="s">
        <v>130</v>
      </c>
      <c r="G101" s="40" t="s">
        <v>489</v>
      </c>
      <c r="H101" s="41" t="s">
        <v>306</v>
      </c>
      <c r="I101" s="29" t="s">
        <v>130</v>
      </c>
      <c r="J101" s="85">
        <f t="shared" si="37"/>
        <v>1608</v>
      </c>
      <c r="K101" s="85" t="s">
        <v>130</v>
      </c>
      <c r="L101" s="85">
        <v>167.74</v>
      </c>
      <c r="M101" s="86">
        <v>45678</v>
      </c>
      <c r="N101" s="85">
        <v>1440.26</v>
      </c>
      <c r="O101" s="86">
        <v>45769</v>
      </c>
      <c r="P101" s="85">
        <v>1484.8</v>
      </c>
      <c r="Q101" s="29" t="s">
        <v>570</v>
      </c>
      <c r="R101" s="85">
        <v>205.65</v>
      </c>
      <c r="S101" s="85">
        <v>0</v>
      </c>
      <c r="T101" s="85">
        <v>0</v>
      </c>
      <c r="U101" s="85">
        <v>2048.13</v>
      </c>
      <c r="V101" s="85">
        <v>1986.68</v>
      </c>
      <c r="W101" s="86">
        <v>46043</v>
      </c>
      <c r="X101" s="86">
        <v>46134</v>
      </c>
      <c r="Y101" s="85">
        <v>174.08</v>
      </c>
      <c r="Z101" s="85">
        <f t="shared" si="41"/>
        <v>2222.21</v>
      </c>
      <c r="AA101" s="85">
        <f t="shared" si="42"/>
        <v>2160.7600000000002</v>
      </c>
      <c r="AB101" s="85">
        <v>0</v>
      </c>
      <c r="AC101" s="85">
        <v>0</v>
      </c>
      <c r="AD101" s="85">
        <v>0</v>
      </c>
      <c r="AE101" s="29" t="s">
        <v>45</v>
      </c>
      <c r="AF101" s="29" t="s">
        <v>46</v>
      </c>
      <c r="AG101" s="40" t="s">
        <v>711</v>
      </c>
      <c r="AH101" s="29" t="s">
        <v>468</v>
      </c>
      <c r="AI101" s="87" t="str">
        <f>IFERROR(VLOOKUP(AG101,[2]Frota!$D$2:$AV$187,2,FALSE),"-")</f>
        <v>00257747885</v>
      </c>
      <c r="AJ101" s="87" t="str">
        <f>IFERROR(VLOOKUP(AG101,[2]Frota!$D$2:$AV$187,3,FALSE),"-")</f>
        <v>9BFXCE2U5BBB63147</v>
      </c>
      <c r="AK101" s="29" t="s">
        <v>549</v>
      </c>
      <c r="AL101" s="29" t="s">
        <v>708</v>
      </c>
      <c r="AM101" s="34">
        <v>2010</v>
      </c>
      <c r="AN101" s="34">
        <v>2011</v>
      </c>
      <c r="AO101" s="40" t="s">
        <v>712</v>
      </c>
      <c r="AP101" s="29" t="s">
        <v>621</v>
      </c>
      <c r="AQ101" s="88" t="s">
        <v>464</v>
      </c>
      <c r="AR101" s="89">
        <f>VLOOKUP(AQ101,'[1]Critério de Depreciação'!$C$3:$G$8,5,FALSE)</f>
        <v>1.6666666666666667</v>
      </c>
      <c r="AS101" s="29" t="s">
        <v>130</v>
      </c>
      <c r="AT101" s="29" t="s">
        <v>130</v>
      </c>
      <c r="AU101" s="29" t="str">
        <f>IFERROR(VLOOKUP(AG145,[2]Frota!$D$2:$AV$187,12,FALSE),"-")</f>
        <v>-</v>
      </c>
      <c r="AV101" s="181">
        <v>40951</v>
      </c>
      <c r="AW101" s="90">
        <v>110000</v>
      </c>
      <c r="AX101" s="86">
        <v>40381</v>
      </c>
      <c r="AY101" s="91" t="s">
        <v>130</v>
      </c>
      <c r="AZ101" s="85" t="s">
        <v>130</v>
      </c>
      <c r="BA101" s="123">
        <v>88859</v>
      </c>
      <c r="BB101" s="86">
        <v>45215</v>
      </c>
      <c r="BC101" s="85" t="s">
        <v>130</v>
      </c>
      <c r="BD101" s="85">
        <v>70000</v>
      </c>
      <c r="BE101" s="92">
        <f t="shared" si="22"/>
        <v>158859</v>
      </c>
      <c r="BF101" s="92">
        <v>0</v>
      </c>
      <c r="BG101" s="92">
        <v>460000</v>
      </c>
      <c r="BH101" s="92">
        <v>125000</v>
      </c>
      <c r="BI101" s="92">
        <v>0</v>
      </c>
      <c r="BJ101" s="92">
        <v>0</v>
      </c>
      <c r="BK101" s="92">
        <v>0</v>
      </c>
      <c r="BL101" s="92">
        <v>0</v>
      </c>
      <c r="BM101" s="93">
        <f t="shared" si="36"/>
        <v>585000</v>
      </c>
      <c r="BN101" s="92">
        <f t="shared" si="38"/>
        <v>7666.666666666667</v>
      </c>
      <c r="BO101" s="92">
        <f t="shared" si="39"/>
        <v>2083.3333333333335</v>
      </c>
      <c r="BP101" s="92">
        <f t="shared" si="40"/>
        <v>9750</v>
      </c>
      <c r="BQ101" s="92">
        <v>0</v>
      </c>
      <c r="BR101" s="92">
        <v>0</v>
      </c>
      <c r="BS101" s="85">
        <f t="shared" si="23"/>
        <v>1833.3333333333333</v>
      </c>
      <c r="BT101" s="94">
        <v>69.900000000000006</v>
      </c>
      <c r="BU101" s="94" t="s">
        <v>130</v>
      </c>
      <c r="BV101" s="94" t="s">
        <v>130</v>
      </c>
      <c r="BW101" s="95" t="s">
        <v>130</v>
      </c>
      <c r="BX101" s="96" t="s">
        <v>636</v>
      </c>
      <c r="BY101" s="29" t="s">
        <v>314</v>
      </c>
      <c r="BZ101" s="29" t="s">
        <v>314</v>
      </c>
      <c r="CA101" s="29" t="s">
        <v>130</v>
      </c>
      <c r="CB101" s="29" t="s">
        <v>130</v>
      </c>
      <c r="CC101" s="29" t="s">
        <v>130</v>
      </c>
      <c r="CD101" s="29" t="s">
        <v>314</v>
      </c>
      <c r="CE101" s="29" t="str">
        <f t="shared" si="43"/>
        <v>SP - PRUDENTE - SUCATA</v>
      </c>
      <c r="CF101" s="97" t="s">
        <v>130</v>
      </c>
      <c r="CG101" s="97" t="s">
        <v>130</v>
      </c>
      <c r="CH101" s="37">
        <f t="shared" si="24"/>
        <v>585000</v>
      </c>
      <c r="CI101" s="98" t="s">
        <v>130</v>
      </c>
      <c r="CJ101" s="39">
        <v>5</v>
      </c>
      <c r="CK101" s="39">
        <v>5</v>
      </c>
      <c r="CL101" s="39">
        <f t="shared" si="25"/>
        <v>60</v>
      </c>
      <c r="CM101" s="99">
        <f t="shared" si="26"/>
        <v>19500</v>
      </c>
      <c r="CN101" s="40" t="str">
        <f>IFERROR(IF(VLOOKUP(AG101,'[1]ATIVOS SAGI'!C:D,1,FALSE)&lt;&gt;"","CADASTRADO","NÃO CADASTRADO"),"NÃO CADASTRADO")</f>
        <v>CADASTRADO</v>
      </c>
      <c r="CO101" s="99">
        <f t="shared" si="29"/>
        <v>9750</v>
      </c>
      <c r="CP101" s="223" t="s">
        <v>81</v>
      </c>
      <c r="CQ101" s="48"/>
      <c r="CR101" s="48"/>
      <c r="CS101" s="48"/>
    </row>
    <row r="102" spans="1:97" x14ac:dyDescent="0.25">
      <c r="A102" s="27">
        <v>86</v>
      </c>
      <c r="B102" s="27">
        <v>121</v>
      </c>
      <c r="C102" s="29" t="s">
        <v>296</v>
      </c>
      <c r="D102" s="40" t="s">
        <v>49</v>
      </c>
      <c r="E102" s="40" t="s">
        <v>130</v>
      </c>
      <c r="F102" s="40" t="s">
        <v>130</v>
      </c>
      <c r="G102" s="40" t="s">
        <v>489</v>
      </c>
      <c r="H102" s="41" t="s">
        <v>483</v>
      </c>
      <c r="I102" s="29" t="s">
        <v>130</v>
      </c>
      <c r="J102" s="85">
        <f t="shared" si="37"/>
        <v>1802.73</v>
      </c>
      <c r="K102" s="85" t="s">
        <v>130</v>
      </c>
      <c r="L102" s="85">
        <v>167.74</v>
      </c>
      <c r="M102" s="86">
        <v>45678</v>
      </c>
      <c r="N102" s="85">
        <v>1634.99</v>
      </c>
      <c r="O102" s="86">
        <v>45769</v>
      </c>
      <c r="P102" s="85">
        <v>1685.56</v>
      </c>
      <c r="Q102" s="29" t="s">
        <v>570</v>
      </c>
      <c r="R102" s="85">
        <v>274.05</v>
      </c>
      <c r="S102" s="85">
        <v>0</v>
      </c>
      <c r="T102" s="85">
        <v>0</v>
      </c>
      <c r="U102" s="85">
        <v>0</v>
      </c>
      <c r="V102" s="85">
        <v>0</v>
      </c>
      <c r="W102" s="86" t="s">
        <v>130</v>
      </c>
      <c r="X102" s="86" t="s">
        <v>130</v>
      </c>
      <c r="Y102" s="85">
        <v>174.08</v>
      </c>
      <c r="Z102" s="85">
        <f t="shared" si="41"/>
        <v>174.08</v>
      </c>
      <c r="AA102" s="85">
        <f t="shared" si="42"/>
        <v>174.08</v>
      </c>
      <c r="AB102" s="85">
        <v>136.08000000000001</v>
      </c>
      <c r="AC102" s="85">
        <v>0</v>
      </c>
      <c r="AD102" s="85">
        <v>0</v>
      </c>
      <c r="AE102" s="29" t="s">
        <v>45</v>
      </c>
      <c r="AF102" s="29" t="s">
        <v>304</v>
      </c>
      <c r="AG102" s="40" t="s">
        <v>713</v>
      </c>
      <c r="AH102" s="29" t="s">
        <v>474</v>
      </c>
      <c r="AI102" s="87" t="str">
        <f>IFERROR(VLOOKUP(AG102,[2]Frota!$D$2:$AV$187,2,FALSE),"-")</f>
        <v>00876342810</v>
      </c>
      <c r="AJ102" s="87" t="str">
        <f>IFERROR(VLOOKUP(AG102,[2]Frota!$D$2:$AV$187,3,FALSE),"-")</f>
        <v>9BFYCN9T65BB61106</v>
      </c>
      <c r="AK102" s="29" t="s">
        <v>549</v>
      </c>
      <c r="AL102" s="29" t="s">
        <v>714</v>
      </c>
      <c r="AM102" s="34">
        <v>2005</v>
      </c>
      <c r="AN102" s="34">
        <v>2005</v>
      </c>
      <c r="AO102" s="40" t="s">
        <v>715</v>
      </c>
      <c r="AP102" s="29" t="s">
        <v>621</v>
      </c>
      <c r="AQ102" s="88" t="s">
        <v>464</v>
      </c>
      <c r="AR102" s="89">
        <f>VLOOKUP(AQ102,'[1]Critério de Depreciação'!$C$3:$G$8,5,FALSE)</f>
        <v>1.6666666666666667</v>
      </c>
      <c r="AS102" s="29" t="s">
        <v>130</v>
      </c>
      <c r="AT102" s="29" t="s">
        <v>130</v>
      </c>
      <c r="AU102" s="29" t="str">
        <f>IFERROR(VLOOKUP(AG146,[2]Frota!$D$2:$AV$187,12,FALSE),"-")</f>
        <v>-</v>
      </c>
      <c r="AV102" s="29" t="s">
        <v>130</v>
      </c>
      <c r="AW102" s="90">
        <v>510000</v>
      </c>
      <c r="AX102" s="86" t="s">
        <v>130</v>
      </c>
      <c r="AY102" s="91" t="s">
        <v>130</v>
      </c>
      <c r="AZ102" s="85" t="s">
        <v>130</v>
      </c>
      <c r="BA102" s="123">
        <v>93205</v>
      </c>
      <c r="BB102" s="86">
        <v>45215</v>
      </c>
      <c r="BC102" s="85" t="s">
        <v>130</v>
      </c>
      <c r="BD102" s="85" t="s">
        <v>130</v>
      </c>
      <c r="BE102" s="92">
        <f t="shared" si="22"/>
        <v>93205</v>
      </c>
      <c r="BF102" s="92">
        <v>0</v>
      </c>
      <c r="BG102" s="92">
        <v>480000</v>
      </c>
      <c r="BH102" s="92">
        <v>30000</v>
      </c>
      <c r="BI102" s="92">
        <v>0</v>
      </c>
      <c r="BJ102" s="92">
        <v>0</v>
      </c>
      <c r="BK102" s="92">
        <v>0</v>
      </c>
      <c r="BL102" s="92">
        <v>0</v>
      </c>
      <c r="BM102" s="93">
        <f t="shared" si="36"/>
        <v>510000</v>
      </c>
      <c r="BN102" s="92">
        <f t="shared" si="38"/>
        <v>8000</v>
      </c>
      <c r="BO102" s="92">
        <f t="shared" si="39"/>
        <v>500</v>
      </c>
      <c r="BP102" s="92">
        <f t="shared" si="40"/>
        <v>8500</v>
      </c>
      <c r="BQ102" s="92">
        <v>0</v>
      </c>
      <c r="BR102" s="92">
        <v>0</v>
      </c>
      <c r="BS102" s="85">
        <f t="shared" si="23"/>
        <v>8500</v>
      </c>
      <c r="BT102" s="94">
        <v>69.900000000000006</v>
      </c>
      <c r="BU102" s="94" t="s">
        <v>130</v>
      </c>
      <c r="BV102" s="94" t="s">
        <v>130</v>
      </c>
      <c r="BW102" s="95">
        <v>20.94</v>
      </c>
      <c r="BX102" s="96" t="s">
        <v>636</v>
      </c>
      <c r="BY102" s="29" t="s">
        <v>488</v>
      </c>
      <c r="BZ102" s="29" t="s">
        <v>488</v>
      </c>
      <c r="CA102" s="29" t="s">
        <v>130</v>
      </c>
      <c r="CB102" s="29" t="s">
        <v>130</v>
      </c>
      <c r="CC102" s="29" t="s">
        <v>130</v>
      </c>
      <c r="CD102" s="29" t="s">
        <v>488</v>
      </c>
      <c r="CE102" s="29" t="str">
        <f t="shared" si="43"/>
        <v>LOJA</v>
      </c>
      <c r="CF102" s="97" t="s">
        <v>130</v>
      </c>
      <c r="CG102" s="97" t="s">
        <v>130</v>
      </c>
      <c r="CH102" s="37">
        <f t="shared" si="24"/>
        <v>510000</v>
      </c>
      <c r="CI102" s="98" t="s">
        <v>130</v>
      </c>
      <c r="CJ102" s="39">
        <v>5</v>
      </c>
      <c r="CK102" s="39">
        <v>5</v>
      </c>
      <c r="CL102" s="39">
        <f t="shared" si="25"/>
        <v>60</v>
      </c>
      <c r="CM102" s="99">
        <f t="shared" si="26"/>
        <v>17000</v>
      </c>
      <c r="CN102" s="40" t="str">
        <f>IFERROR(IF(VLOOKUP(AG102,'[1]ATIVOS SAGI'!C:D,1,FALSE)&lt;&gt;"","CADASTRADO","NÃO CADASTRADO"),"NÃO CADASTRADO")</f>
        <v>CADASTRADO</v>
      </c>
      <c r="CO102" s="99">
        <f t="shared" si="29"/>
        <v>8500</v>
      </c>
      <c r="CP102" s="223" t="s">
        <v>81</v>
      </c>
      <c r="CQ102" s="48"/>
      <c r="CR102" s="48"/>
      <c r="CS102" s="48"/>
    </row>
    <row r="103" spans="1:97" x14ac:dyDescent="0.25">
      <c r="A103" s="27">
        <v>87</v>
      </c>
      <c r="B103" s="27">
        <v>122</v>
      </c>
      <c r="C103" s="29" t="s">
        <v>296</v>
      </c>
      <c r="D103" s="40" t="s">
        <v>49</v>
      </c>
      <c r="E103" s="40" t="s">
        <v>130</v>
      </c>
      <c r="F103" s="40" t="s">
        <v>130</v>
      </c>
      <c r="G103" s="40" t="s">
        <v>489</v>
      </c>
      <c r="H103" s="41" t="s">
        <v>483</v>
      </c>
      <c r="I103" s="29" t="s">
        <v>130</v>
      </c>
      <c r="J103" s="85">
        <f t="shared" si="37"/>
        <v>1802.73</v>
      </c>
      <c r="K103" s="85" t="s">
        <v>466</v>
      </c>
      <c r="L103" s="85">
        <v>167.74</v>
      </c>
      <c r="M103" s="86">
        <v>45671</v>
      </c>
      <c r="N103" s="85">
        <v>1634.99</v>
      </c>
      <c r="O103" s="86">
        <v>45769</v>
      </c>
      <c r="P103" s="85">
        <v>1685.56</v>
      </c>
      <c r="Q103" s="29" t="s">
        <v>80</v>
      </c>
      <c r="R103" s="85">
        <v>0</v>
      </c>
      <c r="S103" s="85">
        <v>0</v>
      </c>
      <c r="T103" s="85">
        <v>0</v>
      </c>
      <c r="U103" s="85">
        <v>0</v>
      </c>
      <c r="V103" s="85">
        <v>0</v>
      </c>
      <c r="W103" s="86" t="s">
        <v>130</v>
      </c>
      <c r="X103" s="86" t="s">
        <v>130</v>
      </c>
      <c r="Y103" s="85">
        <v>174.08</v>
      </c>
      <c r="Z103" s="85">
        <f t="shared" si="41"/>
        <v>174.08</v>
      </c>
      <c r="AA103" s="85">
        <f t="shared" si="42"/>
        <v>174.08</v>
      </c>
      <c r="AB103" s="85">
        <v>0</v>
      </c>
      <c r="AC103" s="85">
        <v>0</v>
      </c>
      <c r="AD103" s="85">
        <v>0</v>
      </c>
      <c r="AE103" s="29" t="s">
        <v>45</v>
      </c>
      <c r="AF103" s="29" t="s">
        <v>304</v>
      </c>
      <c r="AG103" s="40" t="s">
        <v>716</v>
      </c>
      <c r="AH103" s="29" t="s">
        <v>468</v>
      </c>
      <c r="AI103" s="162" t="s">
        <v>717</v>
      </c>
      <c r="AJ103" s="87" t="s">
        <v>718</v>
      </c>
      <c r="AK103" s="29" t="s">
        <v>549</v>
      </c>
      <c r="AL103" s="29" t="s">
        <v>714</v>
      </c>
      <c r="AM103" s="34">
        <v>2005</v>
      </c>
      <c r="AN103" s="34">
        <v>2005</v>
      </c>
      <c r="AO103" s="40" t="s">
        <v>715</v>
      </c>
      <c r="AP103" s="29" t="s">
        <v>621</v>
      </c>
      <c r="AQ103" s="88" t="s">
        <v>464</v>
      </c>
      <c r="AR103" s="89">
        <f>VLOOKUP(AQ103,'[1]Critério de Depreciação'!$C$3:$G$8,5,FALSE)</f>
        <v>1.6666666666666667</v>
      </c>
      <c r="AS103" s="29" t="s">
        <v>130</v>
      </c>
      <c r="AT103" s="29" t="s">
        <v>130</v>
      </c>
      <c r="AU103" s="29" t="str">
        <f>IFERROR(VLOOKUP(AG147,[2]Frota!$D$2:$AV$187,12,FALSE),"-")</f>
        <v>-</v>
      </c>
      <c r="AV103" s="29">
        <v>274</v>
      </c>
      <c r="AW103" s="90">
        <v>510000</v>
      </c>
      <c r="AX103" s="86" t="s">
        <v>130</v>
      </c>
      <c r="AY103" s="91" t="s">
        <v>130</v>
      </c>
      <c r="AZ103" s="85" t="s">
        <v>130</v>
      </c>
      <c r="BA103" s="123">
        <v>93205</v>
      </c>
      <c r="BB103" s="86">
        <v>45215</v>
      </c>
      <c r="BC103" s="85" t="s">
        <v>130</v>
      </c>
      <c r="BD103" s="85" t="s">
        <v>130</v>
      </c>
      <c r="BE103" s="92">
        <f t="shared" si="22"/>
        <v>93205</v>
      </c>
      <c r="BF103" s="92">
        <v>0</v>
      </c>
      <c r="BG103" s="92">
        <v>480000</v>
      </c>
      <c r="BH103" s="92">
        <v>30000</v>
      </c>
      <c r="BI103" s="92">
        <v>0</v>
      </c>
      <c r="BJ103" s="92">
        <v>0</v>
      </c>
      <c r="BK103" s="92">
        <v>0</v>
      </c>
      <c r="BL103" s="92">
        <v>0</v>
      </c>
      <c r="BM103" s="93">
        <f t="shared" si="36"/>
        <v>510000</v>
      </c>
      <c r="BN103" s="92">
        <f t="shared" si="38"/>
        <v>8000</v>
      </c>
      <c r="BO103" s="92">
        <f t="shared" si="39"/>
        <v>500</v>
      </c>
      <c r="BP103" s="92">
        <f t="shared" si="40"/>
        <v>8500</v>
      </c>
      <c r="BQ103" s="92">
        <v>0</v>
      </c>
      <c r="BR103" s="92">
        <v>0</v>
      </c>
      <c r="BS103" s="85">
        <f t="shared" si="23"/>
        <v>8500</v>
      </c>
      <c r="BT103" s="94">
        <v>69.900000000000006</v>
      </c>
      <c r="BU103" s="94" t="s">
        <v>130</v>
      </c>
      <c r="BV103" s="94" t="s">
        <v>130</v>
      </c>
      <c r="BW103" s="95">
        <v>20.94</v>
      </c>
      <c r="BX103" s="96" t="s">
        <v>636</v>
      </c>
      <c r="BY103" s="29" t="s">
        <v>488</v>
      </c>
      <c r="BZ103" s="29" t="s">
        <v>488</v>
      </c>
      <c r="CA103" s="29" t="s">
        <v>130</v>
      </c>
      <c r="CB103" s="29" t="s">
        <v>130</v>
      </c>
      <c r="CC103" s="29" t="s">
        <v>130</v>
      </c>
      <c r="CD103" s="29" t="s">
        <v>488</v>
      </c>
      <c r="CE103" s="29" t="str">
        <f t="shared" si="43"/>
        <v>LOJA</v>
      </c>
      <c r="CF103" s="97" t="s">
        <v>130</v>
      </c>
      <c r="CG103" s="97" t="s">
        <v>130</v>
      </c>
      <c r="CH103" s="37">
        <f t="shared" si="24"/>
        <v>510000</v>
      </c>
      <c r="CI103" s="98" t="s">
        <v>130</v>
      </c>
      <c r="CJ103" s="39">
        <v>5</v>
      </c>
      <c r="CK103" s="39">
        <v>5</v>
      </c>
      <c r="CL103" s="39">
        <f t="shared" si="25"/>
        <v>60</v>
      </c>
      <c r="CM103" s="99">
        <f t="shared" si="26"/>
        <v>17000</v>
      </c>
      <c r="CN103" s="40" t="str">
        <f>IFERROR(IF(VLOOKUP(AG103,'[1]ATIVOS SAGI'!C:D,1,FALSE)&lt;&gt;"","CADASTRADO","NÃO CADASTRADO"),"NÃO CADASTRADO")</f>
        <v>CADASTRADO</v>
      </c>
      <c r="CO103" s="99">
        <f t="shared" si="29"/>
        <v>8500</v>
      </c>
      <c r="CP103" s="223" t="s">
        <v>81</v>
      </c>
      <c r="CQ103" s="48"/>
      <c r="CR103" s="48"/>
      <c r="CS103" s="48"/>
    </row>
    <row r="104" spans="1:97" x14ac:dyDescent="0.25">
      <c r="A104" s="27">
        <v>88</v>
      </c>
      <c r="B104" s="27">
        <v>123</v>
      </c>
      <c r="C104" s="29" t="s">
        <v>296</v>
      </c>
      <c r="D104" s="40" t="s">
        <v>49</v>
      </c>
      <c r="E104" s="40" t="s">
        <v>130</v>
      </c>
      <c r="F104" s="88" t="s">
        <v>130</v>
      </c>
      <c r="G104" s="40" t="s">
        <v>489</v>
      </c>
      <c r="H104" s="41" t="s">
        <v>483</v>
      </c>
      <c r="I104" s="29" t="s">
        <v>130</v>
      </c>
      <c r="J104" s="85">
        <f t="shared" si="37"/>
        <v>1561.16</v>
      </c>
      <c r="K104" s="85" t="s">
        <v>466</v>
      </c>
      <c r="L104" s="85">
        <v>167.74</v>
      </c>
      <c r="M104" s="86">
        <v>45674</v>
      </c>
      <c r="N104" s="85">
        <v>1393.42</v>
      </c>
      <c r="O104" s="86">
        <v>45769</v>
      </c>
      <c r="P104" s="85">
        <v>1436.52</v>
      </c>
      <c r="Q104" s="29" t="s">
        <v>80</v>
      </c>
      <c r="R104" s="85">
        <v>0</v>
      </c>
      <c r="S104" s="85">
        <v>0</v>
      </c>
      <c r="T104" s="85">
        <v>0</v>
      </c>
      <c r="U104" s="85">
        <v>2358.8200000000002</v>
      </c>
      <c r="V104" s="85">
        <v>2288.06</v>
      </c>
      <c r="W104" s="86">
        <v>46038</v>
      </c>
      <c r="X104" s="86">
        <v>46134</v>
      </c>
      <c r="Y104" s="85">
        <v>174.08</v>
      </c>
      <c r="Z104" s="85">
        <f t="shared" si="41"/>
        <v>2532.9</v>
      </c>
      <c r="AA104" s="85">
        <f t="shared" si="42"/>
        <v>2462.14</v>
      </c>
      <c r="AB104" s="85">
        <v>0</v>
      </c>
      <c r="AC104" s="85">
        <v>0</v>
      </c>
      <c r="AD104" s="85">
        <v>0</v>
      </c>
      <c r="AE104" s="29" t="s">
        <v>45</v>
      </c>
      <c r="AF104" s="29" t="s">
        <v>304</v>
      </c>
      <c r="AG104" s="40" t="s">
        <v>719</v>
      </c>
      <c r="AH104" s="29" t="s">
        <v>474</v>
      </c>
      <c r="AI104" s="87" t="str">
        <f>IFERROR(VLOOKUP(AG104,[2]Frota!$D$2:$AV$187,2,FALSE),"-")</f>
        <v>00224946960</v>
      </c>
      <c r="AJ104" s="87" t="str">
        <f>IFERROR(VLOOKUP(AG104,[2]Frota!$D$2:$AV$187,3,FALSE),"-")</f>
        <v>9BFVCE1N7ABB60573</v>
      </c>
      <c r="AK104" s="29" t="s">
        <v>549</v>
      </c>
      <c r="AL104" s="29" t="s">
        <v>720</v>
      </c>
      <c r="AM104" s="34">
        <v>2010</v>
      </c>
      <c r="AN104" s="34">
        <v>2010</v>
      </c>
      <c r="AO104" s="40" t="s">
        <v>721</v>
      </c>
      <c r="AP104" s="29" t="s">
        <v>621</v>
      </c>
      <c r="AQ104" s="88" t="s">
        <v>464</v>
      </c>
      <c r="AR104" s="89">
        <f>VLOOKUP(AQ104,'[1]Critério de Depreciação'!$C$3:$G$8,5,FALSE)</f>
        <v>1.6666666666666667</v>
      </c>
      <c r="AS104" s="29" t="s">
        <v>130</v>
      </c>
      <c r="AT104" s="29" t="s">
        <v>130</v>
      </c>
      <c r="AU104" s="29" t="str">
        <f>IFERROR(VLOOKUP(AG148,[2]Frota!$D$2:$AV$187,12,FALSE),"-")</f>
        <v>-</v>
      </c>
      <c r="AV104" s="182">
        <v>39096</v>
      </c>
      <c r="AW104" s="90">
        <v>90000</v>
      </c>
      <c r="AX104" s="86">
        <v>40347</v>
      </c>
      <c r="AY104" s="91" t="s">
        <v>130</v>
      </c>
      <c r="AZ104" s="85" t="s">
        <v>130</v>
      </c>
      <c r="BA104" s="123">
        <v>86340</v>
      </c>
      <c r="BB104" s="86">
        <v>45215</v>
      </c>
      <c r="BC104" s="85" t="s">
        <v>130</v>
      </c>
      <c r="BD104" s="85" t="s">
        <v>130</v>
      </c>
      <c r="BE104" s="92">
        <f t="shared" si="22"/>
        <v>86340</v>
      </c>
      <c r="BF104" s="92">
        <v>0</v>
      </c>
      <c r="BG104" s="92">
        <v>480000</v>
      </c>
      <c r="BH104" s="92">
        <v>30000</v>
      </c>
      <c r="BI104" s="92">
        <v>0</v>
      </c>
      <c r="BJ104" s="92">
        <v>0</v>
      </c>
      <c r="BK104" s="92">
        <v>0</v>
      </c>
      <c r="BL104" s="92">
        <v>0</v>
      </c>
      <c r="BM104" s="93">
        <f t="shared" si="36"/>
        <v>510000</v>
      </c>
      <c r="BN104" s="92">
        <f t="shared" si="38"/>
        <v>8000</v>
      </c>
      <c r="BO104" s="92">
        <f t="shared" si="39"/>
        <v>500</v>
      </c>
      <c r="BP104" s="92">
        <f t="shared" si="40"/>
        <v>8500</v>
      </c>
      <c r="BQ104" s="92">
        <v>0</v>
      </c>
      <c r="BR104" s="92">
        <v>0</v>
      </c>
      <c r="BS104" s="85">
        <f t="shared" si="23"/>
        <v>1500</v>
      </c>
      <c r="BT104" s="94">
        <v>69.900000000000006</v>
      </c>
      <c r="BU104" s="94" t="s">
        <v>130</v>
      </c>
      <c r="BV104" s="94" t="s">
        <v>130</v>
      </c>
      <c r="BW104" s="95">
        <v>20.94</v>
      </c>
      <c r="BX104" s="96" t="s">
        <v>636</v>
      </c>
      <c r="BY104" s="29" t="s">
        <v>314</v>
      </c>
      <c r="BZ104" s="29" t="s">
        <v>314</v>
      </c>
      <c r="CA104" s="29" t="s">
        <v>130</v>
      </c>
      <c r="CB104" s="29" t="s">
        <v>130</v>
      </c>
      <c r="CC104" s="29" t="s">
        <v>130</v>
      </c>
      <c r="CD104" s="29" t="s">
        <v>488</v>
      </c>
      <c r="CE104" s="29" t="str">
        <f t="shared" si="43"/>
        <v>LOJA</v>
      </c>
      <c r="CF104" s="97" t="s">
        <v>130</v>
      </c>
      <c r="CG104" s="97" t="s">
        <v>130</v>
      </c>
      <c r="CH104" s="37">
        <f t="shared" si="24"/>
        <v>510000</v>
      </c>
      <c r="CI104" s="98" t="s">
        <v>130</v>
      </c>
      <c r="CJ104" s="39">
        <v>5</v>
      </c>
      <c r="CK104" s="39">
        <v>5</v>
      </c>
      <c r="CL104" s="39">
        <f t="shared" si="25"/>
        <v>60</v>
      </c>
      <c r="CM104" s="99">
        <f t="shared" si="26"/>
        <v>17000</v>
      </c>
      <c r="CN104" s="40" t="str">
        <f>IFERROR(IF(VLOOKUP(AG104,'[1]ATIVOS SAGI'!C:D,1,FALSE)&lt;&gt;"","CADASTRADO","NÃO CADASTRADO"),"NÃO CADASTRADO")</f>
        <v>CADASTRADO</v>
      </c>
      <c r="CO104" s="99">
        <f t="shared" si="29"/>
        <v>8500</v>
      </c>
      <c r="CP104" s="223" t="s">
        <v>81</v>
      </c>
      <c r="CQ104" s="48"/>
      <c r="CR104" s="48"/>
      <c r="CS104" s="48"/>
    </row>
    <row r="105" spans="1:97" x14ac:dyDescent="0.25">
      <c r="A105" s="27">
        <v>89</v>
      </c>
      <c r="B105" s="27">
        <v>124</v>
      </c>
      <c r="C105" s="29" t="s">
        <v>296</v>
      </c>
      <c r="D105" s="40" t="s">
        <v>49</v>
      </c>
      <c r="E105" s="40" t="s">
        <v>130</v>
      </c>
      <c r="F105" s="40" t="s">
        <v>130</v>
      </c>
      <c r="G105" s="40" t="s">
        <v>489</v>
      </c>
      <c r="H105" s="41" t="s">
        <v>483</v>
      </c>
      <c r="I105" s="29" t="s">
        <v>130</v>
      </c>
      <c r="J105" s="85">
        <f t="shared" si="37"/>
        <v>1561.16</v>
      </c>
      <c r="K105" s="85" t="s">
        <v>466</v>
      </c>
      <c r="L105" s="85">
        <v>167.74</v>
      </c>
      <c r="M105" s="86">
        <v>45678</v>
      </c>
      <c r="N105" s="85">
        <v>1393.42</v>
      </c>
      <c r="O105" s="86">
        <v>45769</v>
      </c>
      <c r="P105" s="85">
        <v>1436.52</v>
      </c>
      <c r="Q105" s="29" t="s">
        <v>80</v>
      </c>
      <c r="R105" s="85">
        <v>0</v>
      </c>
      <c r="S105" s="85">
        <v>0</v>
      </c>
      <c r="T105" s="85">
        <v>0</v>
      </c>
      <c r="U105" s="85">
        <v>2358.8200000000002</v>
      </c>
      <c r="V105" s="85">
        <v>2288.06</v>
      </c>
      <c r="W105" s="86">
        <v>46041</v>
      </c>
      <c r="X105" s="86">
        <v>46134</v>
      </c>
      <c r="Y105" s="85">
        <v>174.08</v>
      </c>
      <c r="Z105" s="85">
        <f t="shared" si="41"/>
        <v>2532.9</v>
      </c>
      <c r="AA105" s="85">
        <f t="shared" si="42"/>
        <v>2462.14</v>
      </c>
      <c r="AB105" s="85">
        <v>0</v>
      </c>
      <c r="AC105" s="85">
        <v>0</v>
      </c>
      <c r="AD105" s="85">
        <v>0</v>
      </c>
      <c r="AE105" s="29" t="s">
        <v>45</v>
      </c>
      <c r="AF105" s="29" t="s">
        <v>304</v>
      </c>
      <c r="AG105" s="40" t="s">
        <v>722</v>
      </c>
      <c r="AH105" s="29" t="s">
        <v>474</v>
      </c>
      <c r="AI105" s="87" t="str">
        <f>IFERROR(VLOOKUP(AG105,[2]Frota!$D$2:$AV$187,2,FALSE),"-")</f>
        <v>00224944681</v>
      </c>
      <c r="AJ105" s="87" t="str">
        <f>IFERROR(VLOOKUP(AG105,[2]Frota!$D$2:$AV$187,3,FALSE),"-")</f>
        <v>9BFVCE1N1ABB60584</v>
      </c>
      <c r="AK105" s="29" t="s">
        <v>549</v>
      </c>
      <c r="AL105" s="29" t="s">
        <v>720</v>
      </c>
      <c r="AM105" s="34">
        <v>2010</v>
      </c>
      <c r="AN105" s="34">
        <v>2010</v>
      </c>
      <c r="AO105" s="40" t="s">
        <v>721</v>
      </c>
      <c r="AP105" s="29" t="s">
        <v>621</v>
      </c>
      <c r="AQ105" s="88" t="s">
        <v>464</v>
      </c>
      <c r="AR105" s="89">
        <f>VLOOKUP(AQ105,'[1]Critério de Depreciação'!$C$3:$G$8,5,FALSE)</f>
        <v>1.6666666666666667</v>
      </c>
      <c r="AS105" s="29" t="s">
        <v>130</v>
      </c>
      <c r="AT105" s="29" t="s">
        <v>130</v>
      </c>
      <c r="AU105" s="29" t="str">
        <f>IFERROR(VLOOKUP(AG149,[2]Frota!$D$2:$AV$187,12,FALSE),"-")</f>
        <v>-</v>
      </c>
      <c r="AV105" s="183">
        <v>39095</v>
      </c>
      <c r="AW105" s="90">
        <v>90000</v>
      </c>
      <c r="AX105" s="86">
        <v>40347</v>
      </c>
      <c r="AY105" s="91" t="s">
        <v>130</v>
      </c>
      <c r="AZ105" s="85" t="s">
        <v>130</v>
      </c>
      <c r="BA105" s="123">
        <v>86340</v>
      </c>
      <c r="BB105" s="86">
        <v>45215</v>
      </c>
      <c r="BC105" s="85" t="s">
        <v>130</v>
      </c>
      <c r="BD105" s="85" t="s">
        <v>130</v>
      </c>
      <c r="BE105" s="92">
        <f t="shared" si="22"/>
        <v>86340</v>
      </c>
      <c r="BF105" s="92">
        <v>0</v>
      </c>
      <c r="BG105" s="92">
        <v>480000</v>
      </c>
      <c r="BH105" s="92">
        <v>30000</v>
      </c>
      <c r="BI105" s="92">
        <v>0</v>
      </c>
      <c r="BJ105" s="92">
        <v>0</v>
      </c>
      <c r="BK105" s="92">
        <v>0</v>
      </c>
      <c r="BL105" s="92">
        <v>0</v>
      </c>
      <c r="BM105" s="93">
        <f t="shared" si="36"/>
        <v>510000</v>
      </c>
      <c r="BN105" s="92">
        <f t="shared" si="38"/>
        <v>8000</v>
      </c>
      <c r="BO105" s="92">
        <f t="shared" si="39"/>
        <v>500</v>
      </c>
      <c r="BP105" s="92">
        <f t="shared" si="40"/>
        <v>8500</v>
      </c>
      <c r="BQ105" s="92">
        <v>0</v>
      </c>
      <c r="BR105" s="92">
        <v>0</v>
      </c>
      <c r="BS105" s="85">
        <f t="shared" si="23"/>
        <v>1500</v>
      </c>
      <c r="BT105" s="94">
        <v>69.900000000000006</v>
      </c>
      <c r="BU105" s="94" t="s">
        <v>130</v>
      </c>
      <c r="BV105" s="94" t="s">
        <v>130</v>
      </c>
      <c r="BW105" s="95">
        <v>20.94</v>
      </c>
      <c r="BX105" s="96" t="s">
        <v>636</v>
      </c>
      <c r="BY105" s="29" t="s">
        <v>488</v>
      </c>
      <c r="BZ105" s="29" t="s">
        <v>488</v>
      </c>
      <c r="CA105" s="29" t="s">
        <v>130</v>
      </c>
      <c r="CB105" s="29" t="s">
        <v>130</v>
      </c>
      <c r="CC105" s="29" t="s">
        <v>130</v>
      </c>
      <c r="CD105" s="29" t="s">
        <v>488</v>
      </c>
      <c r="CE105" s="29" t="str">
        <f t="shared" si="43"/>
        <v>LOJA</v>
      </c>
      <c r="CF105" s="97" t="s">
        <v>130</v>
      </c>
      <c r="CG105" s="97" t="s">
        <v>130</v>
      </c>
      <c r="CH105" s="37">
        <f t="shared" si="24"/>
        <v>510000</v>
      </c>
      <c r="CI105" s="98" t="s">
        <v>130</v>
      </c>
      <c r="CJ105" s="39">
        <v>5</v>
      </c>
      <c r="CK105" s="39">
        <v>5</v>
      </c>
      <c r="CL105" s="39">
        <f t="shared" si="25"/>
        <v>60</v>
      </c>
      <c r="CM105" s="99">
        <f t="shared" si="26"/>
        <v>17000</v>
      </c>
      <c r="CN105" s="40" t="str">
        <f>IFERROR(IF(VLOOKUP(AG105,'[1]ATIVOS SAGI'!C:D,1,FALSE)&lt;&gt;"","CADASTRADO","NÃO CADASTRADO"),"NÃO CADASTRADO")</f>
        <v>CADASTRADO</v>
      </c>
      <c r="CO105" s="99">
        <f t="shared" si="29"/>
        <v>8500</v>
      </c>
      <c r="CP105" s="223" t="s">
        <v>81</v>
      </c>
      <c r="CQ105" s="48"/>
      <c r="CR105" s="48"/>
      <c r="CS105" s="48"/>
    </row>
    <row r="106" spans="1:97" x14ac:dyDescent="0.25">
      <c r="A106" s="27">
        <v>150</v>
      </c>
      <c r="B106" s="101">
        <v>31</v>
      </c>
      <c r="C106" s="102" t="s">
        <v>296</v>
      </c>
      <c r="D106" s="88" t="s">
        <v>49</v>
      </c>
      <c r="E106" s="88" t="s">
        <v>130</v>
      </c>
      <c r="F106" s="40" t="s">
        <v>130</v>
      </c>
      <c r="G106" s="88"/>
      <c r="H106" s="104" t="s">
        <v>130</v>
      </c>
      <c r="I106" s="102" t="s">
        <v>307</v>
      </c>
      <c r="J106" s="102" t="s">
        <v>130</v>
      </c>
      <c r="K106" s="102" t="s">
        <v>130</v>
      </c>
      <c r="L106" s="105" t="s">
        <v>130</v>
      </c>
      <c r="M106" s="106" t="s">
        <v>130</v>
      </c>
      <c r="N106" s="105" t="s">
        <v>130</v>
      </c>
      <c r="O106" s="106" t="s">
        <v>130</v>
      </c>
      <c r="P106" s="105" t="s">
        <v>130</v>
      </c>
      <c r="Q106" s="105" t="s">
        <v>130</v>
      </c>
      <c r="R106" s="105" t="s">
        <v>130</v>
      </c>
      <c r="S106" s="105" t="s">
        <v>130</v>
      </c>
      <c r="T106" s="105" t="s">
        <v>130</v>
      </c>
      <c r="U106" s="105" t="s">
        <v>130</v>
      </c>
      <c r="V106" s="105" t="s">
        <v>130</v>
      </c>
      <c r="W106" s="105" t="s">
        <v>130</v>
      </c>
      <c r="X106" s="105" t="s">
        <v>130</v>
      </c>
      <c r="Y106" s="105" t="s">
        <v>130</v>
      </c>
      <c r="Z106" s="105" t="s">
        <v>130</v>
      </c>
      <c r="AA106" s="105" t="s">
        <v>130</v>
      </c>
      <c r="AB106" s="105" t="s">
        <v>130</v>
      </c>
      <c r="AC106" s="105" t="s">
        <v>130</v>
      </c>
      <c r="AD106" s="105" t="s">
        <v>130</v>
      </c>
      <c r="AE106" s="102" t="s">
        <v>297</v>
      </c>
      <c r="AF106" s="102" t="s">
        <v>302</v>
      </c>
      <c r="AG106" s="88" t="s">
        <v>723</v>
      </c>
      <c r="AH106" s="102" t="s">
        <v>130</v>
      </c>
      <c r="AI106" s="107" t="str">
        <f>IFERROR(VLOOKUP(AG106,[2]Frota!$D$2:$AV$187,2,FALSE),"-")</f>
        <v>00415704430</v>
      </c>
      <c r="AJ106" s="107" t="str">
        <f>IFERROR(VLOOKUP(AG106,[2]Frota!$D$2:$AV$187,3,FALSE),"-")</f>
        <v>34400713041060</v>
      </c>
      <c r="AK106" s="102" t="s">
        <v>567</v>
      </c>
      <c r="AL106" s="102" t="s">
        <v>724</v>
      </c>
      <c r="AM106" s="108">
        <v>1969</v>
      </c>
      <c r="AN106" s="108">
        <v>1969</v>
      </c>
      <c r="AO106" s="88" t="s">
        <v>725</v>
      </c>
      <c r="AP106" s="102" t="s">
        <v>621</v>
      </c>
      <c r="AQ106" s="88" t="s">
        <v>464</v>
      </c>
      <c r="AR106" s="89">
        <f>VLOOKUP(AQ106,'[1]Critério de Depreciação'!$C$3:$G$8,5,FALSE)</f>
        <v>1.6666666666666667</v>
      </c>
      <c r="AS106" s="102" t="s">
        <v>130</v>
      </c>
      <c r="AT106" s="102" t="s">
        <v>130</v>
      </c>
      <c r="AU106" s="102" t="str">
        <f>IFERROR(VLOOKUP(AG85,[2]Frota!$D$2:$AV$187,12,FALSE),"-")</f>
        <v>-</v>
      </c>
      <c r="AV106" s="102" t="s">
        <v>130</v>
      </c>
      <c r="AW106" s="110">
        <v>0</v>
      </c>
      <c r="AX106" s="106" t="s">
        <v>130</v>
      </c>
      <c r="AY106" s="111" t="s">
        <v>130</v>
      </c>
      <c r="AZ106" s="105">
        <v>88000</v>
      </c>
      <c r="BA106" s="112" t="s">
        <v>130</v>
      </c>
      <c r="BB106" s="106" t="s">
        <v>130</v>
      </c>
      <c r="BC106" s="105" t="s">
        <v>130</v>
      </c>
      <c r="BD106" s="105" t="s">
        <v>130</v>
      </c>
      <c r="BE106" s="113">
        <f t="shared" si="22"/>
        <v>88000</v>
      </c>
      <c r="BF106" s="113">
        <v>0</v>
      </c>
      <c r="BG106" s="113">
        <v>0</v>
      </c>
      <c r="BH106" s="113">
        <v>0</v>
      </c>
      <c r="BI106" s="113">
        <v>0</v>
      </c>
      <c r="BJ106" s="113">
        <v>0</v>
      </c>
      <c r="BK106" s="113">
        <v>0</v>
      </c>
      <c r="BL106" s="113">
        <v>0</v>
      </c>
      <c r="BM106" s="114">
        <f t="shared" si="36"/>
        <v>0</v>
      </c>
      <c r="BN106" s="113">
        <v>0</v>
      </c>
      <c r="BO106" s="113">
        <v>0</v>
      </c>
      <c r="BP106" s="113">
        <v>0</v>
      </c>
      <c r="BQ106" s="113">
        <v>0</v>
      </c>
      <c r="BR106" s="113">
        <v>0</v>
      </c>
      <c r="BS106" s="105">
        <f t="shared" si="23"/>
        <v>0</v>
      </c>
      <c r="BT106" s="153" t="s">
        <v>130</v>
      </c>
      <c r="BU106" s="153" t="s">
        <v>130</v>
      </c>
      <c r="BV106" s="153" t="s">
        <v>130</v>
      </c>
      <c r="BW106" s="154" t="s">
        <v>130</v>
      </c>
      <c r="BX106" s="153" t="s">
        <v>130</v>
      </c>
      <c r="BY106" s="102" t="s">
        <v>317</v>
      </c>
      <c r="BZ106" s="102" t="s">
        <v>317</v>
      </c>
      <c r="CA106" s="102" t="s">
        <v>130</v>
      </c>
      <c r="CB106" s="102" t="s">
        <v>130</v>
      </c>
      <c r="CC106" s="102" t="s">
        <v>130</v>
      </c>
      <c r="CD106" s="102" t="s">
        <v>130</v>
      </c>
      <c r="CE106" s="102" t="str">
        <f t="shared" si="43"/>
        <v>SP - PRUDENTE</v>
      </c>
      <c r="CF106" s="118" t="s">
        <v>130</v>
      </c>
      <c r="CG106" s="118" t="s">
        <v>130</v>
      </c>
      <c r="CH106" s="119">
        <f t="shared" si="24"/>
        <v>0</v>
      </c>
      <c r="CI106" s="120" t="s">
        <v>130</v>
      </c>
      <c r="CJ106" s="121">
        <v>5</v>
      </c>
      <c r="CK106" s="121">
        <v>5</v>
      </c>
      <c r="CL106" s="121">
        <f t="shared" si="25"/>
        <v>60</v>
      </c>
      <c r="CM106" s="122">
        <f t="shared" si="26"/>
        <v>0</v>
      </c>
      <c r="CN106" s="88" t="str">
        <f>IFERROR(IF(VLOOKUP(AG106,'[1]ATIVOS SAGI'!C:D,1,FALSE)&lt;&gt;"","CADASTRADO","NÃO CADASTRADO"),"NÃO CADASTRADO")</f>
        <v>CADASTRADO</v>
      </c>
      <c r="CO106" s="99">
        <f t="shared" si="29"/>
        <v>0</v>
      </c>
      <c r="CP106" s="48" t="s">
        <v>48</v>
      </c>
      <c r="CQ106" s="48"/>
      <c r="CR106" s="48"/>
      <c r="CS106" s="48"/>
    </row>
    <row r="107" spans="1:97" x14ac:dyDescent="0.25">
      <c r="A107" s="27">
        <v>151</v>
      </c>
      <c r="B107" s="27">
        <v>32</v>
      </c>
      <c r="C107" s="29" t="s">
        <v>296</v>
      </c>
      <c r="D107" s="40" t="s">
        <v>49</v>
      </c>
      <c r="E107" s="40" t="s">
        <v>130</v>
      </c>
      <c r="F107" s="40" t="s">
        <v>130</v>
      </c>
      <c r="G107" s="40" t="s">
        <v>489</v>
      </c>
      <c r="H107" s="41" t="s">
        <v>306</v>
      </c>
      <c r="I107" s="29" t="s">
        <v>307</v>
      </c>
      <c r="J107" s="29" t="s">
        <v>130</v>
      </c>
      <c r="K107" s="29" t="s">
        <v>130</v>
      </c>
      <c r="L107" s="105">
        <v>0</v>
      </c>
      <c r="M107" s="86" t="s">
        <v>130</v>
      </c>
      <c r="N107" s="85">
        <v>0</v>
      </c>
      <c r="O107" s="86" t="s">
        <v>130</v>
      </c>
      <c r="P107" s="85">
        <v>0</v>
      </c>
      <c r="Q107" s="29" t="s">
        <v>80</v>
      </c>
      <c r="R107" s="85">
        <v>0</v>
      </c>
      <c r="S107" s="85">
        <v>0</v>
      </c>
      <c r="T107" s="85">
        <v>0</v>
      </c>
      <c r="U107" s="85" t="s">
        <v>130</v>
      </c>
      <c r="V107" s="85" t="s">
        <v>130</v>
      </c>
      <c r="W107" s="85" t="s">
        <v>130</v>
      </c>
      <c r="X107" s="85" t="s">
        <v>130</v>
      </c>
      <c r="Y107" s="105">
        <v>0</v>
      </c>
      <c r="Z107" s="85" t="s">
        <v>130</v>
      </c>
      <c r="AA107" s="85" t="s">
        <v>130</v>
      </c>
      <c r="AB107" s="85" t="s">
        <v>130</v>
      </c>
      <c r="AC107" s="85" t="s">
        <v>130</v>
      </c>
      <c r="AD107" s="85" t="s">
        <v>130</v>
      </c>
      <c r="AE107" s="29" t="s">
        <v>298</v>
      </c>
      <c r="AF107" s="29" t="s">
        <v>46</v>
      </c>
      <c r="AG107" s="88" t="s">
        <v>726</v>
      </c>
      <c r="AH107" s="29" t="s">
        <v>727</v>
      </c>
      <c r="AI107" s="107" t="str">
        <f>IFERROR(VLOOKUP(AG107,[2]Frota!$D$2:$AV$187,2,FALSE),"-")</f>
        <v>00363678670</v>
      </c>
      <c r="AJ107" s="87" t="str">
        <f>IFERROR(VLOOKUP(AG107,[2]Frota!$D$2:$AV$187,3,FALSE),"-")</f>
        <v>3210570715602</v>
      </c>
      <c r="AK107" s="29" t="s">
        <v>567</v>
      </c>
      <c r="AL107" s="29" t="s">
        <v>728</v>
      </c>
      <c r="AM107" s="34">
        <v>1962</v>
      </c>
      <c r="AN107" s="34">
        <v>1962</v>
      </c>
      <c r="AO107" s="40" t="s">
        <v>729</v>
      </c>
      <c r="AP107" s="29" t="s">
        <v>621</v>
      </c>
      <c r="AQ107" s="88" t="s">
        <v>464</v>
      </c>
      <c r="AR107" s="89">
        <f>VLOOKUP(AQ107,'[1]Critério de Depreciação'!$C$3:$G$8,5,FALSE)</f>
        <v>1.6666666666666667</v>
      </c>
      <c r="AS107" s="29" t="s">
        <v>324</v>
      </c>
      <c r="AT107" s="29" t="s">
        <v>670</v>
      </c>
      <c r="AU107" s="29" t="str">
        <f>IFERROR(VLOOKUP(AG143,[2]Frota!$D$2:$AV$187,12,FALSE),"-")</f>
        <v>-</v>
      </c>
      <c r="AV107" s="157" t="s">
        <v>130</v>
      </c>
      <c r="AW107" s="90">
        <v>25000</v>
      </c>
      <c r="AX107" s="86" t="s">
        <v>130</v>
      </c>
      <c r="AY107" s="91" t="s">
        <v>130</v>
      </c>
      <c r="AZ107" s="85">
        <v>40000</v>
      </c>
      <c r="BA107" s="123" t="s">
        <v>130</v>
      </c>
      <c r="BB107" s="86" t="s">
        <v>130</v>
      </c>
      <c r="BC107" s="85" t="s">
        <v>130</v>
      </c>
      <c r="BD107" s="85" t="s">
        <v>130</v>
      </c>
      <c r="BE107" s="92">
        <f t="shared" si="22"/>
        <v>40000</v>
      </c>
      <c r="BF107" s="92">
        <v>0</v>
      </c>
      <c r="BG107" s="92">
        <v>25000</v>
      </c>
      <c r="BH107" s="92">
        <v>0</v>
      </c>
      <c r="BI107" s="92">
        <v>0</v>
      </c>
      <c r="BJ107" s="92">
        <v>0</v>
      </c>
      <c r="BK107" s="92">
        <v>0</v>
      </c>
      <c r="BL107" s="92">
        <v>0</v>
      </c>
      <c r="BM107" s="93">
        <f t="shared" si="36"/>
        <v>25000</v>
      </c>
      <c r="BN107" s="92">
        <v>0</v>
      </c>
      <c r="BO107" s="92">
        <v>0</v>
      </c>
      <c r="BP107" s="92">
        <v>0</v>
      </c>
      <c r="BQ107" s="92">
        <v>0</v>
      </c>
      <c r="BR107" s="92">
        <v>0</v>
      </c>
      <c r="BS107" s="85">
        <f t="shared" si="23"/>
        <v>416.66666666666669</v>
      </c>
      <c r="BT107" s="94" t="s">
        <v>130</v>
      </c>
      <c r="BU107" s="94" t="s">
        <v>130</v>
      </c>
      <c r="BV107" s="94" t="s">
        <v>130</v>
      </c>
      <c r="BW107" s="95" t="s">
        <v>130</v>
      </c>
      <c r="BX107" s="96" t="s">
        <v>130</v>
      </c>
      <c r="BY107" s="29" t="s">
        <v>317</v>
      </c>
      <c r="BZ107" s="29" t="s">
        <v>317</v>
      </c>
      <c r="CA107" s="29" t="s">
        <v>130</v>
      </c>
      <c r="CB107" s="29" t="s">
        <v>130</v>
      </c>
      <c r="CC107" s="29" t="s">
        <v>130</v>
      </c>
      <c r="CD107" s="29" t="s">
        <v>130</v>
      </c>
      <c r="CE107" s="29" t="str">
        <f t="shared" si="43"/>
        <v>SP - PRUDENTE - SUCATA</v>
      </c>
      <c r="CF107" s="97" t="s">
        <v>130</v>
      </c>
      <c r="CG107" s="97" t="s">
        <v>130</v>
      </c>
      <c r="CH107" s="37">
        <f t="shared" si="24"/>
        <v>25000</v>
      </c>
      <c r="CI107" s="98" t="s">
        <v>130</v>
      </c>
      <c r="CJ107" s="39">
        <v>5</v>
      </c>
      <c r="CK107" s="39">
        <v>5</v>
      </c>
      <c r="CL107" s="39">
        <f t="shared" si="25"/>
        <v>60</v>
      </c>
      <c r="CM107" s="99">
        <f t="shared" si="26"/>
        <v>833.33333333333337</v>
      </c>
      <c r="CN107" s="40" t="str">
        <f>IFERROR(IF(VLOOKUP(AG107,'[1]ATIVOS SAGI'!C:D,1,FALSE)&lt;&gt;"","CADASTRADO","NÃO CADASTRADO"),"NÃO CADASTRADO")</f>
        <v>NÃO CADASTRADO</v>
      </c>
      <c r="CO107" s="99">
        <f t="shared" si="29"/>
        <v>416.66666666666674</v>
      </c>
      <c r="CP107" s="223" t="s">
        <v>81</v>
      </c>
      <c r="CQ107" s="48"/>
      <c r="CR107" s="48"/>
      <c r="CS107" s="48"/>
    </row>
    <row r="108" spans="1:97" x14ac:dyDescent="0.25">
      <c r="A108" s="27">
        <v>152</v>
      </c>
      <c r="B108" s="27">
        <v>33</v>
      </c>
      <c r="C108" s="29" t="s">
        <v>296</v>
      </c>
      <c r="D108" s="40" t="s">
        <v>49</v>
      </c>
      <c r="E108" s="40" t="s">
        <v>130</v>
      </c>
      <c r="F108" s="88" t="s">
        <v>130</v>
      </c>
      <c r="G108" s="40" t="s">
        <v>489</v>
      </c>
      <c r="H108" s="41" t="s">
        <v>306</v>
      </c>
      <c r="I108" s="29" t="s">
        <v>130</v>
      </c>
      <c r="J108" s="29" t="s">
        <v>130</v>
      </c>
      <c r="K108" s="85" t="s">
        <v>466</v>
      </c>
      <c r="L108" s="85">
        <v>167.74</v>
      </c>
      <c r="M108" s="86" t="s">
        <v>130</v>
      </c>
      <c r="N108" s="85">
        <v>0</v>
      </c>
      <c r="O108" s="86" t="s">
        <v>130</v>
      </c>
      <c r="P108" s="85">
        <v>0</v>
      </c>
      <c r="Q108" s="29" t="s">
        <v>80</v>
      </c>
      <c r="R108" s="85">
        <v>0</v>
      </c>
      <c r="S108" s="85">
        <v>0</v>
      </c>
      <c r="T108" s="85">
        <v>0</v>
      </c>
      <c r="U108" s="85">
        <v>0</v>
      </c>
      <c r="V108" s="85">
        <v>0</v>
      </c>
      <c r="W108" s="86" t="s">
        <v>130</v>
      </c>
      <c r="X108" s="86" t="s">
        <v>130</v>
      </c>
      <c r="Y108" s="85">
        <v>174.08</v>
      </c>
      <c r="Z108" s="85">
        <f>U108+Y108</f>
        <v>174.08</v>
      </c>
      <c r="AA108" s="85">
        <f>V108+Y108</f>
        <v>174.08</v>
      </c>
      <c r="AB108" s="85">
        <v>0</v>
      </c>
      <c r="AC108" s="85">
        <v>0</v>
      </c>
      <c r="AD108" s="85">
        <v>0</v>
      </c>
      <c r="AE108" s="29" t="s">
        <v>298</v>
      </c>
      <c r="AF108" s="29" t="s">
        <v>46</v>
      </c>
      <c r="AG108" s="40" t="s">
        <v>730</v>
      </c>
      <c r="AH108" s="29" t="s">
        <v>468</v>
      </c>
      <c r="AI108" s="87" t="str">
        <f>IFERROR(VLOOKUP(AG108,[2]Frota!$D$2:$AV$187,2,FALSE),"-")</f>
        <v>00169835049</v>
      </c>
      <c r="AJ108" s="87" t="str">
        <f>IFERROR(VLOOKUP(AG108,[2]Frota!$D$2:$AV$187,3,FALSE),"-")</f>
        <v>9A9CS4273ALDJ5086</v>
      </c>
      <c r="AK108" s="29" t="s">
        <v>731</v>
      </c>
      <c r="AL108" s="29" t="s">
        <v>732</v>
      </c>
      <c r="AM108" s="34">
        <v>2009</v>
      </c>
      <c r="AN108" s="34">
        <v>2010</v>
      </c>
      <c r="AO108" s="40" t="s">
        <v>733</v>
      </c>
      <c r="AP108" s="29" t="s">
        <v>621</v>
      </c>
      <c r="AQ108" s="88" t="s">
        <v>464</v>
      </c>
      <c r="AR108" s="89">
        <f>VLOOKUP(AQ108,'[1]Critério de Depreciação'!$C$3:$G$8,5,FALSE)</f>
        <v>1.6666666666666667</v>
      </c>
      <c r="AS108" s="29" t="s">
        <v>324</v>
      </c>
      <c r="AT108" s="29" t="s">
        <v>322</v>
      </c>
      <c r="AU108" s="29" t="str">
        <f>IFERROR(VLOOKUP(AG144,[2]Frota!$D$2:$AV$187,12,FALSE),"-")</f>
        <v>-</v>
      </c>
      <c r="AV108" s="157" t="s">
        <v>130</v>
      </c>
      <c r="AW108" s="90">
        <v>0</v>
      </c>
      <c r="AX108" s="86" t="s">
        <v>130</v>
      </c>
      <c r="AY108" s="91">
        <v>60000</v>
      </c>
      <c r="AZ108" s="85">
        <v>46000</v>
      </c>
      <c r="BA108" s="123" t="s">
        <v>130</v>
      </c>
      <c r="BB108" s="86" t="s">
        <v>130</v>
      </c>
      <c r="BC108" s="85" t="s">
        <v>130</v>
      </c>
      <c r="BD108" s="85" t="s">
        <v>130</v>
      </c>
      <c r="BE108" s="92">
        <f t="shared" si="22"/>
        <v>46000</v>
      </c>
      <c r="BF108" s="92">
        <v>0</v>
      </c>
      <c r="BG108" s="92">
        <v>0</v>
      </c>
      <c r="BH108" s="92">
        <v>0</v>
      </c>
      <c r="BI108" s="92">
        <v>0</v>
      </c>
      <c r="BJ108" s="92">
        <v>0</v>
      </c>
      <c r="BK108" s="92">
        <v>0</v>
      </c>
      <c r="BL108" s="92">
        <v>0</v>
      </c>
      <c r="BM108" s="93">
        <f t="shared" si="36"/>
        <v>0</v>
      </c>
      <c r="BN108" s="92">
        <v>0</v>
      </c>
      <c r="BO108" s="92">
        <v>0</v>
      </c>
      <c r="BP108" s="92">
        <v>0</v>
      </c>
      <c r="BQ108" s="92">
        <v>0</v>
      </c>
      <c r="BR108" s="92">
        <v>0</v>
      </c>
      <c r="BS108" s="85">
        <f t="shared" si="23"/>
        <v>0</v>
      </c>
      <c r="BT108" s="94" t="s">
        <v>130</v>
      </c>
      <c r="BU108" s="94" t="s">
        <v>130</v>
      </c>
      <c r="BV108" s="94" t="s">
        <v>130</v>
      </c>
      <c r="BW108" s="95" t="s">
        <v>130</v>
      </c>
      <c r="BX108" s="96" t="s">
        <v>130</v>
      </c>
      <c r="BY108" s="29" t="s">
        <v>314</v>
      </c>
      <c r="BZ108" s="29" t="s">
        <v>314</v>
      </c>
      <c r="CA108" s="29" t="s">
        <v>130</v>
      </c>
      <c r="CB108" s="29" t="s">
        <v>130</v>
      </c>
      <c r="CC108" s="29" t="s">
        <v>130</v>
      </c>
      <c r="CD108" s="29" t="s">
        <v>130</v>
      </c>
      <c r="CE108" s="29" t="str">
        <f t="shared" si="43"/>
        <v>SP - PRUDENTE - SUCATA</v>
      </c>
      <c r="CF108" s="97" t="s">
        <v>130</v>
      </c>
      <c r="CG108" s="97" t="s">
        <v>130</v>
      </c>
      <c r="CH108" s="37">
        <f t="shared" si="24"/>
        <v>0</v>
      </c>
      <c r="CI108" s="98" t="s">
        <v>130</v>
      </c>
      <c r="CJ108" s="39">
        <v>5</v>
      </c>
      <c r="CK108" s="39">
        <v>5</v>
      </c>
      <c r="CL108" s="39">
        <f t="shared" si="25"/>
        <v>60</v>
      </c>
      <c r="CM108" s="99">
        <f t="shared" si="26"/>
        <v>0</v>
      </c>
      <c r="CN108" s="40" t="str">
        <f>IFERROR(IF(VLOOKUP(AG108,'[1]ATIVOS SAGI'!C:D,1,FALSE)&lt;&gt;"","CADASTRADO","NÃO CADASTRADO"),"NÃO CADASTRADO")</f>
        <v>CADASTRADO</v>
      </c>
      <c r="CO108" s="99">
        <f t="shared" si="29"/>
        <v>0</v>
      </c>
      <c r="CP108" s="100" t="s">
        <v>301</v>
      </c>
      <c r="CQ108" s="48"/>
      <c r="CR108" s="48"/>
      <c r="CS108" s="48"/>
    </row>
    <row r="109" spans="1:97" x14ac:dyDescent="0.25">
      <c r="A109" s="27">
        <v>153</v>
      </c>
      <c r="B109" s="27">
        <v>34</v>
      </c>
      <c r="C109" s="29" t="s">
        <v>734</v>
      </c>
      <c r="D109" s="40" t="s">
        <v>325</v>
      </c>
      <c r="E109" s="40" t="s">
        <v>130</v>
      </c>
      <c r="F109" s="88" t="s">
        <v>130</v>
      </c>
      <c r="G109" s="40" t="s">
        <v>489</v>
      </c>
      <c r="H109" s="41" t="s">
        <v>483</v>
      </c>
      <c r="I109" s="29" t="s">
        <v>130</v>
      </c>
      <c r="J109" s="29" t="s">
        <v>130</v>
      </c>
      <c r="K109" s="29" t="s">
        <v>130</v>
      </c>
      <c r="L109" s="85">
        <v>167.74</v>
      </c>
      <c r="M109" s="86" t="s">
        <v>130</v>
      </c>
      <c r="N109" s="85">
        <v>0</v>
      </c>
      <c r="O109" s="86" t="s">
        <v>130</v>
      </c>
      <c r="P109" s="85">
        <v>0</v>
      </c>
      <c r="Q109" s="29" t="s">
        <v>80</v>
      </c>
      <c r="R109" s="85">
        <v>0</v>
      </c>
      <c r="S109" s="85">
        <v>0</v>
      </c>
      <c r="T109" s="85">
        <v>0</v>
      </c>
      <c r="U109" s="85">
        <v>0</v>
      </c>
      <c r="V109" s="85">
        <v>0</v>
      </c>
      <c r="W109" s="86" t="s">
        <v>130</v>
      </c>
      <c r="X109" s="86" t="s">
        <v>130</v>
      </c>
      <c r="Y109" s="85">
        <v>174.08</v>
      </c>
      <c r="Z109" s="85">
        <f>U109+Y109</f>
        <v>174.08</v>
      </c>
      <c r="AA109" s="85">
        <f>V109+Y109</f>
        <v>174.08</v>
      </c>
      <c r="AB109" s="85">
        <v>0</v>
      </c>
      <c r="AC109" s="85">
        <v>0</v>
      </c>
      <c r="AD109" s="85">
        <v>0</v>
      </c>
      <c r="AE109" s="29" t="s">
        <v>298</v>
      </c>
      <c r="AF109" s="29" t="s">
        <v>304</v>
      </c>
      <c r="AG109" s="234" t="s">
        <v>735</v>
      </c>
      <c r="AH109" s="29" t="s">
        <v>474</v>
      </c>
      <c r="AI109" s="87" t="str">
        <f>IFERROR(VLOOKUP(AG109,[2]Frota!$D$2:$AV$187,2,FALSE),"-")</f>
        <v>00400701960</v>
      </c>
      <c r="AJ109" s="87" t="str">
        <f>IFERROR(VLOOKUP(AG109,[2]Frota!$D$2:$AV$187,3,FALSE),"-")</f>
        <v>34400612033102</v>
      </c>
      <c r="AK109" s="29" t="s">
        <v>567</v>
      </c>
      <c r="AL109" s="29" t="s">
        <v>724</v>
      </c>
      <c r="AM109" s="34">
        <v>1968</v>
      </c>
      <c r="AN109" s="34">
        <v>1968</v>
      </c>
      <c r="AO109" s="40" t="s">
        <v>736</v>
      </c>
      <c r="AP109" s="29" t="s">
        <v>621</v>
      </c>
      <c r="AQ109" s="88" t="s">
        <v>464</v>
      </c>
      <c r="AR109" s="89">
        <f>VLOOKUP(AQ109,'[1]Critério de Depreciação'!$C$3:$G$8,5,FALSE)</f>
        <v>1.6666666666666667</v>
      </c>
      <c r="AS109" s="29" t="s">
        <v>130</v>
      </c>
      <c r="AT109" s="29" t="s">
        <v>130</v>
      </c>
      <c r="AU109" s="29" t="str">
        <f>IFERROR(VLOOKUP(AG145,[2]Frota!$D$2:$AV$187,12,FALSE),"-")</f>
        <v>-</v>
      </c>
      <c r="AV109" s="29" t="s">
        <v>130</v>
      </c>
      <c r="AW109" s="90">
        <v>50000</v>
      </c>
      <c r="AX109" s="86" t="s">
        <v>130</v>
      </c>
      <c r="AY109" s="91" t="s">
        <v>130</v>
      </c>
      <c r="AZ109" s="85">
        <v>68000</v>
      </c>
      <c r="BA109" s="123" t="s">
        <v>130</v>
      </c>
      <c r="BB109" s="86" t="s">
        <v>130</v>
      </c>
      <c r="BC109" s="85" t="s">
        <v>130</v>
      </c>
      <c r="BD109" s="85" t="s">
        <v>130</v>
      </c>
      <c r="BE109" s="92">
        <f t="shared" si="22"/>
        <v>68000</v>
      </c>
      <c r="BF109" s="92">
        <v>0</v>
      </c>
      <c r="BG109" s="92">
        <v>50000</v>
      </c>
      <c r="BH109" s="92">
        <v>0</v>
      </c>
      <c r="BI109" s="92">
        <v>0</v>
      </c>
      <c r="BJ109" s="92">
        <v>0</v>
      </c>
      <c r="BK109" s="92">
        <v>0</v>
      </c>
      <c r="BL109" s="92">
        <v>0</v>
      </c>
      <c r="BM109" s="93">
        <f t="shared" si="36"/>
        <v>50000</v>
      </c>
      <c r="BN109" s="92">
        <f>(BG109*20%)/12</f>
        <v>833.33333333333337</v>
      </c>
      <c r="BO109" s="92">
        <v>0</v>
      </c>
      <c r="BP109" s="92">
        <f>BN109+BO109</f>
        <v>833.33333333333337</v>
      </c>
      <c r="BQ109" s="92">
        <v>0</v>
      </c>
      <c r="BR109" s="92">
        <v>0</v>
      </c>
      <c r="BS109" s="85">
        <f t="shared" si="23"/>
        <v>833.33333333333337</v>
      </c>
      <c r="BT109" s="94">
        <v>69.900000000000006</v>
      </c>
      <c r="BU109" s="94" t="s">
        <v>130</v>
      </c>
      <c r="BV109" s="94" t="s">
        <v>130</v>
      </c>
      <c r="BW109" s="95" t="s">
        <v>130</v>
      </c>
      <c r="BX109" s="96">
        <v>200</v>
      </c>
      <c r="BY109" s="29" t="s">
        <v>130</v>
      </c>
      <c r="BZ109" s="29" t="s">
        <v>130</v>
      </c>
      <c r="CA109" s="29" t="s">
        <v>130</v>
      </c>
      <c r="CB109" s="29" t="s">
        <v>130</v>
      </c>
      <c r="CC109" s="29" t="s">
        <v>130</v>
      </c>
      <c r="CD109" s="29" t="s">
        <v>488</v>
      </c>
      <c r="CE109" s="29" t="str">
        <f t="shared" si="43"/>
        <v>LOJA</v>
      </c>
      <c r="CF109" s="97" t="s">
        <v>130</v>
      </c>
      <c r="CG109" s="97" t="s">
        <v>130</v>
      </c>
      <c r="CH109" s="37">
        <f t="shared" si="24"/>
        <v>50000</v>
      </c>
      <c r="CI109" s="98" t="s">
        <v>130</v>
      </c>
      <c r="CJ109" s="39">
        <v>5</v>
      </c>
      <c r="CK109" s="39">
        <v>5</v>
      </c>
      <c r="CL109" s="39">
        <f t="shared" si="25"/>
        <v>60</v>
      </c>
      <c r="CM109" s="99">
        <f t="shared" si="26"/>
        <v>1666.6666666666667</v>
      </c>
      <c r="CN109" s="40" t="str">
        <f>IFERROR(IF(VLOOKUP(AG109,'[1]ATIVOS SAGI'!C:D,1,FALSE)&lt;&gt;"","CADASTRADO","NÃO CADASTRADO"),"NÃO CADASTRADO")</f>
        <v>CADASTRADO</v>
      </c>
      <c r="CO109" s="99">
        <f t="shared" si="29"/>
        <v>833.33333333333348</v>
      </c>
      <c r="CP109" s="48"/>
      <c r="CQ109" s="48"/>
      <c r="CR109" s="48"/>
      <c r="CS109" s="48"/>
    </row>
    <row r="110" spans="1:97" x14ac:dyDescent="0.25">
      <c r="A110" s="27">
        <v>154</v>
      </c>
      <c r="B110" s="101">
        <v>35</v>
      </c>
      <c r="C110" s="102" t="s">
        <v>296</v>
      </c>
      <c r="D110" s="88" t="s">
        <v>49</v>
      </c>
      <c r="E110" s="88" t="s">
        <v>130</v>
      </c>
      <c r="F110" s="88" t="s">
        <v>130</v>
      </c>
      <c r="G110" s="88"/>
      <c r="H110" s="104" t="s">
        <v>130</v>
      </c>
      <c r="I110" s="102" t="s">
        <v>307</v>
      </c>
      <c r="J110" s="102" t="s">
        <v>130</v>
      </c>
      <c r="K110" s="105" t="s">
        <v>466</v>
      </c>
      <c r="L110" s="105">
        <v>167.74</v>
      </c>
      <c r="M110" s="106" t="s">
        <v>130</v>
      </c>
      <c r="N110" s="105">
        <v>0</v>
      </c>
      <c r="O110" s="106" t="s">
        <v>130</v>
      </c>
      <c r="P110" s="105">
        <v>0</v>
      </c>
      <c r="Q110" s="102" t="s">
        <v>80</v>
      </c>
      <c r="R110" s="105">
        <v>0</v>
      </c>
      <c r="S110" s="105">
        <v>0</v>
      </c>
      <c r="T110" s="105">
        <v>0</v>
      </c>
      <c r="U110" s="105" t="s">
        <v>130</v>
      </c>
      <c r="V110" s="105" t="s">
        <v>130</v>
      </c>
      <c r="W110" s="105" t="s">
        <v>130</v>
      </c>
      <c r="X110" s="105" t="s">
        <v>130</v>
      </c>
      <c r="Y110" s="105" t="s">
        <v>130</v>
      </c>
      <c r="Z110" s="105" t="s">
        <v>130</v>
      </c>
      <c r="AA110" s="105" t="s">
        <v>130</v>
      </c>
      <c r="AB110" s="105" t="s">
        <v>130</v>
      </c>
      <c r="AC110" s="105" t="s">
        <v>130</v>
      </c>
      <c r="AD110" s="105" t="s">
        <v>130</v>
      </c>
      <c r="AE110" s="102" t="s">
        <v>297</v>
      </c>
      <c r="AF110" s="102" t="s">
        <v>302</v>
      </c>
      <c r="AG110" s="88" t="s">
        <v>737</v>
      </c>
      <c r="AH110" s="102" t="s">
        <v>130</v>
      </c>
      <c r="AI110" s="107" t="str">
        <f>IFERROR(VLOOKUP(AG110,[2]Frota!$D$2:$AV$187,2,FALSE),"-")</f>
        <v>00732994047</v>
      </c>
      <c r="AJ110" s="107" t="str">
        <f>IFERROR(VLOOKUP(AG110,[2]Frota!$D$2:$AV$187,3,FALSE),"-")</f>
        <v>9BM695014YB220021</v>
      </c>
      <c r="AK110" s="102" t="s">
        <v>567</v>
      </c>
      <c r="AL110" s="102" t="s">
        <v>568</v>
      </c>
      <c r="AM110" s="108">
        <v>2000</v>
      </c>
      <c r="AN110" s="108">
        <v>2000</v>
      </c>
      <c r="AO110" s="88" t="s">
        <v>738</v>
      </c>
      <c r="AP110" s="102" t="s">
        <v>621</v>
      </c>
      <c r="AQ110" s="88" t="s">
        <v>464</v>
      </c>
      <c r="AR110" s="89">
        <f>VLOOKUP(AQ110,'[1]Critério de Depreciação'!$C$3:$G$8,5,FALSE)</f>
        <v>1.6666666666666667</v>
      </c>
      <c r="AS110" s="102" t="s">
        <v>130</v>
      </c>
      <c r="AT110" s="102" t="s">
        <v>130</v>
      </c>
      <c r="AU110" s="102" t="str">
        <f>IFERROR(VLOOKUP(AG166,[2]Frota!$D$2:$AV$187,12,FALSE),"-")</f>
        <v>-</v>
      </c>
      <c r="AV110" s="158" t="s">
        <v>130</v>
      </c>
      <c r="AW110" s="110">
        <v>0</v>
      </c>
      <c r="AX110" s="106" t="s">
        <v>130</v>
      </c>
      <c r="AY110" s="111">
        <f>126000+50000</f>
        <v>176000</v>
      </c>
      <c r="AZ110" s="105">
        <v>106000</v>
      </c>
      <c r="BA110" s="112" t="s">
        <v>130</v>
      </c>
      <c r="BB110" s="106" t="s">
        <v>130</v>
      </c>
      <c r="BC110" s="105">
        <v>85000</v>
      </c>
      <c r="BD110" s="105" t="s">
        <v>130</v>
      </c>
      <c r="BE110" s="113">
        <f t="shared" si="22"/>
        <v>191000</v>
      </c>
      <c r="BF110" s="113">
        <v>0</v>
      </c>
      <c r="BG110" s="113">
        <v>185000</v>
      </c>
      <c r="BH110" s="113">
        <v>0</v>
      </c>
      <c r="BI110" s="113">
        <v>0</v>
      </c>
      <c r="BJ110" s="113">
        <v>0</v>
      </c>
      <c r="BK110" s="113">
        <v>0</v>
      </c>
      <c r="BL110" s="113">
        <v>0</v>
      </c>
      <c r="BM110" s="114">
        <f t="shared" si="36"/>
        <v>185000</v>
      </c>
      <c r="BN110" s="113">
        <v>0</v>
      </c>
      <c r="BO110" s="113">
        <v>0</v>
      </c>
      <c r="BP110" s="113">
        <v>0</v>
      </c>
      <c r="BQ110" s="113">
        <v>0</v>
      </c>
      <c r="BR110" s="113">
        <v>0</v>
      </c>
      <c r="BS110" s="105">
        <f t="shared" si="23"/>
        <v>0</v>
      </c>
      <c r="BT110" s="153" t="s">
        <v>130</v>
      </c>
      <c r="BU110" s="153" t="s">
        <v>130</v>
      </c>
      <c r="BV110" s="153" t="s">
        <v>130</v>
      </c>
      <c r="BW110" s="154" t="s">
        <v>130</v>
      </c>
      <c r="BX110" s="180" t="s">
        <v>130</v>
      </c>
      <c r="BY110" s="102" t="s">
        <v>312</v>
      </c>
      <c r="BZ110" s="102" t="s">
        <v>317</v>
      </c>
      <c r="CA110" s="102" t="s">
        <v>130</v>
      </c>
      <c r="CB110" s="102" t="s">
        <v>130</v>
      </c>
      <c r="CC110" s="102" t="s">
        <v>130</v>
      </c>
      <c r="CD110" s="102" t="s">
        <v>130</v>
      </c>
      <c r="CE110" s="102" t="str">
        <f t="shared" si="43"/>
        <v>SP - PRUDENTE</v>
      </c>
      <c r="CF110" s="118" t="s">
        <v>130</v>
      </c>
      <c r="CG110" s="118" t="s">
        <v>130</v>
      </c>
      <c r="CH110" s="119">
        <f t="shared" si="24"/>
        <v>185000</v>
      </c>
      <c r="CI110" s="120" t="s">
        <v>130</v>
      </c>
      <c r="CJ110" s="121">
        <v>5</v>
      </c>
      <c r="CK110" s="121">
        <v>5</v>
      </c>
      <c r="CL110" s="121">
        <f t="shared" si="25"/>
        <v>60</v>
      </c>
      <c r="CM110" s="122">
        <f t="shared" si="26"/>
        <v>6166.666666666667</v>
      </c>
      <c r="CN110" s="88" t="str">
        <f>IFERROR(IF(VLOOKUP(AG110,'[1]ATIVOS SAGI'!C:D,1,FALSE)&lt;&gt;"","CADASTRADO","NÃO CADASTRADO"),"NÃO CADASTRADO")</f>
        <v>CADASTRADO</v>
      </c>
      <c r="CO110" s="99">
        <f t="shared" si="29"/>
        <v>3083.3333333333339</v>
      </c>
      <c r="CP110" s="48" t="s">
        <v>48</v>
      </c>
      <c r="CQ110" s="48"/>
      <c r="CR110" s="48"/>
      <c r="CS110" s="48"/>
    </row>
    <row r="111" spans="1:97" x14ac:dyDescent="0.25">
      <c r="A111" s="27">
        <v>155</v>
      </c>
      <c r="B111" s="101">
        <v>36</v>
      </c>
      <c r="C111" s="102" t="s">
        <v>296</v>
      </c>
      <c r="D111" s="88" t="s">
        <v>49</v>
      </c>
      <c r="E111" s="88" t="s">
        <v>130</v>
      </c>
      <c r="F111" s="88" t="s">
        <v>130</v>
      </c>
      <c r="G111" s="88"/>
      <c r="H111" s="104" t="s">
        <v>130</v>
      </c>
      <c r="I111" s="102" t="s">
        <v>307</v>
      </c>
      <c r="J111" s="105" t="s">
        <v>130</v>
      </c>
      <c r="K111" s="105" t="s">
        <v>130</v>
      </c>
      <c r="L111" s="105">
        <v>167.74</v>
      </c>
      <c r="M111" s="106" t="s">
        <v>130</v>
      </c>
      <c r="N111" s="105">
        <v>0</v>
      </c>
      <c r="O111" s="106" t="s">
        <v>130</v>
      </c>
      <c r="P111" s="105">
        <v>0</v>
      </c>
      <c r="Q111" s="102" t="s">
        <v>80</v>
      </c>
      <c r="R111" s="105">
        <v>0</v>
      </c>
      <c r="S111" s="105">
        <v>0</v>
      </c>
      <c r="T111" s="105">
        <v>160.22</v>
      </c>
      <c r="U111" s="105" t="s">
        <v>130</v>
      </c>
      <c r="V111" s="105" t="s">
        <v>130</v>
      </c>
      <c r="W111" s="105" t="s">
        <v>130</v>
      </c>
      <c r="X111" s="105" t="s">
        <v>130</v>
      </c>
      <c r="Y111" s="105" t="s">
        <v>130</v>
      </c>
      <c r="Z111" s="105" t="s">
        <v>130</v>
      </c>
      <c r="AA111" s="105" t="s">
        <v>130</v>
      </c>
      <c r="AB111" s="105" t="s">
        <v>130</v>
      </c>
      <c r="AC111" s="105" t="s">
        <v>130</v>
      </c>
      <c r="AD111" s="105" t="s">
        <v>130</v>
      </c>
      <c r="AE111" s="102" t="s">
        <v>297</v>
      </c>
      <c r="AF111" s="102" t="s">
        <v>302</v>
      </c>
      <c r="AG111" s="88" t="s">
        <v>739</v>
      </c>
      <c r="AH111" s="102" t="s">
        <v>130</v>
      </c>
      <c r="AI111" s="107" t="str">
        <f>IFERROR(VLOOKUP(AG111,[2]Frota!$D$2:$AV$187,2,FALSE),"-")</f>
        <v>00750097205</v>
      </c>
      <c r="AJ111" s="107" t="str">
        <f>IFERROR(VLOOKUP(AG111,[2]Frota!$D$2:$AV$187,3,FALSE),"-")</f>
        <v>9BM695014YB239174</v>
      </c>
      <c r="AK111" s="102" t="s">
        <v>567</v>
      </c>
      <c r="AL111" s="102" t="s">
        <v>568</v>
      </c>
      <c r="AM111" s="108">
        <v>2000</v>
      </c>
      <c r="AN111" s="108">
        <v>2000</v>
      </c>
      <c r="AO111" s="88" t="s">
        <v>740</v>
      </c>
      <c r="AP111" s="102" t="s">
        <v>621</v>
      </c>
      <c r="AQ111" s="88" t="s">
        <v>464</v>
      </c>
      <c r="AR111" s="89">
        <f>VLOOKUP(AQ111,'[1]Critério de Depreciação'!$C$3:$G$8,5,FALSE)</f>
        <v>1.6666666666666667</v>
      </c>
      <c r="AS111" s="102" t="s">
        <v>324</v>
      </c>
      <c r="AT111" s="102" t="s">
        <v>300</v>
      </c>
      <c r="AU111" s="102" t="str">
        <f>IFERROR(VLOOKUP(AG167,[2]Frota!$D$2:$AV$187,12,FALSE),"-")</f>
        <v>-</v>
      </c>
      <c r="AV111" s="158" t="s">
        <v>130</v>
      </c>
      <c r="AW111" s="110">
        <v>0</v>
      </c>
      <c r="AX111" s="106" t="s">
        <v>130</v>
      </c>
      <c r="AY111" s="111">
        <f>126000+35000</f>
        <v>161000</v>
      </c>
      <c r="AZ111" s="105">
        <v>106000</v>
      </c>
      <c r="BA111" s="112" t="s">
        <v>130</v>
      </c>
      <c r="BB111" s="106" t="s">
        <v>130</v>
      </c>
      <c r="BC111" s="105" t="s">
        <v>130</v>
      </c>
      <c r="BD111" s="105" t="s">
        <v>130</v>
      </c>
      <c r="BE111" s="113">
        <f t="shared" ref="BE111:BE116" si="44">SUM(AZ111:BA111,BC111:BD111)</f>
        <v>106000</v>
      </c>
      <c r="BF111" s="113">
        <v>0</v>
      </c>
      <c r="BG111" s="113">
        <v>185000</v>
      </c>
      <c r="BH111" s="113">
        <v>0</v>
      </c>
      <c r="BI111" s="113">
        <v>0</v>
      </c>
      <c r="BJ111" s="113">
        <v>0</v>
      </c>
      <c r="BK111" s="113">
        <v>0</v>
      </c>
      <c r="BL111" s="113">
        <v>0</v>
      </c>
      <c r="BM111" s="114">
        <f t="shared" si="36"/>
        <v>185000</v>
      </c>
      <c r="BN111" s="113">
        <v>0</v>
      </c>
      <c r="BO111" s="113">
        <v>0</v>
      </c>
      <c r="BP111" s="113">
        <v>0</v>
      </c>
      <c r="BQ111" s="113">
        <v>0</v>
      </c>
      <c r="BR111" s="113">
        <v>0</v>
      </c>
      <c r="BS111" s="105">
        <f t="shared" ref="BS111:BS116" si="45">IFERROR((AW111*20%)/12,"-")</f>
        <v>0</v>
      </c>
      <c r="BT111" s="153" t="s">
        <v>130</v>
      </c>
      <c r="BU111" s="153" t="s">
        <v>130</v>
      </c>
      <c r="BV111" s="153" t="s">
        <v>130</v>
      </c>
      <c r="BW111" s="154" t="s">
        <v>130</v>
      </c>
      <c r="BX111" s="180" t="s">
        <v>130</v>
      </c>
      <c r="BY111" s="102" t="s">
        <v>312</v>
      </c>
      <c r="BZ111" s="102" t="s">
        <v>317</v>
      </c>
      <c r="CA111" s="102" t="s">
        <v>130</v>
      </c>
      <c r="CB111" s="102" t="s">
        <v>130</v>
      </c>
      <c r="CC111" s="102" t="s">
        <v>130</v>
      </c>
      <c r="CD111" s="102" t="s">
        <v>130</v>
      </c>
      <c r="CE111" s="102" t="str">
        <f t="shared" si="43"/>
        <v>SP - PRUDENTE</v>
      </c>
      <c r="CF111" s="118" t="s">
        <v>130</v>
      </c>
      <c r="CG111" s="118" t="s">
        <v>130</v>
      </c>
      <c r="CH111" s="119">
        <f t="shared" ref="CH111:CH116" si="46">BM111</f>
        <v>185000</v>
      </c>
      <c r="CI111" s="120" t="s">
        <v>130</v>
      </c>
      <c r="CJ111" s="121">
        <v>5</v>
      </c>
      <c r="CK111" s="121">
        <v>5</v>
      </c>
      <c r="CL111" s="121">
        <f t="shared" ref="CL111:CL116" si="47">12*CK111</f>
        <v>60</v>
      </c>
      <c r="CM111" s="122">
        <f t="shared" ref="CM111:CM116" si="48">IFERROR((CH111/CL111)*2,"-")</f>
        <v>6166.666666666667</v>
      </c>
      <c r="CN111" s="88" t="str">
        <f>IFERROR(IF(VLOOKUP(AG111,'[1]ATIVOS SAGI'!C:D,1,FALSE)&lt;&gt;"","CADASTRADO","NÃO CADASTRADO"),"NÃO CADASTRADO")</f>
        <v>CADASTRADO</v>
      </c>
      <c r="CO111" s="99">
        <f t="shared" si="29"/>
        <v>3083.3333333333339</v>
      </c>
      <c r="CP111" s="48" t="s">
        <v>48</v>
      </c>
      <c r="CQ111" s="48"/>
      <c r="CR111" s="48"/>
      <c r="CS111" s="48"/>
    </row>
    <row r="112" spans="1:97" x14ac:dyDescent="0.25">
      <c r="A112" s="27">
        <v>156</v>
      </c>
      <c r="B112" s="101">
        <v>38</v>
      </c>
      <c r="C112" s="102" t="s">
        <v>457</v>
      </c>
      <c r="D112" s="88" t="s">
        <v>458</v>
      </c>
      <c r="E112" s="88" t="s">
        <v>130</v>
      </c>
      <c r="F112" s="88" t="s">
        <v>130</v>
      </c>
      <c r="G112" s="88"/>
      <c r="H112" s="104" t="s">
        <v>130</v>
      </c>
      <c r="I112" s="102" t="s">
        <v>307</v>
      </c>
      <c r="J112" s="102" t="s">
        <v>130</v>
      </c>
      <c r="K112" s="102" t="s">
        <v>130</v>
      </c>
      <c r="L112" s="105" t="s">
        <v>130</v>
      </c>
      <c r="M112" s="106" t="s">
        <v>130</v>
      </c>
      <c r="N112" s="105" t="s">
        <v>130</v>
      </c>
      <c r="O112" s="106" t="s">
        <v>130</v>
      </c>
      <c r="P112" s="105" t="s">
        <v>130</v>
      </c>
      <c r="Q112" s="105" t="s">
        <v>130</v>
      </c>
      <c r="R112" s="105" t="s">
        <v>130</v>
      </c>
      <c r="S112" s="105" t="s">
        <v>130</v>
      </c>
      <c r="T112" s="105" t="s">
        <v>130</v>
      </c>
      <c r="U112" s="105" t="s">
        <v>130</v>
      </c>
      <c r="V112" s="105" t="s">
        <v>130</v>
      </c>
      <c r="W112" s="105" t="s">
        <v>130</v>
      </c>
      <c r="X112" s="105" t="s">
        <v>130</v>
      </c>
      <c r="Y112" s="105" t="s">
        <v>130</v>
      </c>
      <c r="Z112" s="105" t="s">
        <v>130</v>
      </c>
      <c r="AA112" s="105" t="s">
        <v>130</v>
      </c>
      <c r="AB112" s="105" t="s">
        <v>130</v>
      </c>
      <c r="AC112" s="105" t="s">
        <v>130</v>
      </c>
      <c r="AD112" s="105" t="s">
        <v>130</v>
      </c>
      <c r="AE112" s="102" t="s">
        <v>297</v>
      </c>
      <c r="AF112" s="102" t="s">
        <v>130</v>
      </c>
      <c r="AG112" s="88" t="s">
        <v>741</v>
      </c>
      <c r="AH112" s="102" t="s">
        <v>130</v>
      </c>
      <c r="AI112" s="107" t="str">
        <f>IFERROR(VLOOKUP(AG112,[2]Frota!$D$2:$AV$187,2,FALSE),"-")</f>
        <v>00372189245</v>
      </c>
      <c r="AJ112" s="107" t="str">
        <f>IFERROR(VLOOKUP(AG112,[2]Frota!$D$2:$AV$187,3,FALSE),"-")</f>
        <v>OJ85806</v>
      </c>
      <c r="AK112" s="102" t="s">
        <v>326</v>
      </c>
      <c r="AL112" s="102" t="s">
        <v>742</v>
      </c>
      <c r="AM112" s="108">
        <v>1988</v>
      </c>
      <c r="AN112" s="108">
        <v>1988</v>
      </c>
      <c r="AO112" s="88" t="s">
        <v>555</v>
      </c>
      <c r="AP112" s="102" t="s">
        <v>621</v>
      </c>
      <c r="AQ112" s="88" t="s">
        <v>464</v>
      </c>
      <c r="AR112" s="89">
        <f>VLOOKUP(AQ112,'[1]Critério de Depreciação'!$C$3:$G$8,5,FALSE)</f>
        <v>1.6666666666666667</v>
      </c>
      <c r="AS112" s="102" t="s">
        <v>299</v>
      </c>
      <c r="AT112" s="102" t="s">
        <v>300</v>
      </c>
      <c r="AU112" s="102" t="str">
        <f>IFERROR(VLOOKUP(AG117,[2]Frota!$D$2:$AV$187,12,FALSE),"-")</f>
        <v>-</v>
      </c>
      <c r="AV112" s="109" t="s">
        <v>130</v>
      </c>
      <c r="AW112" s="110">
        <v>0</v>
      </c>
      <c r="AX112" s="106" t="s">
        <v>130</v>
      </c>
      <c r="AY112" s="111" t="s">
        <v>130</v>
      </c>
      <c r="AZ112" s="105">
        <v>40000</v>
      </c>
      <c r="BA112" s="112" t="s">
        <v>130</v>
      </c>
      <c r="BB112" s="106" t="s">
        <v>130</v>
      </c>
      <c r="BC112" s="105" t="s">
        <v>130</v>
      </c>
      <c r="BD112" s="105" t="s">
        <v>130</v>
      </c>
      <c r="BE112" s="113">
        <f t="shared" si="44"/>
        <v>40000</v>
      </c>
      <c r="BF112" s="113">
        <v>0</v>
      </c>
      <c r="BG112" s="113">
        <v>0</v>
      </c>
      <c r="BH112" s="113">
        <v>0</v>
      </c>
      <c r="BI112" s="113">
        <v>0</v>
      </c>
      <c r="BJ112" s="113">
        <v>0</v>
      </c>
      <c r="BK112" s="113">
        <v>0</v>
      </c>
      <c r="BL112" s="113">
        <v>0</v>
      </c>
      <c r="BM112" s="114">
        <f t="shared" si="36"/>
        <v>0</v>
      </c>
      <c r="BN112" s="113">
        <v>0</v>
      </c>
      <c r="BO112" s="113">
        <v>0</v>
      </c>
      <c r="BP112" s="113">
        <v>0</v>
      </c>
      <c r="BQ112" s="113">
        <v>0</v>
      </c>
      <c r="BR112" s="113">
        <v>0</v>
      </c>
      <c r="BS112" s="105">
        <f t="shared" si="45"/>
        <v>0</v>
      </c>
      <c r="BT112" s="153" t="s">
        <v>130</v>
      </c>
      <c r="BU112" s="153" t="s">
        <v>130</v>
      </c>
      <c r="BV112" s="153" t="s">
        <v>130</v>
      </c>
      <c r="BW112" s="154" t="s">
        <v>130</v>
      </c>
      <c r="BX112" s="153" t="s">
        <v>130</v>
      </c>
      <c r="BY112" s="102" t="s">
        <v>556</v>
      </c>
      <c r="BZ112" s="102" t="s">
        <v>556</v>
      </c>
      <c r="CA112" s="102" t="s">
        <v>130</v>
      </c>
      <c r="CB112" s="102" t="s">
        <v>130</v>
      </c>
      <c r="CC112" s="102" t="s">
        <v>130</v>
      </c>
      <c r="CD112" s="102" t="s">
        <v>130</v>
      </c>
      <c r="CE112" s="102" t="str">
        <f t="shared" si="43"/>
        <v>-</v>
      </c>
      <c r="CF112" s="118" t="s">
        <v>130</v>
      </c>
      <c r="CG112" s="118" t="s">
        <v>130</v>
      </c>
      <c r="CH112" s="119">
        <f t="shared" si="46"/>
        <v>0</v>
      </c>
      <c r="CI112" s="120" t="s">
        <v>130</v>
      </c>
      <c r="CJ112" s="121">
        <v>5</v>
      </c>
      <c r="CK112" s="121">
        <v>5</v>
      </c>
      <c r="CL112" s="121">
        <f t="shared" si="47"/>
        <v>60</v>
      </c>
      <c r="CM112" s="122">
        <f t="shared" si="48"/>
        <v>0</v>
      </c>
      <c r="CN112" s="88" t="str">
        <f>IFERROR(IF(VLOOKUP(AG112,'[1]ATIVOS SAGI'!C:D,1,FALSE)&lt;&gt;"","CADASTRADO","NÃO CADASTRADO"),"NÃO CADASTRADO")</f>
        <v>CADASTRADO</v>
      </c>
      <c r="CO112" s="99">
        <f t="shared" si="29"/>
        <v>0</v>
      </c>
      <c r="CP112" s="48"/>
      <c r="CQ112" s="48"/>
      <c r="CR112" s="48"/>
      <c r="CS112" s="48"/>
    </row>
    <row r="113" spans="1:97" x14ac:dyDescent="0.25">
      <c r="A113" s="27">
        <v>195</v>
      </c>
      <c r="B113" s="101">
        <v>5</v>
      </c>
      <c r="C113" s="102" t="s">
        <v>296</v>
      </c>
      <c r="D113" s="88" t="s">
        <v>49</v>
      </c>
      <c r="E113" s="88" t="s">
        <v>130</v>
      </c>
      <c r="F113" s="88" t="s">
        <v>130</v>
      </c>
      <c r="G113" s="88"/>
      <c r="H113" s="104" t="s">
        <v>130</v>
      </c>
      <c r="I113" s="102" t="s">
        <v>130</v>
      </c>
      <c r="J113" s="102" t="s">
        <v>130</v>
      </c>
      <c r="K113" s="102" t="s">
        <v>130</v>
      </c>
      <c r="L113" s="105" t="s">
        <v>130</v>
      </c>
      <c r="M113" s="106" t="s">
        <v>130</v>
      </c>
      <c r="N113" s="105" t="s">
        <v>130</v>
      </c>
      <c r="O113" s="106" t="s">
        <v>130</v>
      </c>
      <c r="P113" s="105" t="s">
        <v>130</v>
      </c>
      <c r="Q113" s="105" t="s">
        <v>130</v>
      </c>
      <c r="R113" s="105" t="s">
        <v>130</v>
      </c>
      <c r="S113" s="105" t="s">
        <v>130</v>
      </c>
      <c r="T113" s="105" t="s">
        <v>130</v>
      </c>
      <c r="U113" s="105" t="s">
        <v>130</v>
      </c>
      <c r="V113" s="105" t="s">
        <v>130</v>
      </c>
      <c r="W113" s="105" t="s">
        <v>130</v>
      </c>
      <c r="X113" s="105" t="s">
        <v>130</v>
      </c>
      <c r="Y113" s="105" t="s">
        <v>130</v>
      </c>
      <c r="Z113" s="105" t="s">
        <v>130</v>
      </c>
      <c r="AA113" s="105" t="s">
        <v>130</v>
      </c>
      <c r="AB113" s="105" t="s">
        <v>130</v>
      </c>
      <c r="AC113" s="105" t="s">
        <v>130</v>
      </c>
      <c r="AD113" s="105" t="s">
        <v>130</v>
      </c>
      <c r="AE113" s="102" t="s">
        <v>297</v>
      </c>
      <c r="AF113" s="102" t="s">
        <v>130</v>
      </c>
      <c r="AG113" s="88" t="s">
        <v>743</v>
      </c>
      <c r="AH113" s="102" t="s">
        <v>130</v>
      </c>
      <c r="AI113" s="107" t="str">
        <f>IFERROR(VLOOKUP(AG113,[2]Frota!$D$2:$AV$187,2,FALSE),"-")</f>
        <v>00203475003</v>
      </c>
      <c r="AJ113" s="107" t="str">
        <f>IFERROR(VLOOKUP(AG113,[2]Frota!$D$2:$AV$187,3,FALSE),"-")</f>
        <v>9BFYCAWY4ABB49765</v>
      </c>
      <c r="AK113" s="102" t="s">
        <v>549</v>
      </c>
      <c r="AL113" s="102" t="s">
        <v>620</v>
      </c>
      <c r="AM113" s="108">
        <v>2010</v>
      </c>
      <c r="AN113" s="108">
        <v>2010</v>
      </c>
      <c r="AO113" s="88" t="s">
        <v>698</v>
      </c>
      <c r="AP113" s="102" t="s">
        <v>621</v>
      </c>
      <c r="AQ113" s="88" t="s">
        <v>464</v>
      </c>
      <c r="AR113" s="89">
        <f>VLOOKUP(AQ113,'[1]Critério de Depreciação'!$C$3:$G$8,5,FALSE)</f>
        <v>1.6666666666666667</v>
      </c>
      <c r="AS113" s="102" t="s">
        <v>130</v>
      </c>
      <c r="AT113" s="102" t="s">
        <v>130</v>
      </c>
      <c r="AU113" s="102" t="str">
        <f>IFERROR(VLOOKUP(#REF!,[2]Frota!$D$2:$AV$187,12,FALSE),"-")</f>
        <v>-</v>
      </c>
      <c r="AV113" s="155">
        <v>28522</v>
      </c>
      <c r="AW113" s="110">
        <v>160000</v>
      </c>
      <c r="AX113" s="106">
        <v>40190</v>
      </c>
      <c r="AY113" s="111" t="s">
        <v>130</v>
      </c>
      <c r="AZ113" s="105" t="s">
        <v>130</v>
      </c>
      <c r="BA113" s="112">
        <v>102418</v>
      </c>
      <c r="BB113" s="106">
        <v>45215</v>
      </c>
      <c r="BC113" s="105">
        <v>85000</v>
      </c>
      <c r="BD113" s="105" t="s">
        <v>130</v>
      </c>
      <c r="BE113" s="113">
        <f t="shared" si="44"/>
        <v>187418</v>
      </c>
      <c r="BF113" s="113">
        <v>0</v>
      </c>
      <c r="BG113" s="113">
        <v>0</v>
      </c>
      <c r="BH113" s="113">
        <v>0</v>
      </c>
      <c r="BI113" s="113">
        <v>0</v>
      </c>
      <c r="BJ113" s="113">
        <v>0</v>
      </c>
      <c r="BK113" s="113">
        <v>0</v>
      </c>
      <c r="BL113" s="113">
        <v>0</v>
      </c>
      <c r="BM113" s="114">
        <f t="shared" si="36"/>
        <v>0</v>
      </c>
      <c r="BN113" s="113">
        <v>0</v>
      </c>
      <c r="BO113" s="113">
        <v>0</v>
      </c>
      <c r="BP113" s="113">
        <v>0</v>
      </c>
      <c r="BQ113" s="113">
        <v>0</v>
      </c>
      <c r="BR113" s="113">
        <v>0</v>
      </c>
      <c r="BS113" s="105">
        <f t="shared" si="45"/>
        <v>2666.6666666666665</v>
      </c>
      <c r="BT113" s="153" t="s">
        <v>130</v>
      </c>
      <c r="BU113" s="153" t="s">
        <v>130</v>
      </c>
      <c r="BV113" s="153" t="s">
        <v>130</v>
      </c>
      <c r="BW113" s="154" t="s">
        <v>130</v>
      </c>
      <c r="BX113" s="153" t="s">
        <v>130</v>
      </c>
      <c r="BY113" s="102" t="s">
        <v>314</v>
      </c>
      <c r="BZ113" s="102" t="s">
        <v>689</v>
      </c>
      <c r="CA113" s="102" t="s">
        <v>130</v>
      </c>
      <c r="CB113" s="102" t="s">
        <v>130</v>
      </c>
      <c r="CC113" s="102" t="s">
        <v>130</v>
      </c>
      <c r="CD113" s="102" t="s">
        <v>130</v>
      </c>
      <c r="CE113" s="102" t="str">
        <f t="shared" si="43"/>
        <v>-</v>
      </c>
      <c r="CF113" s="118" t="s">
        <v>130</v>
      </c>
      <c r="CG113" s="118" t="s">
        <v>130</v>
      </c>
      <c r="CH113" s="119">
        <f t="shared" si="46"/>
        <v>0</v>
      </c>
      <c r="CI113" s="120" t="s">
        <v>130</v>
      </c>
      <c r="CJ113" s="121">
        <v>5</v>
      </c>
      <c r="CK113" s="121">
        <v>5</v>
      </c>
      <c r="CL113" s="121">
        <f t="shared" si="47"/>
        <v>60</v>
      </c>
      <c r="CM113" s="122">
        <f t="shared" si="48"/>
        <v>0</v>
      </c>
      <c r="CN113" s="88" t="str">
        <f>IFERROR(IF(VLOOKUP(AG113,'[1]ATIVOS SAGI'!C:D,1,FALSE)&lt;&gt;"","CADASTRADO","NÃO CADASTRADO"),"NÃO CADASTRADO")</f>
        <v>CADASTRADO</v>
      </c>
      <c r="CO113" s="99">
        <f t="shared" si="29"/>
        <v>0</v>
      </c>
      <c r="CP113" s="48" t="s">
        <v>48</v>
      </c>
      <c r="CQ113" s="100"/>
      <c r="CR113" s="100"/>
      <c r="CS113" s="100"/>
    </row>
    <row r="114" spans="1:97" x14ac:dyDescent="0.25">
      <c r="A114" s="27">
        <v>196</v>
      </c>
      <c r="B114" s="101">
        <v>11</v>
      </c>
      <c r="C114" s="102" t="s">
        <v>296</v>
      </c>
      <c r="D114" s="88" t="s">
        <v>49</v>
      </c>
      <c r="E114" s="88" t="s">
        <v>130</v>
      </c>
      <c r="F114" s="88" t="s">
        <v>130</v>
      </c>
      <c r="G114" s="88"/>
      <c r="H114" s="104" t="s">
        <v>130</v>
      </c>
      <c r="I114" s="102" t="s">
        <v>130</v>
      </c>
      <c r="J114" s="102" t="s">
        <v>130</v>
      </c>
      <c r="K114" s="102" t="s">
        <v>130</v>
      </c>
      <c r="L114" s="105" t="s">
        <v>130</v>
      </c>
      <c r="M114" s="106" t="s">
        <v>130</v>
      </c>
      <c r="N114" s="105" t="s">
        <v>130</v>
      </c>
      <c r="O114" s="106" t="s">
        <v>130</v>
      </c>
      <c r="P114" s="105" t="s">
        <v>130</v>
      </c>
      <c r="Q114" s="105" t="s">
        <v>130</v>
      </c>
      <c r="R114" s="105" t="s">
        <v>130</v>
      </c>
      <c r="S114" s="105" t="s">
        <v>130</v>
      </c>
      <c r="T114" s="105" t="s">
        <v>130</v>
      </c>
      <c r="U114" s="105" t="s">
        <v>130</v>
      </c>
      <c r="V114" s="105" t="s">
        <v>130</v>
      </c>
      <c r="W114" s="105" t="s">
        <v>130</v>
      </c>
      <c r="X114" s="105" t="s">
        <v>130</v>
      </c>
      <c r="Y114" s="105" t="s">
        <v>130</v>
      </c>
      <c r="Z114" s="105" t="s">
        <v>130</v>
      </c>
      <c r="AA114" s="105" t="s">
        <v>130</v>
      </c>
      <c r="AB114" s="105" t="s">
        <v>130</v>
      </c>
      <c r="AC114" s="105" t="s">
        <v>130</v>
      </c>
      <c r="AD114" s="105" t="s">
        <v>130</v>
      </c>
      <c r="AE114" s="102" t="s">
        <v>297</v>
      </c>
      <c r="AF114" s="102" t="s">
        <v>130</v>
      </c>
      <c r="AG114" s="88" t="s">
        <v>744</v>
      </c>
      <c r="AH114" s="102" t="s">
        <v>130</v>
      </c>
      <c r="AI114" s="107" t="str">
        <f>IFERROR(VLOOKUP(AG114,[2]Frota!$D$2:$AV$187,2,FALSE),"-")</f>
        <v>00410084425</v>
      </c>
      <c r="AJ114" s="107" t="str">
        <f>IFERROR(VLOOKUP(AG114,[2]Frota!$D$2:$AV$187,3,FALSE),"-")</f>
        <v>-</v>
      </c>
      <c r="AK114" s="102" t="s">
        <v>567</v>
      </c>
      <c r="AL114" s="102" t="s">
        <v>745</v>
      </c>
      <c r="AM114" s="108">
        <v>1973</v>
      </c>
      <c r="AN114" s="108">
        <v>1973</v>
      </c>
      <c r="AO114" s="88" t="s">
        <v>746</v>
      </c>
      <c r="AP114" s="102" t="s">
        <v>621</v>
      </c>
      <c r="AQ114" s="88" t="s">
        <v>464</v>
      </c>
      <c r="AR114" s="89">
        <f>VLOOKUP(AQ114,'[1]Critério de Depreciação'!$C$3:$G$8,5,FALSE)</f>
        <v>1.6666666666666667</v>
      </c>
      <c r="AS114" s="102" t="s">
        <v>130</v>
      </c>
      <c r="AT114" s="102" t="s">
        <v>130</v>
      </c>
      <c r="AU114" s="102" t="str">
        <f>IFERROR(VLOOKUP(#REF!,[2]Frota!$D$2:$AV$187,12,FALSE),"-")</f>
        <v>-</v>
      </c>
      <c r="AV114" s="102" t="s">
        <v>130</v>
      </c>
      <c r="AW114" s="110">
        <v>0</v>
      </c>
      <c r="AX114" s="106" t="s">
        <v>130</v>
      </c>
      <c r="AY114" s="111" t="s">
        <v>130</v>
      </c>
      <c r="AZ114" s="105">
        <v>35000</v>
      </c>
      <c r="BA114" s="112" t="s">
        <v>130</v>
      </c>
      <c r="BB114" s="106" t="s">
        <v>130</v>
      </c>
      <c r="BC114" s="105" t="s">
        <v>130</v>
      </c>
      <c r="BD114" s="105" t="s">
        <v>130</v>
      </c>
      <c r="BE114" s="113">
        <f t="shared" si="44"/>
        <v>35000</v>
      </c>
      <c r="BF114" s="113">
        <v>0</v>
      </c>
      <c r="BG114" s="113">
        <v>0</v>
      </c>
      <c r="BH114" s="113">
        <v>0</v>
      </c>
      <c r="BI114" s="113">
        <v>0</v>
      </c>
      <c r="BJ114" s="113">
        <v>0</v>
      </c>
      <c r="BK114" s="113">
        <v>0</v>
      </c>
      <c r="BL114" s="113">
        <v>0</v>
      </c>
      <c r="BM114" s="114">
        <f t="shared" si="36"/>
        <v>0</v>
      </c>
      <c r="BN114" s="113">
        <v>0</v>
      </c>
      <c r="BO114" s="113">
        <v>0</v>
      </c>
      <c r="BP114" s="113">
        <v>0</v>
      </c>
      <c r="BQ114" s="113">
        <v>0</v>
      </c>
      <c r="BR114" s="113">
        <v>0</v>
      </c>
      <c r="BS114" s="105">
        <f t="shared" si="45"/>
        <v>0</v>
      </c>
      <c r="BT114" s="153" t="s">
        <v>130</v>
      </c>
      <c r="BU114" s="153" t="s">
        <v>130</v>
      </c>
      <c r="BV114" s="153" t="s">
        <v>130</v>
      </c>
      <c r="BW114" s="154" t="s">
        <v>130</v>
      </c>
      <c r="BX114" s="153" t="s">
        <v>130</v>
      </c>
      <c r="BY114" s="102" t="s">
        <v>130</v>
      </c>
      <c r="BZ114" s="102" t="s">
        <v>130</v>
      </c>
      <c r="CA114" s="102" t="s">
        <v>130</v>
      </c>
      <c r="CB114" s="102" t="s">
        <v>130</v>
      </c>
      <c r="CC114" s="102" t="s">
        <v>130</v>
      </c>
      <c r="CD114" s="102" t="s">
        <v>130</v>
      </c>
      <c r="CE114" s="102" t="str">
        <f t="shared" si="43"/>
        <v>-</v>
      </c>
      <c r="CF114" s="118" t="s">
        <v>130</v>
      </c>
      <c r="CG114" s="118" t="s">
        <v>130</v>
      </c>
      <c r="CH114" s="119">
        <f t="shared" si="46"/>
        <v>0</v>
      </c>
      <c r="CI114" s="120" t="s">
        <v>130</v>
      </c>
      <c r="CJ114" s="121">
        <v>5</v>
      </c>
      <c r="CK114" s="121">
        <v>5</v>
      </c>
      <c r="CL114" s="121">
        <f t="shared" si="47"/>
        <v>60</v>
      </c>
      <c r="CM114" s="122">
        <f t="shared" si="48"/>
        <v>0</v>
      </c>
      <c r="CN114" s="88" t="str">
        <f>IFERROR(IF(VLOOKUP(AG114,'[1]ATIVOS SAGI'!C:D,1,FALSE)&lt;&gt;"","CADASTRADO","NÃO CADASTRADO"),"NÃO CADASTRADO")</f>
        <v>NÃO CADASTRADO</v>
      </c>
      <c r="CO114" s="99">
        <f t="shared" si="29"/>
        <v>0</v>
      </c>
      <c r="CP114" s="48" t="s">
        <v>48</v>
      </c>
      <c r="CQ114" s="100"/>
      <c r="CR114" s="100"/>
      <c r="CS114" s="100"/>
    </row>
    <row r="115" spans="1:97" x14ac:dyDescent="0.25">
      <c r="A115" s="27">
        <v>202</v>
      </c>
      <c r="B115" s="101">
        <v>116</v>
      </c>
      <c r="C115" s="102" t="s">
        <v>296</v>
      </c>
      <c r="D115" s="88" t="s">
        <v>49</v>
      </c>
      <c r="E115" s="88" t="s">
        <v>130</v>
      </c>
      <c r="F115" s="84" t="s">
        <v>130</v>
      </c>
      <c r="G115" s="88"/>
      <c r="H115" s="104" t="s">
        <v>130</v>
      </c>
      <c r="I115" s="102" t="s">
        <v>130</v>
      </c>
      <c r="J115" s="102" t="s">
        <v>130</v>
      </c>
      <c r="K115" s="102" t="s">
        <v>130</v>
      </c>
      <c r="L115" s="105" t="s">
        <v>130</v>
      </c>
      <c r="M115" s="106" t="s">
        <v>130</v>
      </c>
      <c r="N115" s="105" t="s">
        <v>130</v>
      </c>
      <c r="O115" s="106" t="s">
        <v>130</v>
      </c>
      <c r="P115" s="105" t="s">
        <v>130</v>
      </c>
      <c r="Q115" s="105" t="s">
        <v>130</v>
      </c>
      <c r="R115" s="105" t="s">
        <v>130</v>
      </c>
      <c r="S115" s="105" t="s">
        <v>130</v>
      </c>
      <c r="T115" s="105" t="s">
        <v>130</v>
      </c>
      <c r="U115" s="105" t="s">
        <v>130</v>
      </c>
      <c r="V115" s="105" t="s">
        <v>130</v>
      </c>
      <c r="W115" s="105" t="s">
        <v>130</v>
      </c>
      <c r="X115" s="105" t="s">
        <v>130</v>
      </c>
      <c r="Y115" s="105" t="s">
        <v>130</v>
      </c>
      <c r="Z115" s="105" t="s">
        <v>130</v>
      </c>
      <c r="AA115" s="105" t="s">
        <v>130</v>
      </c>
      <c r="AB115" s="105" t="s">
        <v>130</v>
      </c>
      <c r="AC115" s="105" t="s">
        <v>130</v>
      </c>
      <c r="AD115" s="105" t="s">
        <v>130</v>
      </c>
      <c r="AE115" s="102" t="s">
        <v>297</v>
      </c>
      <c r="AF115" s="102" t="s">
        <v>130</v>
      </c>
      <c r="AG115" s="88" t="s">
        <v>747</v>
      </c>
      <c r="AH115" s="102" t="s">
        <v>130</v>
      </c>
      <c r="AI115" s="107" t="str">
        <f>IFERROR(VLOOKUP(AG115,[2]Frota!$D$2:$AV$187,2,FALSE),"-")</f>
        <v>00232186154</v>
      </c>
      <c r="AJ115" s="107" t="str">
        <f>IFERROR(VLOOKUP(AG115,[2]Frota!$D$2:$AV$187,3,FALSE),"-")</f>
        <v>9BFXCE2U2ABB60723</v>
      </c>
      <c r="AK115" s="102" t="s">
        <v>549</v>
      </c>
      <c r="AL115" s="102" t="s">
        <v>708</v>
      </c>
      <c r="AM115" s="108">
        <v>2010</v>
      </c>
      <c r="AN115" s="108">
        <v>2010</v>
      </c>
      <c r="AO115" s="88" t="s">
        <v>709</v>
      </c>
      <c r="AP115" s="102" t="s">
        <v>621</v>
      </c>
      <c r="AQ115" s="88" t="s">
        <v>464</v>
      </c>
      <c r="AR115" s="89">
        <f>VLOOKUP(AQ115,'[1]Critério de Depreciação'!$C$3:$G$8,5,FALSE)</f>
        <v>1.6666666666666667</v>
      </c>
      <c r="AS115" s="102" t="s">
        <v>130</v>
      </c>
      <c r="AT115" s="102" t="s">
        <v>130</v>
      </c>
      <c r="AU115" s="102" t="str">
        <f>IFERROR(VLOOKUP(#REF!,[2]Frota!$D$2:$AV$187,12,FALSE),"-")</f>
        <v>-</v>
      </c>
      <c r="AV115" s="109">
        <v>159</v>
      </c>
      <c r="AW115" s="110">
        <v>184000</v>
      </c>
      <c r="AX115" s="106">
        <v>40339</v>
      </c>
      <c r="AY115" s="111" t="s">
        <v>130</v>
      </c>
      <c r="AZ115" s="105" t="s">
        <v>130</v>
      </c>
      <c r="BA115" s="112">
        <v>88859</v>
      </c>
      <c r="BB115" s="106">
        <v>45215</v>
      </c>
      <c r="BC115" s="105" t="s">
        <v>130</v>
      </c>
      <c r="BD115" s="105">
        <v>60000</v>
      </c>
      <c r="BE115" s="113">
        <f t="shared" si="44"/>
        <v>148859</v>
      </c>
      <c r="BF115" s="113">
        <v>0</v>
      </c>
      <c r="BG115" s="113">
        <v>0</v>
      </c>
      <c r="BH115" s="113">
        <v>0</v>
      </c>
      <c r="BI115" s="113">
        <v>0</v>
      </c>
      <c r="BJ115" s="113">
        <v>0</v>
      </c>
      <c r="BK115" s="113">
        <v>0</v>
      </c>
      <c r="BL115" s="113">
        <v>0</v>
      </c>
      <c r="BM115" s="114">
        <f t="shared" si="36"/>
        <v>0</v>
      </c>
      <c r="BN115" s="113">
        <v>0</v>
      </c>
      <c r="BO115" s="113">
        <v>0</v>
      </c>
      <c r="BP115" s="113">
        <v>0</v>
      </c>
      <c r="BQ115" s="113">
        <v>0</v>
      </c>
      <c r="BR115" s="113">
        <v>0</v>
      </c>
      <c r="BS115" s="105">
        <f t="shared" si="45"/>
        <v>3066.6666666666665</v>
      </c>
      <c r="BT115" s="153" t="s">
        <v>130</v>
      </c>
      <c r="BU115" s="153" t="s">
        <v>130</v>
      </c>
      <c r="BV115" s="153" t="s">
        <v>130</v>
      </c>
      <c r="BW115" s="154" t="s">
        <v>130</v>
      </c>
      <c r="BX115" s="153" t="s">
        <v>130</v>
      </c>
      <c r="BY115" s="102" t="s">
        <v>314</v>
      </c>
      <c r="BZ115" s="102" t="s">
        <v>314</v>
      </c>
      <c r="CA115" s="102" t="s">
        <v>130</v>
      </c>
      <c r="CB115" s="102" t="s">
        <v>130</v>
      </c>
      <c r="CC115" s="102" t="s">
        <v>130</v>
      </c>
      <c r="CD115" s="102" t="s">
        <v>130</v>
      </c>
      <c r="CE115" s="102" t="str">
        <f t="shared" si="43"/>
        <v>-</v>
      </c>
      <c r="CF115" s="118" t="s">
        <v>130</v>
      </c>
      <c r="CG115" s="118" t="s">
        <v>130</v>
      </c>
      <c r="CH115" s="119">
        <f t="shared" si="46"/>
        <v>0</v>
      </c>
      <c r="CI115" s="120" t="s">
        <v>130</v>
      </c>
      <c r="CJ115" s="121">
        <v>5</v>
      </c>
      <c r="CK115" s="121">
        <v>5</v>
      </c>
      <c r="CL115" s="121">
        <f t="shared" si="47"/>
        <v>60</v>
      </c>
      <c r="CM115" s="122">
        <f t="shared" si="48"/>
        <v>0</v>
      </c>
      <c r="CN115" s="88" t="str">
        <f>IFERROR(IF(VLOOKUP(AG115,'[1]ATIVOS SAGI'!C:D,1,FALSE)&lt;&gt;"","CADASTRADO","NÃO CADASTRADO"),"NÃO CADASTRADO")</f>
        <v>CADASTRADO</v>
      </c>
      <c r="CO115" s="99">
        <f t="shared" si="29"/>
        <v>0</v>
      </c>
      <c r="CP115" s="48" t="s">
        <v>48</v>
      </c>
      <c r="CQ115" s="48"/>
      <c r="CR115" s="48"/>
      <c r="CS115" s="48"/>
    </row>
    <row r="116" spans="1:97" x14ac:dyDescent="0.25">
      <c r="A116" s="27">
        <v>203</v>
      </c>
      <c r="B116" s="101">
        <v>119</v>
      </c>
      <c r="C116" s="102" t="s">
        <v>296</v>
      </c>
      <c r="D116" s="88" t="s">
        <v>49</v>
      </c>
      <c r="E116" s="88" t="s">
        <v>130</v>
      </c>
      <c r="F116" s="103" t="s">
        <v>130</v>
      </c>
      <c r="G116" s="88"/>
      <c r="H116" s="104" t="s">
        <v>130</v>
      </c>
      <c r="I116" s="102" t="s">
        <v>130</v>
      </c>
      <c r="J116" s="102" t="s">
        <v>130</v>
      </c>
      <c r="K116" s="102" t="s">
        <v>130</v>
      </c>
      <c r="L116" s="105" t="s">
        <v>130</v>
      </c>
      <c r="M116" s="106" t="s">
        <v>130</v>
      </c>
      <c r="N116" s="105" t="s">
        <v>130</v>
      </c>
      <c r="O116" s="106" t="s">
        <v>130</v>
      </c>
      <c r="P116" s="105" t="s">
        <v>130</v>
      </c>
      <c r="Q116" s="105" t="s">
        <v>130</v>
      </c>
      <c r="R116" s="105" t="s">
        <v>130</v>
      </c>
      <c r="S116" s="105" t="s">
        <v>130</v>
      </c>
      <c r="T116" s="105" t="s">
        <v>130</v>
      </c>
      <c r="U116" s="105" t="s">
        <v>130</v>
      </c>
      <c r="V116" s="105" t="s">
        <v>130</v>
      </c>
      <c r="W116" s="105" t="s">
        <v>130</v>
      </c>
      <c r="X116" s="105" t="s">
        <v>130</v>
      </c>
      <c r="Y116" s="105" t="s">
        <v>130</v>
      </c>
      <c r="Z116" s="105" t="s">
        <v>130</v>
      </c>
      <c r="AA116" s="105" t="s">
        <v>130</v>
      </c>
      <c r="AB116" s="105" t="s">
        <v>130</v>
      </c>
      <c r="AC116" s="105" t="s">
        <v>130</v>
      </c>
      <c r="AD116" s="105" t="s">
        <v>130</v>
      </c>
      <c r="AE116" s="102" t="s">
        <v>297</v>
      </c>
      <c r="AF116" s="102" t="s">
        <v>130</v>
      </c>
      <c r="AG116" s="88" t="s">
        <v>748</v>
      </c>
      <c r="AH116" s="102" t="s">
        <v>130</v>
      </c>
      <c r="AI116" s="107" t="str">
        <f>IFERROR(VLOOKUP(AG116,[2]Frota!$D$2:$AV$187,2,FALSE),"-")</f>
        <v>00232153345</v>
      </c>
      <c r="AJ116" s="107" t="str">
        <f>IFERROR(VLOOKUP(AG116,[2]Frota!$D$2:$AV$187,3,FALSE),"-")</f>
        <v>9BFXCE2U7ABB60717</v>
      </c>
      <c r="AK116" s="102" t="s">
        <v>549</v>
      </c>
      <c r="AL116" s="102" t="s">
        <v>708</v>
      </c>
      <c r="AM116" s="108">
        <v>2010</v>
      </c>
      <c r="AN116" s="108">
        <v>2010</v>
      </c>
      <c r="AO116" s="88" t="s">
        <v>709</v>
      </c>
      <c r="AP116" s="102" t="s">
        <v>621</v>
      </c>
      <c r="AQ116" s="88" t="s">
        <v>464</v>
      </c>
      <c r="AR116" s="89">
        <f>VLOOKUP(AQ116,'[1]Critério de Depreciação'!$C$3:$G$8,5,FALSE)</f>
        <v>1.6666666666666667</v>
      </c>
      <c r="AS116" s="102" t="s">
        <v>130</v>
      </c>
      <c r="AT116" s="102" t="s">
        <v>130</v>
      </c>
      <c r="AU116" s="102" t="str">
        <f>IFERROR(VLOOKUP(#REF!,[2]Frota!$D$2:$AV$187,12,FALSE),"-")</f>
        <v>-</v>
      </c>
      <c r="AV116" s="178">
        <v>40119</v>
      </c>
      <c r="AW116" s="110">
        <v>110000</v>
      </c>
      <c r="AX116" s="106">
        <v>40359</v>
      </c>
      <c r="AY116" s="111" t="s">
        <v>130</v>
      </c>
      <c r="AZ116" s="105" t="s">
        <v>130</v>
      </c>
      <c r="BA116" s="112">
        <v>88859</v>
      </c>
      <c r="BB116" s="106">
        <v>45215</v>
      </c>
      <c r="BC116" s="105" t="s">
        <v>130</v>
      </c>
      <c r="BD116" s="105">
        <v>60000</v>
      </c>
      <c r="BE116" s="113">
        <f t="shared" si="44"/>
        <v>148859</v>
      </c>
      <c r="BF116" s="113">
        <v>0</v>
      </c>
      <c r="BG116" s="113">
        <v>0</v>
      </c>
      <c r="BH116" s="113">
        <v>0</v>
      </c>
      <c r="BI116" s="113">
        <v>0</v>
      </c>
      <c r="BJ116" s="113">
        <v>0</v>
      </c>
      <c r="BK116" s="113">
        <v>0</v>
      </c>
      <c r="BL116" s="113">
        <v>0</v>
      </c>
      <c r="BM116" s="114">
        <f t="shared" si="36"/>
        <v>0</v>
      </c>
      <c r="BN116" s="113">
        <v>0</v>
      </c>
      <c r="BO116" s="113">
        <v>0</v>
      </c>
      <c r="BP116" s="113">
        <v>0</v>
      </c>
      <c r="BQ116" s="113">
        <v>0</v>
      </c>
      <c r="BR116" s="113">
        <v>0</v>
      </c>
      <c r="BS116" s="105">
        <f t="shared" si="45"/>
        <v>1833.3333333333333</v>
      </c>
      <c r="BT116" s="153">
        <v>69.900000000000006</v>
      </c>
      <c r="BU116" s="153" t="s">
        <v>130</v>
      </c>
      <c r="BV116" s="153" t="s">
        <v>130</v>
      </c>
      <c r="BW116" s="154" t="s">
        <v>130</v>
      </c>
      <c r="BX116" s="153" t="s">
        <v>130</v>
      </c>
      <c r="BY116" s="102" t="s">
        <v>314</v>
      </c>
      <c r="BZ116" s="102" t="s">
        <v>689</v>
      </c>
      <c r="CA116" s="102" t="s">
        <v>130</v>
      </c>
      <c r="CB116" s="102" t="s">
        <v>130</v>
      </c>
      <c r="CC116" s="102" t="s">
        <v>130</v>
      </c>
      <c r="CD116" s="102" t="s">
        <v>749</v>
      </c>
      <c r="CE116" s="102" t="str">
        <f t="shared" si="43"/>
        <v>-</v>
      </c>
      <c r="CF116" s="118" t="s">
        <v>130</v>
      </c>
      <c r="CG116" s="118" t="s">
        <v>130</v>
      </c>
      <c r="CH116" s="119">
        <f t="shared" si="46"/>
        <v>0</v>
      </c>
      <c r="CI116" s="120" t="s">
        <v>130</v>
      </c>
      <c r="CJ116" s="121">
        <v>5</v>
      </c>
      <c r="CK116" s="121">
        <v>5</v>
      </c>
      <c r="CL116" s="121">
        <f t="shared" si="47"/>
        <v>60</v>
      </c>
      <c r="CM116" s="122">
        <f t="shared" si="48"/>
        <v>0</v>
      </c>
      <c r="CN116" s="88" t="str">
        <f>IFERROR(IF(VLOOKUP(AG116,'[1]ATIVOS SAGI'!C:D,1,FALSE)&lt;&gt;"","CADASTRADO","NÃO CADASTRADO"),"NÃO CADASTRADO")</f>
        <v>CADASTRADO</v>
      </c>
      <c r="CO116" s="99">
        <f t="shared" si="29"/>
        <v>0</v>
      </c>
      <c r="CP116" s="48" t="s">
        <v>48</v>
      </c>
      <c r="CQ116" s="100"/>
      <c r="CR116" s="100"/>
      <c r="CS116" s="100"/>
    </row>
    <row r="117" spans="1:97" x14ac:dyDescent="0.25">
      <c r="A117" s="27">
        <v>220</v>
      </c>
      <c r="B117" s="164" t="s">
        <v>130</v>
      </c>
      <c r="C117" s="132" t="s">
        <v>296</v>
      </c>
      <c r="D117" s="84" t="s">
        <v>49</v>
      </c>
      <c r="E117" s="84" t="s">
        <v>130</v>
      </c>
      <c r="F117" s="40" t="s">
        <v>130</v>
      </c>
      <c r="G117" s="84" t="s">
        <v>489</v>
      </c>
      <c r="H117" s="160" t="s">
        <v>306</v>
      </c>
      <c r="I117" s="132" t="s">
        <v>130</v>
      </c>
      <c r="J117" s="132" t="s">
        <v>130</v>
      </c>
      <c r="K117" s="132" t="s">
        <v>130</v>
      </c>
      <c r="L117" s="165" t="s">
        <v>750</v>
      </c>
      <c r="M117" s="166" t="s">
        <v>130</v>
      </c>
      <c r="N117" s="165" t="s">
        <v>130</v>
      </c>
      <c r="O117" s="166" t="s">
        <v>130</v>
      </c>
      <c r="P117" s="165" t="s">
        <v>130</v>
      </c>
      <c r="Q117" s="165" t="s">
        <v>130</v>
      </c>
      <c r="R117" s="165" t="s">
        <v>130</v>
      </c>
      <c r="S117" s="165" t="s">
        <v>130</v>
      </c>
      <c r="T117" s="165" t="s">
        <v>130</v>
      </c>
      <c r="U117" s="165">
        <v>8411.9500000000007</v>
      </c>
      <c r="V117" s="165">
        <v>8159.59</v>
      </c>
      <c r="W117" s="166">
        <v>46036</v>
      </c>
      <c r="X117" s="166">
        <v>46134</v>
      </c>
      <c r="Y117" s="165">
        <v>174.08</v>
      </c>
      <c r="Z117" s="85">
        <f>U117+Y117</f>
        <v>8586.0300000000007</v>
      </c>
      <c r="AA117" s="85">
        <f>V117+Y117</f>
        <v>8333.67</v>
      </c>
      <c r="AB117" s="165">
        <v>0</v>
      </c>
      <c r="AC117" s="165">
        <v>0</v>
      </c>
      <c r="AD117" s="165">
        <v>0</v>
      </c>
      <c r="AE117" s="132" t="s">
        <v>45</v>
      </c>
      <c r="AF117" s="132" t="s">
        <v>46</v>
      </c>
      <c r="AG117" s="84" t="s">
        <v>751</v>
      </c>
      <c r="AH117" s="29" t="s">
        <v>468</v>
      </c>
      <c r="AI117" s="167" t="s">
        <v>752</v>
      </c>
      <c r="AJ117" s="168" t="s">
        <v>753</v>
      </c>
      <c r="AK117" s="132" t="s">
        <v>633</v>
      </c>
      <c r="AL117" s="29" t="s">
        <v>634</v>
      </c>
      <c r="AM117" s="135">
        <v>2025</v>
      </c>
      <c r="AN117" s="135">
        <v>2025</v>
      </c>
      <c r="AO117" s="236" t="s">
        <v>642</v>
      </c>
      <c r="AP117" s="132" t="s">
        <v>621</v>
      </c>
      <c r="AQ117" s="88" t="s">
        <v>464</v>
      </c>
      <c r="AR117" s="89">
        <f>VLOOKUP(AQ117,'[1]Critério de Depreciação'!$C$3:$G$8,5,FALSE)</f>
        <v>1.6666666666666667</v>
      </c>
      <c r="AS117" s="132" t="s">
        <v>299</v>
      </c>
      <c r="AT117" s="132" t="s">
        <v>300</v>
      </c>
      <c r="AU117" s="132" t="s">
        <v>130</v>
      </c>
      <c r="AV117" s="183">
        <v>131773</v>
      </c>
      <c r="AW117" s="169">
        <v>550000</v>
      </c>
      <c r="AX117" s="166">
        <v>45835</v>
      </c>
      <c r="AY117" s="170" t="s">
        <v>130</v>
      </c>
      <c r="AZ117" s="132" t="s">
        <v>130</v>
      </c>
      <c r="BA117" s="132" t="s">
        <v>130</v>
      </c>
      <c r="BB117" s="132" t="s">
        <v>130</v>
      </c>
      <c r="BC117" s="132" t="s">
        <v>130</v>
      </c>
      <c r="BD117" s="132" t="s">
        <v>130</v>
      </c>
      <c r="BE117" s="231">
        <f>550000+43000+107500</f>
        <v>700500</v>
      </c>
      <c r="BF117" s="172">
        <v>0</v>
      </c>
      <c r="BG117" s="172">
        <v>550000</v>
      </c>
      <c r="BH117" s="92">
        <v>125000</v>
      </c>
      <c r="BI117" s="92">
        <v>397000</v>
      </c>
      <c r="BJ117" s="172">
        <v>0</v>
      </c>
      <c r="BK117" s="172">
        <v>0</v>
      </c>
      <c r="BL117" s="172">
        <v>0</v>
      </c>
      <c r="BM117" s="93">
        <f t="shared" si="36"/>
        <v>1072000</v>
      </c>
      <c r="BN117" s="172">
        <v>0</v>
      </c>
      <c r="BO117" s="172">
        <v>0</v>
      </c>
      <c r="BP117" s="172">
        <v>0</v>
      </c>
      <c r="BQ117" s="172">
        <v>0</v>
      </c>
      <c r="BR117" s="172">
        <v>0</v>
      </c>
      <c r="BS117" s="165" t="s">
        <v>130</v>
      </c>
      <c r="BT117" s="173" t="s">
        <v>130</v>
      </c>
      <c r="BU117" s="173" t="s">
        <v>130</v>
      </c>
      <c r="BV117" s="173" t="s">
        <v>130</v>
      </c>
      <c r="BW117" s="95">
        <v>20.94</v>
      </c>
      <c r="BX117" s="175" t="s">
        <v>130</v>
      </c>
      <c r="BY117" s="132" t="s">
        <v>130</v>
      </c>
      <c r="BZ117" s="132" t="s">
        <v>130</v>
      </c>
      <c r="CA117" s="132" t="s">
        <v>130</v>
      </c>
      <c r="CB117" s="132" t="s">
        <v>130</v>
      </c>
      <c r="CC117" s="132" t="s">
        <v>130</v>
      </c>
      <c r="CD117" s="132" t="s">
        <v>130</v>
      </c>
      <c r="CE117" s="132" t="s">
        <v>130</v>
      </c>
      <c r="CF117" s="176" t="s">
        <v>130</v>
      </c>
      <c r="CG117" s="176" t="s">
        <v>130</v>
      </c>
      <c r="CH117" s="184" t="s">
        <v>130</v>
      </c>
      <c r="CI117" s="185" t="s">
        <v>130</v>
      </c>
      <c r="CJ117" s="186" t="s">
        <v>130</v>
      </c>
      <c r="CK117" s="186" t="s">
        <v>130</v>
      </c>
      <c r="CL117" s="186" t="s">
        <v>130</v>
      </c>
      <c r="CM117" s="187" t="s">
        <v>130</v>
      </c>
      <c r="CN117" s="84" t="s">
        <v>130</v>
      </c>
      <c r="CO117" s="99">
        <f t="shared" si="29"/>
        <v>17866.666666666668</v>
      </c>
      <c r="CP117" s="223" t="s">
        <v>81</v>
      </c>
      <c r="CQ117" s="100"/>
      <c r="CR117" s="100"/>
      <c r="CS117" s="100"/>
    </row>
    <row r="118" spans="1:97" x14ac:dyDescent="0.25">
      <c r="A118" s="27">
        <v>222</v>
      </c>
      <c r="B118" s="129" t="s">
        <v>130</v>
      </c>
      <c r="C118" s="130" t="s">
        <v>296</v>
      </c>
      <c r="D118" s="103" t="s">
        <v>49</v>
      </c>
      <c r="E118" s="103" t="s">
        <v>130</v>
      </c>
      <c r="F118" s="88" t="s">
        <v>130</v>
      </c>
      <c r="G118" s="103" t="s">
        <v>504</v>
      </c>
      <c r="H118" s="131" t="s">
        <v>505</v>
      </c>
      <c r="I118" s="102" t="s">
        <v>130</v>
      </c>
      <c r="J118" s="102" t="s">
        <v>130</v>
      </c>
      <c r="K118" s="102" t="s">
        <v>130</v>
      </c>
      <c r="L118" s="105" t="s">
        <v>750</v>
      </c>
      <c r="M118" s="106" t="s">
        <v>130</v>
      </c>
      <c r="N118" s="105" t="s">
        <v>130</v>
      </c>
      <c r="O118" s="106" t="s">
        <v>130</v>
      </c>
      <c r="P118" s="105" t="s">
        <v>130</v>
      </c>
      <c r="Q118" s="105" t="s">
        <v>130</v>
      </c>
      <c r="R118" s="105" t="s">
        <v>130</v>
      </c>
      <c r="S118" s="105" t="s">
        <v>130</v>
      </c>
      <c r="T118" s="105" t="s">
        <v>130</v>
      </c>
      <c r="U118" s="142">
        <v>8411.9500000000007</v>
      </c>
      <c r="V118" s="142">
        <v>8159.59</v>
      </c>
      <c r="W118" s="138">
        <v>46037</v>
      </c>
      <c r="X118" s="138">
        <v>46134</v>
      </c>
      <c r="Y118" s="142">
        <v>174.08</v>
      </c>
      <c r="Z118" s="142">
        <f>U118+Y118</f>
        <v>8586.0300000000007</v>
      </c>
      <c r="AA118" s="142">
        <f>V118+Y118</f>
        <v>8333.67</v>
      </c>
      <c r="AB118" s="142">
        <v>0</v>
      </c>
      <c r="AC118" s="142">
        <v>0</v>
      </c>
      <c r="AD118" s="142">
        <v>0</v>
      </c>
      <c r="AE118" s="130" t="s">
        <v>45</v>
      </c>
      <c r="AF118" s="29" t="s">
        <v>55</v>
      </c>
      <c r="AG118" s="103" t="s">
        <v>754</v>
      </c>
      <c r="AH118" s="29" t="s">
        <v>468</v>
      </c>
      <c r="AI118" s="133" t="s">
        <v>755</v>
      </c>
      <c r="AJ118" s="134" t="s">
        <v>756</v>
      </c>
      <c r="AK118" s="132" t="s">
        <v>633</v>
      </c>
      <c r="AL118" s="29" t="s">
        <v>634</v>
      </c>
      <c r="AM118" s="135">
        <v>2025</v>
      </c>
      <c r="AN118" s="135">
        <v>2025</v>
      </c>
      <c r="AO118" s="103" t="s">
        <v>757</v>
      </c>
      <c r="AP118" s="132" t="s">
        <v>621</v>
      </c>
      <c r="AQ118" s="88" t="s">
        <v>464</v>
      </c>
      <c r="AR118" s="89">
        <f>VLOOKUP(AQ118,'[1]Critério de Depreciação'!$C$3:$G$8,5,FALSE)</f>
        <v>1.6666666666666667</v>
      </c>
      <c r="AS118" s="132" t="s">
        <v>299</v>
      </c>
      <c r="AT118" s="132" t="s">
        <v>300</v>
      </c>
      <c r="AU118" s="130" t="s">
        <v>130</v>
      </c>
      <c r="AV118" s="136">
        <v>263513</v>
      </c>
      <c r="AW118" s="137">
        <v>550000</v>
      </c>
      <c r="AX118" s="138">
        <v>45897</v>
      </c>
      <c r="AY118" s="139" t="s">
        <v>130</v>
      </c>
      <c r="AZ118" s="130" t="s">
        <v>130</v>
      </c>
      <c r="BA118" s="130" t="s">
        <v>130</v>
      </c>
      <c r="BB118" s="130" t="s">
        <v>130</v>
      </c>
      <c r="BC118" s="130" t="s">
        <v>130</v>
      </c>
      <c r="BD118" s="130" t="s">
        <v>130</v>
      </c>
      <c r="BE118" s="231">
        <f>112000+550000</f>
        <v>662000</v>
      </c>
      <c r="BF118" s="140">
        <v>0</v>
      </c>
      <c r="BG118" s="140">
        <v>0</v>
      </c>
      <c r="BH118" s="140">
        <v>0</v>
      </c>
      <c r="BI118" s="140">
        <v>0</v>
      </c>
      <c r="BJ118" s="140">
        <v>0</v>
      </c>
      <c r="BK118" s="140">
        <v>0</v>
      </c>
      <c r="BL118" s="140">
        <v>0</v>
      </c>
      <c r="BM118" s="141">
        <v>550000</v>
      </c>
      <c r="BN118" s="140">
        <v>0</v>
      </c>
      <c r="BO118" s="140">
        <v>0</v>
      </c>
      <c r="BP118" s="140">
        <v>0</v>
      </c>
      <c r="BQ118" s="140">
        <v>0</v>
      </c>
      <c r="BR118" s="140">
        <v>0</v>
      </c>
      <c r="BS118" s="142" t="s">
        <v>130</v>
      </c>
      <c r="BT118" s="143" t="s">
        <v>130</v>
      </c>
      <c r="BU118" s="143" t="s">
        <v>130</v>
      </c>
      <c r="BV118" s="143" t="s">
        <v>130</v>
      </c>
      <c r="BW118" s="95">
        <v>20.94</v>
      </c>
      <c r="BX118" s="145" t="s">
        <v>130</v>
      </c>
      <c r="BY118" s="102" t="s">
        <v>130</v>
      </c>
      <c r="BZ118" s="102" t="s">
        <v>130</v>
      </c>
      <c r="CA118" s="102" t="s">
        <v>130</v>
      </c>
      <c r="CB118" s="102" t="s">
        <v>130</v>
      </c>
      <c r="CC118" s="102" t="s">
        <v>130</v>
      </c>
      <c r="CD118" s="102" t="s">
        <v>130</v>
      </c>
      <c r="CE118" s="102" t="s">
        <v>130</v>
      </c>
      <c r="CF118" s="146" t="s">
        <v>130</v>
      </c>
      <c r="CG118" s="146" t="s">
        <v>130</v>
      </c>
      <c r="CH118" s="147" t="s">
        <v>130</v>
      </c>
      <c r="CI118" s="148" t="s">
        <v>130</v>
      </c>
      <c r="CJ118" s="149" t="s">
        <v>130</v>
      </c>
      <c r="CK118" s="149" t="s">
        <v>130</v>
      </c>
      <c r="CL118" s="149" t="s">
        <v>130</v>
      </c>
      <c r="CM118" s="150" t="s">
        <v>130</v>
      </c>
      <c r="CN118" s="103" t="s">
        <v>130</v>
      </c>
      <c r="CO118" s="99">
        <f t="shared" si="29"/>
        <v>9166.6666666666679</v>
      </c>
      <c r="CP118" s="221" t="s">
        <v>81</v>
      </c>
      <c r="CQ118" s="48"/>
      <c r="CR118" s="48"/>
      <c r="CS118" s="48"/>
    </row>
    <row r="119" spans="1:97" x14ac:dyDescent="0.25">
      <c r="A119" s="27">
        <v>99</v>
      </c>
      <c r="B119" s="27">
        <v>18</v>
      </c>
      <c r="C119" s="29" t="s">
        <v>296</v>
      </c>
      <c r="D119" s="40" t="s">
        <v>49</v>
      </c>
      <c r="E119" s="40" t="s">
        <v>130</v>
      </c>
      <c r="F119" s="40" t="s">
        <v>130</v>
      </c>
      <c r="G119" s="40" t="s">
        <v>489</v>
      </c>
      <c r="H119" s="41" t="s">
        <v>306</v>
      </c>
      <c r="I119" s="29" t="s">
        <v>307</v>
      </c>
      <c r="J119" s="29" t="s">
        <v>130</v>
      </c>
      <c r="K119" s="85" t="s">
        <v>466</v>
      </c>
      <c r="L119" s="85">
        <v>167.74</v>
      </c>
      <c r="M119" s="86" t="s">
        <v>130</v>
      </c>
      <c r="N119" s="85">
        <v>0</v>
      </c>
      <c r="O119" s="86" t="s">
        <v>130</v>
      </c>
      <c r="P119" s="85">
        <v>0</v>
      </c>
      <c r="Q119" s="29" t="s">
        <v>80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6" t="s">
        <v>130</v>
      </c>
      <c r="X119" s="86" t="s">
        <v>130</v>
      </c>
      <c r="Y119" s="85">
        <v>174.08</v>
      </c>
      <c r="Z119" s="85">
        <f>U119+Y119</f>
        <v>174.08</v>
      </c>
      <c r="AA119" s="85">
        <f>V119+Y119</f>
        <v>174.08</v>
      </c>
      <c r="AB119" s="85">
        <v>0</v>
      </c>
      <c r="AC119" s="85">
        <v>0</v>
      </c>
      <c r="AD119" s="85">
        <v>0</v>
      </c>
      <c r="AE119" s="29" t="s">
        <v>298</v>
      </c>
      <c r="AF119" s="29" t="s">
        <v>46</v>
      </c>
      <c r="AG119" s="40" t="s">
        <v>758</v>
      </c>
      <c r="AH119" s="29" t="s">
        <v>468</v>
      </c>
      <c r="AI119" s="162" t="s">
        <v>759</v>
      </c>
      <c r="AJ119" s="87" t="s">
        <v>760</v>
      </c>
      <c r="AK119" s="29" t="s">
        <v>691</v>
      </c>
      <c r="AL119" s="29" t="s">
        <v>761</v>
      </c>
      <c r="AM119" s="34">
        <v>1993</v>
      </c>
      <c r="AN119" s="34">
        <v>1993</v>
      </c>
      <c r="AO119" s="40" t="s">
        <v>762</v>
      </c>
      <c r="AP119" s="29" t="s">
        <v>763</v>
      </c>
      <c r="AQ119" s="88" t="s">
        <v>464</v>
      </c>
      <c r="AR119" s="89">
        <f>VLOOKUP(AQ119,'[1]Critério de Depreciação'!$C$3:$G$8,5,FALSE)</f>
        <v>1.6666666666666667</v>
      </c>
      <c r="AS119" s="29" t="s">
        <v>130</v>
      </c>
      <c r="AT119" s="29" t="s">
        <v>130</v>
      </c>
      <c r="AU119" s="29" t="str">
        <f>IFERROR(VLOOKUP(AG164,[2]Frota!$D$2:$AV$187,12,FALSE),"-")</f>
        <v>-</v>
      </c>
      <c r="AV119" s="29" t="s">
        <v>130</v>
      </c>
      <c r="AW119" s="90">
        <v>0</v>
      </c>
      <c r="AX119" s="86" t="s">
        <v>130</v>
      </c>
      <c r="AY119" s="91" t="s">
        <v>130</v>
      </c>
      <c r="AZ119" s="85">
        <v>30000</v>
      </c>
      <c r="BA119" s="123" t="s">
        <v>130</v>
      </c>
      <c r="BB119" s="86" t="s">
        <v>130</v>
      </c>
      <c r="BC119" s="85" t="s">
        <v>130</v>
      </c>
      <c r="BD119" s="85" t="s">
        <v>130</v>
      </c>
      <c r="BE119" s="92">
        <f t="shared" ref="BE119:BE132" si="49">SUM(AZ119:BA119,BC119:BD119)</f>
        <v>30000</v>
      </c>
      <c r="BF119" s="92">
        <v>0</v>
      </c>
      <c r="BG119" s="92">
        <v>0</v>
      </c>
      <c r="BH119" s="92">
        <v>0</v>
      </c>
      <c r="BI119" s="92">
        <v>0</v>
      </c>
      <c r="BJ119" s="92">
        <v>0</v>
      </c>
      <c r="BK119" s="92">
        <v>0</v>
      </c>
      <c r="BL119" s="92">
        <v>0</v>
      </c>
      <c r="BM119" s="93">
        <f>SUM(BF119:BL119)</f>
        <v>0</v>
      </c>
      <c r="BN119" s="92">
        <v>0</v>
      </c>
      <c r="BO119" s="92">
        <v>0</v>
      </c>
      <c r="BP119" s="92">
        <v>0</v>
      </c>
      <c r="BQ119" s="92">
        <v>0</v>
      </c>
      <c r="BR119" s="92">
        <v>0</v>
      </c>
      <c r="BS119" s="85">
        <f t="shared" ref="BS119:BS129" si="50">IFERROR((AW119*20%)/12,"-")</f>
        <v>0</v>
      </c>
      <c r="BT119" s="94" t="s">
        <v>130</v>
      </c>
      <c r="BU119" s="94" t="s">
        <v>130</v>
      </c>
      <c r="BV119" s="94" t="s">
        <v>130</v>
      </c>
      <c r="BW119" s="95" t="s">
        <v>130</v>
      </c>
      <c r="BX119" s="96" t="s">
        <v>130</v>
      </c>
      <c r="BY119" s="29" t="s">
        <v>314</v>
      </c>
      <c r="BZ119" s="29" t="s">
        <v>314</v>
      </c>
      <c r="CA119" s="29" t="s">
        <v>130</v>
      </c>
      <c r="CB119" s="29" t="s">
        <v>130</v>
      </c>
      <c r="CC119" s="29" t="s">
        <v>130</v>
      </c>
      <c r="CD119" s="29" t="s">
        <v>130</v>
      </c>
      <c r="CE119" s="29" t="str">
        <f t="shared" ref="CE119:CE132" si="51">AF119</f>
        <v>SP - PRUDENTE - SUCATA</v>
      </c>
      <c r="CF119" s="97" t="s">
        <v>130</v>
      </c>
      <c r="CG119" s="97" t="s">
        <v>130</v>
      </c>
      <c r="CH119" s="37">
        <f t="shared" ref="CH119:CH132" si="52">BM119</f>
        <v>0</v>
      </c>
      <c r="CI119" s="98" t="s">
        <v>130</v>
      </c>
      <c r="CJ119" s="39">
        <v>5</v>
      </c>
      <c r="CK119" s="39">
        <v>5</v>
      </c>
      <c r="CL119" s="39">
        <f t="shared" ref="CL119:CL132" si="53">12*CK119</f>
        <v>60</v>
      </c>
      <c r="CM119" s="99">
        <f t="shared" ref="CM119:CM132" si="54">IFERROR((CH119/CL119)*2,"-")</f>
        <v>0</v>
      </c>
      <c r="CN119" s="40" t="str">
        <f>IFERROR(IF(VLOOKUP(AG119,'[1]ATIVOS SAGI'!C:D,1,FALSE)&lt;&gt;"","CADASTRADO","NÃO CADASTRADO"),"NÃO CADASTRADO")</f>
        <v>NÃO CADASTRADO</v>
      </c>
      <c r="CO119" s="99">
        <f t="shared" si="29"/>
        <v>0</v>
      </c>
      <c r="CP119" s="100" t="s">
        <v>301</v>
      </c>
      <c r="CQ119" s="48"/>
      <c r="CR119" s="48"/>
      <c r="CS119" s="48"/>
    </row>
    <row r="120" spans="1:97" x14ac:dyDescent="0.25">
      <c r="A120" s="27">
        <v>121</v>
      </c>
      <c r="B120" s="101">
        <v>25</v>
      </c>
      <c r="C120" s="102" t="s">
        <v>296</v>
      </c>
      <c r="D120" s="88" t="s">
        <v>49</v>
      </c>
      <c r="E120" s="88" t="s">
        <v>130</v>
      </c>
      <c r="F120" s="40" t="s">
        <v>130</v>
      </c>
      <c r="G120" s="88"/>
      <c r="H120" s="104" t="s">
        <v>130</v>
      </c>
      <c r="I120" s="102" t="s">
        <v>130</v>
      </c>
      <c r="J120" s="102" t="s">
        <v>130</v>
      </c>
      <c r="K120" s="105" t="s">
        <v>466</v>
      </c>
      <c r="L120" s="105">
        <v>167.74</v>
      </c>
      <c r="M120" s="106" t="s">
        <v>130</v>
      </c>
      <c r="N120" s="105">
        <v>0</v>
      </c>
      <c r="O120" s="106" t="s">
        <v>130</v>
      </c>
      <c r="P120" s="105">
        <v>0</v>
      </c>
      <c r="Q120" s="102" t="s">
        <v>80</v>
      </c>
      <c r="R120" s="105">
        <v>0</v>
      </c>
      <c r="S120" s="105">
        <v>0</v>
      </c>
      <c r="T120" s="105">
        <v>0</v>
      </c>
      <c r="U120" s="105" t="s">
        <v>130</v>
      </c>
      <c r="V120" s="105" t="s">
        <v>130</v>
      </c>
      <c r="W120" s="105" t="s">
        <v>130</v>
      </c>
      <c r="X120" s="105" t="s">
        <v>130</v>
      </c>
      <c r="Y120" s="105" t="s">
        <v>130</v>
      </c>
      <c r="Z120" s="105" t="s">
        <v>130</v>
      </c>
      <c r="AA120" s="105" t="s">
        <v>130</v>
      </c>
      <c r="AB120" s="105" t="s">
        <v>130</v>
      </c>
      <c r="AC120" s="105" t="s">
        <v>130</v>
      </c>
      <c r="AD120" s="105" t="s">
        <v>130</v>
      </c>
      <c r="AE120" s="102" t="s">
        <v>297</v>
      </c>
      <c r="AF120" s="102" t="s">
        <v>302</v>
      </c>
      <c r="AG120" s="88" t="s">
        <v>764</v>
      </c>
      <c r="AH120" s="102" t="s">
        <v>474</v>
      </c>
      <c r="AI120" s="107" t="str">
        <f>IFERROR(VLOOKUP(AG120,[2]Frota!$D$2:$AV$187,2,FALSE),"-")</f>
        <v>00384958222</v>
      </c>
      <c r="AJ120" s="107" t="str">
        <f>IFERROR(VLOOKUP(AG120,[2]Frota!$D$2:$AV$187,3,FALSE),"-")</f>
        <v>45817</v>
      </c>
      <c r="AK120" s="102" t="s">
        <v>695</v>
      </c>
      <c r="AL120" s="102" t="s">
        <v>765</v>
      </c>
      <c r="AM120" s="108">
        <v>1979</v>
      </c>
      <c r="AN120" s="108">
        <v>1979</v>
      </c>
      <c r="AO120" s="88" t="s">
        <v>766</v>
      </c>
      <c r="AP120" s="102" t="s">
        <v>763</v>
      </c>
      <c r="AQ120" s="88" t="s">
        <v>464</v>
      </c>
      <c r="AR120" s="89">
        <f>VLOOKUP(AQ120,'[1]Critério de Depreciação'!$C$3:$G$8,5,FALSE)</f>
        <v>1.6666666666666667</v>
      </c>
      <c r="AS120" s="102" t="s">
        <v>130</v>
      </c>
      <c r="AT120" s="102" t="s">
        <v>130</v>
      </c>
      <c r="AU120" s="102" t="str">
        <f>IFERROR(VLOOKUP(AG166,[2]Frota!$D$2:$AV$187,12,FALSE),"-")</f>
        <v>-</v>
      </c>
      <c r="AV120" s="102" t="s">
        <v>130</v>
      </c>
      <c r="AW120" s="110">
        <v>0</v>
      </c>
      <c r="AX120" s="106" t="s">
        <v>130</v>
      </c>
      <c r="AY120" s="111" t="s">
        <v>130</v>
      </c>
      <c r="AZ120" s="105">
        <v>20000</v>
      </c>
      <c r="BA120" s="112" t="s">
        <v>130</v>
      </c>
      <c r="BB120" s="106" t="s">
        <v>130</v>
      </c>
      <c r="BC120" s="105" t="s">
        <v>130</v>
      </c>
      <c r="BD120" s="105" t="s">
        <v>130</v>
      </c>
      <c r="BE120" s="113">
        <f t="shared" si="49"/>
        <v>20000</v>
      </c>
      <c r="BF120" s="113">
        <v>0</v>
      </c>
      <c r="BG120" s="113">
        <v>0</v>
      </c>
      <c r="BH120" s="113">
        <v>0</v>
      </c>
      <c r="BI120" s="113">
        <v>0</v>
      </c>
      <c r="BJ120" s="113">
        <v>0</v>
      </c>
      <c r="BK120" s="113">
        <v>0</v>
      </c>
      <c r="BL120" s="113">
        <v>0</v>
      </c>
      <c r="BM120" s="114">
        <f>SUM(BF120:BL120)</f>
        <v>0</v>
      </c>
      <c r="BN120" s="113">
        <v>0</v>
      </c>
      <c r="BO120" s="113">
        <v>0</v>
      </c>
      <c r="BP120" s="113">
        <v>0</v>
      </c>
      <c r="BQ120" s="113">
        <v>0</v>
      </c>
      <c r="BR120" s="113">
        <v>0</v>
      </c>
      <c r="BS120" s="105">
        <f t="shared" si="50"/>
        <v>0</v>
      </c>
      <c r="BT120" s="153" t="s">
        <v>130</v>
      </c>
      <c r="BU120" s="153" t="s">
        <v>130</v>
      </c>
      <c r="BV120" s="153" t="s">
        <v>130</v>
      </c>
      <c r="BW120" s="154" t="s">
        <v>130</v>
      </c>
      <c r="BX120" s="180" t="s">
        <v>130</v>
      </c>
      <c r="BY120" s="29" t="s">
        <v>130</v>
      </c>
      <c r="BZ120" s="29" t="s">
        <v>130</v>
      </c>
      <c r="CA120" s="29" t="s">
        <v>130</v>
      </c>
      <c r="CB120" s="29" t="s">
        <v>130</v>
      </c>
      <c r="CC120" s="29" t="s">
        <v>130</v>
      </c>
      <c r="CD120" s="29" t="s">
        <v>130</v>
      </c>
      <c r="CE120" s="29" t="str">
        <f t="shared" si="51"/>
        <v>SP - PRUDENTE</v>
      </c>
      <c r="CF120" s="118" t="s">
        <v>130</v>
      </c>
      <c r="CG120" s="118" t="s">
        <v>130</v>
      </c>
      <c r="CH120" s="119">
        <f t="shared" si="52"/>
        <v>0</v>
      </c>
      <c r="CI120" s="120" t="s">
        <v>130</v>
      </c>
      <c r="CJ120" s="121">
        <v>5</v>
      </c>
      <c r="CK120" s="121">
        <v>5</v>
      </c>
      <c r="CL120" s="121">
        <f t="shared" si="53"/>
        <v>60</v>
      </c>
      <c r="CM120" s="122">
        <f t="shared" si="54"/>
        <v>0</v>
      </c>
      <c r="CN120" s="88" t="str">
        <f>IFERROR(IF(VLOOKUP(AG120,'[1]ATIVOS SAGI'!C:D,1,FALSE)&lt;&gt;"","CADASTRADO","NÃO CADASTRADO"),"NÃO CADASTRADO")</f>
        <v>CADASTRADO</v>
      </c>
      <c r="CO120" s="99">
        <f t="shared" si="29"/>
        <v>0</v>
      </c>
      <c r="CP120" s="48" t="s">
        <v>48</v>
      </c>
      <c r="CQ120" s="100"/>
      <c r="CR120" s="100"/>
      <c r="CS120" s="100"/>
    </row>
    <row r="121" spans="1:97" x14ac:dyDescent="0.25">
      <c r="A121" s="27">
        <v>122</v>
      </c>
      <c r="B121" s="27">
        <v>26</v>
      </c>
      <c r="C121" s="29" t="s">
        <v>296</v>
      </c>
      <c r="D121" s="40" t="s">
        <v>49</v>
      </c>
      <c r="E121" s="40" t="s">
        <v>130</v>
      </c>
      <c r="F121" s="40" t="s">
        <v>130</v>
      </c>
      <c r="G121" s="40" t="s">
        <v>489</v>
      </c>
      <c r="H121" s="41" t="s">
        <v>306</v>
      </c>
      <c r="I121" s="29" t="s">
        <v>130</v>
      </c>
      <c r="J121" s="29" t="s">
        <v>130</v>
      </c>
      <c r="K121" s="85" t="s">
        <v>466</v>
      </c>
      <c r="L121" s="85">
        <v>167.74</v>
      </c>
      <c r="M121" s="86" t="s">
        <v>130</v>
      </c>
      <c r="N121" s="85">
        <v>0</v>
      </c>
      <c r="O121" s="86" t="s">
        <v>130</v>
      </c>
      <c r="P121" s="85">
        <v>0</v>
      </c>
      <c r="Q121" s="29" t="s">
        <v>80</v>
      </c>
      <c r="R121" s="85">
        <v>0</v>
      </c>
      <c r="S121" s="85">
        <v>0</v>
      </c>
      <c r="T121" s="85">
        <v>0</v>
      </c>
      <c r="U121" s="85">
        <v>0</v>
      </c>
      <c r="V121" s="85">
        <v>0</v>
      </c>
      <c r="W121" s="86" t="s">
        <v>130</v>
      </c>
      <c r="X121" s="86" t="s">
        <v>130</v>
      </c>
      <c r="Y121" s="85">
        <v>174.08</v>
      </c>
      <c r="Z121" s="85">
        <f>U121+Y121</f>
        <v>174.08</v>
      </c>
      <c r="AA121" s="85">
        <f>V121+Y121</f>
        <v>174.08</v>
      </c>
      <c r="AB121" s="85">
        <v>0</v>
      </c>
      <c r="AC121" s="85">
        <v>0</v>
      </c>
      <c r="AD121" s="85">
        <v>0</v>
      </c>
      <c r="AE121" s="29" t="s">
        <v>298</v>
      </c>
      <c r="AF121" s="29" t="s">
        <v>46</v>
      </c>
      <c r="AG121" s="40" t="s">
        <v>767</v>
      </c>
      <c r="AH121" s="29" t="s">
        <v>474</v>
      </c>
      <c r="AI121" s="87" t="str">
        <f>IFERROR(VLOOKUP(AG121,[2]Frota!$D$2:$AV$187,2,FALSE),"-")</f>
        <v>00812226780</v>
      </c>
      <c r="AJ121" s="87" t="str">
        <f>IFERROR(VLOOKUP(AG121,[2]Frota!$D$2:$AV$187,3,FALSE),"-")</f>
        <v>9ADJO66234M192858</v>
      </c>
      <c r="AK121" s="29" t="s">
        <v>695</v>
      </c>
      <c r="AL121" s="29" t="s">
        <v>768</v>
      </c>
      <c r="AM121" s="34">
        <v>2003</v>
      </c>
      <c r="AN121" s="34">
        <v>2004</v>
      </c>
      <c r="AO121" s="40" t="s">
        <v>769</v>
      </c>
      <c r="AP121" s="29" t="s">
        <v>763</v>
      </c>
      <c r="AQ121" s="88" t="s">
        <v>464</v>
      </c>
      <c r="AR121" s="89">
        <f>VLOOKUP(AQ121,'[1]Critério de Depreciação'!$C$3:$G$8,5,FALSE)</f>
        <v>1.6666666666666667</v>
      </c>
      <c r="AS121" s="29" t="s">
        <v>130</v>
      </c>
      <c r="AT121" s="29" t="s">
        <v>130</v>
      </c>
      <c r="AU121" s="29" t="str">
        <f>IFERROR(VLOOKUP(AG167,[2]Frota!$D$2:$AV$187,12,FALSE),"-")</f>
        <v>-</v>
      </c>
      <c r="AV121" s="45">
        <v>216813</v>
      </c>
      <c r="AW121" s="90">
        <v>13000</v>
      </c>
      <c r="AX121" s="86">
        <v>41095</v>
      </c>
      <c r="AY121" s="91" t="s">
        <v>130</v>
      </c>
      <c r="AZ121" s="85">
        <v>50000</v>
      </c>
      <c r="BA121" s="123" t="s">
        <v>130</v>
      </c>
      <c r="BB121" s="124" t="s">
        <v>130</v>
      </c>
      <c r="BC121" s="85" t="s">
        <v>130</v>
      </c>
      <c r="BD121" s="85" t="s">
        <v>130</v>
      </c>
      <c r="BE121" s="92">
        <f t="shared" si="49"/>
        <v>50000</v>
      </c>
      <c r="BF121" s="92">
        <v>0</v>
      </c>
      <c r="BG121" s="92">
        <v>0</v>
      </c>
      <c r="BH121" s="92">
        <v>0</v>
      </c>
      <c r="BI121" s="92">
        <v>0</v>
      </c>
      <c r="BJ121" s="92">
        <v>0</v>
      </c>
      <c r="BK121" s="92">
        <v>0</v>
      </c>
      <c r="BL121" s="92">
        <v>0</v>
      </c>
      <c r="BM121" s="93">
        <v>13000</v>
      </c>
      <c r="BN121" s="92">
        <v>0</v>
      </c>
      <c r="BO121" s="92">
        <v>0</v>
      </c>
      <c r="BP121" s="92">
        <v>0</v>
      </c>
      <c r="BQ121" s="92">
        <v>0</v>
      </c>
      <c r="BR121" s="92">
        <v>0</v>
      </c>
      <c r="BS121" s="85">
        <f t="shared" si="50"/>
        <v>216.66666666666666</v>
      </c>
      <c r="BT121" s="125" t="s">
        <v>130</v>
      </c>
      <c r="BU121" s="125" t="s">
        <v>130</v>
      </c>
      <c r="BV121" s="125" t="s">
        <v>130</v>
      </c>
      <c r="BW121" s="126" t="s">
        <v>130</v>
      </c>
      <c r="BX121" s="127" t="s">
        <v>130</v>
      </c>
      <c r="BY121" s="29" t="s">
        <v>314</v>
      </c>
      <c r="BZ121" s="29" t="s">
        <v>314</v>
      </c>
      <c r="CA121" s="29" t="s">
        <v>130</v>
      </c>
      <c r="CB121" s="29" t="s">
        <v>130</v>
      </c>
      <c r="CC121" s="29" t="s">
        <v>130</v>
      </c>
      <c r="CD121" s="29" t="s">
        <v>130</v>
      </c>
      <c r="CE121" s="29" t="str">
        <f t="shared" si="51"/>
        <v>SP - PRUDENTE - SUCATA</v>
      </c>
      <c r="CF121" s="97" t="s">
        <v>130</v>
      </c>
      <c r="CG121" s="97" t="s">
        <v>130</v>
      </c>
      <c r="CH121" s="37">
        <f t="shared" si="52"/>
        <v>13000</v>
      </c>
      <c r="CI121" s="98" t="s">
        <v>130</v>
      </c>
      <c r="CJ121" s="39">
        <v>5</v>
      </c>
      <c r="CK121" s="39">
        <v>5</v>
      </c>
      <c r="CL121" s="39">
        <f t="shared" si="53"/>
        <v>60</v>
      </c>
      <c r="CM121" s="99">
        <f t="shared" si="54"/>
        <v>433.33333333333331</v>
      </c>
      <c r="CN121" s="40" t="str">
        <f>IFERROR(IF(VLOOKUP(AG121,'[1]ATIVOS SAGI'!C:D,1,FALSE)&lt;&gt;"","CADASTRADO","NÃO CADASTRADO"),"NÃO CADASTRADO")</f>
        <v>CADASTRADO</v>
      </c>
      <c r="CO121" s="99">
        <f t="shared" si="29"/>
        <v>216.66666666666669</v>
      </c>
      <c r="CP121" s="100" t="s">
        <v>92</v>
      </c>
      <c r="CQ121" s="48"/>
      <c r="CR121" s="48"/>
      <c r="CS121" s="48"/>
    </row>
    <row r="122" spans="1:97" x14ac:dyDescent="0.25">
      <c r="A122" s="27">
        <v>90</v>
      </c>
      <c r="B122" s="27">
        <v>13</v>
      </c>
      <c r="C122" s="29" t="s">
        <v>296</v>
      </c>
      <c r="D122" s="40" t="s">
        <v>49</v>
      </c>
      <c r="E122" s="40" t="s">
        <v>130</v>
      </c>
      <c r="F122" s="40" t="s">
        <v>130</v>
      </c>
      <c r="G122" s="40" t="s">
        <v>489</v>
      </c>
      <c r="H122" s="41" t="s">
        <v>306</v>
      </c>
      <c r="I122" s="29" t="s">
        <v>307</v>
      </c>
      <c r="J122" s="85">
        <f t="shared" ref="J122:J128" si="55">L122+N122</f>
        <v>2752.66</v>
      </c>
      <c r="K122" s="85" t="s">
        <v>466</v>
      </c>
      <c r="L122" s="85">
        <v>167.74</v>
      </c>
      <c r="M122" s="86">
        <v>45673</v>
      </c>
      <c r="N122" s="85">
        <v>2584.92</v>
      </c>
      <c r="O122" s="86">
        <v>45769</v>
      </c>
      <c r="P122" s="85">
        <v>2664.87</v>
      </c>
      <c r="Q122" s="29" t="s">
        <v>80</v>
      </c>
      <c r="R122" s="85">
        <v>0</v>
      </c>
      <c r="S122" s="85">
        <v>0</v>
      </c>
      <c r="T122" s="85">
        <v>0</v>
      </c>
      <c r="U122" s="85">
        <v>3016.72</v>
      </c>
      <c r="V122" s="85">
        <v>2926.22</v>
      </c>
      <c r="W122" s="86">
        <v>46037</v>
      </c>
      <c r="X122" s="86">
        <v>46134</v>
      </c>
      <c r="Y122" s="85">
        <v>174.08</v>
      </c>
      <c r="Z122" s="85">
        <f>U122+Y122</f>
        <v>3190.7999999999997</v>
      </c>
      <c r="AA122" s="85">
        <f>V122+Y122</f>
        <v>3100.2999999999997</v>
      </c>
      <c r="AB122" s="85">
        <v>0</v>
      </c>
      <c r="AC122" s="85">
        <v>0</v>
      </c>
      <c r="AD122" s="85">
        <v>0</v>
      </c>
      <c r="AE122" s="29" t="s">
        <v>298</v>
      </c>
      <c r="AF122" s="29" t="s">
        <v>46</v>
      </c>
      <c r="AG122" s="40" t="s">
        <v>770</v>
      </c>
      <c r="AH122" s="102" t="s">
        <v>474</v>
      </c>
      <c r="AI122" s="87" t="str">
        <f>IFERROR(VLOOKUP(AG122,[2]Frota!$D$2:$AV$187,2,FALSE),"-")</f>
        <v>00499339444</v>
      </c>
      <c r="AJ122" s="87" t="str">
        <f>IFERROR(VLOOKUP(AG122,[2]Frota!$D$2:$AV$187,3,FALSE),"-")</f>
        <v>9BVP0S1A6CE137190</v>
      </c>
      <c r="AK122" s="29" t="s">
        <v>633</v>
      </c>
      <c r="AL122" s="29" t="s">
        <v>771</v>
      </c>
      <c r="AM122" s="34">
        <v>2012</v>
      </c>
      <c r="AN122" s="34">
        <v>2012</v>
      </c>
      <c r="AO122" s="40" t="s">
        <v>772</v>
      </c>
      <c r="AP122" s="29" t="s">
        <v>773</v>
      </c>
      <c r="AQ122" s="88" t="s">
        <v>464</v>
      </c>
      <c r="AR122" s="89">
        <f>VLOOKUP(AQ122,'[1]Critério de Depreciação'!$C$3:$G$8,5,FALSE)</f>
        <v>1.6666666666666667</v>
      </c>
      <c r="AS122" s="29" t="s">
        <v>130</v>
      </c>
      <c r="AT122" s="29" t="s">
        <v>130</v>
      </c>
      <c r="AU122" s="29" t="str">
        <f>IFERROR(VLOOKUP(AG167,[2]Frota!$D$2:$AV$187,12,FALSE),"-")</f>
        <v>-</v>
      </c>
      <c r="AV122" s="181">
        <v>38132</v>
      </c>
      <c r="AW122" s="90">
        <v>195000</v>
      </c>
      <c r="AX122" s="86">
        <v>41241</v>
      </c>
      <c r="AY122" s="91" t="s">
        <v>130</v>
      </c>
      <c r="AZ122" s="85" t="s">
        <v>130</v>
      </c>
      <c r="BA122" s="123">
        <v>154327</v>
      </c>
      <c r="BB122" s="86">
        <v>45215</v>
      </c>
      <c r="BC122" s="85" t="s">
        <v>130</v>
      </c>
      <c r="BD122" s="85" t="s">
        <v>130</v>
      </c>
      <c r="BE122" s="92">
        <f t="shared" si="49"/>
        <v>154327</v>
      </c>
      <c r="BF122" s="92">
        <v>0</v>
      </c>
      <c r="BG122" s="92">
        <v>179000</v>
      </c>
      <c r="BH122" s="92">
        <v>0</v>
      </c>
      <c r="BI122" s="92">
        <v>0</v>
      </c>
      <c r="BJ122" s="92">
        <v>0</v>
      </c>
      <c r="BK122" s="92">
        <v>0</v>
      </c>
      <c r="BL122" s="92">
        <v>0</v>
      </c>
      <c r="BM122" s="93">
        <f t="shared" ref="BM122:BM129" si="56">SUM(BF122:BL122)</f>
        <v>179000</v>
      </c>
      <c r="BN122" s="92">
        <v>0</v>
      </c>
      <c r="BO122" s="92">
        <v>0</v>
      </c>
      <c r="BP122" s="92">
        <v>0</v>
      </c>
      <c r="BQ122" s="92">
        <v>0</v>
      </c>
      <c r="BR122" s="92">
        <v>0</v>
      </c>
      <c r="BS122" s="85">
        <f t="shared" si="50"/>
        <v>3250</v>
      </c>
      <c r="BT122" s="94">
        <v>69.900000000000006</v>
      </c>
      <c r="BU122" s="94" t="s">
        <v>130</v>
      </c>
      <c r="BV122" s="94" t="s">
        <v>130</v>
      </c>
      <c r="BW122" s="95" t="s">
        <v>130</v>
      </c>
      <c r="BX122" s="96" t="s">
        <v>130</v>
      </c>
      <c r="BY122" s="29" t="s">
        <v>314</v>
      </c>
      <c r="BZ122" s="29" t="s">
        <v>314</v>
      </c>
      <c r="CA122" s="29" t="s">
        <v>130</v>
      </c>
      <c r="CB122" s="29" t="s">
        <v>130</v>
      </c>
      <c r="CC122" s="29" t="s">
        <v>130</v>
      </c>
      <c r="CD122" s="29" t="s">
        <v>314</v>
      </c>
      <c r="CE122" s="29" t="str">
        <f t="shared" si="51"/>
        <v>SP - PRUDENTE - SUCATA</v>
      </c>
      <c r="CF122" s="97" t="s">
        <v>130</v>
      </c>
      <c r="CG122" s="97" t="s">
        <v>130</v>
      </c>
      <c r="CH122" s="37">
        <f t="shared" si="52"/>
        <v>179000</v>
      </c>
      <c r="CI122" s="98" t="s">
        <v>130</v>
      </c>
      <c r="CJ122" s="39">
        <v>5</v>
      </c>
      <c r="CK122" s="39">
        <v>5</v>
      </c>
      <c r="CL122" s="39">
        <f t="shared" si="53"/>
        <v>60</v>
      </c>
      <c r="CM122" s="99">
        <f t="shared" si="54"/>
        <v>5966.666666666667</v>
      </c>
      <c r="CN122" s="40" t="str">
        <f>IFERROR(IF(VLOOKUP(AG122,'[1]ATIVOS SAGI'!C:D,1,FALSE)&lt;&gt;"","CADASTRADO","NÃO CADASTRADO"),"NÃO CADASTRADO")</f>
        <v>CADASTRADO</v>
      </c>
      <c r="CO122" s="99">
        <f t="shared" si="29"/>
        <v>2983.3333333333339</v>
      </c>
      <c r="CP122" s="223" t="s">
        <v>81</v>
      </c>
      <c r="CQ122" s="48"/>
      <c r="CR122" s="48"/>
      <c r="CS122" s="48"/>
    </row>
    <row r="123" spans="1:97" x14ac:dyDescent="0.25">
      <c r="A123" s="27">
        <v>91</v>
      </c>
      <c r="B123" s="27">
        <v>125</v>
      </c>
      <c r="C123" s="29" t="s">
        <v>296</v>
      </c>
      <c r="D123" s="40" t="s">
        <v>49</v>
      </c>
      <c r="E123" s="40" t="s">
        <v>130</v>
      </c>
      <c r="F123" s="88" t="s">
        <v>130</v>
      </c>
      <c r="G123" s="40" t="s">
        <v>489</v>
      </c>
      <c r="H123" s="41" t="s">
        <v>306</v>
      </c>
      <c r="I123" s="29" t="s">
        <v>130</v>
      </c>
      <c r="J123" s="85">
        <f t="shared" si="55"/>
        <v>11592.19</v>
      </c>
      <c r="K123" s="85" t="s">
        <v>130</v>
      </c>
      <c r="L123" s="85">
        <v>167.74</v>
      </c>
      <c r="M123" s="86">
        <v>45671</v>
      </c>
      <c r="N123" s="85">
        <v>11424.45</v>
      </c>
      <c r="O123" s="86">
        <v>45769</v>
      </c>
      <c r="P123" s="85">
        <v>11777.79</v>
      </c>
      <c r="Q123" s="29" t="s">
        <v>570</v>
      </c>
      <c r="R123" s="85">
        <v>132.47999999999999</v>
      </c>
      <c r="S123" s="85">
        <v>0</v>
      </c>
      <c r="T123" s="85">
        <v>0</v>
      </c>
      <c r="U123" s="85">
        <v>10235.530000000001</v>
      </c>
      <c r="V123" s="85">
        <v>9928.4599999999991</v>
      </c>
      <c r="W123" s="86">
        <v>46035</v>
      </c>
      <c r="X123" s="86">
        <v>46134</v>
      </c>
      <c r="Y123" s="85">
        <v>174.08</v>
      </c>
      <c r="Z123" s="85">
        <f>U123+Y123</f>
        <v>10409.61</v>
      </c>
      <c r="AA123" s="85">
        <f>V123+Y123</f>
        <v>10102.539999999999</v>
      </c>
      <c r="AB123" s="85">
        <v>0</v>
      </c>
      <c r="AC123" s="85">
        <v>0</v>
      </c>
      <c r="AD123" s="85">
        <v>0</v>
      </c>
      <c r="AE123" s="29" t="s">
        <v>45</v>
      </c>
      <c r="AF123" s="29" t="s">
        <v>158</v>
      </c>
      <c r="AG123" s="40" t="s">
        <v>774</v>
      </c>
      <c r="AH123" s="29" t="s">
        <v>468</v>
      </c>
      <c r="AI123" s="87" t="str">
        <f>IFERROR(VLOOKUP(AG123,[2]Frota!$D$2:$AV$187,2,FALSE),"-")</f>
        <v>01294632253</v>
      </c>
      <c r="AJ123" s="87" t="str">
        <f>IFERROR(VLOOKUP(AG123,[2]Frota!$D$2:$AV$187,3,FALSE),"-")</f>
        <v>9BVRG40D0NE914628</v>
      </c>
      <c r="AK123" s="29" t="s">
        <v>633</v>
      </c>
      <c r="AL123" s="29" t="s">
        <v>775</v>
      </c>
      <c r="AM123" s="34">
        <v>2022</v>
      </c>
      <c r="AN123" s="34">
        <v>2022</v>
      </c>
      <c r="AO123" s="40" t="s">
        <v>776</v>
      </c>
      <c r="AP123" s="29" t="s">
        <v>773</v>
      </c>
      <c r="AQ123" s="88" t="s">
        <v>464</v>
      </c>
      <c r="AR123" s="89">
        <f>VLOOKUP(AQ123,'[1]Critério de Depreciação'!$C$3:$G$8,5,FALSE)</f>
        <v>1.6666666666666667</v>
      </c>
      <c r="AS123" s="29" t="s">
        <v>130</v>
      </c>
      <c r="AT123" s="29" t="s">
        <v>130</v>
      </c>
      <c r="AU123" s="29" t="str">
        <f>IFERROR(VLOOKUP(AG167,[2]Frota!$D$2:$AV$187,12,FALSE),"-")</f>
        <v>-</v>
      </c>
      <c r="AV123" s="45">
        <v>198759</v>
      </c>
      <c r="AW123" s="90">
        <v>740000</v>
      </c>
      <c r="AX123" s="86">
        <v>44655</v>
      </c>
      <c r="AY123" s="91" t="s">
        <v>130</v>
      </c>
      <c r="AZ123" s="85" t="s">
        <v>130</v>
      </c>
      <c r="BA123" s="123">
        <v>738499</v>
      </c>
      <c r="BB123" s="86">
        <v>45215</v>
      </c>
      <c r="BC123" s="85" t="s">
        <v>130</v>
      </c>
      <c r="BD123" s="85" t="s">
        <v>130</v>
      </c>
      <c r="BE123" s="92">
        <f t="shared" si="49"/>
        <v>738499</v>
      </c>
      <c r="BF123" s="92">
        <v>0</v>
      </c>
      <c r="BG123" s="92">
        <v>940000</v>
      </c>
      <c r="BH123" s="92">
        <v>0</v>
      </c>
      <c r="BI123" s="92">
        <v>0</v>
      </c>
      <c r="BJ123" s="92">
        <v>0</v>
      </c>
      <c r="BK123" s="92">
        <v>0</v>
      </c>
      <c r="BL123" s="92">
        <v>0</v>
      </c>
      <c r="BM123" s="93">
        <f t="shared" si="56"/>
        <v>940000</v>
      </c>
      <c r="BN123" s="92">
        <f>(BG123*20%)/12</f>
        <v>15666.666666666666</v>
      </c>
      <c r="BO123" s="92">
        <f>((BF123+BH123+BI123+BJ123+BK123+BL123)*20%)/12</f>
        <v>0</v>
      </c>
      <c r="BP123" s="92">
        <f>BN123+BO123</f>
        <v>15666.666666666666</v>
      </c>
      <c r="BQ123" s="92">
        <v>0</v>
      </c>
      <c r="BR123" s="92">
        <v>0</v>
      </c>
      <c r="BS123" s="85">
        <f t="shared" si="50"/>
        <v>12333.333333333334</v>
      </c>
      <c r="BT123" s="94">
        <v>69.900000000000006</v>
      </c>
      <c r="BU123" s="86" t="s">
        <v>130</v>
      </c>
      <c r="BV123" s="86">
        <v>46007</v>
      </c>
      <c r="BW123" s="95">
        <v>20.94</v>
      </c>
      <c r="BX123" s="96" t="s">
        <v>636</v>
      </c>
      <c r="BY123" s="29" t="s">
        <v>314</v>
      </c>
      <c r="BZ123" s="29" t="s">
        <v>777</v>
      </c>
      <c r="CA123" s="29" t="s">
        <v>130</v>
      </c>
      <c r="CB123" s="29" t="s">
        <v>130</v>
      </c>
      <c r="CC123" s="29" t="s">
        <v>130</v>
      </c>
      <c r="CD123" s="29" t="s">
        <v>312</v>
      </c>
      <c r="CE123" s="29" t="str">
        <f t="shared" si="51"/>
        <v>SP - SELETIVA (variável)</v>
      </c>
      <c r="CF123" s="97" t="s">
        <v>130</v>
      </c>
      <c r="CG123" s="97" t="s">
        <v>130</v>
      </c>
      <c r="CH123" s="37">
        <f t="shared" si="52"/>
        <v>940000</v>
      </c>
      <c r="CI123" s="98" t="s">
        <v>130</v>
      </c>
      <c r="CJ123" s="39">
        <v>5</v>
      </c>
      <c r="CK123" s="39">
        <v>5</v>
      </c>
      <c r="CL123" s="39">
        <f t="shared" si="53"/>
        <v>60</v>
      </c>
      <c r="CM123" s="99">
        <f t="shared" si="54"/>
        <v>31333.333333333332</v>
      </c>
      <c r="CN123" s="40" t="str">
        <f>IFERROR(IF(VLOOKUP(AG123,'[1]ATIVOS SAGI'!C:D,1,FALSE)&lt;&gt;"","CADASTRADO","NÃO CADASTRADO"),"NÃO CADASTRADO")</f>
        <v>CADASTRADO</v>
      </c>
      <c r="CO123" s="99">
        <f t="shared" si="29"/>
        <v>15666.666666666668</v>
      </c>
      <c r="CP123" s="223" t="s">
        <v>81</v>
      </c>
      <c r="CQ123" s="48"/>
      <c r="CR123" s="48"/>
      <c r="CS123" s="48"/>
    </row>
    <row r="124" spans="1:97" x14ac:dyDescent="0.25">
      <c r="A124" s="27">
        <v>92</v>
      </c>
      <c r="B124" s="27">
        <v>126</v>
      </c>
      <c r="C124" s="29" t="s">
        <v>296</v>
      </c>
      <c r="D124" s="40" t="s">
        <v>49</v>
      </c>
      <c r="E124" s="40" t="s">
        <v>130</v>
      </c>
      <c r="F124" s="40" t="s">
        <v>130</v>
      </c>
      <c r="G124" s="40" t="s">
        <v>489</v>
      </c>
      <c r="H124" s="41" t="s">
        <v>306</v>
      </c>
      <c r="I124" s="29" t="s">
        <v>130</v>
      </c>
      <c r="J124" s="85">
        <f t="shared" si="55"/>
        <v>9788.66</v>
      </c>
      <c r="K124" s="85" t="s">
        <v>466</v>
      </c>
      <c r="L124" s="85">
        <v>167.74</v>
      </c>
      <c r="M124" s="86">
        <v>45673</v>
      </c>
      <c r="N124" s="85">
        <v>9620.92</v>
      </c>
      <c r="O124" s="86">
        <v>45769</v>
      </c>
      <c r="P124" s="85">
        <v>9918.48</v>
      </c>
      <c r="Q124" s="29" t="s">
        <v>80</v>
      </c>
      <c r="R124" s="85">
        <v>0</v>
      </c>
      <c r="S124" s="85">
        <v>0</v>
      </c>
      <c r="T124" s="85">
        <v>0</v>
      </c>
      <c r="U124" s="85">
        <v>9155.2800000000007</v>
      </c>
      <c r="V124" s="85">
        <v>8880.6200000000008</v>
      </c>
      <c r="W124" s="86">
        <v>46037</v>
      </c>
      <c r="X124" s="86">
        <v>46134</v>
      </c>
      <c r="Y124" s="85">
        <v>174.08</v>
      </c>
      <c r="Z124" s="85">
        <f>U124+Y124</f>
        <v>9329.36</v>
      </c>
      <c r="AA124" s="85">
        <f>V124+Y124</f>
        <v>9054.7000000000007</v>
      </c>
      <c r="AB124" s="85">
        <v>0</v>
      </c>
      <c r="AC124" s="85">
        <v>0</v>
      </c>
      <c r="AD124" s="85">
        <v>0</v>
      </c>
      <c r="AE124" s="29" t="s">
        <v>45</v>
      </c>
      <c r="AF124" s="29" t="s">
        <v>158</v>
      </c>
      <c r="AG124" s="40" t="s">
        <v>778</v>
      </c>
      <c r="AH124" s="29" t="s">
        <v>468</v>
      </c>
      <c r="AI124" s="87" t="str">
        <f>IFERROR(VLOOKUP(AG124,[2]Frota!$D$2:$AV$187,2,FALSE),"-")</f>
        <v>01286571534</v>
      </c>
      <c r="AJ124" s="87" t="str">
        <f>IFERROR(VLOOKUP(AG124,[2]Frota!$D$2:$AV$187,3,FALSE),"-")</f>
        <v>9BVRG40D8NE911037</v>
      </c>
      <c r="AK124" s="29" t="s">
        <v>633</v>
      </c>
      <c r="AL124" s="29" t="s">
        <v>775</v>
      </c>
      <c r="AM124" s="34">
        <v>2021</v>
      </c>
      <c r="AN124" s="34">
        <v>2022</v>
      </c>
      <c r="AO124" s="40" t="s">
        <v>776</v>
      </c>
      <c r="AP124" s="29" t="s">
        <v>773</v>
      </c>
      <c r="AQ124" s="88" t="s">
        <v>464</v>
      </c>
      <c r="AR124" s="89">
        <f>VLOOKUP(AQ124,'[1]Critério de Depreciação'!$C$3:$G$8,5,FALSE)</f>
        <v>1.6666666666666667</v>
      </c>
      <c r="AS124" s="29" t="s">
        <v>130</v>
      </c>
      <c r="AT124" s="29" t="s">
        <v>130</v>
      </c>
      <c r="AU124" s="29" t="str">
        <f>IFERROR(VLOOKUP(AG168,[2]Frota!$D$2:$AV$187,12,FALSE),"-")</f>
        <v>-</v>
      </c>
      <c r="AV124" s="45">
        <v>194297</v>
      </c>
      <c r="AW124" s="90">
        <v>740000</v>
      </c>
      <c r="AX124" s="86">
        <v>44552</v>
      </c>
      <c r="AY124" s="91" t="s">
        <v>130</v>
      </c>
      <c r="AZ124" s="85" t="s">
        <v>130</v>
      </c>
      <c r="BA124" s="123">
        <v>690549</v>
      </c>
      <c r="BB124" s="86">
        <v>45215</v>
      </c>
      <c r="BC124" s="85" t="s">
        <v>130</v>
      </c>
      <c r="BD124" s="85" t="s">
        <v>130</v>
      </c>
      <c r="BE124" s="92">
        <f t="shared" si="49"/>
        <v>690549</v>
      </c>
      <c r="BF124" s="92">
        <v>0</v>
      </c>
      <c r="BG124" s="92">
        <v>940000</v>
      </c>
      <c r="BH124" s="92">
        <v>0</v>
      </c>
      <c r="BI124" s="92">
        <v>0</v>
      </c>
      <c r="BJ124" s="92">
        <v>0</v>
      </c>
      <c r="BK124" s="92">
        <v>0</v>
      </c>
      <c r="BL124" s="92">
        <v>0</v>
      </c>
      <c r="BM124" s="93">
        <f t="shared" si="56"/>
        <v>940000</v>
      </c>
      <c r="BN124" s="92">
        <f>(BG124*20%)/12</f>
        <v>15666.666666666666</v>
      </c>
      <c r="BO124" s="92">
        <f>((BF124+BH124+BI124+BJ124+BK124+BL124)*20%)/12</f>
        <v>0</v>
      </c>
      <c r="BP124" s="92">
        <f>BN124+BO124</f>
        <v>15666.666666666666</v>
      </c>
      <c r="BQ124" s="92">
        <v>0</v>
      </c>
      <c r="BR124" s="92">
        <v>0</v>
      </c>
      <c r="BS124" s="85">
        <f t="shared" si="50"/>
        <v>12333.333333333334</v>
      </c>
      <c r="BT124" s="94">
        <v>69.900000000000006</v>
      </c>
      <c r="BU124" s="94" t="s">
        <v>130</v>
      </c>
      <c r="BV124" s="94" t="s">
        <v>130</v>
      </c>
      <c r="BW124" s="95">
        <v>20.94</v>
      </c>
      <c r="BX124" s="96" t="s">
        <v>636</v>
      </c>
      <c r="BY124" s="29" t="s">
        <v>314</v>
      </c>
      <c r="BZ124" s="29" t="s">
        <v>777</v>
      </c>
      <c r="CA124" s="29" t="s">
        <v>130</v>
      </c>
      <c r="CB124" s="29" t="s">
        <v>130</v>
      </c>
      <c r="CC124" s="29" t="s">
        <v>130</v>
      </c>
      <c r="CD124" s="29" t="s">
        <v>314</v>
      </c>
      <c r="CE124" s="29" t="str">
        <f t="shared" si="51"/>
        <v>SP - SELETIVA (variável)</v>
      </c>
      <c r="CF124" s="97" t="s">
        <v>130</v>
      </c>
      <c r="CG124" s="97" t="s">
        <v>130</v>
      </c>
      <c r="CH124" s="37">
        <f t="shared" si="52"/>
        <v>940000</v>
      </c>
      <c r="CI124" s="98" t="s">
        <v>130</v>
      </c>
      <c r="CJ124" s="39">
        <v>5</v>
      </c>
      <c r="CK124" s="39">
        <v>5</v>
      </c>
      <c r="CL124" s="39">
        <f t="shared" si="53"/>
        <v>60</v>
      </c>
      <c r="CM124" s="99">
        <f t="shared" si="54"/>
        <v>31333.333333333332</v>
      </c>
      <c r="CN124" s="40" t="str">
        <f>IFERROR(IF(VLOOKUP(AG124,'[1]ATIVOS SAGI'!C:D,1,FALSE)&lt;&gt;"","CADASTRADO","NÃO CADASTRADO"),"NÃO CADASTRADO")</f>
        <v>CADASTRADO</v>
      </c>
      <c r="CO124" s="99">
        <f t="shared" si="29"/>
        <v>15666.666666666668</v>
      </c>
      <c r="CP124" s="223" t="s">
        <v>81</v>
      </c>
      <c r="CQ124" s="48"/>
      <c r="CR124" s="48"/>
      <c r="CS124" s="48"/>
    </row>
    <row r="125" spans="1:97" x14ac:dyDescent="0.25">
      <c r="A125" s="27">
        <v>93</v>
      </c>
      <c r="B125" s="101">
        <v>14</v>
      </c>
      <c r="C125" s="102" t="s">
        <v>296</v>
      </c>
      <c r="D125" s="88" t="s">
        <v>49</v>
      </c>
      <c r="E125" s="88" t="s">
        <v>130</v>
      </c>
      <c r="F125" s="40" t="s">
        <v>130</v>
      </c>
      <c r="G125" s="88"/>
      <c r="H125" s="104" t="s">
        <v>130</v>
      </c>
      <c r="I125" s="102" t="s">
        <v>307</v>
      </c>
      <c r="J125" s="105">
        <f t="shared" si="55"/>
        <v>2835.74</v>
      </c>
      <c r="K125" s="105" t="s">
        <v>466</v>
      </c>
      <c r="L125" s="105">
        <v>167.74</v>
      </c>
      <c r="M125" s="106">
        <v>45679</v>
      </c>
      <c r="N125" s="105">
        <v>2668</v>
      </c>
      <c r="O125" s="106">
        <v>45769</v>
      </c>
      <c r="P125" s="105">
        <v>2750.52</v>
      </c>
      <c r="Q125" s="102" t="s">
        <v>80</v>
      </c>
      <c r="R125" s="105">
        <v>0</v>
      </c>
      <c r="S125" s="105">
        <v>0</v>
      </c>
      <c r="T125" s="105">
        <v>0</v>
      </c>
      <c r="U125" s="105" t="s">
        <v>130</v>
      </c>
      <c r="V125" s="105" t="s">
        <v>130</v>
      </c>
      <c r="W125" s="105" t="s">
        <v>130</v>
      </c>
      <c r="X125" s="105" t="s">
        <v>130</v>
      </c>
      <c r="Y125" s="105" t="s">
        <v>130</v>
      </c>
      <c r="Z125" s="105" t="s">
        <v>130</v>
      </c>
      <c r="AA125" s="105" t="s">
        <v>130</v>
      </c>
      <c r="AB125" s="105" t="s">
        <v>130</v>
      </c>
      <c r="AC125" s="105" t="s">
        <v>130</v>
      </c>
      <c r="AD125" s="105" t="s">
        <v>130</v>
      </c>
      <c r="AE125" s="102" t="s">
        <v>297</v>
      </c>
      <c r="AF125" s="102" t="s">
        <v>302</v>
      </c>
      <c r="AG125" s="88" t="s">
        <v>779</v>
      </c>
      <c r="AH125" s="102" t="s">
        <v>474</v>
      </c>
      <c r="AI125" s="107" t="str">
        <f>IFERROR(VLOOKUP(AG125,[2]Frota!$D$2:$AV$187,2,FALSE),"-")</f>
        <v>00420874208</v>
      </c>
      <c r="AJ125" s="107" t="str">
        <f>IFERROR(VLOOKUP(AG125,[2]Frota!$D$2:$AV$187,3,FALSE),"-")</f>
        <v>93KK0F0D6BE131741</v>
      </c>
      <c r="AK125" s="102" t="s">
        <v>633</v>
      </c>
      <c r="AL125" s="102" t="s">
        <v>780</v>
      </c>
      <c r="AM125" s="108">
        <v>2011</v>
      </c>
      <c r="AN125" s="108">
        <v>2011</v>
      </c>
      <c r="AO125" s="88" t="s">
        <v>776</v>
      </c>
      <c r="AP125" s="102" t="s">
        <v>773</v>
      </c>
      <c r="AQ125" s="88" t="s">
        <v>464</v>
      </c>
      <c r="AR125" s="89">
        <f>VLOOKUP(AQ125,'[1]Critério de Depreciação'!$C$3:$G$8,5,FALSE)</f>
        <v>1.6666666666666667</v>
      </c>
      <c r="AS125" s="102" t="s">
        <v>130</v>
      </c>
      <c r="AT125" s="102" t="s">
        <v>130</v>
      </c>
      <c r="AU125" s="102" t="str">
        <f>IFERROR(VLOOKUP(AG170,[2]Frota!$D$2:$AV$187,12,FALSE),"-")</f>
        <v>-</v>
      </c>
      <c r="AV125" s="109">
        <v>25819</v>
      </c>
      <c r="AW125" s="110">
        <v>215000</v>
      </c>
      <c r="AX125" s="106">
        <v>40876</v>
      </c>
      <c r="AY125" s="111" t="s">
        <v>130</v>
      </c>
      <c r="AZ125" s="105" t="s">
        <v>130</v>
      </c>
      <c r="BA125" s="112">
        <v>172846</v>
      </c>
      <c r="BB125" s="106">
        <v>45215</v>
      </c>
      <c r="BC125" s="105" t="s">
        <v>130</v>
      </c>
      <c r="BD125" s="105" t="s">
        <v>130</v>
      </c>
      <c r="BE125" s="113">
        <f t="shared" si="49"/>
        <v>172846</v>
      </c>
      <c r="BF125" s="113">
        <v>0</v>
      </c>
      <c r="BG125" s="113">
        <v>540000</v>
      </c>
      <c r="BH125" s="113">
        <v>0</v>
      </c>
      <c r="BI125" s="113">
        <v>0</v>
      </c>
      <c r="BJ125" s="113">
        <v>0</v>
      </c>
      <c r="BK125" s="113">
        <v>0</v>
      </c>
      <c r="BL125" s="113">
        <v>0</v>
      </c>
      <c r="BM125" s="114">
        <f t="shared" si="56"/>
        <v>540000</v>
      </c>
      <c r="BN125" s="113">
        <f>(BG125*20%)/12</f>
        <v>9000</v>
      </c>
      <c r="BO125" s="113">
        <v>0</v>
      </c>
      <c r="BP125" s="113">
        <f>BN125+BO125</f>
        <v>9000</v>
      </c>
      <c r="BQ125" s="113">
        <v>0</v>
      </c>
      <c r="BR125" s="113">
        <v>0</v>
      </c>
      <c r="BS125" s="105">
        <f t="shared" si="50"/>
        <v>3583.3333333333335</v>
      </c>
      <c r="BT125" s="153" t="s">
        <v>130</v>
      </c>
      <c r="BU125" s="153" t="s">
        <v>130</v>
      </c>
      <c r="BV125" s="153" t="s">
        <v>130</v>
      </c>
      <c r="BW125" s="154" t="s">
        <v>130</v>
      </c>
      <c r="BX125" s="180" t="s">
        <v>636</v>
      </c>
      <c r="BY125" s="29" t="s">
        <v>314</v>
      </c>
      <c r="BZ125" s="29" t="s">
        <v>314</v>
      </c>
      <c r="CA125" s="29" t="s">
        <v>130</v>
      </c>
      <c r="CB125" s="29" t="s">
        <v>130</v>
      </c>
      <c r="CC125" s="29" t="s">
        <v>130</v>
      </c>
      <c r="CD125" s="29" t="s">
        <v>130</v>
      </c>
      <c r="CE125" s="29" t="str">
        <f t="shared" si="51"/>
        <v>SP - PRUDENTE</v>
      </c>
      <c r="CF125" s="118" t="s">
        <v>130</v>
      </c>
      <c r="CG125" s="118" t="s">
        <v>130</v>
      </c>
      <c r="CH125" s="119">
        <f t="shared" si="52"/>
        <v>540000</v>
      </c>
      <c r="CI125" s="120" t="s">
        <v>130</v>
      </c>
      <c r="CJ125" s="121">
        <v>5</v>
      </c>
      <c r="CK125" s="121">
        <v>5</v>
      </c>
      <c r="CL125" s="121">
        <f t="shared" si="53"/>
        <v>60</v>
      </c>
      <c r="CM125" s="122">
        <f t="shared" si="54"/>
        <v>18000</v>
      </c>
      <c r="CN125" s="88" t="str">
        <f>IFERROR(IF(VLOOKUP(AG125,'[1]ATIVOS SAGI'!C:D,1,FALSE)&lt;&gt;"","CADASTRADO","NÃO CADASTRADO"),"NÃO CADASTRADO")</f>
        <v>CADASTRADO</v>
      </c>
      <c r="CO125" s="99">
        <f t="shared" si="29"/>
        <v>9000</v>
      </c>
      <c r="CP125" s="48" t="s">
        <v>48</v>
      </c>
      <c r="CQ125" s="48"/>
      <c r="CR125" s="48"/>
      <c r="CS125" s="48"/>
    </row>
    <row r="126" spans="1:97" x14ac:dyDescent="0.25">
      <c r="A126" s="27">
        <v>94</v>
      </c>
      <c r="B126" s="27">
        <v>15</v>
      </c>
      <c r="C126" s="29" t="s">
        <v>296</v>
      </c>
      <c r="D126" s="40" t="s">
        <v>49</v>
      </c>
      <c r="E126" s="40" t="s">
        <v>130</v>
      </c>
      <c r="F126" s="88" t="s">
        <v>130</v>
      </c>
      <c r="G126" s="237" t="s">
        <v>781</v>
      </c>
      <c r="H126" s="41"/>
      <c r="I126" s="29" t="s">
        <v>130</v>
      </c>
      <c r="J126" s="85">
        <f t="shared" si="55"/>
        <v>3237.3</v>
      </c>
      <c r="K126" s="85" t="s">
        <v>130</v>
      </c>
      <c r="L126" s="85">
        <v>167.74</v>
      </c>
      <c r="M126" s="86">
        <v>45680</v>
      </c>
      <c r="N126" s="85">
        <v>3069.56</v>
      </c>
      <c r="O126" s="86">
        <v>45769</v>
      </c>
      <c r="P126" s="85">
        <v>3164.5</v>
      </c>
      <c r="Q126" s="29" t="s">
        <v>570</v>
      </c>
      <c r="R126" s="85">
        <v>197.18</v>
      </c>
      <c r="S126" s="85">
        <v>0</v>
      </c>
      <c r="T126" s="85">
        <v>0</v>
      </c>
      <c r="U126" s="85">
        <v>3535.48</v>
      </c>
      <c r="V126" s="85">
        <v>3429.42</v>
      </c>
      <c r="W126" s="86">
        <v>46044</v>
      </c>
      <c r="X126" s="86">
        <v>46134</v>
      </c>
      <c r="Y126" s="85">
        <v>174.08</v>
      </c>
      <c r="Z126" s="85">
        <f>U126+Y126</f>
        <v>3709.56</v>
      </c>
      <c r="AA126" s="85">
        <f>V126+Y126</f>
        <v>3603.5</v>
      </c>
      <c r="AB126" s="85">
        <v>0</v>
      </c>
      <c r="AC126" s="85">
        <v>0</v>
      </c>
      <c r="AD126" s="85">
        <v>0</v>
      </c>
      <c r="AE126" s="29" t="s">
        <v>45</v>
      </c>
      <c r="AF126" s="29" t="s">
        <v>149</v>
      </c>
      <c r="AG126" s="40" t="s">
        <v>782</v>
      </c>
      <c r="AH126" s="29" t="s">
        <v>468</v>
      </c>
      <c r="AI126" s="87" t="str">
        <f>IFERROR(VLOOKUP(AG126,[2]Frota!$D$2:$AV$187,2,FALSE),"-")</f>
        <v>00536725446</v>
      </c>
      <c r="AJ126" s="87" t="str">
        <f>IFERROR(VLOOKUP(AG126,[2]Frota!$D$2:$AV$187,3,FALSE),"-")</f>
        <v>93KPOS1D2DE139657</v>
      </c>
      <c r="AK126" s="29" t="s">
        <v>633</v>
      </c>
      <c r="AL126" s="29" t="s">
        <v>783</v>
      </c>
      <c r="AM126" s="34">
        <v>2013</v>
      </c>
      <c r="AN126" s="34">
        <v>2013</v>
      </c>
      <c r="AO126" s="40" t="s">
        <v>776</v>
      </c>
      <c r="AP126" s="29" t="s">
        <v>773</v>
      </c>
      <c r="AQ126" s="88" t="s">
        <v>464</v>
      </c>
      <c r="AR126" s="89">
        <f>VLOOKUP(AQ126,'[1]Critério de Depreciação'!$C$3:$G$8,5,FALSE)</f>
        <v>1.6666666666666667</v>
      </c>
      <c r="AS126" s="29" t="s">
        <v>130</v>
      </c>
      <c r="AT126" s="29" t="s">
        <v>130</v>
      </c>
      <c r="AU126" s="29" t="str">
        <f>IFERROR(VLOOKUP(AG171,[2]Frota!$D$2:$AV$187,12,FALSE),"-")</f>
        <v>-</v>
      </c>
      <c r="AV126" s="29" t="s">
        <v>130</v>
      </c>
      <c r="AW126" s="90">
        <v>540000</v>
      </c>
      <c r="AX126" s="86" t="s">
        <v>130</v>
      </c>
      <c r="AY126" s="91" t="s">
        <v>130</v>
      </c>
      <c r="AZ126" s="85" t="s">
        <v>130</v>
      </c>
      <c r="BA126" s="123">
        <v>180196</v>
      </c>
      <c r="BB126" s="86">
        <v>45215</v>
      </c>
      <c r="BC126" s="85" t="s">
        <v>130</v>
      </c>
      <c r="BD126" s="85" t="s">
        <v>130</v>
      </c>
      <c r="BE126" s="92">
        <f t="shared" si="49"/>
        <v>180196</v>
      </c>
      <c r="BF126" s="92">
        <v>0</v>
      </c>
      <c r="BG126" s="92">
        <v>540000</v>
      </c>
      <c r="BH126" s="92">
        <v>0</v>
      </c>
      <c r="BI126" s="92">
        <v>0</v>
      </c>
      <c r="BJ126" s="92">
        <v>0</v>
      </c>
      <c r="BK126" s="92">
        <v>0</v>
      </c>
      <c r="BL126" s="92">
        <v>0</v>
      </c>
      <c r="BM126" s="93">
        <f t="shared" si="56"/>
        <v>540000</v>
      </c>
      <c r="BN126" s="92">
        <f>(BG126*20%)/12</f>
        <v>9000</v>
      </c>
      <c r="BO126" s="92">
        <v>0</v>
      </c>
      <c r="BP126" s="92">
        <f>BN126+BO126</f>
        <v>9000</v>
      </c>
      <c r="BQ126" s="92">
        <v>0</v>
      </c>
      <c r="BR126" s="92">
        <v>0</v>
      </c>
      <c r="BS126" s="85">
        <f t="shared" si="50"/>
        <v>9000</v>
      </c>
      <c r="BT126" s="94">
        <v>69.900000000000006</v>
      </c>
      <c r="BU126" s="94" t="s">
        <v>130</v>
      </c>
      <c r="BV126" s="94" t="s">
        <v>130</v>
      </c>
      <c r="BW126" s="95">
        <v>20.94</v>
      </c>
      <c r="BX126" s="96" t="s">
        <v>638</v>
      </c>
      <c r="BY126" s="29" t="s">
        <v>327</v>
      </c>
      <c r="BZ126" s="29" t="s">
        <v>327</v>
      </c>
      <c r="CA126" s="29" t="s">
        <v>130</v>
      </c>
      <c r="CB126" s="29" t="s">
        <v>130</v>
      </c>
      <c r="CC126" s="29" t="s">
        <v>130</v>
      </c>
      <c r="CD126" s="29" t="s">
        <v>327</v>
      </c>
      <c r="CE126" s="29" t="str">
        <f t="shared" si="51"/>
        <v>ARCELOR - PIRACICABA</v>
      </c>
      <c r="CF126" s="97" t="s">
        <v>130</v>
      </c>
      <c r="CG126" s="97" t="s">
        <v>130</v>
      </c>
      <c r="CH126" s="37">
        <f t="shared" si="52"/>
        <v>540000</v>
      </c>
      <c r="CI126" s="98" t="s">
        <v>130</v>
      </c>
      <c r="CJ126" s="39">
        <v>5</v>
      </c>
      <c r="CK126" s="39">
        <v>5</v>
      </c>
      <c r="CL126" s="39">
        <f t="shared" si="53"/>
        <v>60</v>
      </c>
      <c r="CM126" s="99">
        <f t="shared" si="54"/>
        <v>18000</v>
      </c>
      <c r="CN126" s="40" t="str">
        <f>IFERROR(IF(VLOOKUP(AG126,'[1]ATIVOS SAGI'!C:D,1,FALSE)&lt;&gt;"","CADASTRADO","NÃO CADASTRADO"),"NÃO CADASTRADO")</f>
        <v>CADASTRADO</v>
      </c>
      <c r="CO126" s="99">
        <f t="shared" si="29"/>
        <v>9000</v>
      </c>
      <c r="CP126" s="100" t="s">
        <v>92</v>
      </c>
      <c r="CQ126" s="48"/>
      <c r="CR126" s="48"/>
      <c r="CS126" s="48"/>
    </row>
    <row r="127" spans="1:97" x14ac:dyDescent="0.25">
      <c r="A127" s="27">
        <v>95</v>
      </c>
      <c r="B127" s="27">
        <v>16</v>
      </c>
      <c r="C127" s="29" t="s">
        <v>296</v>
      </c>
      <c r="D127" s="40" t="s">
        <v>49</v>
      </c>
      <c r="E127" s="40" t="s">
        <v>130</v>
      </c>
      <c r="F127" s="88" t="s">
        <v>130</v>
      </c>
      <c r="G127" s="237" t="s">
        <v>781</v>
      </c>
      <c r="H127" s="41" t="s">
        <v>130</v>
      </c>
      <c r="I127" s="29" t="s">
        <v>130</v>
      </c>
      <c r="J127" s="85">
        <f t="shared" si="55"/>
        <v>2740.3599999999997</v>
      </c>
      <c r="K127" s="85" t="s">
        <v>466</v>
      </c>
      <c r="L127" s="85">
        <v>167.74</v>
      </c>
      <c r="M127" s="86">
        <v>45678</v>
      </c>
      <c r="N127" s="85">
        <v>2572.62</v>
      </c>
      <c r="O127" s="86">
        <v>45769</v>
      </c>
      <c r="P127" s="85">
        <v>2652.19</v>
      </c>
      <c r="Q127" s="29" t="s">
        <v>80</v>
      </c>
      <c r="R127" s="85">
        <v>0</v>
      </c>
      <c r="S127" s="85">
        <v>0</v>
      </c>
      <c r="T127" s="85">
        <v>0</v>
      </c>
      <c r="U127" s="85">
        <v>3359.61</v>
      </c>
      <c r="V127" s="85">
        <v>3258.82</v>
      </c>
      <c r="W127" s="86">
        <v>46043</v>
      </c>
      <c r="X127" s="86">
        <v>46134</v>
      </c>
      <c r="Y127" s="85">
        <v>174.08</v>
      </c>
      <c r="Z127" s="85">
        <f>U127+Y127</f>
        <v>3533.69</v>
      </c>
      <c r="AA127" s="85">
        <f>V127+Y127</f>
        <v>3432.9</v>
      </c>
      <c r="AB127" s="85">
        <v>0</v>
      </c>
      <c r="AC127" s="85">
        <v>0</v>
      </c>
      <c r="AD127" s="85">
        <v>0</v>
      </c>
      <c r="AE127" s="29" t="s">
        <v>45</v>
      </c>
      <c r="AF127" s="29" t="s">
        <v>151</v>
      </c>
      <c r="AG127" s="40" t="s">
        <v>784</v>
      </c>
      <c r="AH127" s="29" t="s">
        <v>474</v>
      </c>
      <c r="AI127" s="87" t="str">
        <f>IFERROR(VLOOKUP(AG127,[2]Frota!$D$2:$AV$187,2,FALSE),"-")</f>
        <v>00470246561</v>
      </c>
      <c r="AJ127" s="87" t="str">
        <f>IFERROR(VLOOKUP(AG127,[2]Frota!$D$2:$AV$187,3,FALSE),"-")</f>
        <v>93KP0S1DXCE135005</v>
      </c>
      <c r="AK127" s="29" t="s">
        <v>633</v>
      </c>
      <c r="AL127" s="29" t="s">
        <v>783</v>
      </c>
      <c r="AM127" s="34">
        <v>2012</v>
      </c>
      <c r="AN127" s="34">
        <v>2012</v>
      </c>
      <c r="AO127" s="40" t="s">
        <v>776</v>
      </c>
      <c r="AP127" s="29" t="s">
        <v>773</v>
      </c>
      <c r="AQ127" s="88" t="s">
        <v>464</v>
      </c>
      <c r="AR127" s="89">
        <f>VLOOKUP(AQ127,'[1]Critério de Depreciação'!$C$3:$G$8,5,FALSE)</f>
        <v>1.6666666666666667</v>
      </c>
      <c r="AS127" s="29" t="s">
        <v>130</v>
      </c>
      <c r="AT127" s="29" t="s">
        <v>130</v>
      </c>
      <c r="AU127" s="29" t="str">
        <f>IFERROR(VLOOKUP(AG172,[2]Frota!$D$2:$AV$187,12,FALSE),"-")</f>
        <v>-</v>
      </c>
      <c r="AV127" s="29">
        <v>30639</v>
      </c>
      <c r="AW127" s="90">
        <v>240000</v>
      </c>
      <c r="AX127" s="86">
        <v>41040</v>
      </c>
      <c r="AY127" s="91" t="s">
        <v>130</v>
      </c>
      <c r="AZ127" s="85" t="s">
        <v>130</v>
      </c>
      <c r="BA127" s="123">
        <v>157647</v>
      </c>
      <c r="BB127" s="86">
        <v>45215</v>
      </c>
      <c r="BC127" s="85" t="s">
        <v>130</v>
      </c>
      <c r="BD127" s="85" t="s">
        <v>130</v>
      </c>
      <c r="BE127" s="92">
        <f t="shared" si="49"/>
        <v>157647</v>
      </c>
      <c r="BF127" s="92">
        <v>0</v>
      </c>
      <c r="BG127" s="92">
        <v>540000</v>
      </c>
      <c r="BH127" s="92">
        <v>0</v>
      </c>
      <c r="BI127" s="92">
        <v>0</v>
      </c>
      <c r="BJ127" s="92">
        <v>0</v>
      </c>
      <c r="BK127" s="92">
        <v>0</v>
      </c>
      <c r="BL127" s="92">
        <v>0</v>
      </c>
      <c r="BM127" s="93">
        <f t="shared" si="56"/>
        <v>540000</v>
      </c>
      <c r="BN127" s="92">
        <f>(BG127*20%)/12</f>
        <v>9000</v>
      </c>
      <c r="BO127" s="92">
        <v>0</v>
      </c>
      <c r="BP127" s="92">
        <f>BN127+BO127</f>
        <v>9000</v>
      </c>
      <c r="BQ127" s="92">
        <v>0</v>
      </c>
      <c r="BR127" s="92">
        <v>0</v>
      </c>
      <c r="BS127" s="85">
        <f t="shared" si="50"/>
        <v>4000</v>
      </c>
      <c r="BT127" s="94">
        <v>69.900000000000006</v>
      </c>
      <c r="BU127" s="94" t="s">
        <v>130</v>
      </c>
      <c r="BV127" s="94" t="s">
        <v>130</v>
      </c>
      <c r="BW127" s="95">
        <v>20.94</v>
      </c>
      <c r="BX127" s="96" t="s">
        <v>638</v>
      </c>
      <c r="BY127" s="29" t="s">
        <v>327</v>
      </c>
      <c r="BZ127" s="29" t="s">
        <v>327</v>
      </c>
      <c r="CA127" s="29" t="s">
        <v>130</v>
      </c>
      <c r="CB127" s="29" t="s">
        <v>130</v>
      </c>
      <c r="CC127" s="29" t="s">
        <v>130</v>
      </c>
      <c r="CD127" s="29" t="s">
        <v>327</v>
      </c>
      <c r="CE127" s="29" t="str">
        <f t="shared" si="51"/>
        <v>RJ - RESENDE</v>
      </c>
      <c r="CF127" s="97" t="s">
        <v>130</v>
      </c>
      <c r="CG127" s="97" t="s">
        <v>130</v>
      </c>
      <c r="CH127" s="37">
        <f t="shared" si="52"/>
        <v>540000</v>
      </c>
      <c r="CI127" s="98" t="s">
        <v>130</v>
      </c>
      <c r="CJ127" s="39">
        <v>5</v>
      </c>
      <c r="CK127" s="39">
        <v>5</v>
      </c>
      <c r="CL127" s="39">
        <f t="shared" si="53"/>
        <v>60</v>
      </c>
      <c r="CM127" s="99">
        <f t="shared" si="54"/>
        <v>18000</v>
      </c>
      <c r="CN127" s="40" t="str">
        <f>IFERROR(IF(VLOOKUP(AG127,'[1]ATIVOS SAGI'!C:D,1,FALSE)&lt;&gt;"","CADASTRADO","NÃO CADASTRADO"),"NÃO CADASTRADO")</f>
        <v>CADASTRADO</v>
      </c>
      <c r="CO127" s="99">
        <f t="shared" si="29"/>
        <v>9000</v>
      </c>
      <c r="CP127" s="100" t="s">
        <v>92</v>
      </c>
      <c r="CQ127" s="48"/>
      <c r="CR127" s="48"/>
      <c r="CS127" s="48"/>
    </row>
    <row r="128" spans="1:97" x14ac:dyDescent="0.25">
      <c r="A128" s="27">
        <v>96</v>
      </c>
      <c r="B128" s="101">
        <v>17</v>
      </c>
      <c r="C128" s="102" t="s">
        <v>296</v>
      </c>
      <c r="D128" s="88" t="s">
        <v>49</v>
      </c>
      <c r="E128" s="88" t="s">
        <v>130</v>
      </c>
      <c r="F128" s="84" t="s">
        <v>130</v>
      </c>
      <c r="G128" s="88"/>
      <c r="H128" s="104" t="s">
        <v>130</v>
      </c>
      <c r="I128" s="102" t="s">
        <v>307</v>
      </c>
      <c r="J128" s="105">
        <f t="shared" si="55"/>
        <v>3546.2700000000004</v>
      </c>
      <c r="K128" s="105" t="s">
        <v>466</v>
      </c>
      <c r="L128" s="105">
        <v>167.74</v>
      </c>
      <c r="M128" s="106">
        <v>45672</v>
      </c>
      <c r="N128" s="105">
        <v>3378.53</v>
      </c>
      <c r="O128" s="106">
        <v>45769</v>
      </c>
      <c r="P128" s="105">
        <v>3483.03</v>
      </c>
      <c r="Q128" s="102" t="s">
        <v>80</v>
      </c>
      <c r="R128" s="105">
        <v>0</v>
      </c>
      <c r="S128" s="105">
        <v>0</v>
      </c>
      <c r="T128" s="105">
        <v>0</v>
      </c>
      <c r="U128" s="105" t="s">
        <v>130</v>
      </c>
      <c r="V128" s="105" t="s">
        <v>130</v>
      </c>
      <c r="W128" s="105" t="s">
        <v>130</v>
      </c>
      <c r="X128" s="105" t="s">
        <v>130</v>
      </c>
      <c r="Y128" s="105" t="s">
        <v>130</v>
      </c>
      <c r="Z128" s="105" t="s">
        <v>130</v>
      </c>
      <c r="AA128" s="105" t="s">
        <v>130</v>
      </c>
      <c r="AB128" s="105" t="s">
        <v>130</v>
      </c>
      <c r="AC128" s="105" t="s">
        <v>130</v>
      </c>
      <c r="AD128" s="105" t="s">
        <v>130</v>
      </c>
      <c r="AE128" s="102" t="s">
        <v>297</v>
      </c>
      <c r="AF128" s="102" t="s">
        <v>302</v>
      </c>
      <c r="AG128" s="88" t="s">
        <v>785</v>
      </c>
      <c r="AH128" s="102" t="s">
        <v>468</v>
      </c>
      <c r="AI128" s="107" t="str">
        <f>IFERROR(VLOOKUP(AG128,[2]Frota!$D$2:$AV$187,2,FALSE),"-")</f>
        <v>01066783745</v>
      </c>
      <c r="AJ128" s="107" t="str">
        <f>IFERROR(VLOOKUP(AG128,[2]Frota!$D$2:$AV$187,3,FALSE),"-")</f>
        <v>9BVXG00C0GE835683</v>
      </c>
      <c r="AK128" s="102" t="s">
        <v>633</v>
      </c>
      <c r="AL128" s="102" t="s">
        <v>786</v>
      </c>
      <c r="AM128" s="108">
        <v>2015</v>
      </c>
      <c r="AN128" s="108">
        <v>2016</v>
      </c>
      <c r="AO128" s="88" t="s">
        <v>787</v>
      </c>
      <c r="AP128" s="102" t="s">
        <v>773</v>
      </c>
      <c r="AQ128" s="88" t="s">
        <v>464</v>
      </c>
      <c r="AR128" s="89">
        <f>VLOOKUP(AQ128,'[1]Critério de Depreciação'!$C$3:$G$8,5,FALSE)</f>
        <v>1.6666666666666667</v>
      </c>
      <c r="AS128" s="102" t="s">
        <v>130</v>
      </c>
      <c r="AT128" s="102" t="s">
        <v>130</v>
      </c>
      <c r="AU128" s="102" t="str">
        <f>IFERROR(VLOOKUP(AG173,[2]Frota!$D$2:$AV$187,12,FALSE),"-")</f>
        <v>-</v>
      </c>
      <c r="AV128" s="158" t="s">
        <v>130</v>
      </c>
      <c r="AW128" s="110">
        <v>0</v>
      </c>
      <c r="AX128" s="106" t="s">
        <v>130</v>
      </c>
      <c r="AY128" s="111">
        <v>319000</v>
      </c>
      <c r="AZ128" s="105" t="s">
        <v>130</v>
      </c>
      <c r="BA128" s="112">
        <v>269010</v>
      </c>
      <c r="BB128" s="106">
        <v>45215</v>
      </c>
      <c r="BC128" s="105" t="s">
        <v>130</v>
      </c>
      <c r="BD128" s="105" t="s">
        <v>130</v>
      </c>
      <c r="BE128" s="113">
        <f t="shared" si="49"/>
        <v>269010</v>
      </c>
      <c r="BF128" s="113">
        <v>0</v>
      </c>
      <c r="BG128" s="113">
        <v>239000</v>
      </c>
      <c r="BH128" s="113">
        <v>0</v>
      </c>
      <c r="BI128" s="113">
        <v>0</v>
      </c>
      <c r="BJ128" s="113">
        <v>0</v>
      </c>
      <c r="BK128" s="113">
        <v>0</v>
      </c>
      <c r="BL128" s="113">
        <v>0</v>
      </c>
      <c r="BM128" s="114">
        <f t="shared" si="56"/>
        <v>239000</v>
      </c>
      <c r="BN128" s="113">
        <v>0</v>
      </c>
      <c r="BO128" s="113">
        <v>0</v>
      </c>
      <c r="BP128" s="113">
        <v>0</v>
      </c>
      <c r="BQ128" s="113">
        <v>0</v>
      </c>
      <c r="BR128" s="113">
        <v>0</v>
      </c>
      <c r="BS128" s="105">
        <f t="shared" si="50"/>
        <v>0</v>
      </c>
      <c r="BT128" s="153">
        <v>69.900000000000006</v>
      </c>
      <c r="BU128" s="153" t="s">
        <v>130</v>
      </c>
      <c r="BV128" s="153" t="s">
        <v>130</v>
      </c>
      <c r="BW128" s="154" t="s">
        <v>130</v>
      </c>
      <c r="BX128" s="180" t="s">
        <v>130</v>
      </c>
      <c r="BY128" s="29" t="s">
        <v>327</v>
      </c>
      <c r="BZ128" s="29" t="s">
        <v>788</v>
      </c>
      <c r="CA128" s="29" t="s">
        <v>130</v>
      </c>
      <c r="CB128" s="29" t="s">
        <v>130</v>
      </c>
      <c r="CC128" s="29" t="s">
        <v>130</v>
      </c>
      <c r="CD128" s="29" t="s">
        <v>314</v>
      </c>
      <c r="CE128" s="29" t="str">
        <f t="shared" si="51"/>
        <v>SP - PRUDENTE</v>
      </c>
      <c r="CF128" s="118" t="s">
        <v>130</v>
      </c>
      <c r="CG128" s="118" t="s">
        <v>130</v>
      </c>
      <c r="CH128" s="119">
        <f t="shared" si="52"/>
        <v>239000</v>
      </c>
      <c r="CI128" s="120" t="s">
        <v>130</v>
      </c>
      <c r="CJ128" s="121">
        <v>5</v>
      </c>
      <c r="CK128" s="121">
        <v>5</v>
      </c>
      <c r="CL128" s="121">
        <f t="shared" si="53"/>
        <v>60</v>
      </c>
      <c r="CM128" s="122">
        <f t="shared" si="54"/>
        <v>7966.666666666667</v>
      </c>
      <c r="CN128" s="88" t="str">
        <f>IFERROR(IF(VLOOKUP(AG128,'[1]ATIVOS SAGI'!C:D,1,FALSE)&lt;&gt;"","CADASTRADO","NÃO CADASTRADO"),"NÃO CADASTRADO")</f>
        <v>CADASTRADO</v>
      </c>
      <c r="CO128" s="99">
        <f t="shared" si="29"/>
        <v>3983.3333333333339</v>
      </c>
      <c r="CP128" s="48" t="s">
        <v>48</v>
      </c>
      <c r="CQ128" s="48"/>
      <c r="CR128" s="48"/>
      <c r="CS128" s="48"/>
    </row>
    <row r="129" spans="1:97" x14ac:dyDescent="0.25">
      <c r="A129" s="27">
        <v>204</v>
      </c>
      <c r="B129" s="101">
        <v>12</v>
      </c>
      <c r="C129" s="102" t="s">
        <v>296</v>
      </c>
      <c r="D129" s="88" t="s">
        <v>49</v>
      </c>
      <c r="E129" s="88" t="s">
        <v>130</v>
      </c>
      <c r="F129" s="84" t="s">
        <v>130</v>
      </c>
      <c r="G129" s="88"/>
      <c r="H129" s="104" t="s">
        <v>130</v>
      </c>
      <c r="I129" s="102" t="s">
        <v>130</v>
      </c>
      <c r="J129" s="102" t="s">
        <v>130</v>
      </c>
      <c r="K129" s="102" t="s">
        <v>130</v>
      </c>
      <c r="L129" s="105" t="s">
        <v>130</v>
      </c>
      <c r="M129" s="106" t="s">
        <v>130</v>
      </c>
      <c r="N129" s="105" t="s">
        <v>130</v>
      </c>
      <c r="O129" s="106" t="s">
        <v>130</v>
      </c>
      <c r="P129" s="105" t="s">
        <v>130</v>
      </c>
      <c r="Q129" s="105" t="s">
        <v>130</v>
      </c>
      <c r="R129" s="105" t="s">
        <v>130</v>
      </c>
      <c r="S129" s="105" t="s">
        <v>130</v>
      </c>
      <c r="T129" s="105" t="s">
        <v>130</v>
      </c>
      <c r="U129" s="105" t="s">
        <v>130</v>
      </c>
      <c r="V129" s="105" t="s">
        <v>130</v>
      </c>
      <c r="W129" s="105" t="s">
        <v>130</v>
      </c>
      <c r="X129" s="105" t="s">
        <v>130</v>
      </c>
      <c r="Y129" s="105" t="s">
        <v>130</v>
      </c>
      <c r="Z129" s="105" t="s">
        <v>130</v>
      </c>
      <c r="AA129" s="105" t="s">
        <v>130</v>
      </c>
      <c r="AB129" s="105" t="s">
        <v>130</v>
      </c>
      <c r="AC129" s="105" t="s">
        <v>130</v>
      </c>
      <c r="AD129" s="105" t="s">
        <v>130</v>
      </c>
      <c r="AE129" s="102" t="s">
        <v>297</v>
      </c>
      <c r="AF129" s="102" t="s">
        <v>130</v>
      </c>
      <c r="AG129" s="88" t="s">
        <v>789</v>
      </c>
      <c r="AH129" s="102" t="s">
        <v>130</v>
      </c>
      <c r="AI129" s="107" t="str">
        <f>IFERROR(VLOOKUP(AG129,[2]Frota!$D$2:$AV$187,2,FALSE),"-")</f>
        <v>00203983734</v>
      </c>
      <c r="AJ129" s="107" t="str">
        <f>IFERROR(VLOOKUP(AG129,[2]Frota!$D$2:$AV$187,3,FALSE),"-")</f>
        <v>9BFYCAWY5ABB50469</v>
      </c>
      <c r="AK129" s="102" t="s">
        <v>549</v>
      </c>
      <c r="AL129" s="102" t="s">
        <v>790</v>
      </c>
      <c r="AM129" s="108">
        <v>2010</v>
      </c>
      <c r="AN129" s="108">
        <v>2010</v>
      </c>
      <c r="AO129" s="88" t="s">
        <v>791</v>
      </c>
      <c r="AP129" s="102" t="s">
        <v>773</v>
      </c>
      <c r="AQ129" s="88" t="s">
        <v>464</v>
      </c>
      <c r="AR129" s="89">
        <f>VLOOKUP(AQ129,'[1]Critério de Depreciação'!$C$3:$G$8,5,FALSE)</f>
        <v>1.6666666666666667</v>
      </c>
      <c r="AS129" s="102" t="s">
        <v>130</v>
      </c>
      <c r="AT129" s="102" t="s">
        <v>130</v>
      </c>
      <c r="AU129" s="102" t="str">
        <f>IFERROR(VLOOKUP(#REF!,[2]Frota!$D$2:$AV$187,12,FALSE),"-")</f>
        <v>-</v>
      </c>
      <c r="AV129" s="159">
        <v>30547</v>
      </c>
      <c r="AW129" s="110">
        <v>160000</v>
      </c>
      <c r="AX129" s="106" t="s">
        <v>130</v>
      </c>
      <c r="AY129" s="111" t="s">
        <v>130</v>
      </c>
      <c r="AZ129" s="105" t="s">
        <v>130</v>
      </c>
      <c r="BA129" s="112">
        <v>85893</v>
      </c>
      <c r="BB129" s="106">
        <v>45215</v>
      </c>
      <c r="BC129" s="105" t="s">
        <v>130</v>
      </c>
      <c r="BD129" s="105" t="s">
        <v>130</v>
      </c>
      <c r="BE129" s="113">
        <f t="shared" si="49"/>
        <v>85893</v>
      </c>
      <c r="BF129" s="113">
        <v>0</v>
      </c>
      <c r="BG129" s="113">
        <v>0</v>
      </c>
      <c r="BH129" s="113">
        <v>0</v>
      </c>
      <c r="BI129" s="113">
        <v>0</v>
      </c>
      <c r="BJ129" s="113">
        <v>0</v>
      </c>
      <c r="BK129" s="113">
        <v>0</v>
      </c>
      <c r="BL129" s="113">
        <v>0</v>
      </c>
      <c r="BM129" s="114">
        <f t="shared" si="56"/>
        <v>0</v>
      </c>
      <c r="BN129" s="113">
        <v>0</v>
      </c>
      <c r="BO129" s="113">
        <v>0</v>
      </c>
      <c r="BP129" s="113">
        <v>0</v>
      </c>
      <c r="BQ129" s="113">
        <v>0</v>
      </c>
      <c r="BR129" s="113">
        <v>0</v>
      </c>
      <c r="BS129" s="105">
        <f t="shared" si="50"/>
        <v>2666.6666666666665</v>
      </c>
      <c r="BT129" s="153" t="s">
        <v>130</v>
      </c>
      <c r="BU129" s="153" t="s">
        <v>130</v>
      </c>
      <c r="BV129" s="153" t="s">
        <v>130</v>
      </c>
      <c r="BW129" s="154" t="s">
        <v>130</v>
      </c>
      <c r="BX129" s="153" t="s">
        <v>130</v>
      </c>
      <c r="BY129" s="102" t="s">
        <v>314</v>
      </c>
      <c r="BZ129" s="102" t="s">
        <v>314</v>
      </c>
      <c r="CA129" s="102" t="s">
        <v>130</v>
      </c>
      <c r="CB129" s="102" t="s">
        <v>130</v>
      </c>
      <c r="CC129" s="102" t="s">
        <v>130</v>
      </c>
      <c r="CD129" s="102" t="s">
        <v>130</v>
      </c>
      <c r="CE129" s="102" t="str">
        <f t="shared" si="51"/>
        <v>-</v>
      </c>
      <c r="CF129" s="118" t="s">
        <v>130</v>
      </c>
      <c r="CG129" s="118" t="s">
        <v>130</v>
      </c>
      <c r="CH129" s="119">
        <f t="shared" si="52"/>
        <v>0</v>
      </c>
      <c r="CI129" s="120" t="s">
        <v>130</v>
      </c>
      <c r="CJ129" s="121">
        <v>5</v>
      </c>
      <c r="CK129" s="121">
        <v>5</v>
      </c>
      <c r="CL129" s="121">
        <f t="shared" si="53"/>
        <v>60</v>
      </c>
      <c r="CM129" s="122">
        <f t="shared" si="54"/>
        <v>0</v>
      </c>
      <c r="CN129" s="88" t="str">
        <f>IFERROR(IF(VLOOKUP(AG129,'[1]ATIVOS SAGI'!C:D,1,FALSE)&lt;&gt;"","CADASTRADO","NÃO CADASTRADO"),"NÃO CADASTRADO")</f>
        <v>CADASTRADO</v>
      </c>
      <c r="CO129" s="99">
        <f t="shared" si="29"/>
        <v>0</v>
      </c>
      <c r="CP129" s="48" t="s">
        <v>48</v>
      </c>
      <c r="CQ129" s="48"/>
      <c r="CR129" s="48"/>
      <c r="CS129" s="48"/>
    </row>
    <row r="130" spans="1:97" x14ac:dyDescent="0.25">
      <c r="A130" s="27">
        <v>214</v>
      </c>
      <c r="B130" s="27" t="s">
        <v>130</v>
      </c>
      <c r="C130" s="29" t="s">
        <v>296</v>
      </c>
      <c r="D130" s="40" t="s">
        <v>49</v>
      </c>
      <c r="E130" s="84" t="s">
        <v>130</v>
      </c>
      <c r="F130" s="40" t="s">
        <v>130</v>
      </c>
      <c r="G130" s="84"/>
      <c r="H130" s="160" t="s">
        <v>109</v>
      </c>
      <c r="I130" s="29" t="s">
        <v>130</v>
      </c>
      <c r="J130" s="161" t="s">
        <v>130</v>
      </c>
      <c r="K130" s="85" t="s">
        <v>130</v>
      </c>
      <c r="L130" s="85" t="s">
        <v>130</v>
      </c>
      <c r="M130" s="86" t="s">
        <v>130</v>
      </c>
      <c r="N130" s="85" t="s">
        <v>130</v>
      </c>
      <c r="O130" s="86" t="s">
        <v>130</v>
      </c>
      <c r="P130" s="85" t="s">
        <v>130</v>
      </c>
      <c r="Q130" s="85" t="s">
        <v>130</v>
      </c>
      <c r="R130" s="85" t="s">
        <v>130</v>
      </c>
      <c r="S130" s="85" t="s">
        <v>130</v>
      </c>
      <c r="T130" s="85" t="s">
        <v>130</v>
      </c>
      <c r="U130" s="85" t="s">
        <v>130</v>
      </c>
      <c r="V130" s="85" t="s">
        <v>130</v>
      </c>
      <c r="W130" s="85" t="s">
        <v>130</v>
      </c>
      <c r="X130" s="85" t="s">
        <v>130</v>
      </c>
      <c r="Y130" s="85" t="s">
        <v>130</v>
      </c>
      <c r="Z130" s="85" t="s">
        <v>130</v>
      </c>
      <c r="AA130" s="85" t="s">
        <v>130</v>
      </c>
      <c r="AB130" s="85" t="s">
        <v>130</v>
      </c>
      <c r="AC130" s="85" t="s">
        <v>130</v>
      </c>
      <c r="AD130" s="85" t="s">
        <v>130</v>
      </c>
      <c r="AE130" s="132" t="s">
        <v>45</v>
      </c>
      <c r="AF130" s="132" t="s">
        <v>53</v>
      </c>
      <c r="AG130" s="40" t="s">
        <v>130</v>
      </c>
      <c r="AH130" s="29" t="s">
        <v>130</v>
      </c>
      <c r="AI130" s="167" t="s">
        <v>130</v>
      </c>
      <c r="AJ130" s="168" t="s">
        <v>130</v>
      </c>
      <c r="AK130" s="132" t="s">
        <v>792</v>
      </c>
      <c r="AL130" s="132" t="s">
        <v>793</v>
      </c>
      <c r="AM130" s="135" t="s">
        <v>130</v>
      </c>
      <c r="AN130" s="135" t="s">
        <v>130</v>
      </c>
      <c r="AO130" s="84" t="s">
        <v>794</v>
      </c>
      <c r="AP130" s="29" t="s">
        <v>61</v>
      </c>
      <c r="AQ130" s="88" t="s">
        <v>303</v>
      </c>
      <c r="AR130" s="89">
        <f>VLOOKUP(AQ130,'[1]Critério de Depreciação'!$C$3:$G$8,5,FALSE)</f>
        <v>0.83333333333333337</v>
      </c>
      <c r="AS130" s="29" t="s">
        <v>130</v>
      </c>
      <c r="AT130" s="29" t="s">
        <v>130</v>
      </c>
      <c r="AU130" s="29" t="s">
        <v>130</v>
      </c>
      <c r="AV130" s="136">
        <v>610</v>
      </c>
      <c r="AW130" s="90">
        <v>60000</v>
      </c>
      <c r="AX130" s="86">
        <v>45759</v>
      </c>
      <c r="AY130" s="91" t="s">
        <v>130</v>
      </c>
      <c r="AZ130" s="85" t="s">
        <v>130</v>
      </c>
      <c r="BA130" s="123" t="s">
        <v>130</v>
      </c>
      <c r="BB130" s="86" t="s">
        <v>130</v>
      </c>
      <c r="BC130" s="85" t="s">
        <v>130</v>
      </c>
      <c r="BD130" s="85" t="s">
        <v>130</v>
      </c>
      <c r="BE130" s="92">
        <f t="shared" si="49"/>
        <v>0</v>
      </c>
      <c r="BF130" s="92">
        <v>0</v>
      </c>
      <c r="BG130" s="92">
        <v>0</v>
      </c>
      <c r="BH130" s="92">
        <v>0</v>
      </c>
      <c r="BI130" s="92">
        <v>0</v>
      </c>
      <c r="BJ130" s="92">
        <v>0</v>
      </c>
      <c r="BK130" s="92">
        <v>0</v>
      </c>
      <c r="BL130" s="92">
        <v>0</v>
      </c>
      <c r="BM130" s="93">
        <v>60000</v>
      </c>
      <c r="BN130" s="92">
        <v>0</v>
      </c>
      <c r="BO130" s="92">
        <v>0</v>
      </c>
      <c r="BP130" s="92">
        <f>BN130+BO130</f>
        <v>0</v>
      </c>
      <c r="BQ130" s="92">
        <v>0</v>
      </c>
      <c r="BR130" s="92">
        <v>0</v>
      </c>
      <c r="BS130" s="85" t="s">
        <v>130</v>
      </c>
      <c r="BT130" s="94" t="s">
        <v>130</v>
      </c>
      <c r="BU130" s="94" t="s">
        <v>130</v>
      </c>
      <c r="BV130" s="94" t="s">
        <v>130</v>
      </c>
      <c r="BW130" s="95" t="s">
        <v>130</v>
      </c>
      <c r="BX130" s="96" t="s">
        <v>130</v>
      </c>
      <c r="BY130" s="29" t="s">
        <v>130</v>
      </c>
      <c r="BZ130" s="29" t="s">
        <v>130</v>
      </c>
      <c r="CA130" s="29" t="s">
        <v>130</v>
      </c>
      <c r="CB130" s="29" t="s">
        <v>130</v>
      </c>
      <c r="CC130" s="29" t="s">
        <v>130</v>
      </c>
      <c r="CD130" s="29" t="s">
        <v>130</v>
      </c>
      <c r="CE130" s="132" t="str">
        <f t="shared" si="51"/>
        <v>MS - CAMPO GRANDE</v>
      </c>
      <c r="CF130" s="97" t="s">
        <v>130</v>
      </c>
      <c r="CG130" s="97" t="s">
        <v>130</v>
      </c>
      <c r="CH130" s="37">
        <f t="shared" si="52"/>
        <v>60000</v>
      </c>
      <c r="CI130" s="98" t="s">
        <v>130</v>
      </c>
      <c r="CJ130" s="39">
        <v>5</v>
      </c>
      <c r="CK130" s="39">
        <v>5</v>
      </c>
      <c r="CL130" s="39">
        <f t="shared" si="53"/>
        <v>60</v>
      </c>
      <c r="CM130" s="99">
        <f t="shared" si="54"/>
        <v>2000</v>
      </c>
      <c r="CN130" s="84" t="s">
        <v>130</v>
      </c>
      <c r="CO130" s="99">
        <f t="shared" si="29"/>
        <v>500</v>
      </c>
      <c r="CP130" s="100" t="s">
        <v>92</v>
      </c>
      <c r="CQ130" s="48"/>
      <c r="CR130" s="48"/>
      <c r="CS130" s="48"/>
    </row>
    <row r="131" spans="1:97" x14ac:dyDescent="0.25">
      <c r="A131" s="27">
        <v>215</v>
      </c>
      <c r="B131" s="164" t="s">
        <v>130</v>
      </c>
      <c r="C131" s="132" t="s">
        <v>130</v>
      </c>
      <c r="D131" s="40" t="s">
        <v>49</v>
      </c>
      <c r="E131" s="84" t="s">
        <v>130</v>
      </c>
      <c r="F131" s="40" t="s">
        <v>130</v>
      </c>
      <c r="G131" s="188"/>
      <c r="H131" s="160" t="s">
        <v>130</v>
      </c>
      <c r="I131" s="132" t="s">
        <v>130</v>
      </c>
      <c r="J131" s="132" t="s">
        <v>130</v>
      </c>
      <c r="K131" s="132" t="s">
        <v>130</v>
      </c>
      <c r="L131" s="165" t="s">
        <v>130</v>
      </c>
      <c r="M131" s="166" t="s">
        <v>130</v>
      </c>
      <c r="N131" s="165" t="s">
        <v>130</v>
      </c>
      <c r="O131" s="166" t="s">
        <v>130</v>
      </c>
      <c r="P131" s="165" t="s">
        <v>130</v>
      </c>
      <c r="Q131" s="165" t="s">
        <v>130</v>
      </c>
      <c r="R131" s="165" t="s">
        <v>130</v>
      </c>
      <c r="S131" s="165" t="s">
        <v>130</v>
      </c>
      <c r="T131" s="165" t="s">
        <v>130</v>
      </c>
      <c r="U131" s="165" t="s">
        <v>130</v>
      </c>
      <c r="V131" s="165" t="s">
        <v>130</v>
      </c>
      <c r="W131" s="165" t="s">
        <v>130</v>
      </c>
      <c r="X131" s="165" t="s">
        <v>130</v>
      </c>
      <c r="Y131" s="165" t="s">
        <v>130</v>
      </c>
      <c r="Z131" s="165" t="s">
        <v>130</v>
      </c>
      <c r="AA131" s="165" t="s">
        <v>130</v>
      </c>
      <c r="AB131" s="165" t="s">
        <v>130</v>
      </c>
      <c r="AC131" s="165" t="s">
        <v>130</v>
      </c>
      <c r="AD131" s="165" t="s">
        <v>130</v>
      </c>
      <c r="AE131" s="29" t="s">
        <v>45</v>
      </c>
      <c r="AF131" s="29" t="s">
        <v>55</v>
      </c>
      <c r="AG131" s="40" t="s">
        <v>795</v>
      </c>
      <c r="AH131" s="29" t="s">
        <v>130</v>
      </c>
      <c r="AI131" s="167" t="s">
        <v>130</v>
      </c>
      <c r="AJ131" s="168" t="s">
        <v>130</v>
      </c>
      <c r="AK131" s="29" t="s">
        <v>328</v>
      </c>
      <c r="AL131" s="132" t="s">
        <v>130</v>
      </c>
      <c r="AM131" s="135" t="s">
        <v>130</v>
      </c>
      <c r="AN131" s="135" t="s">
        <v>130</v>
      </c>
      <c r="AO131" s="40" t="s">
        <v>329</v>
      </c>
      <c r="AP131" s="29" t="s">
        <v>61</v>
      </c>
      <c r="AQ131" s="88" t="s">
        <v>303</v>
      </c>
      <c r="AR131" s="89">
        <f>VLOOKUP(AQ131,'[1]Critério de Depreciação'!$C$3:$G$8,5,FALSE)</f>
        <v>0.83333333333333337</v>
      </c>
      <c r="AS131" s="132" t="s">
        <v>130</v>
      </c>
      <c r="AT131" s="132" t="s">
        <v>130</v>
      </c>
      <c r="AU131" s="132" t="s">
        <v>130</v>
      </c>
      <c r="AV131" s="136" t="s">
        <v>130</v>
      </c>
      <c r="AW131" s="169">
        <v>696000</v>
      </c>
      <c r="AX131" s="166" t="s">
        <v>130</v>
      </c>
      <c r="AY131" s="170" t="s">
        <v>130</v>
      </c>
      <c r="AZ131" s="165" t="s">
        <v>130</v>
      </c>
      <c r="BA131" s="189" t="s">
        <v>130</v>
      </c>
      <c r="BB131" s="166" t="s">
        <v>130</v>
      </c>
      <c r="BC131" s="165" t="s">
        <v>130</v>
      </c>
      <c r="BD131" s="165" t="s">
        <v>130</v>
      </c>
      <c r="BE131" s="172">
        <f t="shared" si="49"/>
        <v>0</v>
      </c>
      <c r="BF131" s="172">
        <v>0</v>
      </c>
      <c r="BG131" s="172">
        <v>0</v>
      </c>
      <c r="BH131" s="172">
        <v>0</v>
      </c>
      <c r="BI131" s="172">
        <v>0</v>
      </c>
      <c r="BJ131" s="172">
        <v>0</v>
      </c>
      <c r="BK131" s="172">
        <v>696000</v>
      </c>
      <c r="BL131" s="172">
        <v>0</v>
      </c>
      <c r="BM131" s="93">
        <f>SUM(BF131:BL131)</f>
        <v>696000</v>
      </c>
      <c r="BN131" s="92">
        <v>0</v>
      </c>
      <c r="BO131" s="92">
        <f>((BF131+BH131+BI131+BJ131+BK131+BL131)*20%)/12</f>
        <v>11600</v>
      </c>
      <c r="BP131" s="92">
        <f>BN131+BO131</f>
        <v>11600</v>
      </c>
      <c r="BQ131" s="92">
        <v>0</v>
      </c>
      <c r="BR131" s="92">
        <v>0</v>
      </c>
      <c r="BS131" s="165" t="s">
        <v>130</v>
      </c>
      <c r="BT131" s="173" t="s">
        <v>130</v>
      </c>
      <c r="BU131" s="173" t="s">
        <v>130</v>
      </c>
      <c r="BV131" s="173" t="s">
        <v>130</v>
      </c>
      <c r="BW131" s="174" t="s">
        <v>130</v>
      </c>
      <c r="BX131" s="175" t="s">
        <v>130</v>
      </c>
      <c r="BY131" s="132" t="s">
        <v>130</v>
      </c>
      <c r="BZ131" s="132" t="s">
        <v>130</v>
      </c>
      <c r="CA131" s="132" t="s">
        <v>130</v>
      </c>
      <c r="CB131" s="132" t="s">
        <v>130</v>
      </c>
      <c r="CC131" s="132" t="s">
        <v>130</v>
      </c>
      <c r="CD131" s="132" t="s">
        <v>130</v>
      </c>
      <c r="CE131" s="29" t="str">
        <f t="shared" si="51"/>
        <v>MS - DOURADOS</v>
      </c>
      <c r="CF131" s="176" t="s">
        <v>130</v>
      </c>
      <c r="CG131" s="176" t="s">
        <v>130</v>
      </c>
      <c r="CH131" s="37">
        <f t="shared" si="52"/>
        <v>696000</v>
      </c>
      <c r="CI131" s="98" t="s">
        <v>130</v>
      </c>
      <c r="CJ131" s="39">
        <v>5</v>
      </c>
      <c r="CK131" s="39">
        <v>5</v>
      </c>
      <c r="CL131" s="39">
        <f t="shared" si="53"/>
        <v>60</v>
      </c>
      <c r="CM131" s="99">
        <f t="shared" si="54"/>
        <v>23200</v>
      </c>
      <c r="CN131" s="84" t="s">
        <v>130</v>
      </c>
      <c r="CO131" s="99">
        <f t="shared" ref="CO131:CO194" si="57">BM131*AR131/100</f>
        <v>5800</v>
      </c>
      <c r="CP131" s="100" t="s">
        <v>92</v>
      </c>
      <c r="CQ131" s="48"/>
      <c r="CR131" s="48"/>
      <c r="CS131" s="48"/>
    </row>
    <row r="132" spans="1:97" x14ac:dyDescent="0.25">
      <c r="A132" s="27">
        <v>2</v>
      </c>
      <c r="B132" s="27">
        <v>41</v>
      </c>
      <c r="C132" s="29" t="s">
        <v>457</v>
      </c>
      <c r="D132" s="40" t="s">
        <v>458</v>
      </c>
      <c r="E132" s="40" t="s">
        <v>130</v>
      </c>
      <c r="F132" s="40" t="s">
        <v>130</v>
      </c>
      <c r="G132" s="84" t="s">
        <v>48</v>
      </c>
      <c r="H132" s="41" t="s">
        <v>130</v>
      </c>
      <c r="I132" s="29" t="s">
        <v>130</v>
      </c>
      <c r="J132" s="29" t="s">
        <v>130</v>
      </c>
      <c r="K132" s="29" t="s">
        <v>130</v>
      </c>
      <c r="L132" s="85">
        <v>0</v>
      </c>
      <c r="M132" s="86" t="s">
        <v>130</v>
      </c>
      <c r="N132" s="85" t="s">
        <v>130</v>
      </c>
      <c r="O132" s="86" t="s">
        <v>130</v>
      </c>
      <c r="P132" s="85" t="s">
        <v>130</v>
      </c>
      <c r="Q132" s="29" t="s">
        <v>130</v>
      </c>
      <c r="R132" s="85" t="s">
        <v>130</v>
      </c>
      <c r="S132" s="85" t="s">
        <v>130</v>
      </c>
      <c r="T132" s="85" t="s">
        <v>130</v>
      </c>
      <c r="U132" s="85" t="s">
        <v>130</v>
      </c>
      <c r="V132" s="85" t="s">
        <v>130</v>
      </c>
      <c r="W132" s="85" t="s">
        <v>130</v>
      </c>
      <c r="X132" s="85" t="s">
        <v>130</v>
      </c>
      <c r="Y132" s="85" t="s">
        <v>130</v>
      </c>
      <c r="Z132" s="85" t="s">
        <v>130</v>
      </c>
      <c r="AA132" s="85" t="s">
        <v>130</v>
      </c>
      <c r="AB132" s="85" t="s">
        <v>130</v>
      </c>
      <c r="AC132" s="85" t="s">
        <v>130</v>
      </c>
      <c r="AD132" s="85" t="s">
        <v>130</v>
      </c>
      <c r="AE132" s="29" t="s">
        <v>45</v>
      </c>
      <c r="AF132" s="29" t="s">
        <v>459</v>
      </c>
      <c r="AG132" s="40" t="s">
        <v>130</v>
      </c>
      <c r="AH132" s="29" t="s">
        <v>130</v>
      </c>
      <c r="AI132" s="87" t="str">
        <f>IFERROR(VLOOKUP(AG132,[2]Frota!$D$2:$AV$187,2,FALSE),"-")</f>
        <v>-</v>
      </c>
      <c r="AJ132" s="87" t="str">
        <f>IFERROR(VLOOKUP(AG132,[2]Frota!$D$2:$AV$187,3,FALSE),"-")</f>
        <v>-</v>
      </c>
      <c r="AK132" s="29" t="s">
        <v>796</v>
      </c>
      <c r="AL132" s="29" t="s">
        <v>130</v>
      </c>
      <c r="AM132" s="34">
        <v>2018</v>
      </c>
      <c r="AN132" s="34">
        <v>2018</v>
      </c>
      <c r="AO132" s="40" t="s">
        <v>797</v>
      </c>
      <c r="AP132" s="29" t="s">
        <v>797</v>
      </c>
      <c r="AQ132" s="88" t="s">
        <v>464</v>
      </c>
      <c r="AR132" s="89">
        <f>VLOOKUP(AQ132,'[1]Critério de Depreciação'!$C$3:$G$8,5,FALSE)</f>
        <v>1.6666666666666667</v>
      </c>
      <c r="AS132" s="29" t="s">
        <v>130</v>
      </c>
      <c r="AT132" s="29" t="s">
        <v>311</v>
      </c>
      <c r="AU132" s="29" t="str">
        <f>IFERROR(VLOOKUP(AG176,[2]Frota!$D$2:$AV$187,12,FALSE),"-")</f>
        <v>-</v>
      </c>
      <c r="AV132" s="29" t="s">
        <v>130</v>
      </c>
      <c r="AW132" s="90">
        <v>0</v>
      </c>
      <c r="AX132" s="86" t="s">
        <v>130</v>
      </c>
      <c r="AY132" s="91" t="s">
        <v>130</v>
      </c>
      <c r="AZ132" s="85">
        <v>95000</v>
      </c>
      <c r="BA132" s="123" t="s">
        <v>130</v>
      </c>
      <c r="BB132" s="86" t="s">
        <v>130</v>
      </c>
      <c r="BC132" s="85" t="s">
        <v>130</v>
      </c>
      <c r="BD132" s="85" t="s">
        <v>130</v>
      </c>
      <c r="BE132" s="92">
        <f t="shared" si="49"/>
        <v>95000</v>
      </c>
      <c r="BF132" s="92">
        <v>0</v>
      </c>
      <c r="BG132" s="92">
        <v>0</v>
      </c>
      <c r="BH132" s="92">
        <v>0</v>
      </c>
      <c r="BI132" s="92">
        <v>0</v>
      </c>
      <c r="BJ132" s="92">
        <v>0</v>
      </c>
      <c r="BK132" s="92">
        <v>0</v>
      </c>
      <c r="BL132" s="92">
        <v>0</v>
      </c>
      <c r="BM132" s="93">
        <f>SUM(BF132:BL132)</f>
        <v>0</v>
      </c>
      <c r="BN132" s="92">
        <v>0</v>
      </c>
      <c r="BO132" s="92">
        <v>0</v>
      </c>
      <c r="BP132" s="92">
        <f>BN132+BO132</f>
        <v>0</v>
      </c>
      <c r="BQ132" s="92">
        <v>0</v>
      </c>
      <c r="BR132" s="92">
        <v>0</v>
      </c>
      <c r="BS132" s="85">
        <f>IFERROR((AW132*20%)/12,"-")</f>
        <v>0</v>
      </c>
      <c r="BT132" s="94" t="s">
        <v>130</v>
      </c>
      <c r="BU132" s="94" t="s">
        <v>130</v>
      </c>
      <c r="BV132" s="94" t="s">
        <v>130</v>
      </c>
      <c r="BW132" s="95" t="s">
        <v>130</v>
      </c>
      <c r="BX132" s="96" t="s">
        <v>130</v>
      </c>
      <c r="BY132" s="29" t="s">
        <v>130</v>
      </c>
      <c r="BZ132" s="29" t="s">
        <v>130</v>
      </c>
      <c r="CA132" s="29" t="s">
        <v>130</v>
      </c>
      <c r="CB132" s="29" t="s">
        <v>130</v>
      </c>
      <c r="CC132" s="29" t="s">
        <v>130</v>
      </c>
      <c r="CD132" s="29" t="s">
        <v>130</v>
      </c>
      <c r="CE132" s="29" t="str">
        <f t="shared" si="51"/>
        <v>PARTICULAR</v>
      </c>
      <c r="CF132" s="97" t="s">
        <v>130</v>
      </c>
      <c r="CG132" s="97" t="s">
        <v>130</v>
      </c>
      <c r="CH132" s="37">
        <f t="shared" si="52"/>
        <v>0</v>
      </c>
      <c r="CI132" s="98" t="s">
        <v>130</v>
      </c>
      <c r="CJ132" s="39">
        <v>5</v>
      </c>
      <c r="CK132" s="39">
        <v>5</v>
      </c>
      <c r="CL132" s="39">
        <f t="shared" si="53"/>
        <v>60</v>
      </c>
      <c r="CM132" s="99">
        <f t="shared" si="54"/>
        <v>0</v>
      </c>
      <c r="CN132" s="40" t="s">
        <v>130</v>
      </c>
      <c r="CO132" s="99">
        <f t="shared" si="57"/>
        <v>0</v>
      </c>
      <c r="CP132" s="48"/>
      <c r="CQ132" s="48"/>
      <c r="CR132" s="48"/>
      <c r="CS132" s="48"/>
    </row>
    <row r="133" spans="1:97" x14ac:dyDescent="0.25">
      <c r="A133" s="27">
        <v>233</v>
      </c>
      <c r="B133" s="27" t="s">
        <v>130</v>
      </c>
      <c r="C133" s="29" t="s">
        <v>457</v>
      </c>
      <c r="D133" s="40" t="s">
        <v>458</v>
      </c>
      <c r="E133" s="40" t="s">
        <v>130</v>
      </c>
      <c r="F133" s="40" t="s">
        <v>130</v>
      </c>
      <c r="G133" s="84" t="s">
        <v>48</v>
      </c>
      <c r="H133" s="41" t="s">
        <v>130</v>
      </c>
      <c r="I133" s="29" t="s">
        <v>130</v>
      </c>
      <c r="J133" s="29" t="s">
        <v>130</v>
      </c>
      <c r="K133" s="29" t="s">
        <v>130</v>
      </c>
      <c r="L133" s="238" t="s">
        <v>130</v>
      </c>
      <c r="M133" s="86" t="s">
        <v>130</v>
      </c>
      <c r="N133" s="85" t="s">
        <v>130</v>
      </c>
      <c r="O133" s="86" t="s">
        <v>130</v>
      </c>
      <c r="P133" s="85" t="s">
        <v>130</v>
      </c>
      <c r="Q133" s="29" t="s">
        <v>130</v>
      </c>
      <c r="R133" s="85" t="s">
        <v>130</v>
      </c>
      <c r="S133" s="85" t="s">
        <v>130</v>
      </c>
      <c r="T133" s="85" t="s">
        <v>130</v>
      </c>
      <c r="U133" s="85" t="s">
        <v>130</v>
      </c>
      <c r="V133" s="85" t="s">
        <v>130</v>
      </c>
      <c r="W133" s="85" t="s">
        <v>130</v>
      </c>
      <c r="X133" s="85" t="s">
        <v>130</v>
      </c>
      <c r="Y133" s="85" t="s">
        <v>130</v>
      </c>
      <c r="Z133" s="85" t="s">
        <v>130</v>
      </c>
      <c r="AA133" s="85" t="s">
        <v>130</v>
      </c>
      <c r="AB133" s="85" t="s">
        <v>130</v>
      </c>
      <c r="AC133" s="85" t="s">
        <v>130</v>
      </c>
      <c r="AD133" s="85" t="s">
        <v>130</v>
      </c>
      <c r="AE133" s="29" t="s">
        <v>798</v>
      </c>
      <c r="AF133" s="29" t="s">
        <v>459</v>
      </c>
      <c r="AG133" s="40" t="s">
        <v>130</v>
      </c>
      <c r="AH133" s="29" t="s">
        <v>130</v>
      </c>
      <c r="AI133" s="87" t="s">
        <v>130</v>
      </c>
      <c r="AJ133" s="87" t="s">
        <v>799</v>
      </c>
      <c r="AK133" s="29" t="s">
        <v>796</v>
      </c>
      <c r="AL133" s="29" t="s">
        <v>800</v>
      </c>
      <c r="AM133" s="34">
        <v>2025</v>
      </c>
      <c r="AN133" s="34">
        <v>2026</v>
      </c>
      <c r="AO133" s="40" t="s">
        <v>797</v>
      </c>
      <c r="AP133" s="29" t="s">
        <v>797</v>
      </c>
      <c r="AQ133" s="88" t="s">
        <v>464</v>
      </c>
      <c r="AR133" s="89">
        <f>VLOOKUP(AQ133,'[1]Critério de Depreciação'!$C$3:$G$8,5,FALSE)</f>
        <v>1.6666666666666667</v>
      </c>
      <c r="AS133" s="29" t="s">
        <v>801</v>
      </c>
      <c r="AT133" s="29" t="s">
        <v>300</v>
      </c>
      <c r="AU133" s="29" t="s">
        <v>130</v>
      </c>
      <c r="AV133" s="29">
        <v>24613</v>
      </c>
      <c r="AW133" s="90">
        <v>180000</v>
      </c>
      <c r="AX133" s="86">
        <v>45964</v>
      </c>
      <c r="AY133" s="91" t="s">
        <v>130</v>
      </c>
      <c r="AZ133" s="85" t="s">
        <v>130</v>
      </c>
      <c r="BA133" s="123" t="s">
        <v>130</v>
      </c>
      <c r="BB133" s="86" t="s">
        <v>130</v>
      </c>
      <c r="BC133" s="85" t="s">
        <v>130</v>
      </c>
      <c r="BD133" s="85" t="s">
        <v>130</v>
      </c>
      <c r="BE133" s="92">
        <v>180000</v>
      </c>
      <c r="BF133" s="92">
        <v>0</v>
      </c>
      <c r="BG133" s="92">
        <v>0</v>
      </c>
      <c r="BH133" s="92">
        <v>0</v>
      </c>
      <c r="BI133" s="92">
        <v>0</v>
      </c>
      <c r="BJ133" s="92">
        <v>0</v>
      </c>
      <c r="BK133" s="92">
        <v>0</v>
      </c>
      <c r="BL133" s="92">
        <v>0</v>
      </c>
      <c r="BM133" s="93">
        <v>180000</v>
      </c>
      <c r="BN133" s="92">
        <v>0</v>
      </c>
      <c r="BO133" s="92">
        <v>0</v>
      </c>
      <c r="BP133" s="92">
        <v>0</v>
      </c>
      <c r="BQ133" s="92">
        <v>0</v>
      </c>
      <c r="BR133" s="92">
        <v>0</v>
      </c>
      <c r="BS133" s="85" t="s">
        <v>130</v>
      </c>
      <c r="BT133" s="94" t="s">
        <v>130</v>
      </c>
      <c r="BU133" s="94" t="s">
        <v>130</v>
      </c>
      <c r="BV133" s="94" t="s">
        <v>130</v>
      </c>
      <c r="BW133" s="95" t="s">
        <v>130</v>
      </c>
      <c r="BX133" s="96" t="s">
        <v>130</v>
      </c>
      <c r="BY133" s="29" t="s">
        <v>130</v>
      </c>
      <c r="BZ133" s="29" t="s">
        <v>130</v>
      </c>
      <c r="CA133" s="29" t="s">
        <v>130</v>
      </c>
      <c r="CB133" s="29" t="s">
        <v>130</v>
      </c>
      <c r="CC133" s="29" t="s">
        <v>130</v>
      </c>
      <c r="CD133" s="29" t="s">
        <v>130</v>
      </c>
      <c r="CE133" s="29" t="s">
        <v>130</v>
      </c>
      <c r="CF133" s="97" t="s">
        <v>130</v>
      </c>
      <c r="CG133" s="97" t="s">
        <v>130</v>
      </c>
      <c r="CH133" s="37" t="s">
        <v>130</v>
      </c>
      <c r="CI133" s="98" t="s">
        <v>130</v>
      </c>
      <c r="CJ133" s="39" t="s">
        <v>130</v>
      </c>
      <c r="CK133" s="39" t="s">
        <v>130</v>
      </c>
      <c r="CL133" s="39" t="s">
        <v>130</v>
      </c>
      <c r="CM133" s="99" t="s">
        <v>130</v>
      </c>
      <c r="CN133" s="40" t="s">
        <v>130</v>
      </c>
      <c r="CO133" s="99">
        <f t="shared" si="57"/>
        <v>3000</v>
      </c>
      <c r="CP133" s="48"/>
      <c r="CQ133" s="48"/>
      <c r="CR133" s="48"/>
      <c r="CS133" s="48"/>
    </row>
    <row r="134" spans="1:97" x14ac:dyDescent="0.25">
      <c r="A134" s="27">
        <v>133</v>
      </c>
      <c r="B134" s="27">
        <v>155</v>
      </c>
      <c r="C134" s="29" t="s">
        <v>330</v>
      </c>
      <c r="D134" s="40" t="s">
        <v>331</v>
      </c>
      <c r="E134" s="40" t="s">
        <v>130</v>
      </c>
      <c r="F134" s="40" t="s">
        <v>130</v>
      </c>
      <c r="G134" s="40"/>
      <c r="H134" s="41" t="s">
        <v>130</v>
      </c>
      <c r="I134" s="29" t="s">
        <v>130</v>
      </c>
      <c r="J134" s="29" t="s">
        <v>130</v>
      </c>
      <c r="K134" s="29" t="s">
        <v>130</v>
      </c>
      <c r="L134" s="85" t="s">
        <v>130</v>
      </c>
      <c r="M134" s="86" t="s">
        <v>130</v>
      </c>
      <c r="N134" s="85" t="s">
        <v>130</v>
      </c>
      <c r="O134" s="86" t="s">
        <v>130</v>
      </c>
      <c r="P134" s="85" t="s">
        <v>130</v>
      </c>
      <c r="Q134" s="29" t="s">
        <v>130</v>
      </c>
      <c r="R134" s="85" t="s">
        <v>130</v>
      </c>
      <c r="S134" s="85" t="s">
        <v>130</v>
      </c>
      <c r="T134" s="85" t="s">
        <v>130</v>
      </c>
      <c r="U134" s="85" t="s">
        <v>130</v>
      </c>
      <c r="V134" s="85" t="s">
        <v>130</v>
      </c>
      <c r="W134" s="85" t="s">
        <v>130</v>
      </c>
      <c r="X134" s="85" t="s">
        <v>130</v>
      </c>
      <c r="Y134" s="85" t="s">
        <v>130</v>
      </c>
      <c r="Z134" s="85" t="s">
        <v>130</v>
      </c>
      <c r="AA134" s="85" t="s">
        <v>130</v>
      </c>
      <c r="AB134" s="85" t="s">
        <v>130</v>
      </c>
      <c r="AC134" s="85" t="s">
        <v>130</v>
      </c>
      <c r="AD134" s="85" t="s">
        <v>130</v>
      </c>
      <c r="AE134" s="29" t="s">
        <v>45</v>
      </c>
      <c r="AF134" s="29" t="s">
        <v>130</v>
      </c>
      <c r="AG134" s="40" t="s">
        <v>332</v>
      </c>
      <c r="AH134" s="29" t="s">
        <v>130</v>
      </c>
      <c r="AI134" s="87" t="str">
        <f>IFERROR(VLOOKUP(AG134,[2]Frota!$D$2:$AV$187,2,FALSE),"-")</f>
        <v>-</v>
      </c>
      <c r="AJ134" s="87" t="str">
        <f>IFERROR(VLOOKUP(AG134,[2]Frota!$D$2:$AV$187,3,FALSE),"-")</f>
        <v>-</v>
      </c>
      <c r="AK134" s="29" t="s">
        <v>333</v>
      </c>
      <c r="AL134" s="29" t="s">
        <v>334</v>
      </c>
      <c r="AM134" s="34" t="s">
        <v>130</v>
      </c>
      <c r="AN134" s="34" t="s">
        <v>130</v>
      </c>
      <c r="AO134" s="152" t="s">
        <v>335</v>
      </c>
      <c r="AP134" s="29" t="s">
        <v>181</v>
      </c>
      <c r="AQ134" s="88" t="s">
        <v>303</v>
      </c>
      <c r="AR134" s="89">
        <f>VLOOKUP(AQ134,'[1]Critério de Depreciação'!$C$3:$G$8,5,FALSE)</f>
        <v>0.83333333333333337</v>
      </c>
      <c r="AS134" s="29" t="s">
        <v>130</v>
      </c>
      <c r="AT134" s="29" t="s">
        <v>130</v>
      </c>
      <c r="AU134" s="29" t="str">
        <f>IFERROR(VLOOKUP(AG178,[2]Frota!$D$2:$AV$187,12,FALSE),"-")</f>
        <v>-</v>
      </c>
      <c r="AV134" s="29" t="s">
        <v>130</v>
      </c>
      <c r="AW134" s="90">
        <v>0</v>
      </c>
      <c r="AX134" s="86" t="s">
        <v>130</v>
      </c>
      <c r="AY134" s="91" t="s">
        <v>130</v>
      </c>
      <c r="AZ134" s="85">
        <f>60*20000</f>
        <v>1200000</v>
      </c>
      <c r="BA134" s="123" t="s">
        <v>130</v>
      </c>
      <c r="BB134" s="86" t="s">
        <v>130</v>
      </c>
      <c r="BC134" s="85" t="s">
        <v>130</v>
      </c>
      <c r="BD134" s="85" t="s">
        <v>130</v>
      </c>
      <c r="BE134" s="92">
        <f t="shared" ref="BE134:BE168" si="58">SUM(AZ134:BA134,BC134:BD134)</f>
        <v>1200000</v>
      </c>
      <c r="BF134" s="92">
        <v>0</v>
      </c>
      <c r="BG134" s="92">
        <v>0</v>
      </c>
      <c r="BH134" s="92">
        <v>0</v>
      </c>
      <c r="BI134" s="92">
        <v>0</v>
      </c>
      <c r="BJ134" s="92">
        <v>0</v>
      </c>
      <c r="BK134" s="92">
        <v>0</v>
      </c>
      <c r="BL134" s="92">
        <v>0</v>
      </c>
      <c r="BM134" s="93">
        <f t="shared" ref="BM134:BM139" si="59">SUM(BF134:BL134)</f>
        <v>0</v>
      </c>
      <c r="BN134" s="92">
        <v>0</v>
      </c>
      <c r="BO134" s="92">
        <v>0</v>
      </c>
      <c r="BP134" s="92">
        <f t="shared" ref="BP134:BP140" si="60">BN134+BO134</f>
        <v>0</v>
      </c>
      <c r="BQ134" s="92">
        <v>0</v>
      </c>
      <c r="BR134" s="92">
        <v>0</v>
      </c>
      <c r="BS134" s="85">
        <f>IFERROR((AW134*20%)/12,"-")</f>
        <v>0</v>
      </c>
      <c r="BT134" s="94" t="s">
        <v>130</v>
      </c>
      <c r="BU134" s="94" t="s">
        <v>130</v>
      </c>
      <c r="BV134" s="94" t="s">
        <v>130</v>
      </c>
      <c r="BW134" s="95" t="s">
        <v>130</v>
      </c>
      <c r="BX134" s="96" t="s">
        <v>130</v>
      </c>
      <c r="BY134" s="29" t="s">
        <v>130</v>
      </c>
      <c r="BZ134" s="29" t="s">
        <v>130</v>
      </c>
      <c r="CA134" s="29" t="s">
        <v>130</v>
      </c>
      <c r="CB134" s="29" t="s">
        <v>130</v>
      </c>
      <c r="CC134" s="29" t="s">
        <v>130</v>
      </c>
      <c r="CD134" s="29" t="s">
        <v>130</v>
      </c>
      <c r="CE134" s="29" t="str">
        <f t="shared" ref="CE134:CE168" si="61">AF134</f>
        <v>-</v>
      </c>
      <c r="CF134" s="97" t="s">
        <v>130</v>
      </c>
      <c r="CG134" s="97" t="s">
        <v>130</v>
      </c>
      <c r="CH134" s="37">
        <f>BM134</f>
        <v>0</v>
      </c>
      <c r="CI134" s="98" t="s">
        <v>130</v>
      </c>
      <c r="CJ134" s="39">
        <v>5</v>
      </c>
      <c r="CK134" s="39">
        <v>5</v>
      </c>
      <c r="CL134" s="39">
        <f>12*CK134</f>
        <v>60</v>
      </c>
      <c r="CM134" s="99">
        <f>IFERROR((CH134/CL134)*2,"-")</f>
        <v>0</v>
      </c>
      <c r="CN134" s="40" t="s">
        <v>130</v>
      </c>
      <c r="CO134" s="99">
        <f t="shared" si="57"/>
        <v>0</v>
      </c>
      <c r="CP134" s="48"/>
      <c r="CQ134" s="48"/>
      <c r="CR134" s="48"/>
      <c r="CS134" s="48"/>
    </row>
    <row r="135" spans="1:97" x14ac:dyDescent="0.25">
      <c r="A135" s="27">
        <v>134</v>
      </c>
      <c r="B135" s="27">
        <v>156</v>
      </c>
      <c r="C135" s="29" t="s">
        <v>330</v>
      </c>
      <c r="D135" s="40" t="s">
        <v>331</v>
      </c>
      <c r="E135" s="40" t="s">
        <v>130</v>
      </c>
      <c r="F135" s="84" t="s">
        <v>130</v>
      </c>
      <c r="G135" s="40"/>
      <c r="H135" s="41" t="s">
        <v>130</v>
      </c>
      <c r="I135" s="29" t="s">
        <v>130</v>
      </c>
      <c r="J135" s="29" t="s">
        <v>130</v>
      </c>
      <c r="K135" s="29" t="s">
        <v>130</v>
      </c>
      <c r="L135" s="85" t="s">
        <v>130</v>
      </c>
      <c r="M135" s="86" t="s">
        <v>130</v>
      </c>
      <c r="N135" s="85" t="s">
        <v>130</v>
      </c>
      <c r="O135" s="86" t="s">
        <v>130</v>
      </c>
      <c r="P135" s="85" t="s">
        <v>130</v>
      </c>
      <c r="Q135" s="29" t="s">
        <v>130</v>
      </c>
      <c r="R135" s="85" t="s">
        <v>130</v>
      </c>
      <c r="S135" s="85" t="s">
        <v>130</v>
      </c>
      <c r="T135" s="85" t="s">
        <v>130</v>
      </c>
      <c r="U135" s="85" t="s">
        <v>130</v>
      </c>
      <c r="V135" s="85" t="s">
        <v>130</v>
      </c>
      <c r="W135" s="85" t="s">
        <v>130</v>
      </c>
      <c r="X135" s="85" t="s">
        <v>130</v>
      </c>
      <c r="Y135" s="85" t="s">
        <v>130</v>
      </c>
      <c r="Z135" s="85" t="s">
        <v>130</v>
      </c>
      <c r="AA135" s="85" t="s">
        <v>130</v>
      </c>
      <c r="AB135" s="85" t="s">
        <v>130</v>
      </c>
      <c r="AC135" s="85" t="s">
        <v>130</v>
      </c>
      <c r="AD135" s="85" t="s">
        <v>130</v>
      </c>
      <c r="AE135" s="29" t="s">
        <v>45</v>
      </c>
      <c r="AF135" s="29" t="s">
        <v>130</v>
      </c>
      <c r="AG135" s="40" t="s">
        <v>332</v>
      </c>
      <c r="AH135" s="29" t="s">
        <v>130</v>
      </c>
      <c r="AI135" s="87" t="str">
        <f>IFERROR(VLOOKUP(AG135,[2]Frota!$D$2:$AV$187,2,FALSE),"-")</f>
        <v>-</v>
      </c>
      <c r="AJ135" s="87" t="str">
        <f>IFERROR(VLOOKUP(AG135,[2]Frota!$D$2:$AV$187,3,FALSE),"-")</f>
        <v>-</v>
      </c>
      <c r="AK135" s="29" t="s">
        <v>333</v>
      </c>
      <c r="AL135" s="29" t="s">
        <v>334</v>
      </c>
      <c r="AM135" s="34" t="s">
        <v>130</v>
      </c>
      <c r="AN135" s="34" t="s">
        <v>130</v>
      </c>
      <c r="AO135" s="152" t="s">
        <v>336</v>
      </c>
      <c r="AP135" s="29" t="s">
        <v>181</v>
      </c>
      <c r="AQ135" s="88" t="s">
        <v>303</v>
      </c>
      <c r="AR135" s="89">
        <f>VLOOKUP(AQ135,'[1]Critério de Depreciação'!$C$3:$G$8,5,FALSE)</f>
        <v>0.83333333333333337</v>
      </c>
      <c r="AS135" s="29" t="s">
        <v>130</v>
      </c>
      <c r="AT135" s="29" t="s">
        <v>130</v>
      </c>
      <c r="AU135" s="29" t="str">
        <f>IFERROR(VLOOKUP(AG179,[2]Frota!$D$2:$AV$187,12,FALSE),"-")</f>
        <v>-</v>
      </c>
      <c r="AV135" s="29" t="s">
        <v>130</v>
      </c>
      <c r="AW135" s="90">
        <v>0</v>
      </c>
      <c r="AX135" s="86" t="s">
        <v>130</v>
      </c>
      <c r="AY135" s="91" t="s">
        <v>130</v>
      </c>
      <c r="AZ135" s="85">
        <f>60*22000</f>
        <v>1320000</v>
      </c>
      <c r="BA135" s="123" t="s">
        <v>130</v>
      </c>
      <c r="BB135" s="86" t="s">
        <v>130</v>
      </c>
      <c r="BC135" s="85" t="s">
        <v>130</v>
      </c>
      <c r="BD135" s="85" t="s">
        <v>130</v>
      </c>
      <c r="BE135" s="92">
        <f t="shared" si="58"/>
        <v>1320000</v>
      </c>
      <c r="BF135" s="92">
        <v>0</v>
      </c>
      <c r="BG135" s="92">
        <v>0</v>
      </c>
      <c r="BH135" s="92">
        <v>0</v>
      </c>
      <c r="BI135" s="92">
        <v>0</v>
      </c>
      <c r="BJ135" s="92">
        <v>0</v>
      </c>
      <c r="BK135" s="92">
        <v>0</v>
      </c>
      <c r="BL135" s="92">
        <v>0</v>
      </c>
      <c r="BM135" s="93">
        <f t="shared" si="59"/>
        <v>0</v>
      </c>
      <c r="BN135" s="92">
        <v>0</v>
      </c>
      <c r="BO135" s="92">
        <v>0</v>
      </c>
      <c r="BP135" s="92">
        <f t="shared" si="60"/>
        <v>0</v>
      </c>
      <c r="BQ135" s="92">
        <v>0</v>
      </c>
      <c r="BR135" s="92">
        <v>0</v>
      </c>
      <c r="BS135" s="85">
        <f>IFERROR((AW135*20%)/12,"-")</f>
        <v>0</v>
      </c>
      <c r="BT135" s="94" t="s">
        <v>130</v>
      </c>
      <c r="BU135" s="94" t="s">
        <v>130</v>
      </c>
      <c r="BV135" s="94" t="s">
        <v>130</v>
      </c>
      <c r="BW135" s="95" t="s">
        <v>130</v>
      </c>
      <c r="BX135" s="96" t="s">
        <v>130</v>
      </c>
      <c r="BY135" s="29" t="s">
        <v>130</v>
      </c>
      <c r="BZ135" s="29" t="s">
        <v>130</v>
      </c>
      <c r="CA135" s="29" t="s">
        <v>130</v>
      </c>
      <c r="CB135" s="29" t="s">
        <v>130</v>
      </c>
      <c r="CC135" s="29" t="s">
        <v>130</v>
      </c>
      <c r="CD135" s="29" t="s">
        <v>130</v>
      </c>
      <c r="CE135" s="29" t="str">
        <f t="shared" si="61"/>
        <v>-</v>
      </c>
      <c r="CF135" s="97" t="s">
        <v>130</v>
      </c>
      <c r="CG135" s="97" t="s">
        <v>130</v>
      </c>
      <c r="CH135" s="37">
        <f>BM135</f>
        <v>0</v>
      </c>
      <c r="CI135" s="98" t="s">
        <v>130</v>
      </c>
      <c r="CJ135" s="39">
        <v>5</v>
      </c>
      <c r="CK135" s="39">
        <v>5</v>
      </c>
      <c r="CL135" s="39">
        <f>12*CK135</f>
        <v>60</v>
      </c>
      <c r="CM135" s="99">
        <f>IFERROR((CH135/CL135)*2,"-")</f>
        <v>0</v>
      </c>
      <c r="CN135" s="40" t="s">
        <v>130</v>
      </c>
      <c r="CO135" s="99">
        <f t="shared" si="57"/>
        <v>0</v>
      </c>
      <c r="CP135" s="48"/>
      <c r="CQ135" s="48"/>
      <c r="CR135" s="48"/>
      <c r="CS135" s="48"/>
    </row>
    <row r="136" spans="1:97" x14ac:dyDescent="0.25">
      <c r="A136" s="27">
        <v>135</v>
      </c>
      <c r="B136" s="27">
        <v>157</v>
      </c>
      <c r="C136" s="29" t="s">
        <v>296</v>
      </c>
      <c r="D136" s="40" t="s">
        <v>49</v>
      </c>
      <c r="E136" s="40" t="s">
        <v>130</v>
      </c>
      <c r="F136" s="84" t="s">
        <v>130</v>
      </c>
      <c r="G136" s="40"/>
      <c r="H136" s="41" t="s">
        <v>130</v>
      </c>
      <c r="I136" s="29" t="s">
        <v>130</v>
      </c>
      <c r="J136" s="29" t="s">
        <v>130</v>
      </c>
      <c r="K136" s="29" t="s">
        <v>130</v>
      </c>
      <c r="L136" s="85" t="s">
        <v>130</v>
      </c>
      <c r="M136" s="86" t="s">
        <v>130</v>
      </c>
      <c r="N136" s="85" t="s">
        <v>130</v>
      </c>
      <c r="O136" s="86" t="s">
        <v>130</v>
      </c>
      <c r="P136" s="85" t="s">
        <v>130</v>
      </c>
      <c r="Q136" s="29" t="s">
        <v>130</v>
      </c>
      <c r="R136" s="85" t="s">
        <v>130</v>
      </c>
      <c r="S136" s="85" t="s">
        <v>130</v>
      </c>
      <c r="T136" s="85" t="s">
        <v>130</v>
      </c>
      <c r="U136" s="85" t="s">
        <v>130</v>
      </c>
      <c r="V136" s="85" t="s">
        <v>130</v>
      </c>
      <c r="W136" s="85" t="s">
        <v>130</v>
      </c>
      <c r="X136" s="85" t="s">
        <v>130</v>
      </c>
      <c r="Y136" s="85" t="s">
        <v>130</v>
      </c>
      <c r="Z136" s="85" t="s">
        <v>130</v>
      </c>
      <c r="AA136" s="85" t="s">
        <v>130</v>
      </c>
      <c r="AB136" s="85" t="s">
        <v>130</v>
      </c>
      <c r="AC136" s="85" t="s">
        <v>130</v>
      </c>
      <c r="AD136" s="85" t="s">
        <v>130</v>
      </c>
      <c r="AE136" s="29" t="s">
        <v>45</v>
      </c>
      <c r="AF136" s="29" t="s">
        <v>130</v>
      </c>
      <c r="AG136" s="40" t="s">
        <v>337</v>
      </c>
      <c r="AH136" s="29" t="s">
        <v>130</v>
      </c>
      <c r="AI136" s="87" t="str">
        <f>IFERROR(VLOOKUP(AG136,[2]Frota!$D$2:$AV$187,2,FALSE),"-")</f>
        <v>-</v>
      </c>
      <c r="AJ136" s="87" t="str">
        <f>IFERROR(VLOOKUP(AG136,[2]Frota!$D$2:$AV$187,3,FALSE),"-")</f>
        <v>-</v>
      </c>
      <c r="AK136" s="29" t="s">
        <v>320</v>
      </c>
      <c r="AL136" s="29" t="s">
        <v>334</v>
      </c>
      <c r="AM136" s="34" t="s">
        <v>130</v>
      </c>
      <c r="AN136" s="34" t="s">
        <v>130</v>
      </c>
      <c r="AO136" s="152" t="s">
        <v>338</v>
      </c>
      <c r="AP136" s="29" t="s">
        <v>181</v>
      </c>
      <c r="AQ136" s="88" t="s">
        <v>303</v>
      </c>
      <c r="AR136" s="89">
        <f>VLOOKUP(AQ136,'[1]Critério de Depreciação'!$C$3:$G$8,5,FALSE)</f>
        <v>0.83333333333333337</v>
      </c>
      <c r="AS136" s="29" t="s">
        <v>130</v>
      </c>
      <c r="AT136" s="29" t="s">
        <v>130</v>
      </c>
      <c r="AU136" s="29" t="str">
        <f>IFERROR(VLOOKUP(#REF!,[2]Frota!$D$2:$AV$187,12,FALSE),"-")</f>
        <v>-</v>
      </c>
      <c r="AV136" s="29" t="s">
        <v>130</v>
      </c>
      <c r="AW136" s="90">
        <v>0</v>
      </c>
      <c r="AX136" s="86" t="s">
        <v>130</v>
      </c>
      <c r="AY136" s="91">
        <v>1000000</v>
      </c>
      <c r="AZ136" s="85">
        <f>45*22000</f>
        <v>990000</v>
      </c>
      <c r="BA136" s="123" t="s">
        <v>130</v>
      </c>
      <c r="BB136" s="86" t="s">
        <v>130</v>
      </c>
      <c r="BC136" s="85" t="s">
        <v>130</v>
      </c>
      <c r="BD136" s="85" t="s">
        <v>130</v>
      </c>
      <c r="BE136" s="92">
        <f t="shared" si="58"/>
        <v>990000</v>
      </c>
      <c r="BF136" s="92">
        <v>0</v>
      </c>
      <c r="BG136" s="92">
        <v>0</v>
      </c>
      <c r="BH136" s="92">
        <v>0</v>
      </c>
      <c r="BI136" s="92">
        <v>0</v>
      </c>
      <c r="BJ136" s="92">
        <v>0</v>
      </c>
      <c r="BK136" s="92">
        <v>0</v>
      </c>
      <c r="BL136" s="92">
        <v>0</v>
      </c>
      <c r="BM136" s="93">
        <f t="shared" si="59"/>
        <v>0</v>
      </c>
      <c r="BN136" s="92">
        <v>0</v>
      </c>
      <c r="BO136" s="92">
        <v>0</v>
      </c>
      <c r="BP136" s="92">
        <f t="shared" si="60"/>
        <v>0</v>
      </c>
      <c r="BQ136" s="92">
        <v>0</v>
      </c>
      <c r="BR136" s="92">
        <v>0</v>
      </c>
      <c r="BS136" s="85">
        <f>IFERROR((AW136*20%)/12,"-")</f>
        <v>0</v>
      </c>
      <c r="BT136" s="94" t="s">
        <v>130</v>
      </c>
      <c r="BU136" s="94" t="s">
        <v>130</v>
      </c>
      <c r="BV136" s="94" t="s">
        <v>130</v>
      </c>
      <c r="BW136" s="95" t="s">
        <v>130</v>
      </c>
      <c r="BX136" s="96" t="s">
        <v>130</v>
      </c>
      <c r="BY136" s="29" t="s">
        <v>130</v>
      </c>
      <c r="BZ136" s="29" t="s">
        <v>130</v>
      </c>
      <c r="CA136" s="29" t="s">
        <v>130</v>
      </c>
      <c r="CB136" s="29" t="s">
        <v>130</v>
      </c>
      <c r="CC136" s="29" t="s">
        <v>130</v>
      </c>
      <c r="CD136" s="29" t="s">
        <v>130</v>
      </c>
      <c r="CE136" s="29" t="str">
        <f t="shared" si="61"/>
        <v>-</v>
      </c>
      <c r="CF136" s="97" t="s">
        <v>130</v>
      </c>
      <c r="CG136" s="97" t="s">
        <v>130</v>
      </c>
      <c r="CH136" s="37">
        <f>BM136</f>
        <v>0</v>
      </c>
      <c r="CI136" s="98" t="s">
        <v>130</v>
      </c>
      <c r="CJ136" s="39">
        <v>5</v>
      </c>
      <c r="CK136" s="39">
        <v>5</v>
      </c>
      <c r="CL136" s="39">
        <f>12*CK136</f>
        <v>60</v>
      </c>
      <c r="CM136" s="99">
        <f>IFERROR((CH136/CL136)*2,"-")</f>
        <v>0</v>
      </c>
      <c r="CN136" s="40" t="s">
        <v>130</v>
      </c>
      <c r="CO136" s="99">
        <f t="shared" si="57"/>
        <v>0</v>
      </c>
      <c r="CP136" s="100" t="s">
        <v>301</v>
      </c>
      <c r="CQ136" s="48"/>
      <c r="CR136" s="48"/>
      <c r="CS136" s="48"/>
    </row>
    <row r="137" spans="1:97" ht="54" x14ac:dyDescent="0.25">
      <c r="A137" s="27">
        <v>209</v>
      </c>
      <c r="B137" s="27" t="s">
        <v>130</v>
      </c>
      <c r="C137" s="29" t="s">
        <v>130</v>
      </c>
      <c r="D137" s="40" t="s">
        <v>339</v>
      </c>
      <c r="E137" s="84" t="s">
        <v>130</v>
      </c>
      <c r="F137" s="84" t="s">
        <v>130</v>
      </c>
      <c r="G137" s="84"/>
      <c r="H137" s="160" t="s">
        <v>306</v>
      </c>
      <c r="I137" s="29" t="s">
        <v>130</v>
      </c>
      <c r="J137" s="161" t="s">
        <v>130</v>
      </c>
      <c r="K137" s="85" t="s">
        <v>130</v>
      </c>
      <c r="L137" s="85" t="s">
        <v>130</v>
      </c>
      <c r="M137" s="86" t="s">
        <v>130</v>
      </c>
      <c r="N137" s="85" t="s">
        <v>130</v>
      </c>
      <c r="O137" s="86" t="s">
        <v>130</v>
      </c>
      <c r="P137" s="85" t="s">
        <v>130</v>
      </c>
      <c r="Q137" s="85" t="s">
        <v>130</v>
      </c>
      <c r="R137" s="85" t="s">
        <v>130</v>
      </c>
      <c r="S137" s="85" t="s">
        <v>130</v>
      </c>
      <c r="T137" s="85" t="s">
        <v>130</v>
      </c>
      <c r="U137" s="85" t="s">
        <v>130</v>
      </c>
      <c r="V137" s="85" t="s">
        <v>130</v>
      </c>
      <c r="W137" s="85" t="s">
        <v>130</v>
      </c>
      <c r="X137" s="85" t="s">
        <v>130</v>
      </c>
      <c r="Y137" s="85" t="s">
        <v>130</v>
      </c>
      <c r="Z137" s="85" t="s">
        <v>130</v>
      </c>
      <c r="AA137" s="85" t="s">
        <v>130</v>
      </c>
      <c r="AB137" s="85" t="s">
        <v>130</v>
      </c>
      <c r="AC137" s="85" t="s">
        <v>130</v>
      </c>
      <c r="AD137" s="85" t="s">
        <v>130</v>
      </c>
      <c r="AE137" s="130" t="s">
        <v>45</v>
      </c>
      <c r="AF137" s="132" t="s">
        <v>46</v>
      </c>
      <c r="AG137" s="40" t="s">
        <v>340</v>
      </c>
      <c r="AH137" s="29" t="s">
        <v>130</v>
      </c>
      <c r="AI137" s="162" t="s">
        <v>130</v>
      </c>
      <c r="AJ137" s="190" t="s">
        <v>130</v>
      </c>
      <c r="AK137" s="29" t="s">
        <v>341</v>
      </c>
      <c r="AL137" s="191" t="s">
        <v>342</v>
      </c>
      <c r="AM137" s="34" t="s">
        <v>130</v>
      </c>
      <c r="AN137" s="34" t="s">
        <v>130</v>
      </c>
      <c r="AO137" s="40" t="s">
        <v>343</v>
      </c>
      <c r="AP137" s="29" t="s">
        <v>181</v>
      </c>
      <c r="AQ137" s="88" t="s">
        <v>305</v>
      </c>
      <c r="AR137" s="89">
        <f>VLOOKUP(AQ137,'[1]Critério de Depreciação'!$C$3:$G$8,5,FALSE)</f>
        <v>0.83333333333333337</v>
      </c>
      <c r="AS137" s="29" t="s">
        <v>130</v>
      </c>
      <c r="AT137" s="29" t="s">
        <v>130</v>
      </c>
      <c r="AU137" s="29" t="s">
        <v>130</v>
      </c>
      <c r="AV137" s="183" t="s">
        <v>130</v>
      </c>
      <c r="AW137" s="90">
        <v>0</v>
      </c>
      <c r="AX137" s="86" t="s">
        <v>130</v>
      </c>
      <c r="AY137" s="91" t="s">
        <v>130</v>
      </c>
      <c r="AZ137" s="85" t="s">
        <v>130</v>
      </c>
      <c r="BA137" s="123" t="s">
        <v>130</v>
      </c>
      <c r="BB137" s="86" t="s">
        <v>130</v>
      </c>
      <c r="BC137" s="85" t="s">
        <v>130</v>
      </c>
      <c r="BD137" s="85" t="s">
        <v>130</v>
      </c>
      <c r="BE137" s="113">
        <f t="shared" si="58"/>
        <v>0</v>
      </c>
      <c r="BF137" s="92">
        <v>0</v>
      </c>
      <c r="BG137" s="92">
        <v>0</v>
      </c>
      <c r="BH137" s="92">
        <v>0</v>
      </c>
      <c r="BI137" s="92">
        <v>0</v>
      </c>
      <c r="BJ137" s="92">
        <v>0</v>
      </c>
      <c r="BK137" s="92">
        <v>0</v>
      </c>
      <c r="BL137" s="92">
        <v>0</v>
      </c>
      <c r="BM137" s="93">
        <f t="shared" si="59"/>
        <v>0</v>
      </c>
      <c r="BN137" s="92">
        <v>0</v>
      </c>
      <c r="BO137" s="92">
        <v>0</v>
      </c>
      <c r="BP137" s="92">
        <f t="shared" si="60"/>
        <v>0</v>
      </c>
      <c r="BQ137" s="92">
        <v>0</v>
      </c>
      <c r="BR137" s="92">
        <v>0</v>
      </c>
      <c r="BS137" s="85" t="s">
        <v>130</v>
      </c>
      <c r="BT137" s="94" t="s">
        <v>130</v>
      </c>
      <c r="BU137" s="94" t="s">
        <v>130</v>
      </c>
      <c r="BV137" s="94" t="s">
        <v>130</v>
      </c>
      <c r="BW137" s="95" t="s">
        <v>130</v>
      </c>
      <c r="BX137" s="94" t="s">
        <v>130</v>
      </c>
      <c r="BY137" s="29" t="s">
        <v>130</v>
      </c>
      <c r="BZ137" s="29" t="s">
        <v>130</v>
      </c>
      <c r="CA137" s="29" t="s">
        <v>130</v>
      </c>
      <c r="CB137" s="29" t="s">
        <v>130</v>
      </c>
      <c r="CC137" s="29" t="s">
        <v>130</v>
      </c>
      <c r="CD137" s="29" t="s">
        <v>130</v>
      </c>
      <c r="CE137" s="191" t="str">
        <f t="shared" si="61"/>
        <v>SP - PRUDENTE - SUCATA</v>
      </c>
      <c r="CF137" s="97" t="s">
        <v>130</v>
      </c>
      <c r="CG137" s="97" t="s">
        <v>130</v>
      </c>
      <c r="CH137" s="37" t="s">
        <v>130</v>
      </c>
      <c r="CI137" s="98" t="s">
        <v>130</v>
      </c>
      <c r="CJ137" s="39">
        <v>5</v>
      </c>
      <c r="CK137" s="39">
        <v>5</v>
      </c>
      <c r="CL137" s="39" t="s">
        <v>130</v>
      </c>
      <c r="CM137" s="99" t="s">
        <v>130</v>
      </c>
      <c r="CN137" s="40" t="str">
        <f>IFERROR(IF(VLOOKUP(AG137,'[1]ATIVOS SAGI'!C:D,1,FALSE)&lt;&gt;"","CADASTRADO","NÃO CADASTRADO"),"NÃO CADASTRADO")</f>
        <v>CADASTRADO</v>
      </c>
      <c r="CO137" s="99">
        <f t="shared" si="57"/>
        <v>0</v>
      </c>
      <c r="CP137" s="48"/>
      <c r="CQ137" s="48"/>
      <c r="CR137" s="48"/>
      <c r="CS137" s="48"/>
    </row>
    <row r="138" spans="1:97" x14ac:dyDescent="0.25">
      <c r="A138" s="27">
        <v>211</v>
      </c>
      <c r="B138" s="27" t="s">
        <v>130</v>
      </c>
      <c r="C138" s="29" t="s">
        <v>130</v>
      </c>
      <c r="D138" s="40" t="s">
        <v>325</v>
      </c>
      <c r="E138" s="84" t="s">
        <v>130</v>
      </c>
      <c r="F138" s="84" t="s">
        <v>130</v>
      </c>
      <c r="G138" s="84"/>
      <c r="H138" s="160" t="s">
        <v>130</v>
      </c>
      <c r="I138" s="29" t="s">
        <v>130</v>
      </c>
      <c r="J138" s="161" t="s">
        <v>130</v>
      </c>
      <c r="K138" s="85" t="s">
        <v>130</v>
      </c>
      <c r="L138" s="85" t="s">
        <v>130</v>
      </c>
      <c r="M138" s="86" t="s">
        <v>130</v>
      </c>
      <c r="N138" s="85" t="s">
        <v>130</v>
      </c>
      <c r="O138" s="86" t="s">
        <v>130</v>
      </c>
      <c r="P138" s="85" t="s">
        <v>130</v>
      </c>
      <c r="Q138" s="85" t="s">
        <v>130</v>
      </c>
      <c r="R138" s="85" t="s">
        <v>130</v>
      </c>
      <c r="S138" s="85" t="s">
        <v>130</v>
      </c>
      <c r="T138" s="85" t="s">
        <v>130</v>
      </c>
      <c r="U138" s="85" t="s">
        <v>130</v>
      </c>
      <c r="V138" s="85" t="s">
        <v>130</v>
      </c>
      <c r="W138" s="85" t="s">
        <v>130</v>
      </c>
      <c r="X138" s="85" t="s">
        <v>130</v>
      </c>
      <c r="Y138" s="85" t="s">
        <v>130</v>
      </c>
      <c r="Z138" s="85" t="s">
        <v>130</v>
      </c>
      <c r="AA138" s="85" t="s">
        <v>130</v>
      </c>
      <c r="AB138" s="85" t="s">
        <v>130</v>
      </c>
      <c r="AC138" s="85" t="s">
        <v>130</v>
      </c>
      <c r="AD138" s="85" t="s">
        <v>130</v>
      </c>
      <c r="AE138" s="130" t="s">
        <v>45</v>
      </c>
      <c r="AF138" s="191" t="s">
        <v>92</v>
      </c>
      <c r="AG138" s="40" t="s">
        <v>344</v>
      </c>
      <c r="AH138" s="29" t="s">
        <v>130</v>
      </c>
      <c r="AI138" s="162" t="s">
        <v>130</v>
      </c>
      <c r="AJ138" s="190" t="s">
        <v>130</v>
      </c>
      <c r="AK138" s="29" t="s">
        <v>345</v>
      </c>
      <c r="AL138" s="191" t="s">
        <v>346</v>
      </c>
      <c r="AM138" s="34" t="s">
        <v>130</v>
      </c>
      <c r="AN138" s="34" t="s">
        <v>130</v>
      </c>
      <c r="AO138" s="40" t="s">
        <v>347</v>
      </c>
      <c r="AP138" s="29" t="s">
        <v>181</v>
      </c>
      <c r="AQ138" s="88" t="s">
        <v>305</v>
      </c>
      <c r="AR138" s="89">
        <f>VLOOKUP(AQ138,'[1]Critério de Depreciação'!$C$3:$G$8,5,FALSE)</f>
        <v>0.83333333333333337</v>
      </c>
      <c r="AS138" s="29" t="s">
        <v>130</v>
      </c>
      <c r="AT138" s="29" t="s">
        <v>130</v>
      </c>
      <c r="AU138" s="29" t="s">
        <v>130</v>
      </c>
      <c r="AV138" s="183" t="s">
        <v>130</v>
      </c>
      <c r="AW138" s="90">
        <v>0</v>
      </c>
      <c r="AX138" s="86" t="s">
        <v>130</v>
      </c>
      <c r="AY138" s="91" t="s">
        <v>130</v>
      </c>
      <c r="AZ138" s="85" t="s">
        <v>130</v>
      </c>
      <c r="BA138" s="123" t="s">
        <v>130</v>
      </c>
      <c r="BB138" s="86" t="s">
        <v>130</v>
      </c>
      <c r="BC138" s="85" t="s">
        <v>130</v>
      </c>
      <c r="BD138" s="85" t="s">
        <v>130</v>
      </c>
      <c r="BE138" s="113">
        <f t="shared" si="58"/>
        <v>0</v>
      </c>
      <c r="BF138" s="92">
        <v>0</v>
      </c>
      <c r="BG138" s="92">
        <v>0</v>
      </c>
      <c r="BH138" s="92">
        <v>0</v>
      </c>
      <c r="BI138" s="92">
        <v>0</v>
      </c>
      <c r="BJ138" s="92">
        <v>0</v>
      </c>
      <c r="BK138" s="92">
        <v>0</v>
      </c>
      <c r="BL138" s="92">
        <v>0</v>
      </c>
      <c r="BM138" s="93">
        <f t="shared" si="59"/>
        <v>0</v>
      </c>
      <c r="BN138" s="92">
        <v>0</v>
      </c>
      <c r="BO138" s="92">
        <v>0</v>
      </c>
      <c r="BP138" s="92">
        <f t="shared" si="60"/>
        <v>0</v>
      </c>
      <c r="BQ138" s="92">
        <v>0</v>
      </c>
      <c r="BR138" s="92">
        <v>0</v>
      </c>
      <c r="BS138" s="85" t="s">
        <v>130</v>
      </c>
      <c r="BT138" s="94" t="s">
        <v>130</v>
      </c>
      <c r="BU138" s="94" t="s">
        <v>130</v>
      </c>
      <c r="BV138" s="94" t="s">
        <v>130</v>
      </c>
      <c r="BW138" s="95" t="s">
        <v>130</v>
      </c>
      <c r="BX138" s="94" t="s">
        <v>130</v>
      </c>
      <c r="BY138" s="29" t="s">
        <v>130</v>
      </c>
      <c r="BZ138" s="29" t="s">
        <v>130</v>
      </c>
      <c r="CA138" s="29" t="s">
        <v>130</v>
      </c>
      <c r="CB138" s="29" t="s">
        <v>130</v>
      </c>
      <c r="CC138" s="29" t="s">
        <v>130</v>
      </c>
      <c r="CD138" s="29" t="s">
        <v>130</v>
      </c>
      <c r="CE138" s="191" t="str">
        <f t="shared" si="61"/>
        <v>?</v>
      </c>
      <c r="CF138" s="97" t="s">
        <v>130</v>
      </c>
      <c r="CG138" s="97" t="s">
        <v>130</v>
      </c>
      <c r="CH138" s="37" t="s">
        <v>130</v>
      </c>
      <c r="CI138" s="98" t="s">
        <v>130</v>
      </c>
      <c r="CJ138" s="39">
        <v>5</v>
      </c>
      <c r="CK138" s="39">
        <v>5</v>
      </c>
      <c r="CL138" s="39" t="s">
        <v>130</v>
      </c>
      <c r="CM138" s="99" t="s">
        <v>130</v>
      </c>
      <c r="CN138" s="40" t="str">
        <f>IFERROR(IF(VLOOKUP(AG138,'[1]ATIVOS SAGI'!C:D,1,FALSE)&lt;&gt;"","CADASTRADO","NÃO CADASTRADO"),"NÃO CADASTRADO")</f>
        <v>CADASTRADO</v>
      </c>
      <c r="CO138" s="99">
        <f t="shared" si="57"/>
        <v>0</v>
      </c>
      <c r="CP138" s="48"/>
      <c r="CQ138" s="48"/>
      <c r="CR138" s="48"/>
      <c r="CS138" s="48"/>
    </row>
    <row r="139" spans="1:97" x14ac:dyDescent="0.25">
      <c r="A139" s="27">
        <v>212</v>
      </c>
      <c r="B139" s="27" t="s">
        <v>130</v>
      </c>
      <c r="C139" s="29" t="s">
        <v>296</v>
      </c>
      <c r="D139" s="40" t="s">
        <v>49</v>
      </c>
      <c r="E139" s="84" t="s">
        <v>130</v>
      </c>
      <c r="F139" s="40" t="s">
        <v>130</v>
      </c>
      <c r="G139" s="84"/>
      <c r="H139" s="160" t="s">
        <v>130</v>
      </c>
      <c r="I139" s="29" t="s">
        <v>130</v>
      </c>
      <c r="J139" s="161" t="s">
        <v>130</v>
      </c>
      <c r="K139" s="85" t="s">
        <v>130</v>
      </c>
      <c r="L139" s="85" t="s">
        <v>130</v>
      </c>
      <c r="M139" s="86" t="s">
        <v>130</v>
      </c>
      <c r="N139" s="85" t="s">
        <v>130</v>
      </c>
      <c r="O139" s="86" t="s">
        <v>130</v>
      </c>
      <c r="P139" s="85" t="s">
        <v>130</v>
      </c>
      <c r="Q139" s="85" t="s">
        <v>130</v>
      </c>
      <c r="R139" s="85" t="s">
        <v>130</v>
      </c>
      <c r="S139" s="85" t="s">
        <v>130</v>
      </c>
      <c r="T139" s="85" t="s">
        <v>130</v>
      </c>
      <c r="U139" s="85" t="s">
        <v>130</v>
      </c>
      <c r="V139" s="85" t="s">
        <v>130</v>
      </c>
      <c r="W139" s="85" t="s">
        <v>130</v>
      </c>
      <c r="X139" s="85" t="s">
        <v>130</v>
      </c>
      <c r="Y139" s="85" t="s">
        <v>130</v>
      </c>
      <c r="Z139" s="85" t="s">
        <v>130</v>
      </c>
      <c r="AA139" s="85" t="s">
        <v>130</v>
      </c>
      <c r="AB139" s="85" t="s">
        <v>130</v>
      </c>
      <c r="AC139" s="85" t="s">
        <v>130</v>
      </c>
      <c r="AD139" s="85" t="s">
        <v>130</v>
      </c>
      <c r="AE139" s="130" t="s">
        <v>45</v>
      </c>
      <c r="AF139" s="191" t="s">
        <v>92</v>
      </c>
      <c r="AG139" s="40" t="s">
        <v>348</v>
      </c>
      <c r="AH139" s="29" t="s">
        <v>130</v>
      </c>
      <c r="AI139" s="162" t="s">
        <v>130</v>
      </c>
      <c r="AJ139" s="190" t="s">
        <v>130</v>
      </c>
      <c r="AK139" s="29" t="s">
        <v>349</v>
      </c>
      <c r="AL139" s="191" t="s">
        <v>130</v>
      </c>
      <c r="AM139" s="34" t="s">
        <v>130</v>
      </c>
      <c r="AN139" s="34" t="s">
        <v>130</v>
      </c>
      <c r="AO139" s="40" t="s">
        <v>347</v>
      </c>
      <c r="AP139" s="29" t="s">
        <v>181</v>
      </c>
      <c r="AQ139" s="88" t="s">
        <v>305</v>
      </c>
      <c r="AR139" s="89">
        <f>VLOOKUP(AQ139,'[1]Critério de Depreciação'!$C$3:$G$8,5,FALSE)</f>
        <v>0.83333333333333337</v>
      </c>
      <c r="AS139" s="29" t="s">
        <v>130</v>
      </c>
      <c r="AT139" s="29" t="s">
        <v>130</v>
      </c>
      <c r="AU139" s="29" t="s">
        <v>130</v>
      </c>
      <c r="AV139" s="183" t="s">
        <v>130</v>
      </c>
      <c r="AW139" s="90">
        <v>0</v>
      </c>
      <c r="AX139" s="86" t="s">
        <v>130</v>
      </c>
      <c r="AY139" s="91" t="s">
        <v>130</v>
      </c>
      <c r="AZ139" s="85" t="s">
        <v>130</v>
      </c>
      <c r="BA139" s="123" t="s">
        <v>130</v>
      </c>
      <c r="BB139" s="86" t="s">
        <v>130</v>
      </c>
      <c r="BC139" s="85" t="s">
        <v>130</v>
      </c>
      <c r="BD139" s="85" t="s">
        <v>130</v>
      </c>
      <c r="BE139" s="113">
        <f t="shared" si="58"/>
        <v>0</v>
      </c>
      <c r="BF139" s="92">
        <v>0</v>
      </c>
      <c r="BG139" s="92">
        <v>0</v>
      </c>
      <c r="BH139" s="92">
        <v>0</v>
      </c>
      <c r="BI139" s="92">
        <v>0</v>
      </c>
      <c r="BJ139" s="92">
        <v>0</v>
      </c>
      <c r="BK139" s="92">
        <v>0</v>
      </c>
      <c r="BL139" s="92">
        <v>0</v>
      </c>
      <c r="BM139" s="93">
        <f t="shared" si="59"/>
        <v>0</v>
      </c>
      <c r="BN139" s="92">
        <v>0</v>
      </c>
      <c r="BO139" s="92">
        <v>0</v>
      </c>
      <c r="BP139" s="92">
        <f t="shared" si="60"/>
        <v>0</v>
      </c>
      <c r="BQ139" s="92">
        <v>0</v>
      </c>
      <c r="BR139" s="92">
        <v>0</v>
      </c>
      <c r="BS139" s="85" t="s">
        <v>130</v>
      </c>
      <c r="BT139" s="94" t="s">
        <v>130</v>
      </c>
      <c r="BU139" s="94" t="s">
        <v>130</v>
      </c>
      <c r="BV139" s="94" t="s">
        <v>130</v>
      </c>
      <c r="BW139" s="95" t="s">
        <v>130</v>
      </c>
      <c r="BX139" s="94" t="s">
        <v>130</v>
      </c>
      <c r="BY139" s="29" t="s">
        <v>130</v>
      </c>
      <c r="BZ139" s="29" t="s">
        <v>130</v>
      </c>
      <c r="CA139" s="29" t="s">
        <v>130</v>
      </c>
      <c r="CB139" s="29" t="s">
        <v>130</v>
      </c>
      <c r="CC139" s="29" t="s">
        <v>130</v>
      </c>
      <c r="CD139" s="29" t="s">
        <v>130</v>
      </c>
      <c r="CE139" s="191" t="str">
        <f t="shared" si="61"/>
        <v>?</v>
      </c>
      <c r="CF139" s="97" t="s">
        <v>130</v>
      </c>
      <c r="CG139" s="97" t="s">
        <v>130</v>
      </c>
      <c r="CH139" s="37" t="s">
        <v>130</v>
      </c>
      <c r="CI139" s="98" t="s">
        <v>130</v>
      </c>
      <c r="CJ139" s="39">
        <v>5</v>
      </c>
      <c r="CK139" s="39">
        <v>5</v>
      </c>
      <c r="CL139" s="39" t="s">
        <v>130</v>
      </c>
      <c r="CM139" s="99" t="s">
        <v>130</v>
      </c>
      <c r="CN139" s="40" t="str">
        <f>IFERROR(IF(VLOOKUP(AG139,'[1]ATIVOS SAGI'!C:D,1,FALSE)&lt;&gt;"","CADASTRADO","NÃO CADASTRADO"),"NÃO CADASTRADO")</f>
        <v>CADASTRADO</v>
      </c>
      <c r="CO139" s="99">
        <f t="shared" si="57"/>
        <v>0</v>
      </c>
      <c r="CP139" s="100" t="s">
        <v>301</v>
      </c>
      <c r="CQ139" s="48"/>
      <c r="CR139" s="48"/>
      <c r="CS139" s="48"/>
    </row>
    <row r="140" spans="1:97" ht="81" x14ac:dyDescent="0.25">
      <c r="A140" s="27">
        <v>208</v>
      </c>
      <c r="B140" s="27" t="s">
        <v>130</v>
      </c>
      <c r="C140" s="29" t="s">
        <v>296</v>
      </c>
      <c r="D140" s="40" t="s">
        <v>49</v>
      </c>
      <c r="E140" s="84" t="s">
        <v>130</v>
      </c>
      <c r="F140" s="40" t="s">
        <v>130</v>
      </c>
      <c r="G140" s="84"/>
      <c r="H140" s="160" t="s">
        <v>306</v>
      </c>
      <c r="I140" s="29" t="s">
        <v>130</v>
      </c>
      <c r="J140" s="161" t="s">
        <v>130</v>
      </c>
      <c r="K140" s="85" t="s">
        <v>130</v>
      </c>
      <c r="L140" s="85" t="s">
        <v>130</v>
      </c>
      <c r="M140" s="86" t="s">
        <v>130</v>
      </c>
      <c r="N140" s="85" t="s">
        <v>130</v>
      </c>
      <c r="O140" s="86" t="s">
        <v>130</v>
      </c>
      <c r="P140" s="85" t="s">
        <v>130</v>
      </c>
      <c r="Q140" s="85" t="s">
        <v>130</v>
      </c>
      <c r="R140" s="85" t="s">
        <v>130</v>
      </c>
      <c r="S140" s="85" t="s">
        <v>130</v>
      </c>
      <c r="T140" s="85" t="s">
        <v>130</v>
      </c>
      <c r="U140" s="85" t="s">
        <v>130</v>
      </c>
      <c r="V140" s="85" t="s">
        <v>130</v>
      </c>
      <c r="W140" s="85" t="s">
        <v>130</v>
      </c>
      <c r="X140" s="85" t="s">
        <v>130</v>
      </c>
      <c r="Y140" s="85" t="s">
        <v>130</v>
      </c>
      <c r="Z140" s="85" t="s">
        <v>130</v>
      </c>
      <c r="AA140" s="85" t="s">
        <v>130</v>
      </c>
      <c r="AB140" s="85" t="s">
        <v>130</v>
      </c>
      <c r="AC140" s="85" t="s">
        <v>130</v>
      </c>
      <c r="AD140" s="85" t="s">
        <v>130</v>
      </c>
      <c r="AE140" s="29" t="s">
        <v>45</v>
      </c>
      <c r="AF140" s="29" t="s">
        <v>46</v>
      </c>
      <c r="AG140" s="40" t="s">
        <v>350</v>
      </c>
      <c r="AH140" s="29" t="s">
        <v>130</v>
      </c>
      <c r="AI140" s="162" t="s">
        <v>130</v>
      </c>
      <c r="AJ140" s="190" t="s">
        <v>351</v>
      </c>
      <c r="AK140" s="29" t="s">
        <v>326</v>
      </c>
      <c r="AL140" s="191" t="s">
        <v>352</v>
      </c>
      <c r="AM140" s="34" t="s">
        <v>130</v>
      </c>
      <c r="AN140" s="34" t="s">
        <v>130</v>
      </c>
      <c r="AO140" s="40" t="s">
        <v>353</v>
      </c>
      <c r="AP140" s="29" t="s">
        <v>181</v>
      </c>
      <c r="AQ140" s="88" t="s">
        <v>305</v>
      </c>
      <c r="AR140" s="89">
        <f>VLOOKUP(AQ140,'[1]Critério de Depreciação'!$C$3:$G$8,5,FALSE)</f>
        <v>0.83333333333333337</v>
      </c>
      <c r="AS140" s="29" t="s">
        <v>130</v>
      </c>
      <c r="AT140" s="29" t="s">
        <v>130</v>
      </c>
      <c r="AU140" s="29" t="s">
        <v>130</v>
      </c>
      <c r="AV140" s="183">
        <v>5850</v>
      </c>
      <c r="AW140" s="90">
        <v>54700</v>
      </c>
      <c r="AX140" s="86">
        <v>40756</v>
      </c>
      <c r="AY140" s="91" t="s">
        <v>130</v>
      </c>
      <c r="AZ140" s="85" t="s">
        <v>130</v>
      </c>
      <c r="BA140" s="123" t="s">
        <v>130</v>
      </c>
      <c r="BB140" s="86" t="s">
        <v>130</v>
      </c>
      <c r="BC140" s="85" t="s">
        <v>130</v>
      </c>
      <c r="BD140" s="85" t="s">
        <v>130</v>
      </c>
      <c r="BE140" s="113">
        <f t="shared" si="58"/>
        <v>0</v>
      </c>
      <c r="BF140" s="92">
        <v>0</v>
      </c>
      <c r="BG140" s="92">
        <v>0</v>
      </c>
      <c r="BH140" s="92">
        <v>0</v>
      </c>
      <c r="BI140" s="92">
        <v>0</v>
      </c>
      <c r="BJ140" s="92">
        <v>0</v>
      </c>
      <c r="BK140" s="92">
        <v>0</v>
      </c>
      <c r="BL140" s="92">
        <v>0</v>
      </c>
      <c r="BM140" s="93">
        <v>54700</v>
      </c>
      <c r="BN140" s="92">
        <v>0</v>
      </c>
      <c r="BO140" s="92">
        <v>0</v>
      </c>
      <c r="BP140" s="92">
        <f t="shared" si="60"/>
        <v>0</v>
      </c>
      <c r="BQ140" s="92">
        <v>0</v>
      </c>
      <c r="BR140" s="92">
        <v>0</v>
      </c>
      <c r="BS140" s="85" t="s">
        <v>130</v>
      </c>
      <c r="BT140" s="94" t="s">
        <v>130</v>
      </c>
      <c r="BU140" s="94" t="s">
        <v>130</v>
      </c>
      <c r="BV140" s="94" t="s">
        <v>130</v>
      </c>
      <c r="BW140" s="95" t="s">
        <v>130</v>
      </c>
      <c r="BX140" s="96" t="s">
        <v>130</v>
      </c>
      <c r="BY140" s="29" t="s">
        <v>130</v>
      </c>
      <c r="BZ140" s="29" t="s">
        <v>130</v>
      </c>
      <c r="CA140" s="29" t="s">
        <v>130</v>
      </c>
      <c r="CB140" s="29" t="s">
        <v>130</v>
      </c>
      <c r="CC140" s="29" t="s">
        <v>130</v>
      </c>
      <c r="CD140" s="29" t="s">
        <v>130</v>
      </c>
      <c r="CE140" s="191" t="str">
        <f t="shared" si="61"/>
        <v>SP - PRUDENTE - SUCATA</v>
      </c>
      <c r="CF140" s="97" t="s">
        <v>130</v>
      </c>
      <c r="CG140" s="97" t="s">
        <v>130</v>
      </c>
      <c r="CH140" s="37" t="s">
        <v>130</v>
      </c>
      <c r="CI140" s="98" t="s">
        <v>130</v>
      </c>
      <c r="CJ140" s="39">
        <v>5</v>
      </c>
      <c r="CK140" s="39">
        <v>5</v>
      </c>
      <c r="CL140" s="39" t="s">
        <v>130</v>
      </c>
      <c r="CM140" s="99" t="s">
        <v>130</v>
      </c>
      <c r="CN140" s="40" t="str">
        <f>IFERROR(IF(VLOOKUP(AG140,'[1]ATIVOS SAGI'!C:D,1,FALSE)&lt;&gt;"","CADASTRADO","NÃO CADASTRADO"),"NÃO CADASTRADO")</f>
        <v>CADASTRADO</v>
      </c>
      <c r="CO140" s="99">
        <f t="shared" si="57"/>
        <v>455.83333333333337</v>
      </c>
      <c r="CP140" s="100" t="s">
        <v>92</v>
      </c>
      <c r="CQ140" s="48"/>
      <c r="CR140" s="48"/>
      <c r="CS140" s="48"/>
    </row>
    <row r="141" spans="1:97" x14ac:dyDescent="0.25">
      <c r="A141" s="101">
        <v>144</v>
      </c>
      <c r="B141" s="101">
        <v>27</v>
      </c>
      <c r="C141" s="102" t="s">
        <v>296</v>
      </c>
      <c r="D141" s="88" t="s">
        <v>49</v>
      </c>
      <c r="E141" s="88" t="s">
        <v>130</v>
      </c>
      <c r="F141" s="88" t="s">
        <v>130</v>
      </c>
      <c r="G141" s="88"/>
      <c r="H141" s="104" t="s">
        <v>306</v>
      </c>
      <c r="I141" s="29" t="s">
        <v>307</v>
      </c>
      <c r="J141" s="29" t="s">
        <v>130</v>
      </c>
      <c r="K141" s="29" t="s">
        <v>130</v>
      </c>
      <c r="L141" s="85" t="s">
        <v>130</v>
      </c>
      <c r="M141" s="86" t="s">
        <v>130</v>
      </c>
      <c r="N141" s="85" t="s">
        <v>130</v>
      </c>
      <c r="O141" s="86" t="s">
        <v>130</v>
      </c>
      <c r="P141" s="85" t="s">
        <v>130</v>
      </c>
      <c r="Q141" s="29" t="s">
        <v>130</v>
      </c>
      <c r="R141" s="85" t="s">
        <v>130</v>
      </c>
      <c r="S141" s="85" t="s">
        <v>130</v>
      </c>
      <c r="T141" s="85" t="s">
        <v>130</v>
      </c>
      <c r="U141" s="85" t="s">
        <v>130</v>
      </c>
      <c r="V141" s="85" t="s">
        <v>130</v>
      </c>
      <c r="W141" s="85" t="s">
        <v>130</v>
      </c>
      <c r="X141" s="85" t="s">
        <v>130</v>
      </c>
      <c r="Y141" s="85">
        <v>0</v>
      </c>
      <c r="Z141" s="85" t="s">
        <v>130</v>
      </c>
      <c r="AA141" s="85" t="s">
        <v>130</v>
      </c>
      <c r="AB141" s="85" t="s">
        <v>130</v>
      </c>
      <c r="AC141" s="85" t="s">
        <v>130</v>
      </c>
      <c r="AD141" s="85" t="s">
        <v>130</v>
      </c>
      <c r="AE141" s="102" t="s">
        <v>297</v>
      </c>
      <c r="AF141" s="102" t="s">
        <v>46</v>
      </c>
      <c r="AG141" s="88" t="s">
        <v>354</v>
      </c>
      <c r="AH141" s="29" t="s">
        <v>130</v>
      </c>
      <c r="AI141" s="87" t="str">
        <f>IFERROR(VLOOKUP(AG141,[2]Frota!$D$2:$AV$187,2,FALSE),"-")</f>
        <v>-</v>
      </c>
      <c r="AJ141" s="87" t="str">
        <f>IFERROR(VLOOKUP(AG141,[2]Frota!$D$2:$AV$187,3,FALSE),"-")</f>
        <v>-</v>
      </c>
      <c r="AK141" s="102" t="s">
        <v>355</v>
      </c>
      <c r="AL141" s="102" t="s">
        <v>356</v>
      </c>
      <c r="AM141" s="108" t="s">
        <v>130</v>
      </c>
      <c r="AN141" s="108" t="s">
        <v>130</v>
      </c>
      <c r="AO141" s="88">
        <v>934</v>
      </c>
      <c r="AP141" s="102" t="s">
        <v>181</v>
      </c>
      <c r="AQ141" s="88" t="s">
        <v>305</v>
      </c>
      <c r="AR141" s="89">
        <f>VLOOKUP(AQ141,'[1]Critério de Depreciação'!$C$3:$G$8,5,FALSE)</f>
        <v>0.83333333333333337</v>
      </c>
      <c r="AS141" s="29" t="s">
        <v>130</v>
      </c>
      <c r="AT141" s="29" t="s">
        <v>130</v>
      </c>
      <c r="AU141" s="29" t="str">
        <f>IFERROR(VLOOKUP(#REF!,[2]Frota!$D$2:$AV$187,12,FALSE),"-")</f>
        <v>-</v>
      </c>
      <c r="AV141" s="45">
        <v>161043</v>
      </c>
      <c r="AW141" s="110">
        <v>42000</v>
      </c>
      <c r="AX141" s="86">
        <v>42677</v>
      </c>
      <c r="AY141" s="91" t="s">
        <v>130</v>
      </c>
      <c r="AZ141" s="85">
        <v>580000</v>
      </c>
      <c r="BA141" s="123" t="s">
        <v>130</v>
      </c>
      <c r="BB141" s="124" t="s">
        <v>130</v>
      </c>
      <c r="BC141" s="85" t="s">
        <v>130</v>
      </c>
      <c r="BD141" s="85">
        <v>80000</v>
      </c>
      <c r="BE141" s="92">
        <f t="shared" si="58"/>
        <v>660000</v>
      </c>
      <c r="BF141" s="113">
        <v>0</v>
      </c>
      <c r="BG141" s="113">
        <v>0</v>
      </c>
      <c r="BH141" s="113">
        <v>0</v>
      </c>
      <c r="BI141" s="113">
        <v>0</v>
      </c>
      <c r="BJ141" s="113">
        <v>0</v>
      </c>
      <c r="BK141" s="113">
        <v>0</v>
      </c>
      <c r="BL141" s="113">
        <v>0</v>
      </c>
      <c r="BM141" s="114">
        <v>42000</v>
      </c>
      <c r="BN141" s="113">
        <v>0</v>
      </c>
      <c r="BO141" s="113">
        <v>0</v>
      </c>
      <c r="BP141" s="113">
        <v>0</v>
      </c>
      <c r="BQ141" s="113">
        <v>0</v>
      </c>
      <c r="BR141" s="113">
        <v>0</v>
      </c>
      <c r="BS141" s="105">
        <f t="shared" ref="BS141:BS168" si="62">IFERROR((AW141*20%)/12,"-")</f>
        <v>700</v>
      </c>
      <c r="BT141" s="125" t="s">
        <v>130</v>
      </c>
      <c r="BU141" s="125" t="s">
        <v>130</v>
      </c>
      <c r="BV141" s="125" t="s">
        <v>130</v>
      </c>
      <c r="BW141" s="126" t="s">
        <v>130</v>
      </c>
      <c r="BX141" s="127" t="s">
        <v>130</v>
      </c>
      <c r="BY141" s="29" t="s">
        <v>317</v>
      </c>
      <c r="BZ141" s="29" t="s">
        <v>317</v>
      </c>
      <c r="CA141" s="29" t="s">
        <v>130</v>
      </c>
      <c r="CB141" s="29" t="s">
        <v>130</v>
      </c>
      <c r="CC141" s="29" t="s">
        <v>130</v>
      </c>
      <c r="CD141" s="29" t="s">
        <v>130</v>
      </c>
      <c r="CE141" s="29" t="str">
        <f t="shared" si="61"/>
        <v>SP - PRUDENTE - SUCATA</v>
      </c>
      <c r="CF141" s="97" t="s">
        <v>130</v>
      </c>
      <c r="CG141" s="97" t="s">
        <v>130</v>
      </c>
      <c r="CH141" s="119">
        <f t="shared" ref="CH141:CH168" si="63">BM141</f>
        <v>42000</v>
      </c>
      <c r="CI141" s="120" t="s">
        <v>130</v>
      </c>
      <c r="CJ141" s="121">
        <v>5</v>
      </c>
      <c r="CK141" s="121">
        <v>5</v>
      </c>
      <c r="CL141" s="121">
        <f t="shared" ref="CL141:CL168" si="64">12*CK141</f>
        <v>60</v>
      </c>
      <c r="CM141" s="122">
        <f t="shared" ref="CM141:CM168" si="65">IFERROR((CH141/CL141)*2,"-")</f>
        <v>1400</v>
      </c>
      <c r="CN141" s="88" t="str">
        <f>IFERROR(IF(VLOOKUP(AG141,'[1]ATIVOS SAGI'!C:D,1,FALSE)&lt;&gt;"","CADASTRADO","NÃO CADASTRADO"),"NÃO CADASTRADO")</f>
        <v>CADASTRADO</v>
      </c>
      <c r="CO141" s="122">
        <f t="shared" si="57"/>
        <v>350</v>
      </c>
      <c r="CP141" s="100" t="s">
        <v>92</v>
      </c>
      <c r="CQ141" s="100"/>
      <c r="CR141" s="100"/>
      <c r="CS141" s="100"/>
    </row>
    <row r="142" spans="1:97" x14ac:dyDescent="0.25">
      <c r="A142" s="27">
        <v>145</v>
      </c>
      <c r="B142" s="27">
        <v>28</v>
      </c>
      <c r="C142" s="29" t="s">
        <v>296</v>
      </c>
      <c r="D142" s="40" t="s">
        <v>49</v>
      </c>
      <c r="E142" s="40" t="s">
        <v>130</v>
      </c>
      <c r="F142" s="40" t="s">
        <v>130</v>
      </c>
      <c r="G142" s="40"/>
      <c r="H142" s="41" t="s">
        <v>306</v>
      </c>
      <c r="I142" s="29" t="s">
        <v>307</v>
      </c>
      <c r="J142" s="29" t="s">
        <v>130</v>
      </c>
      <c r="K142" s="29" t="s">
        <v>130</v>
      </c>
      <c r="L142" s="85" t="s">
        <v>130</v>
      </c>
      <c r="M142" s="86" t="s">
        <v>130</v>
      </c>
      <c r="N142" s="85" t="s">
        <v>130</v>
      </c>
      <c r="O142" s="86" t="s">
        <v>130</v>
      </c>
      <c r="P142" s="85" t="s">
        <v>130</v>
      </c>
      <c r="Q142" s="29" t="s">
        <v>130</v>
      </c>
      <c r="R142" s="85" t="s">
        <v>130</v>
      </c>
      <c r="S142" s="85" t="s">
        <v>130</v>
      </c>
      <c r="T142" s="85" t="s">
        <v>130</v>
      </c>
      <c r="U142" s="85" t="s">
        <v>130</v>
      </c>
      <c r="V142" s="85" t="s">
        <v>130</v>
      </c>
      <c r="W142" s="85" t="s">
        <v>130</v>
      </c>
      <c r="X142" s="85" t="s">
        <v>130</v>
      </c>
      <c r="Y142" s="85">
        <v>0</v>
      </c>
      <c r="Z142" s="85" t="s">
        <v>130</v>
      </c>
      <c r="AA142" s="85" t="s">
        <v>130</v>
      </c>
      <c r="AB142" s="85" t="s">
        <v>130</v>
      </c>
      <c r="AC142" s="85" t="s">
        <v>130</v>
      </c>
      <c r="AD142" s="85" t="s">
        <v>130</v>
      </c>
      <c r="AE142" s="29" t="s">
        <v>298</v>
      </c>
      <c r="AF142" s="29" t="s">
        <v>46</v>
      </c>
      <c r="AG142" s="40" t="s">
        <v>357</v>
      </c>
      <c r="AH142" s="29" t="s">
        <v>130</v>
      </c>
      <c r="AI142" s="87" t="str">
        <f>IFERROR(VLOOKUP(AG142,[2]Frota!$D$2:$AV$187,2,FALSE),"-")</f>
        <v>-</v>
      </c>
      <c r="AJ142" s="87" t="str">
        <f>IFERROR(VLOOKUP(AG142,[2]Frota!$D$2:$AV$187,3,FALSE),"-")</f>
        <v>-</v>
      </c>
      <c r="AK142" s="29" t="s">
        <v>355</v>
      </c>
      <c r="AL142" s="29" t="s">
        <v>358</v>
      </c>
      <c r="AM142" s="34" t="s">
        <v>130</v>
      </c>
      <c r="AN142" s="34" t="s">
        <v>130</v>
      </c>
      <c r="AO142" s="40" t="s">
        <v>359</v>
      </c>
      <c r="AP142" s="29" t="s">
        <v>181</v>
      </c>
      <c r="AQ142" s="88" t="s">
        <v>305</v>
      </c>
      <c r="AR142" s="89">
        <f>VLOOKUP(AQ142,'[1]Critério de Depreciação'!$C$3:$G$8,5,FALSE)</f>
        <v>0.83333333333333337</v>
      </c>
      <c r="AS142" s="29" t="s">
        <v>130</v>
      </c>
      <c r="AT142" s="29" t="s">
        <v>130</v>
      </c>
      <c r="AU142" s="29" t="str">
        <f>IFERROR(VLOOKUP(#REF!,[2]Frota!$D$2:$AV$187,12,FALSE),"-")</f>
        <v>-</v>
      </c>
      <c r="AV142" s="182">
        <v>82937</v>
      </c>
      <c r="AW142" s="90">
        <v>0</v>
      </c>
      <c r="AX142" s="86">
        <v>42758</v>
      </c>
      <c r="AY142" s="91">
        <v>11000</v>
      </c>
      <c r="AZ142" s="85">
        <v>400000</v>
      </c>
      <c r="BA142" s="123" t="s">
        <v>130</v>
      </c>
      <c r="BB142" s="86" t="s">
        <v>130</v>
      </c>
      <c r="BC142" s="85" t="s">
        <v>130</v>
      </c>
      <c r="BD142" s="85">
        <v>80000</v>
      </c>
      <c r="BE142" s="92">
        <f t="shared" si="58"/>
        <v>480000</v>
      </c>
      <c r="BF142" s="92">
        <v>0</v>
      </c>
      <c r="BG142" s="92">
        <v>0</v>
      </c>
      <c r="BH142" s="92">
        <v>0</v>
      </c>
      <c r="BI142" s="92">
        <v>0</v>
      </c>
      <c r="BJ142" s="92">
        <v>0</v>
      </c>
      <c r="BK142" s="92">
        <v>0</v>
      </c>
      <c r="BL142" s="92">
        <v>0</v>
      </c>
      <c r="BM142" s="93">
        <f t="shared" ref="BM142:BM168" si="66">SUM(BF142:BL142)</f>
        <v>0</v>
      </c>
      <c r="BN142" s="92">
        <v>0</v>
      </c>
      <c r="BO142" s="92">
        <v>0</v>
      </c>
      <c r="BP142" s="92">
        <v>0</v>
      </c>
      <c r="BQ142" s="92">
        <v>0</v>
      </c>
      <c r="BR142" s="92">
        <v>0</v>
      </c>
      <c r="BS142" s="85">
        <f t="shared" si="62"/>
        <v>0</v>
      </c>
      <c r="BT142" s="94" t="s">
        <v>130</v>
      </c>
      <c r="BU142" s="94" t="s">
        <v>130</v>
      </c>
      <c r="BV142" s="94" t="s">
        <v>130</v>
      </c>
      <c r="BW142" s="95" t="s">
        <v>130</v>
      </c>
      <c r="BX142" s="96" t="s">
        <v>130</v>
      </c>
      <c r="BY142" s="29" t="s">
        <v>317</v>
      </c>
      <c r="BZ142" s="29" t="s">
        <v>317</v>
      </c>
      <c r="CA142" s="29" t="s">
        <v>130</v>
      </c>
      <c r="CB142" s="29" t="s">
        <v>130</v>
      </c>
      <c r="CC142" s="29" t="s">
        <v>130</v>
      </c>
      <c r="CD142" s="29" t="s">
        <v>130</v>
      </c>
      <c r="CE142" s="29" t="str">
        <f t="shared" si="61"/>
        <v>SP - PRUDENTE - SUCATA</v>
      </c>
      <c r="CF142" s="97" t="s">
        <v>130</v>
      </c>
      <c r="CG142" s="97" t="s">
        <v>130</v>
      </c>
      <c r="CH142" s="37">
        <f t="shared" si="63"/>
        <v>0</v>
      </c>
      <c r="CI142" s="98" t="s">
        <v>130</v>
      </c>
      <c r="CJ142" s="39">
        <v>5</v>
      </c>
      <c r="CK142" s="39">
        <v>5</v>
      </c>
      <c r="CL142" s="39">
        <f t="shared" si="64"/>
        <v>60</v>
      </c>
      <c r="CM142" s="99">
        <f t="shared" si="65"/>
        <v>0</v>
      </c>
      <c r="CN142" s="40" t="str">
        <f>IFERROR(IF(VLOOKUP(AG142,'[1]ATIVOS SAGI'!C:D,1,FALSE)&lt;&gt;"","CADASTRADO","NÃO CADASTRADO"),"NÃO CADASTRADO")</f>
        <v>CADASTRADO</v>
      </c>
      <c r="CO142" s="99">
        <f t="shared" si="57"/>
        <v>0</v>
      </c>
      <c r="CP142" s="100" t="s">
        <v>301</v>
      </c>
      <c r="CQ142" s="48"/>
      <c r="CR142" s="48"/>
      <c r="CS142" s="48"/>
    </row>
    <row r="143" spans="1:97" x14ac:dyDescent="0.25">
      <c r="A143" s="27">
        <v>146</v>
      </c>
      <c r="B143" s="27">
        <v>166</v>
      </c>
      <c r="C143" s="29" t="s">
        <v>296</v>
      </c>
      <c r="D143" s="40" t="s">
        <v>49</v>
      </c>
      <c r="E143" s="40" t="s">
        <v>130</v>
      </c>
      <c r="F143" s="40" t="s">
        <v>130</v>
      </c>
      <c r="G143" s="40"/>
      <c r="H143" s="41" t="s">
        <v>306</v>
      </c>
      <c r="I143" s="29" t="s">
        <v>307</v>
      </c>
      <c r="J143" s="29" t="s">
        <v>130</v>
      </c>
      <c r="K143" s="29" t="s">
        <v>130</v>
      </c>
      <c r="L143" s="85" t="s">
        <v>130</v>
      </c>
      <c r="M143" s="86" t="s">
        <v>130</v>
      </c>
      <c r="N143" s="85" t="s">
        <v>130</v>
      </c>
      <c r="O143" s="86" t="s">
        <v>130</v>
      </c>
      <c r="P143" s="85" t="s">
        <v>130</v>
      </c>
      <c r="Q143" s="29" t="s">
        <v>130</v>
      </c>
      <c r="R143" s="85" t="s">
        <v>130</v>
      </c>
      <c r="S143" s="85" t="s">
        <v>130</v>
      </c>
      <c r="T143" s="85" t="s">
        <v>130</v>
      </c>
      <c r="U143" s="85" t="s">
        <v>130</v>
      </c>
      <c r="V143" s="85" t="s">
        <v>130</v>
      </c>
      <c r="W143" s="85" t="s">
        <v>130</v>
      </c>
      <c r="X143" s="85" t="s">
        <v>130</v>
      </c>
      <c r="Y143" s="85" t="s">
        <v>130</v>
      </c>
      <c r="Z143" s="85" t="s">
        <v>130</v>
      </c>
      <c r="AA143" s="85" t="s">
        <v>130</v>
      </c>
      <c r="AB143" s="85" t="s">
        <v>130</v>
      </c>
      <c r="AC143" s="85" t="s">
        <v>130</v>
      </c>
      <c r="AD143" s="85" t="s">
        <v>130</v>
      </c>
      <c r="AE143" s="29" t="s">
        <v>298</v>
      </c>
      <c r="AF143" s="29" t="s">
        <v>46</v>
      </c>
      <c r="AG143" s="40" t="s">
        <v>360</v>
      </c>
      <c r="AH143" s="29" t="s">
        <v>130</v>
      </c>
      <c r="AI143" s="87" t="str">
        <f>IFERROR(VLOOKUP(AG143,[2]Frota!$D$2:$AV$187,2,FALSE),"-")</f>
        <v>-</v>
      </c>
      <c r="AJ143" s="87" t="str">
        <f>IFERROR(VLOOKUP(AG143,[2]Frota!$D$2:$AV$187,3,FALSE),"-")</f>
        <v>-</v>
      </c>
      <c r="AK143" s="29" t="s">
        <v>361</v>
      </c>
      <c r="AL143" s="29" t="s">
        <v>362</v>
      </c>
      <c r="AM143" s="34" t="s">
        <v>130</v>
      </c>
      <c r="AN143" s="34" t="s">
        <v>130</v>
      </c>
      <c r="AO143" s="40" t="s">
        <v>359</v>
      </c>
      <c r="AP143" s="29" t="s">
        <v>181</v>
      </c>
      <c r="AQ143" s="88" t="s">
        <v>305</v>
      </c>
      <c r="AR143" s="89">
        <f>VLOOKUP(AQ143,'[1]Critério de Depreciação'!$C$3:$G$8,5,FALSE)</f>
        <v>0.83333333333333337</v>
      </c>
      <c r="AS143" s="29" t="s">
        <v>130</v>
      </c>
      <c r="AT143" s="29" t="s">
        <v>130</v>
      </c>
      <c r="AU143" s="29" t="str">
        <f>IFERROR(VLOOKUP(AG177,[2]Frota!$D$2:$AV$187,12,FALSE),"-")</f>
        <v>-</v>
      </c>
      <c r="AV143" s="29" t="s">
        <v>130</v>
      </c>
      <c r="AW143" s="90">
        <v>0</v>
      </c>
      <c r="AX143" s="86" t="s">
        <v>130</v>
      </c>
      <c r="AY143" s="91" t="s">
        <v>130</v>
      </c>
      <c r="AZ143" s="85">
        <v>80000</v>
      </c>
      <c r="BA143" s="123" t="s">
        <v>130</v>
      </c>
      <c r="BB143" s="86" t="s">
        <v>130</v>
      </c>
      <c r="BC143" s="85" t="s">
        <v>130</v>
      </c>
      <c r="BD143" s="85">
        <v>10000</v>
      </c>
      <c r="BE143" s="92">
        <f t="shared" si="58"/>
        <v>90000</v>
      </c>
      <c r="BF143" s="92">
        <v>0</v>
      </c>
      <c r="BG143" s="92">
        <v>0</v>
      </c>
      <c r="BH143" s="92">
        <v>0</v>
      </c>
      <c r="BI143" s="92">
        <v>0</v>
      </c>
      <c r="BJ143" s="92">
        <v>0</v>
      </c>
      <c r="BK143" s="92">
        <v>0</v>
      </c>
      <c r="BL143" s="92">
        <v>0</v>
      </c>
      <c r="BM143" s="93">
        <f t="shared" si="66"/>
        <v>0</v>
      </c>
      <c r="BN143" s="92">
        <v>0</v>
      </c>
      <c r="BO143" s="92">
        <v>0</v>
      </c>
      <c r="BP143" s="92">
        <f t="shared" ref="BP143:BP168" si="67">BN143+BO143</f>
        <v>0</v>
      </c>
      <c r="BQ143" s="92">
        <v>0</v>
      </c>
      <c r="BR143" s="92">
        <v>0</v>
      </c>
      <c r="BS143" s="85">
        <f t="shared" si="62"/>
        <v>0</v>
      </c>
      <c r="BT143" s="94" t="s">
        <v>130</v>
      </c>
      <c r="BU143" s="94" t="s">
        <v>130</v>
      </c>
      <c r="BV143" s="94" t="s">
        <v>130</v>
      </c>
      <c r="BW143" s="95" t="s">
        <v>130</v>
      </c>
      <c r="BX143" s="96" t="s">
        <v>130</v>
      </c>
      <c r="BY143" s="29" t="s">
        <v>317</v>
      </c>
      <c r="BZ143" s="29" t="s">
        <v>317</v>
      </c>
      <c r="CA143" s="29" t="s">
        <v>130</v>
      </c>
      <c r="CB143" s="29" t="s">
        <v>130</v>
      </c>
      <c r="CC143" s="29" t="s">
        <v>130</v>
      </c>
      <c r="CD143" s="29" t="s">
        <v>130</v>
      </c>
      <c r="CE143" s="29" t="str">
        <f t="shared" si="61"/>
        <v>SP - PRUDENTE - SUCATA</v>
      </c>
      <c r="CF143" s="97" t="s">
        <v>130</v>
      </c>
      <c r="CG143" s="97" t="s">
        <v>130</v>
      </c>
      <c r="CH143" s="37">
        <f t="shared" si="63"/>
        <v>0</v>
      </c>
      <c r="CI143" s="98" t="s">
        <v>130</v>
      </c>
      <c r="CJ143" s="39">
        <v>5</v>
      </c>
      <c r="CK143" s="39">
        <v>5</v>
      </c>
      <c r="CL143" s="39">
        <f t="shared" si="64"/>
        <v>60</v>
      </c>
      <c r="CM143" s="99">
        <f t="shared" si="65"/>
        <v>0</v>
      </c>
      <c r="CN143" s="40" t="str">
        <f>IFERROR(IF(VLOOKUP(AG143,'[1]ATIVOS SAGI'!C:D,1,FALSE)&lt;&gt;"","CADASTRADO","NÃO CADASTRADO"),"NÃO CADASTRADO")</f>
        <v>NÃO CADASTRADO</v>
      </c>
      <c r="CO143" s="99">
        <f t="shared" si="57"/>
        <v>0</v>
      </c>
      <c r="CP143" s="100" t="s">
        <v>301</v>
      </c>
      <c r="CQ143" s="48"/>
      <c r="CR143" s="48"/>
      <c r="CS143" s="48"/>
    </row>
    <row r="144" spans="1:97" x14ac:dyDescent="0.25">
      <c r="A144" s="27">
        <v>147</v>
      </c>
      <c r="B144" s="27">
        <v>167</v>
      </c>
      <c r="C144" s="29" t="s">
        <v>296</v>
      </c>
      <c r="D144" s="40" t="s">
        <v>49</v>
      </c>
      <c r="E144" s="40" t="s">
        <v>130</v>
      </c>
      <c r="F144" s="40" t="s">
        <v>130</v>
      </c>
      <c r="G144" s="40"/>
      <c r="H144" s="41" t="s">
        <v>306</v>
      </c>
      <c r="I144" s="29" t="s">
        <v>130</v>
      </c>
      <c r="J144" s="29" t="s">
        <v>130</v>
      </c>
      <c r="K144" s="29" t="s">
        <v>130</v>
      </c>
      <c r="L144" s="85" t="s">
        <v>130</v>
      </c>
      <c r="M144" s="86" t="s">
        <v>130</v>
      </c>
      <c r="N144" s="85" t="s">
        <v>130</v>
      </c>
      <c r="O144" s="86" t="s">
        <v>130</v>
      </c>
      <c r="P144" s="85" t="s">
        <v>130</v>
      </c>
      <c r="Q144" s="29" t="s">
        <v>130</v>
      </c>
      <c r="R144" s="85" t="s">
        <v>130</v>
      </c>
      <c r="S144" s="85" t="s">
        <v>130</v>
      </c>
      <c r="T144" s="85" t="s">
        <v>130</v>
      </c>
      <c r="U144" s="85" t="s">
        <v>130</v>
      </c>
      <c r="V144" s="85" t="s">
        <v>130</v>
      </c>
      <c r="W144" s="85" t="s">
        <v>130</v>
      </c>
      <c r="X144" s="85" t="s">
        <v>130</v>
      </c>
      <c r="Y144" s="85" t="s">
        <v>130</v>
      </c>
      <c r="Z144" s="85" t="s">
        <v>130</v>
      </c>
      <c r="AA144" s="85" t="s">
        <v>130</v>
      </c>
      <c r="AB144" s="85" t="s">
        <v>130</v>
      </c>
      <c r="AC144" s="85" t="s">
        <v>130</v>
      </c>
      <c r="AD144" s="85" t="s">
        <v>130</v>
      </c>
      <c r="AE144" s="29" t="s">
        <v>298</v>
      </c>
      <c r="AF144" s="29" t="s">
        <v>46</v>
      </c>
      <c r="AG144" s="40" t="s">
        <v>363</v>
      </c>
      <c r="AH144" s="29" t="s">
        <v>130</v>
      </c>
      <c r="AI144" s="87" t="str">
        <f>IFERROR(VLOOKUP(AG144,[2]Frota!$D$2:$AV$187,2,FALSE),"-")</f>
        <v>-</v>
      </c>
      <c r="AJ144" s="87" t="str">
        <f>IFERROR(VLOOKUP(AG144,[2]Frota!$D$2:$AV$187,3,FALSE),"-")</f>
        <v>-</v>
      </c>
      <c r="AK144" s="29" t="s">
        <v>361</v>
      </c>
      <c r="AL144" s="29" t="s">
        <v>362</v>
      </c>
      <c r="AM144" s="34" t="s">
        <v>130</v>
      </c>
      <c r="AN144" s="34" t="s">
        <v>130</v>
      </c>
      <c r="AO144" s="40" t="s">
        <v>359</v>
      </c>
      <c r="AP144" s="29" t="s">
        <v>181</v>
      </c>
      <c r="AQ144" s="88" t="s">
        <v>305</v>
      </c>
      <c r="AR144" s="89">
        <f>VLOOKUP(AQ144,'[1]Critério de Depreciação'!$C$3:$G$8,5,FALSE)</f>
        <v>0.83333333333333337</v>
      </c>
      <c r="AS144" s="29" t="s">
        <v>130</v>
      </c>
      <c r="AT144" s="29" t="s">
        <v>130</v>
      </c>
      <c r="AU144" s="29" t="str">
        <f>IFERROR(VLOOKUP(AG178,[2]Frota!$D$2:$AV$187,12,FALSE),"-")</f>
        <v>-</v>
      </c>
      <c r="AV144" s="29" t="s">
        <v>130</v>
      </c>
      <c r="AW144" s="90">
        <v>0</v>
      </c>
      <c r="AX144" s="86" t="s">
        <v>130</v>
      </c>
      <c r="AY144" s="91">
        <v>80000</v>
      </c>
      <c r="AZ144" s="85">
        <v>80000</v>
      </c>
      <c r="BA144" s="123" t="s">
        <v>130</v>
      </c>
      <c r="BB144" s="86" t="s">
        <v>130</v>
      </c>
      <c r="BC144" s="85" t="s">
        <v>130</v>
      </c>
      <c r="BD144" s="85" t="s">
        <v>130</v>
      </c>
      <c r="BE144" s="92">
        <f t="shared" si="58"/>
        <v>80000</v>
      </c>
      <c r="BF144" s="92">
        <v>0</v>
      </c>
      <c r="BG144" s="92">
        <v>0</v>
      </c>
      <c r="BH144" s="92">
        <v>0</v>
      </c>
      <c r="BI144" s="92">
        <v>0</v>
      </c>
      <c r="BJ144" s="92">
        <v>0</v>
      </c>
      <c r="BK144" s="92">
        <v>0</v>
      </c>
      <c r="BL144" s="92">
        <v>0</v>
      </c>
      <c r="BM144" s="93">
        <f t="shared" si="66"/>
        <v>0</v>
      </c>
      <c r="BN144" s="92">
        <v>0</v>
      </c>
      <c r="BO144" s="92">
        <v>0</v>
      </c>
      <c r="BP144" s="92">
        <f t="shared" si="67"/>
        <v>0</v>
      </c>
      <c r="BQ144" s="92">
        <v>0</v>
      </c>
      <c r="BR144" s="92">
        <v>0</v>
      </c>
      <c r="BS144" s="85">
        <f t="shared" si="62"/>
        <v>0</v>
      </c>
      <c r="BT144" s="94" t="s">
        <v>130</v>
      </c>
      <c r="BU144" s="94" t="s">
        <v>130</v>
      </c>
      <c r="BV144" s="94" t="s">
        <v>130</v>
      </c>
      <c r="BW144" s="95" t="s">
        <v>130</v>
      </c>
      <c r="BX144" s="96" t="s">
        <v>130</v>
      </c>
      <c r="BY144" s="29" t="s">
        <v>130</v>
      </c>
      <c r="BZ144" s="29" t="s">
        <v>130</v>
      </c>
      <c r="CA144" s="29" t="s">
        <v>130</v>
      </c>
      <c r="CB144" s="29" t="s">
        <v>130</v>
      </c>
      <c r="CC144" s="29" t="s">
        <v>130</v>
      </c>
      <c r="CD144" s="29" t="s">
        <v>130</v>
      </c>
      <c r="CE144" s="29" t="str">
        <f t="shared" si="61"/>
        <v>SP - PRUDENTE - SUCATA</v>
      </c>
      <c r="CF144" s="97" t="s">
        <v>130</v>
      </c>
      <c r="CG144" s="97" t="s">
        <v>130</v>
      </c>
      <c r="CH144" s="37">
        <f t="shared" si="63"/>
        <v>0</v>
      </c>
      <c r="CI144" s="98" t="s">
        <v>130</v>
      </c>
      <c r="CJ144" s="39">
        <v>5</v>
      </c>
      <c r="CK144" s="39">
        <v>5</v>
      </c>
      <c r="CL144" s="39">
        <f t="shared" si="64"/>
        <v>60</v>
      </c>
      <c r="CM144" s="99">
        <f t="shared" si="65"/>
        <v>0</v>
      </c>
      <c r="CN144" s="40" t="s">
        <v>130</v>
      </c>
      <c r="CO144" s="99">
        <f t="shared" si="57"/>
        <v>0</v>
      </c>
      <c r="CP144" s="100" t="s">
        <v>301</v>
      </c>
      <c r="CQ144" s="48"/>
      <c r="CR144" s="48"/>
      <c r="CS144" s="48"/>
    </row>
    <row r="145" spans="1:97" x14ac:dyDescent="0.25">
      <c r="A145" s="27">
        <v>148</v>
      </c>
      <c r="B145" s="27">
        <v>168</v>
      </c>
      <c r="C145" s="29" t="s">
        <v>296</v>
      </c>
      <c r="D145" s="40" t="s">
        <v>49</v>
      </c>
      <c r="E145" s="40" t="s">
        <v>130</v>
      </c>
      <c r="F145" s="40" t="s">
        <v>130</v>
      </c>
      <c r="G145" s="151"/>
      <c r="H145" s="41" t="s">
        <v>130</v>
      </c>
      <c r="I145" s="29" t="s">
        <v>130</v>
      </c>
      <c r="J145" s="29" t="s">
        <v>130</v>
      </c>
      <c r="K145" s="29" t="s">
        <v>130</v>
      </c>
      <c r="L145" s="85" t="s">
        <v>130</v>
      </c>
      <c r="M145" s="86" t="s">
        <v>130</v>
      </c>
      <c r="N145" s="85" t="s">
        <v>130</v>
      </c>
      <c r="O145" s="86" t="s">
        <v>130</v>
      </c>
      <c r="P145" s="85" t="s">
        <v>130</v>
      </c>
      <c r="Q145" s="29" t="s">
        <v>130</v>
      </c>
      <c r="R145" s="85" t="s">
        <v>130</v>
      </c>
      <c r="S145" s="85" t="s">
        <v>130</v>
      </c>
      <c r="T145" s="85" t="s">
        <v>130</v>
      </c>
      <c r="U145" s="85" t="s">
        <v>130</v>
      </c>
      <c r="V145" s="85" t="s">
        <v>130</v>
      </c>
      <c r="W145" s="85" t="s">
        <v>130</v>
      </c>
      <c r="X145" s="85" t="s">
        <v>130</v>
      </c>
      <c r="Y145" s="85" t="s">
        <v>130</v>
      </c>
      <c r="Z145" s="85" t="s">
        <v>130</v>
      </c>
      <c r="AA145" s="85" t="s">
        <v>130</v>
      </c>
      <c r="AB145" s="85" t="s">
        <v>130</v>
      </c>
      <c r="AC145" s="85" t="s">
        <v>130</v>
      </c>
      <c r="AD145" s="85" t="s">
        <v>130</v>
      </c>
      <c r="AE145" s="29" t="s">
        <v>298</v>
      </c>
      <c r="AF145" s="29" t="s">
        <v>46</v>
      </c>
      <c r="AG145" s="40" t="s">
        <v>364</v>
      </c>
      <c r="AH145" s="29" t="s">
        <v>130</v>
      </c>
      <c r="AI145" s="87" t="str">
        <f>IFERROR(VLOOKUP(AG145,[2]Frota!$D$2:$AV$187,2,FALSE),"-")</f>
        <v>-</v>
      </c>
      <c r="AJ145" s="87" t="str">
        <f>IFERROR(VLOOKUP(AG145,[2]Frota!$D$2:$AV$187,3,FALSE),"-")</f>
        <v>-</v>
      </c>
      <c r="AK145" s="29" t="s">
        <v>361</v>
      </c>
      <c r="AL145" s="29" t="s">
        <v>362</v>
      </c>
      <c r="AM145" s="34" t="s">
        <v>130</v>
      </c>
      <c r="AN145" s="34" t="s">
        <v>130</v>
      </c>
      <c r="AO145" s="40" t="s">
        <v>359</v>
      </c>
      <c r="AP145" s="29" t="s">
        <v>181</v>
      </c>
      <c r="AQ145" s="88" t="s">
        <v>305</v>
      </c>
      <c r="AR145" s="89">
        <f>VLOOKUP(AQ145,'[1]Critério de Depreciação'!$C$3:$G$8,5,FALSE)</f>
        <v>0.83333333333333337</v>
      </c>
      <c r="AS145" s="29" t="s">
        <v>130</v>
      </c>
      <c r="AT145" s="29" t="s">
        <v>130</v>
      </c>
      <c r="AU145" s="29" t="str">
        <f>IFERROR(VLOOKUP(AG179,[2]Frota!$D$2:$AV$187,12,FALSE),"-")</f>
        <v>-</v>
      </c>
      <c r="AV145" s="29" t="s">
        <v>130</v>
      </c>
      <c r="AW145" s="90">
        <v>0</v>
      </c>
      <c r="AX145" s="86" t="s">
        <v>130</v>
      </c>
      <c r="AY145" s="91">
        <v>80000</v>
      </c>
      <c r="AZ145" s="85">
        <v>80000</v>
      </c>
      <c r="BA145" s="123" t="s">
        <v>130</v>
      </c>
      <c r="BB145" s="86" t="s">
        <v>130</v>
      </c>
      <c r="BC145" s="85" t="s">
        <v>130</v>
      </c>
      <c r="BD145" s="85" t="s">
        <v>130</v>
      </c>
      <c r="BE145" s="92">
        <f t="shared" si="58"/>
        <v>80000</v>
      </c>
      <c r="BF145" s="92">
        <v>0</v>
      </c>
      <c r="BG145" s="92">
        <v>0</v>
      </c>
      <c r="BH145" s="92">
        <v>0</v>
      </c>
      <c r="BI145" s="92">
        <v>0</v>
      </c>
      <c r="BJ145" s="92">
        <v>0</v>
      </c>
      <c r="BK145" s="92">
        <v>0</v>
      </c>
      <c r="BL145" s="92">
        <v>0</v>
      </c>
      <c r="BM145" s="93">
        <f t="shared" si="66"/>
        <v>0</v>
      </c>
      <c r="BN145" s="92">
        <v>0</v>
      </c>
      <c r="BO145" s="92">
        <v>0</v>
      </c>
      <c r="BP145" s="92">
        <f t="shared" si="67"/>
        <v>0</v>
      </c>
      <c r="BQ145" s="92">
        <v>0</v>
      </c>
      <c r="BR145" s="92">
        <v>0</v>
      </c>
      <c r="BS145" s="85">
        <f t="shared" si="62"/>
        <v>0</v>
      </c>
      <c r="BT145" s="94" t="s">
        <v>130</v>
      </c>
      <c r="BU145" s="94" t="s">
        <v>130</v>
      </c>
      <c r="BV145" s="94" t="s">
        <v>130</v>
      </c>
      <c r="BW145" s="95" t="s">
        <v>130</v>
      </c>
      <c r="BX145" s="96" t="s">
        <v>130</v>
      </c>
      <c r="BY145" s="29" t="s">
        <v>130</v>
      </c>
      <c r="BZ145" s="29" t="s">
        <v>130</v>
      </c>
      <c r="CA145" s="29" t="s">
        <v>130</v>
      </c>
      <c r="CB145" s="29" t="s">
        <v>130</v>
      </c>
      <c r="CC145" s="29" t="s">
        <v>130</v>
      </c>
      <c r="CD145" s="29" t="s">
        <v>130</v>
      </c>
      <c r="CE145" s="29" t="str">
        <f t="shared" si="61"/>
        <v>SP - PRUDENTE - SUCATA</v>
      </c>
      <c r="CF145" s="97" t="s">
        <v>130</v>
      </c>
      <c r="CG145" s="97" t="s">
        <v>130</v>
      </c>
      <c r="CH145" s="37">
        <f t="shared" si="63"/>
        <v>0</v>
      </c>
      <c r="CI145" s="98" t="s">
        <v>130</v>
      </c>
      <c r="CJ145" s="39">
        <v>5</v>
      </c>
      <c r="CK145" s="39">
        <v>5</v>
      </c>
      <c r="CL145" s="39">
        <f t="shared" si="64"/>
        <v>60</v>
      </c>
      <c r="CM145" s="99">
        <f t="shared" si="65"/>
        <v>0</v>
      </c>
      <c r="CN145" s="40" t="s">
        <v>130</v>
      </c>
      <c r="CO145" s="99">
        <f t="shared" si="57"/>
        <v>0</v>
      </c>
      <c r="CP145" s="100" t="s">
        <v>301</v>
      </c>
      <c r="CQ145" s="48"/>
      <c r="CR145" s="48"/>
      <c r="CS145" s="48"/>
    </row>
    <row r="146" spans="1:97" x14ac:dyDescent="0.25">
      <c r="A146" s="27">
        <v>30</v>
      </c>
      <c r="B146" s="27">
        <v>69</v>
      </c>
      <c r="C146" s="29" t="s">
        <v>296</v>
      </c>
      <c r="D146" s="40" t="s">
        <v>49</v>
      </c>
      <c r="E146" s="40" t="s">
        <v>130</v>
      </c>
      <c r="F146" s="40" t="s">
        <v>130</v>
      </c>
      <c r="G146" s="151"/>
      <c r="H146" s="41" t="s">
        <v>130</v>
      </c>
      <c r="I146" s="29" t="s">
        <v>130</v>
      </c>
      <c r="J146" s="29" t="s">
        <v>130</v>
      </c>
      <c r="K146" s="29" t="s">
        <v>130</v>
      </c>
      <c r="L146" s="85" t="s">
        <v>130</v>
      </c>
      <c r="M146" s="86" t="s">
        <v>130</v>
      </c>
      <c r="N146" s="85" t="s">
        <v>130</v>
      </c>
      <c r="O146" s="86" t="s">
        <v>130</v>
      </c>
      <c r="P146" s="85" t="s">
        <v>130</v>
      </c>
      <c r="Q146" s="29" t="s">
        <v>130</v>
      </c>
      <c r="R146" s="85" t="s">
        <v>130</v>
      </c>
      <c r="S146" s="85" t="s">
        <v>130</v>
      </c>
      <c r="T146" s="85" t="s">
        <v>130</v>
      </c>
      <c r="U146" s="85" t="s">
        <v>130</v>
      </c>
      <c r="V146" s="85" t="s">
        <v>130</v>
      </c>
      <c r="W146" s="85" t="s">
        <v>130</v>
      </c>
      <c r="X146" s="85" t="s">
        <v>130</v>
      </c>
      <c r="Y146" s="85" t="s">
        <v>130</v>
      </c>
      <c r="Z146" s="85" t="s">
        <v>130</v>
      </c>
      <c r="AA146" s="85" t="s">
        <v>130</v>
      </c>
      <c r="AB146" s="85" t="s">
        <v>130</v>
      </c>
      <c r="AC146" s="85" t="s">
        <v>130</v>
      </c>
      <c r="AD146" s="85" t="s">
        <v>130</v>
      </c>
      <c r="AE146" s="29" t="s">
        <v>45</v>
      </c>
      <c r="AF146" s="29" t="s">
        <v>302</v>
      </c>
      <c r="AG146" s="40" t="s">
        <v>89</v>
      </c>
      <c r="AH146" s="29" t="s">
        <v>130</v>
      </c>
      <c r="AI146" s="87" t="str">
        <f>IFERROR(VLOOKUP(AG146,[2]Frota!$D$2:$AV$187,2,FALSE),"-")</f>
        <v>-</v>
      </c>
      <c r="AJ146" s="87" t="str">
        <f>IFERROR(VLOOKUP(AG146,[2]Frota!$D$2:$AV$187,3,FALSE),"-")</f>
        <v>-</v>
      </c>
      <c r="AK146" s="29" t="s">
        <v>365</v>
      </c>
      <c r="AL146" s="29" t="s">
        <v>366</v>
      </c>
      <c r="AM146" s="34" t="s">
        <v>130</v>
      </c>
      <c r="AN146" s="34" t="s">
        <v>130</v>
      </c>
      <c r="AO146" s="152" t="s">
        <v>367</v>
      </c>
      <c r="AP146" s="29" t="s">
        <v>181</v>
      </c>
      <c r="AQ146" s="88" t="s">
        <v>305</v>
      </c>
      <c r="AR146" s="89">
        <f>VLOOKUP(AQ146,'[1]Critério de Depreciação'!$C$3:$G$8,5,FALSE)</f>
        <v>0.83333333333333337</v>
      </c>
      <c r="AS146" s="29" t="s">
        <v>130</v>
      </c>
      <c r="AT146" s="29" t="s">
        <v>130</v>
      </c>
      <c r="AU146" s="29" t="str">
        <f>IFERROR(VLOOKUP(#REF!,[2]Frota!$D$2:$AV$187,12,FALSE),"-")</f>
        <v>-</v>
      </c>
      <c r="AV146" s="45" t="s">
        <v>130</v>
      </c>
      <c r="AW146" s="90">
        <v>410000</v>
      </c>
      <c r="AX146" s="86" t="s">
        <v>130</v>
      </c>
      <c r="AY146" s="91" t="s">
        <v>130</v>
      </c>
      <c r="AZ146" s="85">
        <v>300000</v>
      </c>
      <c r="BA146" s="123" t="s">
        <v>130</v>
      </c>
      <c r="BB146" s="124" t="s">
        <v>130</v>
      </c>
      <c r="BC146" s="85" t="s">
        <v>130</v>
      </c>
      <c r="BD146" s="85">
        <v>110000</v>
      </c>
      <c r="BE146" s="92">
        <f t="shared" si="58"/>
        <v>410000</v>
      </c>
      <c r="BF146" s="92">
        <v>765000</v>
      </c>
      <c r="BG146" s="92">
        <v>0</v>
      </c>
      <c r="BH146" s="92">
        <v>0</v>
      </c>
      <c r="BI146" s="92">
        <v>0</v>
      </c>
      <c r="BJ146" s="92">
        <v>0</v>
      </c>
      <c r="BK146" s="92">
        <v>0</v>
      </c>
      <c r="BL146" s="92">
        <v>127000</v>
      </c>
      <c r="BM146" s="93">
        <f t="shared" si="66"/>
        <v>892000</v>
      </c>
      <c r="BN146" s="92">
        <v>0</v>
      </c>
      <c r="BO146" s="92">
        <f>(BM146*20%)/12</f>
        <v>14866.666666666666</v>
      </c>
      <c r="BP146" s="92">
        <f t="shared" si="67"/>
        <v>14866.666666666666</v>
      </c>
      <c r="BQ146" s="92">
        <v>0</v>
      </c>
      <c r="BR146" s="92">
        <v>0</v>
      </c>
      <c r="BS146" s="85">
        <f t="shared" si="62"/>
        <v>6833.333333333333</v>
      </c>
      <c r="BT146" s="125" t="s">
        <v>130</v>
      </c>
      <c r="BU146" s="125" t="s">
        <v>130</v>
      </c>
      <c r="BV146" s="125" t="s">
        <v>130</v>
      </c>
      <c r="BW146" s="126" t="s">
        <v>130</v>
      </c>
      <c r="BX146" s="127" t="s">
        <v>130</v>
      </c>
      <c r="BY146" s="29" t="s">
        <v>327</v>
      </c>
      <c r="BZ146" s="29" t="s">
        <v>327</v>
      </c>
      <c r="CA146" s="29" t="s">
        <v>130</v>
      </c>
      <c r="CB146" s="29" t="s">
        <v>130</v>
      </c>
      <c r="CC146" s="29" t="s">
        <v>130</v>
      </c>
      <c r="CD146" s="29" t="s">
        <v>130</v>
      </c>
      <c r="CE146" s="29" t="str">
        <f t="shared" si="61"/>
        <v>SP - PRUDENTE</v>
      </c>
      <c r="CF146" s="97" t="s">
        <v>130</v>
      </c>
      <c r="CG146" s="97" t="s">
        <v>130</v>
      </c>
      <c r="CH146" s="37">
        <f t="shared" si="63"/>
        <v>892000</v>
      </c>
      <c r="CI146" s="98" t="s">
        <v>130</v>
      </c>
      <c r="CJ146" s="39">
        <v>5</v>
      </c>
      <c r="CK146" s="39">
        <v>5</v>
      </c>
      <c r="CL146" s="39">
        <f t="shared" si="64"/>
        <v>60</v>
      </c>
      <c r="CM146" s="99">
        <f t="shared" si="65"/>
        <v>29733.333333333332</v>
      </c>
      <c r="CN146" s="40" t="str">
        <f>IFERROR(IF(VLOOKUP(AG146,'[1]ATIVOS SAGI'!C:D,1,FALSE)&lt;&gt;"","CADASTRADO","NÃO CADASTRADO"),"NÃO CADASTRADO")</f>
        <v>CADASTRADO</v>
      </c>
      <c r="CO146" s="99">
        <f t="shared" si="57"/>
        <v>7433.3333333333339</v>
      </c>
      <c r="CP146" s="100" t="s">
        <v>92</v>
      </c>
      <c r="CQ146" s="100"/>
      <c r="CR146" s="100"/>
      <c r="CS146" s="100"/>
    </row>
    <row r="147" spans="1:97" x14ac:dyDescent="0.25">
      <c r="A147" s="27">
        <v>31</v>
      </c>
      <c r="B147" s="27">
        <v>70</v>
      </c>
      <c r="C147" s="29" t="s">
        <v>296</v>
      </c>
      <c r="D147" s="40" t="s">
        <v>49</v>
      </c>
      <c r="E147" s="40" t="s">
        <v>130</v>
      </c>
      <c r="F147" s="40" t="s">
        <v>130</v>
      </c>
      <c r="G147" s="151"/>
      <c r="H147" s="41" t="s">
        <v>130</v>
      </c>
      <c r="I147" s="29" t="s">
        <v>130</v>
      </c>
      <c r="J147" s="29" t="s">
        <v>130</v>
      </c>
      <c r="K147" s="29" t="s">
        <v>130</v>
      </c>
      <c r="L147" s="85" t="s">
        <v>130</v>
      </c>
      <c r="M147" s="86" t="s">
        <v>130</v>
      </c>
      <c r="N147" s="85" t="s">
        <v>130</v>
      </c>
      <c r="O147" s="86" t="s">
        <v>130</v>
      </c>
      <c r="P147" s="85" t="s">
        <v>130</v>
      </c>
      <c r="Q147" s="29" t="s">
        <v>130</v>
      </c>
      <c r="R147" s="85" t="s">
        <v>130</v>
      </c>
      <c r="S147" s="85" t="s">
        <v>130</v>
      </c>
      <c r="T147" s="85" t="s">
        <v>130</v>
      </c>
      <c r="U147" s="85" t="s">
        <v>130</v>
      </c>
      <c r="V147" s="85" t="s">
        <v>130</v>
      </c>
      <c r="W147" s="85" t="s">
        <v>130</v>
      </c>
      <c r="X147" s="85" t="s">
        <v>130</v>
      </c>
      <c r="Y147" s="85" t="s">
        <v>130</v>
      </c>
      <c r="Z147" s="85" t="s">
        <v>130</v>
      </c>
      <c r="AA147" s="85" t="s">
        <v>130</v>
      </c>
      <c r="AB147" s="85" t="s">
        <v>130</v>
      </c>
      <c r="AC147" s="85" t="s">
        <v>130</v>
      </c>
      <c r="AD147" s="85" t="s">
        <v>130</v>
      </c>
      <c r="AE147" s="29" t="s">
        <v>45</v>
      </c>
      <c r="AF147" s="29" t="s">
        <v>57</v>
      </c>
      <c r="AG147" s="40" t="s">
        <v>90</v>
      </c>
      <c r="AH147" s="29" t="s">
        <v>130</v>
      </c>
      <c r="AI147" s="87" t="str">
        <f>IFERROR(VLOOKUP(AG147,[2]Frota!$D$2:$AV$187,2,FALSE),"-")</f>
        <v>-</v>
      </c>
      <c r="AJ147" s="87" t="str">
        <f>IFERROR(VLOOKUP(AG147,[2]Frota!$D$2:$AV$187,3,FALSE),"-")</f>
        <v>-</v>
      </c>
      <c r="AK147" s="29" t="s">
        <v>365</v>
      </c>
      <c r="AL147" s="29" t="s">
        <v>366</v>
      </c>
      <c r="AM147" s="34" t="s">
        <v>130</v>
      </c>
      <c r="AN147" s="34" t="s">
        <v>130</v>
      </c>
      <c r="AO147" s="152" t="s">
        <v>127</v>
      </c>
      <c r="AP147" s="29" t="s">
        <v>181</v>
      </c>
      <c r="AQ147" s="88" t="s">
        <v>305</v>
      </c>
      <c r="AR147" s="89">
        <f>VLOOKUP(AQ147,'[1]Critério de Depreciação'!$C$3:$G$8,5,FALSE)</f>
        <v>0.83333333333333337</v>
      </c>
      <c r="AS147" s="29" t="s">
        <v>299</v>
      </c>
      <c r="AT147" s="29" t="s">
        <v>300</v>
      </c>
      <c r="AU147" s="29" t="str">
        <f>IFERROR(VLOOKUP(AG190,[2]Frota!$D$2:$AV$187,12,FALSE),"-")</f>
        <v>-</v>
      </c>
      <c r="AV147" s="45">
        <v>6098</v>
      </c>
      <c r="AW147" s="90">
        <v>400000</v>
      </c>
      <c r="AX147" s="86">
        <v>40721</v>
      </c>
      <c r="AY147" s="91" t="s">
        <v>130</v>
      </c>
      <c r="AZ147" s="85">
        <v>240000</v>
      </c>
      <c r="BA147" s="123" t="s">
        <v>130</v>
      </c>
      <c r="BB147" s="124" t="s">
        <v>130</v>
      </c>
      <c r="BC147" s="85" t="s">
        <v>130</v>
      </c>
      <c r="BD147" s="85">
        <v>105000</v>
      </c>
      <c r="BE147" s="92">
        <f t="shared" si="58"/>
        <v>345000</v>
      </c>
      <c r="BF147" s="92">
        <v>765000</v>
      </c>
      <c r="BG147" s="92">
        <v>0</v>
      </c>
      <c r="BH147" s="92">
        <v>0</v>
      </c>
      <c r="BI147" s="92">
        <v>84000</v>
      </c>
      <c r="BJ147" s="92">
        <v>70000</v>
      </c>
      <c r="BK147" s="92">
        <v>0</v>
      </c>
      <c r="BL147" s="92">
        <v>0</v>
      </c>
      <c r="BM147" s="93">
        <f t="shared" si="66"/>
        <v>919000</v>
      </c>
      <c r="BN147" s="92">
        <v>0</v>
      </c>
      <c r="BO147" s="92">
        <f>((BF147+BH147+BI147+BJ147+BK147+BL147)*20%)/12</f>
        <v>15316.666666666666</v>
      </c>
      <c r="BP147" s="92">
        <f t="shared" si="67"/>
        <v>15316.666666666666</v>
      </c>
      <c r="BQ147" s="92">
        <v>0</v>
      </c>
      <c r="BR147" s="92">
        <v>0</v>
      </c>
      <c r="BS147" s="85">
        <f t="shared" si="62"/>
        <v>6666.666666666667</v>
      </c>
      <c r="BT147" s="125" t="s">
        <v>130</v>
      </c>
      <c r="BU147" s="125" t="s">
        <v>130</v>
      </c>
      <c r="BV147" s="125" t="s">
        <v>130</v>
      </c>
      <c r="BW147" s="126" t="s">
        <v>130</v>
      </c>
      <c r="BX147" s="127" t="s">
        <v>130</v>
      </c>
      <c r="BY147" s="29" t="s">
        <v>313</v>
      </c>
      <c r="BZ147" s="29" t="s">
        <v>313</v>
      </c>
      <c r="CA147" s="29" t="s">
        <v>130</v>
      </c>
      <c r="CB147" s="29" t="s">
        <v>130</v>
      </c>
      <c r="CC147" s="29" t="s">
        <v>130</v>
      </c>
      <c r="CD147" s="29" t="s">
        <v>130</v>
      </c>
      <c r="CE147" s="29" t="str">
        <f t="shared" si="61"/>
        <v>PR - LONDRINA</v>
      </c>
      <c r="CF147" s="97" t="s">
        <v>130</v>
      </c>
      <c r="CG147" s="97">
        <v>38601</v>
      </c>
      <c r="CH147" s="37">
        <f t="shared" si="63"/>
        <v>919000</v>
      </c>
      <c r="CI147" s="98" t="s">
        <v>130</v>
      </c>
      <c r="CJ147" s="39">
        <v>5</v>
      </c>
      <c r="CK147" s="39">
        <v>5</v>
      </c>
      <c r="CL147" s="39">
        <f t="shared" si="64"/>
        <v>60</v>
      </c>
      <c r="CM147" s="99">
        <f t="shared" si="65"/>
        <v>30633.333333333332</v>
      </c>
      <c r="CN147" s="40" t="str">
        <f>IFERROR(IF(VLOOKUP(AG147,'[1]ATIVOS SAGI'!C:D,1,FALSE)&lt;&gt;"","CADASTRADO","NÃO CADASTRADO"),"NÃO CADASTRADO")</f>
        <v>CADASTRADO</v>
      </c>
      <c r="CO147" s="99">
        <f t="shared" si="57"/>
        <v>7658.3333333333339</v>
      </c>
      <c r="CP147" s="100" t="s">
        <v>92</v>
      </c>
      <c r="CQ147" s="48"/>
      <c r="CR147" s="48"/>
      <c r="CS147" s="48"/>
    </row>
    <row r="148" spans="1:97" x14ac:dyDescent="0.25">
      <c r="A148" s="27">
        <v>28</v>
      </c>
      <c r="B148" s="27">
        <v>67</v>
      </c>
      <c r="C148" s="29" t="s">
        <v>296</v>
      </c>
      <c r="D148" s="40" t="s">
        <v>49</v>
      </c>
      <c r="E148" s="40" t="s">
        <v>130</v>
      </c>
      <c r="F148" s="40" t="s">
        <v>130</v>
      </c>
      <c r="G148" s="151"/>
      <c r="H148" s="41" t="s">
        <v>130</v>
      </c>
      <c r="I148" s="29" t="s">
        <v>130</v>
      </c>
      <c r="J148" s="29" t="s">
        <v>130</v>
      </c>
      <c r="K148" s="29" t="s">
        <v>130</v>
      </c>
      <c r="L148" s="85" t="s">
        <v>130</v>
      </c>
      <c r="M148" s="86" t="s">
        <v>130</v>
      </c>
      <c r="N148" s="85" t="s">
        <v>130</v>
      </c>
      <c r="O148" s="86" t="s">
        <v>130</v>
      </c>
      <c r="P148" s="85" t="s">
        <v>130</v>
      </c>
      <c r="Q148" s="29" t="s">
        <v>130</v>
      </c>
      <c r="R148" s="85" t="s">
        <v>130</v>
      </c>
      <c r="S148" s="85" t="s">
        <v>130</v>
      </c>
      <c r="T148" s="85" t="s">
        <v>130</v>
      </c>
      <c r="U148" s="85" t="s">
        <v>130</v>
      </c>
      <c r="V148" s="85" t="s">
        <v>130</v>
      </c>
      <c r="W148" s="85" t="s">
        <v>130</v>
      </c>
      <c r="X148" s="85" t="s">
        <v>130</v>
      </c>
      <c r="Y148" s="85" t="s">
        <v>130</v>
      </c>
      <c r="Z148" s="85" t="s">
        <v>130</v>
      </c>
      <c r="AA148" s="85" t="s">
        <v>130</v>
      </c>
      <c r="AB148" s="85" t="s">
        <v>130</v>
      </c>
      <c r="AC148" s="85" t="s">
        <v>130</v>
      </c>
      <c r="AD148" s="85" t="s">
        <v>130</v>
      </c>
      <c r="AE148" s="29" t="s">
        <v>45</v>
      </c>
      <c r="AF148" s="29" t="s">
        <v>46</v>
      </c>
      <c r="AG148" s="40" t="s">
        <v>94</v>
      </c>
      <c r="AH148" s="29" t="s">
        <v>130</v>
      </c>
      <c r="AI148" s="87" t="str">
        <f>IFERROR(VLOOKUP(AG148,[2]Frota!$D$2:$AV$187,2,FALSE),"-")</f>
        <v>-</v>
      </c>
      <c r="AJ148" s="87" t="str">
        <f>IFERROR(VLOOKUP(AG148,[2]Frota!$D$2:$AV$187,3,FALSE),"-")</f>
        <v>-</v>
      </c>
      <c r="AK148" s="29" t="s">
        <v>365</v>
      </c>
      <c r="AL148" s="29" t="s">
        <v>368</v>
      </c>
      <c r="AM148" s="34" t="s">
        <v>130</v>
      </c>
      <c r="AN148" s="34" t="s">
        <v>130</v>
      </c>
      <c r="AO148" s="152" t="s">
        <v>128</v>
      </c>
      <c r="AP148" s="29" t="s">
        <v>181</v>
      </c>
      <c r="AQ148" s="88" t="s">
        <v>305</v>
      </c>
      <c r="AR148" s="89">
        <f>VLOOKUP(AQ148,'[1]Critério de Depreciação'!$C$3:$G$8,5,FALSE)</f>
        <v>0.83333333333333337</v>
      </c>
      <c r="AS148" s="29" t="s">
        <v>299</v>
      </c>
      <c r="AT148" s="29" t="s">
        <v>300</v>
      </c>
      <c r="AU148" s="29" t="str">
        <f>IFERROR(VLOOKUP(AG193,[2]Frota!$D$2:$AV$187,12,FALSE),"-")</f>
        <v>-</v>
      </c>
      <c r="AV148" s="45">
        <v>12651</v>
      </c>
      <c r="AW148" s="90">
        <v>295000</v>
      </c>
      <c r="AX148" s="86">
        <v>41789</v>
      </c>
      <c r="AY148" s="91" t="s">
        <v>130</v>
      </c>
      <c r="AZ148" s="85">
        <v>250000</v>
      </c>
      <c r="BA148" s="123" t="s">
        <v>130</v>
      </c>
      <c r="BB148" s="124" t="s">
        <v>130</v>
      </c>
      <c r="BC148" s="85" t="s">
        <v>130</v>
      </c>
      <c r="BD148" s="85">
        <v>105000</v>
      </c>
      <c r="BE148" s="92">
        <f t="shared" si="58"/>
        <v>355000</v>
      </c>
      <c r="BF148" s="92">
        <v>645000</v>
      </c>
      <c r="BG148" s="92">
        <v>0</v>
      </c>
      <c r="BH148" s="92">
        <v>0</v>
      </c>
      <c r="BI148" s="92">
        <v>84000</v>
      </c>
      <c r="BJ148" s="92">
        <v>0</v>
      </c>
      <c r="BK148" s="92">
        <v>0</v>
      </c>
      <c r="BL148" s="92">
        <v>0</v>
      </c>
      <c r="BM148" s="93">
        <f t="shared" si="66"/>
        <v>729000</v>
      </c>
      <c r="BN148" s="92">
        <v>0</v>
      </c>
      <c r="BO148" s="92">
        <f>(BM148*20%)/12</f>
        <v>12150</v>
      </c>
      <c r="BP148" s="92">
        <f t="shared" si="67"/>
        <v>12150</v>
      </c>
      <c r="BQ148" s="92">
        <v>0</v>
      </c>
      <c r="BR148" s="92">
        <v>0</v>
      </c>
      <c r="BS148" s="85">
        <f t="shared" si="62"/>
        <v>4916.666666666667</v>
      </c>
      <c r="BT148" s="125" t="s">
        <v>130</v>
      </c>
      <c r="BU148" s="125" t="s">
        <v>130</v>
      </c>
      <c r="BV148" s="125" t="s">
        <v>130</v>
      </c>
      <c r="BW148" s="126" t="s">
        <v>130</v>
      </c>
      <c r="BX148" s="127" t="s">
        <v>130</v>
      </c>
      <c r="BY148" s="29" t="s">
        <v>314</v>
      </c>
      <c r="BZ148" s="29" t="s">
        <v>314</v>
      </c>
      <c r="CA148" s="29" t="s">
        <v>130</v>
      </c>
      <c r="CB148" s="29" t="s">
        <v>130</v>
      </c>
      <c r="CC148" s="29" t="s">
        <v>130</v>
      </c>
      <c r="CD148" s="29" t="s">
        <v>130</v>
      </c>
      <c r="CE148" s="29" t="str">
        <f t="shared" si="61"/>
        <v>SP - PRUDENTE - SUCATA</v>
      </c>
      <c r="CF148" s="97" t="s">
        <v>130</v>
      </c>
      <c r="CG148" s="97" t="s">
        <v>130</v>
      </c>
      <c r="CH148" s="37">
        <f t="shared" si="63"/>
        <v>729000</v>
      </c>
      <c r="CI148" s="98" t="s">
        <v>130</v>
      </c>
      <c r="CJ148" s="39">
        <v>5</v>
      </c>
      <c r="CK148" s="39">
        <v>5</v>
      </c>
      <c r="CL148" s="39">
        <f t="shared" si="64"/>
        <v>60</v>
      </c>
      <c r="CM148" s="99">
        <f t="shared" si="65"/>
        <v>24300</v>
      </c>
      <c r="CN148" s="40" t="str">
        <f>IFERROR(IF(VLOOKUP(AG148,'[1]ATIVOS SAGI'!C:D,1,FALSE)&lt;&gt;"","CADASTRADO","NÃO CADASTRADO"),"NÃO CADASTRADO")</f>
        <v>CADASTRADO</v>
      </c>
      <c r="CO148" s="99">
        <f t="shared" si="57"/>
        <v>6075</v>
      </c>
      <c r="CP148" s="100" t="s">
        <v>92</v>
      </c>
      <c r="CQ148" s="48"/>
      <c r="CR148" s="48"/>
      <c r="CS148" s="48"/>
    </row>
    <row r="149" spans="1:97" x14ac:dyDescent="0.25">
      <c r="A149" s="27">
        <v>29</v>
      </c>
      <c r="B149" s="27">
        <v>68</v>
      </c>
      <c r="C149" s="29" t="s">
        <v>296</v>
      </c>
      <c r="D149" s="40" t="s">
        <v>49</v>
      </c>
      <c r="E149" s="40" t="s">
        <v>130</v>
      </c>
      <c r="F149" s="40" t="s">
        <v>130</v>
      </c>
      <c r="G149" s="151"/>
      <c r="H149" s="41" t="s">
        <v>130</v>
      </c>
      <c r="I149" s="29" t="s">
        <v>130</v>
      </c>
      <c r="J149" s="29" t="s">
        <v>130</v>
      </c>
      <c r="K149" s="29" t="s">
        <v>130</v>
      </c>
      <c r="L149" s="85" t="s">
        <v>130</v>
      </c>
      <c r="M149" s="86" t="s">
        <v>130</v>
      </c>
      <c r="N149" s="85" t="s">
        <v>130</v>
      </c>
      <c r="O149" s="86" t="s">
        <v>130</v>
      </c>
      <c r="P149" s="85" t="s">
        <v>130</v>
      </c>
      <c r="Q149" s="29" t="s">
        <v>130</v>
      </c>
      <c r="R149" s="85" t="s">
        <v>130</v>
      </c>
      <c r="S149" s="85" t="s">
        <v>130</v>
      </c>
      <c r="T149" s="85" t="s">
        <v>130</v>
      </c>
      <c r="U149" s="85" t="s">
        <v>130</v>
      </c>
      <c r="V149" s="85" t="s">
        <v>130</v>
      </c>
      <c r="W149" s="85" t="s">
        <v>130</v>
      </c>
      <c r="X149" s="85" t="s">
        <v>130</v>
      </c>
      <c r="Y149" s="85" t="s">
        <v>130</v>
      </c>
      <c r="Z149" s="85" t="s">
        <v>130</v>
      </c>
      <c r="AA149" s="85" t="s">
        <v>130</v>
      </c>
      <c r="AB149" s="85" t="s">
        <v>130</v>
      </c>
      <c r="AC149" s="85" t="s">
        <v>130</v>
      </c>
      <c r="AD149" s="85" t="s">
        <v>130</v>
      </c>
      <c r="AE149" s="29" t="s">
        <v>45</v>
      </c>
      <c r="AF149" s="29" t="s">
        <v>302</v>
      </c>
      <c r="AG149" s="40" t="s">
        <v>93</v>
      </c>
      <c r="AH149" s="29" t="s">
        <v>130</v>
      </c>
      <c r="AI149" s="87" t="str">
        <f>IFERROR(VLOOKUP(AG149,[2]Frota!$D$2:$AV$187,2,FALSE),"-")</f>
        <v>-</v>
      </c>
      <c r="AJ149" s="87" t="str">
        <f>IFERROR(VLOOKUP(AG149,[2]Frota!$D$2:$AV$187,3,FALSE),"-")</f>
        <v>-</v>
      </c>
      <c r="AK149" s="29" t="s">
        <v>365</v>
      </c>
      <c r="AL149" s="29" t="s">
        <v>366</v>
      </c>
      <c r="AM149" s="34" t="s">
        <v>130</v>
      </c>
      <c r="AN149" s="34" t="s">
        <v>130</v>
      </c>
      <c r="AO149" s="152" t="s">
        <v>128</v>
      </c>
      <c r="AP149" s="29" t="s">
        <v>181</v>
      </c>
      <c r="AQ149" s="88" t="s">
        <v>305</v>
      </c>
      <c r="AR149" s="89">
        <f>VLOOKUP(AQ149,'[1]Critério de Depreciação'!$C$3:$G$8,5,FALSE)</f>
        <v>0.83333333333333337</v>
      </c>
      <c r="AS149" s="29" t="s">
        <v>299</v>
      </c>
      <c r="AT149" s="29" t="s">
        <v>300</v>
      </c>
      <c r="AU149" s="29" t="str">
        <f>IFERROR(VLOOKUP(#REF!,[2]Frota!$D$2:$AV$187,12,FALSE),"-")</f>
        <v>-</v>
      </c>
      <c r="AV149" s="45" t="s">
        <v>130</v>
      </c>
      <c r="AW149" s="90">
        <v>849000</v>
      </c>
      <c r="AX149" s="86" t="s">
        <v>130</v>
      </c>
      <c r="AY149" s="91" t="s">
        <v>130</v>
      </c>
      <c r="AZ149" s="85">
        <v>250000</v>
      </c>
      <c r="BA149" s="123" t="s">
        <v>130</v>
      </c>
      <c r="BB149" s="124" t="s">
        <v>130</v>
      </c>
      <c r="BC149" s="85" t="s">
        <v>130</v>
      </c>
      <c r="BD149" s="85">
        <v>105000</v>
      </c>
      <c r="BE149" s="92">
        <f t="shared" si="58"/>
        <v>355000</v>
      </c>
      <c r="BF149" s="92">
        <v>765000</v>
      </c>
      <c r="BG149" s="92">
        <v>0</v>
      </c>
      <c r="BH149" s="92">
        <v>0</v>
      </c>
      <c r="BI149" s="92">
        <v>84000</v>
      </c>
      <c r="BJ149" s="92">
        <v>0</v>
      </c>
      <c r="BK149" s="92">
        <v>0</v>
      </c>
      <c r="BL149" s="92">
        <v>0</v>
      </c>
      <c r="BM149" s="93">
        <f t="shared" si="66"/>
        <v>849000</v>
      </c>
      <c r="BN149" s="92">
        <v>0</v>
      </c>
      <c r="BO149" s="92">
        <f>(BM149*20%)/12</f>
        <v>14150</v>
      </c>
      <c r="BP149" s="92">
        <f t="shared" si="67"/>
        <v>14150</v>
      </c>
      <c r="BQ149" s="92">
        <v>0</v>
      </c>
      <c r="BR149" s="92">
        <v>0</v>
      </c>
      <c r="BS149" s="85">
        <f t="shared" si="62"/>
        <v>14150</v>
      </c>
      <c r="BT149" s="125" t="s">
        <v>130</v>
      </c>
      <c r="BU149" s="125" t="s">
        <v>130</v>
      </c>
      <c r="BV149" s="125" t="s">
        <v>130</v>
      </c>
      <c r="BW149" s="126" t="s">
        <v>130</v>
      </c>
      <c r="BX149" s="127" t="s">
        <v>130</v>
      </c>
      <c r="BY149" s="29" t="s">
        <v>314</v>
      </c>
      <c r="BZ149" s="29" t="s">
        <v>314</v>
      </c>
      <c r="CA149" s="29" t="s">
        <v>130</v>
      </c>
      <c r="CB149" s="29" t="s">
        <v>130</v>
      </c>
      <c r="CC149" s="29" t="s">
        <v>130</v>
      </c>
      <c r="CD149" s="29" t="s">
        <v>130</v>
      </c>
      <c r="CE149" s="29" t="str">
        <f t="shared" si="61"/>
        <v>SP - PRUDENTE</v>
      </c>
      <c r="CF149" s="97" t="s">
        <v>130</v>
      </c>
      <c r="CG149" s="97">
        <v>5254.3</v>
      </c>
      <c r="CH149" s="37">
        <f t="shared" si="63"/>
        <v>849000</v>
      </c>
      <c r="CI149" s="98" t="s">
        <v>130</v>
      </c>
      <c r="CJ149" s="39">
        <v>5</v>
      </c>
      <c r="CK149" s="39">
        <v>5</v>
      </c>
      <c r="CL149" s="39">
        <f t="shared" si="64"/>
        <v>60</v>
      </c>
      <c r="CM149" s="99">
        <f t="shared" si="65"/>
        <v>28300</v>
      </c>
      <c r="CN149" s="40" t="str">
        <f>IFERROR(IF(VLOOKUP(AG149,'[1]ATIVOS SAGI'!C:D,1,FALSE)&lt;&gt;"","CADASTRADO","NÃO CADASTRADO"),"NÃO CADASTRADO")</f>
        <v>CADASTRADO</v>
      </c>
      <c r="CO149" s="99">
        <f t="shared" si="57"/>
        <v>7075</v>
      </c>
      <c r="CP149" s="100" t="s">
        <v>92</v>
      </c>
      <c r="CQ149" s="48"/>
      <c r="CR149" s="48"/>
      <c r="CS149" s="48"/>
    </row>
    <row r="150" spans="1:97" x14ac:dyDescent="0.25">
      <c r="A150" s="27">
        <v>6658</v>
      </c>
      <c r="B150" s="27">
        <v>65</v>
      </c>
      <c r="C150" s="29" t="s">
        <v>296</v>
      </c>
      <c r="D150" s="40" t="s">
        <v>49</v>
      </c>
      <c r="E150" s="40" t="s">
        <v>130</v>
      </c>
      <c r="F150" s="40" t="s">
        <v>130</v>
      </c>
      <c r="G150" s="151" t="s">
        <v>315</v>
      </c>
      <c r="H150" s="41" t="s">
        <v>130</v>
      </c>
      <c r="I150" s="29" t="s">
        <v>130</v>
      </c>
      <c r="J150" s="29" t="s">
        <v>130</v>
      </c>
      <c r="K150" s="29" t="s">
        <v>130</v>
      </c>
      <c r="L150" s="85" t="s">
        <v>130</v>
      </c>
      <c r="M150" s="86" t="s">
        <v>130</v>
      </c>
      <c r="N150" s="85" t="s">
        <v>130</v>
      </c>
      <c r="O150" s="86" t="s">
        <v>130</v>
      </c>
      <c r="P150" s="85" t="s">
        <v>130</v>
      </c>
      <c r="Q150" s="29" t="s">
        <v>130</v>
      </c>
      <c r="R150" s="85" t="s">
        <v>130</v>
      </c>
      <c r="S150" s="85" t="s">
        <v>130</v>
      </c>
      <c r="T150" s="85" t="s">
        <v>130</v>
      </c>
      <c r="U150" s="85" t="s">
        <v>130</v>
      </c>
      <c r="V150" s="85" t="s">
        <v>130</v>
      </c>
      <c r="W150" s="85" t="s">
        <v>130</v>
      </c>
      <c r="X150" s="85" t="s">
        <v>130</v>
      </c>
      <c r="Y150" s="85" t="s">
        <v>130</v>
      </c>
      <c r="Z150" s="85" t="s">
        <v>130</v>
      </c>
      <c r="AA150" s="85" t="s">
        <v>130</v>
      </c>
      <c r="AB150" s="85" t="s">
        <v>130</v>
      </c>
      <c r="AC150" s="85" t="s">
        <v>130</v>
      </c>
      <c r="AD150" s="85" t="s">
        <v>130</v>
      </c>
      <c r="AE150" s="29" t="s">
        <v>45</v>
      </c>
      <c r="AF150" s="29" t="s">
        <v>59</v>
      </c>
      <c r="AG150" s="40" t="s">
        <v>96</v>
      </c>
      <c r="AH150" s="29" t="s">
        <v>130</v>
      </c>
      <c r="AI150" s="87" t="str">
        <f>IFERROR(VLOOKUP(AG150,[2]Frota!$D$2:$AV$187,2,FALSE),"-")</f>
        <v>-</v>
      </c>
      <c r="AJ150" s="87" t="str">
        <f>IFERROR(VLOOKUP(AG150,[2]Frota!$D$2:$AV$187,3,FALSE),"-")</f>
        <v>-</v>
      </c>
      <c r="AK150" s="29" t="s">
        <v>365</v>
      </c>
      <c r="AL150" s="29" t="s">
        <v>368</v>
      </c>
      <c r="AM150" s="34" t="s">
        <v>130</v>
      </c>
      <c r="AN150" s="34" t="s">
        <v>130</v>
      </c>
      <c r="AO150" s="152" t="s">
        <v>129</v>
      </c>
      <c r="AP150" s="29" t="s">
        <v>181</v>
      </c>
      <c r="AQ150" s="88" t="s">
        <v>305</v>
      </c>
      <c r="AR150" s="89">
        <f>VLOOKUP(AQ150,'[1]Critério de Depreciação'!$C$3:$G$8,5,FALSE)</f>
        <v>0.83333333333333337</v>
      </c>
      <c r="AS150" s="29" t="s">
        <v>308</v>
      </c>
      <c r="AT150" s="29" t="s">
        <v>300</v>
      </c>
      <c r="AU150" s="29" t="str">
        <f>IFERROR(VLOOKUP(AG195,[2]Frota!$D$2:$AV$187,12,FALSE),"-")</f>
        <v>-</v>
      </c>
      <c r="AV150" s="45">
        <v>12649</v>
      </c>
      <c r="AW150" s="90">
        <v>295000</v>
      </c>
      <c r="AX150" s="86">
        <v>41789</v>
      </c>
      <c r="AY150" s="91" t="s">
        <v>130</v>
      </c>
      <c r="AZ150" s="85">
        <v>250000</v>
      </c>
      <c r="BA150" s="123" t="s">
        <v>130</v>
      </c>
      <c r="BB150" s="124" t="s">
        <v>130</v>
      </c>
      <c r="BC150" s="85" t="s">
        <v>130</v>
      </c>
      <c r="BD150" s="85">
        <v>105000</v>
      </c>
      <c r="BE150" s="92">
        <f t="shared" si="58"/>
        <v>355000</v>
      </c>
      <c r="BF150" s="92">
        <v>645000</v>
      </c>
      <c r="BG150" s="92">
        <v>0</v>
      </c>
      <c r="BH150" s="92">
        <v>0</v>
      </c>
      <c r="BI150" s="92">
        <v>84000</v>
      </c>
      <c r="BJ150" s="92">
        <v>70000</v>
      </c>
      <c r="BK150" s="92">
        <v>0</v>
      </c>
      <c r="BL150" s="92">
        <v>0</v>
      </c>
      <c r="BM150" s="93">
        <f t="shared" si="66"/>
        <v>799000</v>
      </c>
      <c r="BN150" s="92">
        <v>0</v>
      </c>
      <c r="BO150" s="92">
        <f>((BF150+BH150+BI150+BJ150+BK150+BL150)*20%)/12</f>
        <v>13316.666666666666</v>
      </c>
      <c r="BP150" s="92">
        <f t="shared" si="67"/>
        <v>13316.666666666666</v>
      </c>
      <c r="BQ150" s="92">
        <v>0</v>
      </c>
      <c r="BR150" s="92">
        <v>0</v>
      </c>
      <c r="BS150" s="85">
        <f t="shared" si="62"/>
        <v>4916.666666666667</v>
      </c>
      <c r="BT150" s="125" t="s">
        <v>130</v>
      </c>
      <c r="BU150" s="125" t="s">
        <v>130</v>
      </c>
      <c r="BV150" s="125" t="s">
        <v>130</v>
      </c>
      <c r="BW150" s="126" t="s">
        <v>130</v>
      </c>
      <c r="BX150" s="127" t="s">
        <v>130</v>
      </c>
      <c r="BY150" s="29" t="s">
        <v>316</v>
      </c>
      <c r="BZ150" s="29" t="s">
        <v>316</v>
      </c>
      <c r="CA150" s="29" t="s">
        <v>130</v>
      </c>
      <c r="CB150" s="29" t="s">
        <v>130</v>
      </c>
      <c r="CC150" s="29" t="s">
        <v>130</v>
      </c>
      <c r="CD150" s="29" t="s">
        <v>130</v>
      </c>
      <c r="CE150" s="29" t="str">
        <f t="shared" si="61"/>
        <v>PR - MARINGÁ</v>
      </c>
      <c r="CF150" s="97" t="s">
        <v>130</v>
      </c>
      <c r="CG150" s="97">
        <v>8856.9</v>
      </c>
      <c r="CH150" s="37">
        <f t="shared" si="63"/>
        <v>799000</v>
      </c>
      <c r="CI150" s="98" t="s">
        <v>130</v>
      </c>
      <c r="CJ150" s="39">
        <v>5</v>
      </c>
      <c r="CK150" s="39">
        <v>5</v>
      </c>
      <c r="CL150" s="39">
        <f t="shared" si="64"/>
        <v>60</v>
      </c>
      <c r="CM150" s="99">
        <f t="shared" si="65"/>
        <v>26633.333333333332</v>
      </c>
      <c r="CN150" s="40" t="str">
        <f>IFERROR(IF(VLOOKUP(AG150,'[1]ATIVOS SAGI'!C:D,1,FALSE)&lt;&gt;"","CADASTRADO","NÃO CADASTRADO"),"NÃO CADASTRADO")</f>
        <v>CADASTRADO</v>
      </c>
      <c r="CO150" s="99">
        <f t="shared" si="57"/>
        <v>6658.3333333333339</v>
      </c>
      <c r="CP150" s="100" t="s">
        <v>92</v>
      </c>
      <c r="CQ150" s="48"/>
      <c r="CR150" s="48"/>
      <c r="CS150" s="48"/>
    </row>
    <row r="151" spans="1:97" x14ac:dyDescent="0.25">
      <c r="A151" s="27">
        <v>27</v>
      </c>
      <c r="B151" s="27">
        <v>66</v>
      </c>
      <c r="C151" s="29" t="s">
        <v>296</v>
      </c>
      <c r="D151" s="40" t="s">
        <v>49</v>
      </c>
      <c r="E151" s="40" t="s">
        <v>130</v>
      </c>
      <c r="F151" s="40" t="s">
        <v>130</v>
      </c>
      <c r="G151" s="151"/>
      <c r="H151" s="41" t="s">
        <v>130</v>
      </c>
      <c r="I151" s="29" t="s">
        <v>130</v>
      </c>
      <c r="J151" s="29" t="s">
        <v>130</v>
      </c>
      <c r="K151" s="29" t="s">
        <v>130</v>
      </c>
      <c r="L151" s="85" t="s">
        <v>130</v>
      </c>
      <c r="M151" s="86" t="s">
        <v>130</v>
      </c>
      <c r="N151" s="85" t="s">
        <v>130</v>
      </c>
      <c r="O151" s="86" t="s">
        <v>130</v>
      </c>
      <c r="P151" s="85" t="s">
        <v>130</v>
      </c>
      <c r="Q151" s="29" t="s">
        <v>130</v>
      </c>
      <c r="R151" s="85" t="s">
        <v>130</v>
      </c>
      <c r="S151" s="85" t="s">
        <v>130</v>
      </c>
      <c r="T151" s="85" t="s">
        <v>130</v>
      </c>
      <c r="U151" s="85" t="s">
        <v>130</v>
      </c>
      <c r="V151" s="85" t="s">
        <v>130</v>
      </c>
      <c r="W151" s="85" t="s">
        <v>130</v>
      </c>
      <c r="X151" s="85" t="s">
        <v>130</v>
      </c>
      <c r="Y151" s="85" t="s">
        <v>130</v>
      </c>
      <c r="Z151" s="85" t="s">
        <v>130</v>
      </c>
      <c r="AA151" s="85" t="s">
        <v>130</v>
      </c>
      <c r="AB151" s="85" t="s">
        <v>130</v>
      </c>
      <c r="AC151" s="85" t="s">
        <v>130</v>
      </c>
      <c r="AD151" s="85" t="s">
        <v>130</v>
      </c>
      <c r="AE151" s="29" t="s">
        <v>45</v>
      </c>
      <c r="AF151" s="29" t="s">
        <v>46</v>
      </c>
      <c r="AG151" s="40" t="s">
        <v>99</v>
      </c>
      <c r="AH151" s="29" t="s">
        <v>130</v>
      </c>
      <c r="AI151" s="87" t="str">
        <f>IFERROR(VLOOKUP(AG151,[2]Frota!$D$2:$AV$187,2,FALSE),"-")</f>
        <v>-</v>
      </c>
      <c r="AJ151" s="87" t="str">
        <f>IFERROR(VLOOKUP(AG151,[2]Frota!$D$2:$AV$187,3,FALSE),"-")</f>
        <v>-</v>
      </c>
      <c r="AK151" s="29" t="s">
        <v>365</v>
      </c>
      <c r="AL151" s="29" t="s">
        <v>368</v>
      </c>
      <c r="AM151" s="34" t="s">
        <v>130</v>
      </c>
      <c r="AN151" s="34" t="s">
        <v>130</v>
      </c>
      <c r="AO151" s="152" t="s">
        <v>129</v>
      </c>
      <c r="AP151" s="29" t="s">
        <v>181</v>
      </c>
      <c r="AQ151" s="88" t="s">
        <v>305</v>
      </c>
      <c r="AR151" s="89">
        <f>VLOOKUP(AQ151,'[1]Critério de Depreciação'!$C$3:$G$8,5,FALSE)</f>
        <v>0.83333333333333337</v>
      </c>
      <c r="AS151" s="29" t="s">
        <v>299</v>
      </c>
      <c r="AT151" s="29" t="s">
        <v>323</v>
      </c>
      <c r="AU151" s="29" t="str">
        <f>IFERROR(VLOOKUP(AG196,[2]Frota!$D$2:$AV$187,12,FALSE),"-")</f>
        <v>-</v>
      </c>
      <c r="AV151" s="45">
        <v>11153</v>
      </c>
      <c r="AW151" s="90">
        <v>310000</v>
      </c>
      <c r="AX151" s="86">
        <v>41752</v>
      </c>
      <c r="AY151" s="91" t="s">
        <v>130</v>
      </c>
      <c r="AZ151" s="85">
        <v>250000</v>
      </c>
      <c r="BA151" s="123" t="s">
        <v>130</v>
      </c>
      <c r="BB151" s="124" t="s">
        <v>130</v>
      </c>
      <c r="BC151" s="85" t="s">
        <v>130</v>
      </c>
      <c r="BD151" s="85">
        <v>105000</v>
      </c>
      <c r="BE151" s="92">
        <f t="shared" si="58"/>
        <v>355000</v>
      </c>
      <c r="BF151" s="92">
        <v>645000</v>
      </c>
      <c r="BG151" s="92">
        <v>0</v>
      </c>
      <c r="BH151" s="92">
        <v>0</v>
      </c>
      <c r="BI151" s="92">
        <v>84000</v>
      </c>
      <c r="BJ151" s="92">
        <v>70000</v>
      </c>
      <c r="BK151" s="92">
        <v>0</v>
      </c>
      <c r="BL151" s="92">
        <v>0</v>
      </c>
      <c r="BM151" s="93">
        <f t="shared" si="66"/>
        <v>799000</v>
      </c>
      <c r="BN151" s="92">
        <v>0</v>
      </c>
      <c r="BO151" s="92">
        <f>(BM151*20%)/12</f>
        <v>13316.666666666666</v>
      </c>
      <c r="BP151" s="92">
        <f t="shared" si="67"/>
        <v>13316.666666666666</v>
      </c>
      <c r="BQ151" s="92">
        <v>0</v>
      </c>
      <c r="BR151" s="92">
        <v>0</v>
      </c>
      <c r="BS151" s="85">
        <f t="shared" si="62"/>
        <v>5166.666666666667</v>
      </c>
      <c r="BT151" s="125" t="s">
        <v>130</v>
      </c>
      <c r="BU151" s="125" t="s">
        <v>130</v>
      </c>
      <c r="BV151" s="125" t="s">
        <v>130</v>
      </c>
      <c r="BW151" s="126" t="s">
        <v>130</v>
      </c>
      <c r="BX151" s="127" t="s">
        <v>130</v>
      </c>
      <c r="BY151" s="29" t="s">
        <v>310</v>
      </c>
      <c r="BZ151" s="29" t="s">
        <v>310</v>
      </c>
      <c r="CA151" s="29" t="s">
        <v>130</v>
      </c>
      <c r="CB151" s="29" t="s">
        <v>130</v>
      </c>
      <c r="CC151" s="29" t="s">
        <v>130</v>
      </c>
      <c r="CD151" s="29" t="s">
        <v>130</v>
      </c>
      <c r="CE151" s="29" t="str">
        <f t="shared" si="61"/>
        <v>SP - PRUDENTE - SUCATA</v>
      </c>
      <c r="CF151" s="97" t="s">
        <v>130</v>
      </c>
      <c r="CG151" s="97">
        <v>1788</v>
      </c>
      <c r="CH151" s="37">
        <f t="shared" si="63"/>
        <v>799000</v>
      </c>
      <c r="CI151" s="98" t="s">
        <v>130</v>
      </c>
      <c r="CJ151" s="39">
        <v>5</v>
      </c>
      <c r="CK151" s="39">
        <v>5</v>
      </c>
      <c r="CL151" s="39">
        <f t="shared" si="64"/>
        <v>60</v>
      </c>
      <c r="CM151" s="99">
        <f t="shared" si="65"/>
        <v>26633.333333333332</v>
      </c>
      <c r="CN151" s="40" t="str">
        <f>IFERROR(IF(VLOOKUP(AG151,'[1]ATIVOS SAGI'!C:D,1,FALSE)&lt;&gt;"","CADASTRADO","NÃO CADASTRADO"),"NÃO CADASTRADO")</f>
        <v>CADASTRADO</v>
      </c>
      <c r="CO151" s="99">
        <f t="shared" si="57"/>
        <v>6658.3333333333339</v>
      </c>
      <c r="CP151" s="100" t="s">
        <v>92</v>
      </c>
      <c r="CQ151" s="48"/>
      <c r="CR151" s="48"/>
      <c r="CS151" s="48"/>
    </row>
    <row r="152" spans="1:97" x14ac:dyDescent="0.25">
      <c r="A152" s="27">
        <v>37</v>
      </c>
      <c r="B152" s="27">
        <v>76</v>
      </c>
      <c r="C152" s="29" t="s">
        <v>296</v>
      </c>
      <c r="D152" s="40" t="s">
        <v>49</v>
      </c>
      <c r="E152" s="40" t="s">
        <v>130</v>
      </c>
      <c r="F152" s="40" t="s">
        <v>130</v>
      </c>
      <c r="G152" s="151"/>
      <c r="H152" s="41" t="s">
        <v>130</v>
      </c>
      <c r="I152" s="29" t="s">
        <v>130</v>
      </c>
      <c r="J152" s="29" t="s">
        <v>130</v>
      </c>
      <c r="K152" s="29" t="s">
        <v>130</v>
      </c>
      <c r="L152" s="85" t="s">
        <v>130</v>
      </c>
      <c r="M152" s="86" t="s">
        <v>130</v>
      </c>
      <c r="N152" s="85" t="s">
        <v>130</v>
      </c>
      <c r="O152" s="86" t="s">
        <v>130</v>
      </c>
      <c r="P152" s="85" t="s">
        <v>130</v>
      </c>
      <c r="Q152" s="29" t="s">
        <v>130</v>
      </c>
      <c r="R152" s="85" t="s">
        <v>130</v>
      </c>
      <c r="S152" s="85" t="s">
        <v>130</v>
      </c>
      <c r="T152" s="85" t="s">
        <v>130</v>
      </c>
      <c r="U152" s="85" t="s">
        <v>130</v>
      </c>
      <c r="V152" s="85" t="s">
        <v>130</v>
      </c>
      <c r="W152" s="85" t="s">
        <v>130</v>
      </c>
      <c r="X152" s="85" t="s">
        <v>130</v>
      </c>
      <c r="Y152" s="85" t="s">
        <v>130</v>
      </c>
      <c r="Z152" s="85" t="s">
        <v>130</v>
      </c>
      <c r="AA152" s="85" t="s">
        <v>130</v>
      </c>
      <c r="AB152" s="85" t="s">
        <v>130</v>
      </c>
      <c r="AC152" s="85" t="s">
        <v>130</v>
      </c>
      <c r="AD152" s="85" t="s">
        <v>130</v>
      </c>
      <c r="AE152" s="29" t="s">
        <v>45</v>
      </c>
      <c r="AF152" s="29" t="s">
        <v>369</v>
      </c>
      <c r="AG152" s="40" t="s">
        <v>100</v>
      </c>
      <c r="AH152" s="29" t="s">
        <v>130</v>
      </c>
      <c r="AI152" s="87" t="str">
        <f>IFERROR(VLOOKUP(AG152,[2]Frota!$D$2:$AV$187,2,FALSE),"-")</f>
        <v>-</v>
      </c>
      <c r="AJ152" s="87">
        <v>130562068</v>
      </c>
      <c r="AK152" s="29" t="s">
        <v>355</v>
      </c>
      <c r="AL152" s="29" t="s">
        <v>370</v>
      </c>
      <c r="AM152" s="34" t="s">
        <v>130</v>
      </c>
      <c r="AN152" s="34" t="s">
        <v>130</v>
      </c>
      <c r="AO152" s="152" t="s">
        <v>132</v>
      </c>
      <c r="AP152" s="29" t="s">
        <v>181</v>
      </c>
      <c r="AQ152" s="88" t="s">
        <v>305</v>
      </c>
      <c r="AR152" s="89">
        <f>VLOOKUP(AQ152,'[1]Critério de Depreciação'!$C$3:$G$8,5,FALSE)</f>
        <v>0.83333333333333337</v>
      </c>
      <c r="AS152" s="29" t="s">
        <v>299</v>
      </c>
      <c r="AT152" s="29" t="s">
        <v>300</v>
      </c>
      <c r="AU152" s="29" t="str">
        <f>IFERROR(VLOOKUP(AG195,[2]Frota!$D$2:$AV$187,12,FALSE),"-")</f>
        <v>-</v>
      </c>
      <c r="AV152" s="45">
        <v>8792</v>
      </c>
      <c r="AW152" s="90">
        <v>710000</v>
      </c>
      <c r="AX152" s="86">
        <v>41163</v>
      </c>
      <c r="AY152" s="91" t="s">
        <v>130</v>
      </c>
      <c r="AZ152" s="85">
        <v>750000</v>
      </c>
      <c r="BA152" s="123" t="s">
        <v>130</v>
      </c>
      <c r="BB152" s="124" t="s">
        <v>130</v>
      </c>
      <c r="BC152" s="85" t="s">
        <v>130</v>
      </c>
      <c r="BD152" s="85">
        <v>250000</v>
      </c>
      <c r="BE152" s="92">
        <f t="shared" si="58"/>
        <v>1000000</v>
      </c>
      <c r="BF152" s="92">
        <v>2000000</v>
      </c>
      <c r="BG152" s="92">
        <v>0</v>
      </c>
      <c r="BH152" s="92">
        <v>0</v>
      </c>
      <c r="BI152" s="92">
        <v>250000</v>
      </c>
      <c r="BJ152" s="92">
        <v>0</v>
      </c>
      <c r="BK152" s="92">
        <v>0</v>
      </c>
      <c r="BL152" s="92">
        <v>0</v>
      </c>
      <c r="BM152" s="93">
        <f t="shared" si="66"/>
        <v>2250000</v>
      </c>
      <c r="BN152" s="92">
        <v>0</v>
      </c>
      <c r="BO152" s="92">
        <f>((BF152+BH152+BI152+BJ152+BK152+BL152)*20%)/12</f>
        <v>37500</v>
      </c>
      <c r="BP152" s="92">
        <f t="shared" si="67"/>
        <v>37500</v>
      </c>
      <c r="BQ152" s="92">
        <v>0</v>
      </c>
      <c r="BR152" s="92">
        <v>0</v>
      </c>
      <c r="BS152" s="85">
        <f t="shared" si="62"/>
        <v>11833.333333333334</v>
      </c>
      <c r="BT152" s="125" t="s">
        <v>130</v>
      </c>
      <c r="BU152" s="125" t="s">
        <v>130</v>
      </c>
      <c r="BV152" s="125" t="s">
        <v>130</v>
      </c>
      <c r="BW152" s="126" t="s">
        <v>130</v>
      </c>
      <c r="BX152" s="127" t="s">
        <v>130</v>
      </c>
      <c r="BY152" s="29" t="s">
        <v>314</v>
      </c>
      <c r="BZ152" s="29" t="s">
        <v>314</v>
      </c>
      <c r="CA152" s="29" t="s">
        <v>130</v>
      </c>
      <c r="CB152" s="29" t="s">
        <v>130</v>
      </c>
      <c r="CC152" s="29" t="s">
        <v>130</v>
      </c>
      <c r="CD152" s="29" t="s">
        <v>130</v>
      </c>
      <c r="CE152" s="29" t="str">
        <f t="shared" si="61"/>
        <v>SP - PRUDENTE - OFICINA</v>
      </c>
      <c r="CF152" s="97" t="s">
        <v>130</v>
      </c>
      <c r="CG152" s="97">
        <v>124909.6</v>
      </c>
      <c r="CH152" s="37">
        <f t="shared" si="63"/>
        <v>2250000</v>
      </c>
      <c r="CI152" s="98" t="s">
        <v>130</v>
      </c>
      <c r="CJ152" s="39">
        <v>5</v>
      </c>
      <c r="CK152" s="39">
        <v>5</v>
      </c>
      <c r="CL152" s="39">
        <f t="shared" si="64"/>
        <v>60</v>
      </c>
      <c r="CM152" s="99">
        <f t="shared" si="65"/>
        <v>75000</v>
      </c>
      <c r="CN152" s="40" t="str">
        <f>IFERROR(IF(VLOOKUP(AG152,'[1]ATIVOS SAGI'!C:D,1,FALSE)&lt;&gt;"","CADASTRADO","NÃO CADASTRADO"),"NÃO CADASTRADO")</f>
        <v>CADASTRADO</v>
      </c>
      <c r="CO152" s="99">
        <f t="shared" si="57"/>
        <v>18750</v>
      </c>
      <c r="CP152" s="100" t="s">
        <v>92</v>
      </c>
      <c r="CQ152" s="48"/>
      <c r="CR152" s="48"/>
      <c r="CS152" s="48"/>
    </row>
    <row r="153" spans="1:97" x14ac:dyDescent="0.25">
      <c r="A153" s="27">
        <v>38</v>
      </c>
      <c r="B153" s="27">
        <v>77</v>
      </c>
      <c r="C153" s="29" t="s">
        <v>296</v>
      </c>
      <c r="D153" s="40" t="s">
        <v>49</v>
      </c>
      <c r="E153" s="40" t="s">
        <v>130</v>
      </c>
      <c r="F153" s="40" t="s">
        <v>130</v>
      </c>
      <c r="G153" s="151" t="s">
        <v>315</v>
      </c>
      <c r="H153" s="41" t="s">
        <v>130</v>
      </c>
      <c r="I153" s="29" t="s">
        <v>130</v>
      </c>
      <c r="J153" s="29" t="s">
        <v>130</v>
      </c>
      <c r="K153" s="29" t="s">
        <v>130</v>
      </c>
      <c r="L153" s="85" t="s">
        <v>130</v>
      </c>
      <c r="M153" s="86" t="s">
        <v>130</v>
      </c>
      <c r="N153" s="85" t="s">
        <v>130</v>
      </c>
      <c r="O153" s="86" t="s">
        <v>130</v>
      </c>
      <c r="P153" s="85" t="s">
        <v>130</v>
      </c>
      <c r="Q153" s="29" t="s">
        <v>130</v>
      </c>
      <c r="R153" s="85" t="s">
        <v>130</v>
      </c>
      <c r="S153" s="85" t="s">
        <v>130</v>
      </c>
      <c r="T153" s="85" t="s">
        <v>130</v>
      </c>
      <c r="U153" s="85" t="s">
        <v>130</v>
      </c>
      <c r="V153" s="85" t="s">
        <v>130</v>
      </c>
      <c r="W153" s="85" t="s">
        <v>130</v>
      </c>
      <c r="X153" s="85" t="s">
        <v>130</v>
      </c>
      <c r="Y153" s="85" t="s">
        <v>130</v>
      </c>
      <c r="Z153" s="85" t="s">
        <v>130</v>
      </c>
      <c r="AA153" s="85" t="s">
        <v>130</v>
      </c>
      <c r="AB153" s="85" t="s">
        <v>130</v>
      </c>
      <c r="AC153" s="85" t="s">
        <v>130</v>
      </c>
      <c r="AD153" s="85" t="s">
        <v>130</v>
      </c>
      <c r="AE153" s="29" t="s">
        <v>45</v>
      </c>
      <c r="AF153" s="29" t="s">
        <v>59</v>
      </c>
      <c r="AG153" s="40" t="s">
        <v>101</v>
      </c>
      <c r="AH153" s="29" t="s">
        <v>130</v>
      </c>
      <c r="AI153" s="87" t="str">
        <f>IFERROR(VLOOKUP(AG153,[2]Frota!$D$2:$AV$187,2,FALSE),"-")</f>
        <v>-</v>
      </c>
      <c r="AJ153" s="87">
        <v>130569890</v>
      </c>
      <c r="AK153" s="29" t="s">
        <v>355</v>
      </c>
      <c r="AL153" s="29" t="s">
        <v>370</v>
      </c>
      <c r="AM153" s="34" t="s">
        <v>130</v>
      </c>
      <c r="AN153" s="34" t="s">
        <v>130</v>
      </c>
      <c r="AO153" s="152" t="s">
        <v>132</v>
      </c>
      <c r="AP153" s="29" t="s">
        <v>181</v>
      </c>
      <c r="AQ153" s="88" t="s">
        <v>305</v>
      </c>
      <c r="AR153" s="89">
        <f>VLOOKUP(AQ153,'[1]Critério de Depreciação'!$C$3:$G$8,5,FALSE)</f>
        <v>0.83333333333333337</v>
      </c>
      <c r="AS153" s="29" t="s">
        <v>299</v>
      </c>
      <c r="AT153" s="29" t="s">
        <v>323</v>
      </c>
      <c r="AU153" s="29" t="str">
        <f>IFERROR(VLOOKUP(AG196,[2]Frota!$D$2:$AV$187,12,FALSE),"-")</f>
        <v>-</v>
      </c>
      <c r="AV153" s="45">
        <v>14948</v>
      </c>
      <c r="AW153" s="90">
        <v>750000</v>
      </c>
      <c r="AX153" s="86">
        <v>41726</v>
      </c>
      <c r="AY153" s="91" t="s">
        <v>130</v>
      </c>
      <c r="AZ153" s="85">
        <v>750000</v>
      </c>
      <c r="BA153" s="123" t="s">
        <v>130</v>
      </c>
      <c r="BB153" s="124" t="s">
        <v>130</v>
      </c>
      <c r="BC153" s="85" t="s">
        <v>130</v>
      </c>
      <c r="BD153" s="85">
        <v>250000</v>
      </c>
      <c r="BE153" s="92">
        <f t="shared" si="58"/>
        <v>1000000</v>
      </c>
      <c r="BF153" s="92">
        <v>2000000</v>
      </c>
      <c r="BG153" s="92">
        <v>0</v>
      </c>
      <c r="BH153" s="92">
        <v>0</v>
      </c>
      <c r="BI153" s="92">
        <v>250000</v>
      </c>
      <c r="BJ153" s="92">
        <v>0</v>
      </c>
      <c r="BK153" s="92">
        <v>0</v>
      </c>
      <c r="BL153" s="92">
        <v>0</v>
      </c>
      <c r="BM153" s="93">
        <f t="shared" si="66"/>
        <v>2250000</v>
      </c>
      <c r="BN153" s="92">
        <v>0</v>
      </c>
      <c r="BO153" s="92">
        <f>((BF153+BH153+BI153+BJ153+BK153+BL153)*20%)/12</f>
        <v>37500</v>
      </c>
      <c r="BP153" s="92">
        <f t="shared" si="67"/>
        <v>37500</v>
      </c>
      <c r="BQ153" s="92">
        <v>0</v>
      </c>
      <c r="BR153" s="92">
        <v>0</v>
      </c>
      <c r="BS153" s="85">
        <f t="shared" si="62"/>
        <v>12500</v>
      </c>
      <c r="BT153" s="125" t="s">
        <v>130</v>
      </c>
      <c r="BU153" s="125" t="s">
        <v>130</v>
      </c>
      <c r="BV153" s="125" t="s">
        <v>130</v>
      </c>
      <c r="BW153" s="126" t="s">
        <v>130</v>
      </c>
      <c r="BX153" s="127" t="s">
        <v>130</v>
      </c>
      <c r="BY153" s="29" t="s">
        <v>316</v>
      </c>
      <c r="BZ153" s="29" t="s">
        <v>316</v>
      </c>
      <c r="CA153" s="29" t="s">
        <v>130</v>
      </c>
      <c r="CB153" s="29" t="s">
        <v>130</v>
      </c>
      <c r="CC153" s="29" t="s">
        <v>130</v>
      </c>
      <c r="CD153" s="29" t="s">
        <v>130</v>
      </c>
      <c r="CE153" s="29" t="str">
        <f t="shared" si="61"/>
        <v>PR - MARINGÁ</v>
      </c>
      <c r="CF153" s="97" t="s">
        <v>130</v>
      </c>
      <c r="CG153" s="97">
        <v>15218</v>
      </c>
      <c r="CH153" s="37">
        <f t="shared" si="63"/>
        <v>2250000</v>
      </c>
      <c r="CI153" s="98" t="s">
        <v>130</v>
      </c>
      <c r="CJ153" s="39">
        <v>5</v>
      </c>
      <c r="CK153" s="39">
        <v>5</v>
      </c>
      <c r="CL153" s="39">
        <f t="shared" si="64"/>
        <v>60</v>
      </c>
      <c r="CM153" s="99">
        <f t="shared" si="65"/>
        <v>75000</v>
      </c>
      <c r="CN153" s="40" t="str">
        <f>IFERROR(IF(VLOOKUP(AG153,'[1]ATIVOS SAGI'!C:D,1,FALSE)&lt;&gt;"","CADASTRADO","NÃO CADASTRADO"),"NÃO CADASTRADO")</f>
        <v>CADASTRADO</v>
      </c>
      <c r="CO153" s="99">
        <f t="shared" si="57"/>
        <v>18750</v>
      </c>
      <c r="CP153" s="100" t="s">
        <v>92</v>
      </c>
      <c r="CQ153" s="48"/>
      <c r="CR153" s="48"/>
      <c r="CS153" s="48"/>
    </row>
    <row r="154" spans="1:97" x14ac:dyDescent="0.25">
      <c r="A154" s="27">
        <v>39</v>
      </c>
      <c r="B154" s="27">
        <v>78</v>
      </c>
      <c r="C154" s="29" t="s">
        <v>330</v>
      </c>
      <c r="D154" s="40" t="s">
        <v>331</v>
      </c>
      <c r="E154" s="40" t="s">
        <v>130</v>
      </c>
      <c r="F154" s="40" t="s">
        <v>130</v>
      </c>
      <c r="G154" s="40"/>
      <c r="H154" s="41" t="s">
        <v>130</v>
      </c>
      <c r="I154" s="29" t="s">
        <v>130</v>
      </c>
      <c r="J154" s="29" t="s">
        <v>130</v>
      </c>
      <c r="K154" s="29" t="s">
        <v>130</v>
      </c>
      <c r="L154" s="85" t="s">
        <v>130</v>
      </c>
      <c r="M154" s="86" t="s">
        <v>130</v>
      </c>
      <c r="N154" s="85" t="s">
        <v>130</v>
      </c>
      <c r="O154" s="86" t="s">
        <v>130</v>
      </c>
      <c r="P154" s="85" t="s">
        <v>130</v>
      </c>
      <c r="Q154" s="29" t="s">
        <v>130</v>
      </c>
      <c r="R154" s="85" t="s">
        <v>130</v>
      </c>
      <c r="S154" s="85" t="s">
        <v>130</v>
      </c>
      <c r="T154" s="85" t="s">
        <v>130</v>
      </c>
      <c r="U154" s="85" t="s">
        <v>130</v>
      </c>
      <c r="V154" s="85" t="s">
        <v>130</v>
      </c>
      <c r="W154" s="85" t="s">
        <v>130</v>
      </c>
      <c r="X154" s="85" t="s">
        <v>130</v>
      </c>
      <c r="Y154" s="85" t="s">
        <v>130</v>
      </c>
      <c r="Z154" s="85" t="s">
        <v>130</v>
      </c>
      <c r="AA154" s="85" t="s">
        <v>130</v>
      </c>
      <c r="AB154" s="85" t="s">
        <v>130</v>
      </c>
      <c r="AC154" s="85" t="s">
        <v>130</v>
      </c>
      <c r="AD154" s="85" t="s">
        <v>130</v>
      </c>
      <c r="AE154" s="29" t="s">
        <v>45</v>
      </c>
      <c r="AF154" s="29" t="s">
        <v>46</v>
      </c>
      <c r="AG154" s="40" t="s">
        <v>110</v>
      </c>
      <c r="AH154" s="29" t="s">
        <v>130</v>
      </c>
      <c r="AI154" s="87" t="str">
        <f>IFERROR(VLOOKUP(AG154,[2]Frota!$D$2:$AV$187,2,FALSE),"-")</f>
        <v>-</v>
      </c>
      <c r="AJ154" s="87">
        <v>125399908</v>
      </c>
      <c r="AK154" s="29" t="s">
        <v>355</v>
      </c>
      <c r="AL154" s="29" t="s">
        <v>371</v>
      </c>
      <c r="AM154" s="34" t="s">
        <v>130</v>
      </c>
      <c r="AN154" s="34" t="s">
        <v>130</v>
      </c>
      <c r="AO154" s="152" t="s">
        <v>132</v>
      </c>
      <c r="AP154" s="29" t="s">
        <v>181</v>
      </c>
      <c r="AQ154" s="88" t="s">
        <v>305</v>
      </c>
      <c r="AR154" s="89">
        <f>VLOOKUP(AQ154,'[1]Critério de Depreciação'!$C$3:$G$8,5,FALSE)</f>
        <v>0.83333333333333337</v>
      </c>
      <c r="AS154" s="29" t="s">
        <v>130</v>
      </c>
      <c r="AT154" s="29" t="s">
        <v>130</v>
      </c>
      <c r="AU154" s="29" t="str">
        <f>IFERROR(VLOOKUP(AG197,[2]Frota!$D$2:$AV$187,12,FALSE),"-")</f>
        <v>1.9.3</v>
      </c>
      <c r="AV154" s="45">
        <v>21440</v>
      </c>
      <c r="AW154" s="90">
        <v>1207500</v>
      </c>
      <c r="AX154" s="86">
        <v>43426</v>
      </c>
      <c r="AY154" s="91" t="s">
        <v>130</v>
      </c>
      <c r="AZ154" s="85">
        <v>1050000</v>
      </c>
      <c r="BA154" s="123" t="s">
        <v>130</v>
      </c>
      <c r="BB154" s="124" t="s">
        <v>130</v>
      </c>
      <c r="BC154" s="85" t="s">
        <v>130</v>
      </c>
      <c r="BD154" s="85">
        <v>250000</v>
      </c>
      <c r="BE154" s="92">
        <f t="shared" si="58"/>
        <v>1300000</v>
      </c>
      <c r="BF154" s="92">
        <v>2250000</v>
      </c>
      <c r="BG154" s="92">
        <v>0</v>
      </c>
      <c r="BH154" s="92">
        <v>0</v>
      </c>
      <c r="BI154" s="92">
        <v>250000</v>
      </c>
      <c r="BJ154" s="92">
        <v>0</v>
      </c>
      <c r="BK154" s="92">
        <v>0</v>
      </c>
      <c r="BL154" s="92">
        <v>0</v>
      </c>
      <c r="BM154" s="93">
        <f t="shared" si="66"/>
        <v>2500000</v>
      </c>
      <c r="BN154" s="92">
        <v>0</v>
      </c>
      <c r="BO154" s="92">
        <f>(BM154*20%)/12</f>
        <v>41666.666666666664</v>
      </c>
      <c r="BP154" s="92">
        <f t="shared" si="67"/>
        <v>41666.666666666664</v>
      </c>
      <c r="BQ154" s="92">
        <v>0</v>
      </c>
      <c r="BR154" s="92">
        <v>0</v>
      </c>
      <c r="BS154" s="85">
        <f t="shared" si="62"/>
        <v>20125</v>
      </c>
      <c r="BT154" s="125" t="s">
        <v>130</v>
      </c>
      <c r="BU154" s="125" t="s">
        <v>130</v>
      </c>
      <c r="BV154" s="125" t="s">
        <v>130</v>
      </c>
      <c r="BW154" s="126" t="s">
        <v>130</v>
      </c>
      <c r="BX154" s="127" t="s">
        <v>130</v>
      </c>
      <c r="BY154" s="29" t="s">
        <v>314</v>
      </c>
      <c r="BZ154" s="29" t="s">
        <v>314</v>
      </c>
      <c r="CA154" s="29" t="s">
        <v>130</v>
      </c>
      <c r="CB154" s="29" t="s">
        <v>130</v>
      </c>
      <c r="CC154" s="29" t="s">
        <v>130</v>
      </c>
      <c r="CD154" s="29" t="s">
        <v>130</v>
      </c>
      <c r="CE154" s="29" t="str">
        <f t="shared" si="61"/>
        <v>SP - PRUDENTE - SUCATA</v>
      </c>
      <c r="CF154" s="97" t="s">
        <v>130</v>
      </c>
      <c r="CG154" s="97">
        <v>9974.7000000000007</v>
      </c>
      <c r="CH154" s="37">
        <f t="shared" si="63"/>
        <v>2500000</v>
      </c>
      <c r="CI154" s="98" t="s">
        <v>130</v>
      </c>
      <c r="CJ154" s="39">
        <v>5</v>
      </c>
      <c r="CK154" s="39">
        <v>5</v>
      </c>
      <c r="CL154" s="39">
        <f t="shared" si="64"/>
        <v>60</v>
      </c>
      <c r="CM154" s="99">
        <f t="shared" si="65"/>
        <v>83333.333333333328</v>
      </c>
      <c r="CN154" s="40" t="str">
        <f>IFERROR(IF(VLOOKUP(AG154,'[1]ATIVOS SAGI'!C:D,1,FALSE)&lt;&gt;"","CADASTRADO","NÃO CADASTRADO"),"NÃO CADASTRADO")</f>
        <v>CADASTRADO</v>
      </c>
      <c r="CO154" s="99">
        <f t="shared" si="57"/>
        <v>20833.333333333336</v>
      </c>
      <c r="CP154" s="48"/>
      <c r="CQ154" s="48"/>
      <c r="CR154" s="48"/>
      <c r="CS154" s="48"/>
    </row>
    <row r="155" spans="1:97" x14ac:dyDescent="0.25">
      <c r="A155" s="27">
        <v>40</v>
      </c>
      <c r="B155" s="27">
        <v>79</v>
      </c>
      <c r="C155" s="29" t="s">
        <v>296</v>
      </c>
      <c r="D155" s="40" t="s">
        <v>49</v>
      </c>
      <c r="E155" s="40" t="s">
        <v>130</v>
      </c>
      <c r="F155" s="40" t="s">
        <v>130</v>
      </c>
      <c r="G155" s="40"/>
      <c r="H155" s="41" t="s">
        <v>130</v>
      </c>
      <c r="I155" s="29" t="s">
        <v>130</v>
      </c>
      <c r="J155" s="29" t="s">
        <v>130</v>
      </c>
      <c r="K155" s="29" t="s">
        <v>130</v>
      </c>
      <c r="L155" s="85" t="s">
        <v>130</v>
      </c>
      <c r="M155" s="86" t="s">
        <v>130</v>
      </c>
      <c r="N155" s="85" t="s">
        <v>130</v>
      </c>
      <c r="O155" s="86" t="s">
        <v>130</v>
      </c>
      <c r="P155" s="85" t="s">
        <v>130</v>
      </c>
      <c r="Q155" s="29" t="s">
        <v>130</v>
      </c>
      <c r="R155" s="85" t="s">
        <v>130</v>
      </c>
      <c r="S155" s="85" t="s">
        <v>130</v>
      </c>
      <c r="T155" s="85" t="s">
        <v>130</v>
      </c>
      <c r="U155" s="85" t="s">
        <v>130</v>
      </c>
      <c r="V155" s="85" t="s">
        <v>130</v>
      </c>
      <c r="W155" s="85" t="s">
        <v>130</v>
      </c>
      <c r="X155" s="85" t="s">
        <v>130</v>
      </c>
      <c r="Y155" s="85" t="s">
        <v>130</v>
      </c>
      <c r="Z155" s="85" t="s">
        <v>130</v>
      </c>
      <c r="AA155" s="85" t="s">
        <v>130</v>
      </c>
      <c r="AB155" s="85" t="s">
        <v>130</v>
      </c>
      <c r="AC155" s="85" t="s">
        <v>130</v>
      </c>
      <c r="AD155" s="85" t="s">
        <v>130</v>
      </c>
      <c r="AE155" s="29" t="s">
        <v>45</v>
      </c>
      <c r="AF155" s="29" t="s">
        <v>103</v>
      </c>
      <c r="AG155" s="40" t="s">
        <v>107</v>
      </c>
      <c r="AH155" s="29" t="s">
        <v>130</v>
      </c>
      <c r="AI155" s="87" t="str">
        <f>IFERROR(VLOOKUP(AG155,[2]Frota!$D$2:$AV$187,2,FALSE),"-")</f>
        <v>-</v>
      </c>
      <c r="AJ155" s="87">
        <v>1253127612</v>
      </c>
      <c r="AK155" s="29" t="s">
        <v>355</v>
      </c>
      <c r="AL155" s="29" t="s">
        <v>371</v>
      </c>
      <c r="AM155" s="34" t="s">
        <v>130</v>
      </c>
      <c r="AN155" s="34" t="s">
        <v>130</v>
      </c>
      <c r="AO155" s="152" t="s">
        <v>132</v>
      </c>
      <c r="AP155" s="29" t="s">
        <v>181</v>
      </c>
      <c r="AQ155" s="88" t="s">
        <v>305</v>
      </c>
      <c r="AR155" s="89">
        <f>VLOOKUP(AQ155,'[1]Critério de Depreciação'!$C$3:$G$8,5,FALSE)</f>
        <v>0.83333333333333337</v>
      </c>
      <c r="AS155" s="29" t="s">
        <v>299</v>
      </c>
      <c r="AT155" s="29" t="s">
        <v>300</v>
      </c>
      <c r="AU155" s="29" t="str">
        <f>IFERROR(VLOOKUP(AG198,[2]Frota!$D$2:$AV$187,12,FALSE),"-")</f>
        <v>1.1.1.1</v>
      </c>
      <c r="AV155" s="45">
        <v>25577</v>
      </c>
      <c r="AW155" s="90">
        <v>2500000</v>
      </c>
      <c r="AX155" s="86">
        <v>44298</v>
      </c>
      <c r="AY155" s="91">
        <v>2000000</v>
      </c>
      <c r="AZ155" s="85">
        <v>1050000</v>
      </c>
      <c r="BA155" s="123" t="s">
        <v>130</v>
      </c>
      <c r="BB155" s="124" t="s">
        <v>130</v>
      </c>
      <c r="BC155" s="85" t="s">
        <v>130</v>
      </c>
      <c r="BD155" s="85">
        <v>250000</v>
      </c>
      <c r="BE155" s="92">
        <f t="shared" si="58"/>
        <v>1300000</v>
      </c>
      <c r="BF155" s="92">
        <v>2250000</v>
      </c>
      <c r="BG155" s="92">
        <v>0</v>
      </c>
      <c r="BH155" s="92">
        <v>0</v>
      </c>
      <c r="BI155" s="92">
        <v>250000</v>
      </c>
      <c r="BJ155" s="92">
        <v>0</v>
      </c>
      <c r="BK155" s="92">
        <v>0</v>
      </c>
      <c r="BL155" s="92">
        <v>0</v>
      </c>
      <c r="BM155" s="93">
        <f t="shared" si="66"/>
        <v>2500000</v>
      </c>
      <c r="BN155" s="92">
        <v>0</v>
      </c>
      <c r="BO155" s="92">
        <f>(BM155*20%)/12</f>
        <v>41666.666666666664</v>
      </c>
      <c r="BP155" s="92">
        <f t="shared" si="67"/>
        <v>41666.666666666664</v>
      </c>
      <c r="BQ155" s="92">
        <v>0</v>
      </c>
      <c r="BR155" s="92">
        <v>0</v>
      </c>
      <c r="BS155" s="85">
        <f t="shared" si="62"/>
        <v>41666.666666666664</v>
      </c>
      <c r="BT155" s="94" t="s">
        <v>130</v>
      </c>
      <c r="BU155" s="94" t="s">
        <v>130</v>
      </c>
      <c r="BV155" s="94" t="s">
        <v>130</v>
      </c>
      <c r="BW155" s="95" t="s">
        <v>130</v>
      </c>
      <c r="BX155" s="96" t="s">
        <v>130</v>
      </c>
      <c r="BY155" s="29" t="s">
        <v>372</v>
      </c>
      <c r="BZ155" s="29" t="s">
        <v>372</v>
      </c>
      <c r="CA155" s="29" t="s">
        <v>130</v>
      </c>
      <c r="CB155" s="29" t="s">
        <v>130</v>
      </c>
      <c r="CC155" s="29" t="s">
        <v>130</v>
      </c>
      <c r="CD155" s="29" t="s">
        <v>130</v>
      </c>
      <c r="CE155" s="29" t="str">
        <f t="shared" si="61"/>
        <v>SC - JOINVILLE</v>
      </c>
      <c r="CF155" s="97" t="s">
        <v>130</v>
      </c>
      <c r="CG155" s="97" t="s">
        <v>130</v>
      </c>
      <c r="CH155" s="37">
        <f t="shared" si="63"/>
        <v>2500000</v>
      </c>
      <c r="CI155" s="98" t="s">
        <v>130</v>
      </c>
      <c r="CJ155" s="39">
        <v>5</v>
      </c>
      <c r="CK155" s="39">
        <v>5</v>
      </c>
      <c r="CL155" s="39">
        <f t="shared" si="64"/>
        <v>60</v>
      </c>
      <c r="CM155" s="99">
        <f t="shared" si="65"/>
        <v>83333.333333333328</v>
      </c>
      <c r="CN155" s="40" t="str">
        <f>IFERROR(IF(VLOOKUP(AG155,'[1]ATIVOS SAGI'!C:D,1,FALSE)&lt;&gt;"","CADASTRADO","NÃO CADASTRADO"),"NÃO CADASTRADO")</f>
        <v>CADASTRADO</v>
      </c>
      <c r="CO155" s="99">
        <f t="shared" si="57"/>
        <v>20833.333333333336</v>
      </c>
      <c r="CP155" s="100" t="s">
        <v>92</v>
      </c>
      <c r="CQ155" s="48"/>
      <c r="CR155" s="48"/>
      <c r="CS155" s="48"/>
    </row>
    <row r="156" spans="1:97" x14ac:dyDescent="0.25">
      <c r="A156" s="27">
        <v>41</v>
      </c>
      <c r="B156" s="27">
        <v>80</v>
      </c>
      <c r="C156" s="29" t="s">
        <v>296</v>
      </c>
      <c r="D156" s="40" t="s">
        <v>49</v>
      </c>
      <c r="E156" s="40" t="s">
        <v>130</v>
      </c>
      <c r="F156" s="40" t="s">
        <v>130</v>
      </c>
      <c r="G156" s="151"/>
      <c r="H156" s="41" t="s">
        <v>130</v>
      </c>
      <c r="I156" s="29" t="s">
        <v>130</v>
      </c>
      <c r="J156" s="29" t="s">
        <v>130</v>
      </c>
      <c r="K156" s="29" t="s">
        <v>130</v>
      </c>
      <c r="L156" s="85" t="s">
        <v>130</v>
      </c>
      <c r="M156" s="86" t="s">
        <v>130</v>
      </c>
      <c r="N156" s="85" t="s">
        <v>130</v>
      </c>
      <c r="O156" s="86" t="s">
        <v>130</v>
      </c>
      <c r="P156" s="85" t="s">
        <v>130</v>
      </c>
      <c r="Q156" s="29" t="s">
        <v>130</v>
      </c>
      <c r="R156" s="85" t="s">
        <v>130</v>
      </c>
      <c r="S156" s="85" t="s">
        <v>130</v>
      </c>
      <c r="T156" s="85" t="s">
        <v>130</v>
      </c>
      <c r="U156" s="85" t="s">
        <v>130</v>
      </c>
      <c r="V156" s="85" t="s">
        <v>130</v>
      </c>
      <c r="W156" s="85" t="s">
        <v>130</v>
      </c>
      <c r="X156" s="85" t="s">
        <v>130</v>
      </c>
      <c r="Y156" s="85" t="s">
        <v>130</v>
      </c>
      <c r="Z156" s="85" t="s">
        <v>130</v>
      </c>
      <c r="AA156" s="85" t="s">
        <v>130</v>
      </c>
      <c r="AB156" s="85" t="s">
        <v>130</v>
      </c>
      <c r="AC156" s="85" t="s">
        <v>130</v>
      </c>
      <c r="AD156" s="85" t="s">
        <v>130</v>
      </c>
      <c r="AE156" s="29" t="s">
        <v>45</v>
      </c>
      <c r="AF156" s="29" t="s">
        <v>55</v>
      </c>
      <c r="AG156" s="40" t="s">
        <v>142</v>
      </c>
      <c r="AH156" s="29" t="s">
        <v>130</v>
      </c>
      <c r="AI156" s="87" t="str">
        <f>IFERROR(VLOOKUP(AG156,[2]Frota!$D$2:$AV$187,2,FALSE),"-")</f>
        <v>-</v>
      </c>
      <c r="AJ156" s="87">
        <v>1253127614</v>
      </c>
      <c r="AK156" s="29" t="s">
        <v>355</v>
      </c>
      <c r="AL156" s="29" t="s">
        <v>371</v>
      </c>
      <c r="AM156" s="34" t="s">
        <v>130</v>
      </c>
      <c r="AN156" s="34" t="s">
        <v>130</v>
      </c>
      <c r="AO156" s="152" t="s">
        <v>143</v>
      </c>
      <c r="AP156" s="29" t="s">
        <v>181</v>
      </c>
      <c r="AQ156" s="88" t="s">
        <v>305</v>
      </c>
      <c r="AR156" s="89">
        <f>VLOOKUP(AQ156,'[1]Critério de Depreciação'!$C$3:$G$8,5,FALSE)</f>
        <v>0.83333333333333337</v>
      </c>
      <c r="AS156" s="29" t="s">
        <v>299</v>
      </c>
      <c r="AT156" s="29" t="s">
        <v>300</v>
      </c>
      <c r="AU156" s="29" t="str">
        <f>IFERROR(VLOOKUP(AG199,[2]Frota!$D$2:$AV$187,12,FALSE),"-")</f>
        <v>1.2.1.3</v>
      </c>
      <c r="AV156" s="45">
        <v>26136</v>
      </c>
      <c r="AW156" s="90">
        <v>2000000</v>
      </c>
      <c r="AX156" s="86">
        <v>44365</v>
      </c>
      <c r="AY156" s="91" t="s">
        <v>130</v>
      </c>
      <c r="AZ156" s="85">
        <v>1550000</v>
      </c>
      <c r="BA156" s="123" t="s">
        <v>130</v>
      </c>
      <c r="BB156" s="124" t="s">
        <v>130</v>
      </c>
      <c r="BC156" s="85" t="s">
        <v>130</v>
      </c>
      <c r="BD156" s="85">
        <v>250000</v>
      </c>
      <c r="BE156" s="92">
        <f t="shared" si="58"/>
        <v>1800000</v>
      </c>
      <c r="BF156" s="92">
        <v>2250000</v>
      </c>
      <c r="BG156" s="92">
        <v>0</v>
      </c>
      <c r="BH156" s="92">
        <v>0</v>
      </c>
      <c r="BI156" s="92">
        <v>250000</v>
      </c>
      <c r="BJ156" s="92">
        <v>0</v>
      </c>
      <c r="BK156" s="92">
        <v>0</v>
      </c>
      <c r="BL156" s="92">
        <v>0</v>
      </c>
      <c r="BM156" s="93">
        <f t="shared" si="66"/>
        <v>2500000</v>
      </c>
      <c r="BN156" s="92">
        <v>0</v>
      </c>
      <c r="BO156" s="92">
        <f>(BM156*20%)/12</f>
        <v>41666.666666666664</v>
      </c>
      <c r="BP156" s="92">
        <f t="shared" si="67"/>
        <v>41666.666666666664</v>
      </c>
      <c r="BQ156" s="92">
        <v>0</v>
      </c>
      <c r="BR156" s="92">
        <v>0</v>
      </c>
      <c r="BS156" s="85">
        <f t="shared" si="62"/>
        <v>33333.333333333336</v>
      </c>
      <c r="BT156" s="125" t="s">
        <v>130</v>
      </c>
      <c r="BU156" s="125" t="s">
        <v>130</v>
      </c>
      <c r="BV156" s="125" t="s">
        <v>130</v>
      </c>
      <c r="BW156" s="126" t="s">
        <v>130</v>
      </c>
      <c r="BX156" s="127" t="s">
        <v>130</v>
      </c>
      <c r="BY156" s="29" t="s">
        <v>310</v>
      </c>
      <c r="BZ156" s="29" t="s">
        <v>310</v>
      </c>
      <c r="CA156" s="29" t="s">
        <v>130</v>
      </c>
      <c r="CB156" s="29" t="s">
        <v>130</v>
      </c>
      <c r="CC156" s="29" t="s">
        <v>130</v>
      </c>
      <c r="CD156" s="29" t="s">
        <v>130</v>
      </c>
      <c r="CE156" s="29" t="str">
        <f t="shared" si="61"/>
        <v>MS - DOURADOS</v>
      </c>
      <c r="CF156" s="97" t="s">
        <v>130</v>
      </c>
      <c r="CG156" s="97">
        <v>3872.9</v>
      </c>
      <c r="CH156" s="37">
        <f t="shared" si="63"/>
        <v>2500000</v>
      </c>
      <c r="CI156" s="98" t="s">
        <v>130</v>
      </c>
      <c r="CJ156" s="39">
        <v>5</v>
      </c>
      <c r="CK156" s="39">
        <v>5</v>
      </c>
      <c r="CL156" s="39">
        <f t="shared" si="64"/>
        <v>60</v>
      </c>
      <c r="CM156" s="99">
        <f t="shared" si="65"/>
        <v>83333.333333333328</v>
      </c>
      <c r="CN156" s="40" t="str">
        <f>IFERROR(IF(VLOOKUP(AG156,'[1]ATIVOS SAGI'!C:D,1,FALSE)&lt;&gt;"","CADASTRADO","NÃO CADASTRADO"),"NÃO CADASTRADO")</f>
        <v>CADASTRADO</v>
      </c>
      <c r="CO156" s="99">
        <f t="shared" si="57"/>
        <v>20833.333333333336</v>
      </c>
      <c r="CP156" s="100" t="s">
        <v>92</v>
      </c>
      <c r="CQ156" s="48"/>
      <c r="CR156" s="48"/>
      <c r="CS156" s="48"/>
    </row>
    <row r="157" spans="1:97" x14ac:dyDescent="0.25">
      <c r="A157" s="27">
        <v>42</v>
      </c>
      <c r="B157" s="27">
        <v>81</v>
      </c>
      <c r="C157" s="29" t="s">
        <v>296</v>
      </c>
      <c r="D157" s="40" t="s">
        <v>49</v>
      </c>
      <c r="E157" s="40" t="s">
        <v>130</v>
      </c>
      <c r="F157" s="40" t="s">
        <v>130</v>
      </c>
      <c r="G157" s="151" t="s">
        <v>315</v>
      </c>
      <c r="H157" s="41" t="s">
        <v>130</v>
      </c>
      <c r="I157" s="29" t="s">
        <v>130</v>
      </c>
      <c r="J157" s="29" t="s">
        <v>130</v>
      </c>
      <c r="K157" s="29" t="s">
        <v>130</v>
      </c>
      <c r="L157" s="85" t="s">
        <v>130</v>
      </c>
      <c r="M157" s="86" t="s">
        <v>130</v>
      </c>
      <c r="N157" s="85" t="s">
        <v>130</v>
      </c>
      <c r="O157" s="86" t="s">
        <v>130</v>
      </c>
      <c r="P157" s="85" t="s">
        <v>130</v>
      </c>
      <c r="Q157" s="29" t="s">
        <v>130</v>
      </c>
      <c r="R157" s="85" t="s">
        <v>130</v>
      </c>
      <c r="S157" s="85" t="s">
        <v>130</v>
      </c>
      <c r="T157" s="85" t="s">
        <v>130</v>
      </c>
      <c r="U157" s="85" t="s">
        <v>130</v>
      </c>
      <c r="V157" s="85" t="s">
        <v>130</v>
      </c>
      <c r="W157" s="85" t="s">
        <v>130</v>
      </c>
      <c r="X157" s="85" t="s">
        <v>130</v>
      </c>
      <c r="Y157" s="85" t="s">
        <v>130</v>
      </c>
      <c r="Z157" s="85" t="s">
        <v>130</v>
      </c>
      <c r="AA157" s="85" t="s">
        <v>130</v>
      </c>
      <c r="AB157" s="85" t="s">
        <v>130</v>
      </c>
      <c r="AC157" s="85" t="s">
        <v>130</v>
      </c>
      <c r="AD157" s="85" t="s">
        <v>130</v>
      </c>
      <c r="AE157" s="29" t="s">
        <v>45</v>
      </c>
      <c r="AF157" s="29" t="s">
        <v>59</v>
      </c>
      <c r="AG157" s="40" t="s">
        <v>102</v>
      </c>
      <c r="AH157" s="29" t="s">
        <v>130</v>
      </c>
      <c r="AI157" s="87" t="str">
        <f>IFERROR(VLOOKUP(AG157,[2]Frota!$D$2:$AV$187,2,FALSE),"-")</f>
        <v>-</v>
      </c>
      <c r="AJ157" s="87">
        <v>1253127615</v>
      </c>
      <c r="AK157" s="29" t="s">
        <v>355</v>
      </c>
      <c r="AL157" s="29" t="s">
        <v>371</v>
      </c>
      <c r="AM157" s="34" t="s">
        <v>130</v>
      </c>
      <c r="AN157" s="34" t="s">
        <v>130</v>
      </c>
      <c r="AO157" s="152" t="s">
        <v>132</v>
      </c>
      <c r="AP157" s="29" t="s">
        <v>181</v>
      </c>
      <c r="AQ157" s="88" t="s">
        <v>305</v>
      </c>
      <c r="AR157" s="89">
        <f>VLOOKUP(AQ157,'[1]Critério de Depreciação'!$C$3:$G$8,5,FALSE)</f>
        <v>0.83333333333333337</v>
      </c>
      <c r="AS157" s="29" t="s">
        <v>299</v>
      </c>
      <c r="AT157" s="29" t="s">
        <v>323</v>
      </c>
      <c r="AU157" s="29" t="str">
        <f>IFERROR(VLOOKUP(AG200,[2]Frota!$D$2:$AV$187,12,FALSE),"-")</f>
        <v>1.2.5.2</v>
      </c>
      <c r="AV157" s="45">
        <v>26503</v>
      </c>
      <c r="AW157" s="90">
        <v>2000000</v>
      </c>
      <c r="AX157" s="86">
        <v>44405</v>
      </c>
      <c r="AY157" s="91" t="s">
        <v>130</v>
      </c>
      <c r="AZ157" s="85">
        <v>1550000</v>
      </c>
      <c r="BA157" s="123" t="s">
        <v>130</v>
      </c>
      <c r="BB157" s="124" t="s">
        <v>130</v>
      </c>
      <c r="BC157" s="85" t="s">
        <v>130</v>
      </c>
      <c r="BD157" s="85">
        <v>250000</v>
      </c>
      <c r="BE157" s="92">
        <f t="shared" si="58"/>
        <v>1800000</v>
      </c>
      <c r="BF157" s="92">
        <v>2250000</v>
      </c>
      <c r="BG157" s="92">
        <v>0</v>
      </c>
      <c r="BH157" s="92">
        <v>0</v>
      </c>
      <c r="BI157" s="92">
        <v>250000</v>
      </c>
      <c r="BJ157" s="92">
        <v>0</v>
      </c>
      <c r="BK157" s="92">
        <v>0</v>
      </c>
      <c r="BL157" s="92">
        <v>0</v>
      </c>
      <c r="BM157" s="93">
        <f t="shared" si="66"/>
        <v>2500000</v>
      </c>
      <c r="BN157" s="92">
        <v>0</v>
      </c>
      <c r="BO157" s="92">
        <f>((BF157+BH157+BI157+BJ157+BK157+BL157)*20%)/12</f>
        <v>41666.666666666664</v>
      </c>
      <c r="BP157" s="92">
        <f t="shared" si="67"/>
        <v>41666.666666666664</v>
      </c>
      <c r="BQ157" s="92">
        <v>0</v>
      </c>
      <c r="BR157" s="92">
        <v>0</v>
      </c>
      <c r="BS157" s="85">
        <f t="shared" si="62"/>
        <v>33333.333333333336</v>
      </c>
      <c r="BT157" s="125" t="s">
        <v>130</v>
      </c>
      <c r="BU157" s="125" t="s">
        <v>130</v>
      </c>
      <c r="BV157" s="125" t="s">
        <v>130</v>
      </c>
      <c r="BW157" s="126" t="s">
        <v>130</v>
      </c>
      <c r="BX157" s="127" t="s">
        <v>130</v>
      </c>
      <c r="BY157" s="29" t="s">
        <v>372</v>
      </c>
      <c r="BZ157" s="29" t="s">
        <v>372</v>
      </c>
      <c r="CA157" s="29" t="s">
        <v>130</v>
      </c>
      <c r="CB157" s="29" t="s">
        <v>130</v>
      </c>
      <c r="CC157" s="29" t="s">
        <v>130</v>
      </c>
      <c r="CD157" s="29" t="s">
        <v>130</v>
      </c>
      <c r="CE157" s="29" t="str">
        <f t="shared" si="61"/>
        <v>PR - MARINGÁ</v>
      </c>
      <c r="CF157" s="97" t="s">
        <v>130</v>
      </c>
      <c r="CG157" s="97">
        <v>9084.1</v>
      </c>
      <c r="CH157" s="37">
        <f t="shared" si="63"/>
        <v>2500000</v>
      </c>
      <c r="CI157" s="98" t="s">
        <v>130</v>
      </c>
      <c r="CJ157" s="39">
        <v>5</v>
      </c>
      <c r="CK157" s="39">
        <v>5</v>
      </c>
      <c r="CL157" s="39">
        <f t="shared" si="64"/>
        <v>60</v>
      </c>
      <c r="CM157" s="99">
        <f t="shared" si="65"/>
        <v>83333.333333333328</v>
      </c>
      <c r="CN157" s="40" t="str">
        <f>IFERROR(IF(VLOOKUP(AG157,'[1]ATIVOS SAGI'!C:D,1,FALSE)&lt;&gt;"","CADASTRADO","NÃO CADASTRADO"),"NÃO CADASTRADO")</f>
        <v>CADASTRADO</v>
      </c>
      <c r="CO157" s="99">
        <f t="shared" si="57"/>
        <v>20833.333333333336</v>
      </c>
      <c r="CP157" s="100" t="s">
        <v>92</v>
      </c>
      <c r="CQ157" s="48"/>
      <c r="CR157" s="48"/>
      <c r="CS157" s="48"/>
    </row>
    <row r="158" spans="1:97" x14ac:dyDescent="0.25">
      <c r="A158" s="27">
        <v>20</v>
      </c>
      <c r="B158" s="27">
        <v>59</v>
      </c>
      <c r="C158" s="29" t="s">
        <v>296</v>
      </c>
      <c r="D158" s="40" t="s">
        <v>49</v>
      </c>
      <c r="E158" s="40" t="s">
        <v>130</v>
      </c>
      <c r="F158" s="40" t="s">
        <v>130</v>
      </c>
      <c r="G158" s="151"/>
      <c r="H158" s="41" t="s">
        <v>130</v>
      </c>
      <c r="I158" s="29" t="s">
        <v>130</v>
      </c>
      <c r="J158" s="29" t="s">
        <v>130</v>
      </c>
      <c r="K158" s="29" t="s">
        <v>130</v>
      </c>
      <c r="L158" s="85" t="s">
        <v>130</v>
      </c>
      <c r="M158" s="86" t="s">
        <v>130</v>
      </c>
      <c r="N158" s="85" t="s">
        <v>130</v>
      </c>
      <c r="O158" s="86" t="s">
        <v>130</v>
      </c>
      <c r="P158" s="85" t="s">
        <v>130</v>
      </c>
      <c r="Q158" s="29" t="s">
        <v>130</v>
      </c>
      <c r="R158" s="85" t="s">
        <v>130</v>
      </c>
      <c r="S158" s="85" t="s">
        <v>130</v>
      </c>
      <c r="T158" s="85" t="s">
        <v>130</v>
      </c>
      <c r="U158" s="85" t="s">
        <v>130</v>
      </c>
      <c r="V158" s="85" t="s">
        <v>130</v>
      </c>
      <c r="W158" s="85" t="s">
        <v>130</v>
      </c>
      <c r="X158" s="85" t="s">
        <v>130</v>
      </c>
      <c r="Y158" s="85" t="s">
        <v>130</v>
      </c>
      <c r="Z158" s="85" t="s">
        <v>130</v>
      </c>
      <c r="AA158" s="85" t="s">
        <v>130</v>
      </c>
      <c r="AB158" s="85" t="s">
        <v>130</v>
      </c>
      <c r="AC158" s="85" t="s">
        <v>130</v>
      </c>
      <c r="AD158" s="85" t="s">
        <v>130</v>
      </c>
      <c r="AE158" s="29" t="s">
        <v>45</v>
      </c>
      <c r="AF158" s="29" t="s">
        <v>55</v>
      </c>
      <c r="AG158" s="40" t="s">
        <v>112</v>
      </c>
      <c r="AH158" s="29" t="s">
        <v>130</v>
      </c>
      <c r="AI158" s="87" t="str">
        <f>IFERROR(VLOOKUP(AG158,[2]Frota!$D$2:$AV$187,2,FALSE),"-")</f>
        <v>-</v>
      </c>
      <c r="AJ158" s="87" t="str">
        <f>IFERROR(VLOOKUP(AG158,[2]Frota!$D$2:$AV$187,3,FALSE),"-")</f>
        <v>-</v>
      </c>
      <c r="AK158" s="29" t="s">
        <v>365</v>
      </c>
      <c r="AL158" s="29" t="s">
        <v>373</v>
      </c>
      <c r="AM158" s="34" t="s">
        <v>130</v>
      </c>
      <c r="AN158" s="34" t="s">
        <v>130</v>
      </c>
      <c r="AO158" s="152" t="s">
        <v>135</v>
      </c>
      <c r="AP158" s="29" t="s">
        <v>181</v>
      </c>
      <c r="AQ158" s="88" t="s">
        <v>305</v>
      </c>
      <c r="AR158" s="89">
        <f>VLOOKUP(AQ158,'[1]Critério de Depreciação'!$C$3:$G$8,5,FALSE)</f>
        <v>0.83333333333333337</v>
      </c>
      <c r="AS158" s="29" t="s">
        <v>299</v>
      </c>
      <c r="AT158" s="29" t="s">
        <v>309</v>
      </c>
      <c r="AU158" s="29" t="str">
        <f>IFERROR(VLOOKUP(AG203,[2]Frota!$D$2:$AV$187,12,FALSE),"-")</f>
        <v>1.2.4.2</v>
      </c>
      <c r="AV158" s="45">
        <v>84856</v>
      </c>
      <c r="AW158" s="90">
        <v>575000</v>
      </c>
      <c r="AX158" s="86">
        <v>44225</v>
      </c>
      <c r="AY158" s="91" t="s">
        <v>130</v>
      </c>
      <c r="AZ158" s="85">
        <v>700000</v>
      </c>
      <c r="BA158" s="123" t="s">
        <v>130</v>
      </c>
      <c r="BB158" s="124" t="s">
        <v>130</v>
      </c>
      <c r="BC158" s="85" t="s">
        <v>130</v>
      </c>
      <c r="BD158" s="85">
        <v>250000</v>
      </c>
      <c r="BE158" s="92">
        <f t="shared" si="58"/>
        <v>950000</v>
      </c>
      <c r="BF158" s="92">
        <v>930000</v>
      </c>
      <c r="BG158" s="92">
        <v>0</v>
      </c>
      <c r="BH158" s="92">
        <v>0</v>
      </c>
      <c r="BI158" s="92">
        <v>250000</v>
      </c>
      <c r="BJ158" s="92">
        <v>70000</v>
      </c>
      <c r="BK158" s="92">
        <v>0</v>
      </c>
      <c r="BL158" s="92">
        <v>0</v>
      </c>
      <c r="BM158" s="93">
        <f t="shared" si="66"/>
        <v>1250000</v>
      </c>
      <c r="BN158" s="92">
        <v>0</v>
      </c>
      <c r="BO158" s="92">
        <f>(BM158*20%)/12</f>
        <v>20833.333333333332</v>
      </c>
      <c r="BP158" s="92">
        <f t="shared" si="67"/>
        <v>20833.333333333332</v>
      </c>
      <c r="BQ158" s="92">
        <v>0</v>
      </c>
      <c r="BR158" s="92">
        <v>0</v>
      </c>
      <c r="BS158" s="85">
        <f t="shared" si="62"/>
        <v>9583.3333333333339</v>
      </c>
      <c r="BT158" s="125" t="s">
        <v>130</v>
      </c>
      <c r="BU158" s="125" t="s">
        <v>130</v>
      </c>
      <c r="BV158" s="125" t="s">
        <v>130</v>
      </c>
      <c r="BW158" s="126" t="s">
        <v>130</v>
      </c>
      <c r="BX158" s="127" t="s">
        <v>130</v>
      </c>
      <c r="BY158" s="29" t="s">
        <v>310</v>
      </c>
      <c r="BZ158" s="29" t="s">
        <v>130</v>
      </c>
      <c r="CA158" s="29" t="s">
        <v>130</v>
      </c>
      <c r="CB158" s="29" t="s">
        <v>130</v>
      </c>
      <c r="CC158" s="29" t="s">
        <v>130</v>
      </c>
      <c r="CD158" s="29" t="s">
        <v>130</v>
      </c>
      <c r="CE158" s="29" t="str">
        <f t="shared" si="61"/>
        <v>MS - DOURADOS</v>
      </c>
      <c r="CF158" s="97" t="s">
        <v>130</v>
      </c>
      <c r="CG158" s="97">
        <v>3959</v>
      </c>
      <c r="CH158" s="37">
        <f t="shared" si="63"/>
        <v>1250000</v>
      </c>
      <c r="CI158" s="98" t="s">
        <v>130</v>
      </c>
      <c r="CJ158" s="39">
        <v>5</v>
      </c>
      <c r="CK158" s="39">
        <v>5</v>
      </c>
      <c r="CL158" s="39">
        <f t="shared" si="64"/>
        <v>60</v>
      </c>
      <c r="CM158" s="99">
        <f t="shared" si="65"/>
        <v>41666.666666666664</v>
      </c>
      <c r="CN158" s="40" t="str">
        <f>IFERROR(IF(VLOOKUP(AG158,'[1]ATIVOS SAGI'!C:D,1,FALSE)&lt;&gt;"","CADASTRADO","NÃO CADASTRADO"),"NÃO CADASTRADO")</f>
        <v>CADASTRADO</v>
      </c>
      <c r="CO158" s="99">
        <f t="shared" si="57"/>
        <v>10416.666666666668</v>
      </c>
      <c r="CP158" s="100" t="s">
        <v>92</v>
      </c>
      <c r="CQ158" s="48"/>
      <c r="CR158" s="48"/>
      <c r="CS158" s="48"/>
    </row>
    <row r="159" spans="1:97" x14ac:dyDescent="0.25">
      <c r="A159" s="27">
        <v>21</v>
      </c>
      <c r="B159" s="27">
        <v>60</v>
      </c>
      <c r="C159" s="29" t="s">
        <v>296</v>
      </c>
      <c r="D159" s="40" t="s">
        <v>49</v>
      </c>
      <c r="E159" s="40" t="s">
        <v>130</v>
      </c>
      <c r="F159" s="40" t="s">
        <v>130</v>
      </c>
      <c r="G159" s="40"/>
      <c r="H159" s="41" t="s">
        <v>130</v>
      </c>
      <c r="I159" s="29" t="s">
        <v>130</v>
      </c>
      <c r="J159" s="29" t="s">
        <v>130</v>
      </c>
      <c r="K159" s="29" t="s">
        <v>130</v>
      </c>
      <c r="L159" s="85" t="s">
        <v>130</v>
      </c>
      <c r="M159" s="86" t="s">
        <v>130</v>
      </c>
      <c r="N159" s="85" t="s">
        <v>130</v>
      </c>
      <c r="O159" s="86" t="s">
        <v>130</v>
      </c>
      <c r="P159" s="85" t="s">
        <v>130</v>
      </c>
      <c r="Q159" s="29" t="s">
        <v>130</v>
      </c>
      <c r="R159" s="85" t="s">
        <v>130</v>
      </c>
      <c r="S159" s="85" t="s">
        <v>130</v>
      </c>
      <c r="T159" s="85" t="s">
        <v>130</v>
      </c>
      <c r="U159" s="85" t="s">
        <v>130</v>
      </c>
      <c r="V159" s="85" t="s">
        <v>130</v>
      </c>
      <c r="W159" s="85" t="s">
        <v>130</v>
      </c>
      <c r="X159" s="85" t="s">
        <v>130</v>
      </c>
      <c r="Y159" s="85" t="s">
        <v>130</v>
      </c>
      <c r="Z159" s="85" t="s">
        <v>130</v>
      </c>
      <c r="AA159" s="85" t="s">
        <v>130</v>
      </c>
      <c r="AB159" s="85" t="s">
        <v>130</v>
      </c>
      <c r="AC159" s="85" t="s">
        <v>130</v>
      </c>
      <c r="AD159" s="85" t="s">
        <v>130</v>
      </c>
      <c r="AE159" s="29" t="s">
        <v>45</v>
      </c>
      <c r="AF159" s="29" t="s">
        <v>115</v>
      </c>
      <c r="AG159" s="40" t="s">
        <v>116</v>
      </c>
      <c r="AH159" s="29" t="s">
        <v>130</v>
      </c>
      <c r="AI159" s="87" t="str">
        <f>IFERROR(VLOOKUP(AG159,[2]Frota!$D$2:$AV$187,2,FALSE),"-")</f>
        <v>-</v>
      </c>
      <c r="AJ159" s="87" t="str">
        <f>IFERROR(VLOOKUP(AG159,[2]Frota!$D$2:$AV$187,3,FALSE),"-")</f>
        <v>-</v>
      </c>
      <c r="AK159" s="29" t="s">
        <v>365</v>
      </c>
      <c r="AL159" s="29" t="s">
        <v>373</v>
      </c>
      <c r="AM159" s="34" t="s">
        <v>130</v>
      </c>
      <c r="AN159" s="34" t="s">
        <v>130</v>
      </c>
      <c r="AO159" s="152" t="s">
        <v>135</v>
      </c>
      <c r="AP159" s="29" t="s">
        <v>181</v>
      </c>
      <c r="AQ159" s="88" t="s">
        <v>305</v>
      </c>
      <c r="AR159" s="89">
        <f>VLOOKUP(AQ159,'[1]Critério de Depreciação'!$C$3:$G$8,5,FALSE)</f>
        <v>0.83333333333333337</v>
      </c>
      <c r="AS159" s="29" t="s">
        <v>299</v>
      </c>
      <c r="AT159" s="29" t="s">
        <v>311</v>
      </c>
      <c r="AU159" s="29" t="str">
        <f>IFERROR(VLOOKUP(AG204,[2]Frota!$D$2:$AV$187,12,FALSE),"-")</f>
        <v>1.1.1.3</v>
      </c>
      <c r="AV159" s="45">
        <v>84450</v>
      </c>
      <c r="AW159" s="90">
        <v>575000</v>
      </c>
      <c r="AX159" s="86">
        <v>44225</v>
      </c>
      <c r="AY159" s="91" t="s">
        <v>130</v>
      </c>
      <c r="AZ159" s="85">
        <v>700000</v>
      </c>
      <c r="BA159" s="123" t="s">
        <v>130</v>
      </c>
      <c r="BB159" s="124" t="s">
        <v>130</v>
      </c>
      <c r="BC159" s="85" t="s">
        <v>130</v>
      </c>
      <c r="BD159" s="85">
        <v>250000</v>
      </c>
      <c r="BE159" s="92">
        <f t="shared" si="58"/>
        <v>950000</v>
      </c>
      <c r="BF159" s="92">
        <v>930000</v>
      </c>
      <c r="BG159" s="92">
        <v>0</v>
      </c>
      <c r="BH159" s="92">
        <v>0</v>
      </c>
      <c r="BI159" s="92">
        <v>250000</v>
      </c>
      <c r="BJ159" s="92">
        <v>70000</v>
      </c>
      <c r="BK159" s="92">
        <v>0</v>
      </c>
      <c r="BL159" s="92">
        <v>0</v>
      </c>
      <c r="BM159" s="93">
        <f t="shared" si="66"/>
        <v>1250000</v>
      </c>
      <c r="BN159" s="92">
        <v>0</v>
      </c>
      <c r="BO159" s="92">
        <f>(BM159*20%)/12</f>
        <v>20833.333333333332</v>
      </c>
      <c r="BP159" s="92">
        <f t="shared" si="67"/>
        <v>20833.333333333332</v>
      </c>
      <c r="BQ159" s="92">
        <v>0</v>
      </c>
      <c r="BR159" s="92">
        <v>0</v>
      </c>
      <c r="BS159" s="85">
        <f t="shared" si="62"/>
        <v>9583.3333333333339</v>
      </c>
      <c r="BT159" s="125" t="s">
        <v>130</v>
      </c>
      <c r="BU159" s="124">
        <v>45703</v>
      </c>
      <c r="BV159" s="124" t="s">
        <v>130</v>
      </c>
      <c r="BW159" s="126" t="s">
        <v>130</v>
      </c>
      <c r="BX159" s="127" t="s">
        <v>130</v>
      </c>
      <c r="BY159" s="29" t="s">
        <v>314</v>
      </c>
      <c r="BZ159" s="29" t="s">
        <v>314</v>
      </c>
      <c r="CA159" s="29" t="s">
        <v>130</v>
      </c>
      <c r="CB159" s="29" t="s">
        <v>130</v>
      </c>
      <c r="CC159" s="29" t="s">
        <v>130</v>
      </c>
      <c r="CD159" s="29" t="s">
        <v>130</v>
      </c>
      <c r="CE159" s="29" t="str">
        <f t="shared" si="61"/>
        <v>RJ - BARRA MANSA</v>
      </c>
      <c r="CF159" s="97" t="s">
        <v>130</v>
      </c>
      <c r="CG159" s="97">
        <v>1797.5</v>
      </c>
      <c r="CH159" s="37">
        <f t="shared" si="63"/>
        <v>1250000</v>
      </c>
      <c r="CI159" s="98" t="s">
        <v>130</v>
      </c>
      <c r="CJ159" s="39">
        <v>5</v>
      </c>
      <c r="CK159" s="39">
        <v>5</v>
      </c>
      <c r="CL159" s="39">
        <f t="shared" si="64"/>
        <v>60</v>
      </c>
      <c r="CM159" s="99">
        <f t="shared" si="65"/>
        <v>41666.666666666664</v>
      </c>
      <c r="CN159" s="40" t="str">
        <f>IFERROR(IF(VLOOKUP(AG159,'[1]ATIVOS SAGI'!C:D,1,FALSE)&lt;&gt;"","CADASTRADO","NÃO CADASTRADO"),"NÃO CADASTRADO")</f>
        <v>CADASTRADO</v>
      </c>
      <c r="CO159" s="99">
        <f t="shared" si="57"/>
        <v>10416.666666666668</v>
      </c>
      <c r="CP159" s="100" t="s">
        <v>92</v>
      </c>
      <c r="CQ159" s="48"/>
      <c r="CR159" s="48"/>
      <c r="CS159" s="48"/>
    </row>
    <row r="160" spans="1:97" x14ac:dyDescent="0.25">
      <c r="A160" s="27">
        <v>22</v>
      </c>
      <c r="B160" s="27">
        <v>61</v>
      </c>
      <c r="C160" s="29" t="s">
        <v>296</v>
      </c>
      <c r="D160" s="40" t="s">
        <v>49</v>
      </c>
      <c r="E160" s="40" t="s">
        <v>130</v>
      </c>
      <c r="F160" s="40" t="s">
        <v>130</v>
      </c>
      <c r="G160" s="151"/>
      <c r="H160" s="41" t="s">
        <v>130</v>
      </c>
      <c r="I160" s="29" t="s">
        <v>130</v>
      </c>
      <c r="J160" s="29" t="s">
        <v>130</v>
      </c>
      <c r="K160" s="29" t="s">
        <v>130</v>
      </c>
      <c r="L160" s="85" t="s">
        <v>130</v>
      </c>
      <c r="M160" s="86" t="s">
        <v>130</v>
      </c>
      <c r="N160" s="85" t="s">
        <v>130</v>
      </c>
      <c r="O160" s="86" t="s">
        <v>130</v>
      </c>
      <c r="P160" s="85" t="s">
        <v>130</v>
      </c>
      <c r="Q160" s="29" t="s">
        <v>130</v>
      </c>
      <c r="R160" s="85" t="s">
        <v>130</v>
      </c>
      <c r="S160" s="85" t="s">
        <v>130</v>
      </c>
      <c r="T160" s="85" t="s">
        <v>130</v>
      </c>
      <c r="U160" s="85" t="s">
        <v>130</v>
      </c>
      <c r="V160" s="85" t="s">
        <v>130</v>
      </c>
      <c r="W160" s="85" t="s">
        <v>130</v>
      </c>
      <c r="X160" s="85" t="s">
        <v>130</v>
      </c>
      <c r="Y160" s="85" t="s">
        <v>130</v>
      </c>
      <c r="Z160" s="85" t="s">
        <v>130</v>
      </c>
      <c r="AA160" s="85" t="s">
        <v>130</v>
      </c>
      <c r="AB160" s="85" t="s">
        <v>130</v>
      </c>
      <c r="AC160" s="85" t="s">
        <v>130</v>
      </c>
      <c r="AD160" s="85" t="s">
        <v>130</v>
      </c>
      <c r="AE160" s="29" t="s">
        <v>45</v>
      </c>
      <c r="AF160" s="29" t="s">
        <v>53</v>
      </c>
      <c r="AG160" s="40" t="s">
        <v>111</v>
      </c>
      <c r="AH160" s="29" t="s">
        <v>130</v>
      </c>
      <c r="AI160" s="87" t="str">
        <f>IFERROR(VLOOKUP(AG160,[2]Frota!$D$2:$AV$187,2,FALSE),"-")</f>
        <v>-</v>
      </c>
      <c r="AJ160" s="87" t="str">
        <f>IFERROR(VLOOKUP(AG160,[2]Frota!$D$2:$AV$187,3,FALSE),"-")</f>
        <v>-</v>
      </c>
      <c r="AK160" s="29" t="s">
        <v>365</v>
      </c>
      <c r="AL160" s="29" t="s">
        <v>373</v>
      </c>
      <c r="AM160" s="34" t="s">
        <v>130</v>
      </c>
      <c r="AN160" s="34" t="s">
        <v>130</v>
      </c>
      <c r="AO160" s="152" t="s">
        <v>135</v>
      </c>
      <c r="AP160" s="29" t="s">
        <v>181</v>
      </c>
      <c r="AQ160" s="88" t="s">
        <v>305</v>
      </c>
      <c r="AR160" s="89">
        <f>VLOOKUP(AQ160,'[1]Critério de Depreciação'!$C$3:$G$8,5,FALSE)</f>
        <v>0.83333333333333337</v>
      </c>
      <c r="AS160" s="29" t="s">
        <v>308</v>
      </c>
      <c r="AT160" s="29" t="s">
        <v>300</v>
      </c>
      <c r="AU160" s="29" t="str">
        <f>IFERROR(VLOOKUP(AG205,[2]Frota!$D$2:$AV$187,12,FALSE),"-")</f>
        <v>1.2.1.4</v>
      </c>
      <c r="AV160" s="45">
        <v>84836</v>
      </c>
      <c r="AW160" s="90">
        <v>575000</v>
      </c>
      <c r="AX160" s="86">
        <v>44225</v>
      </c>
      <c r="AY160" s="91">
        <v>40000</v>
      </c>
      <c r="AZ160" s="85">
        <v>700000</v>
      </c>
      <c r="BA160" s="123" t="s">
        <v>130</v>
      </c>
      <c r="BB160" s="124" t="s">
        <v>130</v>
      </c>
      <c r="BC160" s="85" t="s">
        <v>130</v>
      </c>
      <c r="BD160" s="85">
        <v>250000</v>
      </c>
      <c r="BE160" s="92">
        <f t="shared" si="58"/>
        <v>950000</v>
      </c>
      <c r="BF160" s="92">
        <v>930000</v>
      </c>
      <c r="BG160" s="92">
        <v>0</v>
      </c>
      <c r="BH160" s="92">
        <v>0</v>
      </c>
      <c r="BI160" s="92">
        <v>250000</v>
      </c>
      <c r="BJ160" s="92">
        <v>70000</v>
      </c>
      <c r="BK160" s="92">
        <v>0</v>
      </c>
      <c r="BL160" s="92">
        <v>0</v>
      </c>
      <c r="BM160" s="93">
        <f t="shared" si="66"/>
        <v>1250000</v>
      </c>
      <c r="BN160" s="92">
        <v>0</v>
      </c>
      <c r="BO160" s="92">
        <f>(BM160*20%)/12</f>
        <v>20833.333333333332</v>
      </c>
      <c r="BP160" s="92">
        <f t="shared" si="67"/>
        <v>20833.333333333332</v>
      </c>
      <c r="BQ160" s="92">
        <v>0</v>
      </c>
      <c r="BR160" s="92">
        <v>0</v>
      </c>
      <c r="BS160" s="85">
        <f t="shared" si="62"/>
        <v>9583.3333333333339</v>
      </c>
      <c r="BT160" s="94" t="s">
        <v>130</v>
      </c>
      <c r="BU160" s="94" t="s">
        <v>130</v>
      </c>
      <c r="BV160" s="94" t="s">
        <v>130</v>
      </c>
      <c r="BW160" s="95" t="s">
        <v>130</v>
      </c>
      <c r="BX160" s="96" t="s">
        <v>130</v>
      </c>
      <c r="BY160" s="29" t="s">
        <v>312</v>
      </c>
      <c r="BZ160" s="29" t="s">
        <v>312</v>
      </c>
      <c r="CA160" s="29" t="s">
        <v>130</v>
      </c>
      <c r="CB160" s="29" t="s">
        <v>130</v>
      </c>
      <c r="CC160" s="29" t="s">
        <v>130</v>
      </c>
      <c r="CD160" s="29" t="s">
        <v>130</v>
      </c>
      <c r="CE160" s="29" t="str">
        <f t="shared" si="61"/>
        <v>MS - CAMPO GRANDE</v>
      </c>
      <c r="CF160" s="97" t="s">
        <v>130</v>
      </c>
      <c r="CG160" s="97">
        <v>3069.5</v>
      </c>
      <c r="CH160" s="37">
        <f t="shared" si="63"/>
        <v>1250000</v>
      </c>
      <c r="CI160" s="98" t="s">
        <v>130</v>
      </c>
      <c r="CJ160" s="39">
        <v>5</v>
      </c>
      <c r="CK160" s="39">
        <v>5</v>
      </c>
      <c r="CL160" s="39">
        <f t="shared" si="64"/>
        <v>60</v>
      </c>
      <c r="CM160" s="99">
        <f t="shared" si="65"/>
        <v>41666.666666666664</v>
      </c>
      <c r="CN160" s="40" t="str">
        <f>IFERROR(IF(VLOOKUP(AG160,'[1]ATIVOS SAGI'!C:D,1,FALSE)&lt;&gt;"","CADASTRADO","NÃO CADASTRADO"),"NÃO CADASTRADO")</f>
        <v>CADASTRADO</v>
      </c>
      <c r="CO160" s="99">
        <f t="shared" si="57"/>
        <v>10416.666666666668</v>
      </c>
      <c r="CP160" s="100" t="s">
        <v>92</v>
      </c>
      <c r="CQ160" s="48"/>
      <c r="CR160" s="48"/>
      <c r="CS160" s="48"/>
    </row>
    <row r="161" spans="1:97" x14ac:dyDescent="0.25">
      <c r="A161" s="27">
        <v>23</v>
      </c>
      <c r="B161" s="27">
        <v>62</v>
      </c>
      <c r="C161" s="29" t="s">
        <v>296</v>
      </c>
      <c r="D161" s="40" t="s">
        <v>49</v>
      </c>
      <c r="E161" s="40" t="s">
        <v>130</v>
      </c>
      <c r="F161" s="40" t="s">
        <v>130</v>
      </c>
      <c r="G161" s="151"/>
      <c r="H161" s="41" t="s">
        <v>130</v>
      </c>
      <c r="I161" s="29" t="s">
        <v>130</v>
      </c>
      <c r="J161" s="29" t="s">
        <v>130</v>
      </c>
      <c r="K161" s="29" t="s">
        <v>130</v>
      </c>
      <c r="L161" s="85" t="s">
        <v>130</v>
      </c>
      <c r="M161" s="86" t="s">
        <v>130</v>
      </c>
      <c r="N161" s="85" t="s">
        <v>130</v>
      </c>
      <c r="O161" s="86" t="s">
        <v>130</v>
      </c>
      <c r="P161" s="85" t="s">
        <v>130</v>
      </c>
      <c r="Q161" s="29" t="s">
        <v>130</v>
      </c>
      <c r="R161" s="85" t="s">
        <v>130</v>
      </c>
      <c r="S161" s="85" t="s">
        <v>130</v>
      </c>
      <c r="T161" s="85" t="s">
        <v>130</v>
      </c>
      <c r="U161" s="85" t="s">
        <v>130</v>
      </c>
      <c r="V161" s="85" t="s">
        <v>130</v>
      </c>
      <c r="W161" s="85" t="s">
        <v>130</v>
      </c>
      <c r="X161" s="85" t="s">
        <v>130</v>
      </c>
      <c r="Y161" s="85" t="s">
        <v>130</v>
      </c>
      <c r="Z161" s="85" t="s">
        <v>130</v>
      </c>
      <c r="AA161" s="85" t="s">
        <v>130</v>
      </c>
      <c r="AB161" s="85" t="s">
        <v>130</v>
      </c>
      <c r="AC161" s="85" t="s">
        <v>130</v>
      </c>
      <c r="AD161" s="85" t="s">
        <v>130</v>
      </c>
      <c r="AE161" s="29" t="s">
        <v>45</v>
      </c>
      <c r="AF161" s="29" t="s">
        <v>57</v>
      </c>
      <c r="AG161" s="40" t="s">
        <v>113</v>
      </c>
      <c r="AH161" s="29" t="s">
        <v>130</v>
      </c>
      <c r="AI161" s="87" t="str">
        <f>IFERROR(VLOOKUP(AG161,[2]Frota!$D$2:$AV$187,2,FALSE),"-")</f>
        <v>-</v>
      </c>
      <c r="AJ161" s="87" t="str">
        <f>IFERROR(VLOOKUP(AG161,[2]Frota!$D$2:$AV$187,3,FALSE),"-")</f>
        <v>-</v>
      </c>
      <c r="AK161" s="29" t="s">
        <v>365</v>
      </c>
      <c r="AL161" s="29" t="s">
        <v>373</v>
      </c>
      <c r="AM161" s="34" t="s">
        <v>130</v>
      </c>
      <c r="AN161" s="34" t="s">
        <v>130</v>
      </c>
      <c r="AO161" s="152" t="s">
        <v>135</v>
      </c>
      <c r="AP161" s="29" t="s">
        <v>181</v>
      </c>
      <c r="AQ161" s="88" t="s">
        <v>305</v>
      </c>
      <c r="AR161" s="89">
        <f>VLOOKUP(AQ161,'[1]Critério de Depreciação'!$C$3:$G$8,5,FALSE)</f>
        <v>0.83333333333333337</v>
      </c>
      <c r="AS161" s="29" t="s">
        <v>299</v>
      </c>
      <c r="AT161" s="29" t="s">
        <v>300</v>
      </c>
      <c r="AU161" s="29" t="str">
        <f>IFERROR(VLOOKUP(AG206,[2]Frota!$D$2:$AV$187,12,FALSE),"-")</f>
        <v>-</v>
      </c>
      <c r="AV161" s="181">
        <v>87244</v>
      </c>
      <c r="AW161" s="90">
        <v>575000</v>
      </c>
      <c r="AX161" s="86">
        <v>44277</v>
      </c>
      <c r="AY161" s="91" t="s">
        <v>130</v>
      </c>
      <c r="AZ161" s="85">
        <v>700000</v>
      </c>
      <c r="BA161" s="123" t="s">
        <v>130</v>
      </c>
      <c r="BB161" s="124" t="s">
        <v>130</v>
      </c>
      <c r="BC161" s="85" t="s">
        <v>130</v>
      </c>
      <c r="BD161" s="85">
        <v>250000</v>
      </c>
      <c r="BE161" s="92">
        <f t="shared" si="58"/>
        <v>950000</v>
      </c>
      <c r="BF161" s="92">
        <v>930000</v>
      </c>
      <c r="BG161" s="92">
        <v>0</v>
      </c>
      <c r="BH161" s="92">
        <v>0</v>
      </c>
      <c r="BI161" s="92">
        <v>250000</v>
      </c>
      <c r="BJ161" s="92">
        <v>70000</v>
      </c>
      <c r="BK161" s="92">
        <v>0</v>
      </c>
      <c r="BL161" s="92">
        <v>0</v>
      </c>
      <c r="BM161" s="93">
        <f t="shared" si="66"/>
        <v>1250000</v>
      </c>
      <c r="BN161" s="92">
        <v>0</v>
      </c>
      <c r="BO161" s="92">
        <f>((BF161+BH161+BI161+BJ161+BK161+BL161)*20%)/12</f>
        <v>20833.333333333332</v>
      </c>
      <c r="BP161" s="92">
        <f t="shared" si="67"/>
        <v>20833.333333333332</v>
      </c>
      <c r="BQ161" s="92">
        <v>0</v>
      </c>
      <c r="BR161" s="92">
        <v>0</v>
      </c>
      <c r="BS161" s="85">
        <f t="shared" si="62"/>
        <v>9583.3333333333339</v>
      </c>
      <c r="BT161" s="125" t="s">
        <v>130</v>
      </c>
      <c r="BU161" s="125" t="s">
        <v>130</v>
      </c>
      <c r="BV161" s="125" t="s">
        <v>130</v>
      </c>
      <c r="BW161" s="126" t="s">
        <v>130</v>
      </c>
      <c r="BX161" s="127" t="s">
        <v>130</v>
      </c>
      <c r="BY161" s="29" t="s">
        <v>313</v>
      </c>
      <c r="BZ161" s="29" t="s">
        <v>313</v>
      </c>
      <c r="CA161" s="29" t="s">
        <v>130</v>
      </c>
      <c r="CB161" s="29" t="s">
        <v>130</v>
      </c>
      <c r="CC161" s="29" t="s">
        <v>130</v>
      </c>
      <c r="CD161" s="29" t="s">
        <v>130</v>
      </c>
      <c r="CE161" s="29" t="str">
        <f t="shared" si="61"/>
        <v>PR - LONDRINA</v>
      </c>
      <c r="CF161" s="97" t="s">
        <v>130</v>
      </c>
      <c r="CG161" s="97">
        <v>4146.3</v>
      </c>
      <c r="CH161" s="37">
        <f t="shared" si="63"/>
        <v>1250000</v>
      </c>
      <c r="CI161" s="98" t="s">
        <v>130</v>
      </c>
      <c r="CJ161" s="39">
        <v>5</v>
      </c>
      <c r="CK161" s="39">
        <v>5</v>
      </c>
      <c r="CL161" s="39">
        <f t="shared" si="64"/>
        <v>60</v>
      </c>
      <c r="CM161" s="99">
        <f t="shared" si="65"/>
        <v>41666.666666666664</v>
      </c>
      <c r="CN161" s="40" t="str">
        <f>IFERROR(IF(VLOOKUP(AG161,'[1]ATIVOS SAGI'!C:D,1,FALSE)&lt;&gt;"","CADASTRADO","NÃO CADASTRADO"),"NÃO CADASTRADO")</f>
        <v>CADASTRADO</v>
      </c>
      <c r="CO161" s="99">
        <f t="shared" si="57"/>
        <v>10416.666666666668</v>
      </c>
      <c r="CP161" s="100" t="s">
        <v>92</v>
      </c>
      <c r="CQ161" s="48"/>
      <c r="CR161" s="48"/>
      <c r="CS161" s="48"/>
    </row>
    <row r="162" spans="1:97" x14ac:dyDescent="0.25">
      <c r="A162" s="27">
        <v>24</v>
      </c>
      <c r="B162" s="27">
        <v>63</v>
      </c>
      <c r="C162" s="29" t="s">
        <v>296</v>
      </c>
      <c r="D162" s="40" t="s">
        <v>49</v>
      </c>
      <c r="E162" s="40" t="s">
        <v>130</v>
      </c>
      <c r="F162" s="40" t="s">
        <v>130</v>
      </c>
      <c r="G162" s="151" t="s">
        <v>315</v>
      </c>
      <c r="H162" s="41" t="s">
        <v>130</v>
      </c>
      <c r="I162" s="29" t="s">
        <v>130</v>
      </c>
      <c r="J162" s="29" t="s">
        <v>130</v>
      </c>
      <c r="K162" s="29" t="s">
        <v>130</v>
      </c>
      <c r="L162" s="85" t="s">
        <v>130</v>
      </c>
      <c r="M162" s="86" t="s">
        <v>130</v>
      </c>
      <c r="N162" s="85" t="s">
        <v>130</v>
      </c>
      <c r="O162" s="86" t="s">
        <v>130</v>
      </c>
      <c r="P162" s="85" t="s">
        <v>130</v>
      </c>
      <c r="Q162" s="29" t="s">
        <v>130</v>
      </c>
      <c r="R162" s="85" t="s">
        <v>130</v>
      </c>
      <c r="S162" s="85" t="s">
        <v>130</v>
      </c>
      <c r="T162" s="85" t="s">
        <v>130</v>
      </c>
      <c r="U162" s="85" t="s">
        <v>130</v>
      </c>
      <c r="V162" s="85" t="s">
        <v>130</v>
      </c>
      <c r="W162" s="85" t="s">
        <v>130</v>
      </c>
      <c r="X162" s="85" t="s">
        <v>130</v>
      </c>
      <c r="Y162" s="85" t="s">
        <v>130</v>
      </c>
      <c r="Z162" s="85" t="s">
        <v>130</v>
      </c>
      <c r="AA162" s="85" t="s">
        <v>130</v>
      </c>
      <c r="AB162" s="85" t="s">
        <v>130</v>
      </c>
      <c r="AC162" s="85" t="s">
        <v>130</v>
      </c>
      <c r="AD162" s="85" t="s">
        <v>130</v>
      </c>
      <c r="AE162" s="29" t="s">
        <v>45</v>
      </c>
      <c r="AF162" s="29" t="s">
        <v>59</v>
      </c>
      <c r="AG162" s="40" t="s">
        <v>114</v>
      </c>
      <c r="AH162" s="29" t="s">
        <v>130</v>
      </c>
      <c r="AI162" s="87" t="str">
        <f>IFERROR(VLOOKUP(AG162,[2]Frota!$D$2:$AV$187,2,FALSE),"-")</f>
        <v>-</v>
      </c>
      <c r="AJ162" s="87" t="str">
        <f>IFERROR(VLOOKUP(AG162,[2]Frota!$D$2:$AV$187,3,FALSE),"-")</f>
        <v>-</v>
      </c>
      <c r="AK162" s="29" t="s">
        <v>365</v>
      </c>
      <c r="AL162" s="29" t="s">
        <v>373</v>
      </c>
      <c r="AM162" s="34" t="s">
        <v>130</v>
      </c>
      <c r="AN162" s="34" t="s">
        <v>130</v>
      </c>
      <c r="AO162" s="152" t="s">
        <v>135</v>
      </c>
      <c r="AP162" s="29" t="s">
        <v>181</v>
      </c>
      <c r="AQ162" s="88" t="s">
        <v>305</v>
      </c>
      <c r="AR162" s="89">
        <f>VLOOKUP(AQ162,'[1]Critério de Depreciação'!$C$3:$G$8,5,FALSE)</f>
        <v>0.83333333333333337</v>
      </c>
      <c r="AS162" s="29" t="s">
        <v>299</v>
      </c>
      <c r="AT162" s="29" t="s">
        <v>300</v>
      </c>
      <c r="AU162" s="29" t="str">
        <f>IFERROR(VLOOKUP(AG207,[2]Frota!$D$2:$AV$187,12,FALSE),"-")</f>
        <v>-</v>
      </c>
      <c r="AV162" s="45">
        <v>86050</v>
      </c>
      <c r="AW162" s="90">
        <v>575000</v>
      </c>
      <c r="AX162" s="86">
        <v>44253</v>
      </c>
      <c r="AY162" s="91" t="s">
        <v>130</v>
      </c>
      <c r="AZ162" s="85">
        <v>700000</v>
      </c>
      <c r="BA162" s="123" t="s">
        <v>130</v>
      </c>
      <c r="BB162" s="124" t="s">
        <v>130</v>
      </c>
      <c r="BC162" s="85" t="s">
        <v>130</v>
      </c>
      <c r="BD162" s="85">
        <v>250000</v>
      </c>
      <c r="BE162" s="92">
        <f t="shared" si="58"/>
        <v>950000</v>
      </c>
      <c r="BF162" s="92">
        <v>930000</v>
      </c>
      <c r="BG162" s="92">
        <v>0</v>
      </c>
      <c r="BH162" s="92">
        <v>0</v>
      </c>
      <c r="BI162" s="92">
        <v>250000</v>
      </c>
      <c r="BJ162" s="92">
        <v>70000</v>
      </c>
      <c r="BK162" s="92">
        <v>0</v>
      </c>
      <c r="BL162" s="92">
        <v>0</v>
      </c>
      <c r="BM162" s="93">
        <f t="shared" si="66"/>
        <v>1250000</v>
      </c>
      <c r="BN162" s="92">
        <v>0</v>
      </c>
      <c r="BO162" s="92">
        <f>((BF162+BH162+BI162+BJ162+BK162+BL162)*20%)/12</f>
        <v>20833.333333333332</v>
      </c>
      <c r="BP162" s="92">
        <f t="shared" si="67"/>
        <v>20833.333333333332</v>
      </c>
      <c r="BQ162" s="92">
        <v>0</v>
      </c>
      <c r="BR162" s="92">
        <v>0</v>
      </c>
      <c r="BS162" s="85">
        <f t="shared" si="62"/>
        <v>9583.3333333333339</v>
      </c>
      <c r="BT162" s="125" t="s">
        <v>130</v>
      </c>
      <c r="BU162" s="125" t="s">
        <v>130</v>
      </c>
      <c r="BV162" s="125" t="s">
        <v>130</v>
      </c>
      <c r="BW162" s="126" t="s">
        <v>130</v>
      </c>
      <c r="BX162" s="127" t="s">
        <v>130</v>
      </c>
      <c r="BY162" s="29" t="s">
        <v>374</v>
      </c>
      <c r="BZ162" s="29" t="s">
        <v>130</v>
      </c>
      <c r="CA162" s="29" t="s">
        <v>130</v>
      </c>
      <c r="CB162" s="29" t="s">
        <v>130</v>
      </c>
      <c r="CC162" s="29" t="s">
        <v>130</v>
      </c>
      <c r="CD162" s="29" t="s">
        <v>130</v>
      </c>
      <c r="CE162" s="29" t="str">
        <f t="shared" si="61"/>
        <v>PR - MARINGÁ</v>
      </c>
      <c r="CF162" s="97" t="s">
        <v>130</v>
      </c>
      <c r="CG162" s="97">
        <v>196.5</v>
      </c>
      <c r="CH162" s="37">
        <f t="shared" si="63"/>
        <v>1250000</v>
      </c>
      <c r="CI162" s="98" t="s">
        <v>130</v>
      </c>
      <c r="CJ162" s="39">
        <v>5</v>
      </c>
      <c r="CK162" s="39">
        <v>5</v>
      </c>
      <c r="CL162" s="39">
        <f t="shared" si="64"/>
        <v>60</v>
      </c>
      <c r="CM162" s="99">
        <f t="shared" si="65"/>
        <v>41666.666666666664</v>
      </c>
      <c r="CN162" s="40" t="str">
        <f>IFERROR(IF(VLOOKUP(AG162,'[1]ATIVOS SAGI'!C:D,1,FALSE)&lt;&gt;"","CADASTRADO","NÃO CADASTRADO"),"NÃO CADASTRADO")</f>
        <v>CADASTRADO</v>
      </c>
      <c r="CO162" s="99">
        <f t="shared" si="57"/>
        <v>10416.666666666668</v>
      </c>
      <c r="CP162" s="100" t="s">
        <v>92</v>
      </c>
      <c r="CQ162" s="48"/>
      <c r="CR162" s="48"/>
      <c r="CS162" s="48"/>
    </row>
    <row r="163" spans="1:97" x14ac:dyDescent="0.25">
      <c r="A163" s="27">
        <v>25</v>
      </c>
      <c r="B163" s="27">
        <v>64</v>
      </c>
      <c r="C163" s="29" t="s">
        <v>296</v>
      </c>
      <c r="D163" s="40" t="s">
        <v>49</v>
      </c>
      <c r="E163" s="40" t="s">
        <v>130</v>
      </c>
      <c r="F163" s="40" t="s">
        <v>130</v>
      </c>
      <c r="G163" s="151"/>
      <c r="H163" s="41" t="s">
        <v>130</v>
      </c>
      <c r="I163" s="29" t="s">
        <v>130</v>
      </c>
      <c r="J163" s="29" t="s">
        <v>130</v>
      </c>
      <c r="K163" s="29" t="s">
        <v>130</v>
      </c>
      <c r="L163" s="85" t="s">
        <v>130</v>
      </c>
      <c r="M163" s="86" t="s">
        <v>130</v>
      </c>
      <c r="N163" s="85" t="s">
        <v>130</v>
      </c>
      <c r="O163" s="86" t="s">
        <v>130</v>
      </c>
      <c r="P163" s="85" t="s">
        <v>130</v>
      </c>
      <c r="Q163" s="29" t="s">
        <v>130</v>
      </c>
      <c r="R163" s="85" t="s">
        <v>130</v>
      </c>
      <c r="S163" s="85" t="s">
        <v>130</v>
      </c>
      <c r="T163" s="85" t="s">
        <v>130</v>
      </c>
      <c r="U163" s="85" t="s">
        <v>130</v>
      </c>
      <c r="V163" s="85" t="s">
        <v>130</v>
      </c>
      <c r="W163" s="85" t="s">
        <v>130</v>
      </c>
      <c r="X163" s="85" t="s">
        <v>130</v>
      </c>
      <c r="Y163" s="85" t="s">
        <v>130</v>
      </c>
      <c r="Z163" s="85" t="s">
        <v>130</v>
      </c>
      <c r="AA163" s="85" t="s">
        <v>130</v>
      </c>
      <c r="AB163" s="85" t="s">
        <v>130</v>
      </c>
      <c r="AC163" s="85" t="s">
        <v>130</v>
      </c>
      <c r="AD163" s="85" t="s">
        <v>130</v>
      </c>
      <c r="AE163" s="29" t="s">
        <v>45</v>
      </c>
      <c r="AF163" s="29" t="s">
        <v>57</v>
      </c>
      <c r="AG163" s="40" t="s">
        <v>117</v>
      </c>
      <c r="AH163" s="29" t="s">
        <v>130</v>
      </c>
      <c r="AI163" s="87" t="str">
        <f>IFERROR(VLOOKUP(AG163,[2]Frota!$D$2:$AV$187,2,FALSE),"-")</f>
        <v>-</v>
      </c>
      <c r="AJ163" s="87" t="str">
        <f>IFERROR(VLOOKUP(AG163,[2]Frota!$D$2:$AV$187,3,FALSE),"-")</f>
        <v>-</v>
      </c>
      <c r="AK163" s="29" t="s">
        <v>365</v>
      </c>
      <c r="AL163" s="29" t="s">
        <v>368</v>
      </c>
      <c r="AM163" s="34" t="s">
        <v>130</v>
      </c>
      <c r="AN163" s="34" t="s">
        <v>130</v>
      </c>
      <c r="AO163" s="152" t="s">
        <v>136</v>
      </c>
      <c r="AP163" s="29" t="s">
        <v>181</v>
      </c>
      <c r="AQ163" s="88" t="s">
        <v>305</v>
      </c>
      <c r="AR163" s="89">
        <f>VLOOKUP(AQ163,'[1]Critério de Depreciação'!$C$3:$G$8,5,FALSE)</f>
        <v>0.83333333333333337</v>
      </c>
      <c r="AS163" s="29" t="s">
        <v>308</v>
      </c>
      <c r="AT163" s="29" t="s">
        <v>300</v>
      </c>
      <c r="AU163" s="29" t="str">
        <f>IFERROR(VLOOKUP(AG208,[2]Frota!$D$2:$AV$187,12,FALSE),"-")</f>
        <v>-</v>
      </c>
      <c r="AV163" s="45">
        <v>12650</v>
      </c>
      <c r="AW163" s="90">
        <v>295000</v>
      </c>
      <c r="AX163" s="86">
        <v>41789</v>
      </c>
      <c r="AY163" s="91" t="s">
        <v>130</v>
      </c>
      <c r="AZ163" s="85">
        <v>250000</v>
      </c>
      <c r="BA163" s="123" t="s">
        <v>130</v>
      </c>
      <c r="BB163" s="124" t="s">
        <v>130</v>
      </c>
      <c r="BC163" s="85" t="s">
        <v>130</v>
      </c>
      <c r="BD163" s="85">
        <v>110000</v>
      </c>
      <c r="BE163" s="92">
        <f t="shared" si="58"/>
        <v>360000</v>
      </c>
      <c r="BF163" s="92">
        <v>645000</v>
      </c>
      <c r="BG163" s="92">
        <v>0</v>
      </c>
      <c r="BH163" s="92">
        <v>0</v>
      </c>
      <c r="BI163" s="92">
        <v>0</v>
      </c>
      <c r="BJ163" s="92">
        <v>0</v>
      </c>
      <c r="BK163" s="92">
        <v>0</v>
      </c>
      <c r="BL163" s="92">
        <v>110000</v>
      </c>
      <c r="BM163" s="93">
        <f t="shared" si="66"/>
        <v>755000</v>
      </c>
      <c r="BN163" s="92">
        <v>0</v>
      </c>
      <c r="BO163" s="92">
        <f>((BF163+BH163+BI163+BJ163+BK163+BL163)*20%)/12</f>
        <v>12583.333333333334</v>
      </c>
      <c r="BP163" s="92">
        <f t="shared" si="67"/>
        <v>12583.333333333334</v>
      </c>
      <c r="BQ163" s="92">
        <v>0</v>
      </c>
      <c r="BR163" s="92">
        <v>0</v>
      </c>
      <c r="BS163" s="85">
        <f t="shared" si="62"/>
        <v>4916.666666666667</v>
      </c>
      <c r="BT163" s="125" t="s">
        <v>130</v>
      </c>
      <c r="BU163" s="125" t="s">
        <v>130</v>
      </c>
      <c r="BV163" s="125" t="s">
        <v>130</v>
      </c>
      <c r="BW163" s="126" t="s">
        <v>130</v>
      </c>
      <c r="BX163" s="127" t="s">
        <v>130</v>
      </c>
      <c r="BY163" s="29" t="s">
        <v>316</v>
      </c>
      <c r="BZ163" s="29" t="s">
        <v>316</v>
      </c>
      <c r="CA163" s="29" t="s">
        <v>130</v>
      </c>
      <c r="CB163" s="29" t="s">
        <v>130</v>
      </c>
      <c r="CC163" s="29" t="s">
        <v>130</v>
      </c>
      <c r="CD163" s="29" t="s">
        <v>130</v>
      </c>
      <c r="CE163" s="29" t="str">
        <f t="shared" si="61"/>
        <v>PR - LONDRINA</v>
      </c>
      <c r="CF163" s="97" t="s">
        <v>130</v>
      </c>
      <c r="CG163" s="97" t="s">
        <v>130</v>
      </c>
      <c r="CH163" s="37">
        <f t="shared" si="63"/>
        <v>755000</v>
      </c>
      <c r="CI163" s="98" t="s">
        <v>130</v>
      </c>
      <c r="CJ163" s="39">
        <v>5</v>
      </c>
      <c r="CK163" s="39">
        <v>5</v>
      </c>
      <c r="CL163" s="39">
        <f t="shared" si="64"/>
        <v>60</v>
      </c>
      <c r="CM163" s="99">
        <f t="shared" si="65"/>
        <v>25166.666666666668</v>
      </c>
      <c r="CN163" s="40" t="str">
        <f>IFERROR(IF(VLOOKUP(AG163,'[1]ATIVOS SAGI'!C:D,1,FALSE)&lt;&gt;"","CADASTRADO","NÃO CADASTRADO"),"NÃO CADASTRADO")</f>
        <v>CADASTRADO</v>
      </c>
      <c r="CO163" s="99">
        <f t="shared" si="57"/>
        <v>6291.6666666666679</v>
      </c>
      <c r="CP163" s="100" t="s">
        <v>92</v>
      </c>
      <c r="CQ163" s="48"/>
      <c r="CR163" s="48"/>
      <c r="CS163" s="48"/>
    </row>
    <row r="164" spans="1:97" x14ac:dyDescent="0.25">
      <c r="A164" s="27">
        <v>33</v>
      </c>
      <c r="B164" s="27">
        <v>72</v>
      </c>
      <c r="C164" s="29" t="s">
        <v>296</v>
      </c>
      <c r="D164" s="40" t="s">
        <v>49</v>
      </c>
      <c r="E164" s="40" t="s">
        <v>130</v>
      </c>
      <c r="F164" s="40" t="s">
        <v>130</v>
      </c>
      <c r="G164" s="40"/>
      <c r="H164" s="41" t="s">
        <v>130</v>
      </c>
      <c r="I164" s="29" t="s">
        <v>130</v>
      </c>
      <c r="J164" s="29" t="s">
        <v>130</v>
      </c>
      <c r="K164" s="29" t="s">
        <v>130</v>
      </c>
      <c r="L164" s="85" t="s">
        <v>130</v>
      </c>
      <c r="M164" s="86" t="s">
        <v>130</v>
      </c>
      <c r="N164" s="85" t="s">
        <v>130</v>
      </c>
      <c r="O164" s="86" t="s">
        <v>130</v>
      </c>
      <c r="P164" s="85" t="s">
        <v>130</v>
      </c>
      <c r="Q164" s="29" t="s">
        <v>130</v>
      </c>
      <c r="R164" s="85" t="s">
        <v>130</v>
      </c>
      <c r="S164" s="85" t="s">
        <v>130</v>
      </c>
      <c r="T164" s="85" t="s">
        <v>130</v>
      </c>
      <c r="U164" s="85" t="s">
        <v>130</v>
      </c>
      <c r="V164" s="85" t="s">
        <v>130</v>
      </c>
      <c r="W164" s="85" t="s">
        <v>130</v>
      </c>
      <c r="X164" s="85" t="s">
        <v>130</v>
      </c>
      <c r="Y164" s="85" t="s">
        <v>130</v>
      </c>
      <c r="Z164" s="85" t="s">
        <v>130</v>
      </c>
      <c r="AA164" s="85" t="s">
        <v>130</v>
      </c>
      <c r="AB164" s="85" t="s">
        <v>130</v>
      </c>
      <c r="AC164" s="85" t="s">
        <v>130</v>
      </c>
      <c r="AD164" s="85" t="s">
        <v>130</v>
      </c>
      <c r="AE164" s="29" t="s">
        <v>45</v>
      </c>
      <c r="AF164" s="29" t="s">
        <v>115</v>
      </c>
      <c r="AG164" s="40" t="s">
        <v>119</v>
      </c>
      <c r="AH164" s="29" t="s">
        <v>130</v>
      </c>
      <c r="AI164" s="87" t="str">
        <f>IFERROR(VLOOKUP(AG164,[2]Frota!$D$2:$AV$187,2,FALSE),"-")</f>
        <v>-</v>
      </c>
      <c r="AJ164" s="87" t="str">
        <f>IFERROR(VLOOKUP(AG164,[2]Frota!$D$2:$AV$187,3,FALSE),"-")</f>
        <v>-</v>
      </c>
      <c r="AK164" s="29" t="s">
        <v>365</v>
      </c>
      <c r="AL164" s="29" t="s">
        <v>375</v>
      </c>
      <c r="AM164" s="34" t="s">
        <v>130</v>
      </c>
      <c r="AN164" s="34" t="s">
        <v>130</v>
      </c>
      <c r="AO164" s="152" t="s">
        <v>137</v>
      </c>
      <c r="AP164" s="29" t="s">
        <v>181</v>
      </c>
      <c r="AQ164" s="88" t="s">
        <v>305</v>
      </c>
      <c r="AR164" s="89">
        <f>VLOOKUP(AQ164,'[1]Critério de Depreciação'!$C$3:$G$8,5,FALSE)</f>
        <v>0.83333333333333337</v>
      </c>
      <c r="AS164" s="29" t="s">
        <v>299</v>
      </c>
      <c r="AT164" s="29" t="s">
        <v>300</v>
      </c>
      <c r="AU164" s="29" t="str">
        <f>IFERROR(VLOOKUP(AG207,[2]Frota!$D$2:$AV$187,12,FALSE),"-")</f>
        <v>-</v>
      </c>
      <c r="AV164" s="45">
        <v>42882</v>
      </c>
      <c r="AW164" s="90">
        <v>380000</v>
      </c>
      <c r="AX164" s="86">
        <v>43185</v>
      </c>
      <c r="AY164" s="91" t="s">
        <v>130</v>
      </c>
      <c r="AZ164" s="85">
        <v>300000</v>
      </c>
      <c r="BA164" s="123" t="s">
        <v>130</v>
      </c>
      <c r="BB164" s="124" t="s">
        <v>130</v>
      </c>
      <c r="BC164" s="85" t="s">
        <v>130</v>
      </c>
      <c r="BD164" s="85">
        <v>110000</v>
      </c>
      <c r="BE164" s="92">
        <f t="shared" si="58"/>
        <v>410000</v>
      </c>
      <c r="BF164" s="92">
        <v>765000</v>
      </c>
      <c r="BG164" s="92">
        <v>0</v>
      </c>
      <c r="BH164" s="92">
        <v>0</v>
      </c>
      <c r="BI164" s="92">
        <v>0</v>
      </c>
      <c r="BJ164" s="92">
        <v>0</v>
      </c>
      <c r="BK164" s="92">
        <v>0</v>
      </c>
      <c r="BL164" s="92">
        <v>127000</v>
      </c>
      <c r="BM164" s="93">
        <f t="shared" si="66"/>
        <v>892000</v>
      </c>
      <c r="BN164" s="92">
        <v>0</v>
      </c>
      <c r="BO164" s="92">
        <f>(BM164*20%)/12</f>
        <v>14866.666666666666</v>
      </c>
      <c r="BP164" s="92">
        <f t="shared" si="67"/>
        <v>14866.666666666666</v>
      </c>
      <c r="BQ164" s="92">
        <v>0</v>
      </c>
      <c r="BR164" s="92">
        <v>0</v>
      </c>
      <c r="BS164" s="85">
        <f t="shared" si="62"/>
        <v>6333.333333333333</v>
      </c>
      <c r="BT164" s="125" t="s">
        <v>130</v>
      </c>
      <c r="BU164" s="125" t="s">
        <v>130</v>
      </c>
      <c r="BV164" s="125" t="s">
        <v>130</v>
      </c>
      <c r="BW164" s="126" t="s">
        <v>130</v>
      </c>
      <c r="BX164" s="127" t="s">
        <v>130</v>
      </c>
      <c r="BY164" s="29" t="s">
        <v>376</v>
      </c>
      <c r="BZ164" s="29" t="s">
        <v>376</v>
      </c>
      <c r="CA164" s="29" t="s">
        <v>130</v>
      </c>
      <c r="CB164" s="29" t="s">
        <v>130</v>
      </c>
      <c r="CC164" s="29" t="s">
        <v>130</v>
      </c>
      <c r="CD164" s="29" t="s">
        <v>130</v>
      </c>
      <c r="CE164" s="29" t="str">
        <f t="shared" si="61"/>
        <v>RJ - BARRA MANSA</v>
      </c>
      <c r="CF164" s="97" t="s">
        <v>130</v>
      </c>
      <c r="CG164" s="97" t="s">
        <v>130</v>
      </c>
      <c r="CH164" s="37">
        <f t="shared" si="63"/>
        <v>892000</v>
      </c>
      <c r="CI164" s="98" t="s">
        <v>130</v>
      </c>
      <c r="CJ164" s="39">
        <v>5</v>
      </c>
      <c r="CK164" s="39">
        <v>5</v>
      </c>
      <c r="CL164" s="39">
        <f t="shared" si="64"/>
        <v>60</v>
      </c>
      <c r="CM164" s="99">
        <f t="shared" si="65"/>
        <v>29733.333333333332</v>
      </c>
      <c r="CN164" s="40" t="str">
        <f>IFERROR(IF(VLOOKUP(AG164,'[1]ATIVOS SAGI'!C:D,1,FALSE)&lt;&gt;"","CADASTRADO","NÃO CADASTRADO"),"NÃO CADASTRADO")</f>
        <v>CADASTRADO</v>
      </c>
      <c r="CO164" s="99">
        <f t="shared" si="57"/>
        <v>7433.3333333333339</v>
      </c>
      <c r="CP164" s="100" t="s">
        <v>92</v>
      </c>
      <c r="CQ164" s="48"/>
      <c r="CR164" s="48"/>
      <c r="CS164" s="48"/>
    </row>
    <row r="165" spans="1:97" x14ac:dyDescent="0.25">
      <c r="A165" s="27">
        <v>34</v>
      </c>
      <c r="B165" s="27">
        <v>73</v>
      </c>
      <c r="C165" s="29" t="s">
        <v>296</v>
      </c>
      <c r="D165" s="40" t="s">
        <v>49</v>
      </c>
      <c r="E165" s="40" t="s">
        <v>130</v>
      </c>
      <c r="F165" s="40" t="s">
        <v>130</v>
      </c>
      <c r="G165" s="151"/>
      <c r="H165" s="41" t="s">
        <v>130</v>
      </c>
      <c r="I165" s="29" t="s">
        <v>130</v>
      </c>
      <c r="J165" s="29" t="s">
        <v>130</v>
      </c>
      <c r="K165" s="29" t="s">
        <v>130</v>
      </c>
      <c r="L165" s="85" t="s">
        <v>130</v>
      </c>
      <c r="M165" s="86" t="s">
        <v>130</v>
      </c>
      <c r="N165" s="85" t="s">
        <v>130</v>
      </c>
      <c r="O165" s="86" t="s">
        <v>130</v>
      </c>
      <c r="P165" s="85" t="s">
        <v>130</v>
      </c>
      <c r="Q165" s="29" t="s">
        <v>130</v>
      </c>
      <c r="R165" s="85" t="s">
        <v>130</v>
      </c>
      <c r="S165" s="85" t="s">
        <v>130</v>
      </c>
      <c r="T165" s="85" t="s">
        <v>130</v>
      </c>
      <c r="U165" s="85" t="s">
        <v>130</v>
      </c>
      <c r="V165" s="85" t="s">
        <v>130</v>
      </c>
      <c r="W165" s="85" t="s">
        <v>130</v>
      </c>
      <c r="X165" s="85" t="s">
        <v>130</v>
      </c>
      <c r="Y165" s="85" t="s">
        <v>130</v>
      </c>
      <c r="Z165" s="85" t="s">
        <v>130</v>
      </c>
      <c r="AA165" s="85" t="s">
        <v>130</v>
      </c>
      <c r="AB165" s="85" t="s">
        <v>130</v>
      </c>
      <c r="AC165" s="85" t="s">
        <v>130</v>
      </c>
      <c r="AD165" s="85" t="s">
        <v>130</v>
      </c>
      <c r="AE165" s="29" t="s">
        <v>45</v>
      </c>
      <c r="AF165" s="29" t="s">
        <v>53</v>
      </c>
      <c r="AG165" s="40" t="s">
        <v>88</v>
      </c>
      <c r="AH165" s="29" t="s">
        <v>130</v>
      </c>
      <c r="AI165" s="87" t="str">
        <f>IFERROR(VLOOKUP(AG165,[2]Frota!$D$2:$AV$187,2,FALSE),"-")</f>
        <v>-</v>
      </c>
      <c r="AJ165" s="87" t="str">
        <f>IFERROR(VLOOKUP(AG165,[2]Frota!$D$2:$AV$187,3,FALSE),"-")</f>
        <v>-</v>
      </c>
      <c r="AK165" s="29" t="s">
        <v>365</v>
      </c>
      <c r="AL165" s="29" t="s">
        <v>377</v>
      </c>
      <c r="AM165" s="34" t="s">
        <v>130</v>
      </c>
      <c r="AN165" s="34" t="s">
        <v>130</v>
      </c>
      <c r="AO165" s="152" t="s">
        <v>125</v>
      </c>
      <c r="AP165" s="29" t="s">
        <v>181</v>
      </c>
      <c r="AQ165" s="88" t="s">
        <v>305</v>
      </c>
      <c r="AR165" s="89">
        <f>VLOOKUP(AQ165,'[1]Critério de Depreciação'!$C$3:$G$8,5,FALSE)</f>
        <v>0.83333333333333337</v>
      </c>
      <c r="AS165" s="29" t="s">
        <v>299</v>
      </c>
      <c r="AT165" s="29" t="s">
        <v>300</v>
      </c>
      <c r="AU165" s="29" t="str">
        <f>IFERROR(VLOOKUP(AG208,[2]Frota!$D$2:$AV$187,12,FALSE),"-")</f>
        <v>-</v>
      </c>
      <c r="AV165" s="181">
        <v>20829</v>
      </c>
      <c r="AW165" s="90">
        <v>380000</v>
      </c>
      <c r="AX165" s="86">
        <v>44174</v>
      </c>
      <c r="AY165" s="91" t="s">
        <v>130</v>
      </c>
      <c r="AZ165" s="85">
        <v>310000</v>
      </c>
      <c r="BA165" s="123" t="s">
        <v>130</v>
      </c>
      <c r="BB165" s="86" t="s">
        <v>130</v>
      </c>
      <c r="BC165" s="85" t="s">
        <v>130</v>
      </c>
      <c r="BD165" s="85">
        <v>110000</v>
      </c>
      <c r="BE165" s="92">
        <f t="shared" si="58"/>
        <v>420000</v>
      </c>
      <c r="BF165" s="92">
        <v>765000</v>
      </c>
      <c r="BG165" s="92">
        <v>0</v>
      </c>
      <c r="BH165" s="92">
        <v>0</v>
      </c>
      <c r="BI165" s="92">
        <v>0</v>
      </c>
      <c r="BJ165" s="92">
        <v>0</v>
      </c>
      <c r="BK165" s="92">
        <v>0</v>
      </c>
      <c r="BL165" s="92">
        <v>127000</v>
      </c>
      <c r="BM165" s="93">
        <f t="shared" si="66"/>
        <v>892000</v>
      </c>
      <c r="BN165" s="92">
        <v>0</v>
      </c>
      <c r="BO165" s="92">
        <f>(BM165*20%)/12</f>
        <v>14866.666666666666</v>
      </c>
      <c r="BP165" s="92">
        <f t="shared" si="67"/>
        <v>14866.666666666666</v>
      </c>
      <c r="BQ165" s="92">
        <v>0</v>
      </c>
      <c r="BR165" s="92">
        <v>0</v>
      </c>
      <c r="BS165" s="85">
        <f t="shared" si="62"/>
        <v>6333.333333333333</v>
      </c>
      <c r="BT165" s="94" t="s">
        <v>130</v>
      </c>
      <c r="BU165" s="94" t="s">
        <v>130</v>
      </c>
      <c r="BV165" s="94" t="s">
        <v>130</v>
      </c>
      <c r="BW165" s="95" t="s">
        <v>130</v>
      </c>
      <c r="BX165" s="96" t="s">
        <v>130</v>
      </c>
      <c r="BY165" s="29" t="s">
        <v>378</v>
      </c>
      <c r="BZ165" s="29" t="s">
        <v>378</v>
      </c>
      <c r="CA165" s="29" t="s">
        <v>130</v>
      </c>
      <c r="CB165" s="29" t="s">
        <v>130</v>
      </c>
      <c r="CC165" s="29" t="s">
        <v>130</v>
      </c>
      <c r="CD165" s="29" t="s">
        <v>130</v>
      </c>
      <c r="CE165" s="29" t="str">
        <f t="shared" si="61"/>
        <v>MS - CAMPO GRANDE</v>
      </c>
      <c r="CF165" s="97" t="s">
        <v>130</v>
      </c>
      <c r="CG165" s="97" t="s">
        <v>130</v>
      </c>
      <c r="CH165" s="37">
        <f t="shared" si="63"/>
        <v>892000</v>
      </c>
      <c r="CI165" s="98" t="s">
        <v>130</v>
      </c>
      <c r="CJ165" s="39">
        <v>5</v>
      </c>
      <c r="CK165" s="39">
        <v>5</v>
      </c>
      <c r="CL165" s="39">
        <f t="shared" si="64"/>
        <v>60</v>
      </c>
      <c r="CM165" s="99">
        <f t="shared" si="65"/>
        <v>29733.333333333332</v>
      </c>
      <c r="CN165" s="40" t="str">
        <f>IFERROR(IF(VLOOKUP(AG165,'[1]ATIVOS SAGI'!C:D,1,FALSE)&lt;&gt;"","CADASTRADO","NÃO CADASTRADO"),"NÃO CADASTRADO")</f>
        <v>CADASTRADO</v>
      </c>
      <c r="CO165" s="99">
        <f t="shared" si="57"/>
        <v>7433.3333333333339</v>
      </c>
      <c r="CP165" s="100" t="s">
        <v>92</v>
      </c>
      <c r="CQ165" s="48"/>
      <c r="CR165" s="48"/>
      <c r="CS165" s="48"/>
    </row>
    <row r="166" spans="1:97" x14ac:dyDescent="0.25">
      <c r="A166" s="27">
        <v>35</v>
      </c>
      <c r="B166" s="27">
        <v>74</v>
      </c>
      <c r="C166" s="29" t="s">
        <v>296</v>
      </c>
      <c r="D166" s="40" t="s">
        <v>49</v>
      </c>
      <c r="E166" s="40" t="s">
        <v>130</v>
      </c>
      <c r="F166" s="40" t="s">
        <v>130</v>
      </c>
      <c r="G166" s="151"/>
      <c r="H166" s="41" t="s">
        <v>130</v>
      </c>
      <c r="I166" s="29" t="s">
        <v>130</v>
      </c>
      <c r="J166" s="29" t="s">
        <v>130</v>
      </c>
      <c r="K166" s="29" t="s">
        <v>130</v>
      </c>
      <c r="L166" s="85" t="s">
        <v>130</v>
      </c>
      <c r="M166" s="86" t="s">
        <v>130</v>
      </c>
      <c r="N166" s="85" t="s">
        <v>130</v>
      </c>
      <c r="O166" s="86" t="s">
        <v>130</v>
      </c>
      <c r="P166" s="85" t="s">
        <v>130</v>
      </c>
      <c r="Q166" s="29" t="s">
        <v>130</v>
      </c>
      <c r="R166" s="85" t="s">
        <v>130</v>
      </c>
      <c r="S166" s="85" t="s">
        <v>130</v>
      </c>
      <c r="T166" s="85" t="s">
        <v>130</v>
      </c>
      <c r="U166" s="85" t="s">
        <v>130</v>
      </c>
      <c r="V166" s="85" t="s">
        <v>130</v>
      </c>
      <c r="W166" s="85" t="s">
        <v>130</v>
      </c>
      <c r="X166" s="85" t="s">
        <v>130</v>
      </c>
      <c r="Y166" s="85" t="s">
        <v>130</v>
      </c>
      <c r="Z166" s="85" t="s">
        <v>130</v>
      </c>
      <c r="AA166" s="85" t="s">
        <v>130</v>
      </c>
      <c r="AB166" s="85" t="s">
        <v>130</v>
      </c>
      <c r="AC166" s="85" t="s">
        <v>130</v>
      </c>
      <c r="AD166" s="85" t="s">
        <v>130</v>
      </c>
      <c r="AE166" s="29" t="s">
        <v>45</v>
      </c>
      <c r="AF166" s="29" t="s">
        <v>302</v>
      </c>
      <c r="AG166" s="40" t="s">
        <v>118</v>
      </c>
      <c r="AH166" s="29" t="s">
        <v>130</v>
      </c>
      <c r="AI166" s="87" t="str">
        <f>IFERROR(VLOOKUP(AG166,[2]Frota!$D$2:$AV$187,2,FALSE),"-")</f>
        <v>-</v>
      </c>
      <c r="AJ166" s="87" t="str">
        <f>IFERROR(VLOOKUP(AG166,[2]Frota!$D$2:$AV$187,3,FALSE),"-")</f>
        <v>-</v>
      </c>
      <c r="AK166" s="29" t="s">
        <v>365</v>
      </c>
      <c r="AL166" s="29" t="s">
        <v>379</v>
      </c>
      <c r="AM166" s="34" t="s">
        <v>130</v>
      </c>
      <c r="AN166" s="34" t="s">
        <v>130</v>
      </c>
      <c r="AO166" s="152" t="s">
        <v>137</v>
      </c>
      <c r="AP166" s="29" t="s">
        <v>181</v>
      </c>
      <c r="AQ166" s="88" t="s">
        <v>305</v>
      </c>
      <c r="AR166" s="89">
        <f>VLOOKUP(AQ166,'[1]Critério de Depreciação'!$C$3:$G$8,5,FALSE)</f>
        <v>0.83333333333333337</v>
      </c>
      <c r="AS166" s="29" t="s">
        <v>299</v>
      </c>
      <c r="AT166" s="29" t="s">
        <v>300</v>
      </c>
      <c r="AU166" s="29" t="str">
        <f>IFERROR(VLOOKUP(AG209,[2]Frota!$D$2:$AV$187,12,FALSE),"-")</f>
        <v>-</v>
      </c>
      <c r="AV166" s="181">
        <v>4804</v>
      </c>
      <c r="AW166" s="90">
        <v>400000</v>
      </c>
      <c r="AX166" s="86">
        <v>44735</v>
      </c>
      <c r="AY166" s="91">
        <v>420000</v>
      </c>
      <c r="AZ166" s="85">
        <v>360000</v>
      </c>
      <c r="BA166" s="123" t="s">
        <v>130</v>
      </c>
      <c r="BB166" s="124" t="s">
        <v>130</v>
      </c>
      <c r="BC166" s="85" t="s">
        <v>130</v>
      </c>
      <c r="BD166" s="85">
        <v>105000</v>
      </c>
      <c r="BE166" s="92">
        <f t="shared" si="58"/>
        <v>465000</v>
      </c>
      <c r="BF166" s="92">
        <v>765000</v>
      </c>
      <c r="BG166" s="92">
        <v>0</v>
      </c>
      <c r="BH166" s="92">
        <v>0</v>
      </c>
      <c r="BI166" s="92">
        <v>0</v>
      </c>
      <c r="BJ166" s="92">
        <v>70000</v>
      </c>
      <c r="BK166" s="92">
        <v>0</v>
      </c>
      <c r="BL166" s="92">
        <v>127000</v>
      </c>
      <c r="BM166" s="93">
        <f t="shared" si="66"/>
        <v>962000</v>
      </c>
      <c r="BN166" s="92">
        <v>0</v>
      </c>
      <c r="BO166" s="92">
        <f>(BM166*20%)/12</f>
        <v>16033.333333333334</v>
      </c>
      <c r="BP166" s="92">
        <f t="shared" si="67"/>
        <v>16033.333333333334</v>
      </c>
      <c r="BQ166" s="92">
        <v>0</v>
      </c>
      <c r="BR166" s="92">
        <v>0</v>
      </c>
      <c r="BS166" s="85">
        <f t="shared" si="62"/>
        <v>6666.666666666667</v>
      </c>
      <c r="BT166" s="94" t="s">
        <v>130</v>
      </c>
      <c r="BU166" s="94" t="s">
        <v>130</v>
      </c>
      <c r="BV166" s="94" t="s">
        <v>130</v>
      </c>
      <c r="BW166" s="95" t="s">
        <v>130</v>
      </c>
      <c r="BX166" s="96" t="s">
        <v>130</v>
      </c>
      <c r="BY166" s="29" t="s">
        <v>312</v>
      </c>
      <c r="BZ166" s="29" t="s">
        <v>312</v>
      </c>
      <c r="CA166" s="29" t="s">
        <v>130</v>
      </c>
      <c r="CB166" s="29" t="s">
        <v>130</v>
      </c>
      <c r="CC166" s="29" t="s">
        <v>130</v>
      </c>
      <c r="CD166" s="29" t="s">
        <v>130</v>
      </c>
      <c r="CE166" s="29" t="str">
        <f t="shared" si="61"/>
        <v>SP - PRUDENTE</v>
      </c>
      <c r="CF166" s="97" t="s">
        <v>130</v>
      </c>
      <c r="CG166" s="97">
        <v>15014.6</v>
      </c>
      <c r="CH166" s="37">
        <f t="shared" si="63"/>
        <v>962000</v>
      </c>
      <c r="CI166" s="98" t="s">
        <v>130</v>
      </c>
      <c r="CJ166" s="39">
        <v>5</v>
      </c>
      <c r="CK166" s="39">
        <v>5</v>
      </c>
      <c r="CL166" s="39">
        <f t="shared" si="64"/>
        <v>60</v>
      </c>
      <c r="CM166" s="99">
        <f t="shared" si="65"/>
        <v>32066.666666666668</v>
      </c>
      <c r="CN166" s="40" t="str">
        <f>IFERROR(IF(VLOOKUP(AG166,'[1]ATIVOS SAGI'!C:D,1,FALSE)&lt;&gt;"","CADASTRADO","NÃO CADASTRADO"),"NÃO CADASTRADO")</f>
        <v>CADASTRADO</v>
      </c>
      <c r="CO166" s="99">
        <f t="shared" si="57"/>
        <v>8016.6666666666679</v>
      </c>
      <c r="CP166" s="100" t="s">
        <v>92</v>
      </c>
      <c r="CQ166" s="48"/>
      <c r="CR166" s="48"/>
      <c r="CS166" s="48"/>
    </row>
    <row r="167" spans="1:97" x14ac:dyDescent="0.25">
      <c r="A167" s="27">
        <v>36</v>
      </c>
      <c r="B167" s="27">
        <v>75</v>
      </c>
      <c r="C167" s="29" t="s">
        <v>330</v>
      </c>
      <c r="D167" s="40" t="s">
        <v>331</v>
      </c>
      <c r="E167" s="40" t="s">
        <v>130</v>
      </c>
      <c r="F167" s="84" t="s">
        <v>130</v>
      </c>
      <c r="G167" s="40"/>
      <c r="H167" s="41" t="s">
        <v>130</v>
      </c>
      <c r="I167" s="29" t="s">
        <v>130</v>
      </c>
      <c r="J167" s="29" t="s">
        <v>130</v>
      </c>
      <c r="K167" s="29" t="s">
        <v>130</v>
      </c>
      <c r="L167" s="85" t="s">
        <v>130</v>
      </c>
      <c r="M167" s="86" t="s">
        <v>130</v>
      </c>
      <c r="N167" s="85" t="s">
        <v>130</v>
      </c>
      <c r="O167" s="86" t="s">
        <v>130</v>
      </c>
      <c r="P167" s="85" t="s">
        <v>130</v>
      </c>
      <c r="Q167" s="29" t="s">
        <v>130</v>
      </c>
      <c r="R167" s="85" t="s">
        <v>130</v>
      </c>
      <c r="S167" s="85" t="s">
        <v>130</v>
      </c>
      <c r="T167" s="85" t="s">
        <v>130</v>
      </c>
      <c r="U167" s="85" t="s">
        <v>130</v>
      </c>
      <c r="V167" s="85" t="s">
        <v>130</v>
      </c>
      <c r="W167" s="85" t="s">
        <v>130</v>
      </c>
      <c r="X167" s="85" t="s">
        <v>130</v>
      </c>
      <c r="Y167" s="85" t="s">
        <v>130</v>
      </c>
      <c r="Z167" s="85" t="s">
        <v>130</v>
      </c>
      <c r="AA167" s="85" t="s">
        <v>130</v>
      </c>
      <c r="AB167" s="85" t="s">
        <v>130</v>
      </c>
      <c r="AC167" s="85" t="s">
        <v>130</v>
      </c>
      <c r="AD167" s="85" t="s">
        <v>130</v>
      </c>
      <c r="AE167" s="29" t="s">
        <v>45</v>
      </c>
      <c r="AF167" s="29" t="s">
        <v>103</v>
      </c>
      <c r="AG167" s="40" t="s">
        <v>380</v>
      </c>
      <c r="AH167" s="29" t="s">
        <v>130</v>
      </c>
      <c r="AI167" s="87" t="str">
        <f>IFERROR(VLOOKUP(AG167,[2]Frota!$D$2:$AV$187,2,FALSE),"-")</f>
        <v>-</v>
      </c>
      <c r="AJ167" s="87" t="str">
        <f>IFERROR(VLOOKUP(AG167,[2]Frota!$D$2:$AV$187,3,FALSE),"-")</f>
        <v>-</v>
      </c>
      <c r="AK167" s="29" t="s">
        <v>365</v>
      </c>
      <c r="AL167" s="29" t="s">
        <v>381</v>
      </c>
      <c r="AM167" s="34" t="s">
        <v>130</v>
      </c>
      <c r="AN167" s="34" t="s">
        <v>130</v>
      </c>
      <c r="AO167" s="40" t="s">
        <v>138</v>
      </c>
      <c r="AP167" s="29" t="s">
        <v>181</v>
      </c>
      <c r="AQ167" s="88" t="s">
        <v>305</v>
      </c>
      <c r="AR167" s="89">
        <f>VLOOKUP(AQ167,'[1]Critério de Depreciação'!$C$3:$G$8,5,FALSE)</f>
        <v>0.83333333333333337</v>
      </c>
      <c r="AS167" s="29" t="s">
        <v>299</v>
      </c>
      <c r="AT167" s="29" t="s">
        <v>300</v>
      </c>
      <c r="AU167" s="29" t="str">
        <f>IFERROR(VLOOKUP(AG210,[2]Frota!$D$2:$AV$187,12,FALSE),"-")</f>
        <v>-</v>
      </c>
      <c r="AV167" s="45">
        <v>2117</v>
      </c>
      <c r="AW167" s="90">
        <v>775000</v>
      </c>
      <c r="AX167" s="86">
        <v>44680</v>
      </c>
      <c r="AY167" s="91">
        <v>820000</v>
      </c>
      <c r="AZ167" s="85">
        <v>550000</v>
      </c>
      <c r="BA167" s="123" t="s">
        <v>130</v>
      </c>
      <c r="BB167" s="86" t="s">
        <v>130</v>
      </c>
      <c r="BC167" s="85" t="s">
        <v>130</v>
      </c>
      <c r="BD167" s="85">
        <v>0</v>
      </c>
      <c r="BE167" s="92">
        <f t="shared" si="58"/>
        <v>550000</v>
      </c>
      <c r="BF167" s="92">
        <v>765000</v>
      </c>
      <c r="BG167" s="92">
        <v>0</v>
      </c>
      <c r="BH167" s="92">
        <v>0</v>
      </c>
      <c r="BI167" s="92">
        <v>0</v>
      </c>
      <c r="BJ167" s="92">
        <v>0</v>
      </c>
      <c r="BK167" s="92">
        <v>1000000</v>
      </c>
      <c r="BL167" s="92">
        <v>0</v>
      </c>
      <c r="BM167" s="93">
        <f t="shared" si="66"/>
        <v>1765000</v>
      </c>
      <c r="BN167" s="92">
        <v>0</v>
      </c>
      <c r="BO167" s="92">
        <f>(BM167*20%)/12</f>
        <v>29416.666666666668</v>
      </c>
      <c r="BP167" s="92">
        <f t="shared" si="67"/>
        <v>29416.666666666668</v>
      </c>
      <c r="BQ167" s="92">
        <v>0</v>
      </c>
      <c r="BR167" s="92">
        <v>0</v>
      </c>
      <c r="BS167" s="85">
        <f t="shared" si="62"/>
        <v>12916.666666666666</v>
      </c>
      <c r="BT167" s="125" t="s">
        <v>130</v>
      </c>
      <c r="BU167" s="125" t="s">
        <v>130</v>
      </c>
      <c r="BV167" s="125" t="s">
        <v>130</v>
      </c>
      <c r="BW167" s="126" t="s">
        <v>130</v>
      </c>
      <c r="BX167" s="127" t="s">
        <v>130</v>
      </c>
      <c r="BY167" s="29" t="s">
        <v>372</v>
      </c>
      <c r="BZ167" s="29" t="s">
        <v>372</v>
      </c>
      <c r="CA167" s="29" t="s">
        <v>130</v>
      </c>
      <c r="CB167" s="29" t="s">
        <v>130</v>
      </c>
      <c r="CC167" s="29" t="s">
        <v>130</v>
      </c>
      <c r="CD167" s="29" t="s">
        <v>130</v>
      </c>
      <c r="CE167" s="29" t="str">
        <f t="shared" si="61"/>
        <v>SC - JOINVILLE</v>
      </c>
      <c r="CF167" s="97" t="s">
        <v>130</v>
      </c>
      <c r="CG167" s="97" t="s">
        <v>130</v>
      </c>
      <c r="CH167" s="37">
        <f t="shared" si="63"/>
        <v>1765000</v>
      </c>
      <c r="CI167" s="98" t="s">
        <v>130</v>
      </c>
      <c r="CJ167" s="39">
        <v>5</v>
      </c>
      <c r="CK167" s="39">
        <v>5</v>
      </c>
      <c r="CL167" s="39">
        <f t="shared" si="64"/>
        <v>60</v>
      </c>
      <c r="CM167" s="99">
        <f t="shared" si="65"/>
        <v>58833.333333333336</v>
      </c>
      <c r="CN167" s="40" t="str">
        <f>IFERROR(IF(VLOOKUP(AG167,'[1]ATIVOS SAGI'!C:D,1,FALSE)&lt;&gt;"","CADASTRADO","NÃO CADASTRADO"),"NÃO CADASTRADO")</f>
        <v>NÃO CADASTRADO</v>
      </c>
      <c r="CO167" s="99">
        <f t="shared" si="57"/>
        <v>14708.333333333336</v>
      </c>
      <c r="CP167" s="48"/>
      <c r="CQ167" s="48"/>
      <c r="CR167" s="48"/>
      <c r="CS167" s="48"/>
    </row>
    <row r="168" spans="1:97" x14ac:dyDescent="0.25">
      <c r="A168" s="27">
        <v>32</v>
      </c>
      <c r="B168" s="27">
        <v>71</v>
      </c>
      <c r="C168" s="29" t="s">
        <v>296</v>
      </c>
      <c r="D168" s="40" t="s">
        <v>49</v>
      </c>
      <c r="E168" s="40" t="s">
        <v>130</v>
      </c>
      <c r="F168" s="40" t="s">
        <v>130</v>
      </c>
      <c r="G168" s="151"/>
      <c r="H168" s="41" t="s">
        <v>130</v>
      </c>
      <c r="I168" s="29" t="s">
        <v>130</v>
      </c>
      <c r="J168" s="29" t="s">
        <v>130</v>
      </c>
      <c r="K168" s="29" t="s">
        <v>130</v>
      </c>
      <c r="L168" s="85" t="s">
        <v>130</v>
      </c>
      <c r="M168" s="86" t="s">
        <v>130</v>
      </c>
      <c r="N168" s="85" t="s">
        <v>130</v>
      </c>
      <c r="O168" s="86" t="s">
        <v>130</v>
      </c>
      <c r="P168" s="85" t="s">
        <v>130</v>
      </c>
      <c r="Q168" s="29" t="s">
        <v>130</v>
      </c>
      <c r="R168" s="85" t="s">
        <v>130</v>
      </c>
      <c r="S168" s="85" t="s">
        <v>130</v>
      </c>
      <c r="T168" s="85" t="s">
        <v>130</v>
      </c>
      <c r="U168" s="85" t="s">
        <v>130</v>
      </c>
      <c r="V168" s="85" t="s">
        <v>130</v>
      </c>
      <c r="W168" s="85" t="s">
        <v>130</v>
      </c>
      <c r="X168" s="85" t="s">
        <v>130</v>
      </c>
      <c r="Y168" s="85" t="s">
        <v>130</v>
      </c>
      <c r="Z168" s="85" t="s">
        <v>130</v>
      </c>
      <c r="AA168" s="85" t="s">
        <v>130</v>
      </c>
      <c r="AB168" s="85" t="s">
        <v>130</v>
      </c>
      <c r="AC168" s="85" t="s">
        <v>130</v>
      </c>
      <c r="AD168" s="85" t="s">
        <v>130</v>
      </c>
      <c r="AE168" s="29" t="s">
        <v>45</v>
      </c>
      <c r="AF168" s="29" t="s">
        <v>55</v>
      </c>
      <c r="AG168" s="40" t="s">
        <v>122</v>
      </c>
      <c r="AH168" s="29" t="s">
        <v>130</v>
      </c>
      <c r="AI168" s="87" t="str">
        <f>IFERROR(VLOOKUP(AG168,[2]Frota!$D$2:$AV$187,2,FALSE),"-")</f>
        <v>-</v>
      </c>
      <c r="AJ168" s="87" t="str">
        <f>IFERROR(VLOOKUP(AG168,[2]Frota!$D$2:$AV$187,3,FALSE),"-")</f>
        <v>-</v>
      </c>
      <c r="AK168" s="29" t="s">
        <v>365</v>
      </c>
      <c r="AL168" s="29" t="s">
        <v>382</v>
      </c>
      <c r="AM168" s="34" t="s">
        <v>130</v>
      </c>
      <c r="AN168" s="34" t="s">
        <v>130</v>
      </c>
      <c r="AO168" s="152" t="s">
        <v>140</v>
      </c>
      <c r="AP168" s="29" t="s">
        <v>181</v>
      </c>
      <c r="AQ168" s="88" t="s">
        <v>305</v>
      </c>
      <c r="AR168" s="89">
        <f>VLOOKUP(AQ168,'[1]Critério de Depreciação'!$C$3:$G$8,5,FALSE)</f>
        <v>0.83333333333333337</v>
      </c>
      <c r="AS168" s="29" t="s">
        <v>308</v>
      </c>
      <c r="AT168" s="29" t="s">
        <v>300</v>
      </c>
      <c r="AU168" s="29" t="str">
        <f>IFERROR(VLOOKUP(AG211,[2]Frota!$D$2:$AV$187,12,FALSE),"-")</f>
        <v>-</v>
      </c>
      <c r="AV168" s="45">
        <v>8894</v>
      </c>
      <c r="AW168" s="90">
        <v>410000</v>
      </c>
      <c r="AX168" s="86">
        <v>41682</v>
      </c>
      <c r="AY168" s="91" t="s">
        <v>130</v>
      </c>
      <c r="AZ168" s="85">
        <v>300000</v>
      </c>
      <c r="BA168" s="123" t="s">
        <v>130</v>
      </c>
      <c r="BB168" s="124" t="s">
        <v>130</v>
      </c>
      <c r="BC168" s="85" t="s">
        <v>130</v>
      </c>
      <c r="BD168" s="85">
        <v>160000</v>
      </c>
      <c r="BE168" s="92">
        <f t="shared" si="58"/>
        <v>460000</v>
      </c>
      <c r="BF168" s="92">
        <v>765000</v>
      </c>
      <c r="BG168" s="92">
        <v>0</v>
      </c>
      <c r="BH168" s="92">
        <v>0</v>
      </c>
      <c r="BI168" s="92">
        <v>0</v>
      </c>
      <c r="BJ168" s="92">
        <v>0</v>
      </c>
      <c r="BK168" s="92">
        <v>400000</v>
      </c>
      <c r="BL168" s="92">
        <v>0</v>
      </c>
      <c r="BM168" s="93">
        <f t="shared" si="66"/>
        <v>1165000</v>
      </c>
      <c r="BN168" s="92">
        <v>0</v>
      </c>
      <c r="BO168" s="92">
        <f>(BM168*20%)/12</f>
        <v>19416.666666666668</v>
      </c>
      <c r="BP168" s="92">
        <f t="shared" si="67"/>
        <v>19416.666666666668</v>
      </c>
      <c r="BQ168" s="92">
        <v>0</v>
      </c>
      <c r="BR168" s="92">
        <v>0</v>
      </c>
      <c r="BS168" s="85">
        <f t="shared" si="62"/>
        <v>6833.333333333333</v>
      </c>
      <c r="BT168" s="125" t="s">
        <v>130</v>
      </c>
      <c r="BU168" s="125" t="s">
        <v>130</v>
      </c>
      <c r="BV168" s="125" t="s">
        <v>130</v>
      </c>
      <c r="BW168" s="126" t="s">
        <v>130</v>
      </c>
      <c r="BX168" s="127" t="s">
        <v>130</v>
      </c>
      <c r="BY168" s="29" t="s">
        <v>372</v>
      </c>
      <c r="BZ168" s="29" t="s">
        <v>383</v>
      </c>
      <c r="CA168" s="29" t="s">
        <v>130</v>
      </c>
      <c r="CB168" s="29" t="s">
        <v>130</v>
      </c>
      <c r="CC168" s="29" t="s">
        <v>130</v>
      </c>
      <c r="CD168" s="29" t="s">
        <v>130</v>
      </c>
      <c r="CE168" s="29" t="str">
        <f t="shared" si="61"/>
        <v>MS - DOURADOS</v>
      </c>
      <c r="CF168" s="97" t="s">
        <v>130</v>
      </c>
      <c r="CG168" s="97">
        <v>13116.9</v>
      </c>
      <c r="CH168" s="37">
        <f t="shared" si="63"/>
        <v>1165000</v>
      </c>
      <c r="CI168" s="98" t="s">
        <v>130</v>
      </c>
      <c r="CJ168" s="39">
        <v>5</v>
      </c>
      <c r="CK168" s="39">
        <v>5</v>
      </c>
      <c r="CL168" s="39">
        <f t="shared" si="64"/>
        <v>60</v>
      </c>
      <c r="CM168" s="99">
        <f t="shared" si="65"/>
        <v>38833.333333333336</v>
      </c>
      <c r="CN168" s="40" t="str">
        <f>IFERROR(IF(VLOOKUP(AG168,'[1]ATIVOS SAGI'!C:D,1,FALSE)&lt;&gt;"","CADASTRADO","NÃO CADASTRADO"),"NÃO CADASTRADO")</f>
        <v>CADASTRADO</v>
      </c>
      <c r="CO168" s="99">
        <f t="shared" si="57"/>
        <v>9708.3333333333339</v>
      </c>
      <c r="CP168" s="100" t="s">
        <v>92</v>
      </c>
      <c r="CQ168" s="48"/>
      <c r="CR168" s="48"/>
      <c r="CS168" s="48"/>
    </row>
    <row r="169" spans="1:97" x14ac:dyDescent="0.25">
      <c r="A169" s="27">
        <v>228</v>
      </c>
      <c r="B169" s="164" t="s">
        <v>130</v>
      </c>
      <c r="C169" s="130" t="s">
        <v>296</v>
      </c>
      <c r="D169" s="103" t="s">
        <v>49</v>
      </c>
      <c r="E169" s="84" t="s">
        <v>130</v>
      </c>
      <c r="F169" s="40" t="s">
        <v>130</v>
      </c>
      <c r="G169" s="84"/>
      <c r="H169" s="160" t="s">
        <v>130</v>
      </c>
      <c r="I169" s="132" t="s">
        <v>130</v>
      </c>
      <c r="J169" s="132" t="s">
        <v>130</v>
      </c>
      <c r="K169" s="132" t="s">
        <v>130</v>
      </c>
      <c r="L169" s="165" t="s">
        <v>130</v>
      </c>
      <c r="M169" s="166" t="s">
        <v>130</v>
      </c>
      <c r="N169" s="165" t="s">
        <v>130</v>
      </c>
      <c r="O169" s="166" t="s">
        <v>130</v>
      </c>
      <c r="P169" s="165" t="s">
        <v>130</v>
      </c>
      <c r="Q169" s="165" t="s">
        <v>130</v>
      </c>
      <c r="R169" s="165" t="s">
        <v>130</v>
      </c>
      <c r="S169" s="165" t="s">
        <v>130</v>
      </c>
      <c r="T169" s="165" t="s">
        <v>130</v>
      </c>
      <c r="U169" s="165" t="s">
        <v>130</v>
      </c>
      <c r="V169" s="165" t="s">
        <v>130</v>
      </c>
      <c r="W169" s="165" t="s">
        <v>130</v>
      </c>
      <c r="X169" s="165" t="s">
        <v>130</v>
      </c>
      <c r="Y169" s="165" t="s">
        <v>130</v>
      </c>
      <c r="Z169" s="165" t="s">
        <v>130</v>
      </c>
      <c r="AA169" s="165" t="s">
        <v>130</v>
      </c>
      <c r="AB169" s="165" t="s">
        <v>130</v>
      </c>
      <c r="AC169" s="165" t="s">
        <v>130</v>
      </c>
      <c r="AD169" s="165" t="s">
        <v>130</v>
      </c>
      <c r="AE169" s="130" t="s">
        <v>45</v>
      </c>
      <c r="AF169" s="192" t="s">
        <v>130</v>
      </c>
      <c r="AG169" s="84" t="s">
        <v>124</v>
      </c>
      <c r="AH169" s="132" t="s">
        <v>130</v>
      </c>
      <c r="AI169" s="167" t="s">
        <v>130</v>
      </c>
      <c r="AJ169" s="168" t="s">
        <v>384</v>
      </c>
      <c r="AK169" s="132" t="s">
        <v>355</v>
      </c>
      <c r="AL169" s="132" t="s">
        <v>371</v>
      </c>
      <c r="AM169" s="135">
        <v>2025</v>
      </c>
      <c r="AN169" s="135">
        <v>2025</v>
      </c>
      <c r="AO169" s="193" t="s">
        <v>141</v>
      </c>
      <c r="AP169" s="132" t="s">
        <v>181</v>
      </c>
      <c r="AQ169" s="88" t="s">
        <v>305</v>
      </c>
      <c r="AR169" s="89">
        <f>VLOOKUP(AQ169,'[1]Critério de Depreciação'!$C$3:$G$8,5,FALSE)</f>
        <v>0.83333333333333337</v>
      </c>
      <c r="AS169" s="132" t="s">
        <v>130</v>
      </c>
      <c r="AT169" s="132" t="s">
        <v>130</v>
      </c>
      <c r="AU169" s="132" t="s">
        <v>130</v>
      </c>
      <c r="AV169" s="136">
        <v>36166</v>
      </c>
      <c r="AW169" s="169">
        <v>2400000</v>
      </c>
      <c r="AX169" s="166">
        <v>45945</v>
      </c>
      <c r="AY169" s="170" t="s">
        <v>130</v>
      </c>
      <c r="AZ169" s="132" t="s">
        <v>130</v>
      </c>
      <c r="BA169" s="132" t="s">
        <v>130</v>
      </c>
      <c r="BB169" s="132" t="s">
        <v>130</v>
      </c>
      <c r="BC169" s="132" t="s">
        <v>130</v>
      </c>
      <c r="BD169" s="132" t="s">
        <v>130</v>
      </c>
      <c r="BE169" s="171" t="s">
        <v>130</v>
      </c>
      <c r="BF169" s="172">
        <v>0</v>
      </c>
      <c r="BG169" s="172">
        <v>0</v>
      </c>
      <c r="BH169" s="172">
        <v>0</v>
      </c>
      <c r="BI169" s="172">
        <v>0</v>
      </c>
      <c r="BJ169" s="172">
        <v>0</v>
      </c>
      <c r="BK169" s="172">
        <v>0</v>
      </c>
      <c r="BL169" s="172">
        <v>0</v>
      </c>
      <c r="BM169" s="194">
        <v>2400000</v>
      </c>
      <c r="BN169" s="172">
        <v>0</v>
      </c>
      <c r="BO169" s="172">
        <v>0</v>
      </c>
      <c r="BP169" s="172">
        <v>0</v>
      </c>
      <c r="BQ169" s="172">
        <v>0</v>
      </c>
      <c r="BR169" s="172">
        <v>0</v>
      </c>
      <c r="BS169" s="165" t="s">
        <v>130</v>
      </c>
      <c r="BT169" s="173" t="s">
        <v>130</v>
      </c>
      <c r="BU169" s="173" t="s">
        <v>130</v>
      </c>
      <c r="BV169" s="173" t="s">
        <v>130</v>
      </c>
      <c r="BW169" s="174" t="s">
        <v>130</v>
      </c>
      <c r="BX169" s="175" t="s">
        <v>130</v>
      </c>
      <c r="BY169" s="132" t="s">
        <v>130</v>
      </c>
      <c r="BZ169" s="132" t="s">
        <v>130</v>
      </c>
      <c r="CA169" s="132" t="s">
        <v>130</v>
      </c>
      <c r="CB169" s="132" t="s">
        <v>130</v>
      </c>
      <c r="CC169" s="132" t="s">
        <v>130</v>
      </c>
      <c r="CD169" s="132" t="s">
        <v>130</v>
      </c>
      <c r="CE169" s="132" t="s">
        <v>130</v>
      </c>
      <c r="CF169" s="176" t="s">
        <v>130</v>
      </c>
      <c r="CG169" s="176" t="s">
        <v>130</v>
      </c>
      <c r="CH169" s="184" t="s">
        <v>130</v>
      </c>
      <c r="CI169" s="185" t="s">
        <v>130</v>
      </c>
      <c r="CJ169" s="186" t="s">
        <v>130</v>
      </c>
      <c r="CK169" s="186" t="s">
        <v>130</v>
      </c>
      <c r="CL169" s="186" t="s">
        <v>130</v>
      </c>
      <c r="CM169" s="187" t="s">
        <v>130</v>
      </c>
      <c r="CN169" s="84" t="s">
        <v>130</v>
      </c>
      <c r="CO169" s="99">
        <f t="shared" si="57"/>
        <v>20000</v>
      </c>
      <c r="CP169" s="100" t="s">
        <v>92</v>
      </c>
      <c r="CQ169" s="48"/>
      <c r="CR169" s="48"/>
      <c r="CS169" s="48"/>
    </row>
    <row r="170" spans="1:97" x14ac:dyDescent="0.25">
      <c r="A170" s="27">
        <v>165</v>
      </c>
      <c r="B170" s="27">
        <v>177</v>
      </c>
      <c r="C170" s="29" t="s">
        <v>296</v>
      </c>
      <c r="D170" s="40" t="s">
        <v>49</v>
      </c>
      <c r="E170" s="40" t="s">
        <v>130</v>
      </c>
      <c r="F170" s="88" t="s">
        <v>130</v>
      </c>
      <c r="G170" s="151"/>
      <c r="H170" s="41" t="s">
        <v>130</v>
      </c>
      <c r="I170" s="29" t="s">
        <v>130</v>
      </c>
      <c r="J170" s="29" t="s">
        <v>130</v>
      </c>
      <c r="K170" s="29" t="s">
        <v>130</v>
      </c>
      <c r="L170" s="85" t="s">
        <v>130</v>
      </c>
      <c r="M170" s="86" t="s">
        <v>130</v>
      </c>
      <c r="N170" s="85" t="s">
        <v>130</v>
      </c>
      <c r="O170" s="86" t="s">
        <v>130</v>
      </c>
      <c r="P170" s="85" t="s">
        <v>130</v>
      </c>
      <c r="Q170" s="29" t="s">
        <v>130</v>
      </c>
      <c r="R170" s="85" t="s">
        <v>130</v>
      </c>
      <c r="S170" s="85" t="s">
        <v>130</v>
      </c>
      <c r="T170" s="85" t="s">
        <v>130</v>
      </c>
      <c r="U170" s="85" t="s">
        <v>130</v>
      </c>
      <c r="V170" s="85" t="s">
        <v>130</v>
      </c>
      <c r="W170" s="85" t="s">
        <v>130</v>
      </c>
      <c r="X170" s="85" t="s">
        <v>130</v>
      </c>
      <c r="Y170" s="85" t="s">
        <v>130</v>
      </c>
      <c r="Z170" s="85" t="s">
        <v>130</v>
      </c>
      <c r="AA170" s="85" t="s">
        <v>130</v>
      </c>
      <c r="AB170" s="85" t="s">
        <v>130</v>
      </c>
      <c r="AC170" s="85" t="s">
        <v>130</v>
      </c>
      <c r="AD170" s="85" t="s">
        <v>130</v>
      </c>
      <c r="AE170" s="29" t="s">
        <v>45</v>
      </c>
      <c r="AF170" s="29" t="s">
        <v>46</v>
      </c>
      <c r="AG170" s="40" t="s">
        <v>130</v>
      </c>
      <c r="AH170" s="29" t="s">
        <v>130</v>
      </c>
      <c r="AI170" s="87" t="str">
        <f>IFERROR(VLOOKUP(AG170,[2]Frota!$D$2:$AV$187,2,FALSE),"-")</f>
        <v>-</v>
      </c>
      <c r="AJ170" s="87" t="str">
        <f>IFERROR(VLOOKUP(AG170,[2]Frota!$D$2:$AV$187,3,FALSE),"-")</f>
        <v>-</v>
      </c>
      <c r="AK170" s="29" t="s">
        <v>385</v>
      </c>
      <c r="AL170" s="29" t="s">
        <v>130</v>
      </c>
      <c r="AM170" s="34" t="s">
        <v>130</v>
      </c>
      <c r="AN170" s="34" t="s">
        <v>130</v>
      </c>
      <c r="AO170" s="40" t="s">
        <v>386</v>
      </c>
      <c r="AP170" s="29" t="s">
        <v>181</v>
      </c>
      <c r="AQ170" s="88" t="s">
        <v>305</v>
      </c>
      <c r="AR170" s="89">
        <f>VLOOKUP(AQ170,'[1]Critério de Depreciação'!$C$3:$G$8,5,FALSE)</f>
        <v>0.83333333333333337</v>
      </c>
      <c r="AS170" s="29" t="s">
        <v>299</v>
      </c>
      <c r="AT170" s="29" t="s">
        <v>300</v>
      </c>
      <c r="AU170" s="29" t="str">
        <f>IFERROR(VLOOKUP(AG214,[2]Frota!$D$2:$AV$187,12,FALSE),"-")</f>
        <v>-</v>
      </c>
      <c r="AV170" s="45" t="s">
        <v>130</v>
      </c>
      <c r="AW170" s="90">
        <v>0</v>
      </c>
      <c r="AX170" s="86">
        <v>44034</v>
      </c>
      <c r="AY170" s="91" t="s">
        <v>130</v>
      </c>
      <c r="AZ170" s="85" t="s">
        <v>130</v>
      </c>
      <c r="BA170" s="123" t="s">
        <v>130</v>
      </c>
      <c r="BB170" s="86" t="s">
        <v>130</v>
      </c>
      <c r="BC170" s="85" t="s">
        <v>130</v>
      </c>
      <c r="BD170" s="85" t="s">
        <v>130</v>
      </c>
      <c r="BE170" s="92">
        <f t="shared" ref="BE170:BE178" si="68">SUM(AZ170:BA170,BC170:BD170)</f>
        <v>0</v>
      </c>
      <c r="BF170" s="92">
        <v>0</v>
      </c>
      <c r="BG170" s="92">
        <v>0</v>
      </c>
      <c r="BH170" s="92">
        <v>0</v>
      </c>
      <c r="BI170" s="92">
        <v>0</v>
      </c>
      <c r="BJ170" s="92">
        <v>0</v>
      </c>
      <c r="BK170" s="92">
        <v>0</v>
      </c>
      <c r="BL170" s="92">
        <v>0</v>
      </c>
      <c r="BM170" s="93">
        <f>SUM(BF170:BL170)</f>
        <v>0</v>
      </c>
      <c r="BN170" s="92">
        <v>0</v>
      </c>
      <c r="BO170" s="92">
        <v>0</v>
      </c>
      <c r="BP170" s="92">
        <f>BN170+BO170</f>
        <v>0</v>
      </c>
      <c r="BQ170" s="92">
        <v>0</v>
      </c>
      <c r="BR170" s="92">
        <v>0</v>
      </c>
      <c r="BS170" s="85">
        <f t="shared" ref="BS170:BS176" si="69">IFERROR((AW170*20%)/12,"-")</f>
        <v>0</v>
      </c>
      <c r="BT170" s="94" t="s">
        <v>130</v>
      </c>
      <c r="BU170" s="94" t="s">
        <v>130</v>
      </c>
      <c r="BV170" s="94" t="s">
        <v>130</v>
      </c>
      <c r="BW170" s="95" t="s">
        <v>130</v>
      </c>
      <c r="BX170" s="96" t="s">
        <v>130</v>
      </c>
      <c r="BY170" s="29" t="s">
        <v>130</v>
      </c>
      <c r="BZ170" s="29" t="s">
        <v>130</v>
      </c>
      <c r="CA170" s="29" t="s">
        <v>130</v>
      </c>
      <c r="CB170" s="29" t="s">
        <v>130</v>
      </c>
      <c r="CC170" s="29" t="s">
        <v>130</v>
      </c>
      <c r="CD170" s="29" t="s">
        <v>130</v>
      </c>
      <c r="CE170" s="29" t="str">
        <f t="shared" ref="CE170:CE178" si="70">AF170</f>
        <v>SP - PRUDENTE - SUCATA</v>
      </c>
      <c r="CF170" s="97" t="s">
        <v>130</v>
      </c>
      <c r="CG170" s="97" t="s">
        <v>130</v>
      </c>
      <c r="CH170" s="37">
        <f t="shared" ref="CH170:CH176" si="71">BM170</f>
        <v>0</v>
      </c>
      <c r="CI170" s="98" t="s">
        <v>130</v>
      </c>
      <c r="CJ170" s="39">
        <v>5</v>
      </c>
      <c r="CK170" s="39">
        <v>5</v>
      </c>
      <c r="CL170" s="39">
        <f t="shared" ref="CL170:CL176" si="72">12*CK170</f>
        <v>60</v>
      </c>
      <c r="CM170" s="99">
        <f t="shared" ref="CM170:CM176" si="73">IFERROR((CH170/CL170)*2,"-")</f>
        <v>0</v>
      </c>
      <c r="CN170" s="88" t="s">
        <v>130</v>
      </c>
      <c r="CO170" s="99">
        <f t="shared" si="57"/>
        <v>0</v>
      </c>
      <c r="CP170" s="100" t="s">
        <v>301</v>
      </c>
      <c r="CQ170" s="100"/>
      <c r="CR170" s="100"/>
      <c r="CS170" s="100"/>
    </row>
    <row r="171" spans="1:97" x14ac:dyDescent="0.25">
      <c r="A171" s="27">
        <v>164</v>
      </c>
      <c r="B171" s="27">
        <v>176</v>
      </c>
      <c r="C171" s="29" t="s">
        <v>296</v>
      </c>
      <c r="D171" s="40" t="s">
        <v>49</v>
      </c>
      <c r="E171" s="40" t="s">
        <v>130</v>
      </c>
      <c r="F171" s="40" t="s">
        <v>130</v>
      </c>
      <c r="G171" s="151"/>
      <c r="H171" s="41" t="s">
        <v>130</v>
      </c>
      <c r="I171" s="29" t="s">
        <v>130</v>
      </c>
      <c r="J171" s="29" t="s">
        <v>130</v>
      </c>
      <c r="K171" s="29" t="s">
        <v>130</v>
      </c>
      <c r="L171" s="85" t="s">
        <v>130</v>
      </c>
      <c r="M171" s="86" t="s">
        <v>130</v>
      </c>
      <c r="N171" s="85" t="s">
        <v>130</v>
      </c>
      <c r="O171" s="86" t="s">
        <v>130</v>
      </c>
      <c r="P171" s="85" t="s">
        <v>130</v>
      </c>
      <c r="Q171" s="29" t="s">
        <v>130</v>
      </c>
      <c r="R171" s="85" t="s">
        <v>130</v>
      </c>
      <c r="S171" s="85" t="s">
        <v>130</v>
      </c>
      <c r="T171" s="85" t="s">
        <v>130</v>
      </c>
      <c r="U171" s="85" t="s">
        <v>130</v>
      </c>
      <c r="V171" s="85" t="s">
        <v>130</v>
      </c>
      <c r="W171" s="85" t="s">
        <v>130</v>
      </c>
      <c r="X171" s="85" t="s">
        <v>130</v>
      </c>
      <c r="Y171" s="85" t="s">
        <v>130</v>
      </c>
      <c r="Z171" s="85" t="s">
        <v>130</v>
      </c>
      <c r="AA171" s="85" t="s">
        <v>130</v>
      </c>
      <c r="AB171" s="85" t="s">
        <v>130</v>
      </c>
      <c r="AC171" s="85" t="s">
        <v>130</v>
      </c>
      <c r="AD171" s="85" t="s">
        <v>130</v>
      </c>
      <c r="AE171" s="29" t="s">
        <v>45</v>
      </c>
      <c r="AF171" s="29" t="s">
        <v>46</v>
      </c>
      <c r="AG171" s="40" t="s">
        <v>130</v>
      </c>
      <c r="AH171" s="29" t="s">
        <v>130</v>
      </c>
      <c r="AI171" s="87" t="str">
        <f>IFERROR(VLOOKUP(AG171,[2]Frota!$D$2:$AV$187,2,FALSE),"-")</f>
        <v>-</v>
      </c>
      <c r="AJ171" s="87" t="str">
        <f>IFERROR(VLOOKUP(AG171,[2]Frota!$D$2:$AV$187,3,FALSE),"-")</f>
        <v>-</v>
      </c>
      <c r="AK171" s="29" t="s">
        <v>385</v>
      </c>
      <c r="AL171" s="29" t="s">
        <v>130</v>
      </c>
      <c r="AM171" s="34" t="s">
        <v>130</v>
      </c>
      <c r="AN171" s="34" t="s">
        <v>130</v>
      </c>
      <c r="AO171" s="40" t="s">
        <v>387</v>
      </c>
      <c r="AP171" s="29" t="s">
        <v>181</v>
      </c>
      <c r="AQ171" s="88" t="s">
        <v>305</v>
      </c>
      <c r="AR171" s="89">
        <f>VLOOKUP(AQ171,'[1]Critério de Depreciação'!$C$3:$G$8,5,FALSE)</f>
        <v>0.83333333333333337</v>
      </c>
      <c r="AS171" s="29" t="s">
        <v>324</v>
      </c>
      <c r="AT171" s="29" t="s">
        <v>300</v>
      </c>
      <c r="AU171" s="29" t="str">
        <f>IFERROR(VLOOKUP(AG215,[2]Frota!$D$2:$AV$187,12,FALSE),"-")</f>
        <v>-</v>
      </c>
      <c r="AV171" s="45" t="s">
        <v>130</v>
      </c>
      <c r="AW171" s="90">
        <v>0</v>
      </c>
      <c r="AX171" s="86">
        <v>44034</v>
      </c>
      <c r="AY171" s="91" t="s">
        <v>130</v>
      </c>
      <c r="AZ171" s="85">
        <v>100000</v>
      </c>
      <c r="BA171" s="123" t="s">
        <v>130</v>
      </c>
      <c r="BB171" s="86" t="s">
        <v>130</v>
      </c>
      <c r="BC171" s="85" t="s">
        <v>130</v>
      </c>
      <c r="BD171" s="85" t="s">
        <v>130</v>
      </c>
      <c r="BE171" s="92">
        <f t="shared" si="68"/>
        <v>100000</v>
      </c>
      <c r="BF171" s="92">
        <v>0</v>
      </c>
      <c r="BG171" s="92">
        <v>0</v>
      </c>
      <c r="BH171" s="92">
        <v>0</v>
      </c>
      <c r="BI171" s="92">
        <v>0</v>
      </c>
      <c r="BJ171" s="92">
        <v>0</v>
      </c>
      <c r="BK171" s="92">
        <v>0</v>
      </c>
      <c r="BL171" s="92">
        <v>0</v>
      </c>
      <c r="BM171" s="93">
        <f>SUM(BF171:BL171)</f>
        <v>0</v>
      </c>
      <c r="BN171" s="92">
        <v>0</v>
      </c>
      <c r="BO171" s="92">
        <v>0</v>
      </c>
      <c r="BP171" s="92">
        <f>BN171+BO171</f>
        <v>0</v>
      </c>
      <c r="BQ171" s="92">
        <v>0</v>
      </c>
      <c r="BR171" s="92">
        <v>0</v>
      </c>
      <c r="BS171" s="85">
        <f t="shared" si="69"/>
        <v>0</v>
      </c>
      <c r="BT171" s="94" t="s">
        <v>130</v>
      </c>
      <c r="BU171" s="94" t="s">
        <v>130</v>
      </c>
      <c r="BV171" s="94" t="s">
        <v>130</v>
      </c>
      <c r="BW171" s="95" t="s">
        <v>130</v>
      </c>
      <c r="BX171" s="96" t="s">
        <v>130</v>
      </c>
      <c r="BY171" s="29" t="s">
        <v>130</v>
      </c>
      <c r="BZ171" s="29" t="s">
        <v>130</v>
      </c>
      <c r="CA171" s="29" t="s">
        <v>130</v>
      </c>
      <c r="CB171" s="29" t="s">
        <v>130</v>
      </c>
      <c r="CC171" s="29" t="s">
        <v>130</v>
      </c>
      <c r="CD171" s="29" t="s">
        <v>130</v>
      </c>
      <c r="CE171" s="29" t="str">
        <f t="shared" si="70"/>
        <v>SP - PRUDENTE - SUCATA</v>
      </c>
      <c r="CF171" s="97" t="s">
        <v>130</v>
      </c>
      <c r="CG171" s="97" t="s">
        <v>130</v>
      </c>
      <c r="CH171" s="37">
        <f t="shared" si="71"/>
        <v>0</v>
      </c>
      <c r="CI171" s="98" t="s">
        <v>130</v>
      </c>
      <c r="CJ171" s="39">
        <v>5</v>
      </c>
      <c r="CK171" s="39">
        <v>5</v>
      </c>
      <c r="CL171" s="39">
        <f t="shared" si="72"/>
        <v>60</v>
      </c>
      <c r="CM171" s="99">
        <f t="shared" si="73"/>
        <v>0</v>
      </c>
      <c r="CN171" s="88" t="s">
        <v>130</v>
      </c>
      <c r="CO171" s="99">
        <f t="shared" si="57"/>
        <v>0</v>
      </c>
      <c r="CP171" s="100" t="s">
        <v>301</v>
      </c>
      <c r="CQ171" s="100"/>
      <c r="CR171" s="100"/>
      <c r="CS171" s="100"/>
    </row>
    <row r="172" spans="1:97" x14ac:dyDescent="0.25">
      <c r="A172" s="27">
        <v>183</v>
      </c>
      <c r="B172" s="101">
        <v>39</v>
      </c>
      <c r="C172" s="102" t="s">
        <v>296</v>
      </c>
      <c r="D172" s="88" t="s">
        <v>49</v>
      </c>
      <c r="E172" s="88" t="s">
        <v>130</v>
      </c>
      <c r="F172" s="88" t="s">
        <v>130</v>
      </c>
      <c r="G172" s="88"/>
      <c r="H172" s="104" t="s">
        <v>130</v>
      </c>
      <c r="I172" s="102" t="s">
        <v>130</v>
      </c>
      <c r="J172" s="102" t="s">
        <v>130</v>
      </c>
      <c r="K172" s="102" t="s">
        <v>130</v>
      </c>
      <c r="L172" s="105" t="s">
        <v>130</v>
      </c>
      <c r="M172" s="106" t="s">
        <v>130</v>
      </c>
      <c r="N172" s="105" t="s">
        <v>130</v>
      </c>
      <c r="O172" s="106" t="s">
        <v>130</v>
      </c>
      <c r="P172" s="105" t="s">
        <v>130</v>
      </c>
      <c r="Q172" s="102" t="s">
        <v>130</v>
      </c>
      <c r="R172" s="105" t="s">
        <v>130</v>
      </c>
      <c r="S172" s="105" t="s">
        <v>130</v>
      </c>
      <c r="T172" s="105" t="s">
        <v>130</v>
      </c>
      <c r="U172" s="105" t="s">
        <v>130</v>
      </c>
      <c r="V172" s="105" t="s">
        <v>130</v>
      </c>
      <c r="W172" s="105" t="s">
        <v>130</v>
      </c>
      <c r="X172" s="105" t="s">
        <v>130</v>
      </c>
      <c r="Y172" s="105" t="s">
        <v>130</v>
      </c>
      <c r="Z172" s="105" t="s">
        <v>130</v>
      </c>
      <c r="AA172" s="105" t="s">
        <v>130</v>
      </c>
      <c r="AB172" s="105" t="s">
        <v>130</v>
      </c>
      <c r="AC172" s="105" t="s">
        <v>130</v>
      </c>
      <c r="AD172" s="105" t="s">
        <v>130</v>
      </c>
      <c r="AE172" s="102" t="s">
        <v>297</v>
      </c>
      <c r="AF172" s="102" t="s">
        <v>130</v>
      </c>
      <c r="AG172" s="88" t="s">
        <v>130</v>
      </c>
      <c r="AH172" s="102" t="s">
        <v>130</v>
      </c>
      <c r="AI172" s="107" t="str">
        <f>IFERROR(VLOOKUP(AG172,[2]Frota!$D$2:$AV$187,2,FALSE),"-")</f>
        <v>-</v>
      </c>
      <c r="AJ172" s="107" t="str">
        <f>IFERROR(VLOOKUP(AG172,[2]Frota!$D$2:$AV$187,3,FALSE),"-")</f>
        <v>-</v>
      </c>
      <c r="AK172" s="102" t="s">
        <v>388</v>
      </c>
      <c r="AL172" s="102" t="s">
        <v>389</v>
      </c>
      <c r="AM172" s="108" t="s">
        <v>130</v>
      </c>
      <c r="AN172" s="108" t="s">
        <v>130</v>
      </c>
      <c r="AO172" s="195" t="s">
        <v>390</v>
      </c>
      <c r="AP172" s="102" t="s">
        <v>181</v>
      </c>
      <c r="AQ172" s="88" t="s">
        <v>305</v>
      </c>
      <c r="AR172" s="89">
        <f>VLOOKUP(AQ172,'[1]Critério de Depreciação'!$C$3:$G$8,5,FALSE)</f>
        <v>0.83333333333333337</v>
      </c>
      <c r="AS172" s="102" t="s">
        <v>130</v>
      </c>
      <c r="AT172" s="102" t="s">
        <v>130</v>
      </c>
      <c r="AU172" s="102" t="str">
        <f>IFERROR(VLOOKUP(#REF!,[2]Frota!$D$2:$AV$187,12,FALSE),"-")</f>
        <v>-</v>
      </c>
      <c r="AV172" s="158" t="s">
        <v>130</v>
      </c>
      <c r="AW172" s="110">
        <v>0</v>
      </c>
      <c r="AX172" s="106" t="s">
        <v>130</v>
      </c>
      <c r="AY172" s="111">
        <v>140000</v>
      </c>
      <c r="AZ172" s="105">
        <v>180000</v>
      </c>
      <c r="BA172" s="112" t="s">
        <v>130</v>
      </c>
      <c r="BB172" s="106" t="s">
        <v>130</v>
      </c>
      <c r="BC172" s="105" t="s">
        <v>130</v>
      </c>
      <c r="BD172" s="105" t="s">
        <v>130</v>
      </c>
      <c r="BE172" s="113">
        <f t="shared" si="68"/>
        <v>180000</v>
      </c>
      <c r="BF172" s="113">
        <v>0</v>
      </c>
      <c r="BG172" s="113">
        <v>0</v>
      </c>
      <c r="BH172" s="113">
        <v>0</v>
      </c>
      <c r="BI172" s="113">
        <v>0</v>
      </c>
      <c r="BJ172" s="113">
        <v>0</v>
      </c>
      <c r="BK172" s="113">
        <v>0</v>
      </c>
      <c r="BL172" s="113">
        <v>0</v>
      </c>
      <c r="BM172" s="114">
        <f>SUM(BF172:BL172)</f>
        <v>0</v>
      </c>
      <c r="BN172" s="113">
        <v>0</v>
      </c>
      <c r="BO172" s="113">
        <v>0</v>
      </c>
      <c r="BP172" s="113">
        <v>0</v>
      </c>
      <c r="BQ172" s="113">
        <v>0</v>
      </c>
      <c r="BR172" s="113">
        <v>0</v>
      </c>
      <c r="BS172" s="105">
        <f t="shared" si="69"/>
        <v>0</v>
      </c>
      <c r="BT172" s="153" t="s">
        <v>130</v>
      </c>
      <c r="BU172" s="153" t="s">
        <v>130</v>
      </c>
      <c r="BV172" s="153" t="s">
        <v>130</v>
      </c>
      <c r="BW172" s="154" t="s">
        <v>130</v>
      </c>
      <c r="BX172" s="153" t="s">
        <v>130</v>
      </c>
      <c r="BY172" s="102" t="s">
        <v>130</v>
      </c>
      <c r="BZ172" s="102" t="s">
        <v>130</v>
      </c>
      <c r="CA172" s="102" t="s">
        <v>130</v>
      </c>
      <c r="CB172" s="102" t="s">
        <v>130</v>
      </c>
      <c r="CC172" s="102" t="s">
        <v>130</v>
      </c>
      <c r="CD172" s="102" t="s">
        <v>130</v>
      </c>
      <c r="CE172" s="102" t="str">
        <f t="shared" si="70"/>
        <v>-</v>
      </c>
      <c r="CF172" s="118" t="s">
        <v>130</v>
      </c>
      <c r="CG172" s="118" t="s">
        <v>130</v>
      </c>
      <c r="CH172" s="119">
        <f t="shared" si="71"/>
        <v>0</v>
      </c>
      <c r="CI172" s="120" t="s">
        <v>130</v>
      </c>
      <c r="CJ172" s="121">
        <v>5</v>
      </c>
      <c r="CK172" s="121">
        <v>5</v>
      </c>
      <c r="CL172" s="121">
        <f t="shared" si="72"/>
        <v>60</v>
      </c>
      <c r="CM172" s="122">
        <f t="shared" si="73"/>
        <v>0</v>
      </c>
      <c r="CN172" s="88" t="s">
        <v>130</v>
      </c>
      <c r="CO172" s="99">
        <f t="shared" si="57"/>
        <v>0</v>
      </c>
      <c r="CP172" s="48" t="s">
        <v>48</v>
      </c>
      <c r="CQ172" s="100"/>
      <c r="CR172" s="100"/>
      <c r="CS172" s="100"/>
    </row>
    <row r="173" spans="1:97" x14ac:dyDescent="0.25">
      <c r="A173" s="27">
        <v>162</v>
      </c>
      <c r="B173" s="27">
        <v>174</v>
      </c>
      <c r="C173" s="29" t="s">
        <v>296</v>
      </c>
      <c r="D173" s="40" t="s">
        <v>49</v>
      </c>
      <c r="E173" s="40" t="s">
        <v>130</v>
      </c>
      <c r="F173" s="88" t="s">
        <v>130</v>
      </c>
      <c r="G173" s="151"/>
      <c r="H173" s="41" t="s">
        <v>130</v>
      </c>
      <c r="I173" s="29" t="s">
        <v>130</v>
      </c>
      <c r="J173" s="29" t="s">
        <v>130</v>
      </c>
      <c r="K173" s="29" t="s">
        <v>130</v>
      </c>
      <c r="L173" s="85" t="s">
        <v>130</v>
      </c>
      <c r="M173" s="86" t="s">
        <v>130</v>
      </c>
      <c r="N173" s="85" t="s">
        <v>130</v>
      </c>
      <c r="O173" s="86" t="s">
        <v>130</v>
      </c>
      <c r="P173" s="85" t="s">
        <v>130</v>
      </c>
      <c r="Q173" s="29" t="s">
        <v>130</v>
      </c>
      <c r="R173" s="85" t="s">
        <v>130</v>
      </c>
      <c r="S173" s="85" t="s">
        <v>130</v>
      </c>
      <c r="T173" s="85" t="s">
        <v>130</v>
      </c>
      <c r="U173" s="85" t="s">
        <v>130</v>
      </c>
      <c r="V173" s="85" t="s">
        <v>130</v>
      </c>
      <c r="W173" s="85" t="s">
        <v>130</v>
      </c>
      <c r="X173" s="85" t="s">
        <v>130</v>
      </c>
      <c r="Y173" s="85" t="s">
        <v>130</v>
      </c>
      <c r="Z173" s="85" t="s">
        <v>130</v>
      </c>
      <c r="AA173" s="85" t="s">
        <v>130</v>
      </c>
      <c r="AB173" s="85" t="s">
        <v>130</v>
      </c>
      <c r="AC173" s="85" t="s">
        <v>130</v>
      </c>
      <c r="AD173" s="85" t="s">
        <v>130</v>
      </c>
      <c r="AE173" s="29" t="s">
        <v>298</v>
      </c>
      <c r="AF173" s="29" t="s">
        <v>46</v>
      </c>
      <c r="AG173" s="40" t="s">
        <v>391</v>
      </c>
      <c r="AH173" s="29" t="s">
        <v>130</v>
      </c>
      <c r="AI173" s="87" t="str">
        <f>IFERROR(VLOOKUP(AG173,[2]Frota!$D$2:$AV$187,2,FALSE),"-")</f>
        <v>-</v>
      </c>
      <c r="AJ173" s="87" t="str">
        <f>IFERROR(VLOOKUP(AG173,[2]Frota!$D$2:$AV$187,3,FALSE),"-")</f>
        <v>-</v>
      </c>
      <c r="AK173" s="29" t="s">
        <v>392</v>
      </c>
      <c r="AL173" s="29" t="s">
        <v>393</v>
      </c>
      <c r="AM173" s="34">
        <v>2014</v>
      </c>
      <c r="AN173" s="34" t="s">
        <v>130</v>
      </c>
      <c r="AO173" s="40" t="s">
        <v>394</v>
      </c>
      <c r="AP173" s="29" t="s">
        <v>181</v>
      </c>
      <c r="AQ173" s="88" t="s">
        <v>305</v>
      </c>
      <c r="AR173" s="89">
        <f>VLOOKUP(AQ173,'[1]Critério de Depreciação'!$C$3:$G$8,5,FALSE)</f>
        <v>0.83333333333333337</v>
      </c>
      <c r="AS173" s="29" t="s">
        <v>299</v>
      </c>
      <c r="AT173" s="29" t="s">
        <v>322</v>
      </c>
      <c r="AU173" s="29" t="str">
        <f>IFERROR(VLOOKUP(#REF!,[2]Frota!$D$2:$AV$187,12,FALSE),"-")</f>
        <v>-</v>
      </c>
      <c r="AV173" s="45">
        <v>59</v>
      </c>
      <c r="AW173" s="90">
        <v>50000</v>
      </c>
      <c r="AX173" s="86">
        <v>42633</v>
      </c>
      <c r="AY173" s="91" t="s">
        <v>130</v>
      </c>
      <c r="AZ173" s="85">
        <v>98000</v>
      </c>
      <c r="BA173" s="123" t="s">
        <v>130</v>
      </c>
      <c r="BB173" s="86" t="s">
        <v>130</v>
      </c>
      <c r="BC173" s="85" t="s">
        <v>130</v>
      </c>
      <c r="BD173" s="85" t="s">
        <v>130</v>
      </c>
      <c r="BE173" s="92">
        <f t="shared" si="68"/>
        <v>98000</v>
      </c>
      <c r="BF173" s="92">
        <v>0</v>
      </c>
      <c r="BG173" s="92">
        <v>0</v>
      </c>
      <c r="BH173" s="92">
        <v>0</v>
      </c>
      <c r="BI173" s="92">
        <v>0</v>
      </c>
      <c r="BJ173" s="92">
        <v>0</v>
      </c>
      <c r="BK173" s="92">
        <v>0</v>
      </c>
      <c r="BL173" s="92">
        <v>0</v>
      </c>
      <c r="BM173" s="93">
        <v>50000</v>
      </c>
      <c r="BN173" s="92">
        <v>0</v>
      </c>
      <c r="BO173" s="92">
        <v>0</v>
      </c>
      <c r="BP173" s="92">
        <f t="shared" ref="BP173:BP178" si="74">BN173+BO173</f>
        <v>0</v>
      </c>
      <c r="BQ173" s="92">
        <v>0</v>
      </c>
      <c r="BR173" s="92">
        <v>0</v>
      </c>
      <c r="BS173" s="85">
        <f t="shared" si="69"/>
        <v>833.33333333333337</v>
      </c>
      <c r="BT173" s="94" t="s">
        <v>130</v>
      </c>
      <c r="BU173" s="94" t="s">
        <v>130</v>
      </c>
      <c r="BV173" s="94" t="s">
        <v>130</v>
      </c>
      <c r="BW173" s="95" t="s">
        <v>130</v>
      </c>
      <c r="BX173" s="96" t="s">
        <v>130</v>
      </c>
      <c r="BY173" s="29" t="s">
        <v>130</v>
      </c>
      <c r="BZ173" s="29" t="s">
        <v>130</v>
      </c>
      <c r="CA173" s="29" t="s">
        <v>130</v>
      </c>
      <c r="CB173" s="29" t="s">
        <v>130</v>
      </c>
      <c r="CC173" s="29" t="s">
        <v>130</v>
      </c>
      <c r="CD173" s="29" t="s">
        <v>130</v>
      </c>
      <c r="CE173" s="29" t="str">
        <f t="shared" si="70"/>
        <v>SP - PRUDENTE - SUCATA</v>
      </c>
      <c r="CF173" s="97" t="s">
        <v>130</v>
      </c>
      <c r="CG173" s="97" t="s">
        <v>130</v>
      </c>
      <c r="CH173" s="37">
        <f t="shared" si="71"/>
        <v>50000</v>
      </c>
      <c r="CI173" s="98" t="s">
        <v>130</v>
      </c>
      <c r="CJ173" s="39">
        <v>5</v>
      </c>
      <c r="CK173" s="39">
        <v>5</v>
      </c>
      <c r="CL173" s="39">
        <f t="shared" si="72"/>
        <v>60</v>
      </c>
      <c r="CM173" s="99">
        <f t="shared" si="73"/>
        <v>1666.6666666666667</v>
      </c>
      <c r="CN173" s="40" t="s">
        <v>130</v>
      </c>
      <c r="CO173" s="99">
        <f t="shared" si="57"/>
        <v>416.66666666666674</v>
      </c>
      <c r="CP173" s="100" t="s">
        <v>92</v>
      </c>
      <c r="CQ173" s="48"/>
      <c r="CR173" s="48"/>
      <c r="CS173" s="48"/>
    </row>
    <row r="174" spans="1:97" x14ac:dyDescent="0.25">
      <c r="A174" s="27">
        <v>157</v>
      </c>
      <c r="B174" s="101">
        <v>169</v>
      </c>
      <c r="C174" s="102" t="s">
        <v>296</v>
      </c>
      <c r="D174" s="88" t="s">
        <v>49</v>
      </c>
      <c r="E174" s="88" t="s">
        <v>130</v>
      </c>
      <c r="F174" s="88" t="s">
        <v>130</v>
      </c>
      <c r="G174" s="88"/>
      <c r="H174" s="104" t="s">
        <v>130</v>
      </c>
      <c r="I174" s="102" t="s">
        <v>130</v>
      </c>
      <c r="J174" s="102" t="s">
        <v>130</v>
      </c>
      <c r="K174" s="102" t="s">
        <v>130</v>
      </c>
      <c r="L174" s="105" t="s">
        <v>130</v>
      </c>
      <c r="M174" s="106" t="s">
        <v>130</v>
      </c>
      <c r="N174" s="105" t="s">
        <v>130</v>
      </c>
      <c r="O174" s="106" t="s">
        <v>130</v>
      </c>
      <c r="P174" s="105" t="s">
        <v>130</v>
      </c>
      <c r="Q174" s="102" t="s">
        <v>130</v>
      </c>
      <c r="R174" s="105" t="s">
        <v>130</v>
      </c>
      <c r="S174" s="105" t="s">
        <v>130</v>
      </c>
      <c r="T174" s="105" t="s">
        <v>130</v>
      </c>
      <c r="U174" s="105" t="s">
        <v>130</v>
      </c>
      <c r="V174" s="105" t="s">
        <v>130</v>
      </c>
      <c r="W174" s="105" t="s">
        <v>130</v>
      </c>
      <c r="X174" s="105" t="s">
        <v>130</v>
      </c>
      <c r="Y174" s="105" t="s">
        <v>130</v>
      </c>
      <c r="Z174" s="105" t="s">
        <v>130</v>
      </c>
      <c r="AA174" s="105" t="s">
        <v>130</v>
      </c>
      <c r="AB174" s="105" t="s">
        <v>130</v>
      </c>
      <c r="AC174" s="105" t="s">
        <v>130</v>
      </c>
      <c r="AD174" s="105" t="s">
        <v>130</v>
      </c>
      <c r="AE174" s="102" t="s">
        <v>297</v>
      </c>
      <c r="AF174" s="102" t="s">
        <v>304</v>
      </c>
      <c r="AG174" s="88" t="s">
        <v>395</v>
      </c>
      <c r="AH174" s="102" t="s">
        <v>130</v>
      </c>
      <c r="AI174" s="107" t="str">
        <f>IFERROR(VLOOKUP(AG174,[2]Frota!$D$2:$AV$187,2,FALSE),"-")</f>
        <v>-</v>
      </c>
      <c r="AJ174" s="107" t="str">
        <f>IFERROR(VLOOKUP(AG174,[2]Frota!$D$2:$AV$187,3,FALSE),"-")</f>
        <v>-</v>
      </c>
      <c r="AK174" s="102" t="s">
        <v>396</v>
      </c>
      <c r="AL174" s="102" t="s">
        <v>397</v>
      </c>
      <c r="AM174" s="108" t="s">
        <v>130</v>
      </c>
      <c r="AN174" s="108" t="s">
        <v>130</v>
      </c>
      <c r="AO174" s="88" t="s">
        <v>398</v>
      </c>
      <c r="AP174" s="102" t="s">
        <v>181</v>
      </c>
      <c r="AQ174" s="88" t="s">
        <v>305</v>
      </c>
      <c r="AR174" s="89">
        <f>VLOOKUP(AQ174,'[1]Critério de Depreciação'!$C$3:$G$8,5,FALSE)</f>
        <v>0.83333333333333337</v>
      </c>
      <c r="AS174" s="102" t="s">
        <v>299</v>
      </c>
      <c r="AT174" s="102" t="s">
        <v>300</v>
      </c>
      <c r="AU174" s="102" t="str">
        <f>IFERROR(VLOOKUP(#REF!,[2]Frota!$D$2:$AV$187,12,FALSE),"-")</f>
        <v>-</v>
      </c>
      <c r="AV174" s="109">
        <v>70</v>
      </c>
      <c r="AW174" s="110">
        <v>55000</v>
      </c>
      <c r="AX174" s="106">
        <v>43325</v>
      </c>
      <c r="AY174" s="111" t="s">
        <v>130</v>
      </c>
      <c r="AZ174" s="105">
        <v>250000</v>
      </c>
      <c r="BA174" s="112" t="s">
        <v>130</v>
      </c>
      <c r="BB174" s="106" t="s">
        <v>130</v>
      </c>
      <c r="BC174" s="105" t="s">
        <v>130</v>
      </c>
      <c r="BD174" s="105" t="s">
        <v>130</v>
      </c>
      <c r="BE174" s="113">
        <f t="shared" si="68"/>
        <v>250000</v>
      </c>
      <c r="BF174" s="113">
        <v>0</v>
      </c>
      <c r="BG174" s="113">
        <v>0</v>
      </c>
      <c r="BH174" s="113">
        <v>0</v>
      </c>
      <c r="BI174" s="113">
        <v>0</v>
      </c>
      <c r="BJ174" s="113">
        <v>0</v>
      </c>
      <c r="BK174" s="113">
        <v>0</v>
      </c>
      <c r="BL174" s="113">
        <v>0</v>
      </c>
      <c r="BM174" s="114">
        <f>SUM(BF174:BL174)</f>
        <v>0</v>
      </c>
      <c r="BN174" s="113">
        <v>0</v>
      </c>
      <c r="BO174" s="113">
        <v>0</v>
      </c>
      <c r="BP174" s="113">
        <f t="shared" si="74"/>
        <v>0</v>
      </c>
      <c r="BQ174" s="113">
        <v>0</v>
      </c>
      <c r="BR174" s="113">
        <v>0</v>
      </c>
      <c r="BS174" s="105">
        <f t="shared" si="69"/>
        <v>916.66666666666663</v>
      </c>
      <c r="BT174" s="153" t="s">
        <v>130</v>
      </c>
      <c r="BU174" s="153" t="s">
        <v>130</v>
      </c>
      <c r="BV174" s="153" t="s">
        <v>130</v>
      </c>
      <c r="BW174" s="154" t="s">
        <v>130</v>
      </c>
      <c r="BX174" s="180" t="s">
        <v>130</v>
      </c>
      <c r="BY174" s="29" t="s">
        <v>130</v>
      </c>
      <c r="BZ174" s="29" t="s">
        <v>130</v>
      </c>
      <c r="CA174" s="29" t="s">
        <v>130</v>
      </c>
      <c r="CB174" s="29" t="s">
        <v>130</v>
      </c>
      <c r="CC174" s="29" t="s">
        <v>130</v>
      </c>
      <c r="CD174" s="29" t="s">
        <v>130</v>
      </c>
      <c r="CE174" s="29" t="str">
        <f t="shared" si="70"/>
        <v>LOJA</v>
      </c>
      <c r="CF174" s="118" t="s">
        <v>130</v>
      </c>
      <c r="CG174" s="118" t="s">
        <v>130</v>
      </c>
      <c r="CH174" s="119">
        <f t="shared" si="71"/>
        <v>0</v>
      </c>
      <c r="CI174" s="120" t="s">
        <v>130</v>
      </c>
      <c r="CJ174" s="121">
        <v>5</v>
      </c>
      <c r="CK174" s="121">
        <v>5</v>
      </c>
      <c r="CL174" s="121">
        <f t="shared" si="72"/>
        <v>60</v>
      </c>
      <c r="CM174" s="122">
        <f t="shared" si="73"/>
        <v>0</v>
      </c>
      <c r="CN174" s="88" t="s">
        <v>130</v>
      </c>
      <c r="CO174" s="99">
        <f t="shared" si="57"/>
        <v>0</v>
      </c>
      <c r="CP174" s="48" t="s">
        <v>48</v>
      </c>
      <c r="CQ174" s="48"/>
      <c r="CR174" s="48"/>
      <c r="CS174" s="48"/>
    </row>
    <row r="175" spans="1:97" x14ac:dyDescent="0.25">
      <c r="A175" s="27">
        <v>158</v>
      </c>
      <c r="B175" s="101">
        <v>170</v>
      </c>
      <c r="C175" s="102" t="s">
        <v>296</v>
      </c>
      <c r="D175" s="88" t="s">
        <v>49</v>
      </c>
      <c r="E175" s="88" t="s">
        <v>130</v>
      </c>
      <c r="F175" s="84" t="s">
        <v>130</v>
      </c>
      <c r="G175" s="88"/>
      <c r="H175" s="104" t="s">
        <v>130</v>
      </c>
      <c r="I175" s="102" t="s">
        <v>130</v>
      </c>
      <c r="J175" s="102" t="s">
        <v>130</v>
      </c>
      <c r="K175" s="102" t="s">
        <v>130</v>
      </c>
      <c r="L175" s="105" t="s">
        <v>130</v>
      </c>
      <c r="M175" s="106" t="s">
        <v>130</v>
      </c>
      <c r="N175" s="105" t="s">
        <v>130</v>
      </c>
      <c r="O175" s="106" t="s">
        <v>130</v>
      </c>
      <c r="P175" s="105" t="s">
        <v>130</v>
      </c>
      <c r="Q175" s="102" t="s">
        <v>130</v>
      </c>
      <c r="R175" s="105" t="s">
        <v>130</v>
      </c>
      <c r="S175" s="105" t="s">
        <v>130</v>
      </c>
      <c r="T175" s="105" t="s">
        <v>130</v>
      </c>
      <c r="U175" s="105" t="s">
        <v>130</v>
      </c>
      <c r="V175" s="105" t="s">
        <v>130</v>
      </c>
      <c r="W175" s="105" t="s">
        <v>130</v>
      </c>
      <c r="X175" s="105" t="s">
        <v>130</v>
      </c>
      <c r="Y175" s="105" t="s">
        <v>130</v>
      </c>
      <c r="Z175" s="105" t="s">
        <v>130</v>
      </c>
      <c r="AA175" s="105" t="s">
        <v>130</v>
      </c>
      <c r="AB175" s="105" t="s">
        <v>130</v>
      </c>
      <c r="AC175" s="105" t="s">
        <v>130</v>
      </c>
      <c r="AD175" s="105" t="s">
        <v>130</v>
      </c>
      <c r="AE175" s="102" t="s">
        <v>297</v>
      </c>
      <c r="AF175" s="102">
        <v>43</v>
      </c>
      <c r="AG175" s="88" t="s">
        <v>399</v>
      </c>
      <c r="AH175" s="102" t="s">
        <v>130</v>
      </c>
      <c r="AI175" s="107" t="str">
        <f>IFERROR(VLOOKUP(AG175,[2]Frota!$D$2:$AV$187,2,FALSE),"-")</f>
        <v>-</v>
      </c>
      <c r="AJ175" s="107" t="str">
        <f>IFERROR(VLOOKUP(AG175,[2]Frota!$D$2:$AV$187,3,FALSE),"-")</f>
        <v>-</v>
      </c>
      <c r="AK175" s="102" t="s">
        <v>396</v>
      </c>
      <c r="AL175" s="102" t="s">
        <v>400</v>
      </c>
      <c r="AM175" s="108" t="s">
        <v>130</v>
      </c>
      <c r="AN175" s="108" t="s">
        <v>130</v>
      </c>
      <c r="AO175" s="88" t="s">
        <v>398</v>
      </c>
      <c r="AP175" s="102" t="s">
        <v>181</v>
      </c>
      <c r="AQ175" s="88" t="s">
        <v>305</v>
      </c>
      <c r="AR175" s="89">
        <f>VLOOKUP(AQ175,'[1]Critério de Depreciação'!$C$3:$G$8,5,FALSE)</f>
        <v>0.83333333333333337</v>
      </c>
      <c r="AS175" s="102" t="s">
        <v>299</v>
      </c>
      <c r="AT175" s="102" t="s">
        <v>300</v>
      </c>
      <c r="AU175" s="102" t="str">
        <f>IFERROR(VLOOKUP(#REF!,[2]Frota!$D$2:$AV$187,12,FALSE),"-")</f>
        <v>-</v>
      </c>
      <c r="AV175" s="109">
        <v>70</v>
      </c>
      <c r="AW175" s="110">
        <v>9000</v>
      </c>
      <c r="AX175" s="106">
        <v>43325</v>
      </c>
      <c r="AY175" s="111" t="s">
        <v>130</v>
      </c>
      <c r="AZ175" s="105">
        <v>55000</v>
      </c>
      <c r="BA175" s="112" t="s">
        <v>130</v>
      </c>
      <c r="BB175" s="106" t="s">
        <v>130</v>
      </c>
      <c r="BC175" s="105" t="s">
        <v>130</v>
      </c>
      <c r="BD175" s="105" t="s">
        <v>130</v>
      </c>
      <c r="BE175" s="113">
        <f t="shared" si="68"/>
        <v>55000</v>
      </c>
      <c r="BF175" s="113">
        <v>0</v>
      </c>
      <c r="BG175" s="113">
        <v>0</v>
      </c>
      <c r="BH175" s="113">
        <v>0</v>
      </c>
      <c r="BI175" s="113">
        <v>0</v>
      </c>
      <c r="BJ175" s="113">
        <v>0</v>
      </c>
      <c r="BK175" s="113">
        <v>0</v>
      </c>
      <c r="BL175" s="113">
        <v>0</v>
      </c>
      <c r="BM175" s="114">
        <f>SUM(BF175:BL175)</f>
        <v>0</v>
      </c>
      <c r="BN175" s="113">
        <v>0</v>
      </c>
      <c r="BO175" s="113">
        <v>0</v>
      </c>
      <c r="BP175" s="113">
        <f t="shared" si="74"/>
        <v>0</v>
      </c>
      <c r="BQ175" s="113">
        <v>0</v>
      </c>
      <c r="BR175" s="113">
        <v>0</v>
      </c>
      <c r="BS175" s="105">
        <f t="shared" si="69"/>
        <v>150</v>
      </c>
      <c r="BT175" s="153" t="s">
        <v>130</v>
      </c>
      <c r="BU175" s="153" t="s">
        <v>130</v>
      </c>
      <c r="BV175" s="153" t="s">
        <v>130</v>
      </c>
      <c r="BW175" s="154" t="s">
        <v>130</v>
      </c>
      <c r="BX175" s="180" t="s">
        <v>130</v>
      </c>
      <c r="BY175" s="29" t="s">
        <v>130</v>
      </c>
      <c r="BZ175" s="29" t="s">
        <v>130</v>
      </c>
      <c r="CA175" s="29" t="s">
        <v>130</v>
      </c>
      <c r="CB175" s="29" t="s">
        <v>130</v>
      </c>
      <c r="CC175" s="29" t="s">
        <v>130</v>
      </c>
      <c r="CD175" s="29" t="s">
        <v>130</v>
      </c>
      <c r="CE175" s="29">
        <f t="shared" si="70"/>
        <v>43</v>
      </c>
      <c r="CF175" s="118" t="s">
        <v>130</v>
      </c>
      <c r="CG175" s="118" t="s">
        <v>130</v>
      </c>
      <c r="CH175" s="119">
        <f t="shared" si="71"/>
        <v>0</v>
      </c>
      <c r="CI175" s="120" t="s">
        <v>130</v>
      </c>
      <c r="CJ175" s="121">
        <v>5</v>
      </c>
      <c r="CK175" s="121">
        <v>5</v>
      </c>
      <c r="CL175" s="121">
        <f t="shared" si="72"/>
        <v>60</v>
      </c>
      <c r="CM175" s="122">
        <f t="shared" si="73"/>
        <v>0</v>
      </c>
      <c r="CN175" s="88" t="s">
        <v>130</v>
      </c>
      <c r="CO175" s="99">
        <f t="shared" si="57"/>
        <v>0</v>
      </c>
      <c r="CP175" s="48" t="s">
        <v>48</v>
      </c>
      <c r="CQ175" s="48"/>
      <c r="CR175" s="48"/>
      <c r="CS175" s="48"/>
    </row>
    <row r="176" spans="1:97" x14ac:dyDescent="0.25">
      <c r="A176" s="27">
        <v>159</v>
      </c>
      <c r="B176" s="101">
        <v>171</v>
      </c>
      <c r="C176" s="102" t="s">
        <v>296</v>
      </c>
      <c r="D176" s="88" t="s">
        <v>49</v>
      </c>
      <c r="E176" s="88" t="s">
        <v>130</v>
      </c>
      <c r="F176" s="84" t="s">
        <v>130</v>
      </c>
      <c r="G176" s="88"/>
      <c r="H176" s="104" t="s">
        <v>130</v>
      </c>
      <c r="I176" s="102" t="s">
        <v>130</v>
      </c>
      <c r="J176" s="102" t="s">
        <v>130</v>
      </c>
      <c r="K176" s="102" t="s">
        <v>130</v>
      </c>
      <c r="L176" s="105" t="s">
        <v>130</v>
      </c>
      <c r="M176" s="106" t="s">
        <v>130</v>
      </c>
      <c r="N176" s="105" t="s">
        <v>130</v>
      </c>
      <c r="O176" s="106" t="s">
        <v>130</v>
      </c>
      <c r="P176" s="105" t="s">
        <v>130</v>
      </c>
      <c r="Q176" s="102" t="s">
        <v>130</v>
      </c>
      <c r="R176" s="105" t="s">
        <v>130</v>
      </c>
      <c r="S176" s="105" t="s">
        <v>130</v>
      </c>
      <c r="T176" s="105" t="s">
        <v>130</v>
      </c>
      <c r="U176" s="105" t="s">
        <v>130</v>
      </c>
      <c r="V176" s="105" t="s">
        <v>130</v>
      </c>
      <c r="W176" s="105" t="s">
        <v>130</v>
      </c>
      <c r="X176" s="105" t="s">
        <v>130</v>
      </c>
      <c r="Y176" s="105" t="s">
        <v>130</v>
      </c>
      <c r="Z176" s="105" t="s">
        <v>130</v>
      </c>
      <c r="AA176" s="105" t="s">
        <v>130</v>
      </c>
      <c r="AB176" s="105" t="s">
        <v>130</v>
      </c>
      <c r="AC176" s="105" t="s">
        <v>130</v>
      </c>
      <c r="AD176" s="105" t="s">
        <v>130</v>
      </c>
      <c r="AE176" s="102" t="s">
        <v>297</v>
      </c>
      <c r="AF176" s="102" t="s">
        <v>304</v>
      </c>
      <c r="AG176" s="88" t="s">
        <v>401</v>
      </c>
      <c r="AH176" s="102" t="s">
        <v>130</v>
      </c>
      <c r="AI176" s="107" t="str">
        <f>IFERROR(VLOOKUP(AG176,[2]Frota!$D$2:$AV$187,2,FALSE),"-")</f>
        <v>-</v>
      </c>
      <c r="AJ176" s="107" t="str">
        <f>IFERROR(VLOOKUP(AG176,[2]Frota!$D$2:$AV$187,3,FALSE),"-")</f>
        <v>-</v>
      </c>
      <c r="AK176" s="102" t="s">
        <v>396</v>
      </c>
      <c r="AL176" s="102" t="s">
        <v>402</v>
      </c>
      <c r="AM176" s="108" t="s">
        <v>130</v>
      </c>
      <c r="AN176" s="108" t="s">
        <v>130</v>
      </c>
      <c r="AO176" s="88" t="s">
        <v>398</v>
      </c>
      <c r="AP176" s="102" t="s">
        <v>181</v>
      </c>
      <c r="AQ176" s="88" t="s">
        <v>305</v>
      </c>
      <c r="AR176" s="89">
        <f>VLOOKUP(AQ176,'[1]Critério de Depreciação'!$C$3:$G$8,5,FALSE)</f>
        <v>0.83333333333333337</v>
      </c>
      <c r="AS176" s="102" t="s">
        <v>130</v>
      </c>
      <c r="AT176" s="102" t="s">
        <v>309</v>
      </c>
      <c r="AU176" s="102" t="str">
        <f>IFERROR(VLOOKUP(#REF!,[2]Frota!$D$2:$AV$187,12,FALSE),"-")</f>
        <v>-</v>
      </c>
      <c r="AV176" s="109">
        <v>70</v>
      </c>
      <c r="AW176" s="110">
        <v>63000</v>
      </c>
      <c r="AX176" s="106">
        <v>43325</v>
      </c>
      <c r="AY176" s="111" t="s">
        <v>130</v>
      </c>
      <c r="AZ176" s="105">
        <v>250000</v>
      </c>
      <c r="BA176" s="112" t="s">
        <v>130</v>
      </c>
      <c r="BB176" s="106" t="s">
        <v>130</v>
      </c>
      <c r="BC176" s="105" t="s">
        <v>130</v>
      </c>
      <c r="BD176" s="105" t="s">
        <v>130</v>
      </c>
      <c r="BE176" s="113">
        <f t="shared" si="68"/>
        <v>250000</v>
      </c>
      <c r="BF176" s="113">
        <v>0</v>
      </c>
      <c r="BG176" s="113">
        <v>0</v>
      </c>
      <c r="BH176" s="113">
        <v>0</v>
      </c>
      <c r="BI176" s="113">
        <v>0</v>
      </c>
      <c r="BJ176" s="113">
        <v>0</v>
      </c>
      <c r="BK176" s="113">
        <v>0</v>
      </c>
      <c r="BL176" s="113">
        <v>0</v>
      </c>
      <c r="BM176" s="114">
        <f>SUM(BF176:BL176)</f>
        <v>0</v>
      </c>
      <c r="BN176" s="113">
        <v>0</v>
      </c>
      <c r="BO176" s="113">
        <v>0</v>
      </c>
      <c r="BP176" s="113">
        <f t="shared" si="74"/>
        <v>0</v>
      </c>
      <c r="BQ176" s="113">
        <v>0</v>
      </c>
      <c r="BR176" s="113">
        <v>0</v>
      </c>
      <c r="BS176" s="105">
        <f t="shared" si="69"/>
        <v>1050</v>
      </c>
      <c r="BT176" s="153" t="s">
        <v>130</v>
      </c>
      <c r="BU176" s="153" t="s">
        <v>130</v>
      </c>
      <c r="BV176" s="153" t="s">
        <v>130</v>
      </c>
      <c r="BW176" s="154" t="s">
        <v>130</v>
      </c>
      <c r="BX176" s="180" t="s">
        <v>130</v>
      </c>
      <c r="BY176" s="29" t="s">
        <v>130</v>
      </c>
      <c r="BZ176" s="29" t="s">
        <v>130</v>
      </c>
      <c r="CA176" s="29" t="s">
        <v>130</v>
      </c>
      <c r="CB176" s="29" t="s">
        <v>130</v>
      </c>
      <c r="CC176" s="29" t="s">
        <v>130</v>
      </c>
      <c r="CD176" s="29" t="s">
        <v>130</v>
      </c>
      <c r="CE176" s="29" t="str">
        <f t="shared" si="70"/>
        <v>LOJA</v>
      </c>
      <c r="CF176" s="118" t="s">
        <v>130</v>
      </c>
      <c r="CG176" s="118" t="s">
        <v>130</v>
      </c>
      <c r="CH176" s="119">
        <f t="shared" si="71"/>
        <v>0</v>
      </c>
      <c r="CI176" s="120" t="s">
        <v>130</v>
      </c>
      <c r="CJ176" s="121">
        <v>5</v>
      </c>
      <c r="CK176" s="121">
        <v>5</v>
      </c>
      <c r="CL176" s="121">
        <f t="shared" si="72"/>
        <v>60</v>
      </c>
      <c r="CM176" s="122">
        <f t="shared" si="73"/>
        <v>0</v>
      </c>
      <c r="CN176" s="88" t="s">
        <v>130</v>
      </c>
      <c r="CO176" s="99">
        <f t="shared" si="57"/>
        <v>0</v>
      </c>
      <c r="CP176" s="48" t="s">
        <v>48</v>
      </c>
      <c r="CQ176" s="48"/>
      <c r="CR176" s="48"/>
      <c r="CS176" s="48"/>
    </row>
    <row r="177" spans="1:97" ht="54" x14ac:dyDescent="0.25">
      <c r="A177" s="27">
        <v>207</v>
      </c>
      <c r="B177" s="27" t="s">
        <v>130</v>
      </c>
      <c r="C177" s="29" t="s">
        <v>296</v>
      </c>
      <c r="D177" s="40" t="s">
        <v>49</v>
      </c>
      <c r="E177" s="84" t="s">
        <v>130</v>
      </c>
      <c r="F177" s="88" t="s">
        <v>130</v>
      </c>
      <c r="G177" s="188"/>
      <c r="H177" s="160" t="s">
        <v>130</v>
      </c>
      <c r="I177" s="29" t="s">
        <v>130</v>
      </c>
      <c r="J177" s="161" t="s">
        <v>130</v>
      </c>
      <c r="K177" s="85" t="s">
        <v>130</v>
      </c>
      <c r="L177" s="85" t="s">
        <v>130</v>
      </c>
      <c r="M177" s="86" t="s">
        <v>130</v>
      </c>
      <c r="N177" s="85" t="s">
        <v>130</v>
      </c>
      <c r="O177" s="86" t="s">
        <v>130</v>
      </c>
      <c r="P177" s="85" t="s">
        <v>130</v>
      </c>
      <c r="Q177" s="85" t="s">
        <v>130</v>
      </c>
      <c r="R177" s="85" t="s">
        <v>130</v>
      </c>
      <c r="S177" s="85" t="s">
        <v>130</v>
      </c>
      <c r="T177" s="85" t="s">
        <v>130</v>
      </c>
      <c r="U177" s="85" t="s">
        <v>130</v>
      </c>
      <c r="V177" s="85" t="s">
        <v>130</v>
      </c>
      <c r="W177" s="85" t="s">
        <v>130</v>
      </c>
      <c r="X177" s="85" t="s">
        <v>130</v>
      </c>
      <c r="Y177" s="85" t="s">
        <v>130</v>
      </c>
      <c r="Z177" s="85" t="s">
        <v>130</v>
      </c>
      <c r="AA177" s="85" t="s">
        <v>130</v>
      </c>
      <c r="AB177" s="85" t="s">
        <v>130</v>
      </c>
      <c r="AC177" s="85" t="s">
        <v>130</v>
      </c>
      <c r="AD177" s="85" t="s">
        <v>130</v>
      </c>
      <c r="AE177" s="29" t="s">
        <v>298</v>
      </c>
      <c r="AF177" s="191" t="s">
        <v>403</v>
      </c>
      <c r="AG177" s="40" t="s">
        <v>404</v>
      </c>
      <c r="AH177" s="29" t="s">
        <v>130</v>
      </c>
      <c r="AI177" s="162" t="s">
        <v>130</v>
      </c>
      <c r="AJ177" s="87" t="s">
        <v>130</v>
      </c>
      <c r="AK177" s="29" t="s">
        <v>405</v>
      </c>
      <c r="AL177" s="29" t="s">
        <v>130</v>
      </c>
      <c r="AM177" s="34" t="s">
        <v>130</v>
      </c>
      <c r="AN177" s="34" t="s">
        <v>130</v>
      </c>
      <c r="AO177" s="40" t="s">
        <v>406</v>
      </c>
      <c r="AP177" s="29" t="s">
        <v>181</v>
      </c>
      <c r="AQ177" s="88" t="s">
        <v>305</v>
      </c>
      <c r="AR177" s="89">
        <f>VLOOKUP(AQ177,'[1]Critério de Depreciação'!$C$3:$G$8,5,FALSE)</f>
        <v>0.83333333333333337</v>
      </c>
      <c r="AS177" s="29" t="s">
        <v>130</v>
      </c>
      <c r="AT177" s="29" t="s">
        <v>130</v>
      </c>
      <c r="AU177" s="29" t="s">
        <v>130</v>
      </c>
      <c r="AV177" s="163">
        <v>886</v>
      </c>
      <c r="AW177" s="90">
        <v>30000</v>
      </c>
      <c r="AX177" s="86">
        <v>42542</v>
      </c>
      <c r="AY177" s="91" t="s">
        <v>130</v>
      </c>
      <c r="AZ177" s="85" t="s">
        <v>130</v>
      </c>
      <c r="BA177" s="123" t="s">
        <v>130</v>
      </c>
      <c r="BB177" s="86" t="s">
        <v>130</v>
      </c>
      <c r="BC177" s="85" t="s">
        <v>130</v>
      </c>
      <c r="BD177" s="85" t="s">
        <v>130</v>
      </c>
      <c r="BE177" s="113">
        <f t="shared" si="68"/>
        <v>0</v>
      </c>
      <c r="BF177" s="92">
        <v>0</v>
      </c>
      <c r="BG177" s="92">
        <v>0</v>
      </c>
      <c r="BH177" s="92">
        <v>0</v>
      </c>
      <c r="BI177" s="92">
        <v>0</v>
      </c>
      <c r="BJ177" s="92">
        <v>0</v>
      </c>
      <c r="BK177" s="92">
        <v>0</v>
      </c>
      <c r="BL177" s="92">
        <v>0</v>
      </c>
      <c r="BM177" s="93">
        <v>30000</v>
      </c>
      <c r="BN177" s="92">
        <v>0</v>
      </c>
      <c r="BO177" s="92">
        <v>0</v>
      </c>
      <c r="BP177" s="92">
        <f t="shared" si="74"/>
        <v>0</v>
      </c>
      <c r="BQ177" s="92">
        <v>0</v>
      </c>
      <c r="BR177" s="92">
        <v>0</v>
      </c>
      <c r="BS177" s="85" t="s">
        <v>130</v>
      </c>
      <c r="BT177" s="94" t="s">
        <v>130</v>
      </c>
      <c r="BU177" s="94" t="s">
        <v>130</v>
      </c>
      <c r="BV177" s="94" t="s">
        <v>130</v>
      </c>
      <c r="BW177" s="95" t="s">
        <v>130</v>
      </c>
      <c r="BX177" s="96" t="s">
        <v>130</v>
      </c>
      <c r="BY177" s="29" t="s">
        <v>130</v>
      </c>
      <c r="BZ177" s="29" t="s">
        <v>130</v>
      </c>
      <c r="CA177" s="29" t="s">
        <v>130</v>
      </c>
      <c r="CB177" s="29" t="s">
        <v>130</v>
      </c>
      <c r="CC177" s="29" t="s">
        <v>130</v>
      </c>
      <c r="CD177" s="29" t="s">
        <v>130</v>
      </c>
      <c r="CE177" s="191" t="str">
        <f t="shared" si="70"/>
        <v>SP - Rosana Porto Primavera</v>
      </c>
      <c r="CF177" s="97" t="s">
        <v>130</v>
      </c>
      <c r="CG177" s="97" t="s">
        <v>130</v>
      </c>
      <c r="CH177" s="37" t="s">
        <v>130</v>
      </c>
      <c r="CI177" s="98" t="s">
        <v>130</v>
      </c>
      <c r="CJ177" s="39">
        <v>5</v>
      </c>
      <c r="CK177" s="39">
        <v>5</v>
      </c>
      <c r="CL177" s="39" t="s">
        <v>130</v>
      </c>
      <c r="CM177" s="99" t="s">
        <v>130</v>
      </c>
      <c r="CN177" s="40" t="str">
        <f>IFERROR(IF(VLOOKUP(AG177,'[1]ATIVOS SAGI'!C:D,1,FALSE)&lt;&gt;"","CADASTRADO","NÃO CADASTRADO"),"NÃO CADASTRADO")</f>
        <v>CADASTRADO</v>
      </c>
      <c r="CO177" s="99">
        <f t="shared" si="57"/>
        <v>250</v>
      </c>
      <c r="CP177" s="100" t="s">
        <v>92</v>
      </c>
      <c r="CQ177" s="100"/>
      <c r="CR177" s="100"/>
      <c r="CS177" s="100"/>
    </row>
    <row r="178" spans="1:97" x14ac:dyDescent="0.25">
      <c r="A178" s="27">
        <v>210</v>
      </c>
      <c r="B178" s="27" t="s">
        <v>130</v>
      </c>
      <c r="C178" s="29" t="s">
        <v>296</v>
      </c>
      <c r="D178" s="40" t="s">
        <v>49</v>
      </c>
      <c r="E178" s="84" t="s">
        <v>130</v>
      </c>
      <c r="F178" s="40" t="s">
        <v>130</v>
      </c>
      <c r="G178" s="84"/>
      <c r="H178" s="160" t="s">
        <v>130</v>
      </c>
      <c r="I178" s="29" t="s">
        <v>130</v>
      </c>
      <c r="J178" s="161" t="s">
        <v>130</v>
      </c>
      <c r="K178" s="85" t="s">
        <v>130</v>
      </c>
      <c r="L178" s="85" t="s">
        <v>130</v>
      </c>
      <c r="M178" s="86" t="s">
        <v>130</v>
      </c>
      <c r="N178" s="85" t="s">
        <v>130</v>
      </c>
      <c r="O178" s="86" t="s">
        <v>130</v>
      </c>
      <c r="P178" s="85" t="s">
        <v>130</v>
      </c>
      <c r="Q178" s="85" t="s">
        <v>130</v>
      </c>
      <c r="R178" s="85" t="s">
        <v>130</v>
      </c>
      <c r="S178" s="85" t="s">
        <v>130</v>
      </c>
      <c r="T178" s="85" t="s">
        <v>130</v>
      </c>
      <c r="U178" s="85" t="s">
        <v>130</v>
      </c>
      <c r="V178" s="85" t="s">
        <v>130</v>
      </c>
      <c r="W178" s="85" t="s">
        <v>130</v>
      </c>
      <c r="X178" s="85" t="s">
        <v>130</v>
      </c>
      <c r="Y178" s="85" t="s">
        <v>130</v>
      </c>
      <c r="Z178" s="85" t="s">
        <v>130</v>
      </c>
      <c r="AA178" s="85" t="s">
        <v>130</v>
      </c>
      <c r="AB178" s="85" t="s">
        <v>130</v>
      </c>
      <c r="AC178" s="85" t="s">
        <v>130</v>
      </c>
      <c r="AD178" s="85" t="s">
        <v>130</v>
      </c>
      <c r="AE178" s="130" t="s">
        <v>45</v>
      </c>
      <c r="AF178" s="191" t="s">
        <v>92</v>
      </c>
      <c r="AG178" s="40" t="s">
        <v>407</v>
      </c>
      <c r="AH178" s="29" t="s">
        <v>130</v>
      </c>
      <c r="AI178" s="162" t="s">
        <v>130</v>
      </c>
      <c r="AJ178" s="190" t="s">
        <v>130</v>
      </c>
      <c r="AK178" s="29" t="s">
        <v>408</v>
      </c>
      <c r="AL178" s="191" t="s">
        <v>409</v>
      </c>
      <c r="AM178" s="34">
        <v>2010</v>
      </c>
      <c r="AN178" s="34" t="s">
        <v>130</v>
      </c>
      <c r="AO178" s="40" t="s">
        <v>410</v>
      </c>
      <c r="AP178" s="29" t="s">
        <v>181</v>
      </c>
      <c r="AQ178" s="88" t="s">
        <v>305</v>
      </c>
      <c r="AR178" s="89">
        <f>VLOOKUP(AQ178,'[1]Critério de Depreciação'!$C$3:$G$8,5,FALSE)</f>
        <v>0.83333333333333337</v>
      </c>
      <c r="AS178" s="29" t="s">
        <v>130</v>
      </c>
      <c r="AT178" s="29" t="s">
        <v>130</v>
      </c>
      <c r="AU178" s="29" t="s">
        <v>130</v>
      </c>
      <c r="AV178" s="183" t="s">
        <v>130</v>
      </c>
      <c r="AW178" s="90">
        <v>0</v>
      </c>
      <c r="AX178" s="86" t="s">
        <v>130</v>
      </c>
      <c r="AY178" s="91" t="s">
        <v>130</v>
      </c>
      <c r="AZ178" s="85" t="s">
        <v>130</v>
      </c>
      <c r="BA178" s="123" t="s">
        <v>130</v>
      </c>
      <c r="BB178" s="86" t="s">
        <v>130</v>
      </c>
      <c r="BC178" s="85" t="s">
        <v>130</v>
      </c>
      <c r="BD178" s="85" t="s">
        <v>130</v>
      </c>
      <c r="BE178" s="113">
        <f t="shared" si="68"/>
        <v>0</v>
      </c>
      <c r="BF178" s="92">
        <v>0</v>
      </c>
      <c r="BG178" s="92">
        <v>0</v>
      </c>
      <c r="BH178" s="92">
        <v>0</v>
      </c>
      <c r="BI178" s="92">
        <v>0</v>
      </c>
      <c r="BJ178" s="92">
        <v>0</v>
      </c>
      <c r="BK178" s="92">
        <v>0</v>
      </c>
      <c r="BL178" s="92">
        <v>0</v>
      </c>
      <c r="BM178" s="93">
        <f>SUM(BF178:BL178)</f>
        <v>0</v>
      </c>
      <c r="BN178" s="92">
        <v>0</v>
      </c>
      <c r="BO178" s="92">
        <v>0</v>
      </c>
      <c r="BP178" s="92">
        <f t="shared" si="74"/>
        <v>0</v>
      </c>
      <c r="BQ178" s="92">
        <v>0</v>
      </c>
      <c r="BR178" s="92">
        <v>0</v>
      </c>
      <c r="BS178" s="85" t="s">
        <v>130</v>
      </c>
      <c r="BT178" s="94" t="s">
        <v>130</v>
      </c>
      <c r="BU178" s="94" t="s">
        <v>130</v>
      </c>
      <c r="BV178" s="94" t="s">
        <v>130</v>
      </c>
      <c r="BW178" s="95" t="s">
        <v>130</v>
      </c>
      <c r="BX178" s="94" t="s">
        <v>130</v>
      </c>
      <c r="BY178" s="29" t="s">
        <v>130</v>
      </c>
      <c r="BZ178" s="29" t="s">
        <v>130</v>
      </c>
      <c r="CA178" s="29" t="s">
        <v>130</v>
      </c>
      <c r="CB178" s="29" t="s">
        <v>130</v>
      </c>
      <c r="CC178" s="29" t="s">
        <v>130</v>
      </c>
      <c r="CD178" s="29" t="s">
        <v>130</v>
      </c>
      <c r="CE178" s="191" t="str">
        <f t="shared" si="70"/>
        <v>?</v>
      </c>
      <c r="CF178" s="97" t="s">
        <v>130</v>
      </c>
      <c r="CG178" s="97" t="s">
        <v>130</v>
      </c>
      <c r="CH178" s="37" t="s">
        <v>130</v>
      </c>
      <c r="CI178" s="98" t="s">
        <v>130</v>
      </c>
      <c r="CJ178" s="39">
        <v>5</v>
      </c>
      <c r="CK178" s="39">
        <v>5</v>
      </c>
      <c r="CL178" s="39" t="s">
        <v>130</v>
      </c>
      <c r="CM178" s="99" t="s">
        <v>130</v>
      </c>
      <c r="CN178" s="40" t="str">
        <f>IFERROR(IF(VLOOKUP(AG178,'[1]ATIVOS SAGI'!C:D,1,FALSE)&lt;&gt;"","CADASTRADO","NÃO CADASTRADO"),"NÃO CADASTRADO")</f>
        <v>CADASTRADO</v>
      </c>
      <c r="CO178" s="99">
        <f t="shared" si="57"/>
        <v>0</v>
      </c>
      <c r="CP178" s="100" t="s">
        <v>301</v>
      </c>
      <c r="CQ178" s="100"/>
      <c r="CR178" s="100"/>
      <c r="CS178" s="100"/>
    </row>
    <row r="179" spans="1:97" x14ac:dyDescent="0.25">
      <c r="A179" s="27">
        <v>230</v>
      </c>
      <c r="B179" s="101" t="s">
        <v>130</v>
      </c>
      <c r="C179" s="102" t="s">
        <v>296</v>
      </c>
      <c r="D179" s="88" t="s">
        <v>49</v>
      </c>
      <c r="E179" s="88" t="s">
        <v>130</v>
      </c>
      <c r="F179" s="40" t="s">
        <v>130</v>
      </c>
      <c r="G179" s="88"/>
      <c r="H179" s="104" t="s">
        <v>130</v>
      </c>
      <c r="I179" s="102" t="s">
        <v>130</v>
      </c>
      <c r="J179" s="102" t="s">
        <v>130</v>
      </c>
      <c r="K179" s="102" t="s">
        <v>130</v>
      </c>
      <c r="L179" s="105" t="s">
        <v>130</v>
      </c>
      <c r="M179" s="106" t="s">
        <v>130</v>
      </c>
      <c r="N179" s="105" t="s">
        <v>130</v>
      </c>
      <c r="O179" s="106" t="s">
        <v>130</v>
      </c>
      <c r="P179" s="105" t="s">
        <v>130</v>
      </c>
      <c r="Q179" s="105" t="s">
        <v>130</v>
      </c>
      <c r="R179" s="105" t="s">
        <v>130</v>
      </c>
      <c r="S179" s="105" t="s">
        <v>130</v>
      </c>
      <c r="T179" s="105" t="s">
        <v>130</v>
      </c>
      <c r="U179" s="105" t="s">
        <v>130</v>
      </c>
      <c r="V179" s="105" t="s">
        <v>130</v>
      </c>
      <c r="W179" s="105" t="s">
        <v>130</v>
      </c>
      <c r="X179" s="105" t="s">
        <v>130</v>
      </c>
      <c r="Y179" s="105" t="s">
        <v>130</v>
      </c>
      <c r="Z179" s="105" t="s">
        <v>130</v>
      </c>
      <c r="AA179" s="105" t="s">
        <v>130</v>
      </c>
      <c r="AB179" s="105" t="s">
        <v>130</v>
      </c>
      <c r="AC179" s="105" t="s">
        <v>130</v>
      </c>
      <c r="AD179" s="105" t="s">
        <v>130</v>
      </c>
      <c r="AE179" s="102" t="s">
        <v>297</v>
      </c>
      <c r="AF179" s="196" t="s">
        <v>130</v>
      </c>
      <c r="AG179" s="88" t="s">
        <v>411</v>
      </c>
      <c r="AH179" s="102" t="s">
        <v>130</v>
      </c>
      <c r="AI179" s="177" t="s">
        <v>130</v>
      </c>
      <c r="AJ179" s="107" t="s">
        <v>130</v>
      </c>
      <c r="AK179" s="102" t="s">
        <v>412</v>
      </c>
      <c r="AL179" s="102" t="s">
        <v>413</v>
      </c>
      <c r="AM179" s="108">
        <v>2025</v>
      </c>
      <c r="AN179" s="108">
        <v>2025</v>
      </c>
      <c r="AO179" s="88" t="s">
        <v>414</v>
      </c>
      <c r="AP179" s="102" t="s">
        <v>181</v>
      </c>
      <c r="AQ179" s="88" t="s">
        <v>303</v>
      </c>
      <c r="AR179" s="89">
        <f>VLOOKUP(AQ179,'[1]Critério de Depreciação'!$C$3:$G$8,5,FALSE)</f>
        <v>0.83333333333333337</v>
      </c>
      <c r="AS179" s="102" t="s">
        <v>130</v>
      </c>
      <c r="AT179" s="102" t="s">
        <v>130</v>
      </c>
      <c r="AU179" s="102" t="s">
        <v>130</v>
      </c>
      <c r="AV179" s="178">
        <v>354</v>
      </c>
      <c r="AW179" s="110">
        <v>127000</v>
      </c>
      <c r="AX179" s="106">
        <v>45924</v>
      </c>
      <c r="AY179" s="111" t="s">
        <v>130</v>
      </c>
      <c r="AZ179" s="102" t="s">
        <v>130</v>
      </c>
      <c r="BA179" s="102" t="s">
        <v>130</v>
      </c>
      <c r="BB179" s="102" t="s">
        <v>130</v>
      </c>
      <c r="BC179" s="102" t="s">
        <v>130</v>
      </c>
      <c r="BD179" s="102" t="s">
        <v>130</v>
      </c>
      <c r="BE179" s="179" t="s">
        <v>130</v>
      </c>
      <c r="BF179" s="113">
        <v>0</v>
      </c>
      <c r="BG179" s="113">
        <v>0</v>
      </c>
      <c r="BH179" s="113">
        <v>0</v>
      </c>
      <c r="BI179" s="113">
        <v>0</v>
      </c>
      <c r="BJ179" s="113">
        <v>0</v>
      </c>
      <c r="BK179" s="113">
        <v>0</v>
      </c>
      <c r="BL179" s="113">
        <v>0</v>
      </c>
      <c r="BM179" s="114">
        <v>0</v>
      </c>
      <c r="BN179" s="113">
        <v>0</v>
      </c>
      <c r="BO179" s="113">
        <v>0</v>
      </c>
      <c r="BP179" s="113">
        <v>0</v>
      </c>
      <c r="BQ179" s="113">
        <v>0</v>
      </c>
      <c r="BR179" s="113">
        <v>0</v>
      </c>
      <c r="BS179" s="105" t="s">
        <v>130</v>
      </c>
      <c r="BT179" s="153" t="s">
        <v>130</v>
      </c>
      <c r="BU179" s="153" t="s">
        <v>130</v>
      </c>
      <c r="BV179" s="153" t="s">
        <v>130</v>
      </c>
      <c r="BW179" s="154" t="s">
        <v>130</v>
      </c>
      <c r="BX179" s="180" t="s">
        <v>130</v>
      </c>
      <c r="BY179" s="102" t="s">
        <v>130</v>
      </c>
      <c r="BZ179" s="102" t="s">
        <v>130</v>
      </c>
      <c r="CA179" s="102" t="s">
        <v>130</v>
      </c>
      <c r="CB179" s="102" t="s">
        <v>130</v>
      </c>
      <c r="CC179" s="102" t="s">
        <v>130</v>
      </c>
      <c r="CD179" s="102" t="s">
        <v>130</v>
      </c>
      <c r="CE179" s="102" t="s">
        <v>130</v>
      </c>
      <c r="CF179" s="118" t="s">
        <v>130</v>
      </c>
      <c r="CG179" s="118" t="s">
        <v>130</v>
      </c>
      <c r="CH179" s="119" t="s">
        <v>130</v>
      </c>
      <c r="CI179" s="120" t="s">
        <v>130</v>
      </c>
      <c r="CJ179" s="121" t="s">
        <v>130</v>
      </c>
      <c r="CK179" s="121" t="s">
        <v>130</v>
      </c>
      <c r="CL179" s="121" t="s">
        <v>130</v>
      </c>
      <c r="CM179" s="122" t="s">
        <v>130</v>
      </c>
      <c r="CN179" s="88" t="s">
        <v>130</v>
      </c>
      <c r="CO179" s="99">
        <f t="shared" si="57"/>
        <v>0</v>
      </c>
      <c r="CP179" s="197" t="s">
        <v>301</v>
      </c>
      <c r="CQ179" s="100"/>
      <c r="CR179" s="100"/>
      <c r="CS179" s="100"/>
    </row>
    <row r="180" spans="1:97" x14ac:dyDescent="0.25">
      <c r="A180" s="27">
        <v>166</v>
      </c>
      <c r="B180" s="27">
        <v>178</v>
      </c>
      <c r="C180" s="29" t="s">
        <v>296</v>
      </c>
      <c r="D180" s="40" t="s">
        <v>49</v>
      </c>
      <c r="E180" s="40" t="s">
        <v>130</v>
      </c>
      <c r="F180" s="40" t="s">
        <v>130</v>
      </c>
      <c r="G180" s="151"/>
      <c r="H180" s="41" t="s">
        <v>130</v>
      </c>
      <c r="I180" s="29" t="s">
        <v>130</v>
      </c>
      <c r="J180" s="29" t="s">
        <v>130</v>
      </c>
      <c r="K180" s="29" t="s">
        <v>130</v>
      </c>
      <c r="L180" s="85" t="s">
        <v>130</v>
      </c>
      <c r="M180" s="86" t="s">
        <v>130</v>
      </c>
      <c r="N180" s="85" t="s">
        <v>130</v>
      </c>
      <c r="O180" s="86" t="s">
        <v>130</v>
      </c>
      <c r="P180" s="85" t="s">
        <v>130</v>
      </c>
      <c r="Q180" s="29" t="s">
        <v>130</v>
      </c>
      <c r="R180" s="85" t="s">
        <v>130</v>
      </c>
      <c r="S180" s="85" t="s">
        <v>130</v>
      </c>
      <c r="T180" s="85" t="s">
        <v>130</v>
      </c>
      <c r="U180" s="85" t="s">
        <v>130</v>
      </c>
      <c r="V180" s="85" t="s">
        <v>130</v>
      </c>
      <c r="W180" s="85" t="s">
        <v>130</v>
      </c>
      <c r="X180" s="85" t="s">
        <v>130</v>
      </c>
      <c r="Y180" s="85" t="s">
        <v>130</v>
      </c>
      <c r="Z180" s="85" t="s">
        <v>130</v>
      </c>
      <c r="AA180" s="85" t="s">
        <v>130</v>
      </c>
      <c r="AB180" s="85" t="s">
        <v>130</v>
      </c>
      <c r="AC180" s="85" t="s">
        <v>130</v>
      </c>
      <c r="AD180" s="85" t="s">
        <v>130</v>
      </c>
      <c r="AE180" s="29" t="s">
        <v>45</v>
      </c>
      <c r="AF180" s="29" t="s">
        <v>46</v>
      </c>
      <c r="AG180" s="40" t="s">
        <v>130</v>
      </c>
      <c r="AH180" s="29" t="s">
        <v>130</v>
      </c>
      <c r="AI180" s="87" t="str">
        <f>IFERROR(VLOOKUP(AG180,[2]Frota!$D$2:$AV$187,2,FALSE),"-")</f>
        <v>-</v>
      </c>
      <c r="AJ180" s="87" t="str">
        <f>IFERROR(VLOOKUP(AG180,[2]Frota!$D$2:$AV$187,3,FALSE),"-")</f>
        <v>-</v>
      </c>
      <c r="AK180" s="29" t="s">
        <v>385</v>
      </c>
      <c r="AL180" s="29" t="s">
        <v>130</v>
      </c>
      <c r="AM180" s="34" t="s">
        <v>130</v>
      </c>
      <c r="AN180" s="34" t="s">
        <v>130</v>
      </c>
      <c r="AO180" s="40" t="s">
        <v>415</v>
      </c>
      <c r="AP180" s="29" t="s">
        <v>181</v>
      </c>
      <c r="AQ180" s="88" t="s">
        <v>303</v>
      </c>
      <c r="AR180" s="89">
        <f>VLOOKUP(AQ180,'[1]Critério de Depreciação'!$C$3:$G$8,5,FALSE)</f>
        <v>0.83333333333333337</v>
      </c>
      <c r="AS180" s="29" t="s">
        <v>308</v>
      </c>
      <c r="AT180" s="29" t="s">
        <v>300</v>
      </c>
      <c r="AU180" s="29" t="str">
        <f>IFERROR(VLOOKUP(AG225,[2]Frota!$D$2:$AV$187,12,FALSE),"-")</f>
        <v>-</v>
      </c>
      <c r="AV180" s="45" t="s">
        <v>130</v>
      </c>
      <c r="AW180" s="90">
        <v>0</v>
      </c>
      <c r="AX180" s="86">
        <v>44034</v>
      </c>
      <c r="AY180" s="91" t="s">
        <v>130</v>
      </c>
      <c r="AZ180" s="85" t="s">
        <v>130</v>
      </c>
      <c r="BA180" s="123" t="s">
        <v>130</v>
      </c>
      <c r="BB180" s="86" t="s">
        <v>130</v>
      </c>
      <c r="BC180" s="85" t="s">
        <v>130</v>
      </c>
      <c r="BD180" s="85" t="s">
        <v>130</v>
      </c>
      <c r="BE180" s="92">
        <f t="shared" ref="BE180:BE193" si="75">SUM(AZ180:BA180,BC180:BD180)</f>
        <v>0</v>
      </c>
      <c r="BF180" s="92">
        <v>0</v>
      </c>
      <c r="BG180" s="92">
        <v>0</v>
      </c>
      <c r="BH180" s="92">
        <v>0</v>
      </c>
      <c r="BI180" s="92">
        <v>0</v>
      </c>
      <c r="BJ180" s="92">
        <v>0</v>
      </c>
      <c r="BK180" s="92">
        <v>0</v>
      </c>
      <c r="BL180" s="92">
        <v>0</v>
      </c>
      <c r="BM180" s="93">
        <f>SUM(BF180:BL180)</f>
        <v>0</v>
      </c>
      <c r="BN180" s="92">
        <v>0</v>
      </c>
      <c r="BO180" s="92">
        <v>0</v>
      </c>
      <c r="BP180" s="92">
        <f t="shared" ref="BP180:BP193" si="76">BN180+BO180</f>
        <v>0</v>
      </c>
      <c r="BQ180" s="92">
        <v>0</v>
      </c>
      <c r="BR180" s="92">
        <v>0</v>
      </c>
      <c r="BS180" s="85">
        <f t="shared" ref="BS180:BS193" si="77">IFERROR((AW180*20%)/12,"-")</f>
        <v>0</v>
      </c>
      <c r="BT180" s="94" t="s">
        <v>130</v>
      </c>
      <c r="BU180" s="94" t="s">
        <v>130</v>
      </c>
      <c r="BV180" s="94" t="s">
        <v>130</v>
      </c>
      <c r="BW180" s="95" t="s">
        <v>130</v>
      </c>
      <c r="BX180" s="96" t="s">
        <v>130</v>
      </c>
      <c r="BY180" s="29" t="s">
        <v>130</v>
      </c>
      <c r="BZ180" s="29" t="s">
        <v>130</v>
      </c>
      <c r="CA180" s="29" t="s">
        <v>130</v>
      </c>
      <c r="CB180" s="29" t="s">
        <v>130</v>
      </c>
      <c r="CC180" s="29" t="s">
        <v>130</v>
      </c>
      <c r="CD180" s="29" t="s">
        <v>130</v>
      </c>
      <c r="CE180" s="29" t="str">
        <f t="shared" ref="CE180:CE193" si="78">AF180</f>
        <v>SP - PRUDENTE - SUCATA</v>
      </c>
      <c r="CF180" s="97" t="s">
        <v>130</v>
      </c>
      <c r="CG180" s="97" t="s">
        <v>130</v>
      </c>
      <c r="CH180" s="37">
        <f t="shared" ref="CH180:CH193" si="79">BM180</f>
        <v>0</v>
      </c>
      <c r="CI180" s="98" t="s">
        <v>130</v>
      </c>
      <c r="CJ180" s="39">
        <v>5</v>
      </c>
      <c r="CK180" s="39">
        <v>5</v>
      </c>
      <c r="CL180" s="39">
        <f t="shared" ref="CL180:CL193" si="80">12*CK180</f>
        <v>60</v>
      </c>
      <c r="CM180" s="99">
        <f t="shared" ref="CM180:CM193" si="81">IFERROR((CH180/CL180)*2,"-")</f>
        <v>0</v>
      </c>
      <c r="CN180" s="88" t="s">
        <v>130</v>
      </c>
      <c r="CO180" s="99">
        <f t="shared" si="57"/>
        <v>0</v>
      </c>
      <c r="CP180" s="100" t="s">
        <v>301</v>
      </c>
      <c r="CQ180" s="100"/>
      <c r="CR180" s="100"/>
      <c r="CS180" s="100"/>
    </row>
    <row r="181" spans="1:97" x14ac:dyDescent="0.25">
      <c r="A181" s="27">
        <v>138</v>
      </c>
      <c r="B181" s="27">
        <v>160</v>
      </c>
      <c r="C181" s="29" t="s">
        <v>296</v>
      </c>
      <c r="D181" s="40" t="s">
        <v>49</v>
      </c>
      <c r="E181" s="40" t="s">
        <v>130</v>
      </c>
      <c r="F181" s="40" t="s">
        <v>130</v>
      </c>
      <c r="G181" s="40"/>
      <c r="H181" s="41" t="s">
        <v>130</v>
      </c>
      <c r="I181" s="29" t="s">
        <v>130</v>
      </c>
      <c r="J181" s="29" t="s">
        <v>130</v>
      </c>
      <c r="K181" s="29" t="s">
        <v>130</v>
      </c>
      <c r="L181" s="85" t="s">
        <v>130</v>
      </c>
      <c r="M181" s="86" t="s">
        <v>130</v>
      </c>
      <c r="N181" s="85" t="s">
        <v>130</v>
      </c>
      <c r="O181" s="86" t="s">
        <v>130</v>
      </c>
      <c r="P181" s="85" t="s">
        <v>130</v>
      </c>
      <c r="Q181" s="29" t="s">
        <v>130</v>
      </c>
      <c r="R181" s="85" t="s">
        <v>130</v>
      </c>
      <c r="S181" s="85" t="s">
        <v>130</v>
      </c>
      <c r="T181" s="85" t="s">
        <v>130</v>
      </c>
      <c r="U181" s="85" t="s">
        <v>130</v>
      </c>
      <c r="V181" s="85" t="s">
        <v>130</v>
      </c>
      <c r="W181" s="85" t="s">
        <v>130</v>
      </c>
      <c r="X181" s="85" t="s">
        <v>130</v>
      </c>
      <c r="Y181" s="85" t="s">
        <v>130</v>
      </c>
      <c r="Z181" s="85" t="s">
        <v>130</v>
      </c>
      <c r="AA181" s="85" t="s">
        <v>130</v>
      </c>
      <c r="AB181" s="85" t="s">
        <v>130</v>
      </c>
      <c r="AC181" s="85" t="s">
        <v>130</v>
      </c>
      <c r="AD181" s="85" t="s">
        <v>130</v>
      </c>
      <c r="AE181" s="29" t="s">
        <v>45</v>
      </c>
      <c r="AF181" s="29" t="s">
        <v>130</v>
      </c>
      <c r="AG181" s="40" t="s">
        <v>416</v>
      </c>
      <c r="AH181" s="29" t="s">
        <v>130</v>
      </c>
      <c r="AI181" s="87" t="str">
        <f>IFERROR(VLOOKUP(AG181,[2]Frota!$D$2:$AV$187,2,FALSE),"-")</f>
        <v>-</v>
      </c>
      <c r="AJ181" s="87" t="str">
        <f>IFERROR(VLOOKUP(AG181,[2]Frota!$D$2:$AV$187,3,FALSE),"-")</f>
        <v>-</v>
      </c>
      <c r="AK181" s="29" t="s">
        <v>320</v>
      </c>
      <c r="AL181" s="29" t="s">
        <v>417</v>
      </c>
      <c r="AM181" s="34" t="s">
        <v>130</v>
      </c>
      <c r="AN181" s="34" t="s">
        <v>130</v>
      </c>
      <c r="AO181" s="40" t="s">
        <v>418</v>
      </c>
      <c r="AP181" s="29" t="s">
        <v>181</v>
      </c>
      <c r="AQ181" s="88" t="s">
        <v>303</v>
      </c>
      <c r="AR181" s="89">
        <f>VLOOKUP(AQ181,'[1]Critério de Depreciação'!$C$3:$G$8,5,FALSE)</f>
        <v>0.83333333333333337</v>
      </c>
      <c r="AS181" s="29" t="s">
        <v>130</v>
      </c>
      <c r="AT181" s="29" t="s">
        <v>130</v>
      </c>
      <c r="AU181" s="29" t="str">
        <f>IFERROR(VLOOKUP(#REF!,[2]Frota!$D$2:$AV$187,12,FALSE),"-")</f>
        <v>-</v>
      </c>
      <c r="AV181" s="29" t="s">
        <v>130</v>
      </c>
      <c r="AW181" s="90">
        <v>0</v>
      </c>
      <c r="AX181" s="86" t="s">
        <v>130</v>
      </c>
      <c r="AY181" s="91" t="s">
        <v>130</v>
      </c>
      <c r="AZ181" s="85">
        <f>(64+30+250)*3000</f>
        <v>1032000</v>
      </c>
      <c r="BA181" s="123" t="s">
        <v>130</v>
      </c>
      <c r="BB181" s="86" t="s">
        <v>130</v>
      </c>
      <c r="BC181" s="85" t="s">
        <v>130</v>
      </c>
      <c r="BD181" s="85" t="s">
        <v>130</v>
      </c>
      <c r="BE181" s="92">
        <f t="shared" si="75"/>
        <v>1032000</v>
      </c>
      <c r="BF181" s="92">
        <v>0</v>
      </c>
      <c r="BG181" s="92">
        <v>0</v>
      </c>
      <c r="BH181" s="92">
        <v>0</v>
      </c>
      <c r="BI181" s="92">
        <v>0</v>
      </c>
      <c r="BJ181" s="92">
        <v>0</v>
      </c>
      <c r="BK181" s="92">
        <v>0</v>
      </c>
      <c r="BL181" s="92">
        <v>0</v>
      </c>
      <c r="BM181" s="93">
        <f>SUM(BF181:BL181)</f>
        <v>0</v>
      </c>
      <c r="BN181" s="92">
        <v>0</v>
      </c>
      <c r="BO181" s="92">
        <v>0</v>
      </c>
      <c r="BP181" s="92">
        <f t="shared" si="76"/>
        <v>0</v>
      </c>
      <c r="BQ181" s="92">
        <v>0</v>
      </c>
      <c r="BR181" s="92">
        <v>0</v>
      </c>
      <c r="BS181" s="85">
        <f t="shared" si="77"/>
        <v>0</v>
      </c>
      <c r="BT181" s="94" t="s">
        <v>130</v>
      </c>
      <c r="BU181" s="94" t="s">
        <v>130</v>
      </c>
      <c r="BV181" s="94" t="s">
        <v>130</v>
      </c>
      <c r="BW181" s="95" t="s">
        <v>130</v>
      </c>
      <c r="BX181" s="96" t="s">
        <v>130</v>
      </c>
      <c r="BY181" s="29" t="s">
        <v>130</v>
      </c>
      <c r="BZ181" s="29" t="s">
        <v>130</v>
      </c>
      <c r="CA181" s="29" t="s">
        <v>130</v>
      </c>
      <c r="CB181" s="29" t="s">
        <v>130</v>
      </c>
      <c r="CC181" s="29" t="s">
        <v>130</v>
      </c>
      <c r="CD181" s="29" t="s">
        <v>130</v>
      </c>
      <c r="CE181" s="29" t="str">
        <f t="shared" si="78"/>
        <v>-</v>
      </c>
      <c r="CF181" s="97" t="s">
        <v>130</v>
      </c>
      <c r="CG181" s="97" t="s">
        <v>130</v>
      </c>
      <c r="CH181" s="37">
        <f t="shared" si="79"/>
        <v>0</v>
      </c>
      <c r="CI181" s="98" t="s">
        <v>130</v>
      </c>
      <c r="CJ181" s="39">
        <v>5</v>
      </c>
      <c r="CK181" s="39">
        <v>5</v>
      </c>
      <c r="CL181" s="39">
        <f t="shared" si="80"/>
        <v>60</v>
      </c>
      <c r="CM181" s="99">
        <f t="shared" si="81"/>
        <v>0</v>
      </c>
      <c r="CN181" s="40" t="s">
        <v>130</v>
      </c>
      <c r="CO181" s="99">
        <f t="shared" si="57"/>
        <v>0</v>
      </c>
      <c r="CP181" s="100" t="s">
        <v>301</v>
      </c>
      <c r="CQ181" s="100"/>
      <c r="CR181" s="100"/>
      <c r="CS181" s="100"/>
    </row>
    <row r="182" spans="1:97" x14ac:dyDescent="0.25">
      <c r="A182" s="27">
        <v>137</v>
      </c>
      <c r="B182" s="27">
        <v>159</v>
      </c>
      <c r="C182" s="29" t="s">
        <v>296</v>
      </c>
      <c r="D182" s="40" t="s">
        <v>49</v>
      </c>
      <c r="E182" s="40" t="s">
        <v>130</v>
      </c>
      <c r="F182" s="40" t="s">
        <v>130</v>
      </c>
      <c r="G182" s="40"/>
      <c r="H182" s="41" t="s">
        <v>130</v>
      </c>
      <c r="I182" s="29" t="s">
        <v>130</v>
      </c>
      <c r="J182" s="29" t="s">
        <v>130</v>
      </c>
      <c r="K182" s="29" t="s">
        <v>130</v>
      </c>
      <c r="L182" s="85" t="s">
        <v>130</v>
      </c>
      <c r="M182" s="86" t="s">
        <v>130</v>
      </c>
      <c r="N182" s="85" t="s">
        <v>130</v>
      </c>
      <c r="O182" s="86" t="s">
        <v>130</v>
      </c>
      <c r="P182" s="85" t="s">
        <v>130</v>
      </c>
      <c r="Q182" s="29" t="s">
        <v>130</v>
      </c>
      <c r="R182" s="85" t="s">
        <v>130</v>
      </c>
      <c r="S182" s="85" t="s">
        <v>130</v>
      </c>
      <c r="T182" s="85" t="s">
        <v>130</v>
      </c>
      <c r="U182" s="85" t="s">
        <v>130</v>
      </c>
      <c r="V182" s="85" t="s">
        <v>130</v>
      </c>
      <c r="W182" s="85" t="s">
        <v>130</v>
      </c>
      <c r="X182" s="85" t="s">
        <v>130</v>
      </c>
      <c r="Y182" s="85" t="s">
        <v>130</v>
      </c>
      <c r="Z182" s="85" t="s">
        <v>130</v>
      </c>
      <c r="AA182" s="85" t="s">
        <v>130</v>
      </c>
      <c r="AB182" s="85" t="s">
        <v>130</v>
      </c>
      <c r="AC182" s="85" t="s">
        <v>130</v>
      </c>
      <c r="AD182" s="85" t="s">
        <v>130</v>
      </c>
      <c r="AE182" s="29" t="s">
        <v>45</v>
      </c>
      <c r="AF182" s="29" t="s">
        <v>130</v>
      </c>
      <c r="AG182" s="40" t="s">
        <v>419</v>
      </c>
      <c r="AH182" s="29" t="s">
        <v>130</v>
      </c>
      <c r="AI182" s="87" t="str">
        <f>IFERROR(VLOOKUP(AG182,[2]Frota!$D$2:$AV$187,2,FALSE),"-")</f>
        <v>-</v>
      </c>
      <c r="AJ182" s="87" t="str">
        <f>IFERROR(VLOOKUP(AG182,[2]Frota!$D$2:$AV$187,3,FALSE),"-")</f>
        <v>-</v>
      </c>
      <c r="AK182" s="29" t="s">
        <v>320</v>
      </c>
      <c r="AL182" s="29" t="s">
        <v>417</v>
      </c>
      <c r="AM182" s="34" t="s">
        <v>130</v>
      </c>
      <c r="AN182" s="34" t="s">
        <v>130</v>
      </c>
      <c r="AO182" s="40" t="s">
        <v>420</v>
      </c>
      <c r="AP182" s="29" t="s">
        <v>181</v>
      </c>
      <c r="AQ182" s="88" t="s">
        <v>303</v>
      </c>
      <c r="AR182" s="89">
        <f>VLOOKUP(AQ182,'[1]Critério de Depreciação'!$C$3:$G$8,5,FALSE)</f>
        <v>0.83333333333333337</v>
      </c>
      <c r="AS182" s="29" t="s">
        <v>324</v>
      </c>
      <c r="AT182" s="29" t="s">
        <v>323</v>
      </c>
      <c r="AU182" s="29" t="str">
        <f>IFERROR(VLOOKUP(AG224,[2]Frota!$D$2:$AV$187,12,FALSE),"-")</f>
        <v>-</v>
      </c>
      <c r="AV182" s="29" t="s">
        <v>130</v>
      </c>
      <c r="AW182" s="90">
        <v>0</v>
      </c>
      <c r="AX182" s="86" t="s">
        <v>130</v>
      </c>
      <c r="AY182" s="91">
        <v>100000</v>
      </c>
      <c r="AZ182" s="85">
        <f>50*3000</f>
        <v>150000</v>
      </c>
      <c r="BA182" s="123" t="s">
        <v>130</v>
      </c>
      <c r="BB182" s="86" t="s">
        <v>130</v>
      </c>
      <c r="BC182" s="85" t="s">
        <v>130</v>
      </c>
      <c r="BD182" s="85" t="s">
        <v>130</v>
      </c>
      <c r="BE182" s="92">
        <f t="shared" si="75"/>
        <v>150000</v>
      </c>
      <c r="BF182" s="92">
        <v>0</v>
      </c>
      <c r="BG182" s="92">
        <v>0</v>
      </c>
      <c r="BH182" s="92">
        <v>0</v>
      </c>
      <c r="BI182" s="92">
        <v>0</v>
      </c>
      <c r="BJ182" s="92">
        <v>0</v>
      </c>
      <c r="BK182" s="92">
        <v>0</v>
      </c>
      <c r="BL182" s="92">
        <v>0</v>
      </c>
      <c r="BM182" s="93">
        <f>SUM(BF182:BL182)</f>
        <v>0</v>
      </c>
      <c r="BN182" s="92">
        <v>0</v>
      </c>
      <c r="BO182" s="92">
        <v>0</v>
      </c>
      <c r="BP182" s="92">
        <f t="shared" si="76"/>
        <v>0</v>
      </c>
      <c r="BQ182" s="92">
        <v>0</v>
      </c>
      <c r="BR182" s="92">
        <v>0</v>
      </c>
      <c r="BS182" s="85">
        <f t="shared" si="77"/>
        <v>0</v>
      </c>
      <c r="BT182" s="94" t="s">
        <v>130</v>
      </c>
      <c r="BU182" s="94" t="s">
        <v>130</v>
      </c>
      <c r="BV182" s="94" t="s">
        <v>130</v>
      </c>
      <c r="BW182" s="95" t="s">
        <v>130</v>
      </c>
      <c r="BX182" s="96" t="s">
        <v>130</v>
      </c>
      <c r="BY182" s="29" t="s">
        <v>130</v>
      </c>
      <c r="BZ182" s="29" t="s">
        <v>130</v>
      </c>
      <c r="CA182" s="29" t="s">
        <v>130</v>
      </c>
      <c r="CB182" s="29" t="s">
        <v>130</v>
      </c>
      <c r="CC182" s="29" t="s">
        <v>130</v>
      </c>
      <c r="CD182" s="29" t="s">
        <v>130</v>
      </c>
      <c r="CE182" s="29" t="str">
        <f t="shared" si="78"/>
        <v>-</v>
      </c>
      <c r="CF182" s="97" t="s">
        <v>130</v>
      </c>
      <c r="CG182" s="97" t="s">
        <v>130</v>
      </c>
      <c r="CH182" s="37">
        <f t="shared" si="79"/>
        <v>0</v>
      </c>
      <c r="CI182" s="98" t="s">
        <v>130</v>
      </c>
      <c r="CJ182" s="39">
        <v>5</v>
      </c>
      <c r="CK182" s="39">
        <v>5</v>
      </c>
      <c r="CL182" s="39">
        <f t="shared" si="80"/>
        <v>60</v>
      </c>
      <c r="CM182" s="99">
        <f t="shared" si="81"/>
        <v>0</v>
      </c>
      <c r="CN182" s="40" t="s">
        <v>130</v>
      </c>
      <c r="CO182" s="99">
        <f t="shared" si="57"/>
        <v>0</v>
      </c>
      <c r="CP182" s="100" t="s">
        <v>301</v>
      </c>
      <c r="CQ182" s="100"/>
      <c r="CR182" s="100"/>
      <c r="CS182" s="100"/>
    </row>
    <row r="183" spans="1:97" x14ac:dyDescent="0.25">
      <c r="A183" s="27">
        <v>180</v>
      </c>
      <c r="B183" s="27">
        <v>192</v>
      </c>
      <c r="C183" s="29" t="s">
        <v>296</v>
      </c>
      <c r="D183" s="40" t="s">
        <v>49</v>
      </c>
      <c r="E183" s="40" t="s">
        <v>130</v>
      </c>
      <c r="F183" s="40" t="s">
        <v>130</v>
      </c>
      <c r="G183" s="151"/>
      <c r="H183" s="41" t="s">
        <v>130</v>
      </c>
      <c r="I183" s="29" t="s">
        <v>130</v>
      </c>
      <c r="J183" s="29" t="s">
        <v>130</v>
      </c>
      <c r="K183" s="29" t="s">
        <v>130</v>
      </c>
      <c r="L183" s="85" t="s">
        <v>130</v>
      </c>
      <c r="M183" s="86" t="s">
        <v>130</v>
      </c>
      <c r="N183" s="85" t="s">
        <v>130</v>
      </c>
      <c r="O183" s="86" t="s">
        <v>130</v>
      </c>
      <c r="P183" s="85" t="s">
        <v>130</v>
      </c>
      <c r="Q183" s="29" t="s">
        <v>130</v>
      </c>
      <c r="R183" s="85" t="s">
        <v>130</v>
      </c>
      <c r="S183" s="85" t="s">
        <v>130</v>
      </c>
      <c r="T183" s="85" t="s">
        <v>130</v>
      </c>
      <c r="U183" s="85" t="s">
        <v>130</v>
      </c>
      <c r="V183" s="85" t="s">
        <v>130</v>
      </c>
      <c r="W183" s="85" t="s">
        <v>130</v>
      </c>
      <c r="X183" s="85" t="s">
        <v>130</v>
      </c>
      <c r="Y183" s="85" t="s">
        <v>130</v>
      </c>
      <c r="Z183" s="85" t="s">
        <v>130</v>
      </c>
      <c r="AA183" s="85" t="s">
        <v>130</v>
      </c>
      <c r="AB183" s="85" t="s">
        <v>130</v>
      </c>
      <c r="AC183" s="85" t="s">
        <v>130</v>
      </c>
      <c r="AD183" s="85" t="s">
        <v>130</v>
      </c>
      <c r="AE183" s="29" t="s">
        <v>298</v>
      </c>
      <c r="AF183" s="29" t="s">
        <v>302</v>
      </c>
      <c r="AG183" s="40" t="s">
        <v>421</v>
      </c>
      <c r="AH183" s="29" t="s">
        <v>130</v>
      </c>
      <c r="AI183" s="87" t="str">
        <f>IFERROR(VLOOKUP(AG183,[2]Frota!$D$2:$AV$187,2,FALSE),"-")</f>
        <v>-</v>
      </c>
      <c r="AJ183" s="87" t="str">
        <f>IFERROR(VLOOKUP(AG183,[2]Frota!$D$2:$AV$187,3,FALSE),"-")</f>
        <v>-</v>
      </c>
      <c r="AK183" s="29" t="s">
        <v>422</v>
      </c>
      <c r="AL183" s="29" t="s">
        <v>423</v>
      </c>
      <c r="AM183" s="34">
        <v>2007</v>
      </c>
      <c r="AN183" s="34" t="s">
        <v>130</v>
      </c>
      <c r="AO183" s="40" t="s">
        <v>424</v>
      </c>
      <c r="AP183" s="29" t="s">
        <v>181</v>
      </c>
      <c r="AQ183" s="88" t="s">
        <v>303</v>
      </c>
      <c r="AR183" s="89">
        <f>VLOOKUP(AQ183,'[1]Critério de Depreciação'!$C$3:$G$8,5,FALSE)</f>
        <v>0.83333333333333337</v>
      </c>
      <c r="AS183" s="29" t="s">
        <v>130</v>
      </c>
      <c r="AT183" s="29" t="s">
        <v>130</v>
      </c>
      <c r="AU183" s="29" t="str">
        <f>IFERROR(VLOOKUP(#REF!,[2]Frota!$D$2:$AV$187,12,FALSE),"-")</f>
        <v>-</v>
      </c>
      <c r="AV183" s="157" t="s">
        <v>130</v>
      </c>
      <c r="AW183" s="90">
        <v>0</v>
      </c>
      <c r="AX183" s="86" t="s">
        <v>130</v>
      </c>
      <c r="AY183" s="91" t="s">
        <v>130</v>
      </c>
      <c r="AZ183" s="85">
        <v>250000</v>
      </c>
      <c r="BA183" s="123" t="s">
        <v>130</v>
      </c>
      <c r="BB183" s="86" t="s">
        <v>130</v>
      </c>
      <c r="BC183" s="85" t="s">
        <v>130</v>
      </c>
      <c r="BD183" s="85" t="s">
        <v>130</v>
      </c>
      <c r="BE183" s="92">
        <f t="shared" si="75"/>
        <v>250000</v>
      </c>
      <c r="BF183" s="92">
        <v>0</v>
      </c>
      <c r="BG183" s="92">
        <v>0</v>
      </c>
      <c r="BH183" s="92">
        <v>0</v>
      </c>
      <c r="BI183" s="92">
        <v>0</v>
      </c>
      <c r="BJ183" s="92">
        <v>0</v>
      </c>
      <c r="BK183" s="92">
        <v>0</v>
      </c>
      <c r="BL183" s="92">
        <v>0</v>
      </c>
      <c r="BM183" s="93">
        <f>SUM(BF183:BL183)</f>
        <v>0</v>
      </c>
      <c r="BN183" s="92">
        <v>0</v>
      </c>
      <c r="BO183" s="92">
        <v>0</v>
      </c>
      <c r="BP183" s="92">
        <f t="shared" si="76"/>
        <v>0</v>
      </c>
      <c r="BQ183" s="92">
        <v>0</v>
      </c>
      <c r="BR183" s="92">
        <v>0</v>
      </c>
      <c r="BS183" s="85">
        <f t="shared" si="77"/>
        <v>0</v>
      </c>
      <c r="BT183" s="94" t="s">
        <v>130</v>
      </c>
      <c r="BU183" s="94" t="s">
        <v>130</v>
      </c>
      <c r="BV183" s="94" t="s">
        <v>130</v>
      </c>
      <c r="BW183" s="95" t="s">
        <v>130</v>
      </c>
      <c r="BX183" s="96" t="s">
        <v>130</v>
      </c>
      <c r="BY183" s="29" t="s">
        <v>130</v>
      </c>
      <c r="BZ183" s="29" t="s">
        <v>130</v>
      </c>
      <c r="CA183" s="29" t="s">
        <v>130</v>
      </c>
      <c r="CB183" s="29" t="s">
        <v>130</v>
      </c>
      <c r="CC183" s="29" t="s">
        <v>130</v>
      </c>
      <c r="CD183" s="29" t="s">
        <v>130</v>
      </c>
      <c r="CE183" s="29" t="str">
        <f t="shared" si="78"/>
        <v>SP - PRUDENTE</v>
      </c>
      <c r="CF183" s="97" t="s">
        <v>130</v>
      </c>
      <c r="CG183" s="97" t="s">
        <v>130</v>
      </c>
      <c r="CH183" s="37">
        <f t="shared" si="79"/>
        <v>0</v>
      </c>
      <c r="CI183" s="98" t="s">
        <v>130</v>
      </c>
      <c r="CJ183" s="39">
        <v>5</v>
      </c>
      <c r="CK183" s="39">
        <v>5</v>
      </c>
      <c r="CL183" s="39">
        <f t="shared" si="80"/>
        <v>60</v>
      </c>
      <c r="CM183" s="99">
        <f t="shared" si="81"/>
        <v>0</v>
      </c>
      <c r="CN183" s="88" t="s">
        <v>130</v>
      </c>
      <c r="CO183" s="99">
        <f t="shared" si="57"/>
        <v>0</v>
      </c>
      <c r="CP183" s="100" t="s">
        <v>301</v>
      </c>
      <c r="CQ183" s="100"/>
      <c r="CR183" s="100"/>
      <c r="CS183" s="100"/>
    </row>
    <row r="184" spans="1:97" x14ac:dyDescent="0.25">
      <c r="A184" s="27">
        <v>161</v>
      </c>
      <c r="B184" s="27">
        <v>173</v>
      </c>
      <c r="C184" s="29" t="s">
        <v>296</v>
      </c>
      <c r="D184" s="40" t="s">
        <v>49</v>
      </c>
      <c r="E184" s="40" t="s">
        <v>130</v>
      </c>
      <c r="F184" s="40" t="s">
        <v>130</v>
      </c>
      <c r="G184" s="151"/>
      <c r="H184" s="41" t="s">
        <v>130</v>
      </c>
      <c r="I184" s="29" t="s">
        <v>130</v>
      </c>
      <c r="J184" s="29" t="s">
        <v>130</v>
      </c>
      <c r="K184" s="29" t="s">
        <v>130</v>
      </c>
      <c r="L184" s="85" t="s">
        <v>130</v>
      </c>
      <c r="M184" s="86" t="s">
        <v>130</v>
      </c>
      <c r="N184" s="85" t="s">
        <v>130</v>
      </c>
      <c r="O184" s="86" t="s">
        <v>130</v>
      </c>
      <c r="P184" s="85" t="s">
        <v>130</v>
      </c>
      <c r="Q184" s="29" t="s">
        <v>130</v>
      </c>
      <c r="R184" s="85" t="s">
        <v>130</v>
      </c>
      <c r="S184" s="85" t="s">
        <v>130</v>
      </c>
      <c r="T184" s="85" t="s">
        <v>130</v>
      </c>
      <c r="U184" s="85" t="s">
        <v>130</v>
      </c>
      <c r="V184" s="85" t="s">
        <v>130</v>
      </c>
      <c r="W184" s="85" t="s">
        <v>130</v>
      </c>
      <c r="X184" s="85" t="s">
        <v>130</v>
      </c>
      <c r="Y184" s="85" t="s">
        <v>130</v>
      </c>
      <c r="Z184" s="85" t="s">
        <v>130</v>
      </c>
      <c r="AA184" s="85" t="s">
        <v>130</v>
      </c>
      <c r="AB184" s="85" t="s">
        <v>130</v>
      </c>
      <c r="AC184" s="85" t="s">
        <v>130</v>
      </c>
      <c r="AD184" s="85" t="s">
        <v>130</v>
      </c>
      <c r="AE184" s="29" t="s">
        <v>45</v>
      </c>
      <c r="AF184" s="29" t="s">
        <v>304</v>
      </c>
      <c r="AG184" s="40" t="s">
        <v>130</v>
      </c>
      <c r="AH184" s="29" t="s">
        <v>130</v>
      </c>
      <c r="AI184" s="87" t="str">
        <f>IFERROR(VLOOKUP(AG184,[2]Frota!$D$2:$AV$187,2,FALSE),"-")</f>
        <v>-</v>
      </c>
      <c r="AJ184" s="87" t="str">
        <f>IFERROR(VLOOKUP(AG184,[2]Frota!$D$2:$AV$187,3,FALSE),"-")</f>
        <v>-</v>
      </c>
      <c r="AK184" s="29" t="s">
        <v>425</v>
      </c>
      <c r="AL184" s="29" t="s">
        <v>426</v>
      </c>
      <c r="AM184" s="34" t="s">
        <v>130</v>
      </c>
      <c r="AN184" s="34" t="s">
        <v>130</v>
      </c>
      <c r="AO184" s="40" t="s">
        <v>427</v>
      </c>
      <c r="AP184" s="29" t="s">
        <v>181</v>
      </c>
      <c r="AQ184" s="88" t="s">
        <v>303</v>
      </c>
      <c r="AR184" s="89">
        <f>VLOOKUP(AQ184,'[1]Critério de Depreciação'!$C$3:$G$8,5,FALSE)</f>
        <v>0.83333333333333337</v>
      </c>
      <c r="AS184" s="29" t="s">
        <v>299</v>
      </c>
      <c r="AT184" s="29" t="s">
        <v>322</v>
      </c>
      <c r="AU184" s="29" t="str">
        <f>IFERROR(VLOOKUP(#REF!,[2]Frota!$D$2:$AV$187,12,FALSE),"-")</f>
        <v>-</v>
      </c>
      <c r="AV184" s="157" t="s">
        <v>130</v>
      </c>
      <c r="AW184" s="90">
        <v>0</v>
      </c>
      <c r="AX184" s="86" t="s">
        <v>130</v>
      </c>
      <c r="AY184" s="91" t="s">
        <v>130</v>
      </c>
      <c r="AZ184" s="85">
        <v>90000</v>
      </c>
      <c r="BA184" s="123" t="s">
        <v>130</v>
      </c>
      <c r="BB184" s="86" t="s">
        <v>130</v>
      </c>
      <c r="BC184" s="85" t="s">
        <v>130</v>
      </c>
      <c r="BD184" s="85" t="s">
        <v>130</v>
      </c>
      <c r="BE184" s="92">
        <f t="shared" si="75"/>
        <v>90000</v>
      </c>
      <c r="BF184" s="92">
        <v>0</v>
      </c>
      <c r="BG184" s="92">
        <v>0</v>
      </c>
      <c r="BH184" s="92">
        <v>0</v>
      </c>
      <c r="BI184" s="92">
        <v>0</v>
      </c>
      <c r="BJ184" s="92">
        <v>0</v>
      </c>
      <c r="BK184" s="92">
        <v>0</v>
      </c>
      <c r="BL184" s="92">
        <v>0</v>
      </c>
      <c r="BM184" s="93">
        <f>SUM(BF184:BL184)</f>
        <v>0</v>
      </c>
      <c r="BN184" s="92">
        <v>0</v>
      </c>
      <c r="BO184" s="92">
        <v>0</v>
      </c>
      <c r="BP184" s="92">
        <f t="shared" si="76"/>
        <v>0</v>
      </c>
      <c r="BQ184" s="92">
        <v>0</v>
      </c>
      <c r="BR184" s="92">
        <v>0</v>
      </c>
      <c r="BS184" s="85">
        <f t="shared" si="77"/>
        <v>0</v>
      </c>
      <c r="BT184" s="94" t="s">
        <v>130</v>
      </c>
      <c r="BU184" s="94" t="s">
        <v>130</v>
      </c>
      <c r="BV184" s="94" t="s">
        <v>130</v>
      </c>
      <c r="BW184" s="95" t="s">
        <v>130</v>
      </c>
      <c r="BX184" s="96" t="s">
        <v>130</v>
      </c>
      <c r="BY184" s="29" t="s">
        <v>130</v>
      </c>
      <c r="BZ184" s="29" t="s">
        <v>130</v>
      </c>
      <c r="CA184" s="29" t="s">
        <v>130</v>
      </c>
      <c r="CB184" s="29" t="s">
        <v>130</v>
      </c>
      <c r="CC184" s="29" t="s">
        <v>130</v>
      </c>
      <c r="CD184" s="29" t="s">
        <v>130</v>
      </c>
      <c r="CE184" s="29" t="str">
        <f t="shared" si="78"/>
        <v>LOJA</v>
      </c>
      <c r="CF184" s="97" t="s">
        <v>130</v>
      </c>
      <c r="CG184" s="97" t="s">
        <v>130</v>
      </c>
      <c r="CH184" s="37">
        <f t="shared" si="79"/>
        <v>0</v>
      </c>
      <c r="CI184" s="98" t="s">
        <v>130</v>
      </c>
      <c r="CJ184" s="39">
        <v>5</v>
      </c>
      <c r="CK184" s="39">
        <v>5</v>
      </c>
      <c r="CL184" s="39">
        <f t="shared" si="80"/>
        <v>60</v>
      </c>
      <c r="CM184" s="99">
        <f t="shared" si="81"/>
        <v>0</v>
      </c>
      <c r="CN184" s="40" t="s">
        <v>130</v>
      </c>
      <c r="CO184" s="99">
        <f t="shared" si="57"/>
        <v>0</v>
      </c>
      <c r="CP184" s="100" t="s">
        <v>301</v>
      </c>
      <c r="CQ184" s="100"/>
      <c r="CR184" s="100"/>
      <c r="CS184" s="100"/>
    </row>
    <row r="185" spans="1:97" x14ac:dyDescent="0.25">
      <c r="A185" s="27">
        <v>160</v>
      </c>
      <c r="B185" s="27">
        <v>172</v>
      </c>
      <c r="C185" s="29" t="s">
        <v>296</v>
      </c>
      <c r="D185" s="40" t="s">
        <v>49</v>
      </c>
      <c r="E185" s="40" t="s">
        <v>130</v>
      </c>
      <c r="F185" s="88" t="s">
        <v>130</v>
      </c>
      <c r="G185" s="151"/>
      <c r="H185" s="41" t="s">
        <v>130</v>
      </c>
      <c r="I185" s="29" t="s">
        <v>130</v>
      </c>
      <c r="J185" s="29" t="s">
        <v>130</v>
      </c>
      <c r="K185" s="29" t="s">
        <v>130</v>
      </c>
      <c r="L185" s="85" t="s">
        <v>130</v>
      </c>
      <c r="M185" s="86" t="s">
        <v>130</v>
      </c>
      <c r="N185" s="85" t="s">
        <v>130</v>
      </c>
      <c r="O185" s="86" t="s">
        <v>130</v>
      </c>
      <c r="P185" s="85" t="s">
        <v>130</v>
      </c>
      <c r="Q185" s="29" t="s">
        <v>130</v>
      </c>
      <c r="R185" s="85" t="s">
        <v>130</v>
      </c>
      <c r="S185" s="85" t="s">
        <v>130</v>
      </c>
      <c r="T185" s="85" t="s">
        <v>130</v>
      </c>
      <c r="U185" s="85" t="s">
        <v>130</v>
      </c>
      <c r="V185" s="85" t="s">
        <v>130</v>
      </c>
      <c r="W185" s="85" t="s">
        <v>130</v>
      </c>
      <c r="X185" s="85" t="s">
        <v>130</v>
      </c>
      <c r="Y185" s="85" t="s">
        <v>130</v>
      </c>
      <c r="Z185" s="85" t="s">
        <v>130</v>
      </c>
      <c r="AA185" s="85" t="s">
        <v>130</v>
      </c>
      <c r="AB185" s="85" t="s">
        <v>130</v>
      </c>
      <c r="AC185" s="85" t="s">
        <v>130</v>
      </c>
      <c r="AD185" s="85" t="s">
        <v>130</v>
      </c>
      <c r="AE185" s="29" t="s">
        <v>45</v>
      </c>
      <c r="AF185" s="29" t="s">
        <v>304</v>
      </c>
      <c r="AG185" s="40" t="s">
        <v>130</v>
      </c>
      <c r="AH185" s="29" t="s">
        <v>130</v>
      </c>
      <c r="AI185" s="87" t="str">
        <f>IFERROR(VLOOKUP(AG185,[2]Frota!$D$2:$AV$187,2,FALSE),"-")</f>
        <v>-</v>
      </c>
      <c r="AJ185" s="87" t="str">
        <f>IFERROR(VLOOKUP(AG185,[2]Frota!$D$2:$AV$187,3,FALSE),"-")</f>
        <v>-</v>
      </c>
      <c r="AK185" s="29" t="s">
        <v>425</v>
      </c>
      <c r="AL185" s="29" t="s">
        <v>426</v>
      </c>
      <c r="AM185" s="34" t="s">
        <v>130</v>
      </c>
      <c r="AN185" s="34" t="s">
        <v>130</v>
      </c>
      <c r="AO185" s="40" t="s">
        <v>428</v>
      </c>
      <c r="AP185" s="29" t="s">
        <v>181</v>
      </c>
      <c r="AQ185" s="88" t="s">
        <v>303</v>
      </c>
      <c r="AR185" s="89">
        <f>VLOOKUP(AQ185,'[1]Critério de Depreciação'!$C$3:$G$8,5,FALSE)</f>
        <v>0.83333333333333337</v>
      </c>
      <c r="AS185" s="29" t="s">
        <v>324</v>
      </c>
      <c r="AT185" s="29" t="s">
        <v>300</v>
      </c>
      <c r="AU185" s="29" t="str">
        <f>IFERROR(VLOOKUP(#REF!,[2]Frota!$D$2:$AV$187,12,FALSE),"-")</f>
        <v>-</v>
      </c>
      <c r="AV185" s="45">
        <v>15911</v>
      </c>
      <c r="AW185" s="90">
        <v>50000</v>
      </c>
      <c r="AX185" s="86">
        <v>44232</v>
      </c>
      <c r="AY185" s="91" t="s">
        <v>130</v>
      </c>
      <c r="AZ185" s="85">
        <f>6*70000</f>
        <v>420000</v>
      </c>
      <c r="BA185" s="123" t="s">
        <v>130</v>
      </c>
      <c r="BB185" s="86" t="s">
        <v>130</v>
      </c>
      <c r="BC185" s="85" t="s">
        <v>130</v>
      </c>
      <c r="BD185" s="85" t="s">
        <v>130</v>
      </c>
      <c r="BE185" s="92">
        <f t="shared" si="75"/>
        <v>420000</v>
      </c>
      <c r="BF185" s="92">
        <v>0</v>
      </c>
      <c r="BG185" s="92">
        <v>0</v>
      </c>
      <c r="BH185" s="92">
        <v>0</v>
      </c>
      <c r="BI185" s="92">
        <v>0</v>
      </c>
      <c r="BJ185" s="92">
        <v>0</v>
      </c>
      <c r="BK185" s="92">
        <v>0</v>
      </c>
      <c r="BL185" s="92">
        <v>0</v>
      </c>
      <c r="BM185" s="93">
        <v>5000</v>
      </c>
      <c r="BN185" s="92">
        <v>0</v>
      </c>
      <c r="BO185" s="92">
        <v>0</v>
      </c>
      <c r="BP185" s="92">
        <f t="shared" si="76"/>
        <v>0</v>
      </c>
      <c r="BQ185" s="92">
        <v>0</v>
      </c>
      <c r="BR185" s="92">
        <v>0</v>
      </c>
      <c r="BS185" s="85">
        <f t="shared" si="77"/>
        <v>833.33333333333337</v>
      </c>
      <c r="BT185" s="94" t="s">
        <v>130</v>
      </c>
      <c r="BU185" s="94" t="s">
        <v>130</v>
      </c>
      <c r="BV185" s="94" t="s">
        <v>130</v>
      </c>
      <c r="BW185" s="95" t="s">
        <v>130</v>
      </c>
      <c r="BX185" s="96" t="s">
        <v>130</v>
      </c>
      <c r="BY185" s="29" t="s">
        <v>130</v>
      </c>
      <c r="BZ185" s="29" t="s">
        <v>130</v>
      </c>
      <c r="CA185" s="29" t="s">
        <v>130</v>
      </c>
      <c r="CB185" s="29" t="s">
        <v>130</v>
      </c>
      <c r="CC185" s="29" t="s">
        <v>130</v>
      </c>
      <c r="CD185" s="29" t="s">
        <v>130</v>
      </c>
      <c r="CE185" s="29" t="str">
        <f t="shared" si="78"/>
        <v>LOJA</v>
      </c>
      <c r="CF185" s="97" t="s">
        <v>130</v>
      </c>
      <c r="CG185" s="97" t="s">
        <v>130</v>
      </c>
      <c r="CH185" s="37">
        <f t="shared" si="79"/>
        <v>5000</v>
      </c>
      <c r="CI185" s="98" t="s">
        <v>130</v>
      </c>
      <c r="CJ185" s="39">
        <v>5</v>
      </c>
      <c r="CK185" s="39">
        <v>5</v>
      </c>
      <c r="CL185" s="39">
        <f t="shared" si="80"/>
        <v>60</v>
      </c>
      <c r="CM185" s="99">
        <f t="shared" si="81"/>
        <v>166.66666666666666</v>
      </c>
      <c r="CN185" s="40" t="s">
        <v>130</v>
      </c>
      <c r="CO185" s="99">
        <f t="shared" si="57"/>
        <v>41.666666666666671</v>
      </c>
      <c r="CP185" s="100" t="s">
        <v>92</v>
      </c>
      <c r="CQ185" s="100"/>
      <c r="CR185" s="100"/>
      <c r="CS185" s="100"/>
    </row>
    <row r="186" spans="1:97" x14ac:dyDescent="0.25">
      <c r="A186" s="27">
        <v>168</v>
      </c>
      <c r="B186" s="27">
        <v>180</v>
      </c>
      <c r="C186" s="29" t="s">
        <v>296</v>
      </c>
      <c r="D186" s="40" t="s">
        <v>49</v>
      </c>
      <c r="E186" s="40" t="s">
        <v>130</v>
      </c>
      <c r="F186" s="40" t="s">
        <v>130</v>
      </c>
      <c r="G186" s="151"/>
      <c r="H186" s="41" t="s">
        <v>130</v>
      </c>
      <c r="I186" s="29" t="s">
        <v>130</v>
      </c>
      <c r="J186" s="29" t="s">
        <v>130</v>
      </c>
      <c r="K186" s="29" t="s">
        <v>130</v>
      </c>
      <c r="L186" s="85" t="s">
        <v>130</v>
      </c>
      <c r="M186" s="86" t="s">
        <v>130</v>
      </c>
      <c r="N186" s="85" t="s">
        <v>130</v>
      </c>
      <c r="O186" s="86" t="s">
        <v>130</v>
      </c>
      <c r="P186" s="85" t="s">
        <v>130</v>
      </c>
      <c r="Q186" s="29" t="s">
        <v>130</v>
      </c>
      <c r="R186" s="85" t="s">
        <v>130</v>
      </c>
      <c r="S186" s="85" t="s">
        <v>130</v>
      </c>
      <c r="T186" s="85" t="s">
        <v>130</v>
      </c>
      <c r="U186" s="85" t="s">
        <v>130</v>
      </c>
      <c r="V186" s="85" t="s">
        <v>130</v>
      </c>
      <c r="W186" s="85" t="s">
        <v>130</v>
      </c>
      <c r="X186" s="85" t="s">
        <v>130</v>
      </c>
      <c r="Y186" s="85" t="s">
        <v>130</v>
      </c>
      <c r="Z186" s="85" t="s">
        <v>130</v>
      </c>
      <c r="AA186" s="85" t="s">
        <v>130</v>
      </c>
      <c r="AB186" s="85" t="s">
        <v>130</v>
      </c>
      <c r="AC186" s="85" t="s">
        <v>130</v>
      </c>
      <c r="AD186" s="85" t="s">
        <v>130</v>
      </c>
      <c r="AE186" s="29" t="s">
        <v>45</v>
      </c>
      <c r="AF186" s="29" t="s">
        <v>302</v>
      </c>
      <c r="AG186" s="40" t="s">
        <v>130</v>
      </c>
      <c r="AH186" s="29" t="s">
        <v>130</v>
      </c>
      <c r="AI186" s="87" t="str">
        <f>IFERROR(VLOOKUP(AG186,[2]Frota!$D$2:$AV$187,2,FALSE),"-")</f>
        <v>-</v>
      </c>
      <c r="AJ186" s="87" t="str">
        <f>IFERROR(VLOOKUP(AG186,[2]Frota!$D$2:$AV$187,3,FALSE),"-")</f>
        <v>-</v>
      </c>
      <c r="AK186" s="29" t="s">
        <v>385</v>
      </c>
      <c r="AL186" s="29" t="s">
        <v>130</v>
      </c>
      <c r="AM186" s="34" t="s">
        <v>130</v>
      </c>
      <c r="AN186" s="34" t="s">
        <v>130</v>
      </c>
      <c r="AO186" s="40" t="s">
        <v>429</v>
      </c>
      <c r="AP186" s="29" t="s">
        <v>181</v>
      </c>
      <c r="AQ186" s="88" t="s">
        <v>305</v>
      </c>
      <c r="AR186" s="89">
        <f>VLOOKUP(AQ186,'[1]Critério de Depreciação'!$C$3:$G$8,5,FALSE)</f>
        <v>0.83333333333333337</v>
      </c>
      <c r="AS186" s="29" t="s">
        <v>130</v>
      </c>
      <c r="AT186" s="29" t="s">
        <v>130</v>
      </c>
      <c r="AU186" s="29" t="str">
        <f>IFERROR(VLOOKUP(AG241,[2]Frota!$D$2:$AV$187,12,FALSE),"-")</f>
        <v>-</v>
      </c>
      <c r="AV186" s="45" t="s">
        <v>130</v>
      </c>
      <c r="AW186" s="90">
        <v>0</v>
      </c>
      <c r="AX186" s="86">
        <v>44034</v>
      </c>
      <c r="AY186" s="91" t="s">
        <v>130</v>
      </c>
      <c r="AZ186" s="85">
        <v>100000</v>
      </c>
      <c r="BA186" s="123" t="s">
        <v>130</v>
      </c>
      <c r="BB186" s="86" t="s">
        <v>130</v>
      </c>
      <c r="BC186" s="85" t="s">
        <v>130</v>
      </c>
      <c r="BD186" s="85" t="s">
        <v>130</v>
      </c>
      <c r="BE186" s="92">
        <f t="shared" si="75"/>
        <v>100000</v>
      </c>
      <c r="BF186" s="198">
        <v>0</v>
      </c>
      <c r="BG186" s="198">
        <v>0</v>
      </c>
      <c r="BH186" s="92">
        <v>0</v>
      </c>
      <c r="BI186" s="92">
        <v>0</v>
      </c>
      <c r="BJ186" s="92">
        <v>0</v>
      </c>
      <c r="BK186" s="92">
        <v>0</v>
      </c>
      <c r="BL186" s="92">
        <v>0</v>
      </c>
      <c r="BM186" s="93">
        <f t="shared" ref="BM186:BM191" si="82">SUM(BF186:BL186)</f>
        <v>0</v>
      </c>
      <c r="BN186" s="92">
        <v>0</v>
      </c>
      <c r="BO186" s="92">
        <v>0</v>
      </c>
      <c r="BP186" s="92">
        <f t="shared" si="76"/>
        <v>0</v>
      </c>
      <c r="BQ186" s="92">
        <v>0</v>
      </c>
      <c r="BR186" s="92">
        <v>0</v>
      </c>
      <c r="BS186" s="85">
        <f t="shared" si="77"/>
        <v>0</v>
      </c>
      <c r="BT186" s="94" t="s">
        <v>130</v>
      </c>
      <c r="BU186" s="94" t="s">
        <v>130</v>
      </c>
      <c r="BV186" s="94" t="s">
        <v>130</v>
      </c>
      <c r="BW186" s="95" t="s">
        <v>130</v>
      </c>
      <c r="BX186" s="96" t="s">
        <v>130</v>
      </c>
      <c r="BY186" s="29" t="s">
        <v>130</v>
      </c>
      <c r="BZ186" s="29" t="s">
        <v>130</v>
      </c>
      <c r="CA186" s="29" t="s">
        <v>130</v>
      </c>
      <c r="CB186" s="29" t="s">
        <v>130</v>
      </c>
      <c r="CC186" s="29" t="s">
        <v>130</v>
      </c>
      <c r="CD186" s="29" t="s">
        <v>130</v>
      </c>
      <c r="CE186" s="29" t="str">
        <f t="shared" si="78"/>
        <v>SP - PRUDENTE</v>
      </c>
      <c r="CF186" s="97" t="s">
        <v>130</v>
      </c>
      <c r="CG186" s="97" t="s">
        <v>130</v>
      </c>
      <c r="CH186" s="37">
        <f t="shared" si="79"/>
        <v>0</v>
      </c>
      <c r="CI186" s="98" t="s">
        <v>130</v>
      </c>
      <c r="CJ186" s="39">
        <v>5</v>
      </c>
      <c r="CK186" s="39">
        <v>5</v>
      </c>
      <c r="CL186" s="39">
        <f t="shared" si="80"/>
        <v>60</v>
      </c>
      <c r="CM186" s="99">
        <f t="shared" si="81"/>
        <v>0</v>
      </c>
      <c r="CN186" s="88" t="s">
        <v>130</v>
      </c>
      <c r="CO186" s="99">
        <f t="shared" si="57"/>
        <v>0</v>
      </c>
      <c r="CP186" s="100" t="s">
        <v>301</v>
      </c>
      <c r="CQ186" s="100"/>
      <c r="CR186" s="100"/>
      <c r="CS186" s="100"/>
    </row>
    <row r="187" spans="1:97" x14ac:dyDescent="0.25">
      <c r="A187" s="27">
        <v>163</v>
      </c>
      <c r="B187" s="101">
        <v>175</v>
      </c>
      <c r="C187" s="102" t="s">
        <v>296</v>
      </c>
      <c r="D187" s="88" t="s">
        <v>49</v>
      </c>
      <c r="E187" s="88" t="s">
        <v>130</v>
      </c>
      <c r="F187" s="40" t="s">
        <v>130</v>
      </c>
      <c r="G187" s="88"/>
      <c r="H187" s="104" t="s">
        <v>130</v>
      </c>
      <c r="I187" s="29" t="s">
        <v>130</v>
      </c>
      <c r="J187" s="29" t="s">
        <v>130</v>
      </c>
      <c r="K187" s="29" t="s">
        <v>130</v>
      </c>
      <c r="L187" s="85" t="s">
        <v>130</v>
      </c>
      <c r="M187" s="86" t="s">
        <v>130</v>
      </c>
      <c r="N187" s="85" t="s">
        <v>130</v>
      </c>
      <c r="O187" s="86" t="s">
        <v>130</v>
      </c>
      <c r="P187" s="85" t="s">
        <v>130</v>
      </c>
      <c r="Q187" s="29" t="s">
        <v>130</v>
      </c>
      <c r="R187" s="85" t="s">
        <v>130</v>
      </c>
      <c r="S187" s="85" t="s">
        <v>130</v>
      </c>
      <c r="T187" s="85" t="s">
        <v>130</v>
      </c>
      <c r="U187" s="85" t="s">
        <v>130</v>
      </c>
      <c r="V187" s="85" t="s">
        <v>130</v>
      </c>
      <c r="W187" s="85" t="s">
        <v>130</v>
      </c>
      <c r="X187" s="85" t="s">
        <v>130</v>
      </c>
      <c r="Y187" s="85" t="s">
        <v>130</v>
      </c>
      <c r="Z187" s="85" t="s">
        <v>130</v>
      </c>
      <c r="AA187" s="85" t="s">
        <v>130</v>
      </c>
      <c r="AB187" s="85" t="s">
        <v>130</v>
      </c>
      <c r="AC187" s="85" t="s">
        <v>130</v>
      </c>
      <c r="AD187" s="85" t="s">
        <v>130</v>
      </c>
      <c r="AE187" s="102" t="s">
        <v>297</v>
      </c>
      <c r="AF187" s="102" t="s">
        <v>53</v>
      </c>
      <c r="AG187" s="88" t="s">
        <v>430</v>
      </c>
      <c r="AH187" s="102" t="s">
        <v>130</v>
      </c>
      <c r="AI187" s="87" t="str">
        <f>IFERROR(VLOOKUP(AG187,[2]Frota!$D$2:$AV$187,2,FALSE),"-")</f>
        <v>-</v>
      </c>
      <c r="AJ187" s="87" t="str">
        <f>IFERROR(VLOOKUP(AG187,[2]Frota!$D$2:$AV$187,3,FALSE),"-")</f>
        <v>-</v>
      </c>
      <c r="AK187" s="102" t="s">
        <v>320</v>
      </c>
      <c r="AL187" s="29" t="s">
        <v>130</v>
      </c>
      <c r="AM187" s="34" t="s">
        <v>130</v>
      </c>
      <c r="AN187" s="34" t="s">
        <v>130</v>
      </c>
      <c r="AO187" s="88" t="s">
        <v>431</v>
      </c>
      <c r="AP187" s="102" t="s">
        <v>181</v>
      </c>
      <c r="AQ187" s="88" t="s">
        <v>305</v>
      </c>
      <c r="AR187" s="89">
        <f>VLOOKUP(AQ187,'[1]Critério de Depreciação'!$C$3:$G$8,5,FALSE)</f>
        <v>0.83333333333333337</v>
      </c>
      <c r="AS187" s="29" t="s">
        <v>299</v>
      </c>
      <c r="AT187" s="29" t="s">
        <v>300</v>
      </c>
      <c r="AU187" s="29" t="str">
        <f>IFERROR(VLOOKUP(#REF!,[2]Frota!$D$2:$AV$187,12,FALSE),"-")</f>
        <v>-</v>
      </c>
      <c r="AV187" s="45" t="s">
        <v>130</v>
      </c>
      <c r="AW187" s="110">
        <v>60000</v>
      </c>
      <c r="AX187" s="86" t="s">
        <v>130</v>
      </c>
      <c r="AY187" s="91">
        <v>100000</v>
      </c>
      <c r="AZ187" s="85">
        <v>100000</v>
      </c>
      <c r="BA187" s="123" t="s">
        <v>130</v>
      </c>
      <c r="BB187" s="86" t="s">
        <v>130</v>
      </c>
      <c r="BC187" s="85" t="s">
        <v>130</v>
      </c>
      <c r="BD187" s="85" t="s">
        <v>130</v>
      </c>
      <c r="BE187" s="92">
        <f t="shared" si="75"/>
        <v>100000</v>
      </c>
      <c r="BF187" s="92">
        <v>0</v>
      </c>
      <c r="BG187" s="92">
        <v>0</v>
      </c>
      <c r="BH187" s="92">
        <v>0</v>
      </c>
      <c r="BI187" s="92">
        <v>0</v>
      </c>
      <c r="BJ187" s="92">
        <v>0</v>
      </c>
      <c r="BK187" s="92">
        <v>0</v>
      </c>
      <c r="BL187" s="92">
        <v>0</v>
      </c>
      <c r="BM187" s="93">
        <f t="shared" si="82"/>
        <v>0</v>
      </c>
      <c r="BN187" s="92">
        <v>0</v>
      </c>
      <c r="BO187" s="92">
        <v>0</v>
      </c>
      <c r="BP187" s="92">
        <f t="shared" si="76"/>
        <v>0</v>
      </c>
      <c r="BQ187" s="92">
        <v>0</v>
      </c>
      <c r="BR187" s="92">
        <v>0</v>
      </c>
      <c r="BS187" s="85">
        <f t="shared" si="77"/>
        <v>1000</v>
      </c>
      <c r="BT187" s="94" t="s">
        <v>130</v>
      </c>
      <c r="BU187" s="94" t="s">
        <v>130</v>
      </c>
      <c r="BV187" s="94" t="s">
        <v>130</v>
      </c>
      <c r="BW187" s="95" t="s">
        <v>130</v>
      </c>
      <c r="BX187" s="96" t="s">
        <v>130</v>
      </c>
      <c r="BY187" s="29" t="s">
        <v>130</v>
      </c>
      <c r="BZ187" s="29" t="s">
        <v>130</v>
      </c>
      <c r="CA187" s="29" t="s">
        <v>130</v>
      </c>
      <c r="CB187" s="29" t="s">
        <v>130</v>
      </c>
      <c r="CC187" s="29" t="s">
        <v>130</v>
      </c>
      <c r="CD187" s="29" t="s">
        <v>130</v>
      </c>
      <c r="CE187" s="29" t="str">
        <f t="shared" si="78"/>
        <v>MS - CAMPO GRANDE</v>
      </c>
      <c r="CF187" s="97" t="s">
        <v>130</v>
      </c>
      <c r="CG187" s="97" t="s">
        <v>130</v>
      </c>
      <c r="CH187" s="37">
        <f t="shared" si="79"/>
        <v>0</v>
      </c>
      <c r="CI187" s="98" t="s">
        <v>130</v>
      </c>
      <c r="CJ187" s="39">
        <v>5</v>
      </c>
      <c r="CK187" s="39">
        <v>5</v>
      </c>
      <c r="CL187" s="39">
        <f t="shared" si="80"/>
        <v>60</v>
      </c>
      <c r="CM187" s="99">
        <f t="shared" si="81"/>
        <v>0</v>
      </c>
      <c r="CN187" s="40" t="s">
        <v>130</v>
      </c>
      <c r="CO187" s="99">
        <f t="shared" si="57"/>
        <v>0</v>
      </c>
      <c r="CP187" s="197" t="s">
        <v>301</v>
      </c>
      <c r="CQ187" s="100"/>
      <c r="CR187" s="100"/>
      <c r="CS187" s="100"/>
    </row>
    <row r="188" spans="1:97" x14ac:dyDescent="0.25">
      <c r="A188" s="27">
        <v>136</v>
      </c>
      <c r="B188" s="27">
        <v>158</v>
      </c>
      <c r="C188" s="29" t="s">
        <v>296</v>
      </c>
      <c r="D188" s="40" t="s">
        <v>49</v>
      </c>
      <c r="E188" s="40" t="s">
        <v>130</v>
      </c>
      <c r="F188" s="40" t="s">
        <v>130</v>
      </c>
      <c r="G188" s="40"/>
      <c r="H188" s="41" t="s">
        <v>130</v>
      </c>
      <c r="I188" s="29" t="s">
        <v>130</v>
      </c>
      <c r="J188" s="29" t="s">
        <v>130</v>
      </c>
      <c r="K188" s="29" t="s">
        <v>130</v>
      </c>
      <c r="L188" s="85" t="s">
        <v>130</v>
      </c>
      <c r="M188" s="86" t="s">
        <v>130</v>
      </c>
      <c r="N188" s="85" t="s">
        <v>130</v>
      </c>
      <c r="O188" s="86" t="s">
        <v>130</v>
      </c>
      <c r="P188" s="85" t="s">
        <v>130</v>
      </c>
      <c r="Q188" s="29" t="s">
        <v>130</v>
      </c>
      <c r="R188" s="85" t="s">
        <v>130</v>
      </c>
      <c r="S188" s="85" t="s">
        <v>130</v>
      </c>
      <c r="T188" s="85" t="s">
        <v>130</v>
      </c>
      <c r="U188" s="85" t="s">
        <v>130</v>
      </c>
      <c r="V188" s="85" t="s">
        <v>130</v>
      </c>
      <c r="W188" s="85" t="s">
        <v>130</v>
      </c>
      <c r="X188" s="85" t="s">
        <v>130</v>
      </c>
      <c r="Y188" s="85" t="s">
        <v>130</v>
      </c>
      <c r="Z188" s="85" t="s">
        <v>130</v>
      </c>
      <c r="AA188" s="85" t="s">
        <v>130</v>
      </c>
      <c r="AB188" s="85" t="s">
        <v>130</v>
      </c>
      <c r="AC188" s="85" t="s">
        <v>130</v>
      </c>
      <c r="AD188" s="85" t="s">
        <v>130</v>
      </c>
      <c r="AE188" s="29" t="s">
        <v>45</v>
      </c>
      <c r="AF188" s="29" t="s">
        <v>130</v>
      </c>
      <c r="AG188" s="40" t="s">
        <v>432</v>
      </c>
      <c r="AH188" s="29" t="s">
        <v>130</v>
      </c>
      <c r="AI188" s="87" t="str">
        <f>IFERROR(VLOOKUP(AG188,[2]Frota!$D$2:$AV$187,2,FALSE),"-")</f>
        <v>-</v>
      </c>
      <c r="AJ188" s="87" t="str">
        <f>IFERROR(VLOOKUP(AG188,[2]Frota!$D$2:$AV$187,3,FALSE),"-")</f>
        <v>-</v>
      </c>
      <c r="AK188" s="29" t="s">
        <v>320</v>
      </c>
      <c r="AL188" s="29" t="s">
        <v>334</v>
      </c>
      <c r="AM188" s="34" t="s">
        <v>130</v>
      </c>
      <c r="AN188" s="34" t="s">
        <v>130</v>
      </c>
      <c r="AO188" s="152" t="s">
        <v>318</v>
      </c>
      <c r="AP188" s="29" t="s">
        <v>181</v>
      </c>
      <c r="AQ188" s="88" t="s">
        <v>303</v>
      </c>
      <c r="AR188" s="89">
        <f>VLOOKUP(AQ188,'[1]Critério de Depreciação'!$C$3:$G$8,5,FALSE)</f>
        <v>0.83333333333333337</v>
      </c>
      <c r="AS188" s="29" t="s">
        <v>130</v>
      </c>
      <c r="AT188" s="29" t="s">
        <v>130</v>
      </c>
      <c r="AU188" s="29" t="str">
        <f>IFERROR(VLOOKUP(#REF!,[2]Frota!$D$2:$AV$187,12,FALSE),"-")</f>
        <v>-</v>
      </c>
      <c r="AV188" s="29" t="s">
        <v>130</v>
      </c>
      <c r="AW188" s="90">
        <v>0</v>
      </c>
      <c r="AX188" s="86" t="s">
        <v>130</v>
      </c>
      <c r="AY188" s="91" t="s">
        <v>130</v>
      </c>
      <c r="AZ188" s="85">
        <f>(40+13+40+8+15)*20000</f>
        <v>2320000</v>
      </c>
      <c r="BA188" s="123" t="s">
        <v>130</v>
      </c>
      <c r="BB188" s="86" t="s">
        <v>130</v>
      </c>
      <c r="BC188" s="85" t="s">
        <v>130</v>
      </c>
      <c r="BD188" s="85" t="s">
        <v>130</v>
      </c>
      <c r="BE188" s="92">
        <f t="shared" si="75"/>
        <v>2320000</v>
      </c>
      <c r="BF188" s="92">
        <v>0</v>
      </c>
      <c r="BG188" s="92">
        <v>0</v>
      </c>
      <c r="BH188" s="92">
        <v>0</v>
      </c>
      <c r="BI188" s="92">
        <v>0</v>
      </c>
      <c r="BJ188" s="92">
        <v>0</v>
      </c>
      <c r="BK188" s="92">
        <v>0</v>
      </c>
      <c r="BL188" s="92">
        <v>0</v>
      </c>
      <c r="BM188" s="93">
        <f t="shared" si="82"/>
        <v>0</v>
      </c>
      <c r="BN188" s="92">
        <v>0</v>
      </c>
      <c r="BO188" s="92">
        <v>0</v>
      </c>
      <c r="BP188" s="92">
        <f t="shared" si="76"/>
        <v>0</v>
      </c>
      <c r="BQ188" s="92">
        <v>0</v>
      </c>
      <c r="BR188" s="92">
        <v>0</v>
      </c>
      <c r="BS188" s="85">
        <f t="shared" si="77"/>
        <v>0</v>
      </c>
      <c r="BT188" s="94" t="s">
        <v>130</v>
      </c>
      <c r="BU188" s="94" t="s">
        <v>130</v>
      </c>
      <c r="BV188" s="94" t="s">
        <v>130</v>
      </c>
      <c r="BW188" s="95" t="s">
        <v>130</v>
      </c>
      <c r="BX188" s="96" t="s">
        <v>130</v>
      </c>
      <c r="BY188" s="29" t="s">
        <v>130</v>
      </c>
      <c r="BZ188" s="29" t="s">
        <v>130</v>
      </c>
      <c r="CA188" s="29" t="s">
        <v>130</v>
      </c>
      <c r="CB188" s="29" t="s">
        <v>130</v>
      </c>
      <c r="CC188" s="29" t="s">
        <v>130</v>
      </c>
      <c r="CD188" s="29" t="s">
        <v>130</v>
      </c>
      <c r="CE188" s="29" t="str">
        <f t="shared" si="78"/>
        <v>-</v>
      </c>
      <c r="CF188" s="97" t="s">
        <v>130</v>
      </c>
      <c r="CG188" s="97" t="s">
        <v>130</v>
      </c>
      <c r="CH188" s="37">
        <f t="shared" si="79"/>
        <v>0</v>
      </c>
      <c r="CI188" s="98" t="s">
        <v>130</v>
      </c>
      <c r="CJ188" s="39">
        <v>5</v>
      </c>
      <c r="CK188" s="39">
        <v>5</v>
      </c>
      <c r="CL188" s="39">
        <f t="shared" si="80"/>
        <v>60</v>
      </c>
      <c r="CM188" s="99">
        <f t="shared" si="81"/>
        <v>0</v>
      </c>
      <c r="CN188" s="40" t="s">
        <v>130</v>
      </c>
      <c r="CO188" s="99">
        <f t="shared" si="57"/>
        <v>0</v>
      </c>
      <c r="CP188" s="100" t="s">
        <v>301</v>
      </c>
      <c r="CQ188" s="100"/>
      <c r="CR188" s="100"/>
      <c r="CS188" s="100"/>
    </row>
    <row r="189" spans="1:97" x14ac:dyDescent="0.25">
      <c r="A189" s="27">
        <v>167</v>
      </c>
      <c r="B189" s="27">
        <v>179</v>
      </c>
      <c r="C189" s="29" t="s">
        <v>296</v>
      </c>
      <c r="D189" s="40" t="s">
        <v>49</v>
      </c>
      <c r="E189" s="40" t="s">
        <v>130</v>
      </c>
      <c r="F189" s="40" t="s">
        <v>130</v>
      </c>
      <c r="G189" s="151"/>
      <c r="H189" s="41" t="s">
        <v>130</v>
      </c>
      <c r="I189" s="29" t="s">
        <v>130</v>
      </c>
      <c r="J189" s="29" t="s">
        <v>130</v>
      </c>
      <c r="K189" s="29" t="s">
        <v>130</v>
      </c>
      <c r="L189" s="85" t="s">
        <v>130</v>
      </c>
      <c r="M189" s="86" t="s">
        <v>130</v>
      </c>
      <c r="N189" s="85" t="s">
        <v>130</v>
      </c>
      <c r="O189" s="86" t="s">
        <v>130</v>
      </c>
      <c r="P189" s="85" t="s">
        <v>130</v>
      </c>
      <c r="Q189" s="29" t="s">
        <v>130</v>
      </c>
      <c r="R189" s="85" t="s">
        <v>130</v>
      </c>
      <c r="S189" s="85" t="s">
        <v>130</v>
      </c>
      <c r="T189" s="85" t="s">
        <v>130</v>
      </c>
      <c r="U189" s="85" t="s">
        <v>130</v>
      </c>
      <c r="V189" s="85" t="s">
        <v>130</v>
      </c>
      <c r="W189" s="85" t="s">
        <v>130</v>
      </c>
      <c r="X189" s="85" t="s">
        <v>130</v>
      </c>
      <c r="Y189" s="85" t="s">
        <v>130</v>
      </c>
      <c r="Z189" s="85" t="s">
        <v>130</v>
      </c>
      <c r="AA189" s="85" t="s">
        <v>130</v>
      </c>
      <c r="AB189" s="85" t="s">
        <v>130</v>
      </c>
      <c r="AC189" s="85" t="s">
        <v>130</v>
      </c>
      <c r="AD189" s="85" t="s">
        <v>130</v>
      </c>
      <c r="AE189" s="29" t="s">
        <v>45</v>
      </c>
      <c r="AF189" s="29" t="s">
        <v>46</v>
      </c>
      <c r="AG189" s="40" t="s">
        <v>130</v>
      </c>
      <c r="AH189" s="29" t="s">
        <v>130</v>
      </c>
      <c r="AI189" s="87" t="str">
        <f>IFERROR(VLOOKUP(AG189,[2]Frota!$D$2:$AV$187,2,FALSE),"-")</f>
        <v>-</v>
      </c>
      <c r="AJ189" s="87" t="str">
        <f>IFERROR(VLOOKUP(AG189,[2]Frota!$D$2:$AV$187,3,FALSE),"-")</f>
        <v>-</v>
      </c>
      <c r="AK189" s="29" t="s">
        <v>385</v>
      </c>
      <c r="AL189" s="29" t="s">
        <v>130</v>
      </c>
      <c r="AM189" s="34" t="s">
        <v>130</v>
      </c>
      <c r="AN189" s="34" t="s">
        <v>130</v>
      </c>
      <c r="AO189" s="40" t="s">
        <v>433</v>
      </c>
      <c r="AP189" s="29" t="s">
        <v>181</v>
      </c>
      <c r="AQ189" s="88" t="s">
        <v>303</v>
      </c>
      <c r="AR189" s="89">
        <f>VLOOKUP(AQ189,'[1]Critério de Depreciação'!$C$3:$G$8,5,FALSE)</f>
        <v>0.83333333333333337</v>
      </c>
      <c r="AS189" s="29" t="s">
        <v>299</v>
      </c>
      <c r="AT189" s="29" t="s">
        <v>300</v>
      </c>
      <c r="AU189" s="29" t="str">
        <f>IFERROR(VLOOKUP(AG239,[2]Frota!$D$2:$AV$187,12,FALSE),"-")</f>
        <v>-</v>
      </c>
      <c r="AV189" s="45" t="s">
        <v>130</v>
      </c>
      <c r="AW189" s="90">
        <v>0</v>
      </c>
      <c r="AX189" s="86">
        <v>44034</v>
      </c>
      <c r="AY189" s="91" t="s">
        <v>130</v>
      </c>
      <c r="AZ189" s="85" t="s">
        <v>130</v>
      </c>
      <c r="BA189" s="123" t="s">
        <v>130</v>
      </c>
      <c r="BB189" s="86" t="s">
        <v>130</v>
      </c>
      <c r="BC189" s="85" t="s">
        <v>130</v>
      </c>
      <c r="BD189" s="85" t="s">
        <v>130</v>
      </c>
      <c r="BE189" s="92">
        <f t="shared" si="75"/>
        <v>0</v>
      </c>
      <c r="BF189" s="92">
        <v>0</v>
      </c>
      <c r="BG189" s="92">
        <v>0</v>
      </c>
      <c r="BH189" s="92">
        <v>0</v>
      </c>
      <c r="BI189" s="92">
        <v>0</v>
      </c>
      <c r="BJ189" s="92">
        <v>0</v>
      </c>
      <c r="BK189" s="92">
        <v>0</v>
      </c>
      <c r="BL189" s="92">
        <v>0</v>
      </c>
      <c r="BM189" s="93">
        <f t="shared" si="82"/>
        <v>0</v>
      </c>
      <c r="BN189" s="92">
        <v>0</v>
      </c>
      <c r="BO189" s="92">
        <v>0</v>
      </c>
      <c r="BP189" s="92">
        <f t="shared" si="76"/>
        <v>0</v>
      </c>
      <c r="BQ189" s="92">
        <v>0</v>
      </c>
      <c r="BR189" s="92">
        <v>0</v>
      </c>
      <c r="BS189" s="85">
        <f t="shared" si="77"/>
        <v>0</v>
      </c>
      <c r="BT189" s="94" t="s">
        <v>130</v>
      </c>
      <c r="BU189" s="94" t="s">
        <v>130</v>
      </c>
      <c r="BV189" s="94" t="s">
        <v>130</v>
      </c>
      <c r="BW189" s="95" t="s">
        <v>130</v>
      </c>
      <c r="BX189" s="96" t="s">
        <v>130</v>
      </c>
      <c r="BY189" s="29" t="s">
        <v>130</v>
      </c>
      <c r="BZ189" s="29" t="s">
        <v>130</v>
      </c>
      <c r="CA189" s="29" t="s">
        <v>130</v>
      </c>
      <c r="CB189" s="29" t="s">
        <v>130</v>
      </c>
      <c r="CC189" s="29" t="s">
        <v>130</v>
      </c>
      <c r="CD189" s="29" t="s">
        <v>130</v>
      </c>
      <c r="CE189" s="29" t="str">
        <f t="shared" si="78"/>
        <v>SP - PRUDENTE - SUCATA</v>
      </c>
      <c r="CF189" s="97" t="s">
        <v>130</v>
      </c>
      <c r="CG189" s="97" t="s">
        <v>130</v>
      </c>
      <c r="CH189" s="37">
        <f t="shared" si="79"/>
        <v>0</v>
      </c>
      <c r="CI189" s="98" t="s">
        <v>130</v>
      </c>
      <c r="CJ189" s="39">
        <v>5</v>
      </c>
      <c r="CK189" s="39">
        <v>5</v>
      </c>
      <c r="CL189" s="39">
        <f t="shared" si="80"/>
        <v>60</v>
      </c>
      <c r="CM189" s="99">
        <f t="shared" si="81"/>
        <v>0</v>
      </c>
      <c r="CN189" s="88" t="s">
        <v>130</v>
      </c>
      <c r="CO189" s="99">
        <f t="shared" si="57"/>
        <v>0</v>
      </c>
      <c r="CP189" s="100" t="s">
        <v>301</v>
      </c>
      <c r="CQ189" s="100"/>
      <c r="CR189" s="100"/>
      <c r="CS189" s="100"/>
    </row>
    <row r="190" spans="1:97" x14ac:dyDescent="0.25">
      <c r="A190" s="27">
        <v>129</v>
      </c>
      <c r="B190" s="27">
        <v>151</v>
      </c>
      <c r="C190" s="29" t="s">
        <v>296</v>
      </c>
      <c r="D190" s="40" t="s">
        <v>49</v>
      </c>
      <c r="E190" s="40" t="s">
        <v>130</v>
      </c>
      <c r="F190" s="40" t="s">
        <v>130</v>
      </c>
      <c r="G190" s="40"/>
      <c r="H190" s="41" t="s">
        <v>130</v>
      </c>
      <c r="I190" s="29" t="s">
        <v>130</v>
      </c>
      <c r="J190" s="29" t="s">
        <v>130</v>
      </c>
      <c r="K190" s="29" t="s">
        <v>130</v>
      </c>
      <c r="L190" s="85" t="s">
        <v>130</v>
      </c>
      <c r="M190" s="86" t="s">
        <v>130</v>
      </c>
      <c r="N190" s="85" t="s">
        <v>130</v>
      </c>
      <c r="O190" s="86" t="s">
        <v>130</v>
      </c>
      <c r="P190" s="85" t="s">
        <v>130</v>
      </c>
      <c r="Q190" s="29" t="s">
        <v>130</v>
      </c>
      <c r="R190" s="85" t="s">
        <v>130</v>
      </c>
      <c r="S190" s="85" t="s">
        <v>130</v>
      </c>
      <c r="T190" s="85" t="s">
        <v>130</v>
      </c>
      <c r="U190" s="85" t="s">
        <v>130</v>
      </c>
      <c r="V190" s="85" t="s">
        <v>130</v>
      </c>
      <c r="W190" s="85" t="s">
        <v>130</v>
      </c>
      <c r="X190" s="85" t="s">
        <v>130</v>
      </c>
      <c r="Y190" s="85" t="s">
        <v>130</v>
      </c>
      <c r="Z190" s="85" t="s">
        <v>130</v>
      </c>
      <c r="AA190" s="85" t="s">
        <v>130</v>
      </c>
      <c r="AB190" s="85" t="s">
        <v>130</v>
      </c>
      <c r="AC190" s="85" t="s">
        <v>130</v>
      </c>
      <c r="AD190" s="85" t="s">
        <v>130</v>
      </c>
      <c r="AE190" s="29" t="s">
        <v>45</v>
      </c>
      <c r="AF190" s="29" t="s">
        <v>103</v>
      </c>
      <c r="AG190" s="40" t="s">
        <v>434</v>
      </c>
      <c r="AH190" s="29" t="s">
        <v>130</v>
      </c>
      <c r="AI190" s="87" t="str">
        <f>IFERROR(VLOOKUP(AG190,[2]Frota!$D$2:$AV$187,2,FALSE),"-")</f>
        <v>-</v>
      </c>
      <c r="AJ190" s="87" t="str">
        <f>IFERROR(VLOOKUP(AG190,[2]Frota!$D$2:$AV$187,3,FALSE),"-")</f>
        <v>-</v>
      </c>
      <c r="AK190" s="29" t="s">
        <v>328</v>
      </c>
      <c r="AL190" s="29" t="s">
        <v>435</v>
      </c>
      <c r="AM190" s="34" t="s">
        <v>130</v>
      </c>
      <c r="AN190" s="34" t="s">
        <v>130</v>
      </c>
      <c r="AO190" s="40" t="s">
        <v>329</v>
      </c>
      <c r="AP190" s="29" t="s">
        <v>181</v>
      </c>
      <c r="AQ190" s="88" t="s">
        <v>303</v>
      </c>
      <c r="AR190" s="89">
        <f>VLOOKUP(AQ190,'[1]Critério de Depreciação'!$C$3:$G$8,5,FALSE)</f>
        <v>0.83333333333333337</v>
      </c>
      <c r="AS190" s="29" t="s">
        <v>130</v>
      </c>
      <c r="AT190" s="29" t="s">
        <v>130</v>
      </c>
      <c r="AU190" s="29" t="str">
        <f>IFERROR(VLOOKUP(AG235,[2]Frota!$D$2:$AV$187,12,FALSE),"-")</f>
        <v>-</v>
      </c>
      <c r="AV190" s="45">
        <v>380</v>
      </c>
      <c r="AW190" s="90">
        <v>200000</v>
      </c>
      <c r="AX190" s="86">
        <v>44230</v>
      </c>
      <c r="AY190" s="91" t="s">
        <v>130</v>
      </c>
      <c r="AZ190" s="85">
        <v>450000</v>
      </c>
      <c r="BA190" s="123" t="s">
        <v>130</v>
      </c>
      <c r="BB190" s="124" t="s">
        <v>130</v>
      </c>
      <c r="BC190" s="85" t="s">
        <v>130</v>
      </c>
      <c r="BD190" s="85" t="s">
        <v>130</v>
      </c>
      <c r="BE190" s="92">
        <f t="shared" si="75"/>
        <v>450000</v>
      </c>
      <c r="BF190" s="92">
        <v>0</v>
      </c>
      <c r="BG190" s="92">
        <v>0</v>
      </c>
      <c r="BH190" s="92">
        <v>0</v>
      </c>
      <c r="BI190" s="92">
        <v>0</v>
      </c>
      <c r="BJ190" s="92">
        <v>0</v>
      </c>
      <c r="BK190" s="92">
        <v>1000000</v>
      </c>
      <c r="BL190" s="92">
        <v>0</v>
      </c>
      <c r="BM190" s="93">
        <f t="shared" si="82"/>
        <v>1000000</v>
      </c>
      <c r="BN190" s="92">
        <v>0</v>
      </c>
      <c r="BO190" s="92">
        <f>((BF190+BH190+BI190+BJ190+BK190+BL190)*20%)/12</f>
        <v>16666.666666666668</v>
      </c>
      <c r="BP190" s="92">
        <f t="shared" si="76"/>
        <v>16666.666666666668</v>
      </c>
      <c r="BQ190" s="92">
        <v>0</v>
      </c>
      <c r="BR190" s="92">
        <v>0</v>
      </c>
      <c r="BS190" s="85">
        <f t="shared" si="77"/>
        <v>3333.3333333333335</v>
      </c>
      <c r="BT190" s="125" t="s">
        <v>130</v>
      </c>
      <c r="BU190" s="125" t="s">
        <v>130</v>
      </c>
      <c r="BV190" s="125" t="s">
        <v>130</v>
      </c>
      <c r="BW190" s="126" t="s">
        <v>130</v>
      </c>
      <c r="BX190" s="127" t="s">
        <v>130</v>
      </c>
      <c r="BY190" s="29" t="s">
        <v>372</v>
      </c>
      <c r="BZ190" s="29" t="s">
        <v>372</v>
      </c>
      <c r="CA190" s="29" t="s">
        <v>130</v>
      </c>
      <c r="CB190" s="29" t="s">
        <v>130</v>
      </c>
      <c r="CC190" s="29" t="s">
        <v>130</v>
      </c>
      <c r="CD190" s="29" t="s">
        <v>130</v>
      </c>
      <c r="CE190" s="29" t="str">
        <f t="shared" si="78"/>
        <v>SC - JOINVILLE</v>
      </c>
      <c r="CF190" s="97" t="s">
        <v>130</v>
      </c>
      <c r="CG190" s="97" t="s">
        <v>130</v>
      </c>
      <c r="CH190" s="37">
        <f t="shared" si="79"/>
        <v>1000000</v>
      </c>
      <c r="CI190" s="98" t="s">
        <v>130</v>
      </c>
      <c r="CJ190" s="39">
        <v>5</v>
      </c>
      <c r="CK190" s="39">
        <v>5</v>
      </c>
      <c r="CL190" s="39">
        <f t="shared" si="80"/>
        <v>60</v>
      </c>
      <c r="CM190" s="99">
        <f t="shared" si="81"/>
        <v>33333.333333333336</v>
      </c>
      <c r="CN190" s="40" t="s">
        <v>130</v>
      </c>
      <c r="CO190" s="99">
        <f t="shared" si="57"/>
        <v>8333.3333333333339</v>
      </c>
      <c r="CP190" s="100" t="s">
        <v>92</v>
      </c>
      <c r="CQ190" s="100"/>
      <c r="CR190" s="100"/>
      <c r="CS190" s="100"/>
    </row>
    <row r="191" spans="1:97" x14ac:dyDescent="0.25">
      <c r="A191" s="27">
        <v>130</v>
      </c>
      <c r="B191" s="27">
        <v>152</v>
      </c>
      <c r="C191" s="29" t="s">
        <v>296</v>
      </c>
      <c r="D191" s="40" t="s">
        <v>49</v>
      </c>
      <c r="E191" s="40" t="s">
        <v>130</v>
      </c>
      <c r="F191" s="40" t="s">
        <v>130</v>
      </c>
      <c r="G191" s="151" t="s">
        <v>315</v>
      </c>
      <c r="H191" s="41" t="s">
        <v>130</v>
      </c>
      <c r="I191" s="29" t="s">
        <v>130</v>
      </c>
      <c r="J191" s="29" t="s">
        <v>130</v>
      </c>
      <c r="K191" s="29" t="s">
        <v>130</v>
      </c>
      <c r="L191" s="85" t="s">
        <v>130</v>
      </c>
      <c r="M191" s="86" t="s">
        <v>130</v>
      </c>
      <c r="N191" s="85" t="s">
        <v>130</v>
      </c>
      <c r="O191" s="86" t="s">
        <v>130</v>
      </c>
      <c r="P191" s="85" t="s">
        <v>130</v>
      </c>
      <c r="Q191" s="29" t="s">
        <v>130</v>
      </c>
      <c r="R191" s="85" t="s">
        <v>130</v>
      </c>
      <c r="S191" s="85" t="s">
        <v>130</v>
      </c>
      <c r="T191" s="85" t="s">
        <v>130</v>
      </c>
      <c r="U191" s="85" t="s">
        <v>130</v>
      </c>
      <c r="V191" s="85" t="s">
        <v>130</v>
      </c>
      <c r="W191" s="85" t="s">
        <v>130</v>
      </c>
      <c r="X191" s="85" t="s">
        <v>130</v>
      </c>
      <c r="Y191" s="85" t="s">
        <v>130</v>
      </c>
      <c r="Z191" s="85" t="s">
        <v>130</v>
      </c>
      <c r="AA191" s="85" t="s">
        <v>130</v>
      </c>
      <c r="AB191" s="85" t="s">
        <v>130</v>
      </c>
      <c r="AC191" s="85" t="s">
        <v>130</v>
      </c>
      <c r="AD191" s="85" t="s">
        <v>130</v>
      </c>
      <c r="AE191" s="29" t="s">
        <v>45</v>
      </c>
      <c r="AF191" s="132" t="s">
        <v>59</v>
      </c>
      <c r="AG191" s="84" t="s">
        <v>436</v>
      </c>
      <c r="AH191" s="29" t="s">
        <v>130</v>
      </c>
      <c r="AI191" s="87" t="str">
        <f>IFERROR(VLOOKUP(AG191,[2]Frota!$D$2:$AV$187,2,FALSE),"-")</f>
        <v>-</v>
      </c>
      <c r="AJ191" s="87" t="str">
        <f>IFERROR(VLOOKUP(AG191,[2]Frota!$D$2:$AV$187,3,FALSE),"-")</f>
        <v>-</v>
      </c>
      <c r="AK191" s="29" t="s">
        <v>437</v>
      </c>
      <c r="AL191" s="29" t="s">
        <v>438</v>
      </c>
      <c r="AM191" s="34">
        <v>2013</v>
      </c>
      <c r="AN191" s="34" t="s">
        <v>130</v>
      </c>
      <c r="AO191" s="152" t="s">
        <v>329</v>
      </c>
      <c r="AP191" s="29" t="s">
        <v>181</v>
      </c>
      <c r="AQ191" s="88" t="s">
        <v>303</v>
      </c>
      <c r="AR191" s="89">
        <f>VLOOKUP(AQ191,'[1]Critério de Depreciação'!$C$3:$G$8,5,FALSE)</f>
        <v>0.83333333333333337</v>
      </c>
      <c r="AS191" s="29" t="s">
        <v>130</v>
      </c>
      <c r="AT191" s="29" t="s">
        <v>130</v>
      </c>
      <c r="AU191" s="29" t="str">
        <f>IFERROR(VLOOKUP(AG236,[2]Frota!$D$2:$AV$187,12,FALSE),"-")</f>
        <v>-</v>
      </c>
      <c r="AV191" s="45" t="s">
        <v>130</v>
      </c>
      <c r="AW191" s="90">
        <v>650000</v>
      </c>
      <c r="AX191" s="86" t="s">
        <v>130</v>
      </c>
      <c r="AY191" s="91" t="s">
        <v>130</v>
      </c>
      <c r="AZ191" s="85">
        <v>450000</v>
      </c>
      <c r="BA191" s="123" t="s">
        <v>130</v>
      </c>
      <c r="BB191" s="86" t="s">
        <v>130</v>
      </c>
      <c r="BC191" s="85" t="s">
        <v>130</v>
      </c>
      <c r="BD191" s="85" t="s">
        <v>130</v>
      </c>
      <c r="BE191" s="92">
        <f t="shared" si="75"/>
        <v>450000</v>
      </c>
      <c r="BF191" s="92">
        <v>0</v>
      </c>
      <c r="BG191" s="92">
        <v>0</v>
      </c>
      <c r="BH191" s="92">
        <v>0</v>
      </c>
      <c r="BI191" s="92">
        <v>0</v>
      </c>
      <c r="BJ191" s="92">
        <v>0</v>
      </c>
      <c r="BK191" s="92">
        <v>650000</v>
      </c>
      <c r="BL191" s="92">
        <v>0</v>
      </c>
      <c r="BM191" s="93">
        <f t="shared" si="82"/>
        <v>650000</v>
      </c>
      <c r="BN191" s="92">
        <v>0</v>
      </c>
      <c r="BO191" s="92">
        <f>((BF191+BH191+BI191+BJ191+BK191+BL191)*20%)/12</f>
        <v>10833.333333333334</v>
      </c>
      <c r="BP191" s="92">
        <f t="shared" si="76"/>
        <v>10833.333333333334</v>
      </c>
      <c r="BQ191" s="92">
        <v>0</v>
      </c>
      <c r="BR191" s="92">
        <v>0</v>
      </c>
      <c r="BS191" s="85">
        <f t="shared" si="77"/>
        <v>10833.333333333334</v>
      </c>
      <c r="BT191" s="125" t="s">
        <v>130</v>
      </c>
      <c r="BU191" s="125" t="s">
        <v>130</v>
      </c>
      <c r="BV191" s="125" t="s">
        <v>130</v>
      </c>
      <c r="BW191" s="126" t="s">
        <v>130</v>
      </c>
      <c r="BX191" s="127" t="s">
        <v>130</v>
      </c>
      <c r="BY191" s="29" t="s">
        <v>130</v>
      </c>
      <c r="BZ191" s="29" t="s">
        <v>130</v>
      </c>
      <c r="CA191" s="29" t="s">
        <v>130</v>
      </c>
      <c r="CB191" s="29" t="s">
        <v>130</v>
      </c>
      <c r="CC191" s="29" t="s">
        <v>130</v>
      </c>
      <c r="CD191" s="29" t="s">
        <v>130</v>
      </c>
      <c r="CE191" s="29" t="str">
        <f t="shared" si="78"/>
        <v>PR - MARINGÁ</v>
      </c>
      <c r="CF191" s="97" t="s">
        <v>130</v>
      </c>
      <c r="CG191" s="97" t="s">
        <v>130</v>
      </c>
      <c r="CH191" s="37">
        <f t="shared" si="79"/>
        <v>650000</v>
      </c>
      <c r="CI191" s="98" t="s">
        <v>130</v>
      </c>
      <c r="CJ191" s="39">
        <v>5</v>
      </c>
      <c r="CK191" s="39">
        <v>5</v>
      </c>
      <c r="CL191" s="39">
        <f t="shared" si="80"/>
        <v>60</v>
      </c>
      <c r="CM191" s="99">
        <f t="shared" si="81"/>
        <v>21666.666666666668</v>
      </c>
      <c r="CN191" s="40" t="s">
        <v>130</v>
      </c>
      <c r="CO191" s="99">
        <f t="shared" si="57"/>
        <v>5416.6666666666679</v>
      </c>
      <c r="CP191" s="100" t="s">
        <v>92</v>
      </c>
      <c r="CQ191" s="100"/>
      <c r="CR191" s="100"/>
      <c r="CS191" s="100"/>
    </row>
    <row r="192" spans="1:97" ht="54" x14ac:dyDescent="0.25">
      <c r="A192" s="27">
        <v>131</v>
      </c>
      <c r="B192" s="27">
        <v>153</v>
      </c>
      <c r="C192" s="29" t="s">
        <v>296</v>
      </c>
      <c r="D192" s="40" t="s">
        <v>49</v>
      </c>
      <c r="E192" s="40" t="s">
        <v>130</v>
      </c>
      <c r="F192" s="103" t="s">
        <v>130</v>
      </c>
      <c r="G192" s="40"/>
      <c r="H192" s="41" t="s">
        <v>130</v>
      </c>
      <c r="I192" s="29" t="s">
        <v>130</v>
      </c>
      <c r="J192" s="29" t="s">
        <v>130</v>
      </c>
      <c r="K192" s="29" t="s">
        <v>130</v>
      </c>
      <c r="L192" s="85" t="s">
        <v>130</v>
      </c>
      <c r="M192" s="86" t="s">
        <v>130</v>
      </c>
      <c r="N192" s="85" t="s">
        <v>130</v>
      </c>
      <c r="O192" s="86" t="s">
        <v>130</v>
      </c>
      <c r="P192" s="85" t="s">
        <v>130</v>
      </c>
      <c r="Q192" s="29" t="s">
        <v>130</v>
      </c>
      <c r="R192" s="85" t="s">
        <v>130</v>
      </c>
      <c r="S192" s="85" t="s">
        <v>130</v>
      </c>
      <c r="T192" s="85" t="s">
        <v>130</v>
      </c>
      <c r="U192" s="85" t="s">
        <v>130</v>
      </c>
      <c r="V192" s="85" t="s">
        <v>130</v>
      </c>
      <c r="W192" s="85" t="s">
        <v>130</v>
      </c>
      <c r="X192" s="85" t="s">
        <v>130</v>
      </c>
      <c r="Y192" s="85" t="s">
        <v>130</v>
      </c>
      <c r="Z192" s="85" t="s">
        <v>130</v>
      </c>
      <c r="AA192" s="85" t="s">
        <v>130</v>
      </c>
      <c r="AB192" s="85" t="s">
        <v>130</v>
      </c>
      <c r="AC192" s="85" t="s">
        <v>130</v>
      </c>
      <c r="AD192" s="85" t="s">
        <v>130</v>
      </c>
      <c r="AE192" s="29" t="s">
        <v>45</v>
      </c>
      <c r="AF192" s="191" t="s">
        <v>439</v>
      </c>
      <c r="AG192" s="40" t="s">
        <v>440</v>
      </c>
      <c r="AH192" s="29" t="s">
        <v>130</v>
      </c>
      <c r="AI192" s="87" t="str">
        <f>IFERROR(VLOOKUP(AG192,[2]Frota!$D$2:$AV$187,2,FALSE),"-")</f>
        <v>-</v>
      </c>
      <c r="AJ192" s="87" t="str">
        <f>IFERROR(VLOOKUP(AG192,[2]Frota!$D$2:$AV$187,3,FALSE),"-")</f>
        <v>-</v>
      </c>
      <c r="AK192" s="29" t="s">
        <v>437</v>
      </c>
      <c r="AL192" s="29" t="s">
        <v>441</v>
      </c>
      <c r="AM192" s="34" t="s">
        <v>130</v>
      </c>
      <c r="AN192" s="34" t="s">
        <v>130</v>
      </c>
      <c r="AO192" s="40" t="s">
        <v>329</v>
      </c>
      <c r="AP192" s="29" t="s">
        <v>181</v>
      </c>
      <c r="AQ192" s="88" t="s">
        <v>303</v>
      </c>
      <c r="AR192" s="89">
        <f>VLOOKUP(AQ192,'[1]Critério de Depreciação'!$C$3:$G$8,5,FALSE)</f>
        <v>0.83333333333333337</v>
      </c>
      <c r="AS192" s="29" t="s">
        <v>130</v>
      </c>
      <c r="AT192" s="29" t="s">
        <v>130</v>
      </c>
      <c r="AU192" s="29" t="str">
        <f>IFERROR(VLOOKUP(AG237,[2]Frota!$D$2:$AV$187,12,FALSE),"-")</f>
        <v>-</v>
      </c>
      <c r="AV192" s="45">
        <v>2116</v>
      </c>
      <c r="AW192" s="90">
        <v>141363.26999999999</v>
      </c>
      <c r="AX192" s="86">
        <v>41645</v>
      </c>
      <c r="AY192" s="91" t="s">
        <v>130</v>
      </c>
      <c r="AZ192" s="85" t="s">
        <v>130</v>
      </c>
      <c r="BA192" s="123" t="s">
        <v>130</v>
      </c>
      <c r="BB192" s="124" t="s">
        <v>130</v>
      </c>
      <c r="BC192" s="85" t="s">
        <v>130</v>
      </c>
      <c r="BD192" s="85" t="s">
        <v>130</v>
      </c>
      <c r="BE192" s="92">
        <f t="shared" si="75"/>
        <v>0</v>
      </c>
      <c r="BF192" s="92">
        <v>0</v>
      </c>
      <c r="BG192" s="92">
        <v>0</v>
      </c>
      <c r="BH192" s="92">
        <v>0</v>
      </c>
      <c r="BI192" s="92">
        <v>0</v>
      </c>
      <c r="BJ192" s="92">
        <v>0</v>
      </c>
      <c r="BK192" s="92"/>
      <c r="BL192" s="92">
        <v>0</v>
      </c>
      <c r="BM192" s="93">
        <v>141363.26999999999</v>
      </c>
      <c r="BN192" s="92">
        <v>0</v>
      </c>
      <c r="BO192" s="92">
        <f>(BK191*20%)/12</f>
        <v>10833.333333333334</v>
      </c>
      <c r="BP192" s="92">
        <f t="shared" si="76"/>
        <v>10833.333333333334</v>
      </c>
      <c r="BQ192" s="92">
        <v>0</v>
      </c>
      <c r="BR192" s="92">
        <v>0</v>
      </c>
      <c r="BS192" s="85">
        <f t="shared" si="77"/>
        <v>2356.0544999999997</v>
      </c>
      <c r="BT192" s="125" t="s">
        <v>130</v>
      </c>
      <c r="BU192" s="125" t="s">
        <v>130</v>
      </c>
      <c r="BV192" s="125" t="s">
        <v>130</v>
      </c>
      <c r="BW192" s="126" t="s">
        <v>130</v>
      </c>
      <c r="BX192" s="127" t="s">
        <v>130</v>
      </c>
      <c r="BY192" s="29" t="s">
        <v>372</v>
      </c>
      <c r="BZ192" s="29" t="s">
        <v>442</v>
      </c>
      <c r="CA192" s="29" t="s">
        <v>130</v>
      </c>
      <c r="CB192" s="29" t="s">
        <v>130</v>
      </c>
      <c r="CC192" s="29" t="s">
        <v>130</v>
      </c>
      <c r="CD192" s="29" t="s">
        <v>130</v>
      </c>
      <c r="CE192" s="191" t="str">
        <f t="shared" si="78"/>
        <v>tupy em Joinville na EHH 0044</v>
      </c>
      <c r="CF192" s="97" t="s">
        <v>130</v>
      </c>
      <c r="CG192" s="97" t="s">
        <v>130</v>
      </c>
      <c r="CH192" s="37">
        <f t="shared" si="79"/>
        <v>141363.26999999999</v>
      </c>
      <c r="CI192" s="98" t="s">
        <v>130</v>
      </c>
      <c r="CJ192" s="39">
        <v>5</v>
      </c>
      <c r="CK192" s="39">
        <v>5</v>
      </c>
      <c r="CL192" s="39">
        <f t="shared" si="80"/>
        <v>60</v>
      </c>
      <c r="CM192" s="99">
        <f t="shared" si="81"/>
        <v>4712.1089999999995</v>
      </c>
      <c r="CN192" s="40" t="s">
        <v>130</v>
      </c>
      <c r="CO192" s="99">
        <f t="shared" si="57"/>
        <v>1178.0272499999999</v>
      </c>
      <c r="CP192" s="100" t="s">
        <v>92</v>
      </c>
      <c r="CQ192" s="100"/>
      <c r="CR192" s="100"/>
      <c r="CS192" s="100"/>
    </row>
    <row r="193" spans="1:97" ht="40.5" x14ac:dyDescent="0.25">
      <c r="A193" s="27">
        <v>132</v>
      </c>
      <c r="B193" s="27">
        <v>154</v>
      </c>
      <c r="C193" s="29" t="s">
        <v>296</v>
      </c>
      <c r="D193" s="40" t="s">
        <v>49</v>
      </c>
      <c r="E193" s="40" t="s">
        <v>130</v>
      </c>
      <c r="F193" s="40" t="s">
        <v>130</v>
      </c>
      <c r="G193" s="151"/>
      <c r="H193" s="41" t="s">
        <v>130</v>
      </c>
      <c r="I193" s="29" t="s">
        <v>130</v>
      </c>
      <c r="J193" s="29" t="s">
        <v>130</v>
      </c>
      <c r="K193" s="29" t="s">
        <v>130</v>
      </c>
      <c r="L193" s="85" t="s">
        <v>130</v>
      </c>
      <c r="M193" s="86" t="s">
        <v>130</v>
      </c>
      <c r="N193" s="85" t="s">
        <v>130</v>
      </c>
      <c r="O193" s="86" t="s">
        <v>130</v>
      </c>
      <c r="P193" s="85" t="s">
        <v>130</v>
      </c>
      <c r="Q193" s="29" t="s">
        <v>130</v>
      </c>
      <c r="R193" s="85" t="s">
        <v>130</v>
      </c>
      <c r="S193" s="85" t="s">
        <v>130</v>
      </c>
      <c r="T193" s="85" t="s">
        <v>130</v>
      </c>
      <c r="U193" s="85" t="s">
        <v>130</v>
      </c>
      <c r="V193" s="85" t="s">
        <v>130</v>
      </c>
      <c r="W193" s="85" t="s">
        <v>130</v>
      </c>
      <c r="X193" s="85" t="s">
        <v>130</v>
      </c>
      <c r="Y193" s="85" t="s">
        <v>130</v>
      </c>
      <c r="Z193" s="85" t="s">
        <v>130</v>
      </c>
      <c r="AA193" s="85" t="s">
        <v>130</v>
      </c>
      <c r="AB193" s="85" t="s">
        <v>130</v>
      </c>
      <c r="AC193" s="85" t="s">
        <v>130</v>
      </c>
      <c r="AD193" s="85" t="s">
        <v>130</v>
      </c>
      <c r="AE193" s="29" t="s">
        <v>45</v>
      </c>
      <c r="AF193" s="191" t="s">
        <v>443</v>
      </c>
      <c r="AG193" s="40" t="s">
        <v>444</v>
      </c>
      <c r="AH193" s="29" t="s">
        <v>130</v>
      </c>
      <c r="AI193" s="87" t="str">
        <f>IFERROR(VLOOKUP(AG193,[2]Frota!$D$2:$AV$187,2,FALSE),"-")</f>
        <v>-</v>
      </c>
      <c r="AJ193" s="87" t="str">
        <f>IFERROR(VLOOKUP(AG193,[2]Frota!$D$2:$AV$187,3,FALSE),"-")</f>
        <v>-</v>
      </c>
      <c r="AK193" s="29" t="s">
        <v>437</v>
      </c>
      <c r="AL193" s="29" t="s">
        <v>445</v>
      </c>
      <c r="AM193" s="34" t="s">
        <v>130</v>
      </c>
      <c r="AN193" s="34" t="s">
        <v>130</v>
      </c>
      <c r="AO193" s="40" t="s">
        <v>329</v>
      </c>
      <c r="AP193" s="29" t="s">
        <v>181</v>
      </c>
      <c r="AQ193" s="88" t="s">
        <v>303</v>
      </c>
      <c r="AR193" s="89">
        <f>VLOOKUP(AQ193,'[1]Critério de Depreciação'!$C$3:$G$8,5,FALSE)</f>
        <v>0.83333333333333337</v>
      </c>
      <c r="AS193" s="29" t="s">
        <v>130</v>
      </c>
      <c r="AT193" s="29" t="s">
        <v>130</v>
      </c>
      <c r="AU193" s="29" t="str">
        <f>IFERROR(VLOOKUP(#REF!,[2]Frota!$D$2:$AV$187,12,FALSE),"-")</f>
        <v>-</v>
      </c>
      <c r="AV193" s="45">
        <v>715</v>
      </c>
      <c r="AW193" s="90">
        <v>8000</v>
      </c>
      <c r="AX193" s="86">
        <v>41724</v>
      </c>
      <c r="AY193" s="91" t="s">
        <v>130</v>
      </c>
      <c r="AZ193" s="85" t="s">
        <v>130</v>
      </c>
      <c r="BA193" s="123" t="s">
        <v>130</v>
      </c>
      <c r="BB193" s="124" t="s">
        <v>130</v>
      </c>
      <c r="BC193" s="85" t="s">
        <v>130</v>
      </c>
      <c r="BD193" s="85" t="s">
        <v>130</v>
      </c>
      <c r="BE193" s="92">
        <f t="shared" si="75"/>
        <v>0</v>
      </c>
      <c r="BF193" s="92">
        <v>0</v>
      </c>
      <c r="BG193" s="92">
        <v>0</v>
      </c>
      <c r="BH193" s="92">
        <v>0</v>
      </c>
      <c r="BI193" s="92">
        <v>0</v>
      </c>
      <c r="BJ193" s="92">
        <v>0</v>
      </c>
      <c r="BK193" s="92"/>
      <c r="BL193" s="92">
        <v>0</v>
      </c>
      <c r="BM193" s="93">
        <v>8000</v>
      </c>
      <c r="BN193" s="92">
        <v>0</v>
      </c>
      <c r="BO193" s="92">
        <v>0</v>
      </c>
      <c r="BP193" s="92">
        <f t="shared" si="76"/>
        <v>0</v>
      </c>
      <c r="BQ193" s="92">
        <v>0</v>
      </c>
      <c r="BR193" s="92">
        <v>0</v>
      </c>
      <c r="BS193" s="85">
        <f t="shared" si="77"/>
        <v>133.33333333333334</v>
      </c>
      <c r="BT193" s="125" t="s">
        <v>130</v>
      </c>
      <c r="BU193" s="125" t="s">
        <v>130</v>
      </c>
      <c r="BV193" s="125" t="s">
        <v>130</v>
      </c>
      <c r="BW193" s="126" t="s">
        <v>130</v>
      </c>
      <c r="BX193" s="127" t="s">
        <v>130</v>
      </c>
      <c r="BY193" s="29" t="s">
        <v>372</v>
      </c>
      <c r="BZ193" s="29" t="s">
        <v>442</v>
      </c>
      <c r="CA193" s="29" t="s">
        <v>130</v>
      </c>
      <c r="CB193" s="29" t="s">
        <v>130</v>
      </c>
      <c r="CC193" s="29" t="s">
        <v>130</v>
      </c>
      <c r="CD193" s="29" t="s">
        <v>130</v>
      </c>
      <c r="CE193" s="191" t="str">
        <f t="shared" si="78"/>
        <v>oficina para manutenção</v>
      </c>
      <c r="CF193" s="97" t="s">
        <v>130</v>
      </c>
      <c r="CG193" s="97" t="s">
        <v>130</v>
      </c>
      <c r="CH193" s="37">
        <f t="shared" si="79"/>
        <v>8000</v>
      </c>
      <c r="CI193" s="98" t="s">
        <v>130</v>
      </c>
      <c r="CJ193" s="39">
        <v>5</v>
      </c>
      <c r="CK193" s="39">
        <v>5</v>
      </c>
      <c r="CL193" s="39">
        <f t="shared" si="80"/>
        <v>60</v>
      </c>
      <c r="CM193" s="99">
        <f t="shared" si="81"/>
        <v>266.66666666666669</v>
      </c>
      <c r="CN193" s="40" t="s">
        <v>130</v>
      </c>
      <c r="CO193" s="99">
        <f t="shared" si="57"/>
        <v>66.666666666666671</v>
      </c>
      <c r="CP193" s="100" t="s">
        <v>92</v>
      </c>
      <c r="CQ193" s="100"/>
      <c r="CR193" s="100"/>
      <c r="CS193" s="100"/>
    </row>
    <row r="194" spans="1:97" ht="27" x14ac:dyDescent="0.25">
      <c r="A194" s="27">
        <v>229</v>
      </c>
      <c r="B194" s="129" t="s">
        <v>130</v>
      </c>
      <c r="C194" s="130" t="s">
        <v>296</v>
      </c>
      <c r="D194" s="103" t="s">
        <v>49</v>
      </c>
      <c r="E194" s="103" t="s">
        <v>130</v>
      </c>
      <c r="F194" s="40" t="s">
        <v>130</v>
      </c>
      <c r="G194" s="103"/>
      <c r="H194" s="131" t="s">
        <v>130</v>
      </c>
      <c r="I194" s="102" t="s">
        <v>130</v>
      </c>
      <c r="J194" s="102" t="s">
        <v>130</v>
      </c>
      <c r="K194" s="102" t="s">
        <v>130</v>
      </c>
      <c r="L194" s="105" t="s">
        <v>130</v>
      </c>
      <c r="M194" s="106" t="s">
        <v>130</v>
      </c>
      <c r="N194" s="105" t="s">
        <v>130</v>
      </c>
      <c r="O194" s="106" t="s">
        <v>130</v>
      </c>
      <c r="P194" s="105" t="s">
        <v>130</v>
      </c>
      <c r="Q194" s="105" t="s">
        <v>130</v>
      </c>
      <c r="R194" s="105" t="s">
        <v>130</v>
      </c>
      <c r="S194" s="105" t="s">
        <v>130</v>
      </c>
      <c r="T194" s="105" t="s">
        <v>130</v>
      </c>
      <c r="U194" s="105" t="s">
        <v>130</v>
      </c>
      <c r="V194" s="105" t="s">
        <v>130</v>
      </c>
      <c r="W194" s="105" t="s">
        <v>130</v>
      </c>
      <c r="X194" s="105" t="s">
        <v>130</v>
      </c>
      <c r="Y194" s="105" t="s">
        <v>130</v>
      </c>
      <c r="Z194" s="105" t="s">
        <v>130</v>
      </c>
      <c r="AA194" s="105" t="s">
        <v>130</v>
      </c>
      <c r="AB194" s="105" t="s">
        <v>130</v>
      </c>
      <c r="AC194" s="105" t="s">
        <v>130</v>
      </c>
      <c r="AD194" s="105" t="s">
        <v>130</v>
      </c>
      <c r="AE194" s="130" t="s">
        <v>45</v>
      </c>
      <c r="AF194" s="199" t="s">
        <v>130</v>
      </c>
      <c r="AG194" s="103" t="s">
        <v>446</v>
      </c>
      <c r="AH194" s="130" t="s">
        <v>130</v>
      </c>
      <c r="AI194" s="133" t="s">
        <v>130</v>
      </c>
      <c r="AJ194" s="200" t="s">
        <v>447</v>
      </c>
      <c r="AK194" s="130" t="s">
        <v>437</v>
      </c>
      <c r="AL194" s="130" t="s">
        <v>448</v>
      </c>
      <c r="AM194" s="201">
        <v>2025</v>
      </c>
      <c r="AN194" s="135">
        <v>2025</v>
      </c>
      <c r="AO194" s="103" t="s">
        <v>329</v>
      </c>
      <c r="AP194" s="29" t="s">
        <v>181</v>
      </c>
      <c r="AQ194" s="88" t="s">
        <v>303</v>
      </c>
      <c r="AR194" s="89">
        <f>VLOOKUP(AQ194,'[1]Critério de Depreciação'!$C$3:$G$8,5,FALSE)</f>
        <v>0.83333333333333337</v>
      </c>
      <c r="AS194" s="130" t="s">
        <v>130</v>
      </c>
      <c r="AT194" s="130" t="s">
        <v>130</v>
      </c>
      <c r="AU194" s="130" t="s">
        <v>130</v>
      </c>
      <c r="AV194" s="136">
        <v>9300</v>
      </c>
      <c r="AW194" s="137">
        <v>533763.63</v>
      </c>
      <c r="AX194" s="138">
        <v>45918</v>
      </c>
      <c r="AY194" s="139" t="s">
        <v>130</v>
      </c>
      <c r="AZ194" s="130" t="s">
        <v>130</v>
      </c>
      <c r="BA194" s="130" t="s">
        <v>130</v>
      </c>
      <c r="BB194" s="130" t="s">
        <v>130</v>
      </c>
      <c r="BC194" s="130" t="s">
        <v>130</v>
      </c>
      <c r="BD194" s="130" t="s">
        <v>130</v>
      </c>
      <c r="BE194" s="202" t="s">
        <v>130</v>
      </c>
      <c r="BF194" s="140">
        <v>0</v>
      </c>
      <c r="BG194" s="140">
        <v>0</v>
      </c>
      <c r="BH194" s="140">
        <v>0</v>
      </c>
      <c r="BI194" s="140">
        <v>0</v>
      </c>
      <c r="BJ194" s="140">
        <v>0</v>
      </c>
      <c r="BK194" s="140">
        <v>0</v>
      </c>
      <c r="BL194" s="140">
        <v>0</v>
      </c>
      <c r="BM194" s="141">
        <v>533763.63</v>
      </c>
      <c r="BN194" s="140">
        <v>0</v>
      </c>
      <c r="BO194" s="140">
        <v>0</v>
      </c>
      <c r="BP194" s="140">
        <v>0</v>
      </c>
      <c r="BQ194" s="140">
        <v>0</v>
      </c>
      <c r="BR194" s="140">
        <v>0</v>
      </c>
      <c r="BS194" s="142" t="s">
        <v>130</v>
      </c>
      <c r="BT194" s="143" t="s">
        <v>130</v>
      </c>
      <c r="BU194" s="143" t="s">
        <v>130</v>
      </c>
      <c r="BV194" s="143" t="s">
        <v>130</v>
      </c>
      <c r="BW194" s="144" t="s">
        <v>130</v>
      </c>
      <c r="BX194" s="145" t="s">
        <v>130</v>
      </c>
      <c r="BY194" s="102" t="s">
        <v>130</v>
      </c>
      <c r="BZ194" s="102" t="s">
        <v>130</v>
      </c>
      <c r="CA194" s="102" t="s">
        <v>130</v>
      </c>
      <c r="CB194" s="102" t="s">
        <v>130</v>
      </c>
      <c r="CC194" s="102" t="s">
        <v>130</v>
      </c>
      <c r="CD194" s="102" t="s">
        <v>130</v>
      </c>
      <c r="CE194" s="102" t="s">
        <v>130</v>
      </c>
      <c r="CF194" s="146" t="s">
        <v>130</v>
      </c>
      <c r="CG194" s="146" t="s">
        <v>130</v>
      </c>
      <c r="CH194" s="147" t="s">
        <v>130</v>
      </c>
      <c r="CI194" s="148" t="s">
        <v>130</v>
      </c>
      <c r="CJ194" s="149" t="s">
        <v>130</v>
      </c>
      <c r="CK194" s="149" t="s">
        <v>130</v>
      </c>
      <c r="CL194" s="149" t="s">
        <v>130</v>
      </c>
      <c r="CM194" s="150" t="s">
        <v>130</v>
      </c>
      <c r="CN194" s="103" t="s">
        <v>130</v>
      </c>
      <c r="CO194" s="99">
        <f t="shared" si="57"/>
        <v>4448.0302499999998</v>
      </c>
      <c r="CP194" s="100" t="s">
        <v>92</v>
      </c>
      <c r="CQ194" s="100"/>
      <c r="CR194" s="100"/>
      <c r="CS194" s="100"/>
    </row>
    <row r="195" spans="1:97" x14ac:dyDescent="0.25">
      <c r="A195" s="27">
        <v>179</v>
      </c>
      <c r="B195" s="27">
        <v>191</v>
      </c>
      <c r="C195" s="29" t="s">
        <v>296</v>
      </c>
      <c r="D195" s="40" t="s">
        <v>49</v>
      </c>
      <c r="E195" s="40" t="s">
        <v>130</v>
      </c>
      <c r="F195" s="40" t="s">
        <v>130</v>
      </c>
      <c r="G195" s="151"/>
      <c r="H195" s="41" t="s">
        <v>130</v>
      </c>
      <c r="I195" s="29" t="s">
        <v>130</v>
      </c>
      <c r="J195" s="29" t="s">
        <v>130</v>
      </c>
      <c r="K195" s="29" t="s">
        <v>130</v>
      </c>
      <c r="L195" s="85" t="s">
        <v>130</v>
      </c>
      <c r="M195" s="86" t="s">
        <v>130</v>
      </c>
      <c r="N195" s="85" t="s">
        <v>130</v>
      </c>
      <c r="O195" s="86" t="s">
        <v>130</v>
      </c>
      <c r="P195" s="85" t="s">
        <v>130</v>
      </c>
      <c r="Q195" s="29" t="s">
        <v>130</v>
      </c>
      <c r="R195" s="85" t="s">
        <v>130</v>
      </c>
      <c r="S195" s="85" t="s">
        <v>130</v>
      </c>
      <c r="T195" s="85" t="s">
        <v>130</v>
      </c>
      <c r="U195" s="85" t="s">
        <v>130</v>
      </c>
      <c r="V195" s="85" t="s">
        <v>130</v>
      </c>
      <c r="W195" s="85" t="s">
        <v>130</v>
      </c>
      <c r="X195" s="85" t="s">
        <v>130</v>
      </c>
      <c r="Y195" s="85" t="s">
        <v>130</v>
      </c>
      <c r="Z195" s="85" t="s">
        <v>130</v>
      </c>
      <c r="AA195" s="85" t="s">
        <v>130</v>
      </c>
      <c r="AB195" s="85" t="s">
        <v>130</v>
      </c>
      <c r="AC195" s="85" t="s">
        <v>130</v>
      </c>
      <c r="AD195" s="85" t="s">
        <v>130</v>
      </c>
      <c r="AE195" s="29" t="s">
        <v>45</v>
      </c>
      <c r="AF195" s="29" t="s">
        <v>449</v>
      </c>
      <c r="AG195" s="40" t="s">
        <v>130</v>
      </c>
      <c r="AH195" s="29" t="s">
        <v>130</v>
      </c>
      <c r="AI195" s="87" t="str">
        <f>IFERROR(VLOOKUP(AG195,[2]Frota!$D$2:$AV$187,2,FALSE),"-")</f>
        <v>-</v>
      </c>
      <c r="AJ195" s="87" t="str">
        <f>IFERROR(VLOOKUP(AG195,[2]Frota!$D$2:$AV$187,3,FALSE),"-")</f>
        <v>-</v>
      </c>
      <c r="AK195" s="29" t="s">
        <v>412</v>
      </c>
      <c r="AL195" s="29" t="s">
        <v>450</v>
      </c>
      <c r="AM195" s="34" t="s">
        <v>130</v>
      </c>
      <c r="AN195" s="34" t="s">
        <v>130</v>
      </c>
      <c r="AO195" s="152" t="s">
        <v>451</v>
      </c>
      <c r="AP195" s="29" t="s">
        <v>181</v>
      </c>
      <c r="AQ195" s="88" t="s">
        <v>305</v>
      </c>
      <c r="AR195" s="89">
        <f>VLOOKUP(AQ195,'[1]Critério de Depreciação'!$C$3:$G$8,5,FALSE)</f>
        <v>0.83333333333333337</v>
      </c>
      <c r="AS195" s="29" t="s">
        <v>130</v>
      </c>
      <c r="AT195" s="29" t="s">
        <v>130</v>
      </c>
      <c r="AU195" s="29" t="str">
        <f>IFERROR(VLOOKUP(#REF!,[2]Frota!$D$2:$AV$187,12,FALSE),"-")</f>
        <v>-</v>
      </c>
      <c r="AV195" s="45">
        <v>30</v>
      </c>
      <c r="AW195" s="90">
        <v>214060</v>
      </c>
      <c r="AX195" s="86">
        <v>43252</v>
      </c>
      <c r="AY195" s="91" t="s">
        <v>130</v>
      </c>
      <c r="AZ195" s="85">
        <v>400000</v>
      </c>
      <c r="BA195" s="123" t="s">
        <v>130</v>
      </c>
      <c r="BB195" s="86" t="s">
        <v>130</v>
      </c>
      <c r="BC195" s="85" t="s">
        <v>130</v>
      </c>
      <c r="BD195" s="85" t="s">
        <v>130</v>
      </c>
      <c r="BE195" s="92">
        <f t="shared" ref="BE195:BE212" si="83">SUM(AZ195:BA195,BC195:BD195)</f>
        <v>400000</v>
      </c>
      <c r="BF195" s="92">
        <v>0</v>
      </c>
      <c r="BG195" s="92">
        <v>0</v>
      </c>
      <c r="BH195" s="92">
        <v>0</v>
      </c>
      <c r="BI195" s="92">
        <v>0</v>
      </c>
      <c r="BJ195" s="92">
        <v>0</v>
      </c>
      <c r="BK195" s="92">
        <v>0</v>
      </c>
      <c r="BL195" s="92">
        <v>0</v>
      </c>
      <c r="BM195" s="93">
        <v>214060</v>
      </c>
      <c r="BN195" s="92">
        <v>0</v>
      </c>
      <c r="BO195" s="92">
        <v>0</v>
      </c>
      <c r="BP195" s="92">
        <f>BN195+BO195</f>
        <v>0</v>
      </c>
      <c r="BQ195" s="92">
        <v>0</v>
      </c>
      <c r="BR195" s="92">
        <v>0</v>
      </c>
      <c r="BS195" s="85">
        <f t="shared" ref="BS195:BS212" si="84">IFERROR((AW195*20%)/12,"-")</f>
        <v>3567.6666666666665</v>
      </c>
      <c r="BT195" s="94" t="s">
        <v>130</v>
      </c>
      <c r="BU195" s="94" t="s">
        <v>130</v>
      </c>
      <c r="BV195" s="94" t="s">
        <v>130</v>
      </c>
      <c r="BW195" s="95" t="s">
        <v>130</v>
      </c>
      <c r="BX195" s="96" t="s">
        <v>130</v>
      </c>
      <c r="BY195" s="29" t="s">
        <v>130</v>
      </c>
      <c r="BZ195" s="29" t="s">
        <v>130</v>
      </c>
      <c r="CA195" s="29" t="s">
        <v>130</v>
      </c>
      <c r="CB195" s="29" t="s">
        <v>130</v>
      </c>
      <c r="CC195" s="29" t="s">
        <v>130</v>
      </c>
      <c r="CD195" s="29" t="s">
        <v>130</v>
      </c>
      <c r="CE195" s="29" t="str">
        <f t="shared" ref="CE195:CE212" si="85">AF195</f>
        <v>SP - PRUDENTE/CHÁCARA</v>
      </c>
      <c r="CF195" s="97" t="s">
        <v>130</v>
      </c>
      <c r="CG195" s="97" t="s">
        <v>130</v>
      </c>
      <c r="CH195" s="37">
        <f t="shared" ref="CH195:CH212" si="86">BM195</f>
        <v>214060</v>
      </c>
      <c r="CI195" s="98" t="s">
        <v>130</v>
      </c>
      <c r="CJ195" s="39">
        <v>5</v>
      </c>
      <c r="CK195" s="39">
        <v>5</v>
      </c>
      <c r="CL195" s="39">
        <f t="shared" ref="CL195:CL212" si="87">12*CK195</f>
        <v>60</v>
      </c>
      <c r="CM195" s="99">
        <f t="shared" ref="CM195:CM212" si="88">IFERROR((CH195/CL195)*2,"-")</f>
        <v>7135.333333333333</v>
      </c>
      <c r="CN195" s="88" t="s">
        <v>130</v>
      </c>
      <c r="CO195" s="99">
        <f t="shared" ref="CO195:CO234" si="89">BM195*AR195/100</f>
        <v>1783.8333333333335</v>
      </c>
      <c r="CP195" s="100" t="s">
        <v>92</v>
      </c>
      <c r="CQ195" s="100"/>
      <c r="CR195" s="100"/>
      <c r="CS195" s="100"/>
    </row>
    <row r="196" spans="1:97" x14ac:dyDescent="0.25">
      <c r="A196" s="27">
        <v>181</v>
      </c>
      <c r="B196" s="27">
        <v>193</v>
      </c>
      <c r="C196" s="29" t="s">
        <v>296</v>
      </c>
      <c r="D196" s="40" t="s">
        <v>49</v>
      </c>
      <c r="E196" s="40" t="s">
        <v>130</v>
      </c>
      <c r="F196" s="88" t="s">
        <v>130</v>
      </c>
      <c r="G196" s="151"/>
      <c r="H196" s="41" t="s">
        <v>130</v>
      </c>
      <c r="I196" s="29" t="s">
        <v>130</v>
      </c>
      <c r="J196" s="29" t="s">
        <v>130</v>
      </c>
      <c r="K196" s="29" t="s">
        <v>130</v>
      </c>
      <c r="L196" s="85" t="s">
        <v>130</v>
      </c>
      <c r="M196" s="86" t="s">
        <v>130</v>
      </c>
      <c r="N196" s="85" t="s">
        <v>130</v>
      </c>
      <c r="O196" s="86" t="s">
        <v>130</v>
      </c>
      <c r="P196" s="85" t="s">
        <v>130</v>
      </c>
      <c r="Q196" s="29" t="s">
        <v>130</v>
      </c>
      <c r="R196" s="85" t="s">
        <v>130</v>
      </c>
      <c r="S196" s="85" t="s">
        <v>130</v>
      </c>
      <c r="T196" s="85" t="s">
        <v>130</v>
      </c>
      <c r="U196" s="85" t="s">
        <v>130</v>
      </c>
      <c r="V196" s="85" t="s">
        <v>130</v>
      </c>
      <c r="W196" s="85" t="s">
        <v>130</v>
      </c>
      <c r="X196" s="85" t="s">
        <v>130</v>
      </c>
      <c r="Y196" s="85" t="s">
        <v>130</v>
      </c>
      <c r="Z196" s="85" t="s">
        <v>130</v>
      </c>
      <c r="AA196" s="85" t="s">
        <v>130</v>
      </c>
      <c r="AB196" s="85" t="s">
        <v>130</v>
      </c>
      <c r="AC196" s="85" t="s">
        <v>130</v>
      </c>
      <c r="AD196" s="85" t="s">
        <v>130</v>
      </c>
      <c r="AE196" s="132" t="s">
        <v>298</v>
      </c>
      <c r="AF196" s="132" t="s">
        <v>53</v>
      </c>
      <c r="AG196" s="40" t="s">
        <v>452</v>
      </c>
      <c r="AH196" s="29" t="s">
        <v>130</v>
      </c>
      <c r="AI196" s="87" t="str">
        <f>IFERROR(VLOOKUP(AG196,[2]Frota!$D$2:$AV$187,2,FALSE),"-")</f>
        <v>-</v>
      </c>
      <c r="AJ196" s="87" t="str">
        <f>IFERROR(VLOOKUP(AG196,[2]Frota!$D$2:$AV$187,3,FALSE),"-")</f>
        <v>-</v>
      </c>
      <c r="AK196" s="29" t="s">
        <v>453</v>
      </c>
      <c r="AL196" s="29" t="s">
        <v>454</v>
      </c>
      <c r="AM196" s="34" t="s">
        <v>130</v>
      </c>
      <c r="AN196" s="34" t="s">
        <v>130</v>
      </c>
      <c r="AO196" s="203" t="s">
        <v>454</v>
      </c>
      <c r="AP196" s="29" t="s">
        <v>305</v>
      </c>
      <c r="AQ196" s="88" t="s">
        <v>305</v>
      </c>
      <c r="AR196" s="89">
        <f>VLOOKUP(AQ196,'[1]Critério de Depreciação'!$C$3:$G$8,5,FALSE)</f>
        <v>0.83333333333333337</v>
      </c>
      <c r="AS196" s="29" t="s">
        <v>130</v>
      </c>
      <c r="AT196" s="29" t="s">
        <v>130</v>
      </c>
      <c r="AU196" s="29" t="str">
        <f>IFERROR(VLOOKUP(#REF!,[2]Frota!$D$2:$AV$187,12,FALSE),"-")</f>
        <v>-</v>
      </c>
      <c r="AV196" s="157" t="s">
        <v>130</v>
      </c>
      <c r="AW196" s="90">
        <v>0</v>
      </c>
      <c r="AX196" s="86" t="s">
        <v>130</v>
      </c>
      <c r="AY196" s="91">
        <v>80000</v>
      </c>
      <c r="AZ196" s="85" t="s">
        <v>130</v>
      </c>
      <c r="BA196" s="123" t="s">
        <v>130</v>
      </c>
      <c r="BB196" s="86" t="s">
        <v>130</v>
      </c>
      <c r="BC196" s="85" t="s">
        <v>130</v>
      </c>
      <c r="BD196" s="85" t="s">
        <v>130</v>
      </c>
      <c r="BE196" s="92">
        <f t="shared" si="83"/>
        <v>0</v>
      </c>
      <c r="BF196" s="92">
        <v>0</v>
      </c>
      <c r="BG196" s="92">
        <v>0</v>
      </c>
      <c r="BH196" s="92">
        <v>0</v>
      </c>
      <c r="BI196" s="92">
        <v>0</v>
      </c>
      <c r="BJ196" s="92">
        <v>0</v>
      </c>
      <c r="BK196" s="92">
        <v>0</v>
      </c>
      <c r="BL196" s="92">
        <v>0</v>
      </c>
      <c r="BM196" s="93">
        <f t="shared" ref="BM196:BM209" si="90">SUM(BF196:BL196)</f>
        <v>0</v>
      </c>
      <c r="BN196" s="92">
        <v>0</v>
      </c>
      <c r="BO196" s="92">
        <v>0</v>
      </c>
      <c r="BP196" s="92">
        <v>0</v>
      </c>
      <c r="BQ196" s="92">
        <v>0</v>
      </c>
      <c r="BR196" s="92">
        <v>0</v>
      </c>
      <c r="BS196" s="85">
        <f t="shared" si="84"/>
        <v>0</v>
      </c>
      <c r="BT196" s="94" t="s">
        <v>130</v>
      </c>
      <c r="BU196" s="94" t="s">
        <v>130</v>
      </c>
      <c r="BV196" s="94" t="s">
        <v>130</v>
      </c>
      <c r="BW196" s="95" t="s">
        <v>130</v>
      </c>
      <c r="BX196" s="96" t="s">
        <v>130</v>
      </c>
      <c r="BY196" s="29" t="s">
        <v>130</v>
      </c>
      <c r="BZ196" s="29" t="s">
        <v>130</v>
      </c>
      <c r="CA196" s="29" t="s">
        <v>130</v>
      </c>
      <c r="CB196" s="29" t="s">
        <v>130</v>
      </c>
      <c r="CC196" s="29" t="s">
        <v>130</v>
      </c>
      <c r="CD196" s="29" t="s">
        <v>130</v>
      </c>
      <c r="CE196" s="132" t="str">
        <f t="shared" si="85"/>
        <v>MS - CAMPO GRANDE</v>
      </c>
      <c r="CF196" s="97" t="s">
        <v>130</v>
      </c>
      <c r="CG196" s="97" t="s">
        <v>130</v>
      </c>
      <c r="CH196" s="37">
        <f t="shared" si="86"/>
        <v>0</v>
      </c>
      <c r="CI196" s="98" t="s">
        <v>130</v>
      </c>
      <c r="CJ196" s="39">
        <v>5</v>
      </c>
      <c r="CK196" s="39">
        <v>5</v>
      </c>
      <c r="CL196" s="39">
        <f t="shared" si="87"/>
        <v>60</v>
      </c>
      <c r="CM196" s="99">
        <f t="shared" si="88"/>
        <v>0</v>
      </c>
      <c r="CN196" s="88" t="s">
        <v>130</v>
      </c>
      <c r="CO196" s="99">
        <f t="shared" si="89"/>
        <v>0</v>
      </c>
      <c r="CP196" s="100" t="s">
        <v>301</v>
      </c>
      <c r="CQ196" s="100"/>
      <c r="CR196" s="100"/>
      <c r="CS196" s="100"/>
    </row>
    <row r="197" spans="1:97" x14ac:dyDescent="0.25">
      <c r="A197" s="27">
        <v>5</v>
      </c>
      <c r="B197" s="27">
        <v>44</v>
      </c>
      <c r="C197" s="29" t="s">
        <v>296</v>
      </c>
      <c r="D197" s="40" t="s">
        <v>49</v>
      </c>
      <c r="E197" s="40" t="s">
        <v>130</v>
      </c>
      <c r="F197" s="88" t="s">
        <v>130</v>
      </c>
      <c r="G197" s="84" t="s">
        <v>48</v>
      </c>
      <c r="H197" s="41" t="s">
        <v>472</v>
      </c>
      <c r="I197" s="29" t="s">
        <v>130</v>
      </c>
      <c r="J197" s="85">
        <f>L197+N197</f>
        <v>9647.39</v>
      </c>
      <c r="K197" s="85" t="s">
        <v>466</v>
      </c>
      <c r="L197" s="85">
        <v>167.74</v>
      </c>
      <c r="M197" s="86">
        <v>45674</v>
      </c>
      <c r="N197" s="85">
        <v>9479.65</v>
      </c>
      <c r="O197" s="86">
        <v>45705</v>
      </c>
      <c r="P197" s="85">
        <v>9772.84</v>
      </c>
      <c r="Q197" s="29" t="s">
        <v>80</v>
      </c>
      <c r="R197" s="85">
        <v>0</v>
      </c>
      <c r="S197" s="85">
        <v>0</v>
      </c>
      <c r="T197" s="85">
        <v>0</v>
      </c>
      <c r="U197" s="85">
        <v>9113.92</v>
      </c>
      <c r="V197" s="85">
        <v>8840.5</v>
      </c>
      <c r="W197" s="86">
        <v>46038</v>
      </c>
      <c r="X197" s="86">
        <v>46072</v>
      </c>
      <c r="Y197" s="85">
        <v>174.08</v>
      </c>
      <c r="Z197" s="85">
        <f>U197+Y197</f>
        <v>9288</v>
      </c>
      <c r="AA197" s="85">
        <f>V197+Y197</f>
        <v>9014.58</v>
      </c>
      <c r="AB197" s="85">
        <v>0</v>
      </c>
      <c r="AC197" s="85">
        <v>0</v>
      </c>
      <c r="AD197" s="85">
        <v>0</v>
      </c>
      <c r="AE197" s="29" t="s">
        <v>45</v>
      </c>
      <c r="AF197" s="29" t="s">
        <v>802</v>
      </c>
      <c r="AG197" s="40" t="s">
        <v>803</v>
      </c>
      <c r="AH197" s="29" t="s">
        <v>468</v>
      </c>
      <c r="AI197" s="87" t="str">
        <f>IFERROR(VLOOKUP(AG197,[2]Frota!$D$2:$AV$187,2,FALSE),"-")</f>
        <v>01334053445</v>
      </c>
      <c r="AJ197" s="87" t="str">
        <f>IFERROR(VLOOKUP(AG197,[2]Frota!$D$2:$AV$187,3,FALSE),"-")</f>
        <v>W1K5J4GW1PN335601</v>
      </c>
      <c r="AK197" s="29" t="s">
        <v>567</v>
      </c>
      <c r="AL197" s="29" t="s">
        <v>804</v>
      </c>
      <c r="AM197" s="34">
        <v>2022</v>
      </c>
      <c r="AN197" s="34">
        <v>2023</v>
      </c>
      <c r="AO197" s="40" t="s">
        <v>560</v>
      </c>
      <c r="AP197" s="29" t="s">
        <v>805</v>
      </c>
      <c r="AQ197" s="88" t="s">
        <v>464</v>
      </c>
      <c r="AR197" s="89">
        <f>VLOOKUP(AQ197,'[1]Critério de Depreciação'!$C$3:$G$8,5,FALSE)</f>
        <v>1.6666666666666667</v>
      </c>
      <c r="AS197" s="29" t="s">
        <v>299</v>
      </c>
      <c r="AT197" s="29" t="s">
        <v>300</v>
      </c>
      <c r="AU197" s="29" t="str">
        <f>IFERROR(VLOOKUP(AG240,[2]Frota!$D$2:$AV$187,12,FALSE),"-")</f>
        <v>-</v>
      </c>
      <c r="AV197" s="181">
        <v>27115</v>
      </c>
      <c r="AW197" s="90">
        <v>314650</v>
      </c>
      <c r="AX197" s="86">
        <v>44924</v>
      </c>
      <c r="AY197" s="91" t="s">
        <v>130</v>
      </c>
      <c r="AZ197" s="85" t="s">
        <v>130</v>
      </c>
      <c r="BA197" s="123">
        <v>317341</v>
      </c>
      <c r="BB197" s="86">
        <v>45215</v>
      </c>
      <c r="BC197" s="85" t="s">
        <v>130</v>
      </c>
      <c r="BD197" s="85" t="s">
        <v>130</v>
      </c>
      <c r="BE197" s="92">
        <f t="shared" si="83"/>
        <v>317341</v>
      </c>
      <c r="BF197" s="92">
        <v>0</v>
      </c>
      <c r="BG197" s="92">
        <v>0</v>
      </c>
      <c r="BH197" s="92">
        <v>0</v>
      </c>
      <c r="BI197" s="92">
        <v>0</v>
      </c>
      <c r="BJ197" s="92">
        <v>0</v>
      </c>
      <c r="BK197" s="92">
        <v>0</v>
      </c>
      <c r="BL197" s="92">
        <v>0</v>
      </c>
      <c r="BM197" s="93">
        <f t="shared" si="90"/>
        <v>0</v>
      </c>
      <c r="BN197" s="92">
        <v>0</v>
      </c>
      <c r="BO197" s="92">
        <v>0</v>
      </c>
      <c r="BP197" s="92">
        <f>BN197+BO197</f>
        <v>0</v>
      </c>
      <c r="BQ197" s="92">
        <v>0</v>
      </c>
      <c r="BR197" s="92">
        <v>0</v>
      </c>
      <c r="BS197" s="85">
        <f t="shared" si="84"/>
        <v>5244.166666666667</v>
      </c>
      <c r="BT197" s="94" t="s">
        <v>130</v>
      </c>
      <c r="BU197" s="94" t="s">
        <v>130</v>
      </c>
      <c r="BV197" s="94" t="s">
        <v>130</v>
      </c>
      <c r="BW197" s="95">
        <v>20.94</v>
      </c>
      <c r="BX197" s="96" t="s">
        <v>130</v>
      </c>
      <c r="BY197" s="29" t="s">
        <v>806</v>
      </c>
      <c r="BZ197" s="29" t="s">
        <v>806</v>
      </c>
      <c r="CA197" s="29" t="s">
        <v>806</v>
      </c>
      <c r="CB197" s="29" t="s">
        <v>806</v>
      </c>
      <c r="CC197" s="29" t="s">
        <v>130</v>
      </c>
      <c r="CD197" s="29" t="s">
        <v>130</v>
      </c>
      <c r="CE197" s="29" t="str">
        <f t="shared" si="85"/>
        <v>PARTICULAR - GABRIEL SALTEIRO</v>
      </c>
      <c r="CF197" s="97" t="s">
        <v>130</v>
      </c>
      <c r="CG197" s="97" t="s">
        <v>130</v>
      </c>
      <c r="CH197" s="37">
        <f t="shared" si="86"/>
        <v>0</v>
      </c>
      <c r="CI197" s="98" t="s">
        <v>130</v>
      </c>
      <c r="CJ197" s="39">
        <v>5</v>
      </c>
      <c r="CK197" s="39">
        <v>5</v>
      </c>
      <c r="CL197" s="39">
        <f t="shared" si="87"/>
        <v>60</v>
      </c>
      <c r="CM197" s="99">
        <f t="shared" si="88"/>
        <v>0</v>
      </c>
      <c r="CN197" s="40" t="str">
        <f>IFERROR(IF(VLOOKUP(AG197,'[1]ATIVOS SAGI'!C:D,1,FALSE)&lt;&gt;"","CADASTRADO","NÃO CADASTRADO"),"NÃO CADASTRADO")</f>
        <v>CADASTRADO</v>
      </c>
      <c r="CO197" s="99">
        <f t="shared" si="89"/>
        <v>0</v>
      </c>
      <c r="CP197" s="100" t="s">
        <v>301</v>
      </c>
      <c r="CQ197" s="100"/>
      <c r="CR197" s="100"/>
      <c r="CS197" s="100"/>
    </row>
    <row r="198" spans="1:97" x14ac:dyDescent="0.25">
      <c r="A198" s="27">
        <v>6</v>
      </c>
      <c r="B198" s="101">
        <v>45</v>
      </c>
      <c r="C198" s="102" t="s">
        <v>296</v>
      </c>
      <c r="D198" s="88" t="s">
        <v>49</v>
      </c>
      <c r="E198" s="88" t="s">
        <v>130</v>
      </c>
      <c r="F198" s="88" t="s">
        <v>130</v>
      </c>
      <c r="G198" s="88"/>
      <c r="H198" s="104" t="s">
        <v>130</v>
      </c>
      <c r="I198" s="102" t="s">
        <v>130</v>
      </c>
      <c r="J198" s="105">
        <f>L198+N198</f>
        <v>11064.789999999999</v>
      </c>
      <c r="K198" s="105" t="s">
        <v>466</v>
      </c>
      <c r="L198" s="105">
        <v>167.74</v>
      </c>
      <c r="M198" s="106">
        <v>45670</v>
      </c>
      <c r="N198" s="105">
        <v>10897.05</v>
      </c>
      <c r="O198" s="106">
        <v>45701</v>
      </c>
      <c r="P198" s="105">
        <v>11234.08</v>
      </c>
      <c r="Q198" s="102" t="s">
        <v>80</v>
      </c>
      <c r="R198" s="105">
        <v>0</v>
      </c>
      <c r="S198" s="105">
        <v>0</v>
      </c>
      <c r="T198" s="105">
        <v>0</v>
      </c>
      <c r="U198" s="105">
        <v>10459.24</v>
      </c>
      <c r="V198" s="105">
        <v>10145.459999999999</v>
      </c>
      <c r="W198" s="106">
        <v>46034</v>
      </c>
      <c r="X198" s="106">
        <v>46065</v>
      </c>
      <c r="Y198" s="105">
        <v>174.08</v>
      </c>
      <c r="Z198" s="105">
        <f>U198+Y198</f>
        <v>10633.32</v>
      </c>
      <c r="AA198" s="105">
        <f>V198+Y198</f>
        <v>10319.539999999999</v>
      </c>
      <c r="AB198" s="105">
        <v>0</v>
      </c>
      <c r="AC198" s="105">
        <v>0</v>
      </c>
      <c r="AD198" s="105">
        <v>0</v>
      </c>
      <c r="AE198" s="102" t="s">
        <v>297</v>
      </c>
      <c r="AF198" s="102" t="s">
        <v>807</v>
      </c>
      <c r="AG198" s="88" t="s">
        <v>808</v>
      </c>
      <c r="AH198" s="102" t="s">
        <v>468</v>
      </c>
      <c r="AI198" s="107" t="str">
        <f>IFERROR(VLOOKUP(AG198,[2]Frota!$D$2:$AV$187,2,FALSE),"-")</f>
        <v>01298615949</v>
      </c>
      <c r="AJ198" s="107" t="str">
        <f>IFERROR(VLOOKUP(AG198,[2]Frota!$D$2:$AV$187,3,FALSE),"-")</f>
        <v>LYVUZH6CDNB037634</v>
      </c>
      <c r="AK198" s="102" t="s">
        <v>633</v>
      </c>
      <c r="AL198" s="102" t="s">
        <v>809</v>
      </c>
      <c r="AM198" s="108">
        <v>2022</v>
      </c>
      <c r="AN198" s="108">
        <v>2022</v>
      </c>
      <c r="AO198" s="88" t="s">
        <v>560</v>
      </c>
      <c r="AP198" s="102" t="s">
        <v>805</v>
      </c>
      <c r="AQ198" s="88" t="s">
        <v>464</v>
      </c>
      <c r="AR198" s="89">
        <f>VLOOKUP(AQ198,'[1]Critério de Depreciação'!$C$3:$G$8,5,FALSE)</f>
        <v>1.6666666666666667</v>
      </c>
      <c r="AS198" s="102" t="s">
        <v>299</v>
      </c>
      <c r="AT198" s="102" t="s">
        <v>670</v>
      </c>
      <c r="AU198" s="102" t="str">
        <f>IFERROR(VLOOKUP(AG241,[2]Frota!$D$2:$AV$187,12,FALSE),"-")</f>
        <v>-</v>
      </c>
      <c r="AV198" s="109">
        <v>59965</v>
      </c>
      <c r="AW198" s="110">
        <v>411551</v>
      </c>
      <c r="AX198" s="106">
        <v>44678</v>
      </c>
      <c r="AY198" s="111" t="s">
        <v>130</v>
      </c>
      <c r="AZ198" s="105" t="s">
        <v>130</v>
      </c>
      <c r="BA198" s="112">
        <v>390928</v>
      </c>
      <c r="BB198" s="106">
        <v>45215</v>
      </c>
      <c r="BC198" s="105" t="s">
        <v>130</v>
      </c>
      <c r="BD198" s="105" t="s">
        <v>130</v>
      </c>
      <c r="BE198" s="113">
        <f t="shared" si="83"/>
        <v>390928</v>
      </c>
      <c r="BF198" s="113">
        <v>0</v>
      </c>
      <c r="BG198" s="113">
        <v>0</v>
      </c>
      <c r="BH198" s="113">
        <v>0</v>
      </c>
      <c r="BI198" s="113">
        <v>0</v>
      </c>
      <c r="BJ198" s="113">
        <v>0</v>
      </c>
      <c r="BK198" s="113">
        <v>0</v>
      </c>
      <c r="BL198" s="113">
        <v>0</v>
      </c>
      <c r="BM198" s="114">
        <f t="shared" si="90"/>
        <v>0</v>
      </c>
      <c r="BN198" s="113">
        <v>0</v>
      </c>
      <c r="BO198" s="113">
        <v>0</v>
      </c>
      <c r="BP198" s="113">
        <f>BN198+BO198</f>
        <v>0</v>
      </c>
      <c r="BQ198" s="113">
        <v>0</v>
      </c>
      <c r="BR198" s="113">
        <v>0</v>
      </c>
      <c r="BS198" s="105">
        <f t="shared" si="84"/>
        <v>6859.1833333333343</v>
      </c>
      <c r="BT198" s="115" t="s">
        <v>130</v>
      </c>
      <c r="BU198" s="115" t="s">
        <v>130</v>
      </c>
      <c r="BV198" s="115" t="s">
        <v>130</v>
      </c>
      <c r="BW198" s="154" t="s">
        <v>130</v>
      </c>
      <c r="BX198" s="117" t="s">
        <v>130</v>
      </c>
      <c r="BY198" s="102" t="s">
        <v>561</v>
      </c>
      <c r="BZ198" s="102" t="s">
        <v>561</v>
      </c>
      <c r="CA198" s="102" t="s">
        <v>130</v>
      </c>
      <c r="CB198" s="102" t="s">
        <v>130</v>
      </c>
      <c r="CC198" s="102" t="s">
        <v>130</v>
      </c>
      <c r="CD198" s="102" t="s">
        <v>130</v>
      </c>
      <c r="CE198" s="102" t="str">
        <f t="shared" si="85"/>
        <v>PARTICULAR - GIULIANA SALMAZZO</v>
      </c>
      <c r="CF198" s="118" t="s">
        <v>130</v>
      </c>
      <c r="CG198" s="118" t="s">
        <v>130</v>
      </c>
      <c r="CH198" s="119">
        <f t="shared" si="86"/>
        <v>0</v>
      </c>
      <c r="CI198" s="120" t="s">
        <v>130</v>
      </c>
      <c r="CJ198" s="121">
        <v>5</v>
      </c>
      <c r="CK198" s="121">
        <v>5</v>
      </c>
      <c r="CL198" s="121">
        <f t="shared" si="87"/>
        <v>60</v>
      </c>
      <c r="CM198" s="122">
        <f t="shared" si="88"/>
        <v>0</v>
      </c>
      <c r="CN198" s="88" t="str">
        <f>IFERROR(IF(VLOOKUP(AG198,'[1]ATIVOS SAGI'!C:D,1,FALSE)&lt;&gt;"","CADASTRADO","NÃO CADASTRADO"),"NÃO CADASTRADO")</f>
        <v>CADASTRADO</v>
      </c>
      <c r="CO198" s="99">
        <f t="shared" si="89"/>
        <v>0</v>
      </c>
      <c r="CP198" s="48" t="s">
        <v>48</v>
      </c>
      <c r="CQ198" s="100"/>
      <c r="CR198" s="100"/>
      <c r="CS198" s="100"/>
    </row>
    <row r="199" spans="1:97" x14ac:dyDescent="0.25">
      <c r="A199" s="27">
        <v>7</v>
      </c>
      <c r="B199" s="101">
        <v>46</v>
      </c>
      <c r="C199" s="102" t="s">
        <v>296</v>
      </c>
      <c r="D199" s="88" t="s">
        <v>49</v>
      </c>
      <c r="E199" s="88" t="s">
        <v>130</v>
      </c>
      <c r="F199" s="88" t="s">
        <v>130</v>
      </c>
      <c r="G199" s="88"/>
      <c r="H199" s="104" t="s">
        <v>130</v>
      </c>
      <c r="I199" s="102" t="s">
        <v>130</v>
      </c>
      <c r="J199" s="102" t="s">
        <v>130</v>
      </c>
      <c r="K199" s="102" t="s">
        <v>130</v>
      </c>
      <c r="L199" s="105" t="s">
        <v>130</v>
      </c>
      <c r="M199" s="106" t="s">
        <v>130</v>
      </c>
      <c r="N199" s="105" t="s">
        <v>130</v>
      </c>
      <c r="O199" s="106" t="s">
        <v>130</v>
      </c>
      <c r="P199" s="105" t="s">
        <v>130</v>
      </c>
      <c r="Q199" s="105" t="s">
        <v>130</v>
      </c>
      <c r="R199" s="105" t="s">
        <v>130</v>
      </c>
      <c r="S199" s="105" t="s">
        <v>130</v>
      </c>
      <c r="T199" s="105" t="s">
        <v>130</v>
      </c>
      <c r="U199" s="105" t="s">
        <v>130</v>
      </c>
      <c r="V199" s="105" t="s">
        <v>130</v>
      </c>
      <c r="W199" s="105" t="s">
        <v>130</v>
      </c>
      <c r="X199" s="105" t="s">
        <v>130</v>
      </c>
      <c r="Y199" s="105" t="s">
        <v>130</v>
      </c>
      <c r="Z199" s="105" t="s">
        <v>130</v>
      </c>
      <c r="AA199" s="105" t="s">
        <v>130</v>
      </c>
      <c r="AB199" s="105" t="s">
        <v>130</v>
      </c>
      <c r="AC199" s="105" t="s">
        <v>130</v>
      </c>
      <c r="AD199" s="105" t="s">
        <v>130</v>
      </c>
      <c r="AE199" s="102" t="s">
        <v>297</v>
      </c>
      <c r="AF199" s="102" t="s">
        <v>130</v>
      </c>
      <c r="AG199" s="88" t="s">
        <v>810</v>
      </c>
      <c r="AH199" s="102" t="s">
        <v>130</v>
      </c>
      <c r="AI199" s="107" t="str">
        <f>IFERROR(VLOOKUP(AG199,[2]Frota!$D$2:$AV$187,2,FALSE),"-")</f>
        <v>01246961994</v>
      </c>
      <c r="AJ199" s="107" t="str">
        <f>IFERROR(VLOOKUP(AG199,[2]Frota!$D$2:$AV$187,3,FALSE),"-")</f>
        <v>9BFZH55L2M8065784</v>
      </c>
      <c r="AK199" s="102" t="s">
        <v>549</v>
      </c>
      <c r="AL199" s="102" t="s">
        <v>811</v>
      </c>
      <c r="AM199" s="108">
        <v>2020</v>
      </c>
      <c r="AN199" s="108">
        <v>2021</v>
      </c>
      <c r="AO199" s="88" t="s">
        <v>560</v>
      </c>
      <c r="AP199" s="102" t="s">
        <v>805</v>
      </c>
      <c r="AQ199" s="88" t="s">
        <v>464</v>
      </c>
      <c r="AR199" s="89">
        <f>VLOOKUP(AQ199,'[1]Critério de Depreciação'!$C$3:$G$8,5,FALSE)</f>
        <v>1.6666666666666667</v>
      </c>
      <c r="AS199" s="102" t="s">
        <v>299</v>
      </c>
      <c r="AT199" s="102" t="s">
        <v>300</v>
      </c>
      <c r="AU199" s="102" t="str">
        <f>IFERROR(VLOOKUP(AG203,[2]Frota!$D$2:$AV$187,12,FALSE),"-")</f>
        <v>1.2.4.2</v>
      </c>
      <c r="AV199" s="109">
        <v>184552</v>
      </c>
      <c r="AW199" s="110">
        <v>47990</v>
      </c>
      <c r="AX199" s="106">
        <v>44159</v>
      </c>
      <c r="AY199" s="111" t="s">
        <v>130</v>
      </c>
      <c r="AZ199" s="105" t="s">
        <v>130</v>
      </c>
      <c r="BA199" s="112">
        <v>54420</v>
      </c>
      <c r="BB199" s="106">
        <v>45215</v>
      </c>
      <c r="BC199" s="105" t="s">
        <v>130</v>
      </c>
      <c r="BD199" s="105" t="s">
        <v>130</v>
      </c>
      <c r="BE199" s="113">
        <f t="shared" si="83"/>
        <v>54420</v>
      </c>
      <c r="BF199" s="113">
        <v>0</v>
      </c>
      <c r="BG199" s="113">
        <v>0</v>
      </c>
      <c r="BH199" s="113">
        <v>0</v>
      </c>
      <c r="BI199" s="113">
        <v>0</v>
      </c>
      <c r="BJ199" s="113">
        <v>0</v>
      </c>
      <c r="BK199" s="113">
        <v>0</v>
      </c>
      <c r="BL199" s="113">
        <v>0</v>
      </c>
      <c r="BM199" s="114">
        <f t="shared" si="90"/>
        <v>0</v>
      </c>
      <c r="BN199" s="113">
        <v>0</v>
      </c>
      <c r="BO199" s="113">
        <v>0</v>
      </c>
      <c r="BP199" s="113">
        <v>0</v>
      </c>
      <c r="BQ199" s="113">
        <v>0</v>
      </c>
      <c r="BR199" s="113">
        <v>0</v>
      </c>
      <c r="BS199" s="105">
        <f t="shared" si="84"/>
        <v>799.83333333333337</v>
      </c>
      <c r="BT199" s="153" t="s">
        <v>130</v>
      </c>
      <c r="BU199" s="153" t="s">
        <v>130</v>
      </c>
      <c r="BV199" s="153" t="s">
        <v>130</v>
      </c>
      <c r="BW199" s="154" t="s">
        <v>130</v>
      </c>
      <c r="BX199" s="153" t="s">
        <v>130</v>
      </c>
      <c r="BY199" s="102" t="s">
        <v>812</v>
      </c>
      <c r="BZ199" s="102" t="s">
        <v>812</v>
      </c>
      <c r="CA199" s="102" t="s">
        <v>130</v>
      </c>
      <c r="CB199" s="102" t="s">
        <v>130</v>
      </c>
      <c r="CC199" s="102" t="s">
        <v>130</v>
      </c>
      <c r="CD199" s="102" t="s">
        <v>130</v>
      </c>
      <c r="CE199" s="102" t="str">
        <f t="shared" si="85"/>
        <v>-</v>
      </c>
      <c r="CF199" s="118" t="s">
        <v>130</v>
      </c>
      <c r="CG199" s="118" t="s">
        <v>130</v>
      </c>
      <c r="CH199" s="119">
        <f t="shared" si="86"/>
        <v>0</v>
      </c>
      <c r="CI199" s="120" t="s">
        <v>130</v>
      </c>
      <c r="CJ199" s="121">
        <v>5</v>
      </c>
      <c r="CK199" s="121">
        <v>5</v>
      </c>
      <c r="CL199" s="121">
        <f t="shared" si="87"/>
        <v>60</v>
      </c>
      <c r="CM199" s="122">
        <f t="shared" si="88"/>
        <v>0</v>
      </c>
      <c r="CN199" s="88" t="str">
        <f>IFERROR(IF(VLOOKUP(AG199,'[1]ATIVOS SAGI'!C:D,1,FALSE)&lt;&gt;"","CADASTRADO","NÃO CADASTRADO"),"NÃO CADASTRADO")</f>
        <v>CADASTRADO</v>
      </c>
      <c r="CO199" s="99">
        <f t="shared" si="89"/>
        <v>0</v>
      </c>
      <c r="CP199" s="48" t="s">
        <v>48</v>
      </c>
      <c r="CQ199" s="100"/>
      <c r="CR199" s="100"/>
      <c r="CS199" s="100"/>
    </row>
    <row r="200" spans="1:97" x14ac:dyDescent="0.25">
      <c r="A200" s="27">
        <v>8</v>
      </c>
      <c r="B200" s="101">
        <v>47</v>
      </c>
      <c r="C200" s="102" t="s">
        <v>296</v>
      </c>
      <c r="D200" s="88" t="s">
        <v>49</v>
      </c>
      <c r="E200" s="88" t="s">
        <v>130</v>
      </c>
      <c r="F200" s="88" t="s">
        <v>130</v>
      </c>
      <c r="G200" s="88"/>
      <c r="H200" s="104" t="s">
        <v>130</v>
      </c>
      <c r="I200" s="102" t="s">
        <v>130</v>
      </c>
      <c r="J200" s="105">
        <v>0</v>
      </c>
      <c r="K200" s="105" t="s">
        <v>130</v>
      </c>
      <c r="L200" s="105">
        <v>0</v>
      </c>
      <c r="M200" s="106" t="s">
        <v>130</v>
      </c>
      <c r="N200" s="105">
        <v>0</v>
      </c>
      <c r="O200" s="106" t="s">
        <v>130</v>
      </c>
      <c r="P200" s="105">
        <v>0</v>
      </c>
      <c r="Q200" s="102" t="s">
        <v>80</v>
      </c>
      <c r="R200" s="105">
        <v>0</v>
      </c>
      <c r="S200" s="105">
        <v>0</v>
      </c>
      <c r="T200" s="105">
        <v>0</v>
      </c>
      <c r="U200" s="105" t="s">
        <v>130</v>
      </c>
      <c r="V200" s="105" t="s">
        <v>130</v>
      </c>
      <c r="W200" s="105" t="s">
        <v>130</v>
      </c>
      <c r="X200" s="105" t="s">
        <v>130</v>
      </c>
      <c r="Y200" s="105" t="s">
        <v>130</v>
      </c>
      <c r="Z200" s="105" t="s">
        <v>130</v>
      </c>
      <c r="AA200" s="105" t="s">
        <v>130</v>
      </c>
      <c r="AB200" s="105" t="s">
        <v>130</v>
      </c>
      <c r="AC200" s="105" t="s">
        <v>130</v>
      </c>
      <c r="AD200" s="105" t="s">
        <v>130</v>
      </c>
      <c r="AE200" s="102" t="s">
        <v>297</v>
      </c>
      <c r="AF200" s="102" t="s">
        <v>46</v>
      </c>
      <c r="AG200" s="88" t="s">
        <v>813</v>
      </c>
      <c r="AH200" s="102" t="s">
        <v>130</v>
      </c>
      <c r="AI200" s="107" t="str">
        <f>IFERROR(VLOOKUP(AG200,[2]Frota!$D$2:$AV$187,2,FALSE),"-")</f>
        <v>01187170426</v>
      </c>
      <c r="AJ200" s="107" t="str">
        <f>IFERROR(VLOOKUP(AG200,[2]Frota!$D$2:$AV$187,3,FALSE),"-")</f>
        <v>9BFZH55L8K8317907</v>
      </c>
      <c r="AK200" s="102" t="s">
        <v>549</v>
      </c>
      <c r="AL200" s="102" t="s">
        <v>811</v>
      </c>
      <c r="AM200" s="108">
        <v>2019</v>
      </c>
      <c r="AN200" s="108">
        <v>2019</v>
      </c>
      <c r="AO200" s="88" t="s">
        <v>560</v>
      </c>
      <c r="AP200" s="102" t="s">
        <v>805</v>
      </c>
      <c r="AQ200" s="88" t="s">
        <v>464</v>
      </c>
      <c r="AR200" s="89">
        <f>VLOOKUP(AQ200,'[1]Critério de Depreciação'!$C$3:$G$8,5,FALSE)</f>
        <v>1.6666666666666667</v>
      </c>
      <c r="AS200" s="102" t="s">
        <v>130</v>
      </c>
      <c r="AT200" s="102" t="s">
        <v>130</v>
      </c>
      <c r="AU200" s="102" t="str">
        <f>IFERROR(VLOOKUP(AG206,[2]Frota!$D$2:$AV$187,12,FALSE),"-")</f>
        <v>-</v>
      </c>
      <c r="AV200" s="155">
        <v>761806</v>
      </c>
      <c r="AW200" s="110">
        <v>41668.9</v>
      </c>
      <c r="AX200" s="106">
        <v>43546</v>
      </c>
      <c r="AY200" s="111" t="s">
        <v>130</v>
      </c>
      <c r="AZ200" s="105" t="s">
        <v>130</v>
      </c>
      <c r="BA200" s="112">
        <v>51251</v>
      </c>
      <c r="BB200" s="106">
        <v>45215</v>
      </c>
      <c r="BC200" s="105" t="s">
        <v>130</v>
      </c>
      <c r="BD200" s="105" t="s">
        <v>130</v>
      </c>
      <c r="BE200" s="113">
        <f t="shared" si="83"/>
        <v>51251</v>
      </c>
      <c r="BF200" s="113">
        <v>0</v>
      </c>
      <c r="BG200" s="113">
        <v>0</v>
      </c>
      <c r="BH200" s="113">
        <v>0</v>
      </c>
      <c r="BI200" s="113">
        <v>0</v>
      </c>
      <c r="BJ200" s="113">
        <v>0</v>
      </c>
      <c r="BK200" s="113">
        <v>0</v>
      </c>
      <c r="BL200" s="113">
        <v>0</v>
      </c>
      <c r="BM200" s="114">
        <f t="shared" si="90"/>
        <v>0</v>
      </c>
      <c r="BN200" s="113">
        <v>0</v>
      </c>
      <c r="BO200" s="113">
        <v>0</v>
      </c>
      <c r="BP200" s="113">
        <v>0</v>
      </c>
      <c r="BQ200" s="113">
        <v>0</v>
      </c>
      <c r="BR200" s="113">
        <v>0</v>
      </c>
      <c r="BS200" s="105">
        <f t="shared" si="84"/>
        <v>694.48166666666668</v>
      </c>
      <c r="BT200" s="153" t="s">
        <v>130</v>
      </c>
      <c r="BU200" s="153" t="s">
        <v>130</v>
      </c>
      <c r="BV200" s="153" t="s">
        <v>130</v>
      </c>
      <c r="BW200" s="154" t="s">
        <v>130</v>
      </c>
      <c r="BX200" s="153" t="s">
        <v>130</v>
      </c>
      <c r="BY200" s="102" t="s">
        <v>488</v>
      </c>
      <c r="BZ200" s="102" t="s">
        <v>488</v>
      </c>
      <c r="CA200" s="102" t="s">
        <v>130</v>
      </c>
      <c r="CB200" s="102" t="s">
        <v>130</v>
      </c>
      <c r="CC200" s="102" t="s">
        <v>130</v>
      </c>
      <c r="CD200" s="102" t="s">
        <v>130</v>
      </c>
      <c r="CE200" s="102" t="str">
        <f t="shared" si="85"/>
        <v>SP - PRUDENTE - SUCATA</v>
      </c>
      <c r="CF200" s="118" t="s">
        <v>130</v>
      </c>
      <c r="CG200" s="118" t="s">
        <v>130</v>
      </c>
      <c r="CH200" s="119">
        <f t="shared" si="86"/>
        <v>0</v>
      </c>
      <c r="CI200" s="120" t="s">
        <v>130</v>
      </c>
      <c r="CJ200" s="121">
        <v>5</v>
      </c>
      <c r="CK200" s="121">
        <v>5</v>
      </c>
      <c r="CL200" s="121">
        <f t="shared" si="87"/>
        <v>60</v>
      </c>
      <c r="CM200" s="122">
        <f t="shared" si="88"/>
        <v>0</v>
      </c>
      <c r="CN200" s="88" t="str">
        <f>IFERROR(IF(VLOOKUP(AG200,'[1]ATIVOS SAGI'!C:D,1,FALSE)&lt;&gt;"","CADASTRADO","NÃO CADASTRADO"),"NÃO CADASTRADO")</f>
        <v>CADASTRADO</v>
      </c>
      <c r="CO200" s="99">
        <f t="shared" si="89"/>
        <v>0</v>
      </c>
      <c r="CP200" s="48" t="s">
        <v>48</v>
      </c>
      <c r="CQ200" s="100"/>
      <c r="CR200" s="100"/>
      <c r="CS200" s="100"/>
    </row>
    <row r="201" spans="1:97" x14ac:dyDescent="0.25">
      <c r="A201" s="27">
        <v>9</v>
      </c>
      <c r="B201" s="101">
        <v>49</v>
      </c>
      <c r="C201" s="102" t="s">
        <v>296</v>
      </c>
      <c r="D201" s="88" t="s">
        <v>49</v>
      </c>
      <c r="E201" s="88" t="s">
        <v>130</v>
      </c>
      <c r="F201" s="88" t="s">
        <v>130</v>
      </c>
      <c r="G201" s="88"/>
      <c r="H201" s="104" t="s">
        <v>130</v>
      </c>
      <c r="I201" s="102" t="s">
        <v>130</v>
      </c>
      <c r="J201" s="105">
        <f>L201+N201</f>
        <v>2085.58</v>
      </c>
      <c r="K201" s="105" t="s">
        <v>130</v>
      </c>
      <c r="L201" s="105">
        <v>167.74</v>
      </c>
      <c r="M201" s="106">
        <v>45672</v>
      </c>
      <c r="N201" s="105">
        <v>1917.84</v>
      </c>
      <c r="O201" s="106">
        <v>45705</v>
      </c>
      <c r="P201" s="105">
        <v>1977.16</v>
      </c>
      <c r="Q201" s="102" t="s">
        <v>570</v>
      </c>
      <c r="R201" s="105">
        <v>477.82</v>
      </c>
      <c r="S201" s="105">
        <v>0</v>
      </c>
      <c r="T201" s="105">
        <v>0</v>
      </c>
      <c r="U201" s="105" t="s">
        <v>130</v>
      </c>
      <c r="V201" s="105" t="s">
        <v>130</v>
      </c>
      <c r="W201" s="105" t="s">
        <v>130</v>
      </c>
      <c r="X201" s="105" t="s">
        <v>130</v>
      </c>
      <c r="Y201" s="105" t="s">
        <v>130</v>
      </c>
      <c r="Z201" s="105" t="s">
        <v>130</v>
      </c>
      <c r="AA201" s="105" t="s">
        <v>130</v>
      </c>
      <c r="AB201" s="105" t="s">
        <v>130</v>
      </c>
      <c r="AC201" s="105" t="s">
        <v>130</v>
      </c>
      <c r="AD201" s="105" t="s">
        <v>130</v>
      </c>
      <c r="AE201" s="102" t="s">
        <v>297</v>
      </c>
      <c r="AF201" s="102" t="s">
        <v>814</v>
      </c>
      <c r="AG201" s="88" t="s">
        <v>815</v>
      </c>
      <c r="AH201" s="102" t="s">
        <v>130</v>
      </c>
      <c r="AI201" s="107" t="str">
        <f>IFERROR(VLOOKUP(AG201,[2]Frota!$D$2:$AV$187,2,FALSE),"-")</f>
        <v>01240094881</v>
      </c>
      <c r="AJ201" s="107" t="str">
        <f>IFERROR(VLOOKUP(AG201,[2]Frota!$D$2:$AV$187,3,FALSE),"-")</f>
        <v>9BFZH55L9M8057472</v>
      </c>
      <c r="AK201" s="102" t="s">
        <v>549</v>
      </c>
      <c r="AL201" s="102" t="s">
        <v>811</v>
      </c>
      <c r="AM201" s="108">
        <v>2020</v>
      </c>
      <c r="AN201" s="108">
        <v>2021</v>
      </c>
      <c r="AO201" s="88" t="s">
        <v>560</v>
      </c>
      <c r="AP201" s="102" t="s">
        <v>805</v>
      </c>
      <c r="AQ201" s="88" t="s">
        <v>464</v>
      </c>
      <c r="AR201" s="89">
        <f>VLOOKUP(AQ201,'[1]Critério de Depreciação'!$C$3:$G$8,5,FALSE)</f>
        <v>1.6666666666666667</v>
      </c>
      <c r="AS201" s="102" t="s">
        <v>299</v>
      </c>
      <c r="AT201" s="102" t="s">
        <v>300</v>
      </c>
      <c r="AU201" s="102" t="str">
        <f>IFERROR(VLOOKUP(#REF!,[2]Frota!$D$2:$AV$187,12,FALSE),"-")</f>
        <v>-</v>
      </c>
      <c r="AV201" s="109">
        <v>181589</v>
      </c>
      <c r="AW201" s="110">
        <v>45990</v>
      </c>
      <c r="AX201" s="106">
        <v>44098</v>
      </c>
      <c r="AY201" s="111" t="s">
        <v>130</v>
      </c>
      <c r="AZ201" s="105" t="s">
        <v>130</v>
      </c>
      <c r="BA201" s="112">
        <v>54420</v>
      </c>
      <c r="BB201" s="106">
        <v>45215</v>
      </c>
      <c r="BC201" s="105" t="s">
        <v>130</v>
      </c>
      <c r="BD201" s="105" t="s">
        <v>130</v>
      </c>
      <c r="BE201" s="113">
        <f t="shared" si="83"/>
        <v>54420</v>
      </c>
      <c r="BF201" s="113">
        <v>0</v>
      </c>
      <c r="BG201" s="113">
        <v>50129</v>
      </c>
      <c r="BH201" s="113">
        <v>0</v>
      </c>
      <c r="BI201" s="113">
        <v>0</v>
      </c>
      <c r="BJ201" s="113">
        <v>0</v>
      </c>
      <c r="BK201" s="113">
        <v>0</v>
      </c>
      <c r="BL201" s="113">
        <v>0</v>
      </c>
      <c r="BM201" s="114">
        <f t="shared" si="90"/>
        <v>50129</v>
      </c>
      <c r="BN201" s="113">
        <v>0</v>
      </c>
      <c r="BO201" s="113">
        <v>0</v>
      </c>
      <c r="BP201" s="113">
        <f>BN201+BO201</f>
        <v>0</v>
      </c>
      <c r="BQ201" s="113">
        <v>0</v>
      </c>
      <c r="BR201" s="113">
        <v>0</v>
      </c>
      <c r="BS201" s="105">
        <f t="shared" si="84"/>
        <v>766.5</v>
      </c>
      <c r="BT201" s="153">
        <v>69.900000000000006</v>
      </c>
      <c r="BU201" s="153" t="s">
        <v>130</v>
      </c>
      <c r="BV201" s="153" t="s">
        <v>130</v>
      </c>
      <c r="BW201" s="154" t="s">
        <v>130</v>
      </c>
      <c r="BX201" s="180" t="s">
        <v>816</v>
      </c>
      <c r="BY201" s="102" t="s">
        <v>312</v>
      </c>
      <c r="BZ201" s="102" t="s">
        <v>312</v>
      </c>
      <c r="CA201" s="102" t="s">
        <v>130</v>
      </c>
      <c r="CB201" s="102" t="s">
        <v>130</v>
      </c>
      <c r="CC201" s="102" t="s">
        <v>130</v>
      </c>
      <c r="CD201" s="102" t="s">
        <v>314</v>
      </c>
      <c r="CE201" s="102" t="str">
        <f t="shared" si="85"/>
        <v>JULIO SANTANA</v>
      </c>
      <c r="CF201" s="118" t="s">
        <v>130</v>
      </c>
      <c r="CG201" s="118" t="s">
        <v>130</v>
      </c>
      <c r="CH201" s="119">
        <f t="shared" si="86"/>
        <v>50129</v>
      </c>
      <c r="CI201" s="120" t="s">
        <v>130</v>
      </c>
      <c r="CJ201" s="121">
        <v>5</v>
      </c>
      <c r="CK201" s="121">
        <v>5</v>
      </c>
      <c r="CL201" s="121">
        <f t="shared" si="87"/>
        <v>60</v>
      </c>
      <c r="CM201" s="122">
        <f t="shared" si="88"/>
        <v>1670.9666666666667</v>
      </c>
      <c r="CN201" s="88" t="str">
        <f>IFERROR(IF(VLOOKUP(AG201,'[1]ATIVOS SAGI'!C:D,1,FALSE)&lt;&gt;"","CADASTRADO","NÃO CADASTRADO"),"NÃO CADASTRADO")</f>
        <v>CADASTRADO</v>
      </c>
      <c r="CO201" s="99">
        <f t="shared" si="89"/>
        <v>835.48333333333346</v>
      </c>
      <c r="CP201" s="48" t="s">
        <v>48</v>
      </c>
      <c r="CQ201" s="100"/>
      <c r="CR201" s="100"/>
      <c r="CS201" s="100"/>
    </row>
    <row r="202" spans="1:97" x14ac:dyDescent="0.25">
      <c r="A202" s="27">
        <v>10</v>
      </c>
      <c r="B202" s="101">
        <v>50</v>
      </c>
      <c r="C202" s="102" t="s">
        <v>296</v>
      </c>
      <c r="D202" s="88" t="s">
        <v>49</v>
      </c>
      <c r="E202" s="88" t="s">
        <v>130</v>
      </c>
      <c r="F202" s="40" t="s">
        <v>130</v>
      </c>
      <c r="G202" s="88"/>
      <c r="H202" s="104" t="s">
        <v>130</v>
      </c>
      <c r="I202" s="102" t="s">
        <v>130</v>
      </c>
      <c r="J202" s="102" t="s">
        <v>130</v>
      </c>
      <c r="K202" s="102" t="s">
        <v>130</v>
      </c>
      <c r="L202" s="105" t="s">
        <v>130</v>
      </c>
      <c r="M202" s="106" t="s">
        <v>130</v>
      </c>
      <c r="N202" s="105" t="s">
        <v>130</v>
      </c>
      <c r="O202" s="106" t="s">
        <v>130</v>
      </c>
      <c r="P202" s="105" t="s">
        <v>130</v>
      </c>
      <c r="Q202" s="105" t="s">
        <v>130</v>
      </c>
      <c r="R202" s="105" t="s">
        <v>130</v>
      </c>
      <c r="S202" s="105" t="s">
        <v>130</v>
      </c>
      <c r="T202" s="105" t="s">
        <v>130</v>
      </c>
      <c r="U202" s="105" t="s">
        <v>130</v>
      </c>
      <c r="V202" s="105" t="s">
        <v>130</v>
      </c>
      <c r="W202" s="105" t="s">
        <v>130</v>
      </c>
      <c r="X202" s="105" t="s">
        <v>130</v>
      </c>
      <c r="Y202" s="105" t="s">
        <v>130</v>
      </c>
      <c r="Z202" s="105" t="s">
        <v>130</v>
      </c>
      <c r="AA202" s="105" t="s">
        <v>130</v>
      </c>
      <c r="AB202" s="105" t="s">
        <v>130</v>
      </c>
      <c r="AC202" s="105" t="s">
        <v>130</v>
      </c>
      <c r="AD202" s="105" t="s">
        <v>130</v>
      </c>
      <c r="AE202" s="102" t="s">
        <v>297</v>
      </c>
      <c r="AF202" s="102" t="s">
        <v>130</v>
      </c>
      <c r="AG202" s="88" t="s">
        <v>817</v>
      </c>
      <c r="AH202" s="102" t="s">
        <v>130</v>
      </c>
      <c r="AI202" s="107" t="str">
        <f>IFERROR(VLOOKUP(AG202,[2]Frota!$D$2:$AV$187,2,FALSE),"-")</f>
        <v>01187164841</v>
      </c>
      <c r="AJ202" s="107" t="str">
        <f>IFERROR(VLOOKUP(AG202,[2]Frota!$D$2:$AV$187,3,FALSE),"-")</f>
        <v>9BFZH55L1K8334323</v>
      </c>
      <c r="AK202" s="102" t="s">
        <v>549</v>
      </c>
      <c r="AL202" s="102" t="s">
        <v>811</v>
      </c>
      <c r="AM202" s="108">
        <v>2019</v>
      </c>
      <c r="AN202" s="108">
        <v>2019</v>
      </c>
      <c r="AO202" s="88" t="s">
        <v>560</v>
      </c>
      <c r="AP202" s="102" t="s">
        <v>805</v>
      </c>
      <c r="AQ202" s="88" t="s">
        <v>464</v>
      </c>
      <c r="AR202" s="89">
        <f>VLOOKUP(AQ202,'[1]Critério de Depreciação'!$C$3:$G$8,5,FALSE)</f>
        <v>1.6666666666666667</v>
      </c>
      <c r="AS202" s="102" t="s">
        <v>299</v>
      </c>
      <c r="AT202" s="102" t="s">
        <v>300</v>
      </c>
      <c r="AU202" s="102" t="str">
        <f>IFERROR(VLOOKUP(#REF!,[2]Frota!$D$2:$AV$187,12,FALSE),"-")</f>
        <v>-</v>
      </c>
      <c r="AV202" s="109">
        <v>761818</v>
      </c>
      <c r="AW202" s="110">
        <v>41668.9</v>
      </c>
      <c r="AX202" s="106">
        <v>43546</v>
      </c>
      <c r="AY202" s="111" t="s">
        <v>130</v>
      </c>
      <c r="AZ202" s="105" t="s">
        <v>130</v>
      </c>
      <c r="BA202" s="112">
        <v>51251</v>
      </c>
      <c r="BB202" s="106">
        <v>45215</v>
      </c>
      <c r="BC202" s="105" t="s">
        <v>130</v>
      </c>
      <c r="BD202" s="105" t="s">
        <v>130</v>
      </c>
      <c r="BE202" s="113">
        <f t="shared" si="83"/>
        <v>51251</v>
      </c>
      <c r="BF202" s="113">
        <v>0</v>
      </c>
      <c r="BG202" s="113">
        <v>0</v>
      </c>
      <c r="BH202" s="113">
        <v>0</v>
      </c>
      <c r="BI202" s="113">
        <v>0</v>
      </c>
      <c r="BJ202" s="113">
        <v>0</v>
      </c>
      <c r="BK202" s="113">
        <v>0</v>
      </c>
      <c r="BL202" s="113">
        <v>0</v>
      </c>
      <c r="BM202" s="114">
        <f t="shared" si="90"/>
        <v>0</v>
      </c>
      <c r="BN202" s="113">
        <v>0</v>
      </c>
      <c r="BO202" s="113">
        <v>0</v>
      </c>
      <c r="BP202" s="113">
        <v>0</v>
      </c>
      <c r="BQ202" s="113">
        <v>0</v>
      </c>
      <c r="BR202" s="113">
        <v>0</v>
      </c>
      <c r="BS202" s="105">
        <f t="shared" si="84"/>
        <v>694.48166666666668</v>
      </c>
      <c r="BT202" s="153" t="s">
        <v>130</v>
      </c>
      <c r="BU202" s="153" t="s">
        <v>130</v>
      </c>
      <c r="BV202" s="153" t="s">
        <v>130</v>
      </c>
      <c r="BW202" s="154" t="s">
        <v>130</v>
      </c>
      <c r="BX202" s="153" t="s">
        <v>130</v>
      </c>
      <c r="BY202" s="102" t="s">
        <v>818</v>
      </c>
      <c r="BZ202" s="102" t="s">
        <v>818</v>
      </c>
      <c r="CA202" s="102" t="s">
        <v>130</v>
      </c>
      <c r="CB202" s="102" t="s">
        <v>130</v>
      </c>
      <c r="CC202" s="102" t="s">
        <v>130</v>
      </c>
      <c r="CD202" s="102" t="s">
        <v>130</v>
      </c>
      <c r="CE202" s="102" t="str">
        <f t="shared" si="85"/>
        <v>-</v>
      </c>
      <c r="CF202" s="118" t="s">
        <v>130</v>
      </c>
      <c r="CG202" s="118" t="s">
        <v>130</v>
      </c>
      <c r="CH202" s="119">
        <f t="shared" si="86"/>
        <v>0</v>
      </c>
      <c r="CI202" s="120" t="s">
        <v>130</v>
      </c>
      <c r="CJ202" s="121">
        <v>5</v>
      </c>
      <c r="CK202" s="121">
        <v>5</v>
      </c>
      <c r="CL202" s="121">
        <f t="shared" si="87"/>
        <v>60</v>
      </c>
      <c r="CM202" s="122">
        <f t="shared" si="88"/>
        <v>0</v>
      </c>
      <c r="CN202" s="88" t="str">
        <f>IFERROR(IF(VLOOKUP(AG202,'[1]ATIVOS SAGI'!C:D,1,FALSE)&lt;&gt;"","CADASTRADO","NÃO CADASTRADO"),"NÃO CADASTRADO")</f>
        <v>CADASTRADO</v>
      </c>
      <c r="CO202" s="99">
        <f t="shared" si="89"/>
        <v>0</v>
      </c>
      <c r="CP202" s="48" t="s">
        <v>48</v>
      </c>
      <c r="CQ202" s="100"/>
      <c r="CR202" s="100"/>
      <c r="CS202" s="100"/>
    </row>
    <row r="203" spans="1:97" x14ac:dyDescent="0.25">
      <c r="A203" s="27">
        <v>11</v>
      </c>
      <c r="B203" s="101">
        <v>51</v>
      </c>
      <c r="C203" s="102" t="s">
        <v>296</v>
      </c>
      <c r="D203" s="88" t="s">
        <v>49</v>
      </c>
      <c r="E203" s="88" t="s">
        <v>130</v>
      </c>
      <c r="F203" s="88" t="s">
        <v>130</v>
      </c>
      <c r="G203" s="88"/>
      <c r="H203" s="104" t="s">
        <v>130</v>
      </c>
      <c r="I203" s="102" t="s">
        <v>130</v>
      </c>
      <c r="J203" s="102" t="s">
        <v>130</v>
      </c>
      <c r="K203" s="102" t="s">
        <v>130</v>
      </c>
      <c r="L203" s="105" t="s">
        <v>130</v>
      </c>
      <c r="M203" s="106" t="s">
        <v>130</v>
      </c>
      <c r="N203" s="105" t="s">
        <v>130</v>
      </c>
      <c r="O203" s="106" t="s">
        <v>130</v>
      </c>
      <c r="P203" s="105" t="s">
        <v>130</v>
      </c>
      <c r="Q203" s="105" t="s">
        <v>130</v>
      </c>
      <c r="R203" s="105" t="s">
        <v>130</v>
      </c>
      <c r="S203" s="105" t="s">
        <v>130</v>
      </c>
      <c r="T203" s="105" t="s">
        <v>130</v>
      </c>
      <c r="U203" s="105" t="s">
        <v>130</v>
      </c>
      <c r="V203" s="105" t="s">
        <v>130</v>
      </c>
      <c r="W203" s="105" t="s">
        <v>130</v>
      </c>
      <c r="X203" s="105" t="s">
        <v>130</v>
      </c>
      <c r="Y203" s="105" t="s">
        <v>130</v>
      </c>
      <c r="Z203" s="105" t="s">
        <v>130</v>
      </c>
      <c r="AA203" s="105" t="s">
        <v>130</v>
      </c>
      <c r="AB203" s="105" t="s">
        <v>130</v>
      </c>
      <c r="AC203" s="105" t="s">
        <v>130</v>
      </c>
      <c r="AD203" s="105" t="s">
        <v>130</v>
      </c>
      <c r="AE203" s="102" t="s">
        <v>297</v>
      </c>
      <c r="AF203" s="102" t="s">
        <v>130</v>
      </c>
      <c r="AG203" s="88" t="s">
        <v>819</v>
      </c>
      <c r="AH203" s="102" t="s">
        <v>130</v>
      </c>
      <c r="AI203" s="107" t="str">
        <f>IFERROR(VLOOKUP(AG203,[2]Frota!$D$2:$AV$187,2,FALSE),"-")</f>
        <v>01246962230</v>
      </c>
      <c r="AJ203" s="107" t="str">
        <f>IFERROR(VLOOKUP(AG203,[2]Frota!$D$2:$AV$187,3,FALSE),"-")</f>
        <v>9BFZH55L4M8075085</v>
      </c>
      <c r="AK203" s="102" t="s">
        <v>549</v>
      </c>
      <c r="AL203" s="102" t="s">
        <v>811</v>
      </c>
      <c r="AM203" s="108">
        <v>2020</v>
      </c>
      <c r="AN203" s="108">
        <v>2021</v>
      </c>
      <c r="AO203" s="88" t="s">
        <v>560</v>
      </c>
      <c r="AP203" s="102" t="s">
        <v>805</v>
      </c>
      <c r="AQ203" s="88" t="s">
        <v>464</v>
      </c>
      <c r="AR203" s="89">
        <f>VLOOKUP(AQ203,'[1]Critério de Depreciação'!$C$3:$G$8,5,FALSE)</f>
        <v>1.6666666666666667</v>
      </c>
      <c r="AS203" s="102" t="s">
        <v>299</v>
      </c>
      <c r="AT203" s="102" t="s">
        <v>300</v>
      </c>
      <c r="AU203" s="102" t="str">
        <f>IFERROR(VLOOKUP(#REF!,[2]Frota!$D$2:$AV$187,12,FALSE),"-")</f>
        <v>-</v>
      </c>
      <c r="AV203" s="109">
        <v>184553</v>
      </c>
      <c r="AW203" s="110">
        <v>47990</v>
      </c>
      <c r="AX203" s="106">
        <v>44159</v>
      </c>
      <c r="AY203" s="111" t="s">
        <v>130</v>
      </c>
      <c r="AZ203" s="105" t="s">
        <v>130</v>
      </c>
      <c r="BA203" s="112">
        <v>54420</v>
      </c>
      <c r="BB203" s="106">
        <v>45215</v>
      </c>
      <c r="BC203" s="105" t="s">
        <v>130</v>
      </c>
      <c r="BD203" s="105" t="s">
        <v>130</v>
      </c>
      <c r="BE203" s="113">
        <f t="shared" si="83"/>
        <v>54420</v>
      </c>
      <c r="BF203" s="113">
        <v>0</v>
      </c>
      <c r="BG203" s="113">
        <v>0</v>
      </c>
      <c r="BH203" s="113">
        <v>0</v>
      </c>
      <c r="BI203" s="113">
        <v>0</v>
      </c>
      <c r="BJ203" s="113">
        <v>0</v>
      </c>
      <c r="BK203" s="113">
        <v>0</v>
      </c>
      <c r="BL203" s="113">
        <v>0</v>
      </c>
      <c r="BM203" s="114">
        <f t="shared" si="90"/>
        <v>0</v>
      </c>
      <c r="BN203" s="113">
        <v>0</v>
      </c>
      <c r="BO203" s="113">
        <v>0</v>
      </c>
      <c r="BP203" s="113">
        <v>0</v>
      </c>
      <c r="BQ203" s="113">
        <v>0</v>
      </c>
      <c r="BR203" s="113">
        <v>0</v>
      </c>
      <c r="BS203" s="105">
        <f t="shared" si="84"/>
        <v>799.83333333333337</v>
      </c>
      <c r="BT203" s="153" t="s">
        <v>130</v>
      </c>
      <c r="BU203" s="153" t="s">
        <v>130</v>
      </c>
      <c r="BV203" s="153" t="s">
        <v>130</v>
      </c>
      <c r="BW203" s="154" t="s">
        <v>130</v>
      </c>
      <c r="BX203" s="153" t="s">
        <v>130</v>
      </c>
      <c r="BY203" s="102" t="s">
        <v>820</v>
      </c>
      <c r="BZ203" s="102" t="s">
        <v>820</v>
      </c>
      <c r="CA203" s="102" t="s">
        <v>130</v>
      </c>
      <c r="CB203" s="102" t="s">
        <v>130</v>
      </c>
      <c r="CC203" s="102" t="s">
        <v>130</v>
      </c>
      <c r="CD203" s="102" t="s">
        <v>130</v>
      </c>
      <c r="CE203" s="102" t="str">
        <f t="shared" si="85"/>
        <v>-</v>
      </c>
      <c r="CF203" s="118" t="s">
        <v>130</v>
      </c>
      <c r="CG203" s="118" t="s">
        <v>130</v>
      </c>
      <c r="CH203" s="119">
        <f t="shared" si="86"/>
        <v>0</v>
      </c>
      <c r="CI203" s="120" t="s">
        <v>130</v>
      </c>
      <c r="CJ203" s="121">
        <v>5</v>
      </c>
      <c r="CK203" s="121">
        <v>5</v>
      </c>
      <c r="CL203" s="121">
        <f t="shared" si="87"/>
        <v>60</v>
      </c>
      <c r="CM203" s="122">
        <f t="shared" si="88"/>
        <v>0</v>
      </c>
      <c r="CN203" s="88" t="str">
        <f>IFERROR(IF(VLOOKUP(AG203,'[1]ATIVOS SAGI'!C:D,1,FALSE)&lt;&gt;"","CADASTRADO","NÃO CADASTRADO"),"NÃO CADASTRADO")</f>
        <v>CADASTRADO</v>
      </c>
      <c r="CO203" s="99">
        <f t="shared" si="89"/>
        <v>0</v>
      </c>
      <c r="CP203" s="48" t="s">
        <v>48</v>
      </c>
      <c r="CQ203" s="100"/>
      <c r="CR203" s="100"/>
      <c r="CS203" s="100"/>
    </row>
    <row r="204" spans="1:97" x14ac:dyDescent="0.25">
      <c r="A204" s="27">
        <v>12</v>
      </c>
      <c r="B204" s="27">
        <v>52</v>
      </c>
      <c r="C204" s="29" t="s">
        <v>296</v>
      </c>
      <c r="D204" s="40" t="s">
        <v>49</v>
      </c>
      <c r="E204" s="40" t="s">
        <v>130</v>
      </c>
      <c r="F204" s="88" t="s">
        <v>130</v>
      </c>
      <c r="G204" s="84" t="s">
        <v>48</v>
      </c>
      <c r="H204" s="41" t="s">
        <v>130</v>
      </c>
      <c r="I204" s="29" t="s">
        <v>130</v>
      </c>
      <c r="J204" s="85">
        <f>L204+N204</f>
        <v>3512.88</v>
      </c>
      <c r="K204" s="85" t="s">
        <v>130</v>
      </c>
      <c r="L204" s="85">
        <v>167.74</v>
      </c>
      <c r="M204" s="86">
        <v>45671</v>
      </c>
      <c r="N204" s="85">
        <v>3345.14</v>
      </c>
      <c r="O204" s="86">
        <v>45702</v>
      </c>
      <c r="P204" s="85">
        <v>3448.6</v>
      </c>
      <c r="Q204" s="29" t="s">
        <v>570</v>
      </c>
      <c r="R204" s="85">
        <v>1195.24</v>
      </c>
      <c r="S204" s="85">
        <v>0</v>
      </c>
      <c r="T204" s="85">
        <v>0</v>
      </c>
      <c r="U204" s="105">
        <v>3359.84</v>
      </c>
      <c r="V204" s="105">
        <v>3259.04</v>
      </c>
      <c r="W204" s="106">
        <v>46035</v>
      </c>
      <c r="X204" s="106">
        <v>46066</v>
      </c>
      <c r="Y204" s="105">
        <v>174.08</v>
      </c>
      <c r="Z204" s="105">
        <f>U204+Y204</f>
        <v>3533.92</v>
      </c>
      <c r="AA204" s="105">
        <f>V204+Y204</f>
        <v>3433.12</v>
      </c>
      <c r="AB204" s="105">
        <v>0</v>
      </c>
      <c r="AC204" s="105">
        <v>0</v>
      </c>
      <c r="AD204" s="105">
        <v>0</v>
      </c>
      <c r="AE204" s="29" t="s">
        <v>821</v>
      </c>
      <c r="AF204" s="29" t="s">
        <v>822</v>
      </c>
      <c r="AG204" s="40" t="s">
        <v>823</v>
      </c>
      <c r="AH204" s="29" t="s">
        <v>468</v>
      </c>
      <c r="AI204" s="87" t="str">
        <f>IFERROR(VLOOKUP(AG204,[2]Frota!$D$2:$AV$187,2,FALSE),"-")</f>
        <v>01296861179</v>
      </c>
      <c r="AJ204" s="87" t="str">
        <f>IFERROR(VLOOKUP(AG204,[2]Frota!$D$2:$AV$187,3,FALSE),"-")</f>
        <v>9BWAH5BZ5NP035742</v>
      </c>
      <c r="AK204" s="29" t="s">
        <v>563</v>
      </c>
      <c r="AL204" s="29" t="s">
        <v>824</v>
      </c>
      <c r="AM204" s="34">
        <v>2022</v>
      </c>
      <c r="AN204" s="34">
        <v>2022</v>
      </c>
      <c r="AO204" s="40" t="s">
        <v>560</v>
      </c>
      <c r="AP204" s="29" t="s">
        <v>805</v>
      </c>
      <c r="AQ204" s="88" t="s">
        <v>464</v>
      </c>
      <c r="AR204" s="89">
        <f>VLOOKUP(AQ204,'[1]Critério de Depreciação'!$C$3:$G$8,5,FALSE)</f>
        <v>1.6666666666666667</v>
      </c>
      <c r="AS204" s="29" t="s">
        <v>299</v>
      </c>
      <c r="AT204" s="29" t="s">
        <v>300</v>
      </c>
      <c r="AU204" s="29" t="str">
        <f>IFERROR(VLOOKUP(AG248,[2]Frota!$D$2:$AV$187,12,FALSE),"-")</f>
        <v>-</v>
      </c>
      <c r="AV204" s="45">
        <v>188487</v>
      </c>
      <c r="AW204" s="90">
        <v>106500</v>
      </c>
      <c r="AX204" s="86">
        <v>44676</v>
      </c>
      <c r="AY204" s="91" t="s">
        <v>130</v>
      </c>
      <c r="AZ204" s="85" t="s">
        <v>130</v>
      </c>
      <c r="BA204" s="123">
        <v>99209</v>
      </c>
      <c r="BB204" s="86">
        <v>45215</v>
      </c>
      <c r="BC204" s="85" t="s">
        <v>130</v>
      </c>
      <c r="BD204" s="85" t="s">
        <v>130</v>
      </c>
      <c r="BE204" s="92">
        <f t="shared" si="83"/>
        <v>99209</v>
      </c>
      <c r="BF204" s="92">
        <v>0</v>
      </c>
      <c r="BG204" s="92">
        <v>112632</v>
      </c>
      <c r="BH204" s="92">
        <v>0</v>
      </c>
      <c r="BI204" s="92">
        <v>0</v>
      </c>
      <c r="BJ204" s="92">
        <v>0</v>
      </c>
      <c r="BK204" s="92">
        <v>0</v>
      </c>
      <c r="BL204" s="92">
        <v>0</v>
      </c>
      <c r="BM204" s="93">
        <f t="shared" si="90"/>
        <v>112632</v>
      </c>
      <c r="BN204" s="92">
        <v>0</v>
      </c>
      <c r="BO204" s="92">
        <v>0</v>
      </c>
      <c r="BP204" s="92">
        <f>BN204+BO204</f>
        <v>0</v>
      </c>
      <c r="BQ204" s="92">
        <v>0</v>
      </c>
      <c r="BR204" s="92">
        <v>0</v>
      </c>
      <c r="BS204" s="85">
        <f t="shared" si="84"/>
        <v>1775</v>
      </c>
      <c r="BT204" s="94">
        <v>69.900000000000006</v>
      </c>
      <c r="BU204" s="94" t="s">
        <v>130</v>
      </c>
      <c r="BV204" s="94" t="s">
        <v>130</v>
      </c>
      <c r="BW204" s="95" t="s">
        <v>130</v>
      </c>
      <c r="BX204" s="96" t="s">
        <v>816</v>
      </c>
      <c r="BY204" s="29" t="s">
        <v>825</v>
      </c>
      <c r="BZ204" s="29" t="s">
        <v>825</v>
      </c>
      <c r="CA204" s="29" t="s">
        <v>130</v>
      </c>
      <c r="CB204" s="29" t="s">
        <v>130</v>
      </c>
      <c r="CC204" s="29" t="s">
        <v>130</v>
      </c>
      <c r="CD204" s="29" t="s">
        <v>826</v>
      </c>
      <c r="CE204" s="29" t="str">
        <f t="shared" si="85"/>
        <v>JOSÉ ANGELO</v>
      </c>
      <c r="CF204" s="97" t="s">
        <v>130</v>
      </c>
      <c r="CG204" s="97" t="s">
        <v>130</v>
      </c>
      <c r="CH204" s="37">
        <f t="shared" si="86"/>
        <v>112632</v>
      </c>
      <c r="CI204" s="98" t="s">
        <v>130</v>
      </c>
      <c r="CJ204" s="39">
        <v>5</v>
      </c>
      <c r="CK204" s="39">
        <v>5</v>
      </c>
      <c r="CL204" s="39">
        <f t="shared" si="87"/>
        <v>60</v>
      </c>
      <c r="CM204" s="99">
        <f t="shared" si="88"/>
        <v>3754.4</v>
      </c>
      <c r="CN204" s="40" t="str">
        <f>IFERROR(IF(VLOOKUP(AG204,'[1]ATIVOS SAGI'!C:D,1,FALSE)&lt;&gt;"","CADASTRADO","NÃO CADASTRADO"),"NÃO CADASTRADO")</f>
        <v>CADASTRADO</v>
      </c>
      <c r="CO204" s="99">
        <f t="shared" si="89"/>
        <v>1877.2</v>
      </c>
      <c r="CP204" s="48" t="s">
        <v>48</v>
      </c>
      <c r="CQ204" s="100"/>
      <c r="CR204" s="100"/>
      <c r="CS204" s="100"/>
    </row>
    <row r="205" spans="1:97" x14ac:dyDescent="0.25">
      <c r="A205" s="27">
        <v>13</v>
      </c>
      <c r="B205" s="101">
        <v>53</v>
      </c>
      <c r="C205" s="102" t="s">
        <v>296</v>
      </c>
      <c r="D205" s="88" t="s">
        <v>49</v>
      </c>
      <c r="E205" s="88" t="s">
        <v>130</v>
      </c>
      <c r="F205" s="88" t="s">
        <v>130</v>
      </c>
      <c r="G205" s="88"/>
      <c r="H205" s="104" t="s">
        <v>130</v>
      </c>
      <c r="I205" s="102" t="s">
        <v>130</v>
      </c>
      <c r="J205" s="102" t="s">
        <v>130</v>
      </c>
      <c r="K205" s="102" t="s">
        <v>130</v>
      </c>
      <c r="L205" s="105" t="s">
        <v>130</v>
      </c>
      <c r="M205" s="106" t="s">
        <v>130</v>
      </c>
      <c r="N205" s="105" t="s">
        <v>130</v>
      </c>
      <c r="O205" s="106" t="s">
        <v>130</v>
      </c>
      <c r="P205" s="105" t="s">
        <v>130</v>
      </c>
      <c r="Q205" s="105" t="s">
        <v>130</v>
      </c>
      <c r="R205" s="105" t="s">
        <v>130</v>
      </c>
      <c r="S205" s="105" t="s">
        <v>130</v>
      </c>
      <c r="T205" s="105" t="s">
        <v>130</v>
      </c>
      <c r="U205" s="105" t="s">
        <v>130</v>
      </c>
      <c r="V205" s="105" t="s">
        <v>130</v>
      </c>
      <c r="W205" s="105" t="s">
        <v>130</v>
      </c>
      <c r="X205" s="105" t="s">
        <v>130</v>
      </c>
      <c r="Y205" s="105" t="s">
        <v>130</v>
      </c>
      <c r="Z205" s="105" t="s">
        <v>130</v>
      </c>
      <c r="AA205" s="105" t="s">
        <v>130</v>
      </c>
      <c r="AB205" s="105" t="s">
        <v>130</v>
      </c>
      <c r="AC205" s="105" t="s">
        <v>130</v>
      </c>
      <c r="AD205" s="105" t="s">
        <v>130</v>
      </c>
      <c r="AE205" s="102" t="s">
        <v>297</v>
      </c>
      <c r="AF205" s="102" t="s">
        <v>130</v>
      </c>
      <c r="AG205" s="88" t="s">
        <v>827</v>
      </c>
      <c r="AH205" s="102" t="s">
        <v>130</v>
      </c>
      <c r="AI205" s="107" t="str">
        <f>IFERROR(VLOOKUP(AG205,[2]Frota!$D$2:$AV$187,2,FALSE),"-")</f>
        <v>01292091247</v>
      </c>
      <c r="AJ205" s="107" t="str">
        <f>IFERROR(VLOOKUP(AG205,[2]Frota!$D$2:$AV$187,3,FALSE),"-")</f>
        <v>9BWAH5BZ0NP033123</v>
      </c>
      <c r="AK205" s="102" t="s">
        <v>563</v>
      </c>
      <c r="AL205" s="102" t="s">
        <v>824</v>
      </c>
      <c r="AM205" s="108">
        <v>2022</v>
      </c>
      <c r="AN205" s="108">
        <v>2022</v>
      </c>
      <c r="AO205" s="88" t="s">
        <v>560</v>
      </c>
      <c r="AP205" s="102" t="s">
        <v>805</v>
      </c>
      <c r="AQ205" s="88" t="s">
        <v>464</v>
      </c>
      <c r="AR205" s="89">
        <f>VLOOKUP(AQ205,'[1]Critério de Depreciação'!$C$3:$G$8,5,FALSE)</f>
        <v>1.6666666666666667</v>
      </c>
      <c r="AS205" s="102" t="s">
        <v>308</v>
      </c>
      <c r="AT205" s="102" t="s">
        <v>300</v>
      </c>
      <c r="AU205" s="102" t="str">
        <f>IFERROR(VLOOKUP(#REF!,[2]Frota!$D$2:$AV$187,12,FALSE),"-")</f>
        <v>-</v>
      </c>
      <c r="AV205" s="109">
        <v>186908</v>
      </c>
      <c r="AW205" s="110">
        <v>106500</v>
      </c>
      <c r="AX205" s="106">
        <v>44629</v>
      </c>
      <c r="AY205" s="111" t="s">
        <v>130</v>
      </c>
      <c r="AZ205" s="105" t="s">
        <v>130</v>
      </c>
      <c r="BA205" s="112">
        <v>99209</v>
      </c>
      <c r="BB205" s="106">
        <v>45215</v>
      </c>
      <c r="BC205" s="105" t="s">
        <v>130</v>
      </c>
      <c r="BD205" s="105" t="s">
        <v>130</v>
      </c>
      <c r="BE205" s="113">
        <f t="shared" si="83"/>
        <v>99209</v>
      </c>
      <c r="BF205" s="113">
        <v>0</v>
      </c>
      <c r="BG205" s="113">
        <v>0</v>
      </c>
      <c r="BH205" s="113">
        <v>0</v>
      </c>
      <c r="BI205" s="113">
        <v>0</v>
      </c>
      <c r="BJ205" s="113">
        <v>0</v>
      </c>
      <c r="BK205" s="113">
        <v>0</v>
      </c>
      <c r="BL205" s="113">
        <v>0</v>
      </c>
      <c r="BM205" s="114">
        <f t="shared" si="90"/>
        <v>0</v>
      </c>
      <c r="BN205" s="113">
        <v>0</v>
      </c>
      <c r="BO205" s="113">
        <v>0</v>
      </c>
      <c r="BP205" s="113">
        <v>0</v>
      </c>
      <c r="BQ205" s="113">
        <v>0</v>
      </c>
      <c r="BR205" s="113">
        <v>0</v>
      </c>
      <c r="BS205" s="105">
        <f t="shared" si="84"/>
        <v>1775</v>
      </c>
      <c r="BT205" s="153" t="s">
        <v>130</v>
      </c>
      <c r="BU205" s="153" t="s">
        <v>130</v>
      </c>
      <c r="BV205" s="153" t="s">
        <v>130</v>
      </c>
      <c r="BW205" s="154" t="s">
        <v>130</v>
      </c>
      <c r="BX205" s="153" t="s">
        <v>130</v>
      </c>
      <c r="BY205" s="102" t="s">
        <v>828</v>
      </c>
      <c r="BZ205" s="102" t="s">
        <v>828</v>
      </c>
      <c r="CA205" s="102" t="s">
        <v>130</v>
      </c>
      <c r="CB205" s="102" t="s">
        <v>130</v>
      </c>
      <c r="CC205" s="102" t="s">
        <v>130</v>
      </c>
      <c r="CD205" s="102" t="s">
        <v>130</v>
      </c>
      <c r="CE205" s="102" t="str">
        <f t="shared" si="85"/>
        <v>-</v>
      </c>
      <c r="CF205" s="118" t="s">
        <v>130</v>
      </c>
      <c r="CG205" s="118" t="s">
        <v>130</v>
      </c>
      <c r="CH205" s="119">
        <f t="shared" si="86"/>
        <v>0</v>
      </c>
      <c r="CI205" s="120" t="s">
        <v>130</v>
      </c>
      <c r="CJ205" s="121">
        <v>5</v>
      </c>
      <c r="CK205" s="121">
        <v>5</v>
      </c>
      <c r="CL205" s="121">
        <f t="shared" si="87"/>
        <v>60</v>
      </c>
      <c r="CM205" s="122">
        <f t="shared" si="88"/>
        <v>0</v>
      </c>
      <c r="CN205" s="88" t="str">
        <f>IFERROR(IF(VLOOKUP(AG205,'[1]ATIVOS SAGI'!C:D,1,FALSE)&lt;&gt;"","CADASTRADO","NÃO CADASTRADO"),"NÃO CADASTRADO")</f>
        <v>CADASTRADO</v>
      </c>
      <c r="CO205" s="99">
        <f t="shared" si="89"/>
        <v>0</v>
      </c>
      <c r="CP205" s="48" t="s">
        <v>48</v>
      </c>
      <c r="CQ205" s="100"/>
      <c r="CR205" s="100"/>
      <c r="CS205" s="100"/>
    </row>
    <row r="206" spans="1:97" x14ac:dyDescent="0.25">
      <c r="A206" s="27">
        <v>14</v>
      </c>
      <c r="B206" s="101">
        <v>54</v>
      </c>
      <c r="C206" s="102" t="s">
        <v>296</v>
      </c>
      <c r="D206" s="88" t="s">
        <v>49</v>
      </c>
      <c r="E206" s="88" t="s">
        <v>130</v>
      </c>
      <c r="F206" s="88" t="s">
        <v>130</v>
      </c>
      <c r="G206" s="88"/>
      <c r="H206" s="104" t="s">
        <v>130</v>
      </c>
      <c r="I206" s="102" t="s">
        <v>130</v>
      </c>
      <c r="J206" s="105">
        <f>L206+N206</f>
        <v>3635.6000000000004</v>
      </c>
      <c r="K206" s="105" t="s">
        <v>130</v>
      </c>
      <c r="L206" s="105">
        <v>167.74</v>
      </c>
      <c r="M206" s="106">
        <v>45681</v>
      </c>
      <c r="N206" s="105">
        <v>3467.86</v>
      </c>
      <c r="O206" s="106">
        <v>45712</v>
      </c>
      <c r="P206" s="105">
        <v>3575.12</v>
      </c>
      <c r="Q206" s="102" t="s">
        <v>570</v>
      </c>
      <c r="R206" s="105">
        <v>3716.99</v>
      </c>
      <c r="S206" s="105">
        <v>0</v>
      </c>
      <c r="T206" s="105">
        <v>0</v>
      </c>
      <c r="U206" s="105" t="s">
        <v>130</v>
      </c>
      <c r="V206" s="105" t="s">
        <v>130</v>
      </c>
      <c r="W206" s="105" t="s">
        <v>130</v>
      </c>
      <c r="X206" s="105" t="s">
        <v>130</v>
      </c>
      <c r="Y206" s="105" t="s">
        <v>130</v>
      </c>
      <c r="Z206" s="105" t="s">
        <v>130</v>
      </c>
      <c r="AA206" s="105" t="s">
        <v>130</v>
      </c>
      <c r="AB206" s="105" t="s">
        <v>130</v>
      </c>
      <c r="AC206" s="105" t="s">
        <v>130</v>
      </c>
      <c r="AD206" s="105" t="s">
        <v>130</v>
      </c>
      <c r="AE206" s="102" t="s">
        <v>297</v>
      </c>
      <c r="AF206" s="102" t="s">
        <v>57</v>
      </c>
      <c r="AG206" s="88" t="s">
        <v>829</v>
      </c>
      <c r="AH206" s="102" t="s">
        <v>130</v>
      </c>
      <c r="AI206" s="107" t="str">
        <f>IFERROR(VLOOKUP(AG206,[2]Frota!$D$2:$AV$187,2,FALSE),"-")</f>
        <v>01366104690</v>
      </c>
      <c r="AJ206" s="107" t="str">
        <f>IFERROR(VLOOKUP(AG206,[2]Frota!$D$2:$AV$187,3,FALSE),"-")</f>
        <v>9BWAH5BZ7RT626037</v>
      </c>
      <c r="AK206" s="102" t="s">
        <v>563</v>
      </c>
      <c r="AL206" s="102" t="s">
        <v>830</v>
      </c>
      <c r="AM206" s="108">
        <v>2023</v>
      </c>
      <c r="AN206" s="108">
        <v>2024</v>
      </c>
      <c r="AO206" s="88" t="s">
        <v>560</v>
      </c>
      <c r="AP206" s="102" t="s">
        <v>805</v>
      </c>
      <c r="AQ206" s="88" t="s">
        <v>464</v>
      </c>
      <c r="AR206" s="89">
        <f>VLOOKUP(AQ206,'[1]Critério de Depreciação'!$C$3:$G$8,5,FALSE)</f>
        <v>1.6666666666666667</v>
      </c>
      <c r="AS206" s="102" t="s">
        <v>299</v>
      </c>
      <c r="AT206" s="102" t="s">
        <v>300</v>
      </c>
      <c r="AU206" s="102" t="str">
        <f>IFERROR(VLOOKUP(AG251,[2]Frota!$D$2:$AV$187,12,FALSE),"-")</f>
        <v>-</v>
      </c>
      <c r="AV206" s="155">
        <v>520275</v>
      </c>
      <c r="AW206" s="110">
        <v>99805.89</v>
      </c>
      <c r="AX206" s="106">
        <v>45195</v>
      </c>
      <c r="AY206" s="111" t="s">
        <v>130</v>
      </c>
      <c r="AZ206" s="105" t="s">
        <v>130</v>
      </c>
      <c r="BA206" s="112">
        <f>AW206</f>
        <v>99805.89</v>
      </c>
      <c r="BB206" s="106" t="s">
        <v>130</v>
      </c>
      <c r="BC206" s="105" t="s">
        <v>130</v>
      </c>
      <c r="BD206" s="105" t="s">
        <v>130</v>
      </c>
      <c r="BE206" s="113">
        <f t="shared" si="83"/>
        <v>99805.89</v>
      </c>
      <c r="BF206" s="113">
        <v>0</v>
      </c>
      <c r="BG206" s="113">
        <v>124783</v>
      </c>
      <c r="BH206" s="113">
        <v>0</v>
      </c>
      <c r="BI206" s="113">
        <v>0</v>
      </c>
      <c r="BJ206" s="113">
        <v>0</v>
      </c>
      <c r="BK206" s="113">
        <v>0</v>
      </c>
      <c r="BL206" s="113">
        <v>0</v>
      </c>
      <c r="BM206" s="114">
        <f t="shared" si="90"/>
        <v>124783</v>
      </c>
      <c r="BN206" s="113">
        <v>0</v>
      </c>
      <c r="BO206" s="113">
        <v>0</v>
      </c>
      <c r="BP206" s="113">
        <f t="shared" ref="BP206:BP211" si="91">BN206+BO206</f>
        <v>0</v>
      </c>
      <c r="BQ206" s="113">
        <v>0</v>
      </c>
      <c r="BR206" s="113">
        <v>0</v>
      </c>
      <c r="BS206" s="105">
        <f t="shared" si="84"/>
        <v>1663.4314999999999</v>
      </c>
      <c r="BT206" s="153">
        <v>69.900000000000006</v>
      </c>
      <c r="BU206" s="153" t="s">
        <v>130</v>
      </c>
      <c r="BV206" s="153" t="s">
        <v>130</v>
      </c>
      <c r="BW206" s="154" t="s">
        <v>130</v>
      </c>
      <c r="BX206" s="180" t="s">
        <v>816</v>
      </c>
      <c r="BY206" s="102" t="s">
        <v>130</v>
      </c>
      <c r="BZ206" s="102" t="s">
        <v>130</v>
      </c>
      <c r="CA206" s="102" t="s">
        <v>130</v>
      </c>
      <c r="CB206" s="102" t="s">
        <v>130</v>
      </c>
      <c r="CC206" s="102" t="s">
        <v>130</v>
      </c>
      <c r="CD206" s="102" t="s">
        <v>812</v>
      </c>
      <c r="CE206" s="102" t="str">
        <f t="shared" si="85"/>
        <v>PR - LONDRINA</v>
      </c>
      <c r="CF206" s="118" t="s">
        <v>130</v>
      </c>
      <c r="CG206" s="118" t="s">
        <v>130</v>
      </c>
      <c r="CH206" s="119">
        <f t="shared" si="86"/>
        <v>124783</v>
      </c>
      <c r="CI206" s="120" t="s">
        <v>130</v>
      </c>
      <c r="CJ206" s="121">
        <v>5</v>
      </c>
      <c r="CK206" s="121">
        <v>5</v>
      </c>
      <c r="CL206" s="121">
        <f t="shared" si="87"/>
        <v>60</v>
      </c>
      <c r="CM206" s="122">
        <f t="shared" si="88"/>
        <v>4159.4333333333334</v>
      </c>
      <c r="CN206" s="88" t="str">
        <f>IFERROR(IF(VLOOKUP(AG206,'[1]ATIVOS SAGI'!C:D,1,FALSE)&lt;&gt;"","CADASTRADO","NÃO CADASTRADO"),"NÃO CADASTRADO")</f>
        <v>CADASTRADO</v>
      </c>
      <c r="CO206" s="99">
        <f t="shared" si="89"/>
        <v>2079.7166666666667</v>
      </c>
      <c r="CP206" s="48" t="s">
        <v>48</v>
      </c>
      <c r="CQ206" s="100"/>
      <c r="CR206" s="100"/>
      <c r="CS206" s="100"/>
    </row>
    <row r="207" spans="1:97" x14ac:dyDescent="0.25">
      <c r="A207" s="27">
        <v>15</v>
      </c>
      <c r="B207" s="101">
        <v>55</v>
      </c>
      <c r="C207" s="102" t="s">
        <v>296</v>
      </c>
      <c r="D207" s="88" t="s">
        <v>49</v>
      </c>
      <c r="E207" s="88" t="s">
        <v>130</v>
      </c>
      <c r="F207" s="88" t="s">
        <v>130</v>
      </c>
      <c r="G207" s="88"/>
      <c r="H207" s="104" t="s">
        <v>130</v>
      </c>
      <c r="I207" s="102" t="s">
        <v>130</v>
      </c>
      <c r="J207" s="105">
        <f>L207+N207</f>
        <v>3635.6000000000004</v>
      </c>
      <c r="K207" s="105" t="s">
        <v>130</v>
      </c>
      <c r="L207" s="105">
        <v>167.74</v>
      </c>
      <c r="M207" s="106">
        <v>45674</v>
      </c>
      <c r="N207" s="105">
        <v>3467.86</v>
      </c>
      <c r="O207" s="106">
        <v>45705</v>
      </c>
      <c r="P207" s="105">
        <v>3575.12</v>
      </c>
      <c r="Q207" s="102" t="s">
        <v>570</v>
      </c>
      <c r="R207" s="105">
        <v>1201.69</v>
      </c>
      <c r="S207" s="105">
        <v>0</v>
      </c>
      <c r="T207" s="105">
        <v>0</v>
      </c>
      <c r="U207" s="105" t="s">
        <v>130</v>
      </c>
      <c r="V207" s="105" t="s">
        <v>130</v>
      </c>
      <c r="W207" s="105" t="s">
        <v>130</v>
      </c>
      <c r="X207" s="105" t="s">
        <v>130</v>
      </c>
      <c r="Y207" s="105" t="s">
        <v>130</v>
      </c>
      <c r="Z207" s="105" t="s">
        <v>130</v>
      </c>
      <c r="AA207" s="105" t="s">
        <v>130</v>
      </c>
      <c r="AB207" s="105" t="s">
        <v>130</v>
      </c>
      <c r="AC207" s="105" t="s">
        <v>130</v>
      </c>
      <c r="AD207" s="105" t="s">
        <v>130</v>
      </c>
      <c r="AE207" s="102" t="s">
        <v>297</v>
      </c>
      <c r="AF207" s="102" t="s">
        <v>831</v>
      </c>
      <c r="AG207" s="88" t="s">
        <v>832</v>
      </c>
      <c r="AH207" s="102" t="s">
        <v>468</v>
      </c>
      <c r="AI207" s="107" t="str">
        <f>IFERROR(VLOOKUP(AG207,[2]Frota!$D$2:$AV$187,2,FALSE),"-")</f>
        <v>01365749824</v>
      </c>
      <c r="AJ207" s="107" t="str">
        <f>IFERROR(VLOOKUP(AG207,[2]Frota!$D$2:$AV$187,3,FALSE),"-")</f>
        <v>9BWAH5BZ6RT625638</v>
      </c>
      <c r="AK207" s="102" t="s">
        <v>563</v>
      </c>
      <c r="AL207" s="102" t="s">
        <v>830</v>
      </c>
      <c r="AM207" s="108">
        <v>2023</v>
      </c>
      <c r="AN207" s="108">
        <v>2024</v>
      </c>
      <c r="AO207" s="88" t="s">
        <v>560</v>
      </c>
      <c r="AP207" s="102" t="s">
        <v>805</v>
      </c>
      <c r="AQ207" s="88" t="s">
        <v>464</v>
      </c>
      <c r="AR207" s="89">
        <f>VLOOKUP(AQ207,'[1]Critério de Depreciação'!$C$3:$G$8,5,FALSE)</f>
        <v>1.6666666666666667</v>
      </c>
      <c r="AS207" s="102" t="s">
        <v>299</v>
      </c>
      <c r="AT207" s="102" t="s">
        <v>300</v>
      </c>
      <c r="AU207" s="102" t="str">
        <f>IFERROR(VLOOKUP(AG252,[2]Frota!$D$2:$AV$187,12,FALSE),"-")</f>
        <v>-</v>
      </c>
      <c r="AV207" s="155">
        <v>520275</v>
      </c>
      <c r="AW207" s="110">
        <v>99805.89</v>
      </c>
      <c r="AX207" s="106">
        <v>45197</v>
      </c>
      <c r="AY207" s="111" t="s">
        <v>130</v>
      </c>
      <c r="AZ207" s="105" t="s">
        <v>130</v>
      </c>
      <c r="BA207" s="112">
        <f>AW207</f>
        <v>99805.89</v>
      </c>
      <c r="BB207" s="106" t="s">
        <v>130</v>
      </c>
      <c r="BC207" s="105" t="s">
        <v>130</v>
      </c>
      <c r="BD207" s="105" t="s">
        <v>130</v>
      </c>
      <c r="BE207" s="113">
        <f t="shared" si="83"/>
        <v>99805.89</v>
      </c>
      <c r="BF207" s="113">
        <v>0</v>
      </c>
      <c r="BG207" s="113">
        <v>124783</v>
      </c>
      <c r="BH207" s="113">
        <v>0</v>
      </c>
      <c r="BI207" s="113">
        <v>0</v>
      </c>
      <c r="BJ207" s="113">
        <v>0</v>
      </c>
      <c r="BK207" s="113">
        <v>0</v>
      </c>
      <c r="BL207" s="113">
        <v>0</v>
      </c>
      <c r="BM207" s="114">
        <f t="shared" si="90"/>
        <v>124783</v>
      </c>
      <c r="BN207" s="113">
        <v>0</v>
      </c>
      <c r="BO207" s="113">
        <v>0</v>
      </c>
      <c r="BP207" s="113">
        <f t="shared" si="91"/>
        <v>0</v>
      </c>
      <c r="BQ207" s="113">
        <v>0</v>
      </c>
      <c r="BR207" s="113">
        <v>0</v>
      </c>
      <c r="BS207" s="105">
        <f t="shared" si="84"/>
        <v>1663.4314999999999</v>
      </c>
      <c r="BT207" s="153">
        <v>69.900000000000006</v>
      </c>
      <c r="BU207" s="153" t="s">
        <v>130</v>
      </c>
      <c r="BV207" s="153" t="s">
        <v>130</v>
      </c>
      <c r="BW207" s="154" t="s">
        <v>130</v>
      </c>
      <c r="BX207" s="180" t="s">
        <v>816</v>
      </c>
      <c r="BY207" s="29" t="s">
        <v>130</v>
      </c>
      <c r="BZ207" s="29" t="s">
        <v>130</v>
      </c>
      <c r="CA207" s="29" t="s">
        <v>130</v>
      </c>
      <c r="CB207" s="29" t="s">
        <v>130</v>
      </c>
      <c r="CC207" s="29" t="s">
        <v>130</v>
      </c>
      <c r="CD207" s="29" t="s">
        <v>828</v>
      </c>
      <c r="CE207" s="29" t="str">
        <f t="shared" si="85"/>
        <v>CHICO</v>
      </c>
      <c r="CF207" s="118" t="s">
        <v>130</v>
      </c>
      <c r="CG207" s="118" t="s">
        <v>130</v>
      </c>
      <c r="CH207" s="119">
        <f t="shared" si="86"/>
        <v>124783</v>
      </c>
      <c r="CI207" s="120" t="s">
        <v>130</v>
      </c>
      <c r="CJ207" s="121">
        <v>5</v>
      </c>
      <c r="CK207" s="121">
        <v>5</v>
      </c>
      <c r="CL207" s="121">
        <f t="shared" si="87"/>
        <v>60</v>
      </c>
      <c r="CM207" s="122">
        <f t="shared" si="88"/>
        <v>4159.4333333333334</v>
      </c>
      <c r="CN207" s="88" t="str">
        <f>IFERROR(IF(VLOOKUP(AG207,'[1]ATIVOS SAGI'!C:D,1,FALSE)&lt;&gt;"","CADASTRADO","NÃO CADASTRADO"),"NÃO CADASTRADO")</f>
        <v>CADASTRADO</v>
      </c>
      <c r="CO207" s="99">
        <f t="shared" si="89"/>
        <v>2079.7166666666667</v>
      </c>
      <c r="CP207" s="48" t="s">
        <v>48</v>
      </c>
      <c r="CQ207" s="100"/>
      <c r="CR207" s="100"/>
      <c r="CS207" s="100"/>
    </row>
    <row r="208" spans="1:97" x14ac:dyDescent="0.25">
      <c r="A208" s="27">
        <v>16</v>
      </c>
      <c r="B208" s="101">
        <v>204</v>
      </c>
      <c r="C208" s="102" t="s">
        <v>296</v>
      </c>
      <c r="D208" s="88" t="s">
        <v>49</v>
      </c>
      <c r="E208" s="88" t="s">
        <v>130</v>
      </c>
      <c r="F208" s="40" t="s">
        <v>80</v>
      </c>
      <c r="G208" s="88"/>
      <c r="H208" s="104" t="s">
        <v>130</v>
      </c>
      <c r="I208" s="102" t="s">
        <v>130</v>
      </c>
      <c r="J208" s="105">
        <f>L208+N208</f>
        <v>3999.7</v>
      </c>
      <c r="K208" s="105" t="s">
        <v>466</v>
      </c>
      <c r="L208" s="105">
        <v>167.74</v>
      </c>
      <c r="M208" s="106">
        <v>45672</v>
      </c>
      <c r="N208" s="105">
        <v>3831.96</v>
      </c>
      <c r="O208" s="106">
        <v>45705</v>
      </c>
      <c r="P208" s="105">
        <v>3950.48</v>
      </c>
      <c r="Q208" s="102" t="s">
        <v>570</v>
      </c>
      <c r="R208" s="105">
        <v>104.12</v>
      </c>
      <c r="S208" s="105">
        <v>0</v>
      </c>
      <c r="T208" s="105">
        <v>0</v>
      </c>
      <c r="U208" s="105" t="s">
        <v>130</v>
      </c>
      <c r="V208" s="105" t="s">
        <v>130</v>
      </c>
      <c r="W208" s="105" t="s">
        <v>130</v>
      </c>
      <c r="X208" s="105" t="s">
        <v>130</v>
      </c>
      <c r="Y208" s="105" t="s">
        <v>130</v>
      </c>
      <c r="Z208" s="105" t="s">
        <v>130</v>
      </c>
      <c r="AA208" s="105" t="s">
        <v>130</v>
      </c>
      <c r="AB208" s="105" t="s">
        <v>130</v>
      </c>
      <c r="AC208" s="105" t="s">
        <v>130</v>
      </c>
      <c r="AD208" s="105" t="s">
        <v>130</v>
      </c>
      <c r="AE208" s="102" t="s">
        <v>297</v>
      </c>
      <c r="AF208" s="102" t="s">
        <v>833</v>
      </c>
      <c r="AG208" s="88" t="s">
        <v>834</v>
      </c>
      <c r="AH208" s="102" t="s">
        <v>468</v>
      </c>
      <c r="AI208" s="177" t="s">
        <v>835</v>
      </c>
      <c r="AJ208" s="107" t="s">
        <v>836</v>
      </c>
      <c r="AK208" s="102" t="s">
        <v>563</v>
      </c>
      <c r="AL208" s="102" t="s">
        <v>830</v>
      </c>
      <c r="AM208" s="108">
        <v>2024</v>
      </c>
      <c r="AN208" s="108">
        <v>2025</v>
      </c>
      <c r="AO208" s="88" t="s">
        <v>560</v>
      </c>
      <c r="AP208" s="102" t="s">
        <v>805</v>
      </c>
      <c r="AQ208" s="88" t="s">
        <v>464</v>
      </c>
      <c r="AR208" s="89">
        <f>VLOOKUP(AQ208,'[1]Critério de Depreciação'!$C$3:$G$8,5,FALSE)</f>
        <v>1.6666666666666667</v>
      </c>
      <c r="AS208" s="102" t="s">
        <v>299</v>
      </c>
      <c r="AT208" s="102" t="s">
        <v>300</v>
      </c>
      <c r="AU208" s="102" t="str">
        <f>IFERROR(VLOOKUP(#REF!,[2]Frota!$D$2:$AV$187,12,FALSE),"-")</f>
        <v>-</v>
      </c>
      <c r="AV208" s="155" t="s">
        <v>130</v>
      </c>
      <c r="AW208" s="110">
        <v>0</v>
      </c>
      <c r="AX208" s="106" t="s">
        <v>130</v>
      </c>
      <c r="AY208" s="111" t="s">
        <v>130</v>
      </c>
      <c r="AZ208" s="105" t="s">
        <v>130</v>
      </c>
      <c r="BA208" s="112" t="s">
        <v>130</v>
      </c>
      <c r="BB208" s="106" t="s">
        <v>130</v>
      </c>
      <c r="BC208" s="105" t="s">
        <v>130</v>
      </c>
      <c r="BD208" s="105" t="s">
        <v>130</v>
      </c>
      <c r="BE208" s="113">
        <f t="shared" si="83"/>
        <v>0</v>
      </c>
      <c r="BF208" s="113">
        <v>0</v>
      </c>
      <c r="BG208" s="113">
        <v>130852</v>
      </c>
      <c r="BH208" s="113">
        <v>0</v>
      </c>
      <c r="BI208" s="113">
        <v>0</v>
      </c>
      <c r="BJ208" s="113">
        <v>0</v>
      </c>
      <c r="BK208" s="113">
        <v>0</v>
      </c>
      <c r="BL208" s="113">
        <v>0</v>
      </c>
      <c r="BM208" s="114">
        <f t="shared" si="90"/>
        <v>130852</v>
      </c>
      <c r="BN208" s="113">
        <v>0</v>
      </c>
      <c r="BO208" s="113">
        <v>0</v>
      </c>
      <c r="BP208" s="113">
        <f t="shared" si="91"/>
        <v>0</v>
      </c>
      <c r="BQ208" s="113">
        <v>0</v>
      </c>
      <c r="BR208" s="113">
        <v>0</v>
      </c>
      <c r="BS208" s="105">
        <f t="shared" si="84"/>
        <v>0</v>
      </c>
      <c r="BT208" s="153">
        <v>69.900000000000006</v>
      </c>
      <c r="BU208" s="153" t="s">
        <v>130</v>
      </c>
      <c r="BV208" s="153" t="s">
        <v>130</v>
      </c>
      <c r="BW208" s="154" t="s">
        <v>130</v>
      </c>
      <c r="BX208" s="180" t="s">
        <v>130</v>
      </c>
      <c r="BY208" s="29" t="s">
        <v>130</v>
      </c>
      <c r="BZ208" s="29" t="s">
        <v>130</v>
      </c>
      <c r="CA208" s="29" t="s">
        <v>130</v>
      </c>
      <c r="CB208" s="29" t="s">
        <v>130</v>
      </c>
      <c r="CC208" s="29" t="s">
        <v>130</v>
      </c>
      <c r="CD208" s="29" t="s">
        <v>825</v>
      </c>
      <c r="CE208" s="29" t="str">
        <f t="shared" si="85"/>
        <v>MARCONDES</v>
      </c>
      <c r="CF208" s="118" t="s">
        <v>130</v>
      </c>
      <c r="CG208" s="118" t="s">
        <v>130</v>
      </c>
      <c r="CH208" s="119">
        <f t="shared" si="86"/>
        <v>130852</v>
      </c>
      <c r="CI208" s="120" t="s">
        <v>130</v>
      </c>
      <c r="CJ208" s="121">
        <v>5</v>
      </c>
      <c r="CK208" s="121">
        <v>5</v>
      </c>
      <c r="CL208" s="121">
        <f t="shared" si="87"/>
        <v>60</v>
      </c>
      <c r="CM208" s="122">
        <f t="shared" si="88"/>
        <v>4361.7333333333336</v>
      </c>
      <c r="CN208" s="88" t="str">
        <f>IFERROR(IF(VLOOKUP(AG208,'[1]ATIVOS SAGI'!C:D,1,FALSE)&lt;&gt;"","CADASTRADO","NÃO CADASTRADO"),"NÃO CADASTRADO")</f>
        <v>NÃO CADASTRADO</v>
      </c>
      <c r="CO208" s="99">
        <f t="shared" si="89"/>
        <v>2180.8666666666668</v>
      </c>
      <c r="CP208" s="48" t="s">
        <v>48</v>
      </c>
      <c r="CQ208" s="100"/>
      <c r="CR208" s="100"/>
      <c r="CS208" s="100"/>
    </row>
    <row r="209" spans="1:97" x14ac:dyDescent="0.25">
      <c r="A209" s="27">
        <v>182</v>
      </c>
      <c r="B209" s="101">
        <v>196</v>
      </c>
      <c r="C209" s="102" t="s">
        <v>130</v>
      </c>
      <c r="D209" s="88" t="s">
        <v>49</v>
      </c>
      <c r="E209" s="88" t="s">
        <v>130</v>
      </c>
      <c r="F209" s="40" t="s">
        <v>130</v>
      </c>
      <c r="G209" s="88"/>
      <c r="H209" s="104" t="s">
        <v>130</v>
      </c>
      <c r="I209" s="102" t="s">
        <v>130</v>
      </c>
      <c r="J209" s="105">
        <f>L209+N209</f>
        <v>2044.84</v>
      </c>
      <c r="K209" s="105" t="s">
        <v>466</v>
      </c>
      <c r="L209" s="105">
        <v>167.74</v>
      </c>
      <c r="M209" s="106">
        <v>45680</v>
      </c>
      <c r="N209" s="105">
        <v>1877.1</v>
      </c>
      <c r="O209" s="106">
        <v>45712</v>
      </c>
      <c r="P209" s="105">
        <v>1935.16</v>
      </c>
      <c r="Q209" s="105" t="s">
        <v>570</v>
      </c>
      <c r="R209" s="105">
        <v>1199.76</v>
      </c>
      <c r="S209" s="105">
        <v>0</v>
      </c>
      <c r="T209" s="105">
        <v>0</v>
      </c>
      <c r="U209" s="105" t="s">
        <v>130</v>
      </c>
      <c r="V209" s="105" t="s">
        <v>130</v>
      </c>
      <c r="W209" s="105" t="s">
        <v>130</v>
      </c>
      <c r="X209" s="105" t="s">
        <v>130</v>
      </c>
      <c r="Y209" s="105" t="s">
        <v>130</v>
      </c>
      <c r="Z209" s="105" t="s">
        <v>130</v>
      </c>
      <c r="AA209" s="105" t="s">
        <v>130</v>
      </c>
      <c r="AB209" s="105" t="s">
        <v>130</v>
      </c>
      <c r="AC209" s="105" t="s">
        <v>130</v>
      </c>
      <c r="AD209" s="105" t="s">
        <v>130</v>
      </c>
      <c r="AE209" s="102" t="s">
        <v>297</v>
      </c>
      <c r="AF209" s="102" t="s">
        <v>59</v>
      </c>
      <c r="AG209" s="88" t="s">
        <v>837</v>
      </c>
      <c r="AH209" s="102" t="s">
        <v>130</v>
      </c>
      <c r="AI209" s="107" t="str">
        <f>IFERROR(VLOOKUP(AG209,[2]Frota!$D$2:$AV$187,2,FALSE),"-")</f>
        <v>01265366109</v>
      </c>
      <c r="AJ209" s="107" t="str">
        <f>IFERROR(VLOOKUP(AG209,[2]Frota!$D$2:$AV$187,3,FALSE),"-")</f>
        <v>9BWAG45U2NT047867</v>
      </c>
      <c r="AK209" s="102" t="s">
        <v>563</v>
      </c>
      <c r="AL209" s="102" t="s">
        <v>838</v>
      </c>
      <c r="AM209" s="108">
        <v>2021</v>
      </c>
      <c r="AN209" s="108">
        <v>2022</v>
      </c>
      <c r="AO209" s="88" t="s">
        <v>560</v>
      </c>
      <c r="AP209" s="102" t="s">
        <v>805</v>
      </c>
      <c r="AQ209" s="88" t="s">
        <v>464</v>
      </c>
      <c r="AR209" s="89">
        <f>VLOOKUP(AQ209,'[1]Critério de Depreciação'!$C$3:$G$8,5,FALSE)</f>
        <v>1.6666666666666667</v>
      </c>
      <c r="AS209" s="102" t="s">
        <v>130</v>
      </c>
      <c r="AT209" s="102" t="s">
        <v>130</v>
      </c>
      <c r="AU209" s="102" t="str">
        <f>IFERROR(VLOOKUP(#REF!,[2]Frota!$D$2:$AV$187,12,FALSE),"-")</f>
        <v>-</v>
      </c>
      <c r="AV209" s="178">
        <v>212747</v>
      </c>
      <c r="AW209" s="110">
        <v>54990</v>
      </c>
      <c r="AX209" s="106">
        <v>45398</v>
      </c>
      <c r="AY209" s="111" t="s">
        <v>130</v>
      </c>
      <c r="AZ209" s="105" t="s">
        <v>130</v>
      </c>
      <c r="BA209" s="112" t="s">
        <v>130</v>
      </c>
      <c r="BB209" s="106" t="s">
        <v>130</v>
      </c>
      <c r="BC209" s="105" t="s">
        <v>130</v>
      </c>
      <c r="BD209" s="105" t="s">
        <v>130</v>
      </c>
      <c r="BE209" s="113">
        <f t="shared" si="83"/>
        <v>0</v>
      </c>
      <c r="BF209" s="113">
        <v>0</v>
      </c>
      <c r="BG209" s="113">
        <v>49307</v>
      </c>
      <c r="BH209" s="113">
        <v>0</v>
      </c>
      <c r="BI209" s="113">
        <v>0</v>
      </c>
      <c r="BJ209" s="113">
        <v>0</v>
      </c>
      <c r="BK209" s="113">
        <v>0</v>
      </c>
      <c r="BL209" s="113">
        <v>0</v>
      </c>
      <c r="BM209" s="114">
        <f t="shared" si="90"/>
        <v>49307</v>
      </c>
      <c r="BN209" s="113">
        <v>0</v>
      </c>
      <c r="BO209" s="113">
        <v>0</v>
      </c>
      <c r="BP209" s="113">
        <f t="shared" si="91"/>
        <v>0</v>
      </c>
      <c r="BQ209" s="113">
        <v>0</v>
      </c>
      <c r="BR209" s="113">
        <v>0</v>
      </c>
      <c r="BS209" s="105">
        <f t="shared" si="84"/>
        <v>916.5</v>
      </c>
      <c r="BT209" s="153">
        <v>69.900000000000006</v>
      </c>
      <c r="BU209" s="153" t="s">
        <v>130</v>
      </c>
      <c r="BV209" s="153" t="s">
        <v>130</v>
      </c>
      <c r="BW209" s="154" t="s">
        <v>130</v>
      </c>
      <c r="BX209" s="180" t="s">
        <v>816</v>
      </c>
      <c r="BY209" s="102" t="s">
        <v>130</v>
      </c>
      <c r="BZ209" s="102" t="s">
        <v>130</v>
      </c>
      <c r="CA209" s="102" t="s">
        <v>130</v>
      </c>
      <c r="CB209" s="102" t="s">
        <v>130</v>
      </c>
      <c r="CC209" s="102" t="s">
        <v>130</v>
      </c>
      <c r="CD209" s="102" t="s">
        <v>820</v>
      </c>
      <c r="CE209" s="102" t="str">
        <f t="shared" si="85"/>
        <v>PR - MARINGÁ</v>
      </c>
      <c r="CF209" s="118" t="s">
        <v>130</v>
      </c>
      <c r="CG209" s="118" t="s">
        <v>130</v>
      </c>
      <c r="CH209" s="119">
        <f t="shared" si="86"/>
        <v>49307</v>
      </c>
      <c r="CI209" s="120" t="s">
        <v>130</v>
      </c>
      <c r="CJ209" s="121">
        <v>5</v>
      </c>
      <c r="CK209" s="121">
        <v>5</v>
      </c>
      <c r="CL209" s="121">
        <f t="shared" si="87"/>
        <v>60</v>
      </c>
      <c r="CM209" s="122">
        <f t="shared" si="88"/>
        <v>1643.5666666666666</v>
      </c>
      <c r="CN209" s="88" t="str">
        <f>IFERROR(IF(VLOOKUP(AG209,'[1]ATIVOS SAGI'!C:D,1,FALSE)&lt;&gt;"","CADASTRADO","NÃO CADASTRADO"),"NÃO CADASTRADO")</f>
        <v>NÃO CADASTRADO</v>
      </c>
      <c r="CO209" s="99">
        <f t="shared" si="89"/>
        <v>821.78333333333342</v>
      </c>
      <c r="CP209" s="48" t="s">
        <v>48</v>
      </c>
      <c r="CQ209" s="100"/>
      <c r="CR209" s="100"/>
      <c r="CS209" s="100"/>
    </row>
    <row r="210" spans="1:97" x14ac:dyDescent="0.25">
      <c r="A210" s="27">
        <v>188</v>
      </c>
      <c r="B210" s="27">
        <v>201</v>
      </c>
      <c r="C210" s="29" t="s">
        <v>839</v>
      </c>
      <c r="D210" s="40" t="s">
        <v>840</v>
      </c>
      <c r="E210" s="40" t="s">
        <v>80</v>
      </c>
      <c r="F210" s="88" t="s">
        <v>130</v>
      </c>
      <c r="G210" s="84" t="s">
        <v>48</v>
      </c>
      <c r="H210" s="41" t="s">
        <v>841</v>
      </c>
      <c r="I210" s="29" t="s">
        <v>841</v>
      </c>
      <c r="J210" s="85" t="s">
        <v>130</v>
      </c>
      <c r="K210" s="85" t="s">
        <v>130</v>
      </c>
      <c r="L210" s="85" t="s">
        <v>130</v>
      </c>
      <c r="M210" s="86" t="s">
        <v>130</v>
      </c>
      <c r="N210" s="85" t="s">
        <v>130</v>
      </c>
      <c r="O210" s="86" t="s">
        <v>130</v>
      </c>
      <c r="P210" s="85" t="s">
        <v>130</v>
      </c>
      <c r="Q210" s="29" t="s">
        <v>130</v>
      </c>
      <c r="R210" s="85" t="s">
        <v>130</v>
      </c>
      <c r="S210" s="85" t="s">
        <v>130</v>
      </c>
      <c r="T210" s="85">
        <v>0</v>
      </c>
      <c r="U210" s="85" t="s">
        <v>130</v>
      </c>
      <c r="V210" s="85" t="s">
        <v>130</v>
      </c>
      <c r="W210" s="85" t="s">
        <v>130</v>
      </c>
      <c r="X210" s="85" t="s">
        <v>130</v>
      </c>
      <c r="Y210" s="85" t="s">
        <v>130</v>
      </c>
      <c r="Z210" s="85" t="s">
        <v>130</v>
      </c>
      <c r="AA210" s="85" t="s">
        <v>130</v>
      </c>
      <c r="AB210" s="85" t="s">
        <v>130</v>
      </c>
      <c r="AC210" s="85" t="s">
        <v>130</v>
      </c>
      <c r="AD210" s="85" t="s">
        <v>130</v>
      </c>
      <c r="AE210" s="29" t="s">
        <v>45</v>
      </c>
      <c r="AF210" s="29" t="s">
        <v>459</v>
      </c>
      <c r="AG210" s="40" t="s">
        <v>842</v>
      </c>
      <c r="AH210" s="29" t="s">
        <v>130</v>
      </c>
      <c r="AI210" s="87" t="str">
        <f>IFERROR(VLOOKUP(AG210,[2]Frota!$D$2:$AV$187,2,FALSE),"-")</f>
        <v>01399625958</v>
      </c>
      <c r="AJ210" s="87" t="str">
        <f>IFERROR(VLOOKUP(AG210,[2]Frota!$D$2:$AV$187,3,FALSE),"-")</f>
        <v>9BWBH6BF3S4013591</v>
      </c>
      <c r="AK210" s="29" t="s">
        <v>563</v>
      </c>
      <c r="AL210" s="29" t="s">
        <v>843</v>
      </c>
      <c r="AM210" s="34">
        <v>2024</v>
      </c>
      <c r="AN210" s="28">
        <v>2025</v>
      </c>
      <c r="AO210" s="233" t="s">
        <v>560</v>
      </c>
      <c r="AP210" s="29" t="s">
        <v>805</v>
      </c>
      <c r="AQ210" s="88" t="s">
        <v>464</v>
      </c>
      <c r="AR210" s="89">
        <f>VLOOKUP(AQ210,'[1]Critério de Depreciação'!$C$3:$G$8,5,FALSE)</f>
        <v>1.6666666666666667</v>
      </c>
      <c r="AS210" s="29" t="s">
        <v>130</v>
      </c>
      <c r="AT210" s="29" t="s">
        <v>130</v>
      </c>
      <c r="AU210" s="29" t="str">
        <f>IFERROR(VLOOKUP(#REF!,[2]Frota!$D$2:$AV$187,12,FALSE),"-")</f>
        <v>-</v>
      </c>
      <c r="AV210" s="157">
        <v>634384</v>
      </c>
      <c r="AW210" s="90">
        <v>132066.01</v>
      </c>
      <c r="AX210" s="86">
        <v>45477</v>
      </c>
      <c r="AY210" s="91" t="s">
        <v>130</v>
      </c>
      <c r="AZ210" s="85" t="s">
        <v>130</v>
      </c>
      <c r="BA210" s="123" t="s">
        <v>130</v>
      </c>
      <c r="BB210" s="86" t="s">
        <v>130</v>
      </c>
      <c r="BC210" s="85" t="s">
        <v>130</v>
      </c>
      <c r="BD210" s="85" t="s">
        <v>130</v>
      </c>
      <c r="BE210" s="92">
        <f t="shared" si="83"/>
        <v>0</v>
      </c>
      <c r="BF210" s="92">
        <v>0</v>
      </c>
      <c r="BG210" s="92">
        <v>0</v>
      </c>
      <c r="BH210" s="92">
        <v>0</v>
      </c>
      <c r="BI210" s="92">
        <v>0</v>
      </c>
      <c r="BJ210" s="92">
        <v>0</v>
      </c>
      <c r="BK210" s="92">
        <v>0</v>
      </c>
      <c r="BL210" s="92">
        <v>0</v>
      </c>
      <c r="BM210" s="93">
        <v>132066.01</v>
      </c>
      <c r="BN210" s="92">
        <v>0</v>
      </c>
      <c r="BO210" s="92">
        <v>0</v>
      </c>
      <c r="BP210" s="92">
        <f t="shared" si="91"/>
        <v>0</v>
      </c>
      <c r="BQ210" s="92">
        <v>0</v>
      </c>
      <c r="BR210" s="92">
        <v>0</v>
      </c>
      <c r="BS210" s="85">
        <f t="shared" si="84"/>
        <v>2201.1001666666671</v>
      </c>
      <c r="BT210" s="94" t="s">
        <v>130</v>
      </c>
      <c r="BU210" s="94" t="s">
        <v>130</v>
      </c>
      <c r="BV210" s="94" t="s">
        <v>130</v>
      </c>
      <c r="BW210" s="95" t="s">
        <v>130</v>
      </c>
      <c r="BX210" s="96" t="s">
        <v>130</v>
      </c>
      <c r="BY210" s="29" t="s">
        <v>130</v>
      </c>
      <c r="BZ210" s="29" t="s">
        <v>130</v>
      </c>
      <c r="CA210" s="29" t="s">
        <v>130</v>
      </c>
      <c r="CB210" s="29" t="s">
        <v>130</v>
      </c>
      <c r="CC210" s="29" t="s">
        <v>844</v>
      </c>
      <c r="CD210" s="29" t="s">
        <v>130</v>
      </c>
      <c r="CE210" s="29" t="str">
        <f t="shared" si="85"/>
        <v>PARTICULAR</v>
      </c>
      <c r="CF210" s="97" t="s">
        <v>130</v>
      </c>
      <c r="CG210" s="97" t="s">
        <v>130</v>
      </c>
      <c r="CH210" s="37">
        <f t="shared" si="86"/>
        <v>132066.01</v>
      </c>
      <c r="CI210" s="98" t="s">
        <v>130</v>
      </c>
      <c r="CJ210" s="39">
        <v>5</v>
      </c>
      <c r="CK210" s="39">
        <v>5</v>
      </c>
      <c r="CL210" s="39">
        <f t="shared" si="87"/>
        <v>60</v>
      </c>
      <c r="CM210" s="99">
        <f t="shared" si="88"/>
        <v>4402.2003333333332</v>
      </c>
      <c r="CN210" s="40" t="str">
        <f>IFERROR(IF(VLOOKUP(AG210,'[1]ATIVOS SAGI'!C:D,1,FALSE)&lt;&gt;"","CADASTRADO","NÃO CADASTRADO"),"NÃO CADASTRADO")</f>
        <v>NÃO CADASTRADO</v>
      </c>
      <c r="CO210" s="99">
        <f t="shared" si="89"/>
        <v>2201.1001666666671</v>
      </c>
      <c r="CP210" s="100"/>
      <c r="CQ210" s="100"/>
      <c r="CR210" s="100"/>
      <c r="CS210" s="100"/>
    </row>
    <row r="211" spans="1:97" x14ac:dyDescent="0.25">
      <c r="A211" s="27">
        <v>189</v>
      </c>
      <c r="B211" s="27">
        <v>202</v>
      </c>
      <c r="C211" s="29" t="s">
        <v>296</v>
      </c>
      <c r="D211" s="40" t="s">
        <v>49</v>
      </c>
      <c r="E211" s="40" t="s">
        <v>130</v>
      </c>
      <c r="F211" s="88" t="s">
        <v>130</v>
      </c>
      <c r="G211" s="84" t="s">
        <v>48</v>
      </c>
      <c r="H211" s="41" t="s">
        <v>472</v>
      </c>
      <c r="I211" s="29" t="s">
        <v>130</v>
      </c>
      <c r="J211" s="161">
        <f>L211+N211</f>
        <v>5344.3099999999995</v>
      </c>
      <c r="K211" s="85" t="s">
        <v>466</v>
      </c>
      <c r="L211" s="85">
        <v>167.74</v>
      </c>
      <c r="M211" s="86">
        <v>45678</v>
      </c>
      <c r="N211" s="85">
        <v>5176.57</v>
      </c>
      <c r="O211" s="86">
        <v>45708</v>
      </c>
      <c r="P211" s="85">
        <v>5336.68</v>
      </c>
      <c r="Q211" s="29" t="s">
        <v>80</v>
      </c>
      <c r="R211" s="85">
        <v>0</v>
      </c>
      <c r="S211" s="85">
        <v>0</v>
      </c>
      <c r="T211" s="85">
        <v>0</v>
      </c>
      <c r="U211" s="85">
        <v>4893.24</v>
      </c>
      <c r="V211" s="85">
        <v>4746.4399999999996</v>
      </c>
      <c r="W211" s="86">
        <v>46041</v>
      </c>
      <c r="X211" s="86">
        <v>46072</v>
      </c>
      <c r="Y211" s="85">
        <v>174.08</v>
      </c>
      <c r="Z211" s="85">
        <f>U211+Y211</f>
        <v>5067.32</v>
      </c>
      <c r="AA211" s="85">
        <f>V211+Y211</f>
        <v>4920.5199999999995</v>
      </c>
      <c r="AB211" s="85">
        <v>0</v>
      </c>
      <c r="AC211" s="85">
        <v>0</v>
      </c>
      <c r="AD211" s="85">
        <v>0</v>
      </c>
      <c r="AE211" s="29" t="s">
        <v>45</v>
      </c>
      <c r="AF211" s="29" t="s">
        <v>459</v>
      </c>
      <c r="AG211" s="40" t="s">
        <v>845</v>
      </c>
      <c r="AH211" s="29" t="s">
        <v>468</v>
      </c>
      <c r="AI211" s="87" t="str">
        <f>IFERROR(VLOOKUP(AG211,[2]Frota!$D$2:$AV$187,2,FALSE),"-")</f>
        <v>01399454665</v>
      </c>
      <c r="AJ211" s="87" t="str">
        <f>IFERROR(VLOOKUP(AG211,[2]Frota!$D$2:$AV$187,3,FALSE),"-")</f>
        <v>9BWAJ5BZ9SP007166</v>
      </c>
      <c r="AK211" s="29" t="s">
        <v>563</v>
      </c>
      <c r="AL211" s="29" t="s">
        <v>846</v>
      </c>
      <c r="AM211" s="34">
        <v>2024</v>
      </c>
      <c r="AN211" s="28">
        <v>2025</v>
      </c>
      <c r="AO211" s="233" t="s">
        <v>560</v>
      </c>
      <c r="AP211" s="29" t="s">
        <v>805</v>
      </c>
      <c r="AQ211" s="88" t="s">
        <v>464</v>
      </c>
      <c r="AR211" s="89">
        <f>VLOOKUP(AQ211,'[1]Critério de Depreciação'!$C$3:$G$8,5,FALSE)</f>
        <v>1.6666666666666667</v>
      </c>
      <c r="AS211" s="29" t="s">
        <v>130</v>
      </c>
      <c r="AT211" s="29" t="s">
        <v>130</v>
      </c>
      <c r="AU211" s="29" t="str">
        <f>IFERROR(VLOOKUP(#REF!,[2]Frota!$D$2:$AV$187,12,FALSE),"-")</f>
        <v>-</v>
      </c>
      <c r="AV211" s="157">
        <v>580</v>
      </c>
      <c r="AW211" s="90">
        <v>133797.31</v>
      </c>
      <c r="AX211" s="86">
        <v>45490</v>
      </c>
      <c r="AY211" s="91" t="s">
        <v>130</v>
      </c>
      <c r="AZ211" s="85" t="s">
        <v>130</v>
      </c>
      <c r="BA211" s="123" t="s">
        <v>130</v>
      </c>
      <c r="BB211" s="86" t="s">
        <v>130</v>
      </c>
      <c r="BC211" s="85" t="s">
        <v>130</v>
      </c>
      <c r="BD211" s="85" t="s">
        <v>130</v>
      </c>
      <c r="BE211" s="92">
        <f t="shared" si="83"/>
        <v>0</v>
      </c>
      <c r="BF211" s="92">
        <v>0</v>
      </c>
      <c r="BG211" s="92">
        <v>0</v>
      </c>
      <c r="BH211" s="92">
        <v>0</v>
      </c>
      <c r="BI211" s="92">
        <v>0</v>
      </c>
      <c r="BJ211" s="92">
        <v>0</v>
      </c>
      <c r="BK211" s="92">
        <v>0</v>
      </c>
      <c r="BL211" s="92">
        <v>0</v>
      </c>
      <c r="BM211" s="93">
        <v>133797.31</v>
      </c>
      <c r="BN211" s="92">
        <v>0</v>
      </c>
      <c r="BO211" s="92">
        <v>0</v>
      </c>
      <c r="BP211" s="92">
        <f t="shared" si="91"/>
        <v>0</v>
      </c>
      <c r="BQ211" s="92">
        <v>0</v>
      </c>
      <c r="BR211" s="92">
        <v>0</v>
      </c>
      <c r="BS211" s="85">
        <f t="shared" si="84"/>
        <v>2229.9551666666666</v>
      </c>
      <c r="BT211" s="94" t="s">
        <v>130</v>
      </c>
      <c r="BU211" s="94" t="s">
        <v>130</v>
      </c>
      <c r="BV211" s="94" t="s">
        <v>130</v>
      </c>
      <c r="BW211" s="95">
        <v>20.94</v>
      </c>
      <c r="BX211" s="96" t="s">
        <v>816</v>
      </c>
      <c r="BY211" s="29" t="s">
        <v>130</v>
      </c>
      <c r="BZ211" s="29" t="s">
        <v>130</v>
      </c>
      <c r="CA211" s="29" t="s">
        <v>130</v>
      </c>
      <c r="CB211" s="29" t="s">
        <v>130</v>
      </c>
      <c r="CC211" s="29" t="s">
        <v>847</v>
      </c>
      <c r="CD211" s="29" t="s">
        <v>130</v>
      </c>
      <c r="CE211" s="29" t="str">
        <f t="shared" si="85"/>
        <v>PARTICULAR</v>
      </c>
      <c r="CF211" s="97" t="s">
        <v>130</v>
      </c>
      <c r="CG211" s="97" t="s">
        <v>130</v>
      </c>
      <c r="CH211" s="37">
        <f t="shared" si="86"/>
        <v>133797.31</v>
      </c>
      <c r="CI211" s="98" t="s">
        <v>130</v>
      </c>
      <c r="CJ211" s="39">
        <v>5</v>
      </c>
      <c r="CK211" s="39">
        <v>5</v>
      </c>
      <c r="CL211" s="39">
        <f t="shared" si="87"/>
        <v>60</v>
      </c>
      <c r="CM211" s="99">
        <f t="shared" si="88"/>
        <v>4459.9103333333333</v>
      </c>
      <c r="CN211" s="40" t="str">
        <f>IFERROR(IF(VLOOKUP(AG211,'[1]ATIVOS SAGI'!C:D,1,FALSE)&lt;&gt;"","CADASTRADO","NÃO CADASTRADO"),"NÃO CADASTRADO")</f>
        <v>NÃO CADASTRADO</v>
      </c>
      <c r="CO211" s="99">
        <f t="shared" si="89"/>
        <v>2229.9551666666666</v>
      </c>
      <c r="CP211" s="100" t="s">
        <v>92</v>
      </c>
      <c r="CQ211" s="100"/>
      <c r="CR211" s="100"/>
      <c r="CS211" s="100"/>
    </row>
    <row r="212" spans="1:97" x14ac:dyDescent="0.25">
      <c r="A212" s="27">
        <v>192</v>
      </c>
      <c r="B212" s="101">
        <v>48</v>
      </c>
      <c r="C212" s="102" t="s">
        <v>296</v>
      </c>
      <c r="D212" s="88" t="s">
        <v>49</v>
      </c>
      <c r="E212" s="88" t="s">
        <v>130</v>
      </c>
      <c r="F212" s="84" t="s">
        <v>130</v>
      </c>
      <c r="G212" s="88"/>
      <c r="H212" s="104" t="s">
        <v>130</v>
      </c>
      <c r="I212" s="102" t="s">
        <v>130</v>
      </c>
      <c r="J212" s="102" t="s">
        <v>130</v>
      </c>
      <c r="K212" s="102" t="s">
        <v>130</v>
      </c>
      <c r="L212" s="105" t="s">
        <v>130</v>
      </c>
      <c r="M212" s="106" t="s">
        <v>130</v>
      </c>
      <c r="N212" s="105" t="s">
        <v>130</v>
      </c>
      <c r="O212" s="106" t="s">
        <v>130</v>
      </c>
      <c r="P212" s="105" t="s">
        <v>130</v>
      </c>
      <c r="Q212" s="105" t="s">
        <v>130</v>
      </c>
      <c r="R212" s="105" t="s">
        <v>130</v>
      </c>
      <c r="S212" s="105" t="s">
        <v>130</v>
      </c>
      <c r="T212" s="105" t="s">
        <v>130</v>
      </c>
      <c r="U212" s="105" t="s">
        <v>130</v>
      </c>
      <c r="V212" s="105" t="s">
        <v>130</v>
      </c>
      <c r="W212" s="105" t="s">
        <v>130</v>
      </c>
      <c r="X212" s="105" t="s">
        <v>130</v>
      </c>
      <c r="Y212" s="105" t="s">
        <v>130</v>
      </c>
      <c r="Z212" s="105" t="s">
        <v>130</v>
      </c>
      <c r="AA212" s="105" t="s">
        <v>130</v>
      </c>
      <c r="AB212" s="105" t="s">
        <v>130</v>
      </c>
      <c r="AC212" s="105" t="s">
        <v>130</v>
      </c>
      <c r="AD212" s="105" t="s">
        <v>130</v>
      </c>
      <c r="AE212" s="102" t="s">
        <v>297</v>
      </c>
      <c r="AF212" s="102" t="s">
        <v>130</v>
      </c>
      <c r="AG212" s="88" t="s">
        <v>848</v>
      </c>
      <c r="AH212" s="102" t="s">
        <v>130</v>
      </c>
      <c r="AI212" s="107" t="str">
        <f>IFERROR(VLOOKUP(AG212,[2]Frota!$D$2:$AV$187,2,FALSE),"-")</f>
        <v>01240094806</v>
      </c>
      <c r="AJ212" s="107" t="str">
        <f>IFERROR(VLOOKUP(AG212,[2]Frota!$D$2:$AV$187,3,FALSE),"-")</f>
        <v>9BFZH55L0M8057683</v>
      </c>
      <c r="AK212" s="102" t="s">
        <v>549</v>
      </c>
      <c r="AL212" s="102" t="s">
        <v>811</v>
      </c>
      <c r="AM212" s="108">
        <v>2020</v>
      </c>
      <c r="AN212" s="108">
        <v>2021</v>
      </c>
      <c r="AO212" s="88" t="s">
        <v>560</v>
      </c>
      <c r="AP212" s="102" t="s">
        <v>805</v>
      </c>
      <c r="AQ212" s="88" t="s">
        <v>464</v>
      </c>
      <c r="AR212" s="89">
        <f>VLOOKUP(AQ212,'[1]Critério de Depreciação'!$C$3:$G$8,5,FALSE)</f>
        <v>1.6666666666666667</v>
      </c>
      <c r="AS212" s="102" t="s">
        <v>130</v>
      </c>
      <c r="AT212" s="102" t="s">
        <v>130</v>
      </c>
      <c r="AU212" s="102" t="str">
        <f>IFERROR(VLOOKUP(#REF!,[2]Frota!$D$2:$AV$187,12,FALSE),"-")</f>
        <v>-</v>
      </c>
      <c r="AV212" s="109">
        <v>181588</v>
      </c>
      <c r="AW212" s="110">
        <v>45990</v>
      </c>
      <c r="AX212" s="106">
        <v>44098</v>
      </c>
      <c r="AY212" s="111" t="s">
        <v>130</v>
      </c>
      <c r="AZ212" s="105" t="s">
        <v>130</v>
      </c>
      <c r="BA212" s="112">
        <v>54420</v>
      </c>
      <c r="BB212" s="106">
        <v>45215</v>
      </c>
      <c r="BC212" s="105" t="s">
        <v>130</v>
      </c>
      <c r="BD212" s="105" t="s">
        <v>130</v>
      </c>
      <c r="BE212" s="113">
        <f t="shared" si="83"/>
        <v>54420</v>
      </c>
      <c r="BF212" s="113">
        <v>0</v>
      </c>
      <c r="BG212" s="113">
        <v>0</v>
      </c>
      <c r="BH212" s="113">
        <v>0</v>
      </c>
      <c r="BI212" s="113">
        <v>0</v>
      </c>
      <c r="BJ212" s="113">
        <v>0</v>
      </c>
      <c r="BK212" s="113">
        <v>0</v>
      </c>
      <c r="BL212" s="113">
        <v>0</v>
      </c>
      <c r="BM212" s="114">
        <f>SUM(BF212:BL212)</f>
        <v>0</v>
      </c>
      <c r="BN212" s="113">
        <v>0</v>
      </c>
      <c r="BO212" s="113">
        <v>0</v>
      </c>
      <c r="BP212" s="113">
        <v>0</v>
      </c>
      <c r="BQ212" s="113">
        <v>0</v>
      </c>
      <c r="BR212" s="113">
        <v>0</v>
      </c>
      <c r="BS212" s="105">
        <f t="shared" si="84"/>
        <v>766.5</v>
      </c>
      <c r="BT212" s="153" t="s">
        <v>130</v>
      </c>
      <c r="BU212" s="153" t="s">
        <v>130</v>
      </c>
      <c r="BV212" s="153" t="s">
        <v>130</v>
      </c>
      <c r="BW212" s="154" t="s">
        <v>130</v>
      </c>
      <c r="BX212" s="153" t="s">
        <v>130</v>
      </c>
      <c r="BY212" s="102" t="s">
        <v>849</v>
      </c>
      <c r="BZ212" s="102" t="s">
        <v>488</v>
      </c>
      <c r="CA212" s="102" t="s">
        <v>130</v>
      </c>
      <c r="CB212" s="102" t="s">
        <v>130</v>
      </c>
      <c r="CC212" s="102" t="s">
        <v>130</v>
      </c>
      <c r="CD212" s="102" t="s">
        <v>130</v>
      </c>
      <c r="CE212" s="102" t="str">
        <f t="shared" si="85"/>
        <v>-</v>
      </c>
      <c r="CF212" s="118" t="s">
        <v>130</v>
      </c>
      <c r="CG212" s="118" t="s">
        <v>130</v>
      </c>
      <c r="CH212" s="119">
        <f t="shared" si="86"/>
        <v>0</v>
      </c>
      <c r="CI212" s="120" t="s">
        <v>130</v>
      </c>
      <c r="CJ212" s="121">
        <v>5</v>
      </c>
      <c r="CK212" s="121">
        <v>5</v>
      </c>
      <c r="CL212" s="121">
        <f t="shared" si="87"/>
        <v>60</v>
      </c>
      <c r="CM212" s="122">
        <f t="shared" si="88"/>
        <v>0</v>
      </c>
      <c r="CN212" s="88" t="str">
        <f>IFERROR(IF(VLOOKUP(AG212,'[1]ATIVOS SAGI'!C:D,1,FALSE)&lt;&gt;"","CADASTRADO","NÃO CADASTRADO"),"NÃO CADASTRADO")</f>
        <v>CADASTRADO</v>
      </c>
      <c r="CO212" s="99">
        <f t="shared" si="89"/>
        <v>0</v>
      </c>
      <c r="CP212" s="48" t="s">
        <v>48</v>
      </c>
      <c r="CQ212" s="100"/>
      <c r="CR212" s="100"/>
      <c r="CS212" s="100"/>
    </row>
    <row r="213" spans="1:97" x14ac:dyDescent="0.25">
      <c r="A213" s="27">
        <v>219</v>
      </c>
      <c r="B213" s="101" t="s">
        <v>130</v>
      </c>
      <c r="C213" s="102" t="s">
        <v>296</v>
      </c>
      <c r="D213" s="88" t="s">
        <v>49</v>
      </c>
      <c r="E213" s="88" t="s">
        <v>130</v>
      </c>
      <c r="F213" s="40" t="s">
        <v>130</v>
      </c>
      <c r="G213" s="88"/>
      <c r="H213" s="104" t="s">
        <v>130</v>
      </c>
      <c r="I213" s="102" t="s">
        <v>130</v>
      </c>
      <c r="J213" s="102" t="s">
        <v>130</v>
      </c>
      <c r="K213" s="102" t="s">
        <v>130</v>
      </c>
      <c r="L213" s="105" t="s">
        <v>130</v>
      </c>
      <c r="M213" s="106" t="s">
        <v>130</v>
      </c>
      <c r="N213" s="105" t="s">
        <v>130</v>
      </c>
      <c r="O213" s="106" t="s">
        <v>130</v>
      </c>
      <c r="P213" s="105" t="s">
        <v>130</v>
      </c>
      <c r="Q213" s="105" t="s">
        <v>130</v>
      </c>
      <c r="R213" s="105" t="s">
        <v>130</v>
      </c>
      <c r="S213" s="105" t="s">
        <v>130</v>
      </c>
      <c r="T213" s="105" t="s">
        <v>130</v>
      </c>
      <c r="U213" s="105" t="s">
        <v>130</v>
      </c>
      <c r="V213" s="105" t="s">
        <v>130</v>
      </c>
      <c r="W213" s="105" t="s">
        <v>130</v>
      </c>
      <c r="X213" s="105" t="s">
        <v>130</v>
      </c>
      <c r="Y213" s="105" t="s">
        <v>130</v>
      </c>
      <c r="Z213" s="105" t="s">
        <v>130</v>
      </c>
      <c r="AA213" s="105" t="s">
        <v>130</v>
      </c>
      <c r="AB213" s="105" t="s">
        <v>130</v>
      </c>
      <c r="AC213" s="105" t="s">
        <v>130</v>
      </c>
      <c r="AD213" s="105" t="s">
        <v>130</v>
      </c>
      <c r="AE213" s="102" t="s">
        <v>297</v>
      </c>
      <c r="AF213" s="102" t="s">
        <v>130</v>
      </c>
      <c r="AG213" s="88" t="s">
        <v>850</v>
      </c>
      <c r="AH213" s="102" t="s">
        <v>130</v>
      </c>
      <c r="AI213" s="177" t="s">
        <v>130</v>
      </c>
      <c r="AJ213" s="107" t="s">
        <v>130</v>
      </c>
      <c r="AK213" s="102" t="s">
        <v>553</v>
      </c>
      <c r="AL213" s="102" t="s">
        <v>851</v>
      </c>
      <c r="AM213" s="108">
        <v>2021</v>
      </c>
      <c r="AN213" s="108">
        <v>2022</v>
      </c>
      <c r="AO213" s="88" t="s">
        <v>560</v>
      </c>
      <c r="AP213" s="102" t="s">
        <v>805</v>
      </c>
      <c r="AQ213" s="88" t="s">
        <v>464</v>
      </c>
      <c r="AR213" s="89">
        <f>VLOOKUP(AQ213,'[1]Critério de Depreciação'!$C$3:$G$8,5,FALSE)</f>
        <v>1.6666666666666667</v>
      </c>
      <c r="AS213" s="102" t="s">
        <v>852</v>
      </c>
      <c r="AT213" s="102" t="s">
        <v>300</v>
      </c>
      <c r="AU213" s="102" t="s">
        <v>130</v>
      </c>
      <c r="AV213" s="178">
        <v>9047</v>
      </c>
      <c r="AW213" s="110">
        <v>95000</v>
      </c>
      <c r="AX213" s="106">
        <v>45779</v>
      </c>
      <c r="AY213" s="111" t="s">
        <v>130</v>
      </c>
      <c r="AZ213" s="102" t="s">
        <v>130</v>
      </c>
      <c r="BA213" s="102" t="s">
        <v>130</v>
      </c>
      <c r="BB213" s="102" t="s">
        <v>130</v>
      </c>
      <c r="BC213" s="102" t="s">
        <v>130</v>
      </c>
      <c r="BD213" s="102" t="s">
        <v>130</v>
      </c>
      <c r="BE213" s="179" t="s">
        <v>130</v>
      </c>
      <c r="BF213" s="113">
        <v>0</v>
      </c>
      <c r="BG213" s="113">
        <v>0</v>
      </c>
      <c r="BH213" s="113">
        <v>0</v>
      </c>
      <c r="BI213" s="113">
        <v>0</v>
      </c>
      <c r="BJ213" s="113">
        <v>0</v>
      </c>
      <c r="BK213" s="113">
        <v>0</v>
      </c>
      <c r="BL213" s="113">
        <v>0</v>
      </c>
      <c r="BM213" s="114">
        <v>0</v>
      </c>
      <c r="BN213" s="113">
        <v>0</v>
      </c>
      <c r="BO213" s="113">
        <v>0</v>
      </c>
      <c r="BP213" s="113">
        <v>0</v>
      </c>
      <c r="BQ213" s="113">
        <v>0</v>
      </c>
      <c r="BR213" s="113">
        <v>0</v>
      </c>
      <c r="BS213" s="105" t="s">
        <v>130</v>
      </c>
      <c r="BT213" s="153" t="s">
        <v>130</v>
      </c>
      <c r="BU213" s="153" t="s">
        <v>130</v>
      </c>
      <c r="BV213" s="153" t="s">
        <v>130</v>
      </c>
      <c r="BW213" s="154" t="s">
        <v>130</v>
      </c>
      <c r="BX213" s="180" t="s">
        <v>130</v>
      </c>
      <c r="BY213" s="102" t="s">
        <v>130</v>
      </c>
      <c r="BZ213" s="102" t="s">
        <v>130</v>
      </c>
      <c r="CA213" s="102" t="s">
        <v>130</v>
      </c>
      <c r="CB213" s="102" t="s">
        <v>130</v>
      </c>
      <c r="CC213" s="102" t="s">
        <v>130</v>
      </c>
      <c r="CD213" s="102" t="s">
        <v>130</v>
      </c>
      <c r="CE213" s="102" t="s">
        <v>130</v>
      </c>
      <c r="CF213" s="118" t="s">
        <v>130</v>
      </c>
      <c r="CG213" s="118" t="s">
        <v>130</v>
      </c>
      <c r="CH213" s="119" t="s">
        <v>130</v>
      </c>
      <c r="CI213" s="120" t="s">
        <v>130</v>
      </c>
      <c r="CJ213" s="121" t="s">
        <v>130</v>
      </c>
      <c r="CK213" s="121" t="s">
        <v>130</v>
      </c>
      <c r="CL213" s="121" t="s">
        <v>130</v>
      </c>
      <c r="CM213" s="122" t="s">
        <v>130</v>
      </c>
      <c r="CN213" s="88" t="s">
        <v>130</v>
      </c>
      <c r="CO213" s="99">
        <f t="shared" si="89"/>
        <v>0</v>
      </c>
      <c r="CP213" s="48" t="s">
        <v>48</v>
      </c>
      <c r="CQ213" s="100"/>
      <c r="CR213" s="100"/>
      <c r="CS213" s="100"/>
    </row>
    <row r="214" spans="1:97" x14ac:dyDescent="0.25">
      <c r="A214" s="27">
        <v>232</v>
      </c>
      <c r="B214" s="101" t="s">
        <v>130</v>
      </c>
      <c r="C214" s="130" t="s">
        <v>296</v>
      </c>
      <c r="D214" s="103" t="s">
        <v>49</v>
      </c>
      <c r="E214" s="84" t="s">
        <v>130</v>
      </c>
      <c r="F214" s="40" t="s">
        <v>130</v>
      </c>
      <c r="G214" s="84" t="s">
        <v>48</v>
      </c>
      <c r="H214" s="160" t="s">
        <v>472</v>
      </c>
      <c r="I214" s="102" t="s">
        <v>130</v>
      </c>
      <c r="J214" s="102" t="s">
        <v>130</v>
      </c>
      <c r="K214" s="102" t="s">
        <v>130</v>
      </c>
      <c r="L214" s="105" t="s">
        <v>130</v>
      </c>
      <c r="M214" s="106" t="s">
        <v>130</v>
      </c>
      <c r="N214" s="105" t="s">
        <v>130</v>
      </c>
      <c r="O214" s="106" t="s">
        <v>130</v>
      </c>
      <c r="P214" s="105" t="s">
        <v>130</v>
      </c>
      <c r="Q214" s="105" t="s">
        <v>130</v>
      </c>
      <c r="R214" s="105" t="s">
        <v>130</v>
      </c>
      <c r="S214" s="105" t="s">
        <v>130</v>
      </c>
      <c r="T214" s="105" t="s">
        <v>130</v>
      </c>
      <c r="U214" s="105" t="s">
        <v>130</v>
      </c>
      <c r="V214" s="105" t="s">
        <v>130</v>
      </c>
      <c r="W214" s="106" t="s">
        <v>130</v>
      </c>
      <c r="X214" s="106" t="s">
        <v>130</v>
      </c>
      <c r="Y214" s="105" t="s">
        <v>130</v>
      </c>
      <c r="Z214" s="85" t="s">
        <v>130</v>
      </c>
      <c r="AA214" s="85" t="s">
        <v>130</v>
      </c>
      <c r="AB214" s="105" t="s">
        <v>130</v>
      </c>
      <c r="AC214" s="105" t="s">
        <v>130</v>
      </c>
      <c r="AD214" s="105" t="s">
        <v>130</v>
      </c>
      <c r="AE214" s="130" t="s">
        <v>45</v>
      </c>
      <c r="AF214" s="132" t="s">
        <v>807</v>
      </c>
      <c r="AG214" s="84" t="s">
        <v>853</v>
      </c>
      <c r="AH214" s="132" t="s">
        <v>468</v>
      </c>
      <c r="AI214" s="167" t="s">
        <v>854</v>
      </c>
      <c r="AJ214" s="168" t="s">
        <v>855</v>
      </c>
      <c r="AK214" s="132" t="s">
        <v>856</v>
      </c>
      <c r="AL214" s="132" t="s">
        <v>857</v>
      </c>
      <c r="AM214" s="135">
        <v>2025</v>
      </c>
      <c r="AN214" s="135">
        <v>2026</v>
      </c>
      <c r="AO214" s="233" t="s">
        <v>560</v>
      </c>
      <c r="AP214" s="132" t="s">
        <v>805</v>
      </c>
      <c r="AQ214" s="88" t="s">
        <v>464</v>
      </c>
      <c r="AR214" s="89">
        <f>VLOOKUP(AQ214,'[1]Critério de Depreciação'!$C$3:$G$8,5,FALSE)</f>
        <v>1.6666666666666667</v>
      </c>
      <c r="AS214" s="102" t="s">
        <v>130</v>
      </c>
      <c r="AT214" s="102" t="s">
        <v>130</v>
      </c>
      <c r="AU214" s="102" t="s">
        <v>130</v>
      </c>
      <c r="AV214" s="178" t="s">
        <v>130</v>
      </c>
      <c r="AW214" s="110">
        <v>0</v>
      </c>
      <c r="AX214" s="106" t="s">
        <v>130</v>
      </c>
      <c r="AY214" s="111" t="s">
        <v>130</v>
      </c>
      <c r="AZ214" s="102" t="s">
        <v>130</v>
      </c>
      <c r="BA214" s="102" t="s">
        <v>130</v>
      </c>
      <c r="BB214" s="102" t="s">
        <v>130</v>
      </c>
      <c r="BC214" s="102" t="s">
        <v>130</v>
      </c>
      <c r="BD214" s="102" t="s">
        <v>130</v>
      </c>
      <c r="BE214" s="179" t="s">
        <v>130</v>
      </c>
      <c r="BF214" s="113">
        <v>0</v>
      </c>
      <c r="BG214" s="113">
        <v>0</v>
      </c>
      <c r="BH214" s="113">
        <v>0</v>
      </c>
      <c r="BI214" s="113">
        <v>0</v>
      </c>
      <c r="BJ214" s="113">
        <v>0</v>
      </c>
      <c r="BK214" s="113">
        <v>0</v>
      </c>
      <c r="BL214" s="113">
        <v>0</v>
      </c>
      <c r="BM214" s="114">
        <v>0</v>
      </c>
      <c r="BN214" s="113">
        <v>0</v>
      </c>
      <c r="BO214" s="113">
        <v>0</v>
      </c>
      <c r="BP214" s="92">
        <v>0</v>
      </c>
      <c r="BQ214" s="113">
        <v>0</v>
      </c>
      <c r="BR214" s="113">
        <v>0</v>
      </c>
      <c r="BS214" s="105" t="s">
        <v>130</v>
      </c>
      <c r="BT214" s="153" t="s">
        <v>130</v>
      </c>
      <c r="BU214" s="153" t="s">
        <v>130</v>
      </c>
      <c r="BV214" s="153" t="s">
        <v>130</v>
      </c>
      <c r="BW214" s="154" t="s">
        <v>130</v>
      </c>
      <c r="BX214" s="180" t="s">
        <v>130</v>
      </c>
      <c r="BY214" s="102" t="s">
        <v>130</v>
      </c>
      <c r="BZ214" s="102" t="s">
        <v>130</v>
      </c>
      <c r="CA214" s="102" t="s">
        <v>130</v>
      </c>
      <c r="CB214" s="102" t="s">
        <v>130</v>
      </c>
      <c r="CC214" s="102" t="s">
        <v>130</v>
      </c>
      <c r="CD214" s="102" t="s">
        <v>130</v>
      </c>
      <c r="CE214" s="102" t="s">
        <v>130</v>
      </c>
      <c r="CF214" s="118" t="s">
        <v>130</v>
      </c>
      <c r="CG214" s="118" t="s">
        <v>130</v>
      </c>
      <c r="CH214" s="119" t="s">
        <v>130</v>
      </c>
      <c r="CI214" s="120" t="s">
        <v>130</v>
      </c>
      <c r="CJ214" s="121" t="s">
        <v>130</v>
      </c>
      <c r="CK214" s="121" t="s">
        <v>130</v>
      </c>
      <c r="CL214" s="121" t="s">
        <v>130</v>
      </c>
      <c r="CM214" s="122" t="s">
        <v>130</v>
      </c>
      <c r="CN214" s="88" t="s">
        <v>130</v>
      </c>
      <c r="CO214" s="99">
        <f t="shared" si="89"/>
        <v>0</v>
      </c>
      <c r="CP214" s="100" t="s">
        <v>301</v>
      </c>
      <c r="CQ214" s="100"/>
      <c r="CR214" s="100"/>
      <c r="CS214" s="100"/>
    </row>
    <row r="215" spans="1:97" ht="135" x14ac:dyDescent="0.25">
      <c r="A215" s="27">
        <v>185</v>
      </c>
      <c r="B215" s="27">
        <v>198</v>
      </c>
      <c r="C215" s="29" t="s">
        <v>296</v>
      </c>
      <c r="D215" s="40" t="s">
        <v>49</v>
      </c>
      <c r="E215" s="40" t="s">
        <v>130</v>
      </c>
      <c r="F215" s="84" t="s">
        <v>130</v>
      </c>
      <c r="G215" s="40"/>
      <c r="H215" s="41" t="s">
        <v>130</v>
      </c>
      <c r="I215" s="29" t="s">
        <v>130</v>
      </c>
      <c r="J215" s="29" t="s">
        <v>130</v>
      </c>
      <c r="K215" s="29" t="s">
        <v>130</v>
      </c>
      <c r="L215" s="85" t="s">
        <v>130</v>
      </c>
      <c r="M215" s="86" t="s">
        <v>130</v>
      </c>
      <c r="N215" s="85" t="s">
        <v>130</v>
      </c>
      <c r="O215" s="86" t="s">
        <v>130</v>
      </c>
      <c r="P215" s="85" t="s">
        <v>130</v>
      </c>
      <c r="Q215" s="29" t="s">
        <v>130</v>
      </c>
      <c r="R215" s="85" t="s">
        <v>130</v>
      </c>
      <c r="S215" s="85" t="s">
        <v>130</v>
      </c>
      <c r="T215" s="85" t="s">
        <v>130</v>
      </c>
      <c r="U215" s="85" t="s">
        <v>130</v>
      </c>
      <c r="V215" s="85" t="s">
        <v>130</v>
      </c>
      <c r="W215" s="85" t="s">
        <v>130</v>
      </c>
      <c r="X215" s="85" t="s">
        <v>130</v>
      </c>
      <c r="Y215" s="85" t="s">
        <v>130</v>
      </c>
      <c r="Z215" s="85" t="s">
        <v>130</v>
      </c>
      <c r="AA215" s="85" t="s">
        <v>130</v>
      </c>
      <c r="AB215" s="85" t="s">
        <v>130</v>
      </c>
      <c r="AC215" s="85" t="s">
        <v>130</v>
      </c>
      <c r="AD215" s="85" t="s">
        <v>130</v>
      </c>
      <c r="AE215" s="29" t="s">
        <v>45</v>
      </c>
      <c r="AF215" s="191" t="s">
        <v>858</v>
      </c>
      <c r="AG215" s="40" t="s">
        <v>859</v>
      </c>
      <c r="AH215" s="29" t="s">
        <v>130</v>
      </c>
      <c r="AI215" s="87" t="str">
        <f>IFERROR(VLOOKUP(AG215,[2]Frota!$D$2:$AV$187,2,FALSE),"-")</f>
        <v>-</v>
      </c>
      <c r="AJ215" s="87" t="str">
        <f>IFERROR(VLOOKUP(AG215,[2]Frota!$D$2:$AV$187,3,FALSE),"-")</f>
        <v>-</v>
      </c>
      <c r="AK215" s="29" t="s">
        <v>412</v>
      </c>
      <c r="AL215" s="29" t="s">
        <v>860</v>
      </c>
      <c r="AM215" s="34">
        <v>2023</v>
      </c>
      <c r="AN215" s="34">
        <v>2023</v>
      </c>
      <c r="AO215" s="40" t="s">
        <v>414</v>
      </c>
      <c r="AP215" s="29" t="s">
        <v>861</v>
      </c>
      <c r="AQ215" s="88" t="s">
        <v>303</v>
      </c>
      <c r="AR215" s="89">
        <f>VLOOKUP(AQ215,'[1]Critério de Depreciação'!$C$3:$G$8,5,FALSE)</f>
        <v>0.83333333333333337</v>
      </c>
      <c r="AS215" s="29" t="s">
        <v>130</v>
      </c>
      <c r="AT215" s="29" t="s">
        <v>130</v>
      </c>
      <c r="AU215" s="29" t="str">
        <f>IFERROR(VLOOKUP(#REF!,[2]Frota!$D$2:$AV$187,12,FALSE),"-")</f>
        <v>-</v>
      </c>
      <c r="AV215" s="157">
        <v>282</v>
      </c>
      <c r="AW215" s="90">
        <v>127000</v>
      </c>
      <c r="AX215" s="86">
        <v>45300</v>
      </c>
      <c r="AY215" s="91" t="s">
        <v>130</v>
      </c>
      <c r="AZ215" s="85">
        <f>AW215</f>
        <v>127000</v>
      </c>
      <c r="BA215" s="123" t="s">
        <v>130</v>
      </c>
      <c r="BB215" s="86" t="s">
        <v>130</v>
      </c>
      <c r="BC215" s="85" t="s">
        <v>130</v>
      </c>
      <c r="BD215" s="85" t="s">
        <v>130</v>
      </c>
      <c r="BE215" s="92">
        <f>SUM(AZ215:BA215,BC215:BD215)</f>
        <v>127000</v>
      </c>
      <c r="BF215" s="92">
        <v>0</v>
      </c>
      <c r="BG215" s="92">
        <v>0</v>
      </c>
      <c r="BH215" s="92">
        <v>0</v>
      </c>
      <c r="BI215" s="92">
        <v>0</v>
      </c>
      <c r="BJ215" s="92">
        <v>0</v>
      </c>
      <c r="BK215" s="92">
        <v>0</v>
      </c>
      <c r="BL215" s="92">
        <v>0</v>
      </c>
      <c r="BM215" s="93">
        <v>127000</v>
      </c>
      <c r="BN215" s="92">
        <v>0</v>
      </c>
      <c r="BO215" s="92">
        <v>0</v>
      </c>
      <c r="BP215" s="92">
        <f>BN215+BO215</f>
        <v>0</v>
      </c>
      <c r="BQ215" s="92">
        <v>0</v>
      </c>
      <c r="BR215" s="92">
        <v>0</v>
      </c>
      <c r="BS215" s="85">
        <f>IFERROR((AW215*20%)/12,"-")</f>
        <v>2116.6666666666665</v>
      </c>
      <c r="BT215" s="94" t="s">
        <v>130</v>
      </c>
      <c r="BU215" s="94" t="s">
        <v>130</v>
      </c>
      <c r="BV215" s="94" t="s">
        <v>130</v>
      </c>
      <c r="BW215" s="95" t="s">
        <v>130</v>
      </c>
      <c r="BX215" s="96" t="s">
        <v>130</v>
      </c>
      <c r="BY215" s="29" t="s">
        <v>130</v>
      </c>
      <c r="BZ215" s="29" t="s">
        <v>130</v>
      </c>
      <c r="CA215" s="29" t="s">
        <v>130</v>
      </c>
      <c r="CB215" s="29" t="s">
        <v>130</v>
      </c>
      <c r="CC215" s="29" t="s">
        <v>130</v>
      </c>
      <c r="CD215" s="29" t="s">
        <v>130</v>
      </c>
      <c r="CE215" s="191" t="str">
        <f>AF215</f>
        <v xml:space="preserve">BARRA MANSA - IPM 0057 E 0060 ACOPLADAS NAS EHH0019 E EHH0015
</v>
      </c>
      <c r="CF215" s="97" t="s">
        <v>130</v>
      </c>
      <c r="CG215" s="97" t="s">
        <v>130</v>
      </c>
      <c r="CH215" s="37">
        <f>BM215</f>
        <v>127000</v>
      </c>
      <c r="CI215" s="98" t="s">
        <v>130</v>
      </c>
      <c r="CJ215" s="39">
        <v>5</v>
      </c>
      <c r="CK215" s="39">
        <v>5</v>
      </c>
      <c r="CL215" s="39">
        <f>12*CK215</f>
        <v>60</v>
      </c>
      <c r="CM215" s="99">
        <f>IFERROR((CH215/CL215)*2,"-")</f>
        <v>4233.333333333333</v>
      </c>
      <c r="CN215" s="40" t="str">
        <f>IFERROR(IF(VLOOKUP(AG215,'[1]ATIVOS SAGI'!C:D,1,FALSE)&lt;&gt;"","CADASTRADO","NÃO CADASTRADO"),"NÃO CADASTRADO")</f>
        <v>NÃO CADASTRADO</v>
      </c>
      <c r="CO215" s="99">
        <f t="shared" si="89"/>
        <v>1058.3333333333335</v>
      </c>
      <c r="CP215" s="100" t="s">
        <v>92</v>
      </c>
      <c r="CQ215" s="100"/>
      <c r="CR215" s="100"/>
      <c r="CS215" s="100"/>
    </row>
    <row r="216" spans="1:97" ht="135" x14ac:dyDescent="0.25">
      <c r="A216" s="27">
        <v>186</v>
      </c>
      <c r="B216" s="27">
        <v>199</v>
      </c>
      <c r="C216" s="29" t="s">
        <v>296</v>
      </c>
      <c r="D216" s="40" t="s">
        <v>49</v>
      </c>
      <c r="E216" s="40" t="s">
        <v>130</v>
      </c>
      <c r="F216" s="84" t="s">
        <v>130</v>
      </c>
      <c r="G216" s="40"/>
      <c r="H216" s="41" t="s">
        <v>130</v>
      </c>
      <c r="I216" s="29" t="s">
        <v>130</v>
      </c>
      <c r="J216" s="29" t="s">
        <v>130</v>
      </c>
      <c r="K216" s="29" t="s">
        <v>130</v>
      </c>
      <c r="L216" s="85" t="s">
        <v>130</v>
      </c>
      <c r="M216" s="86" t="s">
        <v>130</v>
      </c>
      <c r="N216" s="85" t="s">
        <v>130</v>
      </c>
      <c r="O216" s="86" t="s">
        <v>130</v>
      </c>
      <c r="P216" s="85" t="s">
        <v>130</v>
      </c>
      <c r="Q216" s="29" t="s">
        <v>130</v>
      </c>
      <c r="R216" s="85" t="s">
        <v>130</v>
      </c>
      <c r="S216" s="85" t="s">
        <v>130</v>
      </c>
      <c r="T216" s="85" t="s">
        <v>130</v>
      </c>
      <c r="U216" s="85" t="s">
        <v>130</v>
      </c>
      <c r="V216" s="85" t="s">
        <v>130</v>
      </c>
      <c r="W216" s="85" t="s">
        <v>130</v>
      </c>
      <c r="X216" s="85" t="s">
        <v>130</v>
      </c>
      <c r="Y216" s="85" t="s">
        <v>130</v>
      </c>
      <c r="Z216" s="85" t="s">
        <v>130</v>
      </c>
      <c r="AA216" s="85" t="s">
        <v>130</v>
      </c>
      <c r="AB216" s="85" t="s">
        <v>130</v>
      </c>
      <c r="AC216" s="85" t="s">
        <v>130</v>
      </c>
      <c r="AD216" s="85" t="s">
        <v>130</v>
      </c>
      <c r="AE216" s="29" t="s">
        <v>45</v>
      </c>
      <c r="AF216" s="191" t="s">
        <v>858</v>
      </c>
      <c r="AG216" s="40" t="s">
        <v>862</v>
      </c>
      <c r="AH216" s="29" t="s">
        <v>130</v>
      </c>
      <c r="AI216" s="87" t="str">
        <f>IFERROR(VLOOKUP(AG216,[2]Frota!$D$2:$AV$187,2,FALSE),"-")</f>
        <v>-</v>
      </c>
      <c r="AJ216" s="87" t="str">
        <f>IFERROR(VLOOKUP(AG216,[2]Frota!$D$2:$AV$187,3,FALSE),"-")</f>
        <v>-</v>
      </c>
      <c r="AK216" s="29" t="s">
        <v>412</v>
      </c>
      <c r="AL216" s="29" t="s">
        <v>860</v>
      </c>
      <c r="AM216" s="34">
        <v>2023</v>
      </c>
      <c r="AN216" s="34">
        <v>2023</v>
      </c>
      <c r="AO216" s="40" t="s">
        <v>414</v>
      </c>
      <c r="AP216" s="29" t="s">
        <v>861</v>
      </c>
      <c r="AQ216" s="88" t="s">
        <v>303</v>
      </c>
      <c r="AR216" s="89">
        <f>VLOOKUP(AQ216,'[1]Critério de Depreciação'!$C$3:$G$8,5,FALSE)</f>
        <v>0.83333333333333337</v>
      </c>
      <c r="AS216" s="29" t="s">
        <v>130</v>
      </c>
      <c r="AT216" s="29" t="s">
        <v>130</v>
      </c>
      <c r="AU216" s="29" t="str">
        <f>IFERROR(VLOOKUP(#REF!,[2]Frota!$D$2:$AV$187,12,FALSE),"-")</f>
        <v>-</v>
      </c>
      <c r="AV216" s="157">
        <v>296</v>
      </c>
      <c r="AW216" s="90">
        <v>127000</v>
      </c>
      <c r="AX216" s="86">
        <v>45491</v>
      </c>
      <c r="AY216" s="91" t="s">
        <v>130</v>
      </c>
      <c r="AZ216" s="85">
        <f>AW216</f>
        <v>127000</v>
      </c>
      <c r="BA216" s="123" t="s">
        <v>130</v>
      </c>
      <c r="BB216" s="86" t="s">
        <v>130</v>
      </c>
      <c r="BC216" s="85" t="s">
        <v>130</v>
      </c>
      <c r="BD216" s="85" t="s">
        <v>130</v>
      </c>
      <c r="BE216" s="92">
        <f>SUM(AZ216:BA216,BC216:BD216)</f>
        <v>127000</v>
      </c>
      <c r="BF216" s="92">
        <v>0</v>
      </c>
      <c r="BG216" s="92">
        <v>0</v>
      </c>
      <c r="BH216" s="92">
        <v>0</v>
      </c>
      <c r="BI216" s="92">
        <v>0</v>
      </c>
      <c r="BJ216" s="92">
        <v>0</v>
      </c>
      <c r="BK216" s="92">
        <v>0</v>
      </c>
      <c r="BL216" s="92">
        <v>0</v>
      </c>
      <c r="BM216" s="93">
        <v>127000</v>
      </c>
      <c r="BN216" s="92">
        <v>0</v>
      </c>
      <c r="BO216" s="92">
        <v>0</v>
      </c>
      <c r="BP216" s="92">
        <f>BN216+BO216</f>
        <v>0</v>
      </c>
      <c r="BQ216" s="92">
        <v>0</v>
      </c>
      <c r="BR216" s="92">
        <v>0</v>
      </c>
      <c r="BS216" s="85">
        <f>IFERROR((AW216*20%)/12,"-")</f>
        <v>2116.6666666666665</v>
      </c>
      <c r="BT216" s="94" t="s">
        <v>130</v>
      </c>
      <c r="BU216" s="94" t="s">
        <v>130</v>
      </c>
      <c r="BV216" s="94" t="s">
        <v>130</v>
      </c>
      <c r="BW216" s="95" t="s">
        <v>130</v>
      </c>
      <c r="BX216" s="96" t="s">
        <v>130</v>
      </c>
      <c r="BY216" s="29" t="s">
        <v>130</v>
      </c>
      <c r="BZ216" s="29" t="s">
        <v>130</v>
      </c>
      <c r="CA216" s="29" t="s">
        <v>130</v>
      </c>
      <c r="CB216" s="29" t="s">
        <v>130</v>
      </c>
      <c r="CC216" s="29" t="s">
        <v>130</v>
      </c>
      <c r="CD216" s="29" t="s">
        <v>130</v>
      </c>
      <c r="CE216" s="191" t="str">
        <f>AF216</f>
        <v xml:space="preserve">BARRA MANSA - IPM 0057 E 0060 ACOPLADAS NAS EHH0019 E EHH0015
</v>
      </c>
      <c r="CF216" s="97" t="s">
        <v>130</v>
      </c>
      <c r="CG216" s="97" t="s">
        <v>130</v>
      </c>
      <c r="CH216" s="37">
        <f>BM216</f>
        <v>127000</v>
      </c>
      <c r="CI216" s="98" t="s">
        <v>130</v>
      </c>
      <c r="CJ216" s="39">
        <v>5</v>
      </c>
      <c r="CK216" s="39">
        <v>5</v>
      </c>
      <c r="CL216" s="39">
        <f>12*CK216</f>
        <v>60</v>
      </c>
      <c r="CM216" s="99">
        <f>IFERROR((CH216/CL216)*2,"-")</f>
        <v>4233.333333333333</v>
      </c>
      <c r="CN216" s="40" t="str">
        <f>IFERROR(IF(VLOOKUP(AG216,'[1]ATIVOS SAGI'!C:D,1,FALSE)&lt;&gt;"","CADASTRADO","NÃO CADASTRADO"),"NÃO CADASTRADO")</f>
        <v>NÃO CADASTRADO</v>
      </c>
      <c r="CO216" s="99">
        <f t="shared" si="89"/>
        <v>1058.3333333333335</v>
      </c>
      <c r="CP216" s="100" t="s">
        <v>92</v>
      </c>
      <c r="CQ216" s="225"/>
      <c r="CR216" s="225"/>
      <c r="CS216" s="225"/>
    </row>
    <row r="217" spans="1:97" x14ac:dyDescent="0.25">
      <c r="A217" s="27" t="s">
        <v>863</v>
      </c>
      <c r="B217" s="164" t="s">
        <v>130</v>
      </c>
      <c r="C217" s="132" t="s">
        <v>296</v>
      </c>
      <c r="D217" s="84" t="s">
        <v>49</v>
      </c>
      <c r="E217" s="84" t="s">
        <v>130</v>
      </c>
      <c r="F217" s="40" t="s">
        <v>130</v>
      </c>
      <c r="G217" s="84" t="s">
        <v>315</v>
      </c>
      <c r="H217" s="160" t="s">
        <v>325</v>
      </c>
      <c r="I217" s="132" t="s">
        <v>130</v>
      </c>
      <c r="J217" s="132" t="s">
        <v>130</v>
      </c>
      <c r="K217" s="132" t="s">
        <v>130</v>
      </c>
      <c r="L217" s="165" t="s">
        <v>130</v>
      </c>
      <c r="M217" s="166" t="s">
        <v>130</v>
      </c>
      <c r="N217" s="165" t="s">
        <v>130</v>
      </c>
      <c r="O217" s="166" t="s">
        <v>130</v>
      </c>
      <c r="P217" s="165" t="s">
        <v>130</v>
      </c>
      <c r="Q217" s="165" t="s">
        <v>130</v>
      </c>
      <c r="R217" s="165" t="s">
        <v>130</v>
      </c>
      <c r="S217" s="165" t="s">
        <v>130</v>
      </c>
      <c r="T217" s="165" t="s">
        <v>130</v>
      </c>
      <c r="U217" s="165" t="s">
        <v>130</v>
      </c>
      <c r="V217" s="165" t="s">
        <v>130</v>
      </c>
      <c r="W217" s="165" t="s">
        <v>130</v>
      </c>
      <c r="X217" s="165" t="s">
        <v>130</v>
      </c>
      <c r="Y217" s="165" t="s">
        <v>130</v>
      </c>
      <c r="Z217" s="165" t="s">
        <v>130</v>
      </c>
      <c r="AA217" s="165" t="s">
        <v>130</v>
      </c>
      <c r="AB217" s="165" t="s">
        <v>130</v>
      </c>
      <c r="AC217" s="165" t="s">
        <v>130</v>
      </c>
      <c r="AD217" s="165" t="s">
        <v>130</v>
      </c>
      <c r="AE217" s="132" t="s">
        <v>45</v>
      </c>
      <c r="AF217" s="132" t="s">
        <v>59</v>
      </c>
      <c r="AG217" s="84" t="s">
        <v>147</v>
      </c>
      <c r="AH217" s="29" t="s">
        <v>130</v>
      </c>
      <c r="AI217" s="167" t="s">
        <v>130</v>
      </c>
      <c r="AJ217" s="168" t="s">
        <v>130</v>
      </c>
      <c r="AK217" s="132" t="s">
        <v>545</v>
      </c>
      <c r="AL217" s="132" t="s">
        <v>864</v>
      </c>
      <c r="AM217" s="135">
        <v>2025</v>
      </c>
      <c r="AN217" s="135">
        <v>2025</v>
      </c>
      <c r="AO217" s="193" t="s">
        <v>156</v>
      </c>
      <c r="AP217" s="132" t="s">
        <v>865</v>
      </c>
      <c r="AQ217" s="88" t="s">
        <v>305</v>
      </c>
      <c r="AR217" s="89">
        <f>VLOOKUP(AQ217,'[1]Critério de Depreciação'!$C$3:$G$8,5,FALSE)</f>
        <v>0.83333333333333337</v>
      </c>
      <c r="AS217" s="132" t="s">
        <v>130</v>
      </c>
      <c r="AT217" s="132" t="s">
        <v>130</v>
      </c>
      <c r="AU217" s="132" t="s">
        <v>130</v>
      </c>
      <c r="AV217" s="136">
        <v>9251</v>
      </c>
      <c r="AW217" s="169">
        <v>7078708.1399999997</v>
      </c>
      <c r="AX217" s="166">
        <v>45854</v>
      </c>
      <c r="AY217" s="170" t="s">
        <v>130</v>
      </c>
      <c r="AZ217" s="132" t="s">
        <v>130</v>
      </c>
      <c r="BA217" s="132" t="s">
        <v>130</v>
      </c>
      <c r="BB217" s="132" t="s">
        <v>130</v>
      </c>
      <c r="BC217" s="132" t="s">
        <v>130</v>
      </c>
      <c r="BD217" s="132" t="s">
        <v>130</v>
      </c>
      <c r="BE217" s="171" t="s">
        <v>130</v>
      </c>
      <c r="BF217" s="172">
        <v>0</v>
      </c>
      <c r="BG217" s="172">
        <v>0</v>
      </c>
      <c r="BH217" s="172">
        <v>0</v>
      </c>
      <c r="BI217" s="172">
        <v>0</v>
      </c>
      <c r="BJ217" s="172">
        <v>0</v>
      </c>
      <c r="BK217" s="172">
        <v>0</v>
      </c>
      <c r="BL217" s="172">
        <v>0</v>
      </c>
      <c r="BM217" s="194">
        <v>7078708.1399999997</v>
      </c>
      <c r="BN217" s="172">
        <v>0</v>
      </c>
      <c r="BO217" s="172">
        <v>0</v>
      </c>
      <c r="BP217" s="172">
        <v>0</v>
      </c>
      <c r="BQ217" s="172">
        <v>0</v>
      </c>
      <c r="BR217" s="172">
        <v>0</v>
      </c>
      <c r="BS217" s="165" t="s">
        <v>130</v>
      </c>
      <c r="BT217" s="173" t="s">
        <v>130</v>
      </c>
      <c r="BU217" s="173" t="s">
        <v>130</v>
      </c>
      <c r="BV217" s="173" t="s">
        <v>130</v>
      </c>
      <c r="BW217" s="174" t="s">
        <v>130</v>
      </c>
      <c r="BX217" s="175" t="s">
        <v>130</v>
      </c>
      <c r="BY217" s="132" t="s">
        <v>130</v>
      </c>
      <c r="BZ217" s="132" t="s">
        <v>130</v>
      </c>
      <c r="CA217" s="132" t="s">
        <v>130</v>
      </c>
      <c r="CB217" s="132" t="s">
        <v>130</v>
      </c>
      <c r="CC217" s="132" t="s">
        <v>130</v>
      </c>
      <c r="CD217" s="132" t="s">
        <v>130</v>
      </c>
      <c r="CE217" s="132" t="s">
        <v>130</v>
      </c>
      <c r="CF217" s="176" t="s">
        <v>130</v>
      </c>
      <c r="CG217" s="176" t="s">
        <v>130</v>
      </c>
      <c r="CH217" s="184" t="s">
        <v>130</v>
      </c>
      <c r="CI217" s="185" t="s">
        <v>130</v>
      </c>
      <c r="CJ217" s="186" t="s">
        <v>130</v>
      </c>
      <c r="CK217" s="186" t="s">
        <v>130</v>
      </c>
      <c r="CL217" s="186" t="s">
        <v>130</v>
      </c>
      <c r="CM217" s="187" t="s">
        <v>130</v>
      </c>
      <c r="CN217" s="84" t="s">
        <v>130</v>
      </c>
      <c r="CO217" s="99">
        <f t="shared" si="89"/>
        <v>58989.234499999999</v>
      </c>
      <c r="CP217" s="223" t="s">
        <v>81</v>
      </c>
      <c r="CQ217" s="226" t="s">
        <v>455</v>
      </c>
      <c r="CR217" s="226"/>
      <c r="CS217" s="226"/>
    </row>
    <row r="218" spans="1:97" ht="54" x14ac:dyDescent="0.25">
      <c r="A218" s="27">
        <v>213</v>
      </c>
      <c r="B218" s="27" t="s">
        <v>130</v>
      </c>
      <c r="C218" s="29" t="s">
        <v>296</v>
      </c>
      <c r="D218" s="40" t="s">
        <v>49</v>
      </c>
      <c r="E218" s="84" t="s">
        <v>130</v>
      </c>
      <c r="F218" s="40" t="s">
        <v>130</v>
      </c>
      <c r="G218" s="188"/>
      <c r="H218" s="160" t="s">
        <v>130</v>
      </c>
      <c r="I218" s="29" t="s">
        <v>130</v>
      </c>
      <c r="J218" s="161" t="s">
        <v>130</v>
      </c>
      <c r="K218" s="85" t="s">
        <v>130</v>
      </c>
      <c r="L218" s="85" t="s">
        <v>130</v>
      </c>
      <c r="M218" s="86" t="s">
        <v>130</v>
      </c>
      <c r="N218" s="85" t="s">
        <v>130</v>
      </c>
      <c r="O218" s="86" t="s">
        <v>130</v>
      </c>
      <c r="P218" s="85" t="s">
        <v>130</v>
      </c>
      <c r="Q218" s="85" t="s">
        <v>130</v>
      </c>
      <c r="R218" s="85" t="s">
        <v>130</v>
      </c>
      <c r="S218" s="85" t="s">
        <v>130</v>
      </c>
      <c r="T218" s="85" t="s">
        <v>130</v>
      </c>
      <c r="U218" s="85" t="s">
        <v>130</v>
      </c>
      <c r="V218" s="85" t="s">
        <v>130</v>
      </c>
      <c r="W218" s="85" t="s">
        <v>130</v>
      </c>
      <c r="X218" s="85" t="s">
        <v>130</v>
      </c>
      <c r="Y218" s="85" t="s">
        <v>130</v>
      </c>
      <c r="Z218" s="85" t="s">
        <v>130</v>
      </c>
      <c r="AA218" s="85" t="s">
        <v>130</v>
      </c>
      <c r="AB218" s="85" t="s">
        <v>130</v>
      </c>
      <c r="AC218" s="85" t="s">
        <v>130</v>
      </c>
      <c r="AD218" s="85" t="s">
        <v>130</v>
      </c>
      <c r="AE218" s="130" t="s">
        <v>45</v>
      </c>
      <c r="AF218" s="29" t="s">
        <v>46</v>
      </c>
      <c r="AG218" s="40" t="s">
        <v>130</v>
      </c>
      <c r="AH218" s="29" t="s">
        <v>130</v>
      </c>
      <c r="AI218" s="162" t="s">
        <v>130</v>
      </c>
      <c r="AJ218" s="190" t="s">
        <v>130</v>
      </c>
      <c r="AK218" s="29" t="s">
        <v>130</v>
      </c>
      <c r="AL218" s="191" t="s">
        <v>130</v>
      </c>
      <c r="AM218" s="34" t="s">
        <v>130</v>
      </c>
      <c r="AN218" s="34" t="s">
        <v>130</v>
      </c>
      <c r="AO218" s="40" t="s">
        <v>431</v>
      </c>
      <c r="AP218" s="29" t="s">
        <v>866</v>
      </c>
      <c r="AQ218" s="88" t="s">
        <v>305</v>
      </c>
      <c r="AR218" s="89">
        <f>VLOOKUP(AQ218,'[1]Critério de Depreciação'!$C$3:$G$8,5,FALSE)</f>
        <v>0.83333333333333337</v>
      </c>
      <c r="AS218" s="29" t="s">
        <v>130</v>
      </c>
      <c r="AT218" s="29" t="s">
        <v>130</v>
      </c>
      <c r="AU218" s="29" t="s">
        <v>130</v>
      </c>
      <c r="AV218" s="182">
        <v>3719</v>
      </c>
      <c r="AW218" s="90">
        <v>25000</v>
      </c>
      <c r="AX218" s="86">
        <v>42905</v>
      </c>
      <c r="AY218" s="91" t="s">
        <v>130</v>
      </c>
      <c r="AZ218" s="85" t="s">
        <v>130</v>
      </c>
      <c r="BA218" s="123" t="s">
        <v>130</v>
      </c>
      <c r="BB218" s="86" t="s">
        <v>130</v>
      </c>
      <c r="BC218" s="85" t="s">
        <v>130</v>
      </c>
      <c r="BD218" s="85" t="s">
        <v>130</v>
      </c>
      <c r="BE218" s="113">
        <f>SUM(AZ218:BA218,BC218:BD218)</f>
        <v>0</v>
      </c>
      <c r="BF218" s="92">
        <v>0</v>
      </c>
      <c r="BG218" s="92">
        <v>0</v>
      </c>
      <c r="BH218" s="92">
        <v>0</v>
      </c>
      <c r="BI218" s="92">
        <v>0</v>
      </c>
      <c r="BJ218" s="92">
        <v>0</v>
      </c>
      <c r="BK218" s="92">
        <v>0</v>
      </c>
      <c r="BL218" s="92">
        <v>0</v>
      </c>
      <c r="BM218" s="93">
        <v>25000</v>
      </c>
      <c r="BN218" s="92">
        <v>0</v>
      </c>
      <c r="BO218" s="92">
        <v>0</v>
      </c>
      <c r="BP218" s="92">
        <f>BN218+BO218</f>
        <v>0</v>
      </c>
      <c r="BQ218" s="92">
        <v>0</v>
      </c>
      <c r="BR218" s="92">
        <v>0</v>
      </c>
      <c r="BS218" s="85" t="s">
        <v>130</v>
      </c>
      <c r="BT218" s="94" t="s">
        <v>130</v>
      </c>
      <c r="BU218" s="94" t="s">
        <v>130</v>
      </c>
      <c r="BV218" s="94" t="s">
        <v>130</v>
      </c>
      <c r="BW218" s="95" t="s">
        <v>130</v>
      </c>
      <c r="BX218" s="94" t="s">
        <v>130</v>
      </c>
      <c r="BY218" s="29" t="s">
        <v>130</v>
      </c>
      <c r="BZ218" s="29" t="s">
        <v>130</v>
      </c>
      <c r="CA218" s="29" t="s">
        <v>130</v>
      </c>
      <c r="CB218" s="29" t="s">
        <v>130</v>
      </c>
      <c r="CC218" s="29" t="s">
        <v>130</v>
      </c>
      <c r="CD218" s="29" t="s">
        <v>130</v>
      </c>
      <c r="CE218" s="191" t="str">
        <f>AF218</f>
        <v>SP - PRUDENTE - SUCATA</v>
      </c>
      <c r="CF218" s="97" t="s">
        <v>130</v>
      </c>
      <c r="CG218" s="97" t="s">
        <v>130</v>
      </c>
      <c r="CH218" s="37" t="s">
        <v>130</v>
      </c>
      <c r="CI218" s="98" t="s">
        <v>130</v>
      </c>
      <c r="CJ218" s="39">
        <v>5</v>
      </c>
      <c r="CK218" s="39">
        <v>5</v>
      </c>
      <c r="CL218" s="39" t="s">
        <v>130</v>
      </c>
      <c r="CM218" s="99" t="s">
        <v>130</v>
      </c>
      <c r="CN218" s="88" t="s">
        <v>130</v>
      </c>
      <c r="CO218" s="99">
        <f t="shared" si="89"/>
        <v>208.33333333333337</v>
      </c>
      <c r="CP218" s="100" t="s">
        <v>92</v>
      </c>
      <c r="CQ218" s="225"/>
      <c r="CR218" s="225"/>
      <c r="CS218" s="225"/>
    </row>
    <row r="219" spans="1:97" x14ac:dyDescent="0.25">
      <c r="A219" s="27">
        <v>47</v>
      </c>
      <c r="B219" s="27">
        <v>86</v>
      </c>
      <c r="C219" s="29" t="s">
        <v>296</v>
      </c>
      <c r="D219" s="40" t="s">
        <v>49</v>
      </c>
      <c r="E219" s="40" t="s">
        <v>130</v>
      </c>
      <c r="F219" s="40" t="s">
        <v>130</v>
      </c>
      <c r="G219" s="40" t="s">
        <v>781</v>
      </c>
      <c r="H219" s="41" t="s">
        <v>867</v>
      </c>
      <c r="I219" s="29" t="s">
        <v>130</v>
      </c>
      <c r="J219" s="29" t="s">
        <v>130</v>
      </c>
      <c r="K219" s="29" t="s">
        <v>130</v>
      </c>
      <c r="L219" s="105">
        <v>167.74</v>
      </c>
      <c r="M219" s="86" t="s">
        <v>130</v>
      </c>
      <c r="N219" s="85">
        <v>0</v>
      </c>
      <c r="O219" s="86" t="s">
        <v>130</v>
      </c>
      <c r="P219" s="85">
        <v>0</v>
      </c>
      <c r="Q219" s="29" t="s">
        <v>80</v>
      </c>
      <c r="R219" s="85">
        <v>0</v>
      </c>
      <c r="S219" s="85">
        <v>0</v>
      </c>
      <c r="T219" s="85">
        <v>0</v>
      </c>
      <c r="U219" s="85">
        <v>0</v>
      </c>
      <c r="V219" s="85">
        <v>0</v>
      </c>
      <c r="W219" s="86" t="s">
        <v>130</v>
      </c>
      <c r="X219" s="86" t="s">
        <v>130</v>
      </c>
      <c r="Y219" s="85">
        <v>174.08</v>
      </c>
      <c r="Z219" s="85">
        <f>U219+Y219</f>
        <v>174.08</v>
      </c>
      <c r="AA219" s="85">
        <f>V219+Y219</f>
        <v>174.08</v>
      </c>
      <c r="AB219" s="85">
        <v>0</v>
      </c>
      <c r="AC219" s="85">
        <v>0</v>
      </c>
      <c r="AD219" s="85">
        <v>0</v>
      </c>
      <c r="AE219" s="29" t="s">
        <v>45</v>
      </c>
      <c r="AF219" s="29" t="s">
        <v>868</v>
      </c>
      <c r="AG219" s="88" t="s">
        <v>869</v>
      </c>
      <c r="AH219" s="102" t="s">
        <v>474</v>
      </c>
      <c r="AI219" s="107" t="str">
        <f>IFERROR(VLOOKUP(AG219,[2]Frota!$D$2:$AV$187,2,FALSE),"-")</f>
        <v>01235748968</v>
      </c>
      <c r="AJ219" s="87" t="str">
        <f>IFERROR(VLOOKUP(AG219,[2]Frota!$D$2:$AV$187,3,FALSE),"-")</f>
        <v>VV9S3G127KA100014</v>
      </c>
      <c r="AK219" s="29" t="s">
        <v>545</v>
      </c>
      <c r="AL219" s="29" t="s">
        <v>870</v>
      </c>
      <c r="AM219" s="34" t="s">
        <v>130</v>
      </c>
      <c r="AN219" s="34" t="s">
        <v>130</v>
      </c>
      <c r="AO219" s="152" t="s">
        <v>157</v>
      </c>
      <c r="AP219" s="29" t="s">
        <v>866</v>
      </c>
      <c r="AQ219" s="88" t="s">
        <v>305</v>
      </c>
      <c r="AR219" s="89">
        <f>VLOOKUP(AQ219,'[1]Critério de Depreciação'!$C$3:$G$8,5,FALSE)</f>
        <v>0.83333333333333337</v>
      </c>
      <c r="AS219" s="29" t="s">
        <v>299</v>
      </c>
      <c r="AT219" s="29" t="s">
        <v>300</v>
      </c>
      <c r="AU219" s="29" t="str">
        <f>IFERROR(VLOOKUP(AG262,[2]Frota!$D$2:$AV$187,12,FALSE),"-")</f>
        <v>-</v>
      </c>
      <c r="AV219" s="157">
        <v>5672</v>
      </c>
      <c r="AW219" s="90">
        <v>312656.7</v>
      </c>
      <c r="AX219" s="86">
        <v>45188</v>
      </c>
      <c r="AY219" s="91" t="s">
        <v>130</v>
      </c>
      <c r="AZ219" s="85">
        <v>2500000</v>
      </c>
      <c r="BA219" s="123" t="s">
        <v>130</v>
      </c>
      <c r="BB219" s="86" t="s">
        <v>130</v>
      </c>
      <c r="BC219" s="85" t="s">
        <v>130</v>
      </c>
      <c r="BD219" s="85" t="s">
        <v>130</v>
      </c>
      <c r="BE219" s="92">
        <f>SUM(AZ219:BA219,BC219:BD219)</f>
        <v>2500000</v>
      </c>
      <c r="BF219" s="92">
        <v>0</v>
      </c>
      <c r="BG219" s="92">
        <v>3375000</v>
      </c>
      <c r="BH219" s="92">
        <v>0</v>
      </c>
      <c r="BI219" s="92">
        <v>0</v>
      </c>
      <c r="BJ219" s="92">
        <v>0</v>
      </c>
      <c r="BK219" s="92">
        <v>0</v>
      </c>
      <c r="BL219" s="92">
        <v>0</v>
      </c>
      <c r="BM219" s="93">
        <f>SUM(BG219:BL219)</f>
        <v>3375000</v>
      </c>
      <c r="BN219" s="92">
        <f>(BG219*20%)/12</f>
        <v>56250</v>
      </c>
      <c r="BO219" s="92">
        <v>0</v>
      </c>
      <c r="BP219" s="92">
        <f>BN219+BO219</f>
        <v>56250</v>
      </c>
      <c r="BQ219" s="92">
        <v>0</v>
      </c>
      <c r="BR219" s="92">
        <v>0</v>
      </c>
      <c r="BS219" s="85">
        <f>IFERROR((AW219*20%)/12,"-")</f>
        <v>5210.9450000000006</v>
      </c>
      <c r="BT219" s="94">
        <v>69.900000000000006</v>
      </c>
      <c r="BU219" s="94" t="s">
        <v>130</v>
      </c>
      <c r="BV219" s="94" t="s">
        <v>130</v>
      </c>
      <c r="BW219" s="95" t="s">
        <v>130</v>
      </c>
      <c r="BX219" s="96" t="s">
        <v>130</v>
      </c>
      <c r="BY219" s="29" t="s">
        <v>327</v>
      </c>
      <c r="BZ219" s="29" t="s">
        <v>327</v>
      </c>
      <c r="CA219" s="29" t="s">
        <v>130</v>
      </c>
      <c r="CB219" s="29" t="s">
        <v>130</v>
      </c>
      <c r="CC219" s="29" t="s">
        <v>130</v>
      </c>
      <c r="CD219" s="29" t="s">
        <v>871</v>
      </c>
      <c r="CE219" s="29" t="str">
        <f>AF219</f>
        <v>SP - GERDAU</v>
      </c>
      <c r="CF219" s="97" t="s">
        <v>130</v>
      </c>
      <c r="CG219" s="97" t="s">
        <v>130</v>
      </c>
      <c r="CH219" s="37">
        <f>BM219</f>
        <v>3375000</v>
      </c>
      <c r="CI219" s="98" t="s">
        <v>130</v>
      </c>
      <c r="CJ219" s="39">
        <v>5</v>
      </c>
      <c r="CK219" s="39">
        <v>5</v>
      </c>
      <c r="CL219" s="39">
        <f>12*CK219</f>
        <v>60</v>
      </c>
      <c r="CM219" s="99">
        <f>IFERROR((CH219/CL219)*2,"-")</f>
        <v>112500</v>
      </c>
      <c r="CN219" s="40" t="str">
        <f>IFERROR(IF(VLOOKUP(AG219,'[1]ATIVOS SAGI'!C:D,1,FALSE)&lt;&gt;"","CADASTRADO","NÃO CADASTRADO"),"NÃO CADASTRADO")</f>
        <v>CADASTRADO</v>
      </c>
      <c r="CO219" s="99">
        <f t="shared" si="89"/>
        <v>28125</v>
      </c>
      <c r="CP219" s="100" t="s">
        <v>92</v>
      </c>
      <c r="CQ219" s="227">
        <v>38000</v>
      </c>
      <c r="CR219" s="100" t="s">
        <v>456</v>
      </c>
      <c r="CS219" s="100"/>
    </row>
    <row r="220" spans="1:97" x14ac:dyDescent="0.25">
      <c r="A220" s="27">
        <v>48</v>
      </c>
      <c r="B220" s="27">
        <v>87</v>
      </c>
      <c r="C220" s="29" t="s">
        <v>296</v>
      </c>
      <c r="D220" s="40" t="s">
        <v>49</v>
      </c>
      <c r="E220" s="40" t="s">
        <v>130</v>
      </c>
      <c r="F220" s="84" t="s">
        <v>130</v>
      </c>
      <c r="G220" s="40" t="s">
        <v>489</v>
      </c>
      <c r="H220" s="41" t="s">
        <v>325</v>
      </c>
      <c r="I220" s="29" t="s">
        <v>130</v>
      </c>
      <c r="J220" s="29" t="s">
        <v>130</v>
      </c>
      <c r="K220" s="85" t="s">
        <v>466</v>
      </c>
      <c r="L220" s="85">
        <v>167.74</v>
      </c>
      <c r="M220" s="86" t="s">
        <v>130</v>
      </c>
      <c r="N220" s="85">
        <v>0</v>
      </c>
      <c r="O220" s="86" t="s">
        <v>130</v>
      </c>
      <c r="P220" s="85">
        <v>0</v>
      </c>
      <c r="Q220" s="29" t="s">
        <v>80</v>
      </c>
      <c r="R220" s="85">
        <v>0</v>
      </c>
      <c r="S220" s="85">
        <v>0</v>
      </c>
      <c r="T220" s="85">
        <v>0</v>
      </c>
      <c r="U220" s="85">
        <v>0</v>
      </c>
      <c r="V220" s="85">
        <v>0</v>
      </c>
      <c r="W220" s="86" t="s">
        <v>130</v>
      </c>
      <c r="X220" s="86" t="s">
        <v>130</v>
      </c>
      <c r="Y220" s="85">
        <v>174.08</v>
      </c>
      <c r="Z220" s="85">
        <f>U220+Y220</f>
        <v>174.08</v>
      </c>
      <c r="AA220" s="85">
        <f>V220+Y220</f>
        <v>174.08</v>
      </c>
      <c r="AB220" s="85">
        <v>0</v>
      </c>
      <c r="AC220" s="85">
        <v>0</v>
      </c>
      <c r="AD220" s="85">
        <v>0</v>
      </c>
      <c r="AE220" s="29" t="s">
        <v>45</v>
      </c>
      <c r="AF220" s="29" t="s">
        <v>151</v>
      </c>
      <c r="AG220" s="40" t="s">
        <v>152</v>
      </c>
      <c r="AH220" s="29" t="s">
        <v>468</v>
      </c>
      <c r="AI220" s="87" t="str">
        <f>IFERROR(VLOOKUP(AG220,[2]Frota!$D$2:$AV$187,2,FALSE),"-")</f>
        <v>01281034034</v>
      </c>
      <c r="AJ220" s="87" t="str">
        <f>IFERROR(VLOOKUP(AG220,[2]Frota!$D$2:$AV$187,3,FALSE),"-")</f>
        <v>VV9S3G120MA100004</v>
      </c>
      <c r="AK220" s="29" t="s">
        <v>545</v>
      </c>
      <c r="AL220" s="29" t="s">
        <v>870</v>
      </c>
      <c r="AM220" s="34" t="s">
        <v>130</v>
      </c>
      <c r="AN220" s="34" t="s">
        <v>130</v>
      </c>
      <c r="AO220" s="152" t="s">
        <v>157</v>
      </c>
      <c r="AP220" s="29" t="s">
        <v>866</v>
      </c>
      <c r="AQ220" s="88" t="s">
        <v>305</v>
      </c>
      <c r="AR220" s="89">
        <f>VLOOKUP(AQ220,'[1]Critério de Depreciação'!$C$3:$G$8,5,FALSE)</f>
        <v>0.83333333333333337</v>
      </c>
      <c r="AS220" s="29" t="s">
        <v>299</v>
      </c>
      <c r="AT220" s="29" t="s">
        <v>323</v>
      </c>
      <c r="AU220" s="29" t="str">
        <f>IFERROR(VLOOKUP(AG263,[2]Frota!$D$2:$AV$187,12,FALSE),"-")</f>
        <v>-</v>
      </c>
      <c r="AV220" s="157">
        <v>7241</v>
      </c>
      <c r="AW220" s="90">
        <v>2084881.12</v>
      </c>
      <c r="AX220" s="86">
        <v>44463</v>
      </c>
      <c r="AY220" s="91" t="s">
        <v>130</v>
      </c>
      <c r="AZ220" s="85">
        <v>2500000</v>
      </c>
      <c r="BA220" s="123" t="s">
        <v>130</v>
      </c>
      <c r="BB220" s="86" t="s">
        <v>130</v>
      </c>
      <c r="BC220" s="85" t="s">
        <v>130</v>
      </c>
      <c r="BD220" s="85" t="s">
        <v>130</v>
      </c>
      <c r="BE220" s="92">
        <f>SUM(AZ220:BA220,BC220:BD220)</f>
        <v>2500000</v>
      </c>
      <c r="BF220" s="92">
        <v>0</v>
      </c>
      <c r="BG220" s="92">
        <v>3375000</v>
      </c>
      <c r="BH220" s="92">
        <v>0</v>
      </c>
      <c r="BI220" s="92">
        <v>0</v>
      </c>
      <c r="BJ220" s="92">
        <v>0</v>
      </c>
      <c r="BK220" s="92">
        <v>0</v>
      </c>
      <c r="BL220" s="92">
        <v>0</v>
      </c>
      <c r="BM220" s="93">
        <f>SUM(BG220:BL220)</f>
        <v>3375000</v>
      </c>
      <c r="BN220" s="92">
        <f>(BG220*20%)/12</f>
        <v>56250</v>
      </c>
      <c r="BO220" s="92">
        <v>0</v>
      </c>
      <c r="BP220" s="92">
        <f>BN220+BO220</f>
        <v>56250</v>
      </c>
      <c r="BQ220" s="92">
        <v>0</v>
      </c>
      <c r="BR220" s="92">
        <v>0</v>
      </c>
      <c r="BS220" s="85">
        <f>IFERROR((AW220*20%)/12,"-")</f>
        <v>34748.01866666667</v>
      </c>
      <c r="BT220" s="94">
        <v>69.900000000000006</v>
      </c>
      <c r="BU220" s="94" t="s">
        <v>130</v>
      </c>
      <c r="BV220" s="94" t="s">
        <v>130</v>
      </c>
      <c r="BW220" s="95" t="s">
        <v>130</v>
      </c>
      <c r="BX220" s="96" t="s">
        <v>130</v>
      </c>
      <c r="BY220" s="29" t="s">
        <v>327</v>
      </c>
      <c r="BZ220" s="29" t="s">
        <v>849</v>
      </c>
      <c r="CA220" s="29" t="s">
        <v>130</v>
      </c>
      <c r="CB220" s="29" t="s">
        <v>130</v>
      </c>
      <c r="CC220" s="29" t="s">
        <v>130</v>
      </c>
      <c r="CD220" s="29" t="s">
        <v>872</v>
      </c>
      <c r="CE220" s="29" t="str">
        <f>AF220</f>
        <v>RJ - RESENDE</v>
      </c>
      <c r="CF220" s="97" t="s">
        <v>130</v>
      </c>
      <c r="CG220" s="97" t="s">
        <v>130</v>
      </c>
      <c r="CH220" s="37">
        <f>BM220</f>
        <v>3375000</v>
      </c>
      <c r="CI220" s="98" t="s">
        <v>130</v>
      </c>
      <c r="CJ220" s="39">
        <v>5</v>
      </c>
      <c r="CK220" s="39">
        <v>5</v>
      </c>
      <c r="CL220" s="39">
        <f>12*CK220</f>
        <v>60</v>
      </c>
      <c r="CM220" s="99">
        <f>IFERROR((CH220/CL220)*2,"-")</f>
        <v>112500</v>
      </c>
      <c r="CN220" s="40" t="str">
        <f>IFERROR(IF(VLOOKUP(AG220,'[1]ATIVOS SAGI'!C:D,1,FALSE)&lt;&gt;"","CADASTRADO","NÃO CADASTRADO"),"NÃO CADASTRADO")</f>
        <v>CADASTRADO</v>
      </c>
      <c r="CO220" s="99">
        <f t="shared" si="89"/>
        <v>28125</v>
      </c>
      <c r="CP220" s="100" t="s">
        <v>92</v>
      </c>
      <c r="CQ220" s="227">
        <v>38000</v>
      </c>
      <c r="CR220" s="100"/>
      <c r="CS220" s="100"/>
    </row>
    <row r="221" spans="1:97" x14ac:dyDescent="0.25">
      <c r="A221" s="27">
        <v>49</v>
      </c>
      <c r="B221" s="27">
        <v>88</v>
      </c>
      <c r="C221" s="29" t="s">
        <v>296</v>
      </c>
      <c r="D221" s="40" t="s">
        <v>49</v>
      </c>
      <c r="E221" s="40" t="s">
        <v>130</v>
      </c>
      <c r="F221" s="40" t="s">
        <v>130</v>
      </c>
      <c r="G221" s="40" t="s">
        <v>489</v>
      </c>
      <c r="H221" s="41" t="s">
        <v>873</v>
      </c>
      <c r="I221" s="29" t="s">
        <v>130</v>
      </c>
      <c r="J221" s="29" t="s">
        <v>130</v>
      </c>
      <c r="K221" s="85" t="s">
        <v>466</v>
      </c>
      <c r="L221" s="85">
        <v>167.74</v>
      </c>
      <c r="M221" s="86" t="s">
        <v>130</v>
      </c>
      <c r="N221" s="85">
        <v>0</v>
      </c>
      <c r="O221" s="86" t="s">
        <v>130</v>
      </c>
      <c r="P221" s="85">
        <v>0</v>
      </c>
      <c r="Q221" s="29" t="s">
        <v>80</v>
      </c>
      <c r="R221" s="85">
        <v>0</v>
      </c>
      <c r="S221" s="85">
        <v>0</v>
      </c>
      <c r="T221" s="85">
        <v>0</v>
      </c>
      <c r="U221" s="85">
        <v>0</v>
      </c>
      <c r="V221" s="85">
        <v>0</v>
      </c>
      <c r="W221" s="86" t="s">
        <v>130</v>
      </c>
      <c r="X221" s="86" t="s">
        <v>130</v>
      </c>
      <c r="Y221" s="85">
        <v>174.08</v>
      </c>
      <c r="Z221" s="85">
        <f>U221+Y221</f>
        <v>174.08</v>
      </c>
      <c r="AA221" s="85">
        <f>V221+Y221</f>
        <v>174.08</v>
      </c>
      <c r="AB221" s="85">
        <v>0</v>
      </c>
      <c r="AC221" s="85">
        <v>0</v>
      </c>
      <c r="AD221" s="85">
        <v>0</v>
      </c>
      <c r="AE221" s="29" t="s">
        <v>45</v>
      </c>
      <c r="AF221" s="29" t="s">
        <v>158</v>
      </c>
      <c r="AG221" s="40" t="s">
        <v>162</v>
      </c>
      <c r="AH221" s="29" t="s">
        <v>474</v>
      </c>
      <c r="AI221" s="87" t="str">
        <f>IFERROR(VLOOKUP(AG221,[2]Frota!$D$2:$AV$187,2,FALSE),"-")</f>
        <v>01168247168</v>
      </c>
      <c r="AJ221" s="87" t="str">
        <f>IFERROR(VLOOKUP(AG221,[2]Frota!$D$2:$AV$187,3,FALSE),"-")</f>
        <v>VV9S3G116HA100019</v>
      </c>
      <c r="AK221" s="29" t="s">
        <v>545</v>
      </c>
      <c r="AL221" s="29" t="s">
        <v>870</v>
      </c>
      <c r="AM221" s="34" t="s">
        <v>130</v>
      </c>
      <c r="AN221" s="34" t="s">
        <v>130</v>
      </c>
      <c r="AO221" s="152" t="s">
        <v>157</v>
      </c>
      <c r="AP221" s="29" t="s">
        <v>866</v>
      </c>
      <c r="AQ221" s="88" t="s">
        <v>305</v>
      </c>
      <c r="AR221" s="89">
        <f>VLOOKUP(AQ221,'[1]Critério de Depreciação'!$C$3:$G$8,5,FALSE)</f>
        <v>0.83333333333333337</v>
      </c>
      <c r="AS221" s="29" t="s">
        <v>130</v>
      </c>
      <c r="AT221" s="29" t="s">
        <v>311</v>
      </c>
      <c r="AU221" s="29" t="str">
        <f>IFERROR(VLOOKUP(AG264,[2]Frota!$D$2:$AV$187,12,FALSE),"-")</f>
        <v>-</v>
      </c>
      <c r="AV221" s="157">
        <v>4254</v>
      </c>
      <c r="AW221" s="90">
        <v>307397.82</v>
      </c>
      <c r="AX221" s="86">
        <v>43095</v>
      </c>
      <c r="AY221" s="91" t="s">
        <v>130</v>
      </c>
      <c r="AZ221" s="85">
        <v>2400000</v>
      </c>
      <c r="BA221" s="123" t="s">
        <v>130</v>
      </c>
      <c r="BB221" s="86" t="s">
        <v>130</v>
      </c>
      <c r="BC221" s="85" t="s">
        <v>130</v>
      </c>
      <c r="BD221" s="85" t="s">
        <v>130</v>
      </c>
      <c r="BE221" s="92">
        <f>SUM(AZ221:BA221,BC221:BD221)</f>
        <v>2400000</v>
      </c>
      <c r="BF221" s="92">
        <v>0</v>
      </c>
      <c r="BG221" s="92">
        <v>3375000</v>
      </c>
      <c r="BH221" s="92">
        <v>0</v>
      </c>
      <c r="BI221" s="92">
        <v>0</v>
      </c>
      <c r="BJ221" s="92">
        <v>0</v>
      </c>
      <c r="BK221" s="92">
        <v>0</v>
      </c>
      <c r="BL221" s="92">
        <v>0</v>
      </c>
      <c r="BM221" s="93">
        <f>SUM(BG221:BL221)</f>
        <v>3375000</v>
      </c>
      <c r="BN221" s="92">
        <f>(BG221*20%)/12</f>
        <v>56250</v>
      </c>
      <c r="BO221" s="92">
        <v>0</v>
      </c>
      <c r="BP221" s="92">
        <f>BN221+BO221</f>
        <v>56250</v>
      </c>
      <c r="BQ221" s="92">
        <v>0</v>
      </c>
      <c r="BR221" s="92">
        <v>0</v>
      </c>
      <c r="BS221" s="85">
        <f>IFERROR((AW221*20%)/12,"-")</f>
        <v>5123.2970000000005</v>
      </c>
      <c r="BT221" s="94">
        <v>69.900000000000006</v>
      </c>
      <c r="BU221" s="94" t="s">
        <v>130</v>
      </c>
      <c r="BV221" s="94" t="s">
        <v>130</v>
      </c>
      <c r="BW221" s="95" t="s">
        <v>130</v>
      </c>
      <c r="BX221" s="96" t="s">
        <v>130</v>
      </c>
      <c r="BY221" s="29" t="s">
        <v>849</v>
      </c>
      <c r="BZ221" s="29" t="s">
        <v>327</v>
      </c>
      <c r="CA221" s="29" t="s">
        <v>130</v>
      </c>
      <c r="CB221" s="29" t="s">
        <v>130</v>
      </c>
      <c r="CC221" s="29" t="s">
        <v>130</v>
      </c>
      <c r="CD221" s="29" t="s">
        <v>874</v>
      </c>
      <c r="CE221" s="29" t="str">
        <f>AF221</f>
        <v>SP - SELETIVA (variável)</v>
      </c>
      <c r="CF221" s="97" t="s">
        <v>130</v>
      </c>
      <c r="CG221" s="97" t="s">
        <v>130</v>
      </c>
      <c r="CH221" s="37">
        <f>BM221</f>
        <v>3375000</v>
      </c>
      <c r="CI221" s="98" t="s">
        <v>130</v>
      </c>
      <c r="CJ221" s="39">
        <v>5</v>
      </c>
      <c r="CK221" s="39">
        <v>5</v>
      </c>
      <c r="CL221" s="39">
        <f>12*CK221</f>
        <v>60</v>
      </c>
      <c r="CM221" s="99">
        <f>IFERROR((CH221/CL221)*2,"-")</f>
        <v>112500</v>
      </c>
      <c r="CN221" s="40" t="str">
        <f>IFERROR(IF(VLOOKUP(AG221,'[1]ATIVOS SAGI'!C:D,1,FALSE)&lt;&gt;"","CADASTRADO","NÃO CADASTRADO"),"NÃO CADASTRADO")</f>
        <v>CADASTRADO</v>
      </c>
      <c r="CO221" s="99">
        <f t="shared" si="89"/>
        <v>28125</v>
      </c>
      <c r="CP221" s="100" t="s">
        <v>92</v>
      </c>
      <c r="CQ221" s="227">
        <v>38000</v>
      </c>
      <c r="CR221" s="100"/>
      <c r="CS221" s="100"/>
    </row>
    <row r="222" spans="1:97" x14ac:dyDescent="0.25">
      <c r="A222" s="27">
        <v>231</v>
      </c>
      <c r="B222" s="164" t="s">
        <v>130</v>
      </c>
      <c r="C222" s="130" t="s">
        <v>296</v>
      </c>
      <c r="D222" s="103" t="s">
        <v>49</v>
      </c>
      <c r="E222" s="84" t="s">
        <v>130</v>
      </c>
      <c r="F222" s="40" t="s">
        <v>130</v>
      </c>
      <c r="G222" s="84" t="s">
        <v>489</v>
      </c>
      <c r="H222" s="160" t="s">
        <v>875</v>
      </c>
      <c r="I222" s="132" t="s">
        <v>130</v>
      </c>
      <c r="J222" s="132" t="s">
        <v>130</v>
      </c>
      <c r="K222" s="132" t="s">
        <v>130</v>
      </c>
      <c r="L222" s="165" t="s">
        <v>130</v>
      </c>
      <c r="M222" s="166" t="s">
        <v>130</v>
      </c>
      <c r="N222" s="165" t="s">
        <v>130</v>
      </c>
      <c r="O222" s="166" t="s">
        <v>130</v>
      </c>
      <c r="P222" s="165" t="s">
        <v>130</v>
      </c>
      <c r="Q222" s="165" t="s">
        <v>130</v>
      </c>
      <c r="R222" s="165" t="s">
        <v>130</v>
      </c>
      <c r="S222" s="165" t="s">
        <v>130</v>
      </c>
      <c r="T222" s="165" t="s">
        <v>130</v>
      </c>
      <c r="U222" s="165" t="s">
        <v>130</v>
      </c>
      <c r="V222" s="165" t="s">
        <v>130</v>
      </c>
      <c r="W222" s="165" t="s">
        <v>130</v>
      </c>
      <c r="X222" s="165" t="s">
        <v>130</v>
      </c>
      <c r="Y222" s="165" t="s">
        <v>876</v>
      </c>
      <c r="Z222" s="165" t="s">
        <v>130</v>
      </c>
      <c r="AA222" s="165" t="s">
        <v>130</v>
      </c>
      <c r="AB222" s="165" t="s">
        <v>130</v>
      </c>
      <c r="AC222" s="165" t="s">
        <v>130</v>
      </c>
      <c r="AD222" s="165" t="s">
        <v>130</v>
      </c>
      <c r="AE222" s="132" t="s">
        <v>45</v>
      </c>
      <c r="AF222" s="29" t="s">
        <v>158</v>
      </c>
      <c r="AG222" s="84" t="s">
        <v>163</v>
      </c>
      <c r="AH222" s="132" t="s">
        <v>130</v>
      </c>
      <c r="AI222" s="167" t="s">
        <v>130</v>
      </c>
      <c r="AJ222" s="168" t="s">
        <v>877</v>
      </c>
      <c r="AK222" s="132" t="s">
        <v>545</v>
      </c>
      <c r="AL222" s="132" t="s">
        <v>870</v>
      </c>
      <c r="AM222" s="135">
        <v>2025</v>
      </c>
      <c r="AN222" s="135">
        <v>2025</v>
      </c>
      <c r="AO222" s="84" t="s">
        <v>157</v>
      </c>
      <c r="AP222" s="29" t="s">
        <v>866</v>
      </c>
      <c r="AQ222" s="88" t="s">
        <v>305</v>
      </c>
      <c r="AR222" s="89">
        <f>VLOOKUP(AQ222,'[1]Critério de Depreciação'!$C$3:$G$8,5,FALSE)</f>
        <v>0.83333333333333337</v>
      </c>
      <c r="AS222" s="132" t="s">
        <v>130</v>
      </c>
      <c r="AT222" s="132" t="s">
        <v>130</v>
      </c>
      <c r="AU222" s="132" t="s">
        <v>130</v>
      </c>
      <c r="AV222" s="136">
        <v>9341</v>
      </c>
      <c r="AW222" s="169">
        <v>2877805.93</v>
      </c>
      <c r="AX222" s="166" t="s">
        <v>130</v>
      </c>
      <c r="AY222" s="170" t="s">
        <v>130</v>
      </c>
      <c r="AZ222" s="132" t="s">
        <v>130</v>
      </c>
      <c r="BA222" s="132" t="s">
        <v>130</v>
      </c>
      <c r="BB222" s="132" t="s">
        <v>130</v>
      </c>
      <c r="BC222" s="132" t="s">
        <v>130</v>
      </c>
      <c r="BD222" s="132" t="s">
        <v>130</v>
      </c>
      <c r="BE222" s="171" t="s">
        <v>130</v>
      </c>
      <c r="BF222" s="172">
        <v>0</v>
      </c>
      <c r="BG222" s="172">
        <v>0</v>
      </c>
      <c r="BH222" s="172">
        <v>0</v>
      </c>
      <c r="BI222" s="172">
        <v>0</v>
      </c>
      <c r="BJ222" s="172">
        <v>0</v>
      </c>
      <c r="BK222" s="172">
        <v>0</v>
      </c>
      <c r="BL222" s="172">
        <v>0</v>
      </c>
      <c r="BM222" s="194">
        <v>2877805.93</v>
      </c>
      <c r="BN222" s="172">
        <v>0</v>
      </c>
      <c r="BO222" s="172">
        <v>0</v>
      </c>
      <c r="BP222" s="172">
        <v>0</v>
      </c>
      <c r="BQ222" s="172">
        <v>0</v>
      </c>
      <c r="BR222" s="172">
        <v>0</v>
      </c>
      <c r="BS222" s="165" t="s">
        <v>130</v>
      </c>
      <c r="BT222" s="173" t="s">
        <v>130</v>
      </c>
      <c r="BU222" s="173" t="s">
        <v>130</v>
      </c>
      <c r="BV222" s="173" t="s">
        <v>130</v>
      </c>
      <c r="BW222" s="174" t="s">
        <v>130</v>
      </c>
      <c r="BX222" s="175" t="s">
        <v>130</v>
      </c>
      <c r="BY222" s="132" t="s">
        <v>130</v>
      </c>
      <c r="BZ222" s="132" t="s">
        <v>130</v>
      </c>
      <c r="CA222" s="132" t="s">
        <v>130</v>
      </c>
      <c r="CB222" s="132" t="s">
        <v>130</v>
      </c>
      <c r="CC222" s="132" t="s">
        <v>130</v>
      </c>
      <c r="CD222" s="132" t="s">
        <v>130</v>
      </c>
      <c r="CE222" s="132" t="s">
        <v>130</v>
      </c>
      <c r="CF222" s="176" t="s">
        <v>130</v>
      </c>
      <c r="CG222" s="176" t="s">
        <v>130</v>
      </c>
      <c r="CH222" s="184" t="s">
        <v>130</v>
      </c>
      <c r="CI222" s="185" t="s">
        <v>130</v>
      </c>
      <c r="CJ222" s="186" t="s">
        <v>130</v>
      </c>
      <c r="CK222" s="186" t="s">
        <v>130</v>
      </c>
      <c r="CL222" s="186" t="s">
        <v>130</v>
      </c>
      <c r="CM222" s="187" t="s">
        <v>130</v>
      </c>
      <c r="CN222" s="84" t="s">
        <v>130</v>
      </c>
      <c r="CO222" s="99">
        <f t="shared" si="89"/>
        <v>23981.716083333333</v>
      </c>
      <c r="CP222" s="100" t="s">
        <v>92</v>
      </c>
      <c r="CQ222" s="227">
        <v>38000</v>
      </c>
      <c r="CR222" s="225"/>
      <c r="CS222" s="225"/>
    </row>
    <row r="223" spans="1:97" x14ac:dyDescent="0.25">
      <c r="A223" s="27">
        <v>50</v>
      </c>
      <c r="B223" s="27">
        <v>89</v>
      </c>
      <c r="C223" s="29" t="s">
        <v>296</v>
      </c>
      <c r="D223" s="40" t="s">
        <v>49</v>
      </c>
      <c r="E223" s="40" t="s">
        <v>130</v>
      </c>
      <c r="F223" s="40" t="s">
        <v>130</v>
      </c>
      <c r="G223" s="40" t="s">
        <v>781</v>
      </c>
      <c r="H223" s="41" t="s">
        <v>867</v>
      </c>
      <c r="I223" s="29" t="s">
        <v>130</v>
      </c>
      <c r="J223" s="29" t="s">
        <v>130</v>
      </c>
      <c r="K223" s="85" t="s">
        <v>466</v>
      </c>
      <c r="L223" s="85">
        <v>167.74</v>
      </c>
      <c r="M223" s="86" t="s">
        <v>130</v>
      </c>
      <c r="N223" s="85">
        <v>0</v>
      </c>
      <c r="O223" s="86" t="s">
        <v>130</v>
      </c>
      <c r="P223" s="85">
        <v>0</v>
      </c>
      <c r="Q223" s="29" t="s">
        <v>80</v>
      </c>
      <c r="R223" s="85">
        <v>0</v>
      </c>
      <c r="S223" s="85">
        <v>0</v>
      </c>
      <c r="T223" s="85">
        <v>0</v>
      </c>
      <c r="U223" s="85">
        <v>0</v>
      </c>
      <c r="V223" s="85">
        <v>0</v>
      </c>
      <c r="W223" s="86" t="s">
        <v>130</v>
      </c>
      <c r="X223" s="86" t="s">
        <v>130</v>
      </c>
      <c r="Y223" s="85">
        <v>174.08</v>
      </c>
      <c r="Z223" s="85">
        <f>U223+Y223</f>
        <v>174.08</v>
      </c>
      <c r="AA223" s="85">
        <f>V223+Y223</f>
        <v>174.08</v>
      </c>
      <c r="AB223" s="85">
        <v>0</v>
      </c>
      <c r="AC223" s="85">
        <v>0</v>
      </c>
      <c r="AD223" s="85">
        <v>0</v>
      </c>
      <c r="AE223" s="29" t="s">
        <v>45</v>
      </c>
      <c r="AF223" s="29" t="s">
        <v>868</v>
      </c>
      <c r="AG223" s="40" t="s">
        <v>878</v>
      </c>
      <c r="AH223" s="29" t="s">
        <v>474</v>
      </c>
      <c r="AI223" s="87" t="str">
        <f>IFERROR(VLOOKUP(AG223,[2]Frota!$D$2:$AV$187,2,FALSE),"-")</f>
        <v>00509449247</v>
      </c>
      <c r="AJ223" s="87" t="str">
        <f>IFERROR(VLOOKUP(AG223,[2]Frota!$D$2:$AV$187,3,FALSE),"-")</f>
        <v>VSRSE3000CU076847</v>
      </c>
      <c r="AK223" s="29" t="s">
        <v>545</v>
      </c>
      <c r="AL223" s="29" t="s">
        <v>870</v>
      </c>
      <c r="AM223" s="34" t="s">
        <v>130</v>
      </c>
      <c r="AN223" s="34" t="s">
        <v>130</v>
      </c>
      <c r="AO223" s="152" t="s">
        <v>157</v>
      </c>
      <c r="AP223" s="29" t="s">
        <v>866</v>
      </c>
      <c r="AQ223" s="88" t="s">
        <v>305</v>
      </c>
      <c r="AR223" s="89">
        <f>VLOOKUP(AQ223,'[1]Critério de Depreciação'!$C$3:$G$8,5,FALSE)</f>
        <v>0.83333333333333337</v>
      </c>
      <c r="AS223" s="29" t="s">
        <v>130</v>
      </c>
      <c r="AT223" s="29" t="s">
        <v>323</v>
      </c>
      <c r="AU223" s="29" t="str">
        <f>IFERROR(VLOOKUP(AG266,[2]Frota!$D$2:$AV$187,12,FALSE),"-")</f>
        <v>-</v>
      </c>
      <c r="AV223" s="157" t="s">
        <v>130</v>
      </c>
      <c r="AW223" s="90">
        <v>3375000</v>
      </c>
      <c r="AX223" s="86" t="s">
        <v>130</v>
      </c>
      <c r="AY223" s="91" t="s">
        <v>130</v>
      </c>
      <c r="AZ223" s="85">
        <v>2300000</v>
      </c>
      <c r="BA223" s="123" t="s">
        <v>130</v>
      </c>
      <c r="BB223" s="86" t="s">
        <v>130</v>
      </c>
      <c r="BC223" s="85" t="s">
        <v>130</v>
      </c>
      <c r="BD223" s="85" t="s">
        <v>130</v>
      </c>
      <c r="BE223" s="92">
        <f t="shared" ref="BE223:BE234" si="92">SUM(AZ223:BA223,BC223:BD223)</f>
        <v>2300000</v>
      </c>
      <c r="BF223" s="92">
        <v>0</v>
      </c>
      <c r="BG223" s="92">
        <v>3375000</v>
      </c>
      <c r="BH223" s="92">
        <v>0</v>
      </c>
      <c r="BI223" s="92">
        <v>0</v>
      </c>
      <c r="BJ223" s="92">
        <v>0</v>
      </c>
      <c r="BK223" s="92">
        <v>0</v>
      </c>
      <c r="BL223" s="92">
        <v>0</v>
      </c>
      <c r="BM223" s="93">
        <f>SUM(BG223:BL223)</f>
        <v>3375000</v>
      </c>
      <c r="BN223" s="92">
        <f>(BG223*20%)/12</f>
        <v>56250</v>
      </c>
      <c r="BO223" s="92">
        <v>0</v>
      </c>
      <c r="BP223" s="92">
        <f t="shared" ref="BP223:BP229" si="93">BN223+BO223</f>
        <v>56250</v>
      </c>
      <c r="BQ223" s="92">
        <v>0</v>
      </c>
      <c r="BR223" s="92">
        <v>0</v>
      </c>
      <c r="BS223" s="85">
        <f t="shared" ref="BS223:BS234" si="94">IFERROR((AW223*20%)/12,"-")</f>
        <v>56250</v>
      </c>
      <c r="BT223" s="94" t="s">
        <v>130</v>
      </c>
      <c r="BU223" s="94" t="s">
        <v>130</v>
      </c>
      <c r="BV223" s="94" t="s">
        <v>130</v>
      </c>
      <c r="BW223" s="95" t="s">
        <v>130</v>
      </c>
      <c r="BX223" s="96" t="s">
        <v>130</v>
      </c>
      <c r="BY223" s="29" t="s">
        <v>879</v>
      </c>
      <c r="BZ223" s="29" t="s">
        <v>879</v>
      </c>
      <c r="CA223" s="29" t="s">
        <v>879</v>
      </c>
      <c r="CB223" s="29" t="s">
        <v>879</v>
      </c>
      <c r="CC223" s="29" t="s">
        <v>879</v>
      </c>
      <c r="CD223" s="29" t="s">
        <v>880</v>
      </c>
      <c r="CE223" s="29" t="str">
        <f t="shared" ref="CE223:CE234" si="95">AF223</f>
        <v>SP - GERDAU</v>
      </c>
      <c r="CF223" s="97" t="s">
        <v>130</v>
      </c>
      <c r="CG223" s="97" t="s">
        <v>130</v>
      </c>
      <c r="CH223" s="37">
        <f t="shared" ref="CH223:CH234" si="96">BM223</f>
        <v>3375000</v>
      </c>
      <c r="CI223" s="98" t="s">
        <v>130</v>
      </c>
      <c r="CJ223" s="39">
        <v>5</v>
      </c>
      <c r="CK223" s="39">
        <v>5</v>
      </c>
      <c r="CL223" s="39">
        <f t="shared" ref="CL223:CL234" si="97">12*CK223</f>
        <v>60</v>
      </c>
      <c r="CM223" s="99">
        <f t="shared" ref="CM223:CM234" si="98">IFERROR((CH223/CL223)*2,"-")</f>
        <v>112500</v>
      </c>
      <c r="CN223" s="40" t="str">
        <f>IFERROR(IF(VLOOKUP(AG223,'[1]ATIVOS SAGI'!C:D,1,FALSE)&lt;&gt;"","CADASTRADO","NÃO CADASTRADO"),"NÃO CADASTRADO")</f>
        <v>CADASTRADO</v>
      </c>
      <c r="CO223" s="99">
        <f t="shared" si="89"/>
        <v>28125</v>
      </c>
      <c r="CP223" s="100" t="s">
        <v>92</v>
      </c>
      <c r="CQ223" s="227">
        <v>38000</v>
      </c>
      <c r="CR223" s="225"/>
      <c r="CS223" s="225"/>
    </row>
    <row r="224" spans="1:97" x14ac:dyDescent="0.25">
      <c r="A224" s="27">
        <v>190</v>
      </c>
      <c r="B224" s="27">
        <v>203</v>
      </c>
      <c r="C224" s="29" t="s">
        <v>296</v>
      </c>
      <c r="D224" s="40" t="s">
        <v>49</v>
      </c>
      <c r="E224" s="40" t="s">
        <v>130</v>
      </c>
      <c r="F224" s="40" t="s">
        <v>130</v>
      </c>
      <c r="G224" s="40" t="s">
        <v>781</v>
      </c>
      <c r="H224" s="41" t="s">
        <v>867</v>
      </c>
      <c r="I224" s="29" t="s">
        <v>130</v>
      </c>
      <c r="J224" s="85" t="s">
        <v>130</v>
      </c>
      <c r="K224" s="85" t="s">
        <v>130</v>
      </c>
      <c r="L224" s="85">
        <v>167.74</v>
      </c>
      <c r="M224" s="86" t="s">
        <v>130</v>
      </c>
      <c r="N224" s="85">
        <v>0</v>
      </c>
      <c r="O224" s="86" t="s">
        <v>130</v>
      </c>
      <c r="P224" s="85">
        <v>0</v>
      </c>
      <c r="Q224" s="29" t="s">
        <v>80</v>
      </c>
      <c r="R224" s="85">
        <v>0</v>
      </c>
      <c r="S224" s="85">
        <v>0</v>
      </c>
      <c r="T224" s="85">
        <v>0</v>
      </c>
      <c r="U224" s="85">
        <v>0</v>
      </c>
      <c r="V224" s="85">
        <v>0</v>
      </c>
      <c r="W224" s="86" t="s">
        <v>130</v>
      </c>
      <c r="X224" s="86" t="s">
        <v>130</v>
      </c>
      <c r="Y224" s="85">
        <v>174.08</v>
      </c>
      <c r="Z224" s="85">
        <f>U224+Y224</f>
        <v>174.08</v>
      </c>
      <c r="AA224" s="85">
        <f>V224+Y224</f>
        <v>174.08</v>
      </c>
      <c r="AB224" s="85">
        <v>0</v>
      </c>
      <c r="AC224" s="85">
        <v>0</v>
      </c>
      <c r="AD224" s="85">
        <v>0</v>
      </c>
      <c r="AE224" s="29" t="s">
        <v>45</v>
      </c>
      <c r="AF224" s="29" t="s">
        <v>868</v>
      </c>
      <c r="AG224" s="40" t="s">
        <v>160</v>
      </c>
      <c r="AH224" s="29" t="s">
        <v>468</v>
      </c>
      <c r="AI224" s="162" t="s">
        <v>881</v>
      </c>
      <c r="AJ224" s="87" t="s">
        <v>882</v>
      </c>
      <c r="AK224" s="29" t="s">
        <v>545</v>
      </c>
      <c r="AL224" s="29" t="s">
        <v>870</v>
      </c>
      <c r="AM224" s="34">
        <v>2019</v>
      </c>
      <c r="AN224" s="34">
        <v>2019</v>
      </c>
      <c r="AO224" s="40" t="s">
        <v>157</v>
      </c>
      <c r="AP224" s="29" t="s">
        <v>866</v>
      </c>
      <c r="AQ224" s="88" t="s">
        <v>305</v>
      </c>
      <c r="AR224" s="89">
        <f>VLOOKUP(AQ224,'[1]Critério de Depreciação'!$C$3:$G$8,5,FALSE)</f>
        <v>0.83333333333333337</v>
      </c>
      <c r="AS224" s="29" t="s">
        <v>130</v>
      </c>
      <c r="AT224" s="29" t="s">
        <v>130</v>
      </c>
      <c r="AU224" s="29" t="str">
        <f>IFERROR(VLOOKUP(#REF!,[2]Frota!$D$2:$AV$187,12,FALSE),"-")</f>
        <v>-</v>
      </c>
      <c r="AV224" s="157" t="s">
        <v>130</v>
      </c>
      <c r="AW224" s="90">
        <v>200000</v>
      </c>
      <c r="AX224" s="86" t="s">
        <v>130</v>
      </c>
      <c r="AY224" s="91" t="s">
        <v>130</v>
      </c>
      <c r="AZ224" s="85" t="s">
        <v>130</v>
      </c>
      <c r="BA224" s="123" t="s">
        <v>130</v>
      </c>
      <c r="BB224" s="86" t="s">
        <v>130</v>
      </c>
      <c r="BC224" s="85" t="s">
        <v>130</v>
      </c>
      <c r="BD224" s="85" t="s">
        <v>130</v>
      </c>
      <c r="BE224" s="92">
        <f t="shared" si="92"/>
        <v>0</v>
      </c>
      <c r="BF224" s="198">
        <v>0</v>
      </c>
      <c r="BG224" s="92">
        <v>3375000</v>
      </c>
      <c r="BH224" s="92">
        <v>0</v>
      </c>
      <c r="BI224" s="92">
        <v>0</v>
      </c>
      <c r="BJ224" s="92">
        <v>0</v>
      </c>
      <c r="BK224" s="92">
        <v>0</v>
      </c>
      <c r="BL224" s="92">
        <v>0</v>
      </c>
      <c r="BM224" s="93">
        <f t="shared" ref="BM224:BM229" si="99">SUM(BF224:BL224)</f>
        <v>3375000</v>
      </c>
      <c r="BN224" s="92">
        <f>(BG224*20%)/12</f>
        <v>56250</v>
      </c>
      <c r="BO224" s="92">
        <v>0</v>
      </c>
      <c r="BP224" s="92">
        <f t="shared" si="93"/>
        <v>56250</v>
      </c>
      <c r="BQ224" s="92">
        <v>0</v>
      </c>
      <c r="BR224" s="92">
        <v>0</v>
      </c>
      <c r="BS224" s="85">
        <f t="shared" si="94"/>
        <v>3333.3333333333335</v>
      </c>
      <c r="BT224" s="94" t="s">
        <v>130</v>
      </c>
      <c r="BU224" s="94" t="s">
        <v>130</v>
      </c>
      <c r="BV224" s="94" t="s">
        <v>130</v>
      </c>
      <c r="BW224" s="95" t="s">
        <v>130</v>
      </c>
      <c r="BX224" s="96" t="s">
        <v>130</v>
      </c>
      <c r="BY224" s="29" t="s">
        <v>130</v>
      </c>
      <c r="BZ224" s="29" t="s">
        <v>130</v>
      </c>
      <c r="CA224" s="29" t="s">
        <v>130</v>
      </c>
      <c r="CB224" s="29" t="s">
        <v>130</v>
      </c>
      <c r="CC224" s="29" t="s">
        <v>130</v>
      </c>
      <c r="CD224" s="29" t="s">
        <v>883</v>
      </c>
      <c r="CE224" s="29" t="str">
        <f t="shared" si="95"/>
        <v>SP - GERDAU</v>
      </c>
      <c r="CF224" s="97" t="s">
        <v>130</v>
      </c>
      <c r="CG224" s="97" t="s">
        <v>130</v>
      </c>
      <c r="CH224" s="37">
        <f t="shared" si="96"/>
        <v>3375000</v>
      </c>
      <c r="CI224" s="98" t="s">
        <v>130</v>
      </c>
      <c r="CJ224" s="39">
        <v>5</v>
      </c>
      <c r="CK224" s="39">
        <v>5</v>
      </c>
      <c r="CL224" s="39">
        <f t="shared" si="97"/>
        <v>60</v>
      </c>
      <c r="CM224" s="99">
        <f t="shared" si="98"/>
        <v>112500</v>
      </c>
      <c r="CN224" s="40" t="str">
        <f>IFERROR(IF(VLOOKUP(AG224,'[1]ATIVOS SAGI'!C:D,1,FALSE)&lt;&gt;"","CADASTRADO","NÃO CADASTRADO"),"NÃO CADASTRADO")</f>
        <v>NÃO CADASTRADO</v>
      </c>
      <c r="CO224" s="99">
        <f t="shared" si="89"/>
        <v>28125</v>
      </c>
      <c r="CP224" s="100" t="s">
        <v>92</v>
      </c>
      <c r="CQ224" s="227">
        <v>38000</v>
      </c>
      <c r="CR224" s="228"/>
      <c r="CS224" s="228"/>
    </row>
    <row r="225" spans="1:97" x14ac:dyDescent="0.25">
      <c r="A225" s="27">
        <v>184</v>
      </c>
      <c r="B225" s="27">
        <v>197</v>
      </c>
      <c r="C225" s="29" t="s">
        <v>296</v>
      </c>
      <c r="D225" s="40" t="s">
        <v>49</v>
      </c>
      <c r="E225" s="40" t="s">
        <v>130</v>
      </c>
      <c r="F225" s="40" t="s">
        <v>130</v>
      </c>
      <c r="G225" s="237" t="s">
        <v>781</v>
      </c>
      <c r="H225" s="41" t="s">
        <v>325</v>
      </c>
      <c r="I225" s="29" t="s">
        <v>130</v>
      </c>
      <c r="J225" s="29" t="s">
        <v>130</v>
      </c>
      <c r="K225" s="29" t="s">
        <v>130</v>
      </c>
      <c r="L225" s="85" t="s">
        <v>130</v>
      </c>
      <c r="M225" s="86" t="s">
        <v>130</v>
      </c>
      <c r="N225" s="85" t="s">
        <v>130</v>
      </c>
      <c r="O225" s="86" t="s">
        <v>130</v>
      </c>
      <c r="P225" s="85" t="s">
        <v>130</v>
      </c>
      <c r="Q225" s="29" t="s">
        <v>130</v>
      </c>
      <c r="R225" s="85" t="s">
        <v>130</v>
      </c>
      <c r="S225" s="85" t="s">
        <v>130</v>
      </c>
      <c r="T225" s="85" t="s">
        <v>130</v>
      </c>
      <c r="U225" s="85">
        <v>0</v>
      </c>
      <c r="V225" s="85">
        <v>0</v>
      </c>
      <c r="W225" s="86" t="s">
        <v>130</v>
      </c>
      <c r="X225" s="86" t="s">
        <v>130</v>
      </c>
      <c r="Y225" s="85">
        <v>174.08</v>
      </c>
      <c r="Z225" s="85">
        <f>U225+Y225</f>
        <v>174.08</v>
      </c>
      <c r="AA225" s="85">
        <f>V225+Y225</f>
        <v>174.08</v>
      </c>
      <c r="AB225" s="85">
        <v>0</v>
      </c>
      <c r="AC225" s="85">
        <v>0</v>
      </c>
      <c r="AD225" s="85">
        <v>0</v>
      </c>
      <c r="AE225" s="29" t="s">
        <v>45</v>
      </c>
      <c r="AF225" s="29" t="s">
        <v>149</v>
      </c>
      <c r="AG225" s="40" t="s">
        <v>150</v>
      </c>
      <c r="AH225" s="29" t="s">
        <v>468</v>
      </c>
      <c r="AI225" s="162" t="s">
        <v>884</v>
      </c>
      <c r="AJ225" s="87" t="s">
        <v>885</v>
      </c>
      <c r="AK225" s="29" t="s">
        <v>545</v>
      </c>
      <c r="AL225" s="29" t="s">
        <v>870</v>
      </c>
      <c r="AM225" s="34">
        <v>2024</v>
      </c>
      <c r="AN225" s="34">
        <v>2024</v>
      </c>
      <c r="AO225" s="40" t="s">
        <v>157</v>
      </c>
      <c r="AP225" s="29" t="s">
        <v>866</v>
      </c>
      <c r="AQ225" s="88" t="s">
        <v>305</v>
      </c>
      <c r="AR225" s="89">
        <f>VLOOKUP(AQ225,'[1]Critério de Depreciação'!$C$3:$G$8,5,FALSE)</f>
        <v>0.83333333333333337</v>
      </c>
      <c r="AS225" s="29" t="s">
        <v>130</v>
      </c>
      <c r="AT225" s="29" t="s">
        <v>130</v>
      </c>
      <c r="AU225" s="29" t="str">
        <f>IFERROR(VLOOKUP(#REF!,[2]Frota!$D$2:$AV$187,12,FALSE),"-")</f>
        <v>-</v>
      </c>
      <c r="AV225" s="157">
        <v>8430</v>
      </c>
      <c r="AW225" s="90">
        <v>2452290.25</v>
      </c>
      <c r="AX225" s="86">
        <v>45484</v>
      </c>
      <c r="AY225" s="91" t="s">
        <v>130</v>
      </c>
      <c r="AZ225" s="85">
        <f>AW225</f>
        <v>2452290.25</v>
      </c>
      <c r="BA225" s="123" t="s">
        <v>130</v>
      </c>
      <c r="BB225" s="86" t="s">
        <v>130</v>
      </c>
      <c r="BC225" s="85" t="s">
        <v>130</v>
      </c>
      <c r="BD225" s="85" t="s">
        <v>130</v>
      </c>
      <c r="BE225" s="92">
        <f t="shared" si="92"/>
        <v>2452290.25</v>
      </c>
      <c r="BF225" s="198">
        <v>0</v>
      </c>
      <c r="BG225" s="198">
        <v>3375000</v>
      </c>
      <c r="BH225" s="92">
        <v>0</v>
      </c>
      <c r="BI225" s="92">
        <v>0</v>
      </c>
      <c r="BJ225" s="92">
        <v>0</v>
      </c>
      <c r="BK225" s="92">
        <v>0</v>
      </c>
      <c r="BL225" s="92">
        <v>0</v>
      </c>
      <c r="BM225" s="93">
        <f t="shared" si="99"/>
        <v>3375000</v>
      </c>
      <c r="BN225" s="92">
        <f>(BG225*20%)/12</f>
        <v>56250</v>
      </c>
      <c r="BO225" s="92">
        <v>0</v>
      </c>
      <c r="BP225" s="92">
        <f t="shared" si="93"/>
        <v>56250</v>
      </c>
      <c r="BQ225" s="92">
        <v>0</v>
      </c>
      <c r="BR225" s="92">
        <v>0</v>
      </c>
      <c r="BS225" s="85">
        <f t="shared" si="94"/>
        <v>40871.504166666673</v>
      </c>
      <c r="BT225" s="94" t="s">
        <v>130</v>
      </c>
      <c r="BU225" s="94" t="s">
        <v>130</v>
      </c>
      <c r="BV225" s="94" t="s">
        <v>130</v>
      </c>
      <c r="BW225" s="95" t="s">
        <v>130</v>
      </c>
      <c r="BX225" s="96" t="s">
        <v>130</v>
      </c>
      <c r="BY225" s="29" t="s">
        <v>130</v>
      </c>
      <c r="BZ225" s="29" t="s">
        <v>130</v>
      </c>
      <c r="CA225" s="29" t="s">
        <v>130</v>
      </c>
      <c r="CB225" s="29" t="s">
        <v>130</v>
      </c>
      <c r="CC225" s="29" t="s">
        <v>886</v>
      </c>
      <c r="CD225" s="29" t="s">
        <v>872</v>
      </c>
      <c r="CE225" s="29" t="str">
        <f t="shared" si="95"/>
        <v>ARCELOR - PIRACICABA</v>
      </c>
      <c r="CF225" s="97" t="s">
        <v>130</v>
      </c>
      <c r="CG225" s="97" t="s">
        <v>130</v>
      </c>
      <c r="CH225" s="37">
        <f t="shared" si="96"/>
        <v>3375000</v>
      </c>
      <c r="CI225" s="98" t="s">
        <v>130</v>
      </c>
      <c r="CJ225" s="39">
        <v>5</v>
      </c>
      <c r="CK225" s="39">
        <v>5</v>
      </c>
      <c r="CL225" s="39">
        <f t="shared" si="97"/>
        <v>60</v>
      </c>
      <c r="CM225" s="99">
        <f t="shared" si="98"/>
        <v>112500</v>
      </c>
      <c r="CN225" s="40" t="str">
        <f>IFERROR(IF(VLOOKUP(AG225,'[1]ATIVOS SAGI'!C:D,1,FALSE)&lt;&gt;"","CADASTRADO","NÃO CADASTRADO"),"NÃO CADASTRADO")</f>
        <v>NÃO CADASTRADO</v>
      </c>
      <c r="CO225" s="99">
        <f t="shared" si="89"/>
        <v>28125</v>
      </c>
      <c r="CP225" s="100" t="s">
        <v>92</v>
      </c>
      <c r="CQ225" s="227">
        <v>38000</v>
      </c>
      <c r="CR225" s="228"/>
      <c r="CS225" s="228"/>
    </row>
    <row r="226" spans="1:97" x14ac:dyDescent="0.25">
      <c r="A226" s="27">
        <v>43</v>
      </c>
      <c r="B226" s="27">
        <v>82</v>
      </c>
      <c r="C226" s="29" t="s">
        <v>296</v>
      </c>
      <c r="D226" s="40" t="s">
        <v>49</v>
      </c>
      <c r="E226" s="40" t="s">
        <v>130</v>
      </c>
      <c r="F226" s="40" t="s">
        <v>130</v>
      </c>
      <c r="G226" s="151"/>
      <c r="H226" s="41" t="s">
        <v>130</v>
      </c>
      <c r="I226" s="29" t="s">
        <v>130</v>
      </c>
      <c r="J226" s="29" t="s">
        <v>130</v>
      </c>
      <c r="K226" s="29" t="s">
        <v>130</v>
      </c>
      <c r="L226" s="85" t="s">
        <v>130</v>
      </c>
      <c r="M226" s="86" t="s">
        <v>130</v>
      </c>
      <c r="N226" s="85" t="s">
        <v>130</v>
      </c>
      <c r="O226" s="86" t="s">
        <v>130</v>
      </c>
      <c r="P226" s="85" t="s">
        <v>130</v>
      </c>
      <c r="Q226" s="29" t="s">
        <v>130</v>
      </c>
      <c r="R226" s="85" t="s">
        <v>130</v>
      </c>
      <c r="S226" s="85" t="s">
        <v>130</v>
      </c>
      <c r="T226" s="85" t="s">
        <v>130</v>
      </c>
      <c r="U226" s="85" t="s">
        <v>130</v>
      </c>
      <c r="V226" s="85" t="s">
        <v>130</v>
      </c>
      <c r="W226" s="85" t="s">
        <v>130</v>
      </c>
      <c r="X226" s="85" t="s">
        <v>130</v>
      </c>
      <c r="Y226" s="85" t="s">
        <v>130</v>
      </c>
      <c r="Z226" s="85" t="s">
        <v>130</v>
      </c>
      <c r="AA226" s="85" t="s">
        <v>130</v>
      </c>
      <c r="AB226" s="85" t="s">
        <v>130</v>
      </c>
      <c r="AC226" s="85" t="s">
        <v>130</v>
      </c>
      <c r="AD226" s="85" t="s">
        <v>130</v>
      </c>
      <c r="AE226" s="29" t="s">
        <v>45</v>
      </c>
      <c r="AF226" s="29" t="s">
        <v>46</v>
      </c>
      <c r="AG226" s="40" t="s">
        <v>144</v>
      </c>
      <c r="AH226" s="29" t="s">
        <v>130</v>
      </c>
      <c r="AI226" s="87" t="str">
        <f>IFERROR(VLOOKUP(AG226,[2]Frota!$D$2:$AV$187,2,FALSE),"-")</f>
        <v>-</v>
      </c>
      <c r="AJ226" s="87" t="str">
        <f>IFERROR(VLOOKUP(AG226,[2]Frota!$D$2:$AV$187,3,FALSE),"-")</f>
        <v>-</v>
      </c>
      <c r="AK226" s="29" t="s">
        <v>887</v>
      </c>
      <c r="AL226" s="29" t="s">
        <v>888</v>
      </c>
      <c r="AM226" s="34" t="s">
        <v>130</v>
      </c>
      <c r="AN226" s="34" t="s">
        <v>130</v>
      </c>
      <c r="AO226" s="152" t="s">
        <v>153</v>
      </c>
      <c r="AP226" s="29" t="s">
        <v>889</v>
      </c>
      <c r="AQ226" s="88" t="s">
        <v>305</v>
      </c>
      <c r="AR226" s="89">
        <f>VLOOKUP(AQ226,'[1]Critério de Depreciação'!$C$3:$G$8,5,FALSE)</f>
        <v>0.83333333333333337</v>
      </c>
      <c r="AS226" s="29" t="s">
        <v>299</v>
      </c>
      <c r="AT226" s="29" t="s">
        <v>309</v>
      </c>
      <c r="AU226" s="29" t="str">
        <f>IFERROR(VLOOKUP(AG269,[2]Frota!$D$2:$AV$187,12,FALSE),"-")</f>
        <v>-</v>
      </c>
      <c r="AV226" s="29" t="s">
        <v>130</v>
      </c>
      <c r="AW226" s="90">
        <v>3500000</v>
      </c>
      <c r="AX226" s="86" t="s">
        <v>130</v>
      </c>
      <c r="AY226" s="91" t="s">
        <v>130</v>
      </c>
      <c r="AZ226" s="85">
        <v>1200000</v>
      </c>
      <c r="BA226" s="123" t="s">
        <v>130</v>
      </c>
      <c r="BB226" s="86" t="s">
        <v>130</v>
      </c>
      <c r="BC226" s="85" t="s">
        <v>130</v>
      </c>
      <c r="BD226" s="85" t="s">
        <v>130</v>
      </c>
      <c r="BE226" s="92">
        <f t="shared" si="92"/>
        <v>1200000</v>
      </c>
      <c r="BF226" s="92">
        <v>3500000</v>
      </c>
      <c r="BG226" s="92">
        <v>0</v>
      </c>
      <c r="BH226" s="92">
        <v>0</v>
      </c>
      <c r="BI226" s="92">
        <v>0</v>
      </c>
      <c r="BJ226" s="92">
        <v>0</v>
      </c>
      <c r="BK226" s="92">
        <v>0</v>
      </c>
      <c r="BL226" s="92">
        <v>0</v>
      </c>
      <c r="BM226" s="93">
        <f t="shared" si="99"/>
        <v>3500000</v>
      </c>
      <c r="BN226" s="92">
        <v>0</v>
      </c>
      <c r="BO226" s="92">
        <f>(BM226*20%)/12</f>
        <v>58333.333333333336</v>
      </c>
      <c r="BP226" s="92">
        <f t="shared" si="93"/>
        <v>58333.333333333336</v>
      </c>
      <c r="BQ226" s="92">
        <v>0</v>
      </c>
      <c r="BR226" s="92">
        <v>0</v>
      </c>
      <c r="BS226" s="85">
        <f t="shared" si="94"/>
        <v>58333.333333333336</v>
      </c>
      <c r="BT226" s="94" t="s">
        <v>130</v>
      </c>
      <c r="BU226" s="94" t="s">
        <v>130</v>
      </c>
      <c r="BV226" s="94" t="s">
        <v>130</v>
      </c>
      <c r="BW226" s="95" t="s">
        <v>130</v>
      </c>
      <c r="BX226" s="96" t="s">
        <v>130</v>
      </c>
      <c r="BY226" s="29" t="s">
        <v>130</v>
      </c>
      <c r="BZ226" s="29" t="s">
        <v>130</v>
      </c>
      <c r="CA226" s="29" t="s">
        <v>130</v>
      </c>
      <c r="CB226" s="29" t="s">
        <v>130</v>
      </c>
      <c r="CC226" s="29" t="s">
        <v>130</v>
      </c>
      <c r="CD226" s="29" t="s">
        <v>130</v>
      </c>
      <c r="CE226" s="29" t="str">
        <f t="shared" si="95"/>
        <v>SP - PRUDENTE - SUCATA</v>
      </c>
      <c r="CF226" s="97" t="s">
        <v>130</v>
      </c>
      <c r="CG226" s="97" t="s">
        <v>130</v>
      </c>
      <c r="CH226" s="37">
        <f t="shared" si="96"/>
        <v>3500000</v>
      </c>
      <c r="CI226" s="98" t="s">
        <v>130</v>
      </c>
      <c r="CJ226" s="39">
        <v>5</v>
      </c>
      <c r="CK226" s="39">
        <v>5</v>
      </c>
      <c r="CL226" s="39">
        <f t="shared" si="97"/>
        <v>60</v>
      </c>
      <c r="CM226" s="99">
        <f t="shared" si="98"/>
        <v>116666.66666666667</v>
      </c>
      <c r="CN226" s="40" t="str">
        <f>IFERROR(IF(VLOOKUP(AG226,'[1]ATIVOS SAGI'!C:D,1,FALSE)&lt;&gt;"","CADASTRADO","NÃO CADASTRADO"),"NÃO CADASTRADO")</f>
        <v>CADASTRADO</v>
      </c>
      <c r="CO226" s="99">
        <f t="shared" si="89"/>
        <v>29166.666666666672</v>
      </c>
      <c r="CP226" s="100" t="s">
        <v>92</v>
      </c>
      <c r="CQ226" s="228"/>
      <c r="CR226" s="228"/>
      <c r="CS226" s="228"/>
    </row>
    <row r="227" spans="1:97" x14ac:dyDescent="0.25">
      <c r="A227" s="27">
        <v>44</v>
      </c>
      <c r="B227" s="27">
        <v>83</v>
      </c>
      <c r="C227" s="29" t="s">
        <v>296</v>
      </c>
      <c r="D227" s="40" t="s">
        <v>49</v>
      </c>
      <c r="E227" s="40" t="s">
        <v>130</v>
      </c>
      <c r="F227" s="40" t="s">
        <v>130</v>
      </c>
      <c r="G227" s="151"/>
      <c r="H227" s="41" t="s">
        <v>130</v>
      </c>
      <c r="I227" s="29" t="s">
        <v>130</v>
      </c>
      <c r="J227" s="29" t="s">
        <v>130</v>
      </c>
      <c r="K227" s="29" t="s">
        <v>130</v>
      </c>
      <c r="L227" s="85" t="s">
        <v>130</v>
      </c>
      <c r="M227" s="86" t="s">
        <v>130</v>
      </c>
      <c r="N227" s="85" t="s">
        <v>130</v>
      </c>
      <c r="O227" s="86" t="s">
        <v>130</v>
      </c>
      <c r="P227" s="85" t="s">
        <v>130</v>
      </c>
      <c r="Q227" s="29" t="s">
        <v>130</v>
      </c>
      <c r="R227" s="85" t="s">
        <v>130</v>
      </c>
      <c r="S227" s="85" t="s">
        <v>130</v>
      </c>
      <c r="T227" s="85" t="s">
        <v>130</v>
      </c>
      <c r="U227" s="85" t="s">
        <v>130</v>
      </c>
      <c r="V227" s="85" t="s">
        <v>130</v>
      </c>
      <c r="W227" s="85" t="s">
        <v>130</v>
      </c>
      <c r="X227" s="85" t="s">
        <v>130</v>
      </c>
      <c r="Y227" s="85" t="s">
        <v>130</v>
      </c>
      <c r="Z227" s="85" t="s">
        <v>130</v>
      </c>
      <c r="AA227" s="85" t="s">
        <v>130</v>
      </c>
      <c r="AB227" s="85" t="s">
        <v>130</v>
      </c>
      <c r="AC227" s="85" t="s">
        <v>130</v>
      </c>
      <c r="AD227" s="85" t="s">
        <v>130</v>
      </c>
      <c r="AE227" s="29" t="s">
        <v>45</v>
      </c>
      <c r="AF227" s="29" t="s">
        <v>46</v>
      </c>
      <c r="AG227" s="40" t="s">
        <v>145</v>
      </c>
      <c r="AH227" s="29" t="s">
        <v>130</v>
      </c>
      <c r="AI227" s="87" t="str">
        <f>IFERROR(VLOOKUP(AG227,[2]Frota!$D$2:$AV$187,2,FALSE),"-")</f>
        <v>-</v>
      </c>
      <c r="AJ227" s="87" t="str">
        <f>IFERROR(VLOOKUP(AG227,[2]Frota!$D$2:$AV$187,3,FALSE),"-")</f>
        <v>-</v>
      </c>
      <c r="AK227" s="29" t="s">
        <v>887</v>
      </c>
      <c r="AL227" s="29" t="s">
        <v>890</v>
      </c>
      <c r="AM227" s="34" t="s">
        <v>130</v>
      </c>
      <c r="AN227" s="34" t="s">
        <v>130</v>
      </c>
      <c r="AO227" s="40" t="s">
        <v>154</v>
      </c>
      <c r="AP227" s="29" t="s">
        <v>889</v>
      </c>
      <c r="AQ227" s="88" t="s">
        <v>305</v>
      </c>
      <c r="AR227" s="89">
        <f>VLOOKUP(AQ227,'[1]Critério de Depreciação'!$C$3:$G$8,5,FALSE)</f>
        <v>0.83333333333333337</v>
      </c>
      <c r="AS227" s="29" t="s">
        <v>299</v>
      </c>
      <c r="AT227" s="29" t="s">
        <v>309</v>
      </c>
      <c r="AU227" s="29" t="str">
        <f>IFERROR(VLOOKUP(AG270,[2]Frota!$D$2:$AV$187,12,FALSE),"-")</f>
        <v>-</v>
      </c>
      <c r="AV227" s="45" t="s">
        <v>130</v>
      </c>
      <c r="AW227" s="90">
        <v>5800000</v>
      </c>
      <c r="AX227" s="86" t="s">
        <v>130</v>
      </c>
      <c r="AY227" s="91" t="s">
        <v>130</v>
      </c>
      <c r="AZ227" s="85">
        <v>2000000</v>
      </c>
      <c r="BA227" s="123" t="s">
        <v>130</v>
      </c>
      <c r="BB227" s="124" t="s">
        <v>130</v>
      </c>
      <c r="BC227" s="85" t="s">
        <v>130</v>
      </c>
      <c r="BD227" s="85" t="s">
        <v>130</v>
      </c>
      <c r="BE227" s="92">
        <f t="shared" si="92"/>
        <v>2000000</v>
      </c>
      <c r="BF227" s="92">
        <v>5800000</v>
      </c>
      <c r="BG227" s="92">
        <v>0</v>
      </c>
      <c r="BH227" s="92">
        <v>0</v>
      </c>
      <c r="BI227" s="92">
        <v>0</v>
      </c>
      <c r="BJ227" s="92">
        <v>0</v>
      </c>
      <c r="BK227" s="92">
        <v>0</v>
      </c>
      <c r="BL227" s="92">
        <v>0</v>
      </c>
      <c r="BM227" s="93">
        <f t="shared" si="99"/>
        <v>5800000</v>
      </c>
      <c r="BN227" s="92">
        <v>0</v>
      </c>
      <c r="BO227" s="92">
        <f>(BM227*20%)/12</f>
        <v>96666.666666666672</v>
      </c>
      <c r="BP227" s="92">
        <f t="shared" si="93"/>
        <v>96666.666666666672</v>
      </c>
      <c r="BQ227" s="92">
        <v>0</v>
      </c>
      <c r="BR227" s="92">
        <v>0</v>
      </c>
      <c r="BS227" s="85">
        <f t="shared" si="94"/>
        <v>96666.666666666672</v>
      </c>
      <c r="BT227" s="125" t="s">
        <v>130</v>
      </c>
      <c r="BU227" s="125" t="s">
        <v>130</v>
      </c>
      <c r="BV227" s="125" t="s">
        <v>130</v>
      </c>
      <c r="BW227" s="126" t="s">
        <v>130</v>
      </c>
      <c r="BX227" s="127" t="s">
        <v>130</v>
      </c>
      <c r="BY227" s="29" t="s">
        <v>130</v>
      </c>
      <c r="BZ227" s="29" t="s">
        <v>130</v>
      </c>
      <c r="CA227" s="29" t="s">
        <v>130</v>
      </c>
      <c r="CB227" s="29" t="s">
        <v>130</v>
      </c>
      <c r="CC227" s="29" t="s">
        <v>130</v>
      </c>
      <c r="CD227" s="29" t="s">
        <v>130</v>
      </c>
      <c r="CE227" s="29" t="str">
        <f t="shared" si="95"/>
        <v>SP - PRUDENTE - SUCATA</v>
      </c>
      <c r="CF227" s="97" t="s">
        <v>130</v>
      </c>
      <c r="CG227" s="97" t="s">
        <v>130</v>
      </c>
      <c r="CH227" s="37">
        <f t="shared" si="96"/>
        <v>5800000</v>
      </c>
      <c r="CI227" s="98" t="s">
        <v>130</v>
      </c>
      <c r="CJ227" s="39">
        <v>5</v>
      </c>
      <c r="CK227" s="39">
        <v>5</v>
      </c>
      <c r="CL227" s="39">
        <f t="shared" si="97"/>
        <v>60</v>
      </c>
      <c r="CM227" s="99">
        <f t="shared" si="98"/>
        <v>193333.33333333334</v>
      </c>
      <c r="CN227" s="40" t="str">
        <f>IFERROR(IF(VLOOKUP(AG227,'[1]ATIVOS SAGI'!C:D,1,FALSE)&lt;&gt;"","CADASTRADO","NÃO CADASTRADO"),"NÃO CADASTRADO")</f>
        <v>CADASTRADO</v>
      </c>
      <c r="CO227" s="99">
        <f t="shared" si="89"/>
        <v>48333.333333333343</v>
      </c>
      <c r="CP227" s="100" t="s">
        <v>92</v>
      </c>
      <c r="CQ227" s="228"/>
      <c r="CR227" s="228"/>
      <c r="CS227" s="228"/>
    </row>
    <row r="228" spans="1:97" x14ac:dyDescent="0.25">
      <c r="A228" s="27">
        <v>45</v>
      </c>
      <c r="B228" s="27">
        <v>84</v>
      </c>
      <c r="C228" s="29" t="s">
        <v>296</v>
      </c>
      <c r="D228" s="40" t="s">
        <v>49</v>
      </c>
      <c r="E228" s="40" t="s">
        <v>130</v>
      </c>
      <c r="F228" s="40" t="s">
        <v>130</v>
      </c>
      <c r="G228" s="151"/>
      <c r="H228" s="41" t="s">
        <v>130</v>
      </c>
      <c r="I228" s="29" t="s">
        <v>130</v>
      </c>
      <c r="J228" s="29" t="s">
        <v>130</v>
      </c>
      <c r="K228" s="29" t="s">
        <v>130</v>
      </c>
      <c r="L228" s="85" t="s">
        <v>130</v>
      </c>
      <c r="M228" s="86" t="s">
        <v>130</v>
      </c>
      <c r="N228" s="85" t="s">
        <v>130</v>
      </c>
      <c r="O228" s="86" t="s">
        <v>130</v>
      </c>
      <c r="P228" s="85" t="s">
        <v>130</v>
      </c>
      <c r="Q228" s="29" t="s">
        <v>130</v>
      </c>
      <c r="R228" s="85" t="s">
        <v>130</v>
      </c>
      <c r="S228" s="85" t="s">
        <v>130</v>
      </c>
      <c r="T228" s="85" t="s">
        <v>130</v>
      </c>
      <c r="U228" s="85" t="s">
        <v>130</v>
      </c>
      <c r="V228" s="85" t="s">
        <v>130</v>
      </c>
      <c r="W228" s="85" t="s">
        <v>130</v>
      </c>
      <c r="X228" s="85" t="s">
        <v>130</v>
      </c>
      <c r="Y228" s="85" t="s">
        <v>130</v>
      </c>
      <c r="Z228" s="85" t="s">
        <v>130</v>
      </c>
      <c r="AA228" s="85" t="s">
        <v>130</v>
      </c>
      <c r="AB228" s="85" t="s">
        <v>130</v>
      </c>
      <c r="AC228" s="85" t="s">
        <v>130</v>
      </c>
      <c r="AD228" s="85" t="s">
        <v>130</v>
      </c>
      <c r="AE228" s="29" t="s">
        <v>45</v>
      </c>
      <c r="AF228" s="29" t="s">
        <v>46</v>
      </c>
      <c r="AG228" s="40" t="s">
        <v>146</v>
      </c>
      <c r="AH228" s="29" t="s">
        <v>130</v>
      </c>
      <c r="AI228" s="87" t="str">
        <f>IFERROR(VLOOKUP(AG228,[2]Frota!$D$2:$AV$187,2,FALSE),"-")</f>
        <v>-</v>
      </c>
      <c r="AJ228" s="87" t="str">
        <f>IFERROR(VLOOKUP(AG228,[2]Frota!$D$2:$AV$187,3,FALSE),"-")</f>
        <v>-</v>
      </c>
      <c r="AK228" s="29" t="s">
        <v>891</v>
      </c>
      <c r="AL228" s="29" t="s">
        <v>892</v>
      </c>
      <c r="AM228" s="34" t="s">
        <v>130</v>
      </c>
      <c r="AN228" s="34" t="s">
        <v>130</v>
      </c>
      <c r="AO228" s="152" t="s">
        <v>155</v>
      </c>
      <c r="AP228" s="29" t="s">
        <v>889</v>
      </c>
      <c r="AQ228" s="88" t="s">
        <v>305</v>
      </c>
      <c r="AR228" s="89">
        <f>VLOOKUP(AQ228,'[1]Critério de Depreciação'!$C$3:$G$8,5,FALSE)</f>
        <v>0.83333333333333337</v>
      </c>
      <c r="AS228" s="29" t="s">
        <v>308</v>
      </c>
      <c r="AT228" s="29" t="s">
        <v>300</v>
      </c>
      <c r="AU228" s="29" t="str">
        <f>IFERROR(VLOOKUP(AG271,[2]Frota!$D$2:$AV$187,12,FALSE),"-")</f>
        <v>-</v>
      </c>
      <c r="AV228" s="45">
        <v>3276</v>
      </c>
      <c r="AW228" s="90">
        <v>150000</v>
      </c>
      <c r="AX228" s="86">
        <v>41436</v>
      </c>
      <c r="AY228" s="91" t="s">
        <v>130</v>
      </c>
      <c r="AZ228" s="85">
        <v>700000</v>
      </c>
      <c r="BA228" s="123" t="s">
        <v>130</v>
      </c>
      <c r="BB228" s="124" t="s">
        <v>130</v>
      </c>
      <c r="BC228" s="85" t="s">
        <v>130</v>
      </c>
      <c r="BD228" s="85" t="s">
        <v>130</v>
      </c>
      <c r="BE228" s="92">
        <f t="shared" si="92"/>
        <v>700000</v>
      </c>
      <c r="BF228" s="92">
        <v>1000000</v>
      </c>
      <c r="BG228" s="92">
        <v>0</v>
      </c>
      <c r="BH228" s="92">
        <v>0</v>
      </c>
      <c r="BI228" s="92">
        <v>0</v>
      </c>
      <c r="BJ228" s="92">
        <v>0</v>
      </c>
      <c r="BK228" s="92">
        <v>0</v>
      </c>
      <c r="BL228" s="92">
        <v>0</v>
      </c>
      <c r="BM228" s="93">
        <f t="shared" si="99"/>
        <v>1000000</v>
      </c>
      <c r="BN228" s="92">
        <v>0</v>
      </c>
      <c r="BO228" s="92">
        <f>(BM228*20%)/12</f>
        <v>16666.666666666668</v>
      </c>
      <c r="BP228" s="92">
        <f t="shared" si="93"/>
        <v>16666.666666666668</v>
      </c>
      <c r="BQ228" s="92">
        <v>0</v>
      </c>
      <c r="BR228" s="92">
        <v>0</v>
      </c>
      <c r="BS228" s="85">
        <f t="shared" si="94"/>
        <v>2500</v>
      </c>
      <c r="BT228" s="125" t="s">
        <v>130</v>
      </c>
      <c r="BU228" s="125" t="s">
        <v>130</v>
      </c>
      <c r="BV228" s="125" t="s">
        <v>130</v>
      </c>
      <c r="BW228" s="126" t="s">
        <v>130</v>
      </c>
      <c r="BX228" s="127" t="s">
        <v>130</v>
      </c>
      <c r="BY228" s="29" t="s">
        <v>893</v>
      </c>
      <c r="BZ228" s="29" t="s">
        <v>893</v>
      </c>
      <c r="CA228" s="29" t="s">
        <v>130</v>
      </c>
      <c r="CB228" s="29" t="s">
        <v>130</v>
      </c>
      <c r="CC228" s="29" t="s">
        <v>130</v>
      </c>
      <c r="CD228" s="29" t="s">
        <v>130</v>
      </c>
      <c r="CE228" s="29" t="str">
        <f t="shared" si="95"/>
        <v>SP - PRUDENTE - SUCATA</v>
      </c>
      <c r="CF228" s="97" t="s">
        <v>130</v>
      </c>
      <c r="CG228" s="97" t="s">
        <v>130</v>
      </c>
      <c r="CH228" s="37">
        <f t="shared" si="96"/>
        <v>1000000</v>
      </c>
      <c r="CI228" s="98" t="s">
        <v>130</v>
      </c>
      <c r="CJ228" s="39">
        <v>5</v>
      </c>
      <c r="CK228" s="39">
        <v>5</v>
      </c>
      <c r="CL228" s="39">
        <f t="shared" si="97"/>
        <v>60</v>
      </c>
      <c r="CM228" s="99">
        <f t="shared" si="98"/>
        <v>33333.333333333336</v>
      </c>
      <c r="CN228" s="40" t="str">
        <f>IFERROR(IF(VLOOKUP(AG228,'[1]ATIVOS SAGI'!C:D,1,FALSE)&lt;&gt;"","CADASTRADO","NÃO CADASTRADO"),"NÃO CADASTRADO")</f>
        <v>CADASTRADO</v>
      </c>
      <c r="CO228" s="99">
        <f t="shared" si="89"/>
        <v>8333.3333333333339</v>
      </c>
      <c r="CP228" s="100" t="s">
        <v>92</v>
      </c>
      <c r="CQ228" s="228"/>
      <c r="CR228" s="228"/>
      <c r="CS228" s="228"/>
    </row>
    <row r="229" spans="1:97" x14ac:dyDescent="0.25">
      <c r="A229" s="27">
        <v>187</v>
      </c>
      <c r="B229" s="27">
        <v>92</v>
      </c>
      <c r="C229" s="29" t="s">
        <v>296</v>
      </c>
      <c r="D229" s="40" t="s">
        <v>49</v>
      </c>
      <c r="E229" s="40" t="s">
        <v>130</v>
      </c>
      <c r="F229" s="40" t="s">
        <v>130</v>
      </c>
      <c r="G229" s="40" t="s">
        <v>489</v>
      </c>
      <c r="H229" s="41" t="s">
        <v>325</v>
      </c>
      <c r="I229" s="29" t="s">
        <v>130</v>
      </c>
      <c r="J229" s="29" t="s">
        <v>130</v>
      </c>
      <c r="K229" s="29" t="s">
        <v>130</v>
      </c>
      <c r="L229" s="85" t="s">
        <v>130</v>
      </c>
      <c r="M229" s="86" t="s">
        <v>130</v>
      </c>
      <c r="N229" s="85" t="s">
        <v>130</v>
      </c>
      <c r="O229" s="86" t="s">
        <v>130</v>
      </c>
      <c r="P229" s="85" t="s">
        <v>130</v>
      </c>
      <c r="Q229" s="29" t="s">
        <v>130</v>
      </c>
      <c r="R229" s="85" t="s">
        <v>130</v>
      </c>
      <c r="S229" s="85" t="s">
        <v>130</v>
      </c>
      <c r="T229" s="85" t="s">
        <v>130</v>
      </c>
      <c r="U229" s="85" t="s">
        <v>130</v>
      </c>
      <c r="V229" s="85" t="s">
        <v>130</v>
      </c>
      <c r="W229" s="85" t="s">
        <v>130</v>
      </c>
      <c r="X229" s="85" t="s">
        <v>130</v>
      </c>
      <c r="Y229" s="85">
        <v>0</v>
      </c>
      <c r="Z229" s="85" t="s">
        <v>130</v>
      </c>
      <c r="AA229" s="85" t="s">
        <v>130</v>
      </c>
      <c r="AB229" s="85" t="s">
        <v>130</v>
      </c>
      <c r="AC229" s="85" t="s">
        <v>130</v>
      </c>
      <c r="AD229" s="85" t="s">
        <v>130</v>
      </c>
      <c r="AE229" s="29" t="s">
        <v>45</v>
      </c>
      <c r="AF229" s="29" t="s">
        <v>46</v>
      </c>
      <c r="AG229" s="40" t="s">
        <v>148</v>
      </c>
      <c r="AH229" s="29" t="s">
        <v>130</v>
      </c>
      <c r="AI229" s="87" t="str">
        <f>IFERROR(VLOOKUP(AG229,[2]Frota!$D$2:$AV$187,2,FALSE),"-")</f>
        <v>-</v>
      </c>
      <c r="AJ229" s="87" t="str">
        <f>IFERROR(VLOOKUP(AG229,[2]Frota!$D$2:$AV$187,3,FALSE),"-")</f>
        <v>-</v>
      </c>
      <c r="AK229" s="29" t="s">
        <v>545</v>
      </c>
      <c r="AL229" s="29" t="s">
        <v>894</v>
      </c>
      <c r="AM229" s="34" t="s">
        <v>130</v>
      </c>
      <c r="AN229" s="34" t="s">
        <v>130</v>
      </c>
      <c r="AO229" s="152" t="s">
        <v>156</v>
      </c>
      <c r="AP229" s="29" t="s">
        <v>889</v>
      </c>
      <c r="AQ229" s="88" t="s">
        <v>305</v>
      </c>
      <c r="AR229" s="89">
        <f>VLOOKUP(AQ229,'[1]Critério de Depreciação'!$C$3:$G$8,5,FALSE)</f>
        <v>0.83333333333333337</v>
      </c>
      <c r="AS229" s="29" t="s">
        <v>130</v>
      </c>
      <c r="AT229" s="29" t="s">
        <v>130</v>
      </c>
      <c r="AU229" s="29" t="str">
        <f>IFERROR(VLOOKUP(#REF!,[2]Frota!$D$2:$AV$187,12,FALSE),"-")</f>
        <v>-</v>
      </c>
      <c r="AV229" s="157" t="s">
        <v>130</v>
      </c>
      <c r="AW229" s="90">
        <v>8343750</v>
      </c>
      <c r="AX229" s="86" t="s">
        <v>130</v>
      </c>
      <c r="AY229" s="91" t="s">
        <v>130</v>
      </c>
      <c r="AZ229" s="85">
        <v>6700000</v>
      </c>
      <c r="BA229" s="123" t="s">
        <v>130</v>
      </c>
      <c r="BB229" s="86" t="s">
        <v>130</v>
      </c>
      <c r="BC229" s="85" t="s">
        <v>130</v>
      </c>
      <c r="BD229" s="85" t="s">
        <v>130</v>
      </c>
      <c r="BE229" s="92">
        <f t="shared" si="92"/>
        <v>6700000</v>
      </c>
      <c r="BF229" s="92">
        <f>(890000*6.25)+2781250</f>
        <v>8343750</v>
      </c>
      <c r="BG229" s="92">
        <v>0</v>
      </c>
      <c r="BH229" s="92">
        <v>0</v>
      </c>
      <c r="BI229" s="92">
        <v>0</v>
      </c>
      <c r="BJ229" s="92">
        <v>0</v>
      </c>
      <c r="BK229" s="92">
        <v>0</v>
      </c>
      <c r="BL229" s="92">
        <v>0</v>
      </c>
      <c r="BM229" s="93">
        <f t="shared" si="99"/>
        <v>8343750</v>
      </c>
      <c r="BN229" s="92">
        <v>0</v>
      </c>
      <c r="BO229" s="92">
        <f>(BM229*20%)/12</f>
        <v>139062.5</v>
      </c>
      <c r="BP229" s="92">
        <f t="shared" si="93"/>
        <v>139062.5</v>
      </c>
      <c r="BQ229" s="92">
        <v>0</v>
      </c>
      <c r="BR229" s="92">
        <v>0</v>
      </c>
      <c r="BS229" s="85">
        <f t="shared" si="94"/>
        <v>139062.5</v>
      </c>
      <c r="BT229" s="94" t="s">
        <v>130</v>
      </c>
      <c r="BU229" s="94" t="s">
        <v>130</v>
      </c>
      <c r="BV229" s="94" t="s">
        <v>130</v>
      </c>
      <c r="BW229" s="95" t="s">
        <v>130</v>
      </c>
      <c r="BX229" s="96" t="s">
        <v>130</v>
      </c>
      <c r="BY229" s="29" t="s">
        <v>314</v>
      </c>
      <c r="BZ229" s="29" t="s">
        <v>314</v>
      </c>
      <c r="CA229" s="29" t="s">
        <v>314</v>
      </c>
      <c r="CB229" s="29" t="s">
        <v>314</v>
      </c>
      <c r="CC229" s="29" t="s">
        <v>130</v>
      </c>
      <c r="CD229" s="29" t="s">
        <v>130</v>
      </c>
      <c r="CE229" s="29" t="str">
        <f t="shared" si="95"/>
        <v>SP - PRUDENTE - SUCATA</v>
      </c>
      <c r="CF229" s="97" t="s">
        <v>130</v>
      </c>
      <c r="CG229" s="97" t="s">
        <v>130</v>
      </c>
      <c r="CH229" s="37">
        <f t="shared" si="96"/>
        <v>8343750</v>
      </c>
      <c r="CI229" s="98" t="s">
        <v>130</v>
      </c>
      <c r="CJ229" s="39">
        <v>5</v>
      </c>
      <c r="CK229" s="39">
        <v>5</v>
      </c>
      <c r="CL229" s="39">
        <f t="shared" si="97"/>
        <v>60</v>
      </c>
      <c r="CM229" s="99">
        <f t="shared" si="98"/>
        <v>278125</v>
      </c>
      <c r="CN229" s="40" t="str">
        <f>IFERROR(IF(VLOOKUP(AG229,'[1]ATIVOS SAGI'!C:D,1,FALSE)&lt;&gt;"","CADASTRADO","NÃO CADASTRADO"),"NÃO CADASTRADO")</f>
        <v>CADASTRADO</v>
      </c>
      <c r="CO229" s="99">
        <f t="shared" si="89"/>
        <v>69531.25</v>
      </c>
      <c r="CP229" s="100" t="s">
        <v>92</v>
      </c>
      <c r="CQ229" s="228"/>
      <c r="CR229" s="228"/>
      <c r="CS229" s="228"/>
    </row>
    <row r="230" spans="1:97" x14ac:dyDescent="0.25">
      <c r="A230" s="27">
        <v>46</v>
      </c>
      <c r="B230" s="27">
        <v>85</v>
      </c>
      <c r="C230" s="29" t="s">
        <v>296</v>
      </c>
      <c r="D230" s="40" t="s">
        <v>49</v>
      </c>
      <c r="E230" s="40" t="s">
        <v>130</v>
      </c>
      <c r="F230" s="88" t="s">
        <v>130</v>
      </c>
      <c r="G230" s="151"/>
      <c r="H230" s="41" t="s">
        <v>130</v>
      </c>
      <c r="I230" s="29" t="s">
        <v>130</v>
      </c>
      <c r="J230" s="29" t="s">
        <v>130</v>
      </c>
      <c r="K230" s="29" t="s">
        <v>130</v>
      </c>
      <c r="L230" s="85" t="s">
        <v>130</v>
      </c>
      <c r="M230" s="86" t="s">
        <v>130</v>
      </c>
      <c r="N230" s="85" t="s">
        <v>130</v>
      </c>
      <c r="O230" s="86" t="s">
        <v>130</v>
      </c>
      <c r="P230" s="85" t="s">
        <v>130</v>
      </c>
      <c r="Q230" s="29" t="s">
        <v>130</v>
      </c>
      <c r="R230" s="85" t="s">
        <v>130</v>
      </c>
      <c r="S230" s="85" t="s">
        <v>130</v>
      </c>
      <c r="T230" s="85" t="s">
        <v>130</v>
      </c>
      <c r="U230" s="85" t="s">
        <v>130</v>
      </c>
      <c r="V230" s="85" t="s">
        <v>130</v>
      </c>
      <c r="W230" s="85" t="s">
        <v>130</v>
      </c>
      <c r="X230" s="85" t="s">
        <v>130</v>
      </c>
      <c r="Y230" s="85" t="s">
        <v>130</v>
      </c>
      <c r="Z230" s="85" t="s">
        <v>130</v>
      </c>
      <c r="AA230" s="85" t="s">
        <v>130</v>
      </c>
      <c r="AB230" s="85" t="s">
        <v>130</v>
      </c>
      <c r="AC230" s="85" t="s">
        <v>130</v>
      </c>
      <c r="AD230" s="85" t="s">
        <v>130</v>
      </c>
      <c r="AE230" s="29" t="s">
        <v>298</v>
      </c>
      <c r="AF230" s="29" t="s">
        <v>46</v>
      </c>
      <c r="AG230" s="40" t="s">
        <v>895</v>
      </c>
      <c r="AH230" s="29" t="s">
        <v>130</v>
      </c>
      <c r="AI230" s="87" t="str">
        <f>IFERROR(VLOOKUP(AG230,[2]Frota!$D$2:$AV$187,2,FALSE),"-")</f>
        <v>-</v>
      </c>
      <c r="AJ230" s="87" t="str">
        <f>IFERROR(VLOOKUP(AG230,[2]Frota!$D$2:$AV$187,3,FALSE),"-")</f>
        <v>-</v>
      </c>
      <c r="AK230" s="29" t="s">
        <v>896</v>
      </c>
      <c r="AL230" s="29" t="s">
        <v>897</v>
      </c>
      <c r="AM230" s="34" t="s">
        <v>130</v>
      </c>
      <c r="AN230" s="34" t="s">
        <v>130</v>
      </c>
      <c r="AO230" s="40" t="s">
        <v>431</v>
      </c>
      <c r="AP230" s="29" t="s">
        <v>889</v>
      </c>
      <c r="AQ230" s="88" t="s">
        <v>305</v>
      </c>
      <c r="AR230" s="89">
        <f>VLOOKUP(AQ230,'[1]Critério de Depreciação'!$C$3:$G$8,5,FALSE)</f>
        <v>0.83333333333333337</v>
      </c>
      <c r="AS230" s="29" t="s">
        <v>299</v>
      </c>
      <c r="AT230" s="29" t="s">
        <v>300</v>
      </c>
      <c r="AU230" s="29" t="str">
        <f>IFERROR(VLOOKUP(AG273,[2]Frota!$D$2:$AV$187,12,FALSE),"-")</f>
        <v>-</v>
      </c>
      <c r="AV230" s="157" t="s">
        <v>130</v>
      </c>
      <c r="AW230" s="90">
        <v>0</v>
      </c>
      <c r="AX230" s="86" t="s">
        <v>130</v>
      </c>
      <c r="AY230" s="91" t="s">
        <v>130</v>
      </c>
      <c r="AZ230" s="85">
        <v>150000</v>
      </c>
      <c r="BA230" s="123" t="s">
        <v>130</v>
      </c>
      <c r="BB230" s="86" t="s">
        <v>130</v>
      </c>
      <c r="BC230" s="85" t="s">
        <v>130</v>
      </c>
      <c r="BD230" s="85" t="s">
        <v>130</v>
      </c>
      <c r="BE230" s="92">
        <f t="shared" si="92"/>
        <v>150000</v>
      </c>
      <c r="BF230" s="92">
        <v>0</v>
      </c>
      <c r="BG230" s="92">
        <v>0</v>
      </c>
      <c r="BH230" s="92">
        <v>0</v>
      </c>
      <c r="BI230" s="92">
        <v>0</v>
      </c>
      <c r="BJ230" s="92">
        <v>0</v>
      </c>
      <c r="BK230" s="92">
        <v>0</v>
      </c>
      <c r="BL230" s="92">
        <v>0</v>
      </c>
      <c r="BM230" s="93">
        <f>SUM(BG230:BL230)</f>
        <v>0</v>
      </c>
      <c r="BN230" s="92">
        <v>0</v>
      </c>
      <c r="BO230" s="92">
        <v>0</v>
      </c>
      <c r="BP230" s="92">
        <v>0</v>
      </c>
      <c r="BQ230" s="92">
        <v>0</v>
      </c>
      <c r="BR230" s="92">
        <v>0</v>
      </c>
      <c r="BS230" s="85">
        <f t="shared" si="94"/>
        <v>0</v>
      </c>
      <c r="BT230" s="94" t="s">
        <v>130</v>
      </c>
      <c r="BU230" s="94" t="s">
        <v>130</v>
      </c>
      <c r="BV230" s="94" t="s">
        <v>130</v>
      </c>
      <c r="BW230" s="95" t="s">
        <v>130</v>
      </c>
      <c r="BX230" s="96" t="s">
        <v>130</v>
      </c>
      <c r="BY230" s="29" t="s">
        <v>314</v>
      </c>
      <c r="BZ230" s="29" t="s">
        <v>314</v>
      </c>
      <c r="CA230" s="29" t="s">
        <v>130</v>
      </c>
      <c r="CB230" s="29" t="s">
        <v>130</v>
      </c>
      <c r="CC230" s="29" t="s">
        <v>130</v>
      </c>
      <c r="CD230" s="29" t="s">
        <v>130</v>
      </c>
      <c r="CE230" s="29" t="str">
        <f t="shared" si="95"/>
        <v>SP - PRUDENTE - SUCATA</v>
      </c>
      <c r="CF230" s="97" t="s">
        <v>130</v>
      </c>
      <c r="CG230" s="97" t="s">
        <v>130</v>
      </c>
      <c r="CH230" s="37">
        <f t="shared" si="96"/>
        <v>0</v>
      </c>
      <c r="CI230" s="98" t="s">
        <v>130</v>
      </c>
      <c r="CJ230" s="39">
        <v>5</v>
      </c>
      <c r="CK230" s="39">
        <v>5</v>
      </c>
      <c r="CL230" s="39">
        <f t="shared" si="97"/>
        <v>60</v>
      </c>
      <c r="CM230" s="99">
        <f t="shared" si="98"/>
        <v>0</v>
      </c>
      <c r="CN230" s="40" t="str">
        <f>IFERROR(IF(VLOOKUP(AG230,'[1]ATIVOS SAGI'!C:D,1,FALSE)&lt;&gt;"","CADASTRADO","NÃO CADASTRADO"),"NÃO CADASTRADO")</f>
        <v>CADASTRADO</v>
      </c>
      <c r="CO230" s="99">
        <f t="shared" si="89"/>
        <v>0</v>
      </c>
      <c r="CP230" s="100" t="s">
        <v>301</v>
      </c>
      <c r="CQ230" s="225"/>
      <c r="CR230" s="225"/>
      <c r="CS230" s="225"/>
    </row>
    <row r="231" spans="1:97" x14ac:dyDescent="0.25">
      <c r="A231" s="27">
        <v>51</v>
      </c>
      <c r="B231" s="27">
        <v>91</v>
      </c>
      <c r="C231" s="29" t="s">
        <v>296</v>
      </c>
      <c r="D231" s="40" t="s">
        <v>49</v>
      </c>
      <c r="E231" s="40" t="s">
        <v>130</v>
      </c>
      <c r="F231" s="88" t="s">
        <v>130</v>
      </c>
      <c r="G231" s="40" t="s">
        <v>504</v>
      </c>
      <c r="H231" s="41" t="s">
        <v>875</v>
      </c>
      <c r="I231" s="29" t="s">
        <v>130</v>
      </c>
      <c r="J231" s="29" t="s">
        <v>130</v>
      </c>
      <c r="K231" s="29" t="s">
        <v>130</v>
      </c>
      <c r="L231" s="85" t="s">
        <v>130</v>
      </c>
      <c r="M231" s="86" t="s">
        <v>130</v>
      </c>
      <c r="N231" s="85" t="s">
        <v>130</v>
      </c>
      <c r="O231" s="86" t="s">
        <v>130</v>
      </c>
      <c r="P231" s="85" t="s">
        <v>130</v>
      </c>
      <c r="Q231" s="29" t="s">
        <v>130</v>
      </c>
      <c r="R231" s="85" t="s">
        <v>130</v>
      </c>
      <c r="S231" s="85" t="s">
        <v>130</v>
      </c>
      <c r="T231" s="85" t="s">
        <v>130</v>
      </c>
      <c r="U231" s="85" t="s">
        <v>130</v>
      </c>
      <c r="V231" s="85" t="s">
        <v>130</v>
      </c>
      <c r="W231" s="85" t="s">
        <v>130</v>
      </c>
      <c r="X231" s="85" t="s">
        <v>130</v>
      </c>
      <c r="Y231" s="85">
        <v>0</v>
      </c>
      <c r="Z231" s="85" t="s">
        <v>130</v>
      </c>
      <c r="AA231" s="85" t="s">
        <v>130</v>
      </c>
      <c r="AB231" s="85" t="s">
        <v>130</v>
      </c>
      <c r="AC231" s="85" t="s">
        <v>130</v>
      </c>
      <c r="AD231" s="85" t="s">
        <v>130</v>
      </c>
      <c r="AE231" s="29" t="s">
        <v>45</v>
      </c>
      <c r="AF231" s="29" t="s">
        <v>55</v>
      </c>
      <c r="AG231" s="40" t="s">
        <v>164</v>
      </c>
      <c r="AH231" s="29" t="s">
        <v>130</v>
      </c>
      <c r="AI231" s="87" t="str">
        <f>IFERROR(VLOOKUP(AG231,[2]Frota!$D$2:$AV$187,2,FALSE),"-")</f>
        <v>-</v>
      </c>
      <c r="AJ231" s="87" t="str">
        <f>IFERROR(VLOOKUP(AG231,[2]Frota!$D$2:$AV$187,3,FALSE),"-")</f>
        <v>-</v>
      </c>
      <c r="AK231" s="29" t="s">
        <v>545</v>
      </c>
      <c r="AL231" s="29" t="s">
        <v>898</v>
      </c>
      <c r="AM231" s="34" t="s">
        <v>130</v>
      </c>
      <c r="AN231" s="34" t="s">
        <v>130</v>
      </c>
      <c r="AO231" s="152" t="s">
        <v>167</v>
      </c>
      <c r="AP231" s="29" t="s">
        <v>889</v>
      </c>
      <c r="AQ231" s="88" t="s">
        <v>305</v>
      </c>
      <c r="AR231" s="89">
        <f>VLOOKUP(AQ231,'[1]Critério de Depreciação'!$C$3:$G$8,5,FALSE)</f>
        <v>0.83333333333333337</v>
      </c>
      <c r="AS231" s="29" t="s">
        <v>130</v>
      </c>
      <c r="AT231" s="29" t="s">
        <v>322</v>
      </c>
      <c r="AU231" s="29" t="str">
        <f>IFERROR(VLOOKUP(AG274,[2]Frota!$D$2:$AV$187,12,FALSE),"-")</f>
        <v>-</v>
      </c>
      <c r="AV231" s="45">
        <v>3177</v>
      </c>
      <c r="AW231" s="90">
        <v>622100.14</v>
      </c>
      <c r="AX231" s="86">
        <v>42394</v>
      </c>
      <c r="AY231" s="91" t="s">
        <v>130</v>
      </c>
      <c r="AZ231" s="85">
        <v>3000000</v>
      </c>
      <c r="BA231" s="123" t="s">
        <v>130</v>
      </c>
      <c r="BB231" s="86" t="s">
        <v>130</v>
      </c>
      <c r="BC231" s="85" t="s">
        <v>130</v>
      </c>
      <c r="BD231" s="85" t="s">
        <v>130</v>
      </c>
      <c r="BE231" s="92">
        <f t="shared" si="92"/>
        <v>3000000</v>
      </c>
      <c r="BF231" s="92">
        <v>4687000</v>
      </c>
      <c r="BG231" s="92">
        <v>0</v>
      </c>
      <c r="BH231" s="92">
        <v>0</v>
      </c>
      <c r="BI231" s="92">
        <v>0</v>
      </c>
      <c r="BJ231" s="92">
        <v>0</v>
      </c>
      <c r="BK231" s="92">
        <v>0</v>
      </c>
      <c r="BL231" s="92">
        <v>0</v>
      </c>
      <c r="BM231" s="93">
        <f>SUM(BF231:BL231)</f>
        <v>4687000</v>
      </c>
      <c r="BN231" s="92">
        <v>0</v>
      </c>
      <c r="BO231" s="92">
        <f>(BM231*20%)/12</f>
        <v>78116.666666666672</v>
      </c>
      <c r="BP231" s="92">
        <f>BN231+BO231</f>
        <v>78116.666666666672</v>
      </c>
      <c r="BQ231" s="92">
        <v>0</v>
      </c>
      <c r="BR231" s="92">
        <v>0</v>
      </c>
      <c r="BS231" s="85">
        <f t="shared" si="94"/>
        <v>10368.335666666668</v>
      </c>
      <c r="BT231" s="125" t="s">
        <v>130</v>
      </c>
      <c r="BU231" s="125" t="s">
        <v>130</v>
      </c>
      <c r="BV231" s="125" t="s">
        <v>130</v>
      </c>
      <c r="BW231" s="126" t="s">
        <v>130</v>
      </c>
      <c r="BX231" s="127" t="s">
        <v>130</v>
      </c>
      <c r="BY231" s="29" t="s">
        <v>310</v>
      </c>
      <c r="BZ231" s="29" t="s">
        <v>310</v>
      </c>
      <c r="CA231" s="29" t="s">
        <v>130</v>
      </c>
      <c r="CB231" s="29" t="s">
        <v>130</v>
      </c>
      <c r="CC231" s="29" t="s">
        <v>130</v>
      </c>
      <c r="CD231" s="29" t="s">
        <v>130</v>
      </c>
      <c r="CE231" s="29" t="str">
        <f t="shared" si="95"/>
        <v>MS - DOURADOS</v>
      </c>
      <c r="CF231" s="97" t="s">
        <v>130</v>
      </c>
      <c r="CG231" s="97" t="s">
        <v>130</v>
      </c>
      <c r="CH231" s="37">
        <f t="shared" si="96"/>
        <v>4687000</v>
      </c>
      <c r="CI231" s="98" t="s">
        <v>130</v>
      </c>
      <c r="CJ231" s="39">
        <v>5</v>
      </c>
      <c r="CK231" s="39">
        <v>5</v>
      </c>
      <c r="CL231" s="39">
        <f t="shared" si="97"/>
        <v>60</v>
      </c>
      <c r="CM231" s="99">
        <f t="shared" si="98"/>
        <v>156233.33333333334</v>
      </c>
      <c r="CN231" s="40" t="str">
        <f>IFERROR(IF(VLOOKUP(AG231,'[1]ATIVOS SAGI'!C:D,1,FALSE)&lt;&gt;"","CADASTRADO","NÃO CADASTRADO"),"NÃO CADASTRADO")</f>
        <v>NÃO CADASTRADO</v>
      </c>
      <c r="CO231" s="99">
        <f t="shared" si="89"/>
        <v>39058.333333333336</v>
      </c>
      <c r="CP231" s="223" t="s">
        <v>81</v>
      </c>
      <c r="CQ231" s="223" t="s">
        <v>455</v>
      </c>
      <c r="CR231" s="223"/>
      <c r="CS231" s="223"/>
    </row>
    <row r="232" spans="1:97" x14ac:dyDescent="0.25">
      <c r="A232" s="27">
        <v>17</v>
      </c>
      <c r="B232" s="101">
        <v>56</v>
      </c>
      <c r="C232" s="102" t="s">
        <v>296</v>
      </c>
      <c r="D232" s="88" t="s">
        <v>49</v>
      </c>
      <c r="E232" s="88" t="s">
        <v>130</v>
      </c>
      <c r="F232" s="88" t="s">
        <v>130</v>
      </c>
      <c r="G232" s="88"/>
      <c r="H232" s="104" t="s">
        <v>130</v>
      </c>
      <c r="I232" s="102" t="s">
        <v>130</v>
      </c>
      <c r="J232" s="105">
        <f>L232+N232</f>
        <v>1560.95</v>
      </c>
      <c r="K232" s="105" t="s">
        <v>130</v>
      </c>
      <c r="L232" s="105">
        <v>167.74</v>
      </c>
      <c r="M232" s="106">
        <v>45672</v>
      </c>
      <c r="N232" s="105">
        <v>1393.21</v>
      </c>
      <c r="O232" s="106">
        <v>45705</v>
      </c>
      <c r="P232" s="105">
        <v>1436.3</v>
      </c>
      <c r="Q232" s="102" t="s">
        <v>570</v>
      </c>
      <c r="R232" s="105">
        <v>133.69999999999999</v>
      </c>
      <c r="S232" s="105">
        <v>0</v>
      </c>
      <c r="T232" s="105">
        <v>0</v>
      </c>
      <c r="U232" s="105" t="s">
        <v>130</v>
      </c>
      <c r="V232" s="105" t="s">
        <v>130</v>
      </c>
      <c r="W232" s="105" t="s">
        <v>130</v>
      </c>
      <c r="X232" s="105" t="s">
        <v>130</v>
      </c>
      <c r="Y232" s="105" t="s">
        <v>130</v>
      </c>
      <c r="Z232" s="105" t="s">
        <v>130</v>
      </c>
      <c r="AA232" s="105" t="s">
        <v>130</v>
      </c>
      <c r="AB232" s="105" t="s">
        <v>130</v>
      </c>
      <c r="AC232" s="105" t="s">
        <v>130</v>
      </c>
      <c r="AD232" s="105" t="s">
        <v>130</v>
      </c>
      <c r="AE232" s="102" t="s">
        <v>297</v>
      </c>
      <c r="AF232" s="102" t="s">
        <v>899</v>
      </c>
      <c r="AG232" s="88" t="s">
        <v>900</v>
      </c>
      <c r="AH232" s="102" t="s">
        <v>130</v>
      </c>
      <c r="AI232" s="107" t="str">
        <f>IFERROR(VLOOKUP(AG232,[2]Frota!$D$2:$AV$187,2,FALSE),"-")</f>
        <v>01361465155</v>
      </c>
      <c r="AJ232" s="107" t="str">
        <f>IFERROR(VLOOKUP(AG232,[2]Frota!$D$2:$AV$187,3,FALSE),"-")</f>
        <v>9BWKL45U1PP082699</v>
      </c>
      <c r="AK232" s="102" t="s">
        <v>563</v>
      </c>
      <c r="AL232" s="102" t="s">
        <v>901</v>
      </c>
      <c r="AM232" s="108">
        <v>2023</v>
      </c>
      <c r="AN232" s="108">
        <v>2023</v>
      </c>
      <c r="AO232" s="88" t="s">
        <v>555</v>
      </c>
      <c r="AP232" s="102" t="s">
        <v>555</v>
      </c>
      <c r="AQ232" s="88" t="s">
        <v>464</v>
      </c>
      <c r="AR232" s="89">
        <f>VLOOKUP(AQ232,'[1]Critério de Depreciação'!$C$3:$G$8,5,FALSE)</f>
        <v>1.6666666666666667</v>
      </c>
      <c r="AS232" s="102" t="s">
        <v>299</v>
      </c>
      <c r="AT232" s="102" t="s">
        <v>300</v>
      </c>
      <c r="AU232" s="102" t="str">
        <f>IFERROR(VLOOKUP(AG277,[2]Frota!$D$2:$AV$187,12,FALSE),"-")</f>
        <v>-</v>
      </c>
      <c r="AV232" s="109">
        <v>879586</v>
      </c>
      <c r="AW232" s="110">
        <v>76763.710000000006</v>
      </c>
      <c r="AX232" s="106">
        <v>45194</v>
      </c>
      <c r="AY232" s="111" t="s">
        <v>130</v>
      </c>
      <c r="AZ232" s="105" t="s">
        <v>130</v>
      </c>
      <c r="BA232" s="112">
        <v>76763.710000000006</v>
      </c>
      <c r="BB232" s="106">
        <v>45215</v>
      </c>
      <c r="BC232" s="105" t="s">
        <v>130</v>
      </c>
      <c r="BD232" s="105" t="s">
        <v>130</v>
      </c>
      <c r="BE232" s="113">
        <f t="shared" si="92"/>
        <v>76763.710000000006</v>
      </c>
      <c r="BF232" s="113">
        <v>0</v>
      </c>
      <c r="BG232" s="113">
        <v>99172</v>
      </c>
      <c r="BH232" s="113">
        <v>0</v>
      </c>
      <c r="BI232" s="113">
        <v>0</v>
      </c>
      <c r="BJ232" s="113">
        <v>0</v>
      </c>
      <c r="BK232" s="113">
        <v>0</v>
      </c>
      <c r="BL232" s="113">
        <v>0</v>
      </c>
      <c r="BM232" s="114">
        <f>SUM(BF232:BL232)</f>
        <v>99172</v>
      </c>
      <c r="BN232" s="113">
        <v>0</v>
      </c>
      <c r="BO232" s="113">
        <v>0</v>
      </c>
      <c r="BP232" s="113">
        <f>BN232+BO232</f>
        <v>0</v>
      </c>
      <c r="BQ232" s="113">
        <v>0</v>
      </c>
      <c r="BR232" s="113">
        <v>0</v>
      </c>
      <c r="BS232" s="105">
        <f t="shared" si="94"/>
        <v>1279.3951666666669</v>
      </c>
      <c r="BT232" s="115">
        <v>69.900000000000006</v>
      </c>
      <c r="BU232" s="115" t="s">
        <v>130</v>
      </c>
      <c r="BV232" s="115" t="s">
        <v>130</v>
      </c>
      <c r="BW232" s="116" t="s">
        <v>130</v>
      </c>
      <c r="BX232" s="117" t="s">
        <v>816</v>
      </c>
      <c r="BY232" s="102" t="s">
        <v>902</v>
      </c>
      <c r="BZ232" s="102" t="s">
        <v>902</v>
      </c>
      <c r="CA232" s="102" t="s">
        <v>130</v>
      </c>
      <c r="CB232" s="102" t="s">
        <v>130</v>
      </c>
      <c r="CC232" s="102" t="s">
        <v>130</v>
      </c>
      <c r="CD232" s="102" t="s">
        <v>902</v>
      </c>
      <c r="CE232" s="102" t="str">
        <f t="shared" si="95"/>
        <v>JUNIOR SANTOS</v>
      </c>
      <c r="CF232" s="118" t="s">
        <v>130</v>
      </c>
      <c r="CG232" s="118" t="s">
        <v>130</v>
      </c>
      <c r="CH232" s="119">
        <f t="shared" si="96"/>
        <v>99172</v>
      </c>
      <c r="CI232" s="120" t="s">
        <v>130</v>
      </c>
      <c r="CJ232" s="121">
        <v>5</v>
      </c>
      <c r="CK232" s="121">
        <v>5</v>
      </c>
      <c r="CL232" s="121">
        <f t="shared" si="97"/>
        <v>60</v>
      </c>
      <c r="CM232" s="122">
        <f t="shared" si="98"/>
        <v>3305.7333333333331</v>
      </c>
      <c r="CN232" s="88" t="str">
        <f>IFERROR(IF(VLOOKUP(AG232,'[1]ATIVOS SAGI'!C:D,1,FALSE)&lt;&gt;"","CADASTRADO","NÃO CADASTRADO"),"NÃO CADASTRADO")</f>
        <v>NÃO CADASTRADO</v>
      </c>
      <c r="CO232" s="99">
        <f t="shared" si="89"/>
        <v>1652.8666666666668</v>
      </c>
      <c r="CP232" s="48" t="s">
        <v>48</v>
      </c>
      <c r="CQ232" s="100"/>
      <c r="CR232" s="100"/>
      <c r="CS232" s="100"/>
    </row>
    <row r="233" spans="1:97" x14ac:dyDescent="0.25">
      <c r="A233" s="27">
        <v>18</v>
      </c>
      <c r="B233" s="101">
        <v>57</v>
      </c>
      <c r="C233" s="102" t="s">
        <v>296</v>
      </c>
      <c r="D233" s="88" t="s">
        <v>49</v>
      </c>
      <c r="E233" s="88" t="s">
        <v>130</v>
      </c>
      <c r="F233" s="88"/>
      <c r="G233" s="88"/>
      <c r="H233" s="104" t="s">
        <v>130</v>
      </c>
      <c r="I233" s="102" t="s">
        <v>130</v>
      </c>
      <c r="J233" s="105">
        <f>L233+N233</f>
        <v>1560.95</v>
      </c>
      <c r="K233" s="105" t="s">
        <v>466</v>
      </c>
      <c r="L233" s="105">
        <v>167.74</v>
      </c>
      <c r="M233" s="106">
        <v>45671</v>
      </c>
      <c r="N233" s="105">
        <v>1393.21</v>
      </c>
      <c r="O233" s="106">
        <v>45702</v>
      </c>
      <c r="P233" s="105">
        <v>1436.3</v>
      </c>
      <c r="Q233" s="102" t="s">
        <v>570</v>
      </c>
      <c r="R233" s="105">
        <v>338.89</v>
      </c>
      <c r="S233" s="105">
        <v>0</v>
      </c>
      <c r="T233" s="105">
        <v>0</v>
      </c>
      <c r="U233" s="105" t="s">
        <v>130</v>
      </c>
      <c r="V233" s="105" t="s">
        <v>130</v>
      </c>
      <c r="W233" s="105" t="s">
        <v>130</v>
      </c>
      <c r="X233" s="105" t="s">
        <v>130</v>
      </c>
      <c r="Y233" s="105" t="s">
        <v>130</v>
      </c>
      <c r="Z233" s="105" t="s">
        <v>130</v>
      </c>
      <c r="AA233" s="105" t="s">
        <v>130</v>
      </c>
      <c r="AB233" s="105" t="s">
        <v>130</v>
      </c>
      <c r="AC233" s="105" t="s">
        <v>130</v>
      </c>
      <c r="AD233" s="105" t="s">
        <v>130</v>
      </c>
      <c r="AE233" s="102" t="s">
        <v>297</v>
      </c>
      <c r="AF233" s="102" t="s">
        <v>841</v>
      </c>
      <c r="AG233" s="88" t="s">
        <v>903</v>
      </c>
      <c r="AH233" s="102" t="s">
        <v>130</v>
      </c>
      <c r="AI233" s="107" t="str">
        <f>IFERROR(VLOOKUP(AG233,[2]Frota!$D$2:$AV$187,2,FALSE),"-")</f>
        <v>01358829303</v>
      </c>
      <c r="AJ233" s="107" t="str">
        <f>IFERROR(VLOOKUP(AG233,[2]Frota!$D$2:$AV$187,3,FALSE),"-")</f>
        <v>9BWKL45U0PP077848</v>
      </c>
      <c r="AK233" s="102" t="s">
        <v>563</v>
      </c>
      <c r="AL233" s="102" t="s">
        <v>901</v>
      </c>
      <c r="AM233" s="108">
        <v>2023</v>
      </c>
      <c r="AN233" s="108">
        <v>2023</v>
      </c>
      <c r="AO233" s="88" t="s">
        <v>555</v>
      </c>
      <c r="AP233" s="102" t="s">
        <v>555</v>
      </c>
      <c r="AQ233" s="88" t="s">
        <v>464</v>
      </c>
      <c r="AR233" s="89">
        <f>VLOOKUP(AQ233,'[1]Critério de Depreciação'!$C$3:$G$8,5,FALSE)</f>
        <v>1.6666666666666667</v>
      </c>
      <c r="AS233" s="102" t="s">
        <v>299</v>
      </c>
      <c r="AT233" s="102" t="s">
        <v>300</v>
      </c>
      <c r="AU233" s="102" t="str">
        <f>IFERROR(VLOOKUP(AG278,[2]Frota!$D$2:$AV$187,12,FALSE),"-")</f>
        <v>-</v>
      </c>
      <c r="AV233" s="155">
        <v>870577</v>
      </c>
      <c r="AW233" s="110">
        <v>79606.81</v>
      </c>
      <c r="AX233" s="106" t="s">
        <v>904</v>
      </c>
      <c r="AY233" s="111" t="s">
        <v>130</v>
      </c>
      <c r="AZ233" s="105" t="s">
        <v>130</v>
      </c>
      <c r="BA233" s="112">
        <v>79606.81</v>
      </c>
      <c r="BB233" s="106">
        <v>45215</v>
      </c>
      <c r="BC233" s="105" t="s">
        <v>130</v>
      </c>
      <c r="BD233" s="105" t="s">
        <v>130</v>
      </c>
      <c r="BE233" s="113">
        <f t="shared" si="92"/>
        <v>79606.81</v>
      </c>
      <c r="BF233" s="113">
        <v>0</v>
      </c>
      <c r="BG233" s="113">
        <v>0</v>
      </c>
      <c r="BH233" s="113">
        <v>0</v>
      </c>
      <c r="BI233" s="113">
        <v>0</v>
      </c>
      <c r="BJ233" s="113">
        <v>0</v>
      </c>
      <c r="BK233" s="113">
        <v>0</v>
      </c>
      <c r="BL233" s="113">
        <v>0</v>
      </c>
      <c r="BM233" s="114">
        <f>SUM(BF233:BL233)</f>
        <v>0</v>
      </c>
      <c r="BN233" s="113">
        <v>0</v>
      </c>
      <c r="BO233" s="113">
        <v>0</v>
      </c>
      <c r="BP233" s="113">
        <f>BN233+BO233</f>
        <v>0</v>
      </c>
      <c r="BQ233" s="113">
        <v>0</v>
      </c>
      <c r="BR233" s="113">
        <v>0</v>
      </c>
      <c r="BS233" s="105">
        <f t="shared" si="94"/>
        <v>1326.7801666666667</v>
      </c>
      <c r="BT233" s="115">
        <v>69.900000000000006</v>
      </c>
      <c r="BU233" s="115" t="s">
        <v>130</v>
      </c>
      <c r="BV233" s="115" t="s">
        <v>130</v>
      </c>
      <c r="BW233" s="116" t="s">
        <v>130</v>
      </c>
      <c r="BX233" s="117" t="s">
        <v>130</v>
      </c>
      <c r="BY233" s="102" t="s">
        <v>905</v>
      </c>
      <c r="BZ233" s="102" t="s">
        <v>905</v>
      </c>
      <c r="CA233" s="102" t="s">
        <v>906</v>
      </c>
      <c r="CB233" s="102" t="s">
        <v>130</v>
      </c>
      <c r="CC233" s="102" t="s">
        <v>130</v>
      </c>
      <c r="CD233" s="102" t="s">
        <v>907</v>
      </c>
      <c r="CE233" s="102" t="str">
        <f t="shared" si="95"/>
        <v>JAIRO</v>
      </c>
      <c r="CF233" s="118" t="s">
        <v>130</v>
      </c>
      <c r="CG233" s="118" t="s">
        <v>130</v>
      </c>
      <c r="CH233" s="119">
        <f t="shared" si="96"/>
        <v>0</v>
      </c>
      <c r="CI233" s="120" t="s">
        <v>130</v>
      </c>
      <c r="CJ233" s="121">
        <v>5</v>
      </c>
      <c r="CK233" s="121">
        <v>5</v>
      </c>
      <c r="CL233" s="121">
        <f t="shared" si="97"/>
        <v>60</v>
      </c>
      <c r="CM233" s="122">
        <f t="shared" si="98"/>
        <v>0</v>
      </c>
      <c r="CN233" s="88" t="str">
        <f>IFERROR(IF(VLOOKUP(AG233,'[1]ATIVOS SAGI'!C:D,1,FALSE)&lt;&gt;"","CADASTRADO","NÃO CADASTRADO"),"NÃO CADASTRADO")</f>
        <v>CADASTRADO</v>
      </c>
      <c r="CO233" s="99">
        <f t="shared" si="89"/>
        <v>0</v>
      </c>
      <c r="CP233" s="48" t="s">
        <v>48</v>
      </c>
      <c r="CQ233" s="225"/>
      <c r="CR233" s="225"/>
      <c r="CS233" s="225"/>
    </row>
    <row r="234" spans="1:97" x14ac:dyDescent="0.25">
      <c r="A234" s="27">
        <v>19</v>
      </c>
      <c r="B234" s="101">
        <v>58</v>
      </c>
      <c r="C234" s="102" t="s">
        <v>296</v>
      </c>
      <c r="D234" s="88" t="s">
        <v>49</v>
      </c>
      <c r="E234" s="88" t="s">
        <v>130</v>
      </c>
      <c r="F234" s="88"/>
      <c r="G234" s="88"/>
      <c r="H234" s="104" t="s">
        <v>130</v>
      </c>
      <c r="I234" s="102" t="s">
        <v>130</v>
      </c>
      <c r="J234" s="105">
        <f>L234+N234</f>
        <v>1560.95</v>
      </c>
      <c r="K234" s="105" t="s">
        <v>130</v>
      </c>
      <c r="L234" s="105">
        <v>167.74</v>
      </c>
      <c r="M234" s="106">
        <v>45672</v>
      </c>
      <c r="N234" s="105">
        <v>1393.21</v>
      </c>
      <c r="O234" s="106">
        <v>45705</v>
      </c>
      <c r="P234" s="105">
        <v>1436.3</v>
      </c>
      <c r="Q234" s="102" t="s">
        <v>570</v>
      </c>
      <c r="R234" s="105">
        <v>328.64</v>
      </c>
      <c r="S234" s="105">
        <v>0</v>
      </c>
      <c r="T234" s="105">
        <v>0</v>
      </c>
      <c r="U234" s="105" t="s">
        <v>130</v>
      </c>
      <c r="V234" s="105" t="s">
        <v>130</v>
      </c>
      <c r="W234" s="105" t="s">
        <v>130</v>
      </c>
      <c r="X234" s="105" t="s">
        <v>130</v>
      </c>
      <c r="Y234" s="105" t="s">
        <v>130</v>
      </c>
      <c r="Z234" s="105" t="s">
        <v>130</v>
      </c>
      <c r="AA234" s="105" t="s">
        <v>130</v>
      </c>
      <c r="AB234" s="105" t="s">
        <v>130</v>
      </c>
      <c r="AC234" s="105" t="s">
        <v>130</v>
      </c>
      <c r="AD234" s="105" t="s">
        <v>130</v>
      </c>
      <c r="AE234" s="102" t="s">
        <v>297</v>
      </c>
      <c r="AF234" s="102" t="s">
        <v>908</v>
      </c>
      <c r="AG234" s="88" t="s">
        <v>909</v>
      </c>
      <c r="AH234" s="102" t="s">
        <v>130</v>
      </c>
      <c r="AI234" s="107" t="str">
        <f>IFERROR(VLOOKUP(AG234,[2]Frota!$D$2:$AV$187,2,FALSE),"-")</f>
        <v>01358830131</v>
      </c>
      <c r="AJ234" s="107" t="str">
        <f>IFERROR(VLOOKUP(AG234,[2]Frota!$D$2:$AV$187,3,FALSE),"-")</f>
        <v>9BWKL45U9PP078657</v>
      </c>
      <c r="AK234" s="102" t="s">
        <v>563</v>
      </c>
      <c r="AL234" s="102" t="s">
        <v>901</v>
      </c>
      <c r="AM234" s="108">
        <v>2023</v>
      </c>
      <c r="AN234" s="108">
        <v>2023</v>
      </c>
      <c r="AO234" s="88" t="s">
        <v>555</v>
      </c>
      <c r="AP234" s="102" t="s">
        <v>555</v>
      </c>
      <c r="AQ234" s="88" t="s">
        <v>464</v>
      </c>
      <c r="AR234" s="89">
        <f>VLOOKUP(AQ234,'[1]Critério de Depreciação'!$C$3:$G$8,5,FALSE)</f>
        <v>1.6666666666666667</v>
      </c>
      <c r="AS234" s="102" t="s">
        <v>299</v>
      </c>
      <c r="AT234" s="102" t="s">
        <v>300</v>
      </c>
      <c r="AU234" s="102" t="str">
        <f>IFERROR(VLOOKUP(AG279,[2]Frota!$D$2:$AV$187,12,FALSE),"-")</f>
        <v>-</v>
      </c>
      <c r="AV234" s="155">
        <v>870578</v>
      </c>
      <c r="AW234" s="110">
        <v>79606.81</v>
      </c>
      <c r="AX234" s="106" t="s">
        <v>904</v>
      </c>
      <c r="AY234" s="111" t="s">
        <v>130</v>
      </c>
      <c r="AZ234" s="105" t="s">
        <v>130</v>
      </c>
      <c r="BA234" s="112">
        <v>79606.81</v>
      </c>
      <c r="BB234" s="106">
        <v>45215</v>
      </c>
      <c r="BC234" s="105" t="s">
        <v>130</v>
      </c>
      <c r="BD234" s="105" t="s">
        <v>130</v>
      </c>
      <c r="BE234" s="113">
        <f t="shared" si="92"/>
        <v>79606.81</v>
      </c>
      <c r="BF234" s="113">
        <v>0</v>
      </c>
      <c r="BG234" s="113">
        <v>99172</v>
      </c>
      <c r="BH234" s="113">
        <v>0</v>
      </c>
      <c r="BI234" s="113">
        <v>0</v>
      </c>
      <c r="BJ234" s="113">
        <v>0</v>
      </c>
      <c r="BK234" s="113">
        <v>0</v>
      </c>
      <c r="BL234" s="113">
        <v>0</v>
      </c>
      <c r="BM234" s="114">
        <f>SUM(BF234:BL234)</f>
        <v>99172</v>
      </c>
      <c r="BN234" s="113">
        <v>0</v>
      </c>
      <c r="BO234" s="113">
        <v>0</v>
      </c>
      <c r="BP234" s="113">
        <f>BN234+BO234</f>
        <v>0</v>
      </c>
      <c r="BQ234" s="113">
        <v>0</v>
      </c>
      <c r="BR234" s="113">
        <v>0</v>
      </c>
      <c r="BS234" s="105">
        <f t="shared" si="94"/>
        <v>1326.7801666666667</v>
      </c>
      <c r="BT234" s="115">
        <v>69.900000000000006</v>
      </c>
      <c r="BU234" s="115" t="s">
        <v>130</v>
      </c>
      <c r="BV234" s="115" t="s">
        <v>130</v>
      </c>
      <c r="BW234" s="116" t="s">
        <v>130</v>
      </c>
      <c r="BX234" s="117" t="s">
        <v>130</v>
      </c>
      <c r="BY234" s="102" t="s">
        <v>910</v>
      </c>
      <c r="BZ234" s="102" t="s">
        <v>910</v>
      </c>
      <c r="CA234" s="102" t="s">
        <v>130</v>
      </c>
      <c r="CB234" s="102" t="s">
        <v>130</v>
      </c>
      <c r="CC234" s="102" t="s">
        <v>130</v>
      </c>
      <c r="CD234" s="102" t="s">
        <v>910</v>
      </c>
      <c r="CE234" s="102" t="str">
        <f t="shared" si="95"/>
        <v>WAGNER JUNIOR</v>
      </c>
      <c r="CF234" s="118" t="s">
        <v>130</v>
      </c>
      <c r="CG234" s="118" t="s">
        <v>130</v>
      </c>
      <c r="CH234" s="119">
        <f t="shared" si="96"/>
        <v>99172</v>
      </c>
      <c r="CI234" s="120" t="s">
        <v>130</v>
      </c>
      <c r="CJ234" s="121">
        <v>5</v>
      </c>
      <c r="CK234" s="121">
        <v>5</v>
      </c>
      <c r="CL234" s="121">
        <f t="shared" si="97"/>
        <v>60</v>
      </c>
      <c r="CM234" s="122">
        <f t="shared" si="98"/>
        <v>3305.7333333333331</v>
      </c>
      <c r="CN234" s="88" t="str">
        <f>IFERROR(IF(VLOOKUP(AG234,'[1]ATIVOS SAGI'!C:D,1,FALSE)&lt;&gt;"","CADASTRADO","NÃO CADASTRADO"),"NÃO CADASTRADO")</f>
        <v>CADASTRADO</v>
      </c>
      <c r="CO234" s="99">
        <f t="shared" si="89"/>
        <v>1652.8666666666668</v>
      </c>
      <c r="CP234" s="48" t="s">
        <v>48</v>
      </c>
      <c r="CQ234" s="48"/>
      <c r="CR234" s="48"/>
      <c r="CS234" s="48"/>
    </row>
  </sheetData>
  <conditionalFormatting sqref="CN1:CN234">
    <cfRule type="containsText" dxfId="0" priority="1" operator="containsText" text="NÃO CADASTRADO">
      <formula>NOT(ISERROR(SEARCH("NÃO CADASTRADO",CN1)))</formula>
    </cfRule>
  </conditionalFormatting>
  <hyperlinks>
    <hyperlink ref="AV163" r:id="rId1" display="../../../../../../../:b:/g/personal/cristina_sugui_seletiva_ind_br/ER5m7ZqXSRhMsr9Uft56r2YBfE38_gdJ2fQgl6QiVVuh8w?e=YGakQR" xr:uid="{869FF7F0-2CB1-4A49-9A1F-46620D6072D8}"/>
    <hyperlink ref="AV168" r:id="rId2" display="../../../../../../../:b:/g/personal/cristina_sugui_seletiva_ind_br/EUxrvygnQixJue45wmtmdlIBa0PPYq1KAhkJonc87YrF_Q?e=YQoJfZ" xr:uid="{D0DA74B7-8938-40B6-9F64-271F8E8DF0E0}"/>
    <hyperlink ref="AV150" r:id="rId3" display="../../../../../../../:b:/g/personal/cristina_sugui_seletiva_ind_br/EW1CGxHhCrNMrBA8MZmExZgBdyREaPFIX_i28KBleYrNMg?e=MPMjL2" xr:uid="{E55A9FE5-436D-4D1D-B55E-516E5FB3AC6C}"/>
    <hyperlink ref="AV151" r:id="rId4" display="../../../../../../../:b:/g/personal/cristina_sugui_seletiva_ind_br/EWlRzt9HadNHv5Dn8x4kZZMBSk5684T8wXeL14zqNDAL_g?e=XSfz2H" xr:uid="{D02B1CC8-94EB-4CDB-BAD4-DFEB43B11DCA}"/>
    <hyperlink ref="AV148" r:id="rId5" display="../../../../../../../:b:/g/personal/cristina_sugui_seletiva_ind_br/ES466rJ1XEBCpMDZ9RO-Q68BTL00UxLlCN7UImc6nOjcOg?e=T66sFh" xr:uid="{C87C5335-79E9-4612-970C-C020DBDC49FA}"/>
    <hyperlink ref="AV147" r:id="rId6" display="../../../../../../../:b:/g/personal/cristina_sugui_seletiva_ind_br/EZ-f8zyDzItLuhpMn53LTPwBuKG735N8raGnizMH2xJI2A?e=sKei3f" xr:uid="{C73F473A-54AA-4130-9C10-B348F9DBFBB2}"/>
    <hyperlink ref="AV164" r:id="rId7" display="../../../../../../../:b:/g/personal/cristina_sugui_seletiva_ind_br/EY0frni1amRIhtZpOROZwtYBxwfbOZZ-gsE7_HX-jOWnQQ?e=tdGXUX" xr:uid="{615D191F-9689-44AC-864C-F750D360E618}"/>
    <hyperlink ref="AV158" r:id="rId8" display="../../../../../../../:b:/g/personal/cristina_sugui_seletiva_ind_br/EYisp7w0iuZPksQ0_f324TcB0Vwi6M0QCesAu9PzuqGmZw?e=gpTiCN" xr:uid="{31C51A5B-9393-468F-9337-D876FAB2C5ED}"/>
    <hyperlink ref="AV159" r:id="rId9" display="../../../../../../../:b:/g/personal/cristina_sugui_seletiva_ind_br/EbWQTDkGG5lFtZDbnnLl7JMBgnJ9C-b6YMyBsRh3D-aLiw?e=XtMyka" xr:uid="{5103A0D2-01CE-40C7-ADCC-D97FAE8B157E}"/>
    <hyperlink ref="AV160" r:id="rId10" display="../../../../../../../:b:/g/personal/cristina_sugui_seletiva_ind_br/EQ8mJ_hkwdhGuLxKQIb7txoBn88SHAbYtImDqpzVfQIdxw?e=Fe9E7U" xr:uid="{172DE824-6A83-43FB-BF64-1E397045561A}"/>
    <hyperlink ref="AV162" r:id="rId11" display="../../../../../../../:b:/g/personal/cristina_sugui_seletiva_ind_br/ERo5yO0ekzxHpsGROczp6OUBovTOZH7CNsJTC8gZCA7mFw?e=efmig8" xr:uid="{3E61ED2A-8D64-475F-A02D-EE7A908E6BE6}"/>
    <hyperlink ref="AV141" r:id="rId12" display="../../../../../../../:b:/g/personal/cristina_sugui_seletiva_ind_br/EfRRTlAIFsxLo_TCaZfzpUcBIwSglbj6f_8PSRW7KshZ8Q?e=xim4Au" xr:uid="{662BE624-F6F7-4B1C-8ACA-A0421C594A21}"/>
    <hyperlink ref="AV152" r:id="rId13" display="../../../../../../../:b:/g/personal/cristina_sugui_seletiva_ind_br/EeRVBcPj7LZBskKnSBMYY3QBomKQVWmwZFSbc1UtuEvflw?e=w5wTLo" xr:uid="{1BA717AC-A845-4B81-BB11-047FDDB66D55}"/>
    <hyperlink ref="AV153" r:id="rId14" display="../../../../../../../:b:/g/personal/cristina_sugui_seletiva_ind_br/Ecy3nEnDcitLrMHonNgQsnIB9dY_yaS7zZmHzfY6WTKhDg?e=7ydfDt" xr:uid="{D897F2DE-1CF7-4B34-8CD8-D479BBD16683}"/>
    <hyperlink ref="AV231" r:id="rId15" display="../../../../../../../:b:/g/personal/cristina_sugui_seletiva_ind_br/EZ5hj8OBrVdGvc_qpqrUXgcBP6q4SWWdzwJGyxIoiQVtkg?e=hzUwGb" xr:uid="{520F2DD4-44C0-471F-BBDB-F8F6825212F4}"/>
    <hyperlink ref="AV228" r:id="rId16" display="../../../../../../../:b:/g/personal/cristina_sugui_seletiva_ind_br/EcL3-v4etuFLo_0R6Nn4s2UBgmpuy6f9019lG6FpeArokA?e=2LWY8n" xr:uid="{F110E477-635E-4CDA-936E-B7D5E736140B}"/>
    <hyperlink ref="AV71" r:id="rId17" display="../../../../../../../:b:/g/personal/cristina_sugui_seletiva_ind_br/EYKmYteB2thIlTaweN1Vr4EBZnRGd99GHq-8CL1wT8mZtg?e=54o91r" xr:uid="{79DC3371-A120-419C-BAAA-4A70A3E4D121}"/>
    <hyperlink ref="AV72" r:id="rId18" display="../../../../../../../:b:/g/personal/cristina_sugui_seletiva_ind_br/EYrwppT7_ztJuJclvGcttwMBestfRuHVeA0avwvusCT3Uw?e=0mOm3h" xr:uid="{D412D685-7F86-40A5-A858-91BA9A1B7269}"/>
    <hyperlink ref="AV74" r:id="rId19" display="../../../../../../../:b:/g/personal/cristina_sugui_seletiva_ind_br/Eb47PR61n7BOoa4TIfMfU8cBmz1vsdKcynjSA-ye7PnjTw?e=dy5AB1" xr:uid="{171C4D12-FBA1-480D-8968-9B0D1AD7BDCB}"/>
    <hyperlink ref="AV75" r:id="rId20" display="../../../../../../../:b:/g/personal/cristina_sugui_seletiva_ind_br/EXfOtJtJGPlCqLuy9lUV1c0BjYg9lu7zDG-GfArFDP_xnA?e=2ycRAr" xr:uid="{5FFFB339-2B45-4AEC-B8ED-A932A4C8F925}"/>
    <hyperlink ref="AV121" r:id="rId21" display="../../../../../../../:b:/g/personal/cristina_sugui_seletiva_ind_br/EQ7GlO7xdfdEuWE-0XhPra8B_h5fLx8MP3iNVJHRy6Riqw?e=gDB3Oh" xr:uid="{8B19D2FD-5121-4504-839F-C9A4D6F703BC}"/>
    <hyperlink ref="AV199" r:id="rId22" display="../../../../../../../:b:/g/personal/cristina_sugui_seletiva_ind_br/EXXLcPTywxBJhjMfJYOX9foBTo9OPwOL2dBdAag86Ir-7g?e=ZZOgy6" xr:uid="{EFA5B6AA-D403-4C89-81FB-3F0286AE14E5}"/>
    <hyperlink ref="AV201" r:id="rId23" display="../../../../../../../:b:/g/personal/cristina_sugui_seletiva_ind_br/EaReiUIjimdIogX-5JCKw3cBbEZXhtSb8yLh-4k73_JqWQ?e=nZYh8B" xr:uid="{6E916438-AE9D-4E59-9A64-22B4E7640880}"/>
    <hyperlink ref="AV63" r:id="rId24" display="../../../../../../../:b:/g/personal/cristina_sugui_seletiva_ind_br/EfEjAGAmbuVJlViuUIyekncBMuB-CBvPimuykqfe37VMdg?e=sfA9mV" xr:uid="{10E1A75E-C99B-4449-A4F2-9EEDA656B0AB}"/>
    <hyperlink ref="AV65" r:id="rId25" display="../../../../../../../:b:/g/personal/cristina_sugui_seletiva_ind_br/EUf-oDceqvtFr8pGglH8QbABa8jA7cSg64PPwbn8VIp_Ng?e=4nYwva" xr:uid="{160C5127-874F-4F47-9BD7-0F1FC1EE0527}"/>
    <hyperlink ref="AV115" r:id="rId26" display="../../../../../../../:b:/g/personal/cristina_sugui_seletiva_ind_br/ETEtWCc0HwZHlIqgQS6w7XEBuYDB2Q88j_HJF03k4gUX4Q?e=kGHvei" xr:uid="{B0124E69-11B6-43DC-8B26-AAA99AAA5963}"/>
    <hyperlink ref="AV10" r:id="rId27" display="../../../../../../../:b:/g/personal/cristina_sugui_seletiva_ind_br/EYM3r9_H0uREgWZXv0_TQ4EBn4n47ZcR5BBoPRbALFUVtg?e=yOgaDB" xr:uid="{7B828BB5-25C7-4722-B110-50A91A1ABD60}"/>
    <hyperlink ref="AV11" r:id="rId28" display="../../../../../../../:b:/g/personal/cristina_sugui_seletiva_ind_br/ERTEfvaroMpBuKOFuNacQY0BRObwsIOIgeeviXSm2A6qgQ?e=3K8Msg" xr:uid="{3885EB0D-B003-4E6A-AE78-69D9AA0B3073}"/>
    <hyperlink ref="AV12" r:id="rId29" display="../../../../../../../:b:/g/personal/cristina_sugui_seletiva_ind_br/EdEyfnKpgblFhjB1Z0jbc38BFDQ9PJw53KO6TicvwnUAkQ?e=eFZJtQ" xr:uid="{9F64153E-3CD5-4998-9E91-6D40F597F9E0}"/>
    <hyperlink ref="AV64" r:id="rId30" display="../../../../../../../:b:/g/personal/cristina_sugui_seletiva_ind_br/EeSbIsMmbZ5Jp1Sl7cFbg3wBSFPpzq01Po9d8VPSWeVSiA?e=Qz292r" xr:uid="{A8AB81C5-8AFB-4FAC-96F2-31430B1B57A1}"/>
    <hyperlink ref="AV202" r:id="rId31" display="../../../../../../../:b:/g/personal/cristina_sugui_seletiva_ind_br/EUiuHjTHM25Nui0fR4X5lZ0BXMmAq9Sqjv6R9d9EJlI24w?e=kKGeEN" xr:uid="{B7326D71-A445-4B9D-A4A9-A4238BC35450}"/>
    <hyperlink ref="AV203" r:id="rId32" display="../../../../../../../:b:/g/personal/cristina_sugui_seletiva_ind_br/ES5zzm34HIBNuGIQtotKQ6UBWhK-m-wXtuiPhKKjmdB62Q?e=43An30" xr:uid="{E5040EBA-7376-4DC2-B094-60FFF51B0B5A}"/>
    <hyperlink ref="AV219" r:id="rId33" display="../../../../../../../:b:/g/personal/cristina_sugui_seletiva_ind_br/ERE4MbStbNlPpYpyjw-Che8BB_pRsQDIxpyNgIw0Ynxb2w?e=IXnWT5" xr:uid="{A0C64E5E-F7F1-4557-800A-A10BD66DE6B7}"/>
    <hyperlink ref="AV4" r:id="rId34" display="../../../../../../../:b:/g/personal/cristina_sugui_seletiva_ind_br/Ed_gbGrntThCjrXaRYIHr_ABqhD1mPWgWwpj-w0jSvhiKA?e=Kqq07c" xr:uid="{342A83B0-4477-4B89-8196-9814E00C9D2B}"/>
    <hyperlink ref="AV125" r:id="rId35" display="../../../../../../../:b:/g/personal/cristina_sugui_seletiva_ind_br/EZCTnGXOE8dMssv4O2plmvUBur7rcnIvEjgzcweTXqnsew?e=gvICrq" xr:uid="{0D8F562F-495B-40B6-98AD-AE09FE69F42D}"/>
    <hyperlink ref="AV127" r:id="rId36" display="../../../../../../../:b:/g/personal/cristina_sugui_seletiva_ind_br/EY0CLQna2H1Pj46ulwQlzj4BBVuZvAtdqkJALzIC3BNB9g?e=QmoqL0" xr:uid="{89843705-F864-452B-8C62-3ACCAA9F3CC8}"/>
    <hyperlink ref="AV68" r:id="rId37" display="../../../../../../../:b:/g/personal/cristina_sugui_seletiva_ind_br/EfIdI99N5QxAn2B-9fYwhoUBCny3LnR-JMnPjNTni2S_tg?e=CyGM7x" xr:uid="{21B4DE3C-EE55-4FB1-86AB-B891218012A1}"/>
    <hyperlink ref="AV69" r:id="rId38" display="../../../../../../../:b:/g/personal/cristina_sugui_seletiva_ind_br/EZ18KDPKm39PrJjzYEFi_BwBloCJwlYxFStEEEDtH9Zw9Q?e=M9DL4L" xr:uid="{A5029FC6-EA62-4BE0-8AEF-104F5CD321D3}"/>
    <hyperlink ref="AV73" r:id="rId39" display="../../../../../../../:b:/g/personal/cristina_sugui_seletiva_ind_br/EcWgDCrj2stMtnBcpQ697ogB2-DGepujc3U3tokYC8PgaQ?e=JMa5lL" xr:uid="{F8913080-FDBF-401A-BD6B-9A35630FFDA4}"/>
    <hyperlink ref="AV67" r:id="rId40" display="../../../../../../../:b:/g/personal/cristina_sugui_seletiva_ind_br/EbaKNzQhFadIpdYTLAIRugEBkf_8h5At4ALEneptukJLLA?e=ybMZ8Y" xr:uid="{8631CF6B-8DCE-45DC-9C84-F10B65247320}"/>
    <hyperlink ref="AV82" r:id="rId41" display="../../../../../../../:b:/g/personal/cristina_sugui_seletiva_ind_br/EWOTW6jeYpFEm7datJw7ztUBu_tSzF2qmax63n80fgI1_A?e=bTJrJB" xr:uid="{52E04031-24B7-467F-9C51-C0B64E632933}"/>
    <hyperlink ref="AV204" r:id="rId42" display="../../../../../../../:b:/g/personal/cristina_sugui_seletiva_ind_br/EZSVOtg3x_NNod-RoRAzxJMBxwTwuoEc8nw3LEm9NlCuWA?e=HUbD7T" xr:uid="{9A591E9F-8744-465B-9BD2-D80E6A8B943D}"/>
    <hyperlink ref="AV41" r:id="rId43" display="../../../../../../../:b:/g/personal/cristina_sugui_seletiva_ind_br/EUCyzC6hTttGsY2K6Ii3mWEB9qrCHOKnOXPK-nFU0j-khA?e=5MentY" xr:uid="{04DAF3E1-BB64-4BDE-B463-D7B38716EE4F}"/>
    <hyperlink ref="AV205" r:id="rId44" display="../../../../../../../:b:/g/personal/cristina_sugui_seletiva_ind_br/EX9c8xYJK7RElEY5aPLQoGUBxyGdtnLilXlTSTTDAMG3wg?e=VFM8Qe" xr:uid="{A7D953A8-1E90-47E3-B7EA-649BF34B72F7}"/>
    <hyperlink ref="AV80" r:id="rId45" display="../../../../../../../:b:/g/personal/cristina_sugui_seletiva_ind_br/EeMjXN-IrapCmuG39z9Nat8BMeq8mHio_PqLQzs_q9dYLw?e=e6tUh9" xr:uid="{4E3FA33B-9218-4B5A-AEC6-9966C0535200}"/>
    <hyperlink ref="AV14" r:id="rId46" display="../../../../../../../:b:/g/personal/cristina_sugui_seletiva_ind_br/EUihQeUxwDVOiMhqD_qZMEgBDJE7Rx5fxVayRBKXmjJa0w?e=B5yCoJ" xr:uid="{34E0674D-B8D8-434F-A501-F320CA2716E2}"/>
    <hyperlink ref="AV15" r:id="rId47" display="../../../../../../../:b:/g/personal/cristina_sugui_seletiva_ind_br/Ee0Wo45ytAdIry1FUU8ocEQBzlFqPjaVBBGzvbUh3ONCaA?e=FlDVEe" xr:uid="{C8F87EC7-CC60-43C8-88DA-C3D50166FDEC}"/>
    <hyperlink ref="AV232" r:id="rId48" display="../../../../../../../:b:/r/personal/cristina_sugui_seletiva_ind_br/Documents/Controladoria/Controles Fiscais/NF Imobilizados/2023_09_25 - 000.879.586 - VOLKSWAGEN.pdf?csf=1&amp;web=1&amp;e=Bayyl9" xr:uid="{11C9E858-1A33-4314-9A90-ADC2DEF9B727}"/>
    <hyperlink ref="AV16" r:id="rId49" display="../../../../../../../:b:/g/personal/cristina_sugui_seletiva_ind_br/Edq3UT13rGJAttRYveU0casBCqYbwQp_-8BzWHDSL_HjGA?e=vzEt3b" xr:uid="{637F5EE6-AC5C-4F69-8661-F3FE638679C1}"/>
    <hyperlink ref="AV17" r:id="rId50" display="../../../../../../../:b:/g/personal/cristina_sugui_seletiva_ind_br/EeEOfNsASehEqIktNq_5yW4BwpOlY6WSkbRuQ9YFBoyCeA?e=xA8FaN" xr:uid="{97EB8D18-435F-4656-A494-5C17FF42304E}"/>
    <hyperlink ref="AV18" r:id="rId51" display="../../../../../../../:b:/g/personal/cristina_sugui_seletiva_ind_br/EQMc4Av2CDFHiBFiohoPDuMB_D7Q9dD6COBUaJsFwEb3QA?e=fSVOUV" xr:uid="{81235486-1B08-4C7F-AB54-5833E136C37A}"/>
    <hyperlink ref="AV70" r:id="rId52" display="../../../../../../../:b:/g/personal/cristina_sugui_seletiva_ind_br/ETzk-PhJtlxAgDrrTRr8RcYB6MiDoTw8lb2AR8r-QiaXPQ?e=0cC9iY" xr:uid="{3AD977A2-D060-4D7C-9CF3-E8D18FABC169}"/>
    <hyperlink ref="AV220" r:id="rId53" display="../../../../../../../:b:/g/personal/cristina_sugui_seletiva_ind_br/EZJJiA_SCGpIg59yMRzkSxQBMgkaHpr4-tBa23uGSEF_Gg?e=TiaoqC" xr:uid="{944F6DD8-9DDE-4CD9-8708-8E5E97F63571}"/>
    <hyperlink ref="AV3" r:id="rId54" display="../../../../../../../:b:/g/personal/cristina_sugui_seletiva_ind_br/EcCGZCqQW6tFrNnD9FiFp6UBd0vdvfTpJMYNwjvvfijDlQ?e=NQ05Gf" xr:uid="{104CF04F-746A-4D3A-BBCB-013D5EFE3A92}"/>
    <hyperlink ref="AV76" r:id="rId55" display="../../../../../../../:b:/g/personal/cristina_sugui_seletiva_ind_br/Eak2_1zD53JNv130nDwNXAABNZdddzaAFaVzPa5tgt8tgw?e=h8HBjh" xr:uid="{D96D0DCF-7A7F-4209-912D-31F0FD9ACDAE}"/>
    <hyperlink ref="AV123" r:id="rId56" display="../../../../../../../:b:/g/personal/cristina_sugui_seletiva_ind_br/EYtLJZ4qKWpDvwIBF4muBAEBMg9_dTIWsg0Xf6KKlNUA6g?e=hezyr9" xr:uid="{6F67982A-2393-4999-939B-6C15BC9F4E35}"/>
    <hyperlink ref="AV77" r:id="rId57" display="../../../../../../../:b:/g/personal/cristina_sugui_seletiva_ind_br/Eb6oPHlXnVNFiWDnltRfPRQBnz7T6bK9T9EH1wIx5tVwEw?e=ZSFWbu" xr:uid="{5B94F1FA-5F77-4457-A706-D7E77387F0CC}"/>
    <hyperlink ref="AV221" r:id="rId58" display="../../../../../../../:b:/g/personal/cristina_sugui_seletiva_ind_br/EXN2occ90bRAsTAVBkP8hgEBbeU6yGdWgp-MOcYeORg9Cw?e=nX9TjY" xr:uid="{551C2AA3-1878-4FA8-8F2B-F709FF15D2D7}"/>
    <hyperlink ref="AV124" r:id="rId59" display="../../../../../../../:b:/g/personal/cristina_sugui_seletiva_ind_br/ESNJbB3NVcJMoVMmQrksKMYBmd78_uXkerWXS2rmERdlNA?e=lNOTOQ" xr:uid="{381FF65F-7592-4306-AFD4-017D6AB40C2E}"/>
    <hyperlink ref="AV212" r:id="rId60" display="../../../../../../../:b:/g/personal/cristina_sugui_seletiva_ind_br/ER88sET3HlFLtnV-9qAjQgkBK_DwhVvh_zO6sITMeIqP3A?e=bnAMED" xr:uid="{7C69C2DC-D273-4B5C-9500-F14F799F0CC9}"/>
    <hyperlink ref="AV37" r:id="rId61" display="5456962" xr:uid="{CA75157A-4BF1-4D9C-9658-E677F4B22ADD}"/>
    <hyperlink ref="AV39" r:id="rId62" display="../../../../../../../:b:/g/personal/cristina_sugui_seletiva_ind_br/EbXb1W8-RrlNhVasdMjIXJ8BAcv38fg88IBmH7fsqXN14g?e=zuLfAi" xr:uid="{1F198F41-7098-4FCB-862E-6D0500842EC9}"/>
    <hyperlink ref="AV81" r:id="rId63" display="../../../../../../../:b:/g/personal/cristina_sugui_seletiva_ind_br/EQuSFeiYwy1Bg3AGtl0JoD8Bz16sZTzoyw7-aKtSeZ5Ltg?e=2wTEyH" xr:uid="{6315B261-69B0-46E3-AEFD-4399F59B4BC2}"/>
    <hyperlink ref="AV84" r:id="rId64" display="../../../../../../../:b:/g/personal/cristina_sugui_seletiva_ind_br/EcDFbSpRavFGh8Y1UJkIpqMBsNVI9mH8DEyzNHzh3MnQZg?e=iqomPm" xr:uid="{F9B8FECC-C268-49AF-ADCA-7259336592D0}"/>
    <hyperlink ref="AV36" r:id="rId65" display="../../../../../../../:b:/g/personal/cristina_sugui_seletiva_ind_br/EWPzu4ycKPlGm1LDZVX9DhIBgoRUA4hZGhFZRk017TPTsw?e=4H5jNQ" xr:uid="{D36B5D7B-041E-459F-82EC-D1673D796F5F}"/>
    <hyperlink ref="AV79" r:id="rId66" display="../../../../../../../:b:/g/personal/cristina_sugui_seletiva_ind_br/EYVowQSasClNg7XXBku7oV0BpPb-8JFwVWGekIAuvpyGEQ?e=IX5e8b" xr:uid="{E871913C-A2FA-4B14-BDCB-836E97AC536B}"/>
    <hyperlink ref="AV192" r:id="rId67" display="../../../../../../../:b:/g/personal/cristina_sugui_seletiva_ind_br/EQb1bN70Zf5OtcON61iBIuEBpq8RLKJGn4voU985MvD94g?e=fXWX9b" xr:uid="{71CA7361-C7FE-4E48-9260-CAD207C5D11C}"/>
    <hyperlink ref="AV193" r:id="rId68" display="../../../../../../../:b:/g/personal/cristina_sugui_seletiva_ind_br/EfEktxkd2FBOl_vqpPJZhTEBlgTbmvoA5toml1UBJeQfgw?e=SSelBH" xr:uid="{60606E69-7985-4864-822D-141B248A56D5}"/>
    <hyperlink ref="AV154" r:id="rId69" display="../../../../../../../:b:/g/personal/cristina_sugui_seletiva_ind_br/ERWgzsPwF05Is_RGiFz2EMoBJmJwfo4cuLzG6gP-w3NZsg?e=v1E3uh" xr:uid="{6B339108-C9ED-4E59-A512-A001ECD23F61}"/>
    <hyperlink ref="AV156" r:id="rId70" display="../../../../../../../:b:/g/personal/cristina_sugui_seletiva_ind_br/EUx_JMYEABRBsvnGMCjrovMBuj8Vq-xJcg38sK9hzVi9UA?e=BEcHdE" xr:uid="{086DA404-8449-410C-9EBE-D83EA3A5D325}"/>
    <hyperlink ref="AV157" r:id="rId71" display="../../../../../../../:b:/g/personal/cristina_sugui_seletiva_ind_br/EawGmx9sX3ZEopa2tJ5qD-QBjQ-UxGsOwFofTzTMJxrIAw?e=nosYFl" xr:uid="{F791A9AF-D986-4907-B848-07365319D59C}"/>
    <hyperlink ref="AV167" r:id="rId72" display="../../../../../../../:b:/g/personal/cristina_sugui_seletiva_ind_br/EQgyiIAeYPtCiF0bVRE4K94BOG2dSfCaEknqkNk42-Y7EQ?e=oevPDg" xr:uid="{31CBE6F8-5F36-44E2-BE8E-A29F783A8509}"/>
    <hyperlink ref="AV190" r:id="rId73" display="../../../../../../../:b:/g/personal/cristina_sugui_seletiva_ind_br/EfZSaXmjSeFPiw8wtmLiMlwBQ_7ZV5-l02wiLJTXT2x0nA?e=eVrJ8x" xr:uid="{36E4BD94-FD15-4178-9C3E-0EFC2F181D05}"/>
    <hyperlink ref="AV197" r:id="rId74" display="27115" xr:uid="{C1F35A12-82EF-4AF1-AE48-EAD5F4159EF9}"/>
    <hyperlink ref="AV200" r:id="rId75" display="761806" xr:uid="{BC830903-7EE4-46C8-B705-2815643787E5}"/>
    <hyperlink ref="AV83" r:id="rId76" display="../../../../../../../:b:/g/personal/cristina_sugui_seletiva_ind_br/ERjVGIPDWVtHoJgG5FYJAlsBjSpAJbSlQvfRqzquPbi0Nw?e=ECvGfb" xr:uid="{C28670A6-C21D-4632-9EBF-670520D0B7E8}"/>
    <hyperlink ref="AV13" r:id="rId77" display="882" xr:uid="{7D3B82F9-041C-4248-8C7B-8C2858075500}"/>
    <hyperlink ref="AV122" r:id="rId78" display="38132" xr:uid="{D875FDFE-8DC3-42A0-BE11-6538351C0B02}"/>
    <hyperlink ref="AV105" r:id="rId79" display="39.095" xr:uid="{887E1319-E465-4CD0-BB65-46444499F450}"/>
    <hyperlink ref="AV104" r:id="rId80" display="39096" xr:uid="{CC79E613-197A-4342-B9FF-086598CE1F9F}"/>
    <hyperlink ref="AV93" r:id="rId81" display="28.644" xr:uid="{6F1C3C80-09CC-42B7-94F0-2DA34FC90E85}"/>
    <hyperlink ref="AV113" r:id="rId82" display="28522" xr:uid="{F2EF7117-98A3-4127-9794-2BEA40333BB3}"/>
    <hyperlink ref="AV101" r:id="rId83" display="40951" xr:uid="{7435C1AC-B4A2-4D15-BD2F-F772132E068A}"/>
    <hyperlink ref="AV116" r:id="rId84" display="40.119" xr:uid="{43F72AA7-5164-4015-B381-089C42BE4371}"/>
    <hyperlink ref="AV100" r:id="rId85" display="40952" xr:uid="{D7D89BB8-16BF-4B39-AC92-CEEA347F338F}"/>
    <hyperlink ref="AV99" r:id="rId86" display="40950" xr:uid="{A0D32906-3741-450F-BDC8-6533F2CDBE8C}"/>
    <hyperlink ref="AV233" r:id="rId87" display="870577" xr:uid="{814E5491-EEDB-40D9-928D-4042CAAD078F}"/>
    <hyperlink ref="AV234" r:id="rId88" display="870578" xr:uid="{EBEF296D-9C4A-4849-8D69-D5CF0D5620F5}"/>
    <hyperlink ref="AV166" r:id="rId89" display="4804" xr:uid="{5B5519D5-B974-4760-A353-A70600B4647D}"/>
    <hyperlink ref="AV165" r:id="rId90" display="20829" xr:uid="{FCE50B70-92CC-4C57-9177-6BB846BEF033}"/>
    <hyperlink ref="AV161" r:id="rId91" display="87244" xr:uid="{C27CB0E0-2B70-42EC-B564-9C2564DE890E}"/>
    <hyperlink ref="AV38" r:id="rId92" display="5592" xr:uid="{669295FF-F2A6-4671-A7F9-ED2A54AC658C}"/>
    <hyperlink ref="AV31" r:id="rId93" display="../../../../../../../:b:/g/personal/cristina_sugui_seletiva_ind_br/ERo-rFQYtTlFriloF4Gj-BEBMlR_HNUBWQVuzhcUeQ4o-A?e=w9EMz2" xr:uid="{9A96E38F-55A6-4B09-A4F3-099DEBD6ED1E}"/>
    <hyperlink ref="AV28" r:id="rId94" display="../../../../../../../:b:/g/personal/cristina_sugui_seletiva_ind_br/ERo-rFQYtTlFriloF4Gj-BEBMlR_HNUBWQVuzhcUeQ4o-A?e=w9EMz2" xr:uid="{449D2C76-7DF4-46BC-822F-28B12937AE41}"/>
    <hyperlink ref="AV29" r:id="rId95" display="../../../../../../../:b:/g/personal/cristina_sugui_seletiva_ind_br/ERo-rFQYtTlFriloF4Gj-BEBMlR_HNUBWQVuzhcUeQ4o-A?e=w9EMz2" xr:uid="{8C06FA9F-1588-4E01-8FDD-4724367ECDC6}"/>
    <hyperlink ref="AV30" r:id="rId96" display="../../../../../../../:b:/g/personal/cristina_sugui_seletiva_ind_br/ERo-rFQYtTlFriloF4Gj-BEBMlR_HNUBWQVuzhcUeQ4o-A?e=w9EMz2" xr:uid="{BB088BF8-1173-4FA9-8D2C-062397A6C616}"/>
    <hyperlink ref="AV206" r:id="rId97" display="520275" xr:uid="{89F615BE-DF99-4369-B480-618DF265366A}"/>
    <hyperlink ref="AV173" r:id="rId98" display="59" xr:uid="{5D8AD52C-63EF-4BF8-B433-6F365B00C422}"/>
    <hyperlink ref="AV207" r:id="rId99" display="520275" xr:uid="{AC74556D-8391-46C9-BFA8-B6C7BB78C8F0}"/>
    <hyperlink ref="AV195" r:id="rId100" display="../../../../../../../:b:/r/personal/cristina_sugui_seletiva_ind_br/Documents/Controladoria/Controles Fiscais/NF Imobilizados/2018_06_01 - 000.000.030 - Mb Equipamentos.pdf?csf=1&amp;web=1&amp;e=ViVfaJ" xr:uid="{3E4E7E05-CFE6-4739-9248-105F0144C0CE}"/>
    <hyperlink ref="AV174" r:id="rId101" display="../../../../../../../:b:/r/personal/cristina_sugui_seletiva_ind_br/Documents/Controladoria/Controles Fiscais/NF Imobilizados/2018_08_13 - 000.000.070 - A.S..pdf?csf=1&amp;web=1&amp;e=KsWYIm" xr:uid="{54F4C98B-4C2A-42CE-A381-AC14B5FE84DB}"/>
    <hyperlink ref="AV175" r:id="rId102" display="../../../../../../../:b:/r/personal/cristina_sugui_seletiva_ind_br/Documents/Controladoria/Controles Fiscais/NF Imobilizados/2018_08_13 - 000.000.070 - A.S..pdf?csf=1&amp;web=1&amp;e=KsWYIm" xr:uid="{55E8454B-95C3-4784-B355-05E956C6812C}"/>
    <hyperlink ref="AV176" r:id="rId103" display="../../../../../../../:b:/r/personal/cristina_sugui_seletiva_ind_br/Documents/Controladoria/Controles Fiscais/NF Imobilizados/2018_08_13 - 000.000.070 - A.S..pdf?csf=1&amp;web=1&amp;e=KsWYIm" xr:uid="{0D6B0D6B-4FF4-47AF-8582-031016521A5B}"/>
    <hyperlink ref="AV185" r:id="rId104" display="../../../../../../../:b:/r/personal/cristina_sugui_seletiva_ind_br/Documents/Controladoria/Controles Fiscais/NF Imobilizados/2021_02_05 - 000.015.911 - Unimaq.pdf?csf=1&amp;web=1&amp;e=wtnTQq" xr:uid="{2D4DF10C-4500-4FF7-9E6C-B67F5066FD16}"/>
    <hyperlink ref="AO80" r:id="rId105" display="CAMINHAO / CACAMBA NÃO BASCULANTE - GARRA TRASEIRO PALFINGER M 100L" xr:uid="{B4341817-814A-4E57-B78E-9A3E79272462}"/>
    <hyperlink ref="AO81" r:id="rId106" display="CAMINHAO / CACAMBA NÃO BASCULANTE - GARRA TRASEIRO PALFINGER M 100L" xr:uid="{ED066A4A-B3C8-42B6-97A4-0485F8F07A52}"/>
    <hyperlink ref="AO82" r:id="rId107" display="CAMINHAO / CACAMBA NÃO BASCULANTE - GARRA TRASEIRO PALFINGER M 100L" xr:uid="{16157329-16D4-4073-9163-D05A94BA91C3}"/>
    <hyperlink ref="AO83" r:id="rId108" display="CAMINHAO / CACAMBA NÃO BASCULANTE - GARRA TRASEIRO PALFINGER M 100L" xr:uid="{C79724C4-3772-4964-8A39-1C6BBB28B80A}"/>
    <hyperlink ref="AO84" r:id="rId109" display="CAMINHAO / CACAMBA NÃO BASCULANTE - GARRA TRASEIRO PALFINGER M 100L" xr:uid="{F72CCFAA-0C2E-4148-A9A2-B12C9EB9A526}"/>
    <hyperlink ref="AO153" r:id="rId110" xr:uid="{23388C5B-1344-4E5D-A1FB-F3338253ADA9}"/>
    <hyperlink ref="AO154" r:id="rId111" xr:uid="{96CCF170-DF2F-4E6F-A145-94BB06D620FC}"/>
    <hyperlink ref="AO155" r:id="rId112" xr:uid="{4A3F2F77-BE6C-41E5-A8D5-9439C47B4373}"/>
    <hyperlink ref="AO156" r:id="rId113" display="ESCAVADEIRA / GARRA LIEBHERR" xr:uid="{7AC68EA3-12E0-4004-854E-B66B33E55A13}"/>
    <hyperlink ref="AO157" r:id="rId114" xr:uid="{660DC7FD-33E7-4DC1-B2A4-9B45804AA214}"/>
    <hyperlink ref="AO150" r:id="rId115" display="ESCAVADEIRA / GARRA DINAMAC / ELETROIMA" xr:uid="{DE52BE56-A646-417B-BCDB-EC3E2314B94E}"/>
    <hyperlink ref="AO151" r:id="rId116" display="ESCAVADEIRA / GARRA DINAMAC / ELETROIMA" xr:uid="{B744E4B6-4331-45DE-A70A-0DEB52504EEC}"/>
    <hyperlink ref="AO148" r:id="rId117" display="ESCAVADEIRA / GARRA DINAMAC / ELETROIMA" xr:uid="{4189A314-4BC3-427A-8440-F3E978598309}"/>
    <hyperlink ref="AO149" r:id="rId118" display="ESCAVADEIRA / GARRA DINAMAC / ELETROIMA" xr:uid="{575CE5BF-3878-4A26-8EC1-409B08DE6D10}"/>
    <hyperlink ref="AO147" r:id="rId119" display="ESCAVADEIRA / GARRA CHB / ELETROIMA" xr:uid="{91663A62-B12A-4843-A65E-3EFB98A46D75}"/>
    <hyperlink ref="AO168" r:id="rId120" xr:uid="{D50C92B0-3FB9-4059-9824-7818D63CF39A}"/>
    <hyperlink ref="AO146" r:id="rId121" xr:uid="{0362FEBC-8501-4A2E-A10A-B07F015508C4}"/>
    <hyperlink ref="AO164" r:id="rId122" xr:uid="{6475E7C8-52F0-49C3-8FAB-06CE9701B567}"/>
    <hyperlink ref="AO165" r:id="rId123" display="ESCAVADEIRA / PENEIRA MB S18" xr:uid="{A5D81999-58B7-455E-A4E5-FD1AA38320B7}"/>
    <hyperlink ref="AO163" r:id="rId124" xr:uid="{1DA5C607-4A75-4538-9013-525693A5538C}"/>
    <hyperlink ref="AO191" r:id="rId125" xr:uid="{09F3BD34-1EA6-4FB6-AE9F-ADC9172630A0}"/>
    <hyperlink ref="AO7" r:id="rId126" display="EURA 13" xr:uid="{B911662E-C67C-4EE8-94D1-C68C7643B65E}"/>
    <hyperlink ref="AO31" r:id="rId127" display="ACO 8" xr:uid="{61E86891-70EB-4172-B1C4-FD3CBFAA8EF3}"/>
    <hyperlink ref="AO134" r:id="rId128" display="26 M³ - adquiridas FCO" xr:uid="{DAAEA212-1329-4D37-8153-78015725418E}"/>
    <hyperlink ref="AO135" r:id="rId129" display="39 M³ - adquiridas FCO" xr:uid="{30F886CE-125D-4FAA-93A3-D80A202D07B2}"/>
    <hyperlink ref="AO136" r:id="rId130" display="ALTAS CAMPO GRANDE" xr:uid="{24EE4F3C-E3B3-4C30-B90F-538C0F1E3143}"/>
    <hyperlink ref="AO188" r:id="rId131" xr:uid="{1FE66815-EE82-46D1-8002-B10E9FF79298}"/>
    <hyperlink ref="AO195" r:id="rId132" xr:uid="{51E5F37D-6ED3-4F2D-B104-436D322B6CF0}"/>
    <hyperlink ref="AO229" r:id="rId133" display="PRENSA FIXA" xr:uid="{BACB42AB-2CA1-436B-BBAB-BFE6501334FF}"/>
    <hyperlink ref="AO228" r:id="rId134" xr:uid="{8718B7E6-6AB8-48B1-804C-AD8C5D68C6FB}"/>
    <hyperlink ref="AO226" r:id="rId135" xr:uid="{F1556C0C-C801-4B41-9F78-DED2BAD7F9E5}"/>
    <hyperlink ref="AO219" r:id="rId136" display="PRENSA MOVEL" xr:uid="{288B8F2A-1CF7-4F10-83C4-881365A2C4FD}"/>
    <hyperlink ref="AO220" r:id="rId137" display="PRENSA MOVEL" xr:uid="{4AFC2BEA-6A6C-42ED-9022-536970256A9F}"/>
    <hyperlink ref="AO221" r:id="rId138" display="PRENSA MOVEL" xr:uid="{D658D7DF-0237-445F-AB3F-949A02044F58}"/>
    <hyperlink ref="AO223" r:id="rId139" display="PRENSA MOVEL - 2012" xr:uid="{3D723DF6-4D31-40A7-B5D8-17A8D4595D85}"/>
    <hyperlink ref="AO158" r:id="rId140" display="ESCAVADEIRA / GARRA LIEBHERR" xr:uid="{B20A1270-B94B-4ADC-AD99-5EC5C412DA6A}"/>
    <hyperlink ref="AO231" r:id="rId141" display="PRENSA SEMI FIXA" xr:uid="{11C1093E-EE6E-476C-A4D9-548B8E07EE38}"/>
    <hyperlink ref="AV7" r:id="rId142" display="../../../../../../../:b:/g/personal/cristina_sugui_seletiva_ind_br/EXQFBG7w1NNKpwcoGHskUlwBf5k6EynwmgU2HM-1G7a9Wg?e=pUQaba" xr:uid="{4D1799B7-864F-46D3-8928-F2BFBA68AE35}"/>
    <hyperlink ref="AO172" r:id="rId143" xr:uid="{C1CAF34D-1E05-4463-BB68-D7A59DAC5ABE}"/>
    <hyperlink ref="AV129" r:id="rId144" display="30.547" xr:uid="{3158DEA2-2E6A-4588-92A2-D48DDE34D600}"/>
    <hyperlink ref="AV209" r:id="rId145" display="212.747" xr:uid="{740751D2-09F2-4DB7-8B38-E761A32B0C99}"/>
    <hyperlink ref="AV225" r:id="rId146" display="8430" xr:uid="{CD89DE89-3B6C-4154-AA44-DD340CFB4747}"/>
    <hyperlink ref="AV215" r:id="rId147" display="282" xr:uid="{1E65FA0C-385D-4391-9512-9C97CE826116}"/>
    <hyperlink ref="AV216" r:id="rId148" display="296" xr:uid="{D8FC5CA0-B658-4C62-B28B-C102A9226CD0}"/>
    <hyperlink ref="AV210" r:id="rId149" display="634384" xr:uid="{EF0D69A8-0EA0-4734-AF97-2F29383D5644}"/>
    <hyperlink ref="AV211" r:id="rId150" display="580" xr:uid="{4C8A7152-5038-4BE3-AA77-777676629FDB}"/>
    <hyperlink ref="AV43" r:id="rId151" display="732.136" xr:uid="{3E95F5C2-B6FC-4C61-A3C0-210B77318222}"/>
    <hyperlink ref="AO17:AO19" r:id="rId152" display="ESCAVADEIRA / GARRA LIEBHERR" xr:uid="{181232D6-AB38-4C01-88DE-1D84147CB13B}"/>
    <hyperlink ref="AO166" r:id="rId153" display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xr:uid="{29541A4C-3EA7-4045-B346-532DDEB4476E}"/>
    <hyperlink ref="AO152" r:id="rId154" xr:uid="{AEFD3B28-5145-4663-BA2C-DC60A836729A}"/>
    <hyperlink ref="AV140" r:id="rId155" display="5.850" xr:uid="{A535012F-BD28-4CE6-9F4A-16C896DF47E5}"/>
    <hyperlink ref="AV218" r:id="rId156" display="3719" xr:uid="{3CC882CC-5105-49F9-8108-859B14393BC8}"/>
    <hyperlink ref="AV142" r:id="rId157" display="82937" xr:uid="{0632103F-0EFF-4573-B920-EF1EF9B83E91}"/>
    <hyperlink ref="AV198" r:id="rId158" display="59965" xr:uid="{C94DF6D2-C73A-4804-BE71-1AB214CA07C1}"/>
    <hyperlink ref="AV213" r:id="rId159" display="9.047" xr:uid="{D25F3600-5011-4FA0-A250-18CDF89EBA5F}"/>
    <hyperlink ref="AV117" r:id="rId160" display="131.773" xr:uid="{8DC2D131-B248-4FD5-A0E4-6EF11CF5E5E5}"/>
    <hyperlink ref="AO117" r:id="rId161" xr:uid="{695E5B1E-84BC-4198-B8FA-50A20ADC3B1A}"/>
    <hyperlink ref="AV130" r:id="rId162" display="610" xr:uid="{E403BA01-1301-42EE-865D-D8F77D17671F}"/>
    <hyperlink ref="AV217" r:id="rId163" display="9251" xr:uid="{FEAD6C7B-97C3-472E-A4A7-2F300EC1FAE0}"/>
    <hyperlink ref="AV118" r:id="rId164" display="263.513" xr:uid="{3F64E987-5AC8-49A9-9290-563935AB23DE}"/>
    <hyperlink ref="AO169" r:id="rId165" xr:uid="{15F1D258-75EB-4425-AE49-E3F2E23C3630}"/>
    <hyperlink ref="AV169" r:id="rId166" display="36166" xr:uid="{961EC066-C70F-4BA1-AA03-B7AAB172C901}"/>
    <hyperlink ref="AV194" r:id="rId167" display="9300" xr:uid="{805A264F-7BAF-466E-918F-F3A8F67F5E90}"/>
    <hyperlink ref="AV179" r:id="rId168" display="354" xr:uid="{BF2027F3-F7CA-4B9F-AC4B-F5FF4E9D2B3D}"/>
    <hyperlink ref="AV222" r:id="rId169" display="9341" xr:uid="{691D03EA-AE23-4909-8EA3-FED83A56CE03}"/>
    <hyperlink ref="AO217" r:id="rId170" display="PRENSA TESOURA HIDRÁULICA JCG800/7000L" xr:uid="{2F65256F-7936-4B9D-A968-F70E9A985644}"/>
  </hyperlinks>
  <pageMargins left="0.511811024" right="0.511811024" top="0.78740157499999996" bottom="0.78740157499999996" header="0.31496062000000002" footer="0.31496062000000002"/>
  <legacyDrawing r:id="rId1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Base_formato_fechamento</vt:lpstr>
      <vt:lpstr>entre_empresas_abril</vt:lpstr>
      <vt:lpstr>CC_Maquinas_2026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2026-05-20T11:56:13Z</dcterms:created>
  <dcterms:modified xsi:type="dcterms:W3CDTF">2026-06-12T12:42:53Z</dcterms:modified>
</cp:coreProperties>
</file>