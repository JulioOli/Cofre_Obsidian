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0B0211B0-15CC-4CE6-810D-BC048BA589A3}" xr6:coauthVersionLast="47" xr6:coauthVersionMax="47" xr10:uidLastSave="{00000000-0000-0000-0000-000000000000}"/>
  <bookViews>
    <workbookView xWindow="-120" yWindow="-120" windowWidth="29040" windowHeight="16440" activeTab="1" xr2:uid="{1F39C76D-A7DF-4BAC-8633-62592B849A06}"/>
  </bookViews>
  <sheets>
    <sheet name="Maquinas Locadas - 2024" sheetId="2" r:id="rId1"/>
    <sheet name="Salarios_2024" sheetId="4" r:id="rId2"/>
    <sheet name="Maquinas Locadas - 2025" sheetId="1" r:id="rId3"/>
    <sheet name="Maquinas Locadas - 2026" sheetId="3" r:id="rId4"/>
  </sheets>
  <externalReferences>
    <externalReference r:id="rId5"/>
  </externalReferences>
  <definedNames>
    <definedName name="_xlnm._FilterDatabase" localSheetId="0" hidden="1">'Maquinas Locadas - 2024'!$A$1:$AJ$545</definedName>
    <definedName name="_xlnm._FilterDatabase" localSheetId="2" hidden="1">'Maquinas Locadas - 2025'!$A$1:$AJ$299</definedName>
    <definedName name="_xlnm._FilterDatabase" localSheetId="1" hidden="1">Salarios_2024!$A$1:$AJ$288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3" i="2" l="1"/>
  <c r="A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tc={181219F1-1931-47B6-9BDD-2FD80DE981ED}</author>
    <author>tc={1608BAB1-8CF2-4477-9780-4DD8EA9382B7}</author>
    <author>tc={C20B8D87-5470-482E-A0EB-937534F41A40}</author>
    <author>tc={39365A74-B1A4-4971-BECA-7F3EF5F12226}</author>
    <author>tc={901C7999-5EE9-4006-8660-67F0D351A932}</author>
    <author>tc={B428054B-3CA8-44DF-8D04-91DCA5E4F273}</author>
    <author>tc={5ED51396-18B7-42A0-A18A-CEA2CC19DD2C}</author>
  </authors>
  <commentList>
    <comment ref="Z188" authorId="0" shapeId="0" xr:uid="{181219F1-1931-47B6-9BDD-2FD80DE981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@Luciano Faria Verificar este lancamento e o ID 33620 de 5.500,00 e 6.900,00 respectiviamente, vi que é de Joinvile, mas é parcelado.
Responder:
    Ajustado lançamento! Aluguel de funcionário - 05 parcelas</t>
      </text>
    </comment>
    <comment ref="Z196" authorId="1" shapeId="0" xr:uid="{1608BAB1-8CF2-4477-9780-4DD8EA9382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@Luciano Faria Verificar este lancamento e o ID 33620 de 5.500,00 e 6.900,00 respectiviamente, vi que é de Joinvile, mas é parcelado.</t>
      </text>
    </comment>
    <comment ref="Z198" authorId="2" shapeId="0" xr:uid="{C20B8D87-5470-482E-A0EB-937534F41A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@Luciano Faria Verificar este lancamento e o ID 33620 de 5.500,00 e 6.900,00 respectiviamente, vi que é de Joinvile, mas é parcelado.</t>
      </text>
    </comment>
    <comment ref="Z367" authorId="3" shapeId="0" xr:uid="{39365A74-B1A4-4971-BECA-7F3EF5F122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@Luciano Faria Verificar se consegue identificar qual colaborador</t>
      </text>
    </comment>
    <comment ref="Z377" authorId="4" shapeId="0" xr:uid="{901C7999-5EE9-4006-8660-67F0D351A9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@Luciano Faria Verificar este lancamento e o ID 33620 de 5.500,00 e 6.900,00 respectiviamente, vi que é de Joinvile, mas é parcelado.</t>
      </text>
    </comment>
    <comment ref="Z384" authorId="5" shapeId="0" xr:uid="{B428054B-3CA8-44DF-8D04-91DCA5E4F2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@Luciano Faria Verificar este lancamento e o ID 33620 de 5.500,00 e 6.900,00 respectiviamente, vi que é de Joinvile, mas é parcelado.</t>
      </text>
    </comment>
    <comment ref="Z394" authorId="6" shapeId="0" xr:uid="{5ED51396-18B7-42A0-A18A-CEA2CC19DD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@Luciano Faria identificar placa</t>
      </text>
    </comment>
  </commentList>
</comments>
</file>

<file path=xl/sharedStrings.xml><?xml version="1.0" encoding="utf-8"?>
<sst xmlns="http://schemas.openxmlformats.org/spreadsheetml/2006/main" count="32251" uniqueCount="1873">
  <si>
    <t>id</t>
  </si>
  <si>
    <t>sdssds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</si>
  <si>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</si>
  <si>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</si>
  <si>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</si>
  <si>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</si>
  <si>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</si>
  <si>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</si>
  <si>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</si>
  <si>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</si>
  <si>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</si>
  <si>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</si>
  <si>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</si>
  <si>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</si>
  <si>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</si>
  <si>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</si>
  <si>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</si>
  <si>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</si>
  <si>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</si>
  <si>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</si>
  <si>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</si>
  <si>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</si>
  <si>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</si>
  <si>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</si>
  <si>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</si>
  <si>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</si>
  <si>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</si>
  <si>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</si>
  <si>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</si>
  <si>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</si>
  <si>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</si>
  <si>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MODELO DE QUEBRA MARCONDES 1</t>
  </si>
  <si>
    <t>MODELO DE QUEBRA MARCONDES 2</t>
  </si>
  <si>
    <t>DE-PARA1</t>
  </si>
  <si>
    <t>DE-PARA2</t>
  </si>
  <si>
    <t>CUSTEIO VARIÁVEL</t>
  </si>
  <si>
    <t>EKIPA LOCACOES E SERV G&amp;S</t>
  </si>
  <si>
    <t>1.7</t>
  </si>
  <si>
    <t>1.7 EKIPA LOCACOES E SERV G&amp;S</t>
  </si>
  <si>
    <t>1.7.1</t>
  </si>
  <si>
    <t>CONTRATOS</t>
  </si>
  <si>
    <t>1.7.1 CONTRATOS</t>
  </si>
  <si>
    <t>1.7.1.2</t>
  </si>
  <si>
    <t>ARCELOR - RESENDE/RJ</t>
  </si>
  <si>
    <t>1.7.1.2 ARCELOR - RESENDE/RJ</t>
  </si>
  <si>
    <t>1.7.1.2.1</t>
  </si>
  <si>
    <t>GBL8H44 (PHH0044)</t>
  </si>
  <si>
    <t>1.7.1.2.1 GBL8H44 (PHH0044)</t>
  </si>
  <si>
    <t>7.1.6</t>
  </si>
  <si>
    <t>TRANSPORTE DE SUCATA</t>
  </si>
  <si>
    <t>7.1.6 TRANSPORTE DE SUCATA</t>
  </si>
  <si>
    <t>G&amp;S PRUDENTE</t>
  </si>
  <si>
    <t>CTE-362904</t>
  </si>
  <si>
    <t xml:space="preserve"> _x000D_
CRISTINA - CTE. 362904 - PAG. VIA BOL. VENC 15/06/2025 - REF. A COMPRA DE SENSOR INDUTIVO P/ AS MAQUINAS GARRA EHL0028_x000D_
PENEIRA - EHH0045 PRENSA MÓVEL - GDU0275 PRENSA MÓVEL - GBL8H44 PRENSA MÓVEL QXH2G14_x000D_</t>
  </si>
  <si>
    <t>23011</t>
  </si>
  <si>
    <t>ANDORINHA TRANSPORTADORA LTDA</t>
  </si>
  <si>
    <t>Saída (Aplicações)</t>
  </si>
  <si>
    <t>Sagi</t>
  </si>
  <si>
    <t>Custo Variável</t>
  </si>
  <si>
    <t>Operacional</t>
  </si>
  <si>
    <t>4.01.08 CUSTO COM TRANSPORTE DE SUCATA</t>
  </si>
  <si>
    <t>4.01 CUSTO DA MERCADORIA VENDIDA</t>
  </si>
  <si>
    <t>4.01 CUSTO FIXO</t>
  </si>
  <si>
    <t>7.1.2</t>
  </si>
  <si>
    <t>MANUTENÇÃO DE VEÍCULOS/MAQUINAS</t>
  </si>
  <si>
    <t>7.1.2 MANUTENÇÃO DE VEÍCULOS/MAQUINAS</t>
  </si>
  <si>
    <t>NFE-95195</t>
  </si>
  <si>
    <t xml:space="preserve"> CRISTINA - NFE 95195 VENC. 05/07/25 05/08/25 05/09/25 VIA BOL - REF. A COMPRA DE FILTRO DE AR PARA GBL8H44 REZENDE E PARACHOQUE DIANTEIRO PARA CZB9H07 EM PRUDENTE -  - LOCAL DE ENTREGA: RUA HELENA FERRANTE BORGHI 100 B DISTRITO INDUSTRIAL PRESIDENTE PRUDENTE SP - CEP: 19043080 - I.E. 562.342.949.114 - COD.PGTO: 30AB - 30/60/90 DD VENC DIA 5 CONFERENTE: GUILHERME - VENDEDOR: 3030 ROBERTA CHERETTI - PEDIDO: 126553 - - VALOR APROX. TRIBUTOS CONFORME LEI 12741/12 - R$ 776,71(33,42%). FONTE: IBPT.</t>
  </si>
  <si>
    <t>30398</t>
  </si>
  <si>
    <t>VANNUCCI IMPORTACAO EXPORTACAO E COM PECAS LTDA</t>
  </si>
  <si>
    <t>4.03.03 CUSTO COM MANUTENÇÃO DE VEÍCULOS/MÁQUINAS</t>
  </si>
  <si>
    <t>4.03 CUSTO DE MÃO-DE-OBRA INDIRETA</t>
  </si>
  <si>
    <t>4.02 CUSTO VARIÁVEL</t>
  </si>
  <si>
    <t>NFE-3713</t>
  </si>
  <si>
    <t xml:space="preserve"> CRISTINA - NFE. 3.713  VENC. 25/06/2025 VIA BOL.  - REF. COMPRA DE 04 MANGUEIRA DE 1/2 COMPLETA (TERMINAL + MANGUEIRA + CONEXÃO). PRENSA MOVEL GBL8H44 RESENDE.</t>
  </si>
  <si>
    <t>23226</t>
  </si>
  <si>
    <t>LOPES E RIOS COMERCIO E SERVICOS DE AUTOMACAO INDUSTRIAL LTD</t>
  </si>
  <si>
    <t>NFE-150351</t>
  </si>
  <si>
    <t xml:space="preserve"> CRISTINA - NFE 150351 VENC 15/07/2025 VIA TRANSF. - REF. A COMPRA DE MOLAS PLASTICAS PARA O VEICULO GBL8H44 PRUDENTE -  - PEDIDO: 514463 VOCE PAGOU APROXIMADAMENTE:  12,11 DE TRIBUTOS FEDERAIS  16,20 DE TRIBUTOS ESTADUAIS  0,00 DE TRIBUTOS MUNICIPAIS  FONTE: IBPT  - CHAVE: F11483 FROTA PHH 0044 PLACA GBL 8H44 ORIN 6242</t>
  </si>
  <si>
    <t>7736</t>
  </si>
  <si>
    <t>PRUDENFLEX COMERCIO E SERVICOS LTDA.</t>
  </si>
  <si>
    <t>NFE-3720</t>
  </si>
  <si>
    <t xml:space="preserve"> CRISTINA - NFE. 3720 VENC 25/06/2025 VIA BOL - REF. A COMPRA DE MOLA ESPIRAL DE PVC 1/2 -20X25 PARA A MAQUINA GBL8H44 PRUDENTE - TOTAL FCP: 0,00;TOTAL FCP ST: 0,00;EMPRESA OPTANTE PELO SIMPLES NACIONAL;PROCON;0% - NF REFERENTE AO ORCAMENTO: 20276;SOLICITANTE: VINICIUS;VALOR APROXIMADO DOS TRIBUTOS: R$70,92(34,00%). FONTE: IBPT</t>
  </si>
  <si>
    <t>7.1.18</t>
  </si>
  <si>
    <t>FRETES E CARRETOS</t>
  </si>
  <si>
    <t>7.1.18 FRETES E CARRETOS</t>
  </si>
  <si>
    <t>00001185</t>
  </si>
  <si>
    <t xml:space="preserve"> CRISTINA - CTE 364.086 - VIA BOL. VENC - 15/06/2025. REF. A COMPRA DE FILTROS P/ MAQUINA EHH0007 PRUDENTE. _x000D_
 _x000D_
CRISTINA - CTE. 362904 - PAG. VIA BOL. VENC 15/06/2025 - REF. A COMPRA DE SENSOR INDUTIVO P/ AS MAQUINAS GARRA EHL0028_x000D_
PENEIRA - EHH0045 PRENSA MÓVEL - GDU0275 PRENSA MÓVEL - GBL8H44 PRENSA MÓVEL QXH2G14_x000D_</t>
  </si>
  <si>
    <t>29799</t>
  </si>
  <si>
    <t>4.01.07 CUSTO COM FRETES E CARRETOS</t>
  </si>
  <si>
    <t>7.1.20</t>
  </si>
  <si>
    <t>RASTREADOR/ MONITORAMENTO</t>
  </si>
  <si>
    <t>7.1.20 RASTREADOR/ MONITORAMENTO</t>
  </si>
  <si>
    <t>GSL PRUDENTE</t>
  </si>
  <si>
    <t>GBL8H44</t>
  </si>
  <si>
    <t>R P R TECNOLOGIA LTDA</t>
  </si>
  <si>
    <t>Atua</t>
  </si>
  <si>
    <t>RASTREAMENTO - FROTA</t>
  </si>
  <si>
    <t>Custo Fixo</t>
  </si>
  <si>
    <t>Custo Administrativo</t>
  </si>
  <si>
    <t>4.08.01 DESPESA COM ALARME E MONITORAMENTO</t>
  </si>
  <si>
    <t>4.08 DESPESA OPERACIONAL</t>
  </si>
  <si>
    <t>4.03 DESPESA FIXA</t>
  </si>
  <si>
    <t>G&amp;S MARINGA</t>
  </si>
  <si>
    <t>NFE-56242</t>
  </si>
  <si>
    <t xml:space="preserve"> _x000D_
CRISTINA - NFE. 56242 VENC 05/07/2025 VIA BOL - REF A COMPRA DE FIM DE CURSO PARA AS MAQUINA GBL8H44 PRENSA MOVEL_x000D_
PIRACICABA - QXH2G14 PRENSA MOVEL - DOURADOS, PHH0049 E GDU0275 PRENSA MOVEL PRUDENTE</t>
  </si>
  <si>
    <t>23676</t>
  </si>
  <si>
    <t>YAMAZAKI &amp; CIA LTDA - EPP</t>
  </si>
  <si>
    <t>NFSE-6389</t>
  </si>
  <si>
    <t xml:space="preserve"> CRISTINA - LOCAÇÃO DE EQUIPAMENTO TRANSMISSOR DE DADOS VEICULARES A3._x000D_
PLACA COM EQUIPAMENTO INSTALADO 26 VEÍCULOS._x000D_
NFS 6389 - PIX - VENC. 15/06_x000D_
BANCO: INTER - 077_x000D_
AGÊNCIA: 0001_x000D_
C/C: 14428234-8_x000D_
RPR TECNOLOGIA LTDA_x000D_
CNPJ: 26.722.444/0001-24_x000D_
PIX: 26722444000124_x000D_</t>
  </si>
  <si>
    <t>30449</t>
  </si>
  <si>
    <t>NFSE-385</t>
  </si>
  <si>
    <t xml:space="preserve"> CRISTINA - NFS. 385 VENC. 05/07/2025 VIA BOL. - REF. AO SERVIÇO DE REPARO DE ATUADOR HIDRAULICO PARA A MAQUINA GBL8H44_x000D_- RESENDE</t>
  </si>
  <si>
    <t>NFSE-389</t>
  </si>
  <si>
    <t xml:space="preserve"> CRISTINA - NFS. 389 VENC. 05/07/2025 VIA BOL. - REF. AO SERVIÇO DE SOLDA ESPECIALIZADA EM TUBOS NA PRENSA GBL8H44_x000D_REZENDE</t>
  </si>
  <si>
    <t>185174-186619</t>
  </si>
  <si>
    <t>REF. CTE'S 185174-186619 CRISTINA - CTE. 185.174 VENC. 15/07/25 VIA BOL. - FRETE REF AO ENVIO DE PEÇAS DE ARAÇATUBA PARA PRESIDENTE PRUDENTE_x000D_PARA A PRENSA GBL8H44 E O CAMINHÃO CZB9H07_x000D_
CRISTINA - NFS. 186619 VENC. VIA BOL. - REF. AO SERVIÇO DE FRETE P/ O ENVIO DAS PEÇAS P/ GARRA ROLLON FRT7548 DE_x000D_ARAÇATUBA PARA PRESIDENTE PRUDENTE</t>
  </si>
  <si>
    <t>25984</t>
  </si>
  <si>
    <t>TAP EXPRESS EIRELII - ME</t>
  </si>
  <si>
    <t>NFE-3800</t>
  </si>
  <si>
    <t xml:space="preserve"> CRISTINA - NFE. 3.800 VENC. 15/07/25 VIA BOL. - REF. A COMPRA DE BOTÃO LIGA / DESLIGA P/ A ENFARDADEIRA GBL8H44 - RESENDE - TOTAL FCP: 0,00;TOTAL FCP ST: 0,00;EMPRESA OPTANTE PELO SIMPLES NACIONAL;PROCON;0% - NF REFERENTE AO ORCAMENTO: 20606;SOLICITANTE: DANIEL;VALOR APROXIMADO DOS TRIBUTOS: R$40,70(34,00%). FONTE: IBPT</t>
  </si>
  <si>
    <t>G3S PRUDENTE</t>
  </si>
  <si>
    <t>NFE-7146</t>
  </si>
  <si>
    <t xml:space="preserve"> CRISTINA - NFE. 7.146 VENC. 02/06/25 VIA CARTÃO FLASH 7429 - REF. A COMPRA DE BOLSA DE AR SEM BASE P/ TROCA NA NAQUIBA GBL8H44 - RESENDE -  - CARRETA GBL-8H44;VALOR APROXIMADO DOS TRIBUTOS: R$ 297,44 (33,42%). FONTE: IBPT.</t>
  </si>
  <si>
    <t>30976</t>
  </si>
  <si>
    <t>PARAISO RESENDE FRIOS E MOLAS LTDA</t>
  </si>
  <si>
    <t>NFSE-5868</t>
  </si>
  <si>
    <t xml:space="preserve"> CRISTINA - NFS. 5868 VENC. 02/06/25 VIA CARTÃO FLASH 7429 - REF. AO SERVIÇO DE REFORMAR AS SAPATAS DO 1º EIXO E TROCAR BOLSA DO LADO ESQUERDO NA CAMINHÃO GBL8H44 - RESENDE</t>
  </si>
  <si>
    <t>NFE-331</t>
  </si>
  <si>
    <t xml:space="preserve"> CRISTINA - NFE. 331 VENC. 15/05/25 VIA PIX - REF. A COMPRA DE SOLDA P/ USO NA MAQUINA GBL8H44, RESENDE -  - I - DOCUMENTO EMITIDO POR ME OU EPP OPTANTE PELO SIMPLES NACIONAL; II - N\303\203O GERA DIREITO A CR\303\211DITO FISCAL DE ICMS, DE ISS E DE IPI;;PLACA: GBL8H44</t>
  </si>
  <si>
    <t>30969</t>
  </si>
  <si>
    <t>IRMAOS GONZALEZ - TRANSPORTES MECANICA E AUTO PECAS LTDA</t>
  </si>
  <si>
    <t>NFSE-6890</t>
  </si>
  <si>
    <t xml:space="preserve"> -</t>
  </si>
  <si>
    <t>NFE-171783</t>
  </si>
  <si>
    <t xml:space="preserve"> CRISTINA - NFE. 171.783 VENC. 15/08/25 VIA BOL. - REF. A COMPRA DE 7 BALDES DE LUBRIFICANTE 15W40 P/ A PRENSA MOVEL GBL8H44, RESENDE - ICMS RECOLHIDO ANTERIORMENTE POR SUBSTITUICAO TRIBUTARIA - DECLARO QUE OS PRODUTOS PERIGOSOS ESTAO ADEQUADAMENTE CLASSIFICADOS, EMBALADOS, IDENTIFICADOS, E ESTIVADOS PARA SUPORTAR OS RISCOS DAS OPERACOES DE TRANSPORTE E QUE ATENDEM AS EXIGENCIAS DA REGULAMENTACAO. NOME FANTASIA: EKIPA LOCACOES E SERVICOS VENDEDOR: ERICA NRO DO PEDIDO: 176697 REGIAO: PRESIDENTE PRUDENTE VALOR DA BASE DE ST (ARTIGOS 273, 313 DO RICMS): R$ 2002.16 VALOR DE ICMS ST (ARTIGOS 273, 313 DO RICMS): R$ 360.39</t>
  </si>
  <si>
    <t>27668</t>
  </si>
  <si>
    <t>NAC SÃO PAUO COM. DE LUBRIFICANTES LTDA.</t>
  </si>
  <si>
    <t>NFSE-32</t>
  </si>
  <si>
    <t xml:space="preserve"> - CRISTINA - NFS. 32 VENC. 25/07/25 VIA PIX - REF. AO SERVIÇOS DE 4 MONTAGEM / DESMONTAGEM DE PNEUS 320,00 E 1_x000D_VULCANIZAÇÃO 200,00 NA PRENSA EWU5857 E 1 MONTAGEM E DESMONTAGEM E 1 VULCANIZAÇÃO P/ A PRENSA GBL9H44, RESENDE.</t>
  </si>
  <si>
    <t>31014</t>
  </si>
  <si>
    <t>ANDRE DO NASCIMENTO PEREIRA RODRIGUES</t>
  </si>
  <si>
    <t>NFSE-3</t>
  </si>
  <si>
    <t xml:space="preserve"> - CRISTINA - NFS. 3 VENC. 25/07/25 VIA PIX - REF. A ASSISTENCIA TECNICA NA PRENSA, TROCA DE TERMINAIS 04/07/25 150,00, REPARO_x000D_E TROCA DE CABO DE COMUNICAÇÃO 07/07/25 450,00, INSTALAÇÃO DE PONTE DE DIODOS P/ LIBERAÇÃO DA MAQUINA 10/07/25_x000D_750,00, 2 PLACA COMPLETA JOYSTICK 1.600,00 E 1 CASE PADRÃO P/ JOYSTICK 400,00 P/ A PRENSA QXH2G14 EM PRUDENTE E_x000D_MANUTENÇÃO 2 JOYSTICK 14/07/25 220,00 P/ A PRENSA GBL8H44, RESENDE</t>
  </si>
  <si>
    <t>31026</t>
  </si>
  <si>
    <t>TIAGO LIMA MENDOCA</t>
  </si>
  <si>
    <t>NFE-3895</t>
  </si>
  <si>
    <t xml:space="preserve"> CRISTINA - NFE. 3.895 VENC. 15/08/25 VIA BOL. - REF. A COMPRA DE CHAVES P/ MAQUINA GBL8H44 (CAIXA DE FERRAMENTA FOI ROUBADA), RESENDE - TOTAL FCP: 6,96;TOTAL FCP ST: 0,00;EMPRESA OPTANTE PELO SIMPLES NACIONAL;PROCON;APROVEITAMENTO DO CREDITO DE ICMS ALIQUOTA DE 12% - NF REFERENTE AO ORCAMENTO: 21119;SOLICITANTE: DANIEL;PLACA: GBL8H44;HORIMETRO: 6455;VALOR APROXIMADO DOS TRIBUTOS: R$118,33(34,00%). FONTE: IBPT</t>
  </si>
  <si>
    <t>NFSE-415</t>
  </si>
  <si>
    <t xml:space="preserve"> - CRISTINA - NFS. 415 VENC. 15/08/25 VIA BOL. - REF. A FABRICAÇÃO DE HASTE 200MM E AJUSTE NA HASTE 160MM DA MAQUINA_x000D_GBL8H44, RESENDE</t>
  </si>
  <si>
    <t>7.3.7</t>
  </si>
  <si>
    <t>ALUGUEL DE FUNCIONÁRIO</t>
  </si>
  <si>
    <t>7.3.7 ALUGUEL DE FUNCIONÁRIO</t>
  </si>
  <si>
    <t>23960</t>
  </si>
  <si>
    <t xml:space="preserve"> CRISTINA - S/NOTA VENC. 05/08/25 VIA FOLHA DE PAGAMENTO - REF. AO ALUGUEL DO 01 QUARTO, SENDO PARA O COLABORADOR_x000D_DANIEL QUE ESTA EM RESENDE, OPERANDO A PRENSA, ALUGUEL R$ 1.500,00 + R$ 500,00 ENERGIA E AGUA.</t>
  </si>
  <si>
    <t>31106</t>
  </si>
  <si>
    <t>NILSON CELIO NUNES</t>
  </si>
  <si>
    <t>Não Operacional</t>
  </si>
  <si>
    <t>4.05.01 DESPESA COM ALUGUEL DE FUNCIONÁRIO</t>
  </si>
  <si>
    <t>4.05 DESPESA COM PESSOAL</t>
  </si>
  <si>
    <t>NFSE-256</t>
  </si>
  <si>
    <t xml:space="preserve"> CRISTINA - LOCAÇÃO DE EQUIPAMENTO TRANSMISSOR DE DADOS VEICULARES A3._x000D_
PLACA COM EQUIPAMENTO INSTALADO 21 VEÍCULOS._x000D_
RECIBO DE PRESTAÇÃO DE SERVIÇO 256 - BOLETO BANCARIO - VENC. 15/08_x000D_
PLACAS: EJZ7496 / EJZ7495 / EJZ7999 / EWU5984 / FJQ5A08 / EJZ7J97 / EJZ7998 / HAR1F82 / EWU5857 / CZB9H07 / FBU7329 / FRT7548 / EWU6A79 / BZN1874 / EQO6E99_PRENSA_x000D_
MOVEL / GDY0H74 / GBL8H44 / GDB3A42 / SUE1E15 / SUC7A43 / EWU5698. -</t>
  </si>
  <si>
    <t>NFE-78065</t>
  </si>
  <si>
    <t xml:space="preserve"> CRISTINA - NFE. 78.065 VENC. 05/09/25 VIA BOL. - REF. A COMPRA DE FERRAMENTAS P/ SUBSTITUIR A QUE FOI ROUBADA DA MAQUINA GBL8H44, HR 6.477, RESENDE -  - SOLICITADO POR VINICIUS , RETIRADO POR DANIELMAQ.GBL 8H44;ORIMETRO HR. 6477;PEDIDO: 001062920 02/08/25;BC 657,95- SUBST. TRIBUTARIA;BC 110,05-18% 19,81;TELEFONE 18 39033715;; VENDEDOR : 8 VINICIUS; [ TRIB APROX R$: 140,41 FEDERAL 131,64 ESTADUAL FONTE: IBPT/FECOMERCIO RS XE67EQ ]</t>
  </si>
  <si>
    <t>7600</t>
  </si>
  <si>
    <t>M C COMERCIO DE FERRAMENTAS FERRAGENS E PARAFUSOS LTDA ME</t>
  </si>
  <si>
    <t>NFE-3969</t>
  </si>
  <si>
    <t xml:space="preserve"> CRISTINA - NFE. 3.969 VENC. 25/08/25 VIA BOL. - REF. A COMPRA DE CONEXÕES P/ O CAMINHÃO GBL8H44, RESENDE - TOTAL FCP: 0,00;TOTAL FCP ST: 0,00;EMPRESA OPTANTE PELO SIMPLES NACIONAL;PROCON;0% - NF REFERENTE AO ORCAMENTO: 21410;SOLICITANTE: DANIEL;VALOR APROXIMADO DOS TRIBUTOS: R$51,51(34,00%). FONTE: IBPT</t>
  </si>
  <si>
    <t>NFE-3980</t>
  </si>
  <si>
    <t xml:space="preserve"> CRISTINA - NFE. 3.980 VENC. 25/08/25 VIA BOL. - REF. A COMPRA DE MANGUEIRA P/ O MAQUINA GBL8H44, RESENDE - TOTAL FCP: 4,92;TOTAL FCP ST: 0,00;EMPRESA OPTANTE PELO SIMPLES NACIONAL;PROCON;APROVEITAMENTO DO CREDITO DE ICMS ALIQUOTA DE 12% - NF REFERENTE AO ORCAMENTO: 21447;SOLICITANTE: DANIEL JUNIOR;VALOR APROXIMADO DOS TRIBUTOS: R$83,57(34,00%). FONTE: IBPT</t>
  </si>
  <si>
    <t>NFE-3992</t>
  </si>
  <si>
    <t xml:space="preserve"> CRISTINA - NFE. 3.992 VENC. 15/09/25 VIA BOL. - REF. A COMPRA DE OLEO 15W40 P/ O CAMINHÃO GBL8H44, HORIMETRO 6572, RESENDE - TOTAL FCP: 0,00;TOTAL FCP ST: 0,00;EMPRESA OPTANTE PELO SIMPLES NACIONAL;PROCON;0% - NF REFERENTE AO ORCAMENTO: 21570;SOLICITANTE:DANIEL;GBL8H44- HORIMETRO: 6572;VALOR APROXIMADO DOS TRIBUTOS: R$661,30(34,00%). FONTE: IBPT</t>
  </si>
  <si>
    <t>NFE-96581</t>
  </si>
  <si>
    <t xml:space="preserve"> CRISTINA - NFE. 96.581 VENC. 19/09/25 VIA BOL. - REF. A COMPRA DE JUNTAS ROTATIVAS P/ O CAMINHÃO GBL8H44, RESENDE -  - PEDIDO: 189889 - ITENS: 3  --  COD. CLI =     78065 -- END. ENTREGA: R HELENA F BORGHI N100. BAIRRO: DISTRITO INDUSTRIAL - PRESIDENTE PRUDENTE - SP - CEP: 19043-080 -- O. COMPRA: VB DANIEL --   --  COD. TRANSP.: 43146 / FONE: (18)2101-0101 --  VIA TRANSPORTE: TERRESTRE -- ( PLACA GBL8H44 ) APROVADO VINICIUS. -- EMBALAGENS - VOLUME(S):1    -- PARA DEVOLUCOES E POLITICA DE GARANTIA DOS PRODUTOS, ACESSE NOSSO SITE: WWW.HENNINGS.COM.BR  -- PREZADO CLIENTE, UTILIZE NOSSO SITE PARA EMITIR A 2A VIA DE SUAS NOTAS FISCAIS E BOLETOS NA OPCAO 'NF / BOLETOS'. OS BOLETOS ESTARAO DISPONIVEIS A PARTIR DE 05 DIAS UTEIS APOS EMISSAO DA NOTA FISCAL.</t>
  </si>
  <si>
    <t>27450</t>
  </si>
  <si>
    <t>HENNINGS VEDACOES HIDRAULICAS LTDA</t>
  </si>
  <si>
    <t>NFE-78486</t>
  </si>
  <si>
    <t xml:space="preserve"> CRISTINA - NFE. 78.486 VENC. 25/09/25 25/10/25 VIA BOL. - REF. A COMPRA DE FERRAMENTAS P/ A MAQUINA GBL8H44 (ANTIGA CAIXA DE FERRAMENTAS FOI ROUBADA), RESENDE -  - PLACA GBL8H44RETIRADO POR DANIEL;AUTORIZADO POR VINICIUS;PEDIDO: 001072224 23/08/25;BC 1.119,20- SUBST. TRIBUTARIA;TELEFONE 18 39033715;; VENDEDOR : 8 VINICIUS; [ TRIB APROX R$: 216,40 FEDERAL 201,45 ESTADUAL FONTE: IBPT/FECOMERCIO RS XE67EQ ]</t>
  </si>
  <si>
    <t>NFE-97650</t>
  </si>
  <si>
    <t xml:space="preserve"> CRISTINA - NFE. 97.650 VENC. 15/09/25 VIA BOL. - REF. A COMPRA DE SUPORTE DO ESTEPE P/ O CAMINHÃO GBL8H44, RESENDE -  - LOCAL DE RETIRADA: AV. JOAQUIM CONSTANTINO,1511 - JD ALTO DA BOA VISTACEP: 19053300 CIDADE/UF: PRESIDENTE PRUDENTE/SPPLACA GBL-8H44 - PEDIDO POR VINICIUS FORMA/CONDICAO DE PAGAMENTO: BOLETO-PRAZO DIGITADO - 23 - PRAZO MEDIO 23 DIAS - TIPO DE ENTREGA: NA LOJA VENDEDOR: WASHINGTON PAVANI  PROCON - FONE: 18 3221-2710 ORCAMENTO NUMERO: 4016804 TOTAL DE IMPOSTOS PAGOS: R 203,32 - PERCENTUAL 34,0000 - FONTE: IBPT A T E N C A O  S E N H O R E S  C L I E N T E S SOLICITAMOS A GENTILEZA DE CONFERIR A MERCADORIA NO ATO DA ENTREGA. E IMPRESCINDIVEL ASSINAR O COMPROVANTE DE RECEBIMENTO POR EXTENSO E INFORMAR DOCUMENTO DE IDENTIFICACAO RG OU CPF. INFORMAMOS QUE NAO SERAO ACEITAS DEVOLUCOES OU RECLAMACOES SEM PREVIA COMUNICACAO FORMAL.</t>
  </si>
  <si>
    <t>10054</t>
  </si>
  <si>
    <t>DIPECARR DIST DE PECAS E ACESSORIOS PARA CARRETAS LTDA</t>
  </si>
  <si>
    <t>NFE-103613</t>
  </si>
  <si>
    <t xml:space="preserve"> CRISTINA - NFE. 103.613 VENC. 25/09/25 VIA BOL. - REF. A COMPRA DE FILTRO DE AR P/ A MAQUINA GBL8H44, RESENDE -  - GBL8H44 RET  BALCAO;VALOR APROXIMADO DOS TRIBUTOS R$ 47.02.  34.32% FONTE IBPT.</t>
  </si>
  <si>
    <t>27798</t>
  </si>
  <si>
    <t>VASCELLI E VASCELLI LTDA ME   CENTER PECAS</t>
  </si>
  <si>
    <t>NFE-153574</t>
  </si>
  <si>
    <t xml:space="preserve"> CRISTINA - NFE. 153.574 VENC. 25/09/25 VIA TRANSF. - REF. A COMPRA DE MANGUEIRAS E SEUS COMPLEMENTOS P/ A MAQUINA GBL8H44, RESENDE -  - PEDIDO: 533139  PLACA:GBL8H44 RETIRADO PELO DANIEL VOCE PAGOU APROXIMADAMENTE:  96,94 DE TRIBUTOS FEDERAIS  111,81 DE TRIBUTOS ESTADUAIS  0,00 DE TRIBUTOS MUNICIPAIS  FONTE: IBPT  - CHAVE: CAF7DD</t>
  </si>
  <si>
    <t>NFE-4034</t>
  </si>
  <si>
    <t xml:space="preserve"> CRISTINA - NFE. 4.034 VENC. 15/09/25 VIA BOL. - REF. A COMPRA DE MANGUEIRA E COMPLEMENTOS P/ A MAQUINA GBL8H44, RESENDE - TOTAL FCP: 0,00;TOTAL FCP ST: 0,00;EMPRESA OPTANTE PELO SIMPLES NACIONAL;PROCON;0% - NF REFERENTE AO ORCAMENTO: 21803;SOLICITANTE: DANIEL JUNIOR;VALOR APROXIMADO DOS TRIBUTOS: R$36,67(34,00%). FONTE: IBPT</t>
  </si>
  <si>
    <t>NFE-4040</t>
  </si>
  <si>
    <t xml:space="preserve"> CRISTINA - NFE. 4.040 VENC. 25/09/25 VIA BOL. - REF. A COMPRA DE OLEO 15W40 E OLEO DIESEL15W40 P/ A MAQUINA GBL8H44, RESENDE - TOTAL FCP: 79,02;TOTAL FCP ST: 0,00;EMPRESA OPTANTE PELO SIMPLES NACIONAL;PROCON;APROVEITAMENTO DO CREDITO DE ICMS ALIQUOTA DE 12% - NF REFERENTE AO ORCAMENTO: 21823;SOLICITANTE:DANIEL JUNIOR;MAQUI: PLACA GBL8H44;H: 6585;VALOR APROXIMADO DOS TRIBUTOS: R$1343,34(34,00%). FONTE: IBPT</t>
  </si>
  <si>
    <t>7.1.8</t>
  </si>
  <si>
    <t>DESPESAS DE VIAGEM</t>
  </si>
  <si>
    <t>7.1.8 DESPESAS DE VIAGEM</t>
  </si>
  <si>
    <t>RKM05092025</t>
  </si>
  <si>
    <t xml:space="preserve"> CARTÃO FLASH FINAL 8735 - USO JULIO - REF AO RELATORIO DE REEMBOLSO POR QUILOMETRAGEM DE 22/08/2025 A 01/09/2025.</t>
  </si>
  <si>
    <t>1107</t>
  </si>
  <si>
    <t>JULIO VIEIRA DE SANTANA</t>
  </si>
  <si>
    <t>4.06.02 DESPESA COM DESPESAS DE VIAGEM</t>
  </si>
  <si>
    <t>4.06 DESPESA COMERCIAL</t>
  </si>
  <si>
    <t>4.04 DESPESA VARIÁVEL</t>
  </si>
  <si>
    <t>NFE-4046</t>
  </si>
  <si>
    <t xml:space="preserve"> CRISTINA - NFE. 4.046 VENC. 25/09/25 VIA BOL. - REF. A COMPRA DE MANGUEIRA HIDRAULICA E COMPLEMENTOS P/ A MAQUINA GBL8H44, RESENDE - TOTAL FCP: 0,00;TOTAL FCP ST: 0,00;EMPRESA OPTANTE PELO SIMPLES NACIONAL;PROCON;APROVEITAMENTO DO CREDITO DE ICMS ALIQUOTA DE 0% - NF REFERENTE AO ORCAMENTO: 21845;SOLICITANTE: DANIEL JUNIOR;PLACA DA MAQUI: GBL8H44/ H6590;VALOR APROXIMADO DOS TRIBUTOS: R$565,10(34,00%). FONTE: IBPT</t>
  </si>
  <si>
    <t>7.1.5</t>
  </si>
  <si>
    <t>COMBUSTÍVEL - GASOLINA E ETANOL</t>
  </si>
  <si>
    <t>7.1.5 COMBUSTÍVEL - GASOLINA E ETANOL</t>
  </si>
  <si>
    <t>G3S CAMPO GRANDE</t>
  </si>
  <si>
    <t>CF028830082025</t>
  </si>
  <si>
    <t xml:space="preserve"> CARTÃO FLASH FINAL 0288 - USO MARCOS - DESP. DEDUT. REF A 03 ABASTECIMENTOS E 04 PASSAGENS RODOVIARIA / DESP. INDEDUT. REF A 01 VIAGEM UBER._x000D_
</t>
  </si>
  <si>
    <t>30056</t>
  </si>
  <si>
    <t>MARCOS ANTONIO CLAUDIO</t>
  </si>
  <si>
    <t>4.08.04 DESPESA COM COMBUSTÍVEL - GASOLINA E ETANOL</t>
  </si>
  <si>
    <t>24630</t>
  </si>
  <si>
    <t xml:space="preserve"> CRISTINA - S/NOTA VENC. 05/09/25 VIA FOLHA DE PAGAMENTO (PIX) - REF. AO ALUGUEL DO 01 QUARTO, SENDO PARA O COLABORADOR_x000D_DANIEL QUE ESTA EM RESENDE, OPERANDO A PRENSA, ALUGUEL R$ 1.500,00 + R$ 500,00 ENERGIA E AGUA.</t>
  </si>
  <si>
    <t>NFE-342</t>
  </si>
  <si>
    <t xml:space="preserve"> CRISTINA - NFE. 342 VENC. 25/09/25 VIA PIX - REF. A COMPRA DE PARAFUSOS UTILIZADOS NA MAQUINA GBL8H44, RESENDE -  - I - DOCUMENTO EMITIDO POR ME OU EPP OPTANTE PELO SIMPLES NACIONAL; II - N\303\203O GERA DIREITO A CR\303\211DITO FISCAL DE ICMS, DE ISS E DE IPI;</t>
  </si>
  <si>
    <t>NFSE-557</t>
  </si>
  <si>
    <t xml:space="preserve"> - CRISTINA - NFS. 557 VENC. 25/09/25 VIA PIX - REF. AO SERVIÇO DE SACAR PARAFUSOS DO PISTÃO COM SOLDA E INSTALAR FRANJA_x000D_DO PISTÃO NA MAQUINA GBL8H44, RESENDE</t>
  </si>
  <si>
    <t>NFE-4121</t>
  </si>
  <si>
    <t xml:space="preserve"> CRISTINA - NFE. 4.121 VENC. 15/10/25 VIA BOL. - REF. A COMPRA DE CONEXÕES E OLEO 15W40 ALTA PERFORMANCE IPIRANGA 20L P/ A MAQUINA GBL8H44, RESENDE - TOTAL FCP: 18,00;TOTAL FCP ST: 0,00;EMPRESA OPTANTE PELO SIMPLES NACIONAL;PROCON;APROVEITAMENTO DO CREDITO DE ICMS ALIQUOTA DE 12% - NF REFERENTE AOS ORCAMENTOS: 22193,22193;SOLICITANTE: DANIEL/VINICIUS;VALOR APROXIMADO DOS TRIBUTOS: R$315,52(34,00%). FONTE: IBPT</t>
  </si>
  <si>
    <t>NFE-61295</t>
  </si>
  <si>
    <t xml:space="preserve"> CRISTINA - NFE. 61.295 VENC. 20/10/25 VIA BOL. - REF. A COMPRA DE MANGUEIRA E COMPLEMENTOS P/ A MAQUINA GBL8H44, RESENDE -  - SOLICITANTE - DANIEL JUNIOR SANTOS;DOCUMENTO REFERENTE AO(S) PEDIDO(S) N. M5446; VALOR APROXIMADO DOS TRIBUTOS (LEI FEDERAL 12.741/2012) TOTAL: R$ 259.46 FEDERAL: R$ 116.72 ESTADUAL: R$ 142.75 MUNICIPAL: R$ 0.00 FONTE: IBPT; PROCON-RJ TEL.(21)151 END.: AV RIO BRANCO, 25 - 4 AO 7 ANDAR - RJ ;CODECON TEL. 0800-2827060 END.: RUA DA ALFANDEGA,08 TERREO - CENTRO - RIO DE JANEIRO ;</t>
  </si>
  <si>
    <t>25911</t>
  </si>
  <si>
    <t>COMINDRE MANGUEIRAS E CONEXOES LTDA</t>
  </si>
  <si>
    <t>NFSE-38</t>
  </si>
  <si>
    <t xml:space="preserve"> - CRISTINA - NFS. 38 VENC. 05/10/25 VIA PIX - REF. AOS SERVIÇOS DE BORRACHARIA EM RESENDE:_x000D_GBL8H44 - 3 DESMONTAGEM, 2 CONSERTOS E 1 PNEU MEIA VIDA 740,00_x000D_
EWU5857 - 2 DESMONTAGEM/MONTAGEM, 1 VULCANIZAÇÃO, 1 CONSERTO E 1 BICO METAL 460,00_x000D_GBL8H44 - 1 DESMONTAGEM/MONTAGEM E 1 VULCANIZAÇÃO 270,00</t>
  </si>
  <si>
    <t>NFE-4139</t>
  </si>
  <si>
    <t xml:space="preserve"> CRISTINA - NFE. 4.139 VENC. 05/10/25 VIA BOL. - REF. A COMPRA DE BOTÃO DE EMERGENCIA P/ O CAMINHÃO GBL8H44, RESENDE - TOTAL FCP: 2,20;TOTAL FCP ST: 0,00;EMPRESA OPTANTE PELO SIMPLES NACIONAL;PROCON;APROVEITAMENTO DO CREDITO DE ICMS ALIQUOTA DE 12% - NF REFERENTE AO ORCAMENTO: 22272;SOLICITANTE: DANIEL JUNIOR;PLACA: GBL 8H44;H: 6686;VALOR APROXIMADO DOS TRIBUTOS: R$37,40(34,00%). FONTE: IBPT</t>
  </si>
  <si>
    <t>7.5.18</t>
  </si>
  <si>
    <t>SISTEMAS</t>
  </si>
  <si>
    <t>7.5.18 SISTEMAS</t>
  </si>
  <si>
    <t>NFSE-3654501</t>
  </si>
  <si>
    <t xml:space="preserve"> [GIULIANA] REF A SERVIÇOS PRESTADOS DE LICENCIAMENTO DE PROGRAMAS DE COMPUTADOR - FLASH EXPENSE_x000D_
PERIODO: OUTUBRO/2025_x000D_
NFS 003.654.501 VENCIMENTO 15/11/2025_x000D_
PAGAMENTO VIA BOLETO BANCARIO</t>
  </si>
  <si>
    <t>701</t>
  </si>
  <si>
    <t>FLASH TECNOLOGIA E INSTITUICAO DE PAGAMENTO LTDA</t>
  </si>
  <si>
    <t>SAGI</t>
  </si>
  <si>
    <t>4.04.21 DESPESA COM SISTEMAS</t>
  </si>
  <si>
    <t>4.04 DESPESA ADMINISTRATIVA</t>
  </si>
  <si>
    <t>NFSE-2167</t>
  </si>
  <si>
    <t xml:space="preserve"> _x000D_
CRISTINA SEGUE O RECIBO DE LOCAÇÃO DE EQUIPAMENTO TRANSMISSOR DE DADOS_x000D_
VEICULARES A3._x000D_
PLACAS: EJZ7496 EJZ7495 EJZ7999 EWU5984 EJZ7J97 EJZ7998_x000D_
HAR1F82 EWU5857 CZB9H07 FBU7329 EWU6A79 BZN1874_x000D_
EQO6E99_PRENSA MOVEL GDY0H74 GBL8H44 GDB3A42_x000D_
GDU0275_x000D_
VENCIMENTO: DIA 15/11/2025 NO VALOR DE R$ 1.188,30-</t>
  </si>
  <si>
    <t>NFE-4291</t>
  </si>
  <si>
    <t xml:space="preserve"> CRISTINA - NFE. 4.291 VENC. 15/11/25 VIA BOL. - REF. A COMPRA DE OLEO 15W40 ALTA PERFORMANCE IPIRANGA 20 L E OLEO 15W40 MULT LUB P/ USO NA PRENSA MOVEL GBL8H44 DE RESENDE - TOTAL FCP: 0,00TOTAL FCP ST: 0,00EMPRESA OPTANTE PELO SIMPLES NACIONALPROCONAPROVEITAMENTO DO CREDITO DE ICMS ALIQUOTA DE 0% - NF REFERENTE AO ORCAMENTO: 22935SOLICITANTE: DANIEL JUNIORPLACA: GBL8H44VALOR APROXIMADO DOS TRIBUTOS: R$1343,34(34,00%). FONTE: IBPT</t>
  </si>
  <si>
    <t>NFSE-616</t>
  </si>
  <si>
    <t xml:space="preserve"> - CRISTINA - NFS. 616 VENC. 15/11/25 VIA BOL. - REF. A SOLDA DO SUPORTE DE STEP, SOLDA DO BERÇO DO CILINDRO TRASEIRO E_x000D_
DIANTEIRO NA PRENSA MOVEL GBL8H44, RESENDE</t>
  </si>
  <si>
    <t>NFE-4300</t>
  </si>
  <si>
    <t xml:space="preserve"> CRISTINA - NFE. 4.300 VENC. 25/11/25 VIA BOL. - REF. A COMPRA DE ACOPLADOR HIDRAULIXO E GRAXEIRA P/ PRENSA MOVEL GBL8H44 (HR 6915), RESENDE - TOTAL FCP: 0,00TOTAL FCP ST: 0,00EMPRESA OPTANTE PELO SIMPLES NACIONALPROCON0% - NF REFERENTE AO ORCAMENTO: 23002SOLICITANTE: DANIEL JUNIORGBL8H44- HORIMETRO-6915VALOR APROXIMADO DOS TRIBUTOS: R$35,53(34,00%). FONTE: IBPT</t>
  </si>
  <si>
    <t>NFSE-502</t>
  </si>
  <si>
    <t xml:space="preserve"> - CRISTINA - NFS. 502 VENC. 25/11/25 VIA BOL. - REF. AO SERVIÇO DE SOLDA ESPECIALIZADA EM TUBOS NA PRENSA MOVEL GBL8H44_x000D_
(H: 69570), RESENDE</t>
  </si>
  <si>
    <t>NFE-4331</t>
  </si>
  <si>
    <t xml:space="preserve"> CRISTINA - NFE. 4.331 VENC. 05/12/25 VIA BOL. - REF. A COMPRA DE MANGUEIRA MONTADA SAE100R15-20 P/ A PRENSA MOVEL GBL8H44 (H 6.976), RESENDE - TOTAL FCP: 0,00TOTAL FCP ST: 0,00EMPRESA OPTANTE PELO SIMPLES NACIONALPROCON0% - NF REFERENTE AO ORCAMENTO: 23119SOLICITANTE: DANIEL JUNIORPLACA:GBL8H44H:6976OBS: ATENDIMENTO EMERGENCIAL NO DIA 20/11/2025VALOR APROXIMADO DOS TRIBUTOS: R$674,90(34,00%). FONTE: IBPT</t>
  </si>
  <si>
    <t>7.1.4</t>
  </si>
  <si>
    <t>COMBUSTÍVEL - DIESEL (POSTO)</t>
  </si>
  <si>
    <t>7.1.4 COMBUSTÍVEL - DIESEL (POSTO)</t>
  </si>
  <si>
    <t>CF7429112025</t>
  </si>
  <si>
    <t xml:space="preserve"> CARTAO FLASH FINAL 7429 - USO DANIEL JUNIOR - DESPESA DEDUTIVEL REF A 1 ABASTECIMENTO E 1 COMPRA DE PARAFUSOS/ DESPESA INDEDUTIVEL REF A 14 UBERS, 1 LAVAGEM DE CAMINHAO E PRENSA, 2 PASSAGENS, 1 COMPRA DE FITA, 1 ENGATE E 1 SOLDA NA PRENSA</t>
  </si>
  <si>
    <t>-</t>
  </si>
  <si>
    <t>4064</t>
  </si>
  <si>
    <t>DANIEL JUNIOR SANTOS</t>
  </si>
  <si>
    <t>4.01.03 CUSTO COM COMBUSTÍVEL - DIESEL</t>
  </si>
  <si>
    <t>ARCELOR RESENDE RJ</t>
  </si>
  <si>
    <t>1.7.1.2 ARCELOR RESENDE RJ</t>
  </si>
  <si>
    <t>7.1.1</t>
  </si>
  <si>
    <t>PEÇAS DE MANUTENÇÃO</t>
  </si>
  <si>
    <t>7.1.1 PEÇAS DE MANUTENÇÃO</t>
  </si>
  <si>
    <t>4.01.06 CUSTO COM PEÇAS DE MANUTENÇÃO</t>
  </si>
  <si>
    <t>NFSE-3812329</t>
  </si>
  <si>
    <t xml:space="preserve"> - [GIULIANA] REF A SERVIÇOS PRESTADOS DE LICENCIAMENTO DE PROGRAMAS DE COMPUTADOR - FLASH EXPENSE_x000D_
PERIODO: NOVEMBRO/2025_x000D_
NFS 003.812.329 VENCIMENTO 15/12/2025_x000D_
PAGAMENTO VIA BOLETO BANCARIO</t>
  </si>
  <si>
    <t>Saída (Aplicação)</t>
  </si>
  <si>
    <t>26860</t>
  </si>
  <si>
    <t xml:space="preserve"> CRISTINA - S/N VENC. 05/12/25 VIA PIX - REF. AO ALUGUEL DO DANIEL QUE ESTA EM RESENDE RJ - OBS: ALUGUEL SERA DESTACADO_x000D_
NA FOLHA DE PAGAMENTO DO DANIEL, POR ISSO PAGAMENTO VIA PIX AO PROPRIETARIO.</t>
  </si>
  <si>
    <t>31344</t>
  </si>
  <si>
    <t>PAULO HENRIQUE CALDAS</t>
  </si>
  <si>
    <t>NFSE-44</t>
  </si>
  <si>
    <t xml:space="preserve"> - CRISTINA - NFS. 44 VENC. 05/12/25 VIA PIX - REF. AOS SERVIÇOS EWU5857 (203.821) - 1 BICO, 1 CONSERTO E 1 TROCA 200,00_x000D_
EWU5857 (204.076) - 4 RECAPAGENS, 4 VULCANIZAÇÃO E 4 DESMONTAGEM/MONTAGEM 4.880,00_x000D_
GBL8H44 (6.975) - 3 DESMONTAGEM/MONTAGEM E 1 TROCA 280,00_x000D_
EWU5857 (KM 203.790) - 1 TROCA 60,00_x000D_
EWU5857 (KM 204.017) - 4 DESMONTAGEM/MONTAGEM, 4 BICOS, 1 TROCA 550,00</t>
  </si>
  <si>
    <t>G&amp;S BARUERI</t>
  </si>
  <si>
    <t>A11617</t>
  </si>
  <si>
    <t>A11617 REEMBOLSO REF DANOS PRENSA MOVEL PHH0044 OC 26857</t>
  </si>
  <si>
    <t>NFE-4378</t>
  </si>
  <si>
    <t xml:space="preserve"> CRISTINA - NFE. 4.378 VENC. 05/01/26 VIA BOL. - REF. A COMPRA DE MANNGUEIRA MONTADA SAE100R2-04 X  460MM P/ MANUTENÇÃO NA PRENSA MOVEL GBL8H44, RESENDE - TOTAL FCP: 0,00TOTAL FCP ST: 0,00EMPRESA OPTANTE PELO SIMPLES NACIONALPROCON0% - NF REFERENTE AO ORCAMENTO: 23341SOLICITANTE: DANIELVALOR APROXIMADO DOS TRIBUTOS: R$255,53(34,00%). FONTE: IBPT</t>
  </si>
  <si>
    <t>NFE-62981</t>
  </si>
  <si>
    <t xml:space="preserve"> CRISTINA - NFE. 62.981 VENC. 15/01/26 VIA BOL. - REF. A COMPRA DE FILTROS DE AR P/ USO NA PRENSA MOVEL GBL8H44 EM RESENDE -  - DOCUMENTO EMITIDO POR ME OU EPP OPTANTE PELO SIMPLESNACIONAL. NAO GERA DIREITO A CREDITO FISCAL DE ISS E IPIPLACA: GBL-8H44VALOR APROXIMADO DE IMPOSTOS: R$ 10,37 FEDERAL, R$ 43,20 ESTADUALR$ 0,00 MUNICIPAL. FONTE: SP - IBPT/EMPRESOMETRO</t>
  </si>
  <si>
    <t>24492</t>
  </si>
  <si>
    <t>PRUDEN-FIL DISTRIBUIDORA DE FILTROS E UBRIF LDTA</t>
  </si>
  <si>
    <t>NFE-4398</t>
  </si>
  <si>
    <t xml:space="preserve"> CRISTINA - NFE. 4.398 VENC. 10/01/26 VIA BOL. - REF. A COMPRA DE OLEO 15W40 MULT LUB P/ USO NA PRENSA MOVEL GBL8H44, RESENDE - TOTAL FCP: 0,00TOTAL FCP ST: 0,00EMPRESA OPTANTE PELO SIMPLES NACIONALPROCON0% - NF REFERENTE AO ORCAMENTO: 23381SOLICITANTE: DANIEL JUNIOR.VALOR APROXIMADO DOS TRIBUTOS: R$661,30(34,00%). FONTE: IBPT</t>
  </si>
  <si>
    <t>ADT-022329</t>
  </si>
  <si>
    <t xml:space="preserve"> CARTÃO FLASH FINAL 7429  - USO DE DANIEL JUNIOR - REFERENTE A UM ABASTECIMENTO DE ETANOL - NF - 022.329</t>
  </si>
  <si>
    <t>31945</t>
  </si>
  <si>
    <t>AUTO POSTO MORRO AZUL DE ITATIBA LTDA</t>
  </si>
  <si>
    <t>7.1.11</t>
  </si>
  <si>
    <t>LICENCIAMENTO / DPVAT</t>
  </si>
  <si>
    <t>7.1.11 LICENCIAMENTO / DPVAT</t>
  </si>
  <si>
    <t>RSE</t>
  </si>
  <si>
    <t>LICENC.2026 GBL8H44</t>
  </si>
  <si>
    <t xml:space="preserve"> HUGO - LICENCIAMENTO 2026 - GBL8H44 - RENAVAM 01281034034</t>
  </si>
  <si>
    <t>25777</t>
  </si>
  <si>
    <t>SECRETARIA DA FAZENDA SAO PAULO</t>
  </si>
  <si>
    <t>4.08.12 DESPESA COM LICENCIAMENTO / DPVAT</t>
  </si>
  <si>
    <t>CF7429122025</t>
  </si>
  <si>
    <t xml:space="preserve"> CARTAO FLASH FINAL 7429 - USO DANIEL JUNIOR - DESPESA DEDUTIVEL REF A UM ABASTECIMENTO DE CAMINHÃO, 5 ABASTECIMENTO DE CARRO, E UMA COMPRA DE FILTRO / DESPESA INDEDUTIVEL REF A  UMA TAMPA DE TANQUE DE CAMINHÃO, UMA LAVAGEM DE PRENSA, A UM CONSERTO DE PNEUS E A 41 UBERS_x000D_
</t>
  </si>
  <si>
    <t>1.7.1.4</t>
  </si>
  <si>
    <t>ARCELOR - PIRACICABA/SP</t>
  </si>
  <si>
    <t>1.7.1.4 ARCELOR - PIRACICABA/SP</t>
  </si>
  <si>
    <t>1.7.1.4.2</t>
  </si>
  <si>
    <t>PHH0049</t>
  </si>
  <si>
    <t>1.7.1.4.2 PHH0049</t>
  </si>
  <si>
    <t>NFE-101266</t>
  </si>
  <si>
    <t xml:space="preserve"> CRISTINA - NFE. 101.266 VENC. 25/06/2025 VIA CARTÃO FINAL 2938 SILVANO - REF. A COMPRA DE TRIANGULO PARA SINALIZAÇÃO DA PRENSA MOVEL PHH0049 PRUDENTE -  - ;VALOR APROXIMADO DOS TRIBUTOS R$ 6.86.  34.30% FONTE IBPT.</t>
  </si>
  <si>
    <t>X22665</t>
  </si>
  <si>
    <t xml:space="preserve"> CRISTINA - S/NOTA VENC. 05/06/25 VIA DEPÓSITO, SANTANDER AG 0041 CC 01091503-8 - REF. AO ALUGUEL DO 02 QUARTO, SENDO_x000D_PARA O COLABORADOR MARCOS ANTONIO E SILVANO, COLABORADORES OPERANDO A PRENSA, NA ARCELOR EM PIRACICABA.</t>
  </si>
  <si>
    <t>25694</t>
  </si>
  <si>
    <t>MATEUS PACHECO</t>
  </si>
  <si>
    <t>7.3.9</t>
  </si>
  <si>
    <t>SEGURANÇA DO TRABALHO</t>
  </si>
  <si>
    <t>7.3.9 SEGURANÇA DO TRABALHO</t>
  </si>
  <si>
    <t>NFE-8041</t>
  </si>
  <si>
    <t xml:space="preserve"> CRISTINA - NFE. 8041 VENC 15/06/25 VIA CARTÃO FINAL 2938 SILVANO - REF. A COMPRA DE EPIS BOTA Nº42 E PROTETOR AUDITIVO EM PIRACICABA.</t>
  </si>
  <si>
    <t>30808</t>
  </si>
  <si>
    <t>J E TABAI COMERCIO DE EPI LTDA</t>
  </si>
  <si>
    <t>4.02.07 CUSTO COM SEGURANÇA DO TRABALHO</t>
  </si>
  <si>
    <t>4.02 CUSTO DE MÃO-DE-OBRA DIRETA</t>
  </si>
  <si>
    <t>NFSE-487</t>
  </si>
  <si>
    <t xml:space="preserve"> CRISTINA NFS. 487 VENC. 05/07/2025 VIA BOL. - REF. A TROCA REPARO PISTAO 600,00 - SUPORTE DO SENSOR DO PRENSOR 150,00 -_x000D_
ALAVANCA DA VALVULA DE TRANSFERENCIA DE PRESSAO 150,00 - LAVAGEM DA PRENSA E CAVALINHO 1.700,00 - MAO OBRA 350,00</t>
  </si>
  <si>
    <t>30411</t>
  </si>
  <si>
    <t>LIDER HIDRAULICA PIRACICABA LTDA ME</t>
  </si>
  <si>
    <t>7.3.10</t>
  </si>
  <si>
    <t>TRANSPORTE DE COLABORADORES</t>
  </si>
  <si>
    <t>7.3.10 TRANSPORTE DE COLABORADORES</t>
  </si>
  <si>
    <t>X 22978</t>
  </si>
  <si>
    <t xml:space="preserve"> REFERENTE PAGAMENTO SEMANAL NEGOCIADO COM UBER PARA LEVAR O OPERADOR DE PIRACICABA (CASA) ATÉ A SIDERURGIA DE IRACEMAPOLIS/ARCELOR. NÓS_x000D_
TINHAMOS CONTRATO NA USINA DE PIRACICABA, O QUAL FOI ENCERRADO, E MOBILIZADA A PRENSA PARA IRACEMAPOLIS, OPERADORES NÃO POSSUEM CARRO DA_x000D_
EMPRESA, ASSIM NEGOCIAMOS COM AUTORIZAÇÃO DO MARCONDES ESSA FORMA DE TRANSPORTE. PRIMEIRO PAGAMENTO SERÁ POR FORA, E ESTAREMOS ESTUDANDO_x000D_
UMA FORMA DE LEGALIZA-LO._x000D_</t>
  </si>
  <si>
    <t>30865</t>
  </si>
  <si>
    <t>VALTER ANTONIO SAMPROGNA</t>
  </si>
  <si>
    <t>4.02.09 CUSTO COM TRANSPORTE DE COLABORADORES</t>
  </si>
  <si>
    <t>7.1.16</t>
  </si>
  <si>
    <t>SERVIÇOS DE TERCEIROS</t>
  </si>
  <si>
    <t>7.1.16 SERVIÇOS DE TERCEIROS</t>
  </si>
  <si>
    <t>NFSE-81</t>
  </si>
  <si>
    <t>REUNIÃO DE SEGURANÇA Cristina - Referente a reunião de segurança e auditoria na ArcelorMittal Piracicaba. NF 81 e pagamento via Pix para 25/06/2025_x000D_</t>
  </si>
  <si>
    <t>30702</t>
  </si>
  <si>
    <t>ABT SOLAR SOLUCOES ENERGETICAS LTDA</t>
  </si>
  <si>
    <t>4.04.19 DESPESA COM SERVIÇOS DE TERCEIROS</t>
  </si>
  <si>
    <t>NFE-17544</t>
  </si>
  <si>
    <t xml:space="preserve"> CRISTINA - NFE. 17.544 VENC. 25/06/25 - REF. A COMPRA DE 03 MANGUEIRAS ALTA PRESSÃO 750MM C/TERMINAI, USADO NA PONTA DA LANÇA P/PRENSA MOVEL PHH0049 PIRACICABA. -  - ORDEM DE COMPRA 22937 - ORCAMENTO 102/2025 - VALE 17347 - VALOR APROXIMADO DOS TRIBUTOS : R$ 147,96 FEDERAL E R$ 0,00 ESTADUAL - FONTE IBPT/FECOMERCIO SP</t>
  </si>
  <si>
    <t>30441</t>
  </si>
  <si>
    <t>USIMANG COMERCIO E IMPORTADORA DE MANG. E CONEXOES LTDA -EPP</t>
  </si>
  <si>
    <t>00001636</t>
  </si>
  <si>
    <t>NFE-17562</t>
  </si>
  <si>
    <t xml:space="preserve"> CRISTINA - NFE. 17.562 VENC. 05/07/25 VIA BOL. - REF A COMPRA DE MANGUEIRA DE ALTA PRESSÃO R15 - 20 PARA A PRENSA MOVEL PHH0049 - PIRACICABA -  - ORDEM DE COMPRA 23029 - ORCAMENTO 105/2025 - VALE 17357  - VALOR APROXIMADO DOS TRIBUTOS : R$ 327,69 FEDERAL E R$ 0,00 ESTADUAL - FONTE IBPT/FECOMERCIO SP</t>
  </si>
  <si>
    <t>NFE-17563</t>
  </si>
  <si>
    <t xml:space="preserve"> CRISTINA - NFE. 17.563 VENC. 05/07/25 VIA BOL. - REF A COMPRA DE MANGUEIRA DE ALTA PRESSÃO P/ A PRENSA MOVEL PHH0049 - PIRACICABA -  - ORDEM DE COMPRA 22937 - ORCAMENTO 107/2025 - VALE 17359  - VALOR APROXIMADO DOS TRIBUTOS : R$ 327,69 FEDERAL E R$ 0,00 ESTADUAL - FONTE IBPT/FECOMERCIO SP</t>
  </si>
  <si>
    <t>00001801</t>
  </si>
  <si>
    <t>NFE-17578</t>
  </si>
  <si>
    <t xml:space="preserve"> CRISTINA - NFE. 17.578 VENC. 15/07/25 VIA BOL. -  REF A COMPRA DE MANGUEIRA DE ALTA PRESSÃO 1030MM E ABRAÇADEIRAS P/ A PRENSA MOVEL PHH0049 - PIRACICABA -  - ORDEM DE COMPRA 23167 - ORCAMENTO 111/2025 - VALE 17374 - VALOR APROXIMADO DOS TRIBUTOS : R$ 167,36 FEDERAL E R$ 2,88 ESTADUAL - FONTE IBPT/FECOMERCIO SP</t>
  </si>
  <si>
    <t>497814/496503/1094746/493141/490942</t>
  </si>
  <si>
    <t xml:space="preserve">CTE'S VINCULADOS CRISTINA - CTE. 497.814 VENC. 15/08/25 VIA BOL. - FRETE REF. A COMPRA DE ANEIS DE VEDAÇÃO P/ A MAQUINA EHL0014, PRUDENTE._x000D_
CRISTINA - CTE 496.503 VENC. 05/08/25 VIA BOL. - FRETE REF. AO TRANSPORTE DE VALVULA DIRECIONAL P/ O CAMINHÃO GDG8E75,_x000D_PRUDENTE._x000D_
CRISTINA - CTE 1.094.746 VENC. 05/08/25 VIA BOL. - FRETE REF. A COMPRA DE ELEMENTO FILTRANTE P/ A PRENSA PHH0049,_x000D_PIRACICABA._x000D_
CRISTINA - CTE. 493.141 VENC 05/08/25 VIA BOL. - FRETE REF. A COMPRA DE FILTROS E ELEMENTO P/ OS CAMINHÕES BKW9I57 E_x000D_BTZ8D36 EM DOURADOS E SUPORTE DA ALAVANCA P/ O CAMINHÃO BZG6A91 EM PRUDENTE._x000D_
CRISTINA - CTE. 490.942 VENC. VIA BOL - FRETE REF. A ENTREGA DE FILTRO COM CONTROLE E ELEMENTO FILTRANTE PARA O_x000D_CAMINHÃO GARRA ROLLON BZL7H95 E FILTRO DE AR P/ O CAMINHÃO ROLLON EWU6A86 - PRUDENTE._x000D_
_x000D_
</t>
  </si>
  <si>
    <t>28897</t>
  </si>
  <si>
    <t>TRANSPORTE ALTERNATIVO LTDA ME</t>
  </si>
  <si>
    <t>NFSE-3731</t>
  </si>
  <si>
    <t xml:space="preserve"> - CRISTINA - NFS. 3.731 VENC. 15/07/25 VIA BOL. - REF. AOS SERVIÇOS DE BORRACHARIA PRESTADOS EM PIRACICABA:_x000D_EWU6A79 - 1 CONSERTO 60,00_x000D_
EWU6A79 - 1 BICO(SOMADO NO CONSERTO) 25,00_x000D_EWU6A79 - 1 MONTAGEM / DESMONTAGEM 40,00_x000D_EWU6A79 - 1 SOCORRO 200,00_x000D_
PHH0049 - 1 TROCA 40,00_x000D_
PHH0049 - 1 PNEU RESOLADO 1.400,00</t>
  </si>
  <si>
    <t>23472</t>
  </si>
  <si>
    <t>COSTA &amp; COSTA COMERCIO E SERVICOS DE BORRACHARIA</t>
  </si>
  <si>
    <t>X23257</t>
  </si>
  <si>
    <t xml:space="preserve"> CRISTINA - S/NOTA VENC. 05/07/25 VIA DEPÓSITO, SANTANDER AG 0041 CC 01091503-8 - REF. AO ALUGUEL DE 1 QUARTO, SENDO_x000D_PARA O COLABORADOR MARCOS ANTONIO, COLABORADOR OPERANDO A PRENSA, NA ARCELOR EM PIRACICABA.</t>
  </si>
  <si>
    <t>X OC23362</t>
  </si>
  <si>
    <t xml:space="preserve">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</t>
  </si>
  <si>
    <t>X OC23493</t>
  </si>
  <si>
    <t xml:space="preserve">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</t>
  </si>
  <si>
    <t>CTE-1094746</t>
  </si>
  <si>
    <t>NFE-9470</t>
  </si>
  <si>
    <t xml:space="preserve"> CRISTINA - NFE. 9.470 VENC. 17/08/25 - REF. A COMPRA DE ELEMENTO FILTRO AR P/ A PRENSA MOVEL PHH0049, PIRACICABA -  - DADOS BANCARIOS :LT;BR /GT;BRADESCO LT;BR /GT;AG 2152-0LT;BR /GT;C/C 36304-9LT;BR /GT;CNPJ 40.105.250/0001-00 ( PIX)LT;BR /GT;LT;BR /GT;TRIBUTOS APROXIMADOS: R$ 788,50 (FEDERAL) E R$ 711,43 (ESTADUAL). FONTE: IBPT CAF7DDLT;BR /GT;OC: WHATS SITELT;BR /GT;N PEDIDO: 8143</t>
  </si>
  <si>
    <t>30707</t>
  </si>
  <si>
    <t>HIDROVEDA TECNOLOGIA LTDA</t>
  </si>
  <si>
    <t>X OC 23779</t>
  </si>
  <si>
    <t xml:space="preserve"> REFERENTE PAGAMENTO SEMANAL NEGOCIADO COM UBER PARA LEVAR O OPERADOR DE PIRACICABA (CASA) ATÉ A SIDERURGIA DE IRACEMAPOLIS/ARCELOR. NÓS_x000D_
TINHAMOS CONTRATO NA USINA DE PIRACICABA, O QUAL FOI ENCERRADO, E MOBILIZADA A PRENSA PARA IRACEMAPOLIS, OPERADORES NÃO POSSUEM CARRO DA_x000D_
EMPRESA, ASSIM NEGOCIAMOS COM AUTORIZAÇÃO DO MARCONDES ESSA FORMA DE TRANSPORTE. PRIMEIRO PAGAMENTO SERÁ POR FORA, E ESTAREMOS ESTUDANDO_x000D_
UMA FORMA DE LEGALIZA-LO._x000D_
FICOU ALINHADO PARA FICAR DENTRO DAS NORMAS DA EMPRESA:_x000D_
14/07 AO DIA 18/07 = R$ 600,00_x000D_
21/07 AO DIA 25/07 = R$ 600,00_x000D_
R$ 1.200,00 RECEBIMENTO 25/07</t>
  </si>
  <si>
    <t>X OC 23947</t>
  </si>
  <si>
    <t xml:space="preserve">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
FICOU ALINHADO PARA FICAR DENTRO DAS NORMAS DA EMPRESA:_x000D_
28/07 A 01/08 = R$ 600,00_x000D_
_x000D_
R$ 600,00 RECEBIMENTO 05/08</t>
  </si>
  <si>
    <t>X23958</t>
  </si>
  <si>
    <t xml:space="preserve"> CRISTINA - S/NOTA VENC. 05/08/25 VIA DEPÓSITO, SANTANDER AG 0041 CC 01091503-8 - REF. AO ALUGUEL DE 1 QUARTO, SENDO_x000D_PARA O COLABORADOR MARCOS ANTONIO, COLABORADOR OPERANDO A PRENSA, NA ARCELOR EM PIRACICABA.</t>
  </si>
  <si>
    <t>NFSE-3763</t>
  </si>
  <si>
    <t xml:space="preserve"> CRISTINA - NFS. 3.763 VENC. 15/08/25 VIA BOL. - REF. AOS SERVIÇOS DE BORRACHARIA NA PRENSA MOVEL PHH0049 PIRACICABA _x000D_
 - 2 PNEUS RESOLADOS 295 80 225 - DOT = 4023 - DOT = 2420 2.800,00 _x000D_
 - SOCORRO EM IRACEMAPOLLIS 200,00 _x000D_
 - 1 BICO PROLONGADO - 1 MONTAGEM / DESMONTAGEM 60,00 _x000D_
 - SOCORRO EM IRACEMAPOLLIS 200,00 _x000D_
 - 3 CONSERTO 180,00 _x000D_
 - SOCORRO EM IRACEMAPOLLIS 200,00</t>
  </si>
  <si>
    <t>NFE-8750</t>
  </si>
  <si>
    <t xml:space="preserve"> CRISTINA - NFE. 8.750 VENC. 03/09/25 VIA BOL. - REF. A COMPRA DE 01 BOTINA N°42 CA 48582 P/JULIO ENTRAR NA ARCELOR DE IRACEMAPOLIS - REFERENTE AO PEDIDO: 25/002925 DOCUMENTO EMITIDO POR ME OU EPP OPTANTE PELO SIMPLES NACIONAL. NAO GERA DIREITO A CREDITO FISCAL DE IPI. -</t>
  </si>
  <si>
    <t>NFE-11952</t>
  </si>
  <si>
    <t xml:space="preserve"> CRISTINA - NFE. 11.952 VENC. 13/09/25 VIA CARTÃO SILVANO FINAL 2938 - REF. A COMPRA DE CONECTORES E UNIÃO P/ MANUTENÇÃO NA MAQUINA PHH0049, PIRACICABA - DOC. EMITIDO POR ME OU EPP OPTANTE PELO SIMPLES NACIONAL. NAO GERA DIREITO A CREDITO FISCAL DE IPI. ESTABELECIMENTO IMPEDIDO DE RECOLHER O ICMS/ISS PELO SIMPLES NACIONAL, NOS TERMOS DO 1 DO ART. 20 DA LEI COMPLEMENTAR 123, DE 2006. - TRIB. APROX.: R$ 53,35 FEDERAL: R$ 23,47 ESTADUAL: 29,88 MUNICIPAL: 0,00 FONTE: IBPT/FECOMERCIO (SP)25.1.E (8AFAC7)</t>
  </si>
  <si>
    <t>30645</t>
  </si>
  <si>
    <t>CB FERREIRA COMERCIAL EIRELI EPP</t>
  </si>
  <si>
    <t>X-24137</t>
  </si>
  <si>
    <t xml:space="preserve"> CRISTINA - S/N VENC.11/08/25 VIA DEPOSITO - REF. A 1 CALIBRAGEM DE PNEU 84,00 - 2 MONTAGEM / DESMONTAGEM 140,00 - 2 TROCA DE BICO - 1 SOCORRO - NA PRENSA PHH0049, PIRACICABA</t>
  </si>
  <si>
    <t>31136</t>
  </si>
  <si>
    <t>LETICIA FERNANDA CASTELLARI</t>
  </si>
  <si>
    <t>NFSE-495</t>
  </si>
  <si>
    <t xml:space="preserve"> - CRISTINA - NFS. 495 VENC. 05/09/25 VIA BOL. - REF. A LAVAGEM NO CAVALINHO E CARRETA 1.500,00 - 02 ESCADAS PLATAFORMA_x000D_PRENSA 1.850,00 - SOLDA E ALINHAMENTO GUARDA CORPO 380,00 - PROTEÇÃO DA LANTERNA 450,00 - SOLDA DA TAMPA SUPERIOR_x000D_LADO ESQ. 900,00 - PINTURA ESCADAS E PINTURA NA PROTEÇÃO DA LANTERNA 300,00 - NA PRENSA PHH0049, PIRACICABA</t>
  </si>
  <si>
    <t>NFE-9780</t>
  </si>
  <si>
    <t xml:space="preserve"> CRISTINA - NFE. 9.780 VENC. 11/09/25 VIA PIX - REF. A COMPRA DE ELEMENTO RETORNO 0660 P/ A MAQUINA PHH0049, PIRACICABA -  - DADOS BANCARIOS :LT;BR /GT;BRADESCO LT;BR /GT;AG 2152-0LT;BR /GT;C/C 36304-9LT;BR /GT;CNPJ 40.105.250/0001-00 ( PIX)LT;BR /GT;LT;BR /GT;TRIBUTOS APROXIMADOS: R$ 922,69 (FEDERAL) E R$ 1.119,92 (ESTADUAL). FONTE: IBPT 81AAFFLT;BR /GT;OC: WHATS SITELT;BR /GT;N PEDIDO: 9238</t>
  </si>
  <si>
    <t>X OC 24249</t>
  </si>
  <si>
    <t xml:space="preserve">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
Ficou alinhado para ficar dentro das normas da empresa:_x000D_
PARA REGISTRO DE PAGAMENTO:_x000D_
_x000D_
04/08 R$ 120,00_x000D_
_x000D_
05/08 AO 08/08 R$ 160,00 TOTAL R$ 640,00_x000D_
_x000D_
09/08 R$ 60,00_x000D_
_x000D_
11/08 AO 15/08 R$ 160,00 TOTAL R$ 800,00_x000D_
_x000D_
R$ 1.620,00 PAGAMENTO 15/08</t>
  </si>
  <si>
    <t>CTE498449/1108142</t>
  </si>
  <si>
    <t xml:space="preserve"> CRISTINA - CTE. 498.449 VENC. 15/09/25 VIA BOL. - FRETE REF. A COMPRA DE TUBO HIDRAULICO P/ O CAMINHÃO NOVO (SEM PLACA)_x000D_E REPARO GIRO P/ O CAMINHÃO NRQ7727, PRUDENTE / CRISTINA - CTE. 1.108.142 VENC. 02/09/25 VIA BOL. - FRETE REF. A COMPRA DE ELEMENTO RETORNO 0660 E 0850 P/ AS MAQUINAS_x000D_PHT0025, PRUDENTE E PHH0049, PIRACICABA</t>
  </si>
  <si>
    <t>25402</t>
  </si>
  <si>
    <t>TRANSPORTES ALTERNATIVOS EIRELI-ME</t>
  </si>
  <si>
    <t>NFSE-4177</t>
  </si>
  <si>
    <t>PAGTO REF SERVIÇOS PRESTADOS REF IMPRESSÃO DE CHECKLIST DA PRENSA PHH0049, NF 4177 - PAGTO VIA PIX PARA 05/09/25._x000D_</t>
  </si>
  <si>
    <t>24258</t>
  </si>
  <si>
    <t>CENTRAL COPIAS LTDA ME</t>
  </si>
  <si>
    <t>7.1.3</t>
  </si>
  <si>
    <t>LOCAÇÃO DE EQUIPAMENTOS E FERRAMENTAS</t>
  </si>
  <si>
    <t>7.1.3 LOCAÇÃO DE EQUIPAMENTOS E FERRAMENTAS</t>
  </si>
  <si>
    <t>OC24389</t>
  </si>
  <si>
    <t>SERVIÇO DE CAMINHÃO MUNCK - REF. AO SERVIÇOS DE CAMINHÃO MUNCK P/ CARREGAR O PISTÃO DA PHH0049 QUE VAI P/ PIRACICABA  OS 9139</t>
  </si>
  <si>
    <t>697</t>
  </si>
  <si>
    <t>RICARDO S MARCELINO TRANSPORTES E LOCACAO MUNCK</t>
  </si>
  <si>
    <t>4.03.04 CUSTO COM LOCAÇÃO DE EQUIPAMENTOS E FERRAMENTAS</t>
  </si>
  <si>
    <t>X OC 24419</t>
  </si>
  <si>
    <t xml:space="preserve"> CRISTINA -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
FICOU ALINHADO PARA FICAR DENTRO DAS NORMAS DA EMPRESA:_x000D_
PARA REGISTRO DE PAGAMENTO:_x000D_
_x000D_
16/08 R$ 120,00_x000D_
_x000D_
18/08 AO 20/08 R$ 160,00 TOTAL R$ 480,00_x000D_
_x000D_
21/08 R$ 60,00_x000D_
_x000D_
R$ 660,00 PAGAMENTO 25/08</t>
  </si>
  <si>
    <t>NFE-153573</t>
  </si>
  <si>
    <t xml:space="preserve"> CRISTINA - NFE. 153.573 VENC. 25/09/25 VIA TRANSF. - REF. A COMPRA DE MANGUEIRA E SEUS COMPLEMENTOS P/ A MAQUINA PHH0049, PIRACICABA -  - PEDIDO: 533136  PLACA:PHH0049 RETIRADO PELO DANIEL VOCE PAGOU APROXIMADAMENTE:  29,32 DE TRIBUTOS FEDERAIS  34,81 DE TRIBUTOS ESTADUAIS  0,00 DE TRIBUTOS MUNICIPAIS  FONTE: IBPT  - CHAVE: CAF7DD</t>
  </si>
  <si>
    <t>NFSE-9</t>
  </si>
  <si>
    <t xml:space="preserve"> - CRISTINA - NFS. 9 VENC. 28/08/25 VIA PIX - REF. AO SERVIÇO DE MUNCK P/ RETIRADA DO PISTAO DA MAQUINA PHH0049 NO SABADO_x000D_DIA 23/08 E NO DIA 26/08 TIROU E COLOCOU NA PRENSA PHH0049, PIRACICABA</t>
  </si>
  <si>
    <t>31221</t>
  </si>
  <si>
    <t>JULIANO AUGUSTO CEZAR ZIPPEL</t>
  </si>
  <si>
    <t>NFE-14707</t>
  </si>
  <si>
    <t xml:space="preserve"> CRISTINA - NFE. 14.707 VENC. 15/09/25 VIA BOL. - REF. A COMPRA DE 11 BALDES DE OLEO AW68 20LT P/ A MAQUINA PHH0049, PIRACICABA -  -</t>
  </si>
  <si>
    <t>30746</t>
  </si>
  <si>
    <t>FABRICIO ANTONIO MONTEBELO CARDOSO</t>
  </si>
  <si>
    <t>NFSE-496</t>
  </si>
  <si>
    <t xml:space="preserve"> - CRISTINA - NFS. 496 VENC. 15/09/25 VIA BOL. - REF. A RETIRADA PISTÃO DO PRENSOR, SOLDA DA HASTE E ACABAMENTO, TROCAR_x000D_REPARO DA HASTES, TROCA PINO 40MM KEIJO, COMPLETAR OLEO, RETIRADA DO KEIJO P/ TROCAR REPARO DO PISTAO, NIPLE DO_x000D_PISTÃO DA PATOLA DO LADO ESQUERDO DIANTEIRO E MAO DE OBRA NA MAQUINA PHH0049, PIRACICABA</t>
  </si>
  <si>
    <t>NFE-868416</t>
  </si>
  <si>
    <t xml:space="preserve"> CRISTINA - NFE. 868.416 VENC. 01/10/25 VIA BOL. - REF. A COMPRA DE OLEO AW68 200L P/ A  MAQUINA PHH0049, PIRACICABA -  - DECLARO QUE RECEBI TODAS AS MERCADORIAS EM PERFEITO ESTADO.OLEOS LUBRIFICANTES SAO RECICLAVEIS. NAO DESCARTE EM SOLOS, AGUA OU ESGOTO. ENTREGUE EM PONTO DE COLETA AUTORIZADA CONFORME RESOLUCAO CONAMA. DECLARAMOS QUE O PRODUTO ESTA DEVIDAMENTE ACONDICIONADO PARA SUPORTAR OS RISCOS NORMAIS DE CARREGAMENTO, DESCARREGAMENTO E TRANSPORTE CONF. REGULAMENTACAO EM VIGOR. DECRETO FEDERAL 96044 DE 18/05/88.</t>
  </si>
  <si>
    <t>30659</t>
  </si>
  <si>
    <t>PROMAX PRODUTOS MAXIMOS S.A. INDUSTRIA E COMERCIO</t>
  </si>
  <si>
    <t>X24629</t>
  </si>
  <si>
    <t xml:space="preserve"> CRISTINA - S/N VENC. 05/09/25 VIA DEPOSITO, SANTANDER SANTANDER AG 0041 CC 01091503-8 - REF. AO ALUGUEL DE 1 QUARTO,_x000D_SENDO PARA O COLABORADOR MARCOS ANTONIO, COLABORADOR OPERANDO A PRENSA, NA ARCELOR EM PIRACICABA.</t>
  </si>
  <si>
    <t>NFE-46336</t>
  </si>
  <si>
    <t xml:space="preserve"> CRISTINA - NFE. 46.336 VENC. 02/09/25 VIA PIX - REF. A COMPRA DE 01 CLIMATIZADOR P/PRESA MOVEL PHH0049 PIRACICABA. -  - ** IMPOSTO RECOLHIDO P/SUBSTITUICAO TRIBUTARIA **;I  -DOCUMENTO EMITIDO POR ME OU EPP OPTANTE PELO SIMPLES NACIONAL.;II -NAO GERA DIREITO A CREDITO FISCAL DE IPI.;</t>
  </si>
  <si>
    <t>22954</t>
  </si>
  <si>
    <t>OSMIR ACESSORIOS EIRELI</t>
  </si>
  <si>
    <t>NFSE-320</t>
  </si>
  <si>
    <t xml:space="preserve"> - CRISTINA - NFS. 320 VENC. 02/09/2025 VIA PIX - REF. AO SERVIÇO DE INSTALAÇÃO DE UM CLIMATIZADOR NA PRESA MOVEL PHH0049_x000D_PIRACICABA</t>
  </si>
  <si>
    <t>NFSE-3805</t>
  </si>
  <si>
    <t xml:space="preserve"> - CRISTINA - NFS. 3.805 VENC. 15/09/25 VIA BOL. - REF._x000D_
PHH0049 - 3 CONSERTOS - 3 MANCHÃO - 2 MONTAGEM / DESMONTAGEM 180,00_x000D_
EWU6A79 - 1 CONSERTO RAC - 1 MANCHÃO - 1 SOCORRO EM IRACEMAPOLIS - COMPRA 2 PNEUS RESOLADO 295.80.225 - KM 202.237_x000D_3060,00_x000D_
EWU6A79 - 1 VULCANIZAÇÃO - MONTAGEM / DESMONTAGEM 350,00_x000D_
PIRACICABA</t>
  </si>
  <si>
    <t>NFSE-501</t>
  </si>
  <si>
    <t xml:space="preserve"> - CRISTINA - NFS. 501 VENC. 15/09/25 VIA BOL. - REF. AO REFORÇO DO RADIADOR DE OLEO, 10 LITROS DE OLEO 90, COLOCAR OLEO 68_x000D_HIDRAULICO NO TANQUE, COLOCAR OLEO NA CAIXA DE GIRO, TUBO DE SILICONE P/ AR CONDICIONADO NA PRENSA PHH0049,_x000D_PIRACICABA</t>
  </si>
  <si>
    <t>X OC 24764</t>
  </si>
  <si>
    <t xml:space="preserve"> CRISTINA -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
Ficou alinhado para ficar dentro das normas da empresa:_x000D_
PARA REGISTRO DE PAGAMENTO:_x000D_
27/08 - R$ 120,00_x000D_
28/08 - R$ 160,00_x000D_
29/08 - R$ 120,00_x000D_
01/09 - R$ 60,00_x000D_
03/09 - R$ 60,00_x000D_
04/09 - R$ 120,00_x000D_
05/09 - R$ 120,00_x000D_
TOTAL R$ 760,00 PAGAMENTO 05/08.</t>
  </si>
  <si>
    <t>CTE506643/507503/1121305</t>
  </si>
  <si>
    <t xml:space="preserve"> CRISTINA - CTE. 506.643 VENC. - FRETE REF. A COMPRA DE VALVULA DIRECIONAL P/ O CAMINHÃO SUY4F83, PRUDENTE/ CRISTINA - CTE. 507.503 VENC. VIA BOL. - FRETE REF. A COMPRA DE DOIS SUPORTES DA ALAVANCA P/ O CAMINHÃO BKW9I57,_x000D_PRUDENTE/ CRISTINA - CTE. 1.121.305 VENC.VIA BOL. - FRETE REF. A COMPRA DE ELEMENTO PRESSAO P/ A MAQUINA PHH0029, PRUDENTE</t>
  </si>
  <si>
    <t>NFSE-220</t>
  </si>
  <si>
    <t xml:space="preserve"> - CRISTINA - NFS. 220 VENC. 15/09/25 VIA BOL. - REF. A MÃO DE OBRA DA VISITA TECNICA P/ REVISÃO DE 2.000 HORAS DA MAQUINA_x000D_PHH0049, PIRACICABA</t>
  </si>
  <si>
    <t>22562</t>
  </si>
  <si>
    <t>HIDROAMERICA LTDA</t>
  </si>
  <si>
    <t>24923</t>
  </si>
  <si>
    <t xml:space="preserve"> CRISTINA - S/N VENC. 15/09/25 VIA BOL. - REEMBOLSO REF. AO DESLOCAMENTO IDA E VOLTA 365,4KM (R$1,96), 6 PEDAGIOS IDA E_x000D_VOLTA, ALIMENTAÇÃO E TRAVA ROSCA P/ A REVISÃO DE 2.000HRS DA PRENSA PHH0049, PIRACICABA</t>
  </si>
  <si>
    <t>NFE-10185</t>
  </si>
  <si>
    <t xml:space="preserve"> CRISTINA - NFE. 10.185 VENC. 25/09/25 VIA PIX - REF. A COMPRA DE ELEMENTO PRESSÃO HYDAC 0240 D 010 ON P/ A MAQUINA PHH0049, PRUDENTE -  - DADOS BANCARIOS :LT;BR /GT;BRADESCO LT;BR /GT;AG 2152-0LT;BR /GT;C/C 36304-9LT;BR /GT;CNPJ 40.105.250/0001-00 ( PIX)LT;BR /GT;LT;BR /GT;TRIBUTOS APROXIMADOS: R$ 238,63 (FEDERAL) E R$ 289,64 (ESTADUAL). FONTE: IBPT 222B52LT;BR /GT;OC: WHATS SITELT;BR /GT;N PEDIDO: 9236</t>
  </si>
  <si>
    <t>X24963</t>
  </si>
  <si>
    <t xml:space="preserve"> CRISTINA - S/N VENC. 15/09/25 VIA DEPOSITO, SANTANDER SANTANDER AG 0041 CC 01091503-8 - REF. AO ALUGUEL DE 1 QUARTO, DO_x000D_DIA 04/08 AO DIA 29/08, P/ O COLABORADOR SILVANO, QUE ESTAVA OPERANDO A PRENSA PHH0049, NA ARCELOR EM PIRACICABA</t>
  </si>
  <si>
    <t>X OC 25091</t>
  </si>
  <si>
    <t xml:space="preserve"> CRISTINA - REFERENTE PAGAMENTO SEMANAL NEGOCIADO COM UBER PARA LEVAR O OPERADOR DE PIRACICABA (CASA) ATÉ A SIDERURGIA DE_x000D_
IRACEMAPOLIS/ARCELOR. NÓS TINHAMOS CONTRATO NA USINA DE PIRACICABA, O QUAL FOI ENCERRADO, E MOBILIZADA A PRENSA PARA IRACEMAPOLIS, OPERADORES NÃO_x000D_
POSSUEM CARRO DA EMPRESA, ASSIM NEGOCIAMOS COM AUTORIZAÇÃO DO MARCONDES ESSA FORMA DE TRANSPORTE. PRIMEIRO PAGAMENTO SERÁ POR FORA, E_x000D_
ESTAREMOS ESTUDANDO UMA FORMA DE LEGALIZA-LO._x000D_
FICOU ALINHADO PARA FICAR DENTRO DAS NORMAS DA EMPRESA:_x000D_
PARA REGISTRO DE PAGAMENTO:_x000D_
08/09 A 12/09 - R$ 600,00_x000D_
15/09 A 19/09 - R$ 600,00_x000D_
TOTAL R$ 1.200,00 PAGAMENTO 19/09.</t>
  </si>
  <si>
    <t>NFSE-507</t>
  </si>
  <si>
    <t xml:space="preserve"> CRISTINA - NFS. 507 VENC. 05/10/25 VIA BOL. - REF. AO REAPERTO DE 4 PARAFUSOS DO PRENSOR, TROCAR ANEL DO NIPLE DO ENCANAMENTO DO COMANDO E TROCAR CONJUNTO LUBRIFICADOR NA PRENSA PHH0049, PIRACICABA</t>
  </si>
  <si>
    <t>NFE-17766</t>
  </si>
  <si>
    <t xml:space="preserve"> CRISTINA - NFE. 17.766 VENC. 05/10/25 VIA BOL. - REF. A COMPRA DE MANGUEIRA SUPER ALTA PRESSÃO 2700MM C/ TERMINAIS P/ A MAQUINA PHH0049, PIRACICABA -  - ORDEM DE COMPRA 25163 - ORCAMENTO 145/2025 - VALE 17521 - VALOR APROXIMADO DOS TRIBUTOS : R$ 259,84 FEDERAL E R$ 0,00 ESTADUAL - FONTE IBPT/FECOMERCIO SP</t>
  </si>
  <si>
    <t>NFE-97316</t>
  </si>
  <si>
    <t xml:space="preserve"> CRISTINA - NFE. 97.316 VENC. 28/10/25 VIA BOL. - REF. A COMPRA DE JUNTA ROTATIVA P/ A MAQUINA PHH0049, PIRACICABA -  - PEDIDO: 191374 - ITENS: 1  --  COD. CLI =     78065 -- END. ENTREGA: R HELENA F BORGHI N100. BAIRRO: DISTRITO INDUSTRIAL - PRESIDENTE PRUDENTE - SP - CEP: 19043-080 -- O. COMPRA: VB MARCOS --   --  COD. TRANSP.: 43146 / FONE: (18)2101-0101 --  VIA TRANSPORTE: TERRESTRE -- APROVADO VINICIUS. -- EMBALAGENS - VOLUME(S):1    -- PARA DEVOLUCOES E POLITICA DE GARANTIA DOS PRODUTOS, ACESSE NOSSO SITE: WWW.HENNINGS.COM.BR  -- PREZADO CLIENTE, UTILIZE NOSSO SITE PARA EMITIR A 2A VIA DE SUAS NOTAS FISCAIS E BOLETOS NA OPCAO 'NF / BOLETOS'. OS BOLETOS ESTARAO DISPONIVEIS A PARTIR DE 05 DIAS UTEIS APOS EMISSAO DA NOTA FISCAL.</t>
  </si>
  <si>
    <t>X-25441</t>
  </si>
  <si>
    <t>CRISTINA - S/N VENC. 05/10/25 VIA DEPOSITO, SANTANDER AG 0041 CC 01091503-8 - REF. AO ALUGUEL DE 1 QUARTO, PARA O_x000D__x000D__x000D_
COLABORADOR MARCOS ANTONIO, COLABORADOR OPERANDO A PRENSA, NA ARCELOR EM PIRACICABA</t>
  </si>
  <si>
    <t>NFE-97385</t>
  </si>
  <si>
    <t>CRISTINA - NFE. 97.385 VENC. 31/10/25 VIA BOL. - REF. A COMPRA DE JUNTAS ROTATIVAS P/ A PRENSA PHH0049 DE PIRACICABA -  - PEDIDO: 191374 - ITENS: 1  --  COD. CLI =     78065 -- END. ENTREGA: R HELENA F BORGHI N100. BAIRRO: DISTRITO INDUSTRIAL - PRESIDENTE PRUDENTE - SP - CEP: 19043-080 -- O. COMPRA: VB MARCOS --   --  COD. TRANSP.: 43146 / FONE: (18)2101-0101 --  VIA TRANSPORTE: TERRESTRE -- APROVADO VINICIUS. -- EMBALAGENS - VOLUME(S):1    -- PARA DEVOLUCOES E POLITICA DE GARANTIA DOS PRODUTOS, ACESSE NOSSO SITE: WWW.HENNINGS.COM.BR  -- PREZADO CLIENTE, UTILIZE NOSSO SITE PARA EMITIR A 2A VIA DE SUAS NOTAS FISCAIS E BOLETOS NA OPCAO 'NF / BOLETOS'. OS BOLETOS ESTARAO DISPONIVEIS A PARTIR DE 05 DIAS UTEIS APOS EMISSAO DA NOTA FISCAL.</t>
  </si>
  <si>
    <t>NFSE-3851</t>
  </si>
  <si>
    <t>CRISTINA - NFS. 3.851 VENC. 15/10/25 VIA BOL. - REF. AOS SERVIÇOS DE BORRACHARIA EM PIRACICABA:_x000D__x000D__x000D_
EWU6A79 - 1 VULCANIZAÇÃO, 1 MONTAGEM/DESMONTAGEM MAIS SOCORRO 590,00_x000D__x000D__x000D_
SQW2C15 - 1 CONSERTO, 1 MANCHÃO MAIS SOCORRO 190,00</t>
  </si>
  <si>
    <t>NFE-15181</t>
  </si>
  <si>
    <t>CRISTINA - NFE. 15.181 VENC. 05/11/25 VIA BOL. - REF. A COMPRA DE OLEO ROYAL HYDRAU AW68 200L E 20L E HEXXLUB HIDROL HD68 EXTRA 20L P/ A MAQUINA PHH0049, PIRACICABA -  -</t>
  </si>
  <si>
    <t>NFE-9696</t>
  </si>
  <si>
    <t>CRISTINA - NFE. 9.696 VENC. 15/10/25 VIA BOL. - REF. A COMPRA DE PARABRISA FRONTAL 680,00 MAIS A MÃO DE OBRA 300,00 NA PRENSA PHH0049, PIRACICABA -  - ITENS SUJEITOS AO REGIME DE SUBSTITUICAO TRIBUTARIA ART 303 DA RICMS/SP.NO VALOR DESTE DOC.(R$ 980,00),VOCE ESTA PAGANDO APROX.R$ 140,43(14,33%)DE IMP.FEDERAIS NACIONAIS,MAIS R$ 0,00(0%)DE IMP.FEDERAIS IMPORTADOS,MAIS R$ 176,40(18%)DE IMP.ESTADUAIS,MAIS R$ 0,00%(0%)DE IMP.MUNICIPAIS.VALIDADE DAS INFORMACOES DE CARGA TRIBUTARIA:30/09/2025(FONTE:IBPT)--DOCUMENTO EMITIDO POR ME OU EPP OPTANTE PELO SIMPLES NACIONAL,NAO GERA CREDITO FISCAL DE ISSQN E IPI NOS TERMOS DO ARTIGO 23 DA LC 123/2006/PARABRISA:680,00+MAO DE OBRA:300,00 CABINE PRENCA SWQ2C15 ESPELHAMENTO GERADO PELA VENDA:68425</t>
  </si>
  <si>
    <t>30606</t>
  </si>
  <si>
    <t>MONIQUE MARTINS DOMINGUES ME</t>
  </si>
  <si>
    <t>NFE-22004</t>
  </si>
  <si>
    <t>CRISTINA - NFE. 22.004 VENC. 05/11/25 VIA BOL. - REF. A COMPRA DE FILTRO HIDRAULICO P/ A PRENSA MOVEL PHH0049, PIRACICABA -  - DOC EMITIDO POR ME OU EPP OPTANTE SIMPLES NACIONAL DE ACORDO COM LC 123/2006. COD. REGIME TRIB: 1-VR. APROX. IMPOSTOS: FEDERAL: R$114,33 / ESTADUAIS: R$102,00 - FONTE IBPT - CONF. DISP. NA LEI NO 12.741/12</t>
  </si>
  <si>
    <t>30439</t>
  </si>
  <si>
    <t>VICTOR BILATTO BOMBO</t>
  </si>
  <si>
    <t>NFSE-515</t>
  </si>
  <si>
    <t>- CRISTINA - NFS. 515 VENC. 15/10/25 VIA BOL. - REF. A LAVAGEM E ENGRAXAMENTO DA CAIXA GIRO 250,00, REAPERTO DO NIPE DA_x000D_MANGUEIRA, TROCA DO NIPE, MÃO DE OBRA 350,00 E 4 DIARIAS DO BARRACÃO 400,00 NA PRENSA PHH0049, PIRACICABA</t>
  </si>
  <si>
    <t>NFSE-517</t>
  </si>
  <si>
    <t>- CRISTINA - NFE. 517 VENC. 05/11/25 VIA BOL. - REF. A TROCA DA MANGUEIRA DO COMANDO, COMPLETAR OLEO DO TANQUE 68 E MÃO_x000D_DE OBRA NO DIA 07/10 E TROCAR MOLA PNEUMATICA, TROCAR FILTRO DO OLEO DA CABINE, TROCA DO NIPE DA CABINE E MAO DE_x000D_OBRA NO DIA 14/10 NA PRENSA PHH0049, PIRACICABA</t>
  </si>
  <si>
    <t>NFE-17856</t>
  </si>
  <si>
    <t>CRISTINA - NFE. 17.856 VENC. 15/11/25 VIA BOL. - REF. A COMPRA DE MANGUEIRA SUPER ALTA PRESSÃO 2180MM COM TERMINAIS E TERMNAL PRENSADO P/ A MAQUINA PHH0049, PIRACICABA -  - ORDEM DE COMPRA 25.872 - ORCAMENTO 161/2025 - VALE 17753 - VALOR APROXIMADO DOS TRIBUTOS : R$ 513,10 FEDERAL E R$ 26,40 ESTADUAL - FONTE IBPT/FECOMERCIO SP</t>
  </si>
  <si>
    <t>NFE-10710</t>
  </si>
  <si>
    <t>CRISTINA - NFE. 10.710 VENC. 25/11/25 VIA PIX - REF. A COMPRA DE ELEMENTO PRESSÃO HYDAC 0240 D 010 ON P/ A PRENSA MOVEL PHH0049 DE PIRACICABA -  - DADOS BANCARIOS :LT;BR /GT;BRADESCO LT;BR /GT;AG 2152-0LT;BR /GT;C/C 36304-9LT;BR /GT;CNPJ 40.105.250/0001-00 ( PIX)LT;BR /GT;LT;BR /GT;TRIBUTOS APROXIMADOS: R$ 477,26 (FEDERAL) E R$ 579,27 (ESTADUAL). FONTE: IBPT 80DB15LT;BR /GT;OC: WHATS SITELT;BR /GT;N PEDIDO: 10118</t>
  </si>
  <si>
    <t>NFSE-522</t>
  </si>
  <si>
    <t>CRISTINA - NFS. 522 VENC. 15/11/2025 - REF. AOS SERVIÇOS DE TROCA DE REPARO DO PISTÃO DO KEIJO - UMA LAVAGEM -_x000D__x000D__x000D_
RETIRADA DO FILTRO DE RETORNO - TROCAR 12 LAMPADAS LANTERNA E RESERVA - ANEL PISTÃO DA GARRA - TROCA DO PINO DO KEIJO MAIS MÃO DE OBRA NA PRENSA MOVEL PHH0049, PIRACICABA</t>
  </si>
  <si>
    <t>OC26068 E OC25774</t>
  </si>
  <si>
    <t xml:space="preserve">CRISTINA - CTE 1.134.152 VENC. VIA BOL. - FRETE REF. A COMPRA DE ELEMENTO RETORNO 0660 R 020 ON P/ A PRENSA MOVEL GBL8H44 DE RESENDE_x000D__x000D__x000D_
_x000D__x000D__x000D_
_x000D__x000D__x000D_
CRISTINA - CTE. 1.140.316 VENC. VIA BOL. - FRETE REF. A COMPRA DE FILTROS HIDRAULICOS ELEMENTO PRESSAO HYDAC 0240 D 10N P/ A PRENSA MOVEL PHH0049 DE PIRACICABA_x000D__x000D__x000D_
_x000D__x000D__x000D_
_x000D__x000D__x000D_
</t>
  </si>
  <si>
    <t>X-26161</t>
  </si>
  <si>
    <t xml:space="preserve"> CRISTINA - S/N VENC. 05/11/25 VIA DEPOSITO, SANTANDER AG 0041 CC 01091503-8 - REF. AO ALUGUEL DE 1 QUARTO, PARA O_x000D_
COLABORADOR MARCOS ANTONIO, COLABORADOR OPERANDO A PRENSA, NA ARCELOR EM PIRACICABA</t>
  </si>
  <si>
    <t>NFSE-3875</t>
  </si>
  <si>
    <t xml:space="preserve"> - CRISTINA - NFS. 3.875 VENC. 17/11/25 VIA BOL. - REF A 1 CONSERTO, 1 RODIZIO E 1 CONSERTO 185,00 NO CAMINHÃO EWU6A79 MAIS 2_x000D_
RECAPAGENS 295/80 225 LISO (CADA PNEU CUSTA 680,00 MAIS RECAPAGEM POR 720,00) P/ A PRENSA PHH0049 DE PIRACICABA</t>
  </si>
  <si>
    <t>6.6.1</t>
  </si>
  <si>
    <t>FRETE DE TERCEIROS</t>
  </si>
  <si>
    <t>6.6.1 FRETE DE TERCEIROS</t>
  </si>
  <si>
    <t>RECIBO 54</t>
  </si>
  <si>
    <t xml:space="preserve"> SERVIÇO DE MUNK</t>
  </si>
  <si>
    <t>NFE-1961</t>
  </si>
  <si>
    <t xml:space="preserve"> CRISTINA - NFE. 1.961 VENC. 22/12/25 VIA BOL. - REF. A COMPA D TAMPA DO COMPACTADOR P/ A PRENSA MOVEL GBL8H44 DE RESENDE E P/ A PHH0049 DE PIRACICABA_x000D_
 - 1 KIT ENTREGAR PARA RFR ALMOXARIFADO ISMAEL - REPOSICAO SELETIVA; 1 KIT DESPACHAR AV ARGEMIRO DE PAULA COUTINHO NUMERO 618 CENTROBARRAMANSA; ; 28 DDL; - I  -DOCUMENTO EMITIDO POR ME OU EPP OPTANTE PELO SIMPLES NACIONAL.II - NAO GERA DIREITO A CREDITO FISCAL DE IPI.; VALOR APROXIMADO DOS TRIBUTOS CONFORME LEI 12.741/2012: FEDERAL R$ 200,66 - ESTADUAL R$ 572,40 FONTE: IBPT - 1 KIT ENTREGAR PARA RFR ALMOXARIFADO ISMAEL - REPOSICAO SELETIVA; 1 KIT DESPACHAR AV ARGEMIRO DE PAULA COUTINHO NUMERO 618 CENTROBARRAMANSA; ; 28 DDL; - I  -DOCUMENTO EMITIDO POR ME OU EPP OPTANTE PELO SIMPLES NACIONAL.II - NAO GERA DIREITO A CREDITO FISCAL DE IPI.; VALOR APROXIMADO DOS TRIBUTOS CONFORME LEI 12.741/2012: FEDERAL R$ 200,66 - ESTADUAL R$ 572,40 FONTE: IBPT</t>
  </si>
  <si>
    <t>31751</t>
  </si>
  <si>
    <t>NKF ACESSORIOS INDUSTRIAIS LTDA</t>
  </si>
  <si>
    <t>1.7.1.14</t>
  </si>
  <si>
    <t>ARCELOR - IRACEMAPOLIS/SP</t>
  </si>
  <si>
    <t>1.7.1.14 ARCELOR - IRACEMAPOLIS/SP</t>
  </si>
  <si>
    <t>1.7.1.14.1</t>
  </si>
  <si>
    <t>SWQ2C15 (PHH0049)</t>
  </si>
  <si>
    <t>1.7.1.14.1 SWQ2C15 (PHH0049)</t>
  </si>
  <si>
    <t>NFSE-88</t>
  </si>
  <si>
    <t xml:space="preserve"> CRISTINA - REF REUNIÃO CIPA TERCEIROS EM 28/11 E REUNIÃO DA FPS EM 27/11. NF 88 PAGTO VIA PIX PARA 05/12/25</t>
  </si>
  <si>
    <t>X26859</t>
  </si>
  <si>
    <t xml:space="preserve"> CRISTINA - S/N VENC. 05/12/25 VIA DEPOSITO, SANTANDER AG 0041 CC 01091503-8 - REF. AO ALUGUEL DE 1 QUARTO, PARA O_x000D_
COLABORADOR MARCOS ANTONIO, COLABORADOR OPERANDO A PRENSA, NA ARCELOR EM PIRACICABA</t>
  </si>
  <si>
    <t>NFSE-54</t>
  </si>
  <si>
    <t xml:space="preserve"> - CRISTINA - NFS. 54 VENC. 05/12/25 VIA PIX. - REF. AO SERVIÇO DE 1 LANTERNA TRASEIRA SCANIA 76 R$290,00 - MÃO DE OBRA P/_x000D_
TROCA DA LANTERNA R$180,00 - CONSERTO ELÉTRICO DO FUNCIONAMENTO DA MÁQUINA R$1.770,00 - SOS/DESLOCAMENTO_x000D_
R$160,00 - NA PRENSA MOVEL PHH0049, PIRACICABA</t>
  </si>
  <si>
    <t>31631</t>
  </si>
  <si>
    <t>JUNIOR CESAR BISSOLI</t>
  </si>
  <si>
    <t>NFSE-3902</t>
  </si>
  <si>
    <t xml:space="preserve"> CRISTINA - NFS. 3.902 VENC. 15/12/25 VIA BOL. - REF. A SWQ2C15 - 1 CONSERTO E 1 RECAPAGEM 295/80 1.470,00 / EWU6A79 - 1 CONSERTO 70,00 / EWU6A79 - 1 VULCANIZAÇÃO 350,00 / SWQ2C15 - 4 CONSERTOS 300,00 / EWU6A79 - 3 CONSERTOS 225,00 / PIRACICABA</t>
  </si>
  <si>
    <t>LICENC.2026 SWQ2C15</t>
  </si>
  <si>
    <t xml:space="preserve"> HUGO - LICENCIAMENTO 2026 - SWQ2C15 - RENAVAM 01451602186</t>
  </si>
  <si>
    <t>1.7.1.8</t>
  </si>
  <si>
    <t>TUPY - JOINVILLE/SC</t>
  </si>
  <si>
    <t>1.7.1.8 TUPY - JOINVILLE/SC</t>
  </si>
  <si>
    <t>1.7.1.8.2</t>
  </si>
  <si>
    <t>EHH0044</t>
  </si>
  <si>
    <t>1.7.1.8.2 EHH0044</t>
  </si>
  <si>
    <t>NFSE-4675</t>
  </si>
  <si>
    <t xml:space="preserve"> - CRISTINA - NFS. 4.675 VENC. 01/07/25 VIA PIX. - TESTES ELETRICOS NOS CHICOTES DE ALIMENTACAO E COMUNICACÃO,_x000D_DESMONTAGEM MODULO E CONSERTO PINO DE COMUNICACAO COM SELETOR DE ROTACAO MOTOR MAQUINA EHH0044 JOINVILLE_x000D_225L 9599 HRS - OS(S):4258</t>
  </si>
  <si>
    <t>30512</t>
  </si>
  <si>
    <t>EVERTON ELETRICA TRUCK LTDA</t>
  </si>
  <si>
    <t>NFE-81931</t>
  </si>
  <si>
    <t xml:space="preserve"> CRISTINA - NFE. 81.931 VENC. 15/07/2025 VIA CARTÃO FINAL 8971 CORPORATIVO - REF. A COMPRA DE BARRA LED PARA A TESOURA EHH0044 - JOINVILLE -  - TOTAL APROXIMADO DE TRIBUTOS: R$ 92,08 (35,17%)  FEDERAIS R$ 41,02 (15,67%)  ESTADUAIS R$ 51,05 (19,50%) . FONTE IBPT.LT;BR /GT;ENDERECO DE ENTREGA: RIVAEL BARRETO DA SILVA, RUA JOAO ADOLFO MULLER, N 58, BAIRRO COSTA E SILVA, JOINVILLE - SC, 89.218-590REFERENCIA NA LOJA: GS COMERCIO E INDUSTRIA DE FER .-LT;BR /GT;GSCOMERCIOEINDUSTRIADEFERLT;BR /GT;FRETE GRATISLT;BR /GT;N PEDIDO NA LOJA: 2000011975665140</t>
  </si>
  <si>
    <t>30885</t>
  </si>
  <si>
    <t>PREMIUM COMERCIAL LTDA</t>
  </si>
  <si>
    <t>NFE-1204</t>
  </si>
  <si>
    <t xml:space="preserve"> CRISTINA - NFE. 1.204 VENC. 05/07/25 VIA BOL. - REF. A COMPRA DE MANGUEIRA DE 2 METROS ALTA PRESSÃO 6 TRAMAS 1 1/4 P/MAQUINA EHH0044 TESOURA DE JOINVILLE -  - PLACA: EHH0044 FROTA: OC 23002VEICULO: ESCAVADEIRA 140LC - HYUNDAI KM:</t>
  </si>
  <si>
    <t>30434</t>
  </si>
  <si>
    <t>GRZYBOWSKI MECANICA &amp; NESPOLO USINAGEM LTDA</t>
  </si>
  <si>
    <t>NFE-120689</t>
  </si>
  <si>
    <t xml:space="preserve"> CRISTINA - NFE. 120.689 VENC: 16/07/25 VIA BOL. - REF. A COMPRA E 02 CJ DE MEIA FLANGE P/MAQUINA EHH0044 JOINVILLE -  - VAL APROX TRIBUTOS, F=13,55 (7,39%) E=16,14 (8,80%) FONTE: IBPT-SOLICITANTE: CRISTIANO-AUTORIZADO P/ SR VINICIOS- DEVOLUCAO SOMENTE COM AUTORIZACAO E APRESENTACAO DA NOTA FISCAL COM A MERCADORIA.-PEDIDO:122416-EXPEDICAO:110975-VEND.: RAFAEL-</t>
  </si>
  <si>
    <t>30400</t>
  </si>
  <si>
    <t>EXPORS COMERCIAL LTDA</t>
  </si>
  <si>
    <t>NFSE-1913</t>
  </si>
  <si>
    <t xml:space="preserve"> CRISTINA - NFS. 1.913 VENC. 05/07/2025 VIA PIX. - REF. AO DESLOCAMENTO P/PROCURAR MANGUEIRA E IR ATE A TUPY DE JOINVILLE_x000D_INSTALAR NA MAQUINA EHH0044 TESOURA.</t>
  </si>
  <si>
    <t>X-OC23082</t>
  </si>
  <si>
    <t>SERVIÇO PRESTADO DE MUNCK - DE SERVIÇO PRESTADO DE MUNCK - DESCARREGAR TESOURA EHH0044 QUE VEIO DE JOINVILLE (DIA 20/06/2025</t>
  </si>
  <si>
    <t>X-OC23083</t>
  </si>
  <si>
    <t>SERVIÇO PRESTADO DE MUNCK - PA SERVIÇO PRESTADO DE MUNCK - PARA CARREGAR A TESOURA EHH0044 QUE FOI P/JOIVILLE (DIA 18/06/2025</t>
  </si>
  <si>
    <t>7.5.9</t>
  </si>
  <si>
    <t>CONSULTORIA</t>
  </si>
  <si>
    <t>7.5.9 CONSULTORIA</t>
  </si>
  <si>
    <t>NFSE-26</t>
  </si>
  <si>
    <t>LAUDO MÁQUINAS CRISTINA - REFERENTE A Laudo Eletromecânico e Plano de Manutenção nas seguintes maquinas 1° ESCAVADEIRA HIDRAULICA (EHH0044),_x000D_
ANO DE FABRICAÇÃO:2022, MODELO: 225LC9S, MARCA: HYUNDAI, 2° MANIPULADOR DE MATERIAIS (EHL0041), ANO DE_x000D_
FABRICAÇÃO:2021, MODELO: LH 30 M LITRONIC, MARCA: LIEBHERR 3° caminhão placa EWU - 5857 e 1° RELATÓRIO DE INSTALAÇÃO DE_x000D_
DISPOSITIVOS DE SEGURANÇA NO EQUIPAMENTOS ESCAVADEIRA HIDRÁULICA MARCA HYUNDAI (EHH0044) MODELO 225LC9S ANO_x000D_
2022. NFS 26. PAGAMENTO VIA PIX PARA 15/07/2025.</t>
  </si>
  <si>
    <t>22777</t>
  </si>
  <si>
    <t>MATEUS DA SILVA PEREIRA</t>
  </si>
  <si>
    <t>4.04.02 DESPESA COM CONSULTORIA</t>
  </si>
  <si>
    <t>NFE-1553746</t>
  </si>
  <si>
    <t xml:space="preserve"> CRISTINA - NFE. 1.553.746 VENC. 15/08/25 VIA BOL. - REF. A COMPRA DE OLEO 85W140 P/ REVISÃO NA MAQUINA EHH0044, JOINVILLE -  - ICMS - RECOLHIDO POR SUBSTITUI\303\247\303\243O TRIBUT\303\241RIA, RICMS-SC/01-ANEXO 3 RICMS/SC/11-ANEXO 3 DECRETO 1.020/2008. VALOR APROXIMADO DE TRIBUTOS R$: 198,25 FEDERAL E 231,60 IMPORTADO FONTE: IBPT/EMPRESOMETRO.COM.BR CHAVE: 6A0A76 PLACA MAQUINA (EHH0044)</t>
  </si>
  <si>
    <t>30399</t>
  </si>
  <si>
    <t>DISTRIBUIDORA DE LUBRIFICANTES GRINGO LTDA</t>
  </si>
  <si>
    <t>NFE-88759</t>
  </si>
  <si>
    <t xml:space="preserve"> CRISTINA - NFE. 88.759 VENC. 08/08/25 VIA BOL. - REF. A COMPRA DE ARRUELAS P/ MANUTENÇÃO NA MAQUINA EHH0044 E TESOURA, JOINVILLE -  - IMPORTANTE   -   NAO ACEITAMOS DEVOLUCAO SEM PREVIA CONSULTA AO NOSSO DEPARTAMENTO DE VENDAS  *** CASO NAO RECEBA O BOLETO ATE A DATA DO VENCIMENTO FAVOR SOLICITAR NO FONE (47) 3433-3556 **** ***BOLETO***</t>
  </si>
  <si>
    <t>30730</t>
  </si>
  <si>
    <t>VOGA COM E REP DE CORREIAS MANGUEIRAS E ROLAMENTOS LTDA</t>
  </si>
  <si>
    <t>NFE-78047</t>
  </si>
  <si>
    <t xml:space="preserve"> CRISTINA - NFE. 78.047 VENC. 15/08/25 VIA BOL. - REF. A COMPRA DE RODIZIOS P/ O SUPORTE DE TELEVISÃO QUE ESTÁ NO REFEITORIO, PRUDENTE - REF. A COMPRA DE DISCOS P/ A MANUTENÇÃO DA TESOURA DA MAQUINA EHH0044, JOINVILLE -  - PEDIDO: 001062396 01/08/25;BC 79,23-18% 14,26;BC 203,77- SUBST. TRIBUTARIA;TELEFONE 18 39033715;SOLICITADO POR VINICIUS;; VENDEDOR : 8 VINICIUS; [ TRIB APROX R$: 46,05 FEDERAL 50,94 ESTADUAL FONTE: IBPT/FECOMERCIO RS XE67EQ ]</t>
  </si>
  <si>
    <t>NFE-3245</t>
  </si>
  <si>
    <t xml:space="preserve"> CRISTINA - NFE. 3.245 VENC. 25/08/25 VIA BOL. - REF. A COMPRA DE FILTROS P/ TROCA NA MAQUINA EHH0044 JOINVILLE. -  - IMPOSTO RECOLHIDO POR SUB.TRIB. ART.274 RICMS-SP;;PERMITE O APROVEITAMENTO DO CREDITO DE ICMS NO VALOR DE R$ 35,07;;CORRESPONDENTE A ALIQUOTA DE 3.65% NOS TERMOS DO ART.23 DA LC 128 ;;VENDEDOR:33 FILIPE;;</t>
  </si>
  <si>
    <t>23059</t>
  </si>
  <si>
    <t>CASSOLA COMERCIO DE PECAS NOVAS LTDA</t>
  </si>
  <si>
    <t>NFSE-2091</t>
  </si>
  <si>
    <t xml:space="preserve"> - CRISTINA - NFS. 2.091 VENC. 25/08/25 VIA BOL. - REF. A TROCA DE OLEO MOTOR 320,00 E OLEO MOTOR TRAÇÃO 240,00, AO_x000D_DESLOCAMENTO 140,00 E A TROCA DE FILTROS 530,00 NA MAQUINA EHH044, JOINVILLE</t>
  </si>
  <si>
    <t>6.2.2</t>
  </si>
  <si>
    <t>MATERIAIS - CORTE DE SUCATA</t>
  </si>
  <si>
    <t>6.2.2 MATERIAIS - CORTE DE SUCATA</t>
  </si>
  <si>
    <t>NFE-5377</t>
  </si>
  <si>
    <t xml:space="preserve"> CRISTINA - NFE. 5.377 VENC. 15/09/25 VIA BOL. - REF. A COMPRA DE DE GAS OXIGENIO E STARGOLD P/ USO NA TESOURA EHH0044, JOINVILLE -  - CENTRO/DEPOSITO: 2460/U949, TIPO DE ORDEM: WOR, VEICULO: 0313, VIAGEM: 976979 COND.PGTO.:M015 15 DIAS FORA MES.DECLARO QUE OS PRODUTOS PERIGOSOS ESTAO ADEQUADAMENTE CLASSIFICADOS, EMBALADOS, IDENTIFICADOS E ESTIVADOS PARA SUPORTAR OS RISCOS DAS OPERACOES DE TRANSPORTE E QUE ATENDEM AS EXIGENCIAS DA REGULAMENTACAO.    .</t>
  </si>
  <si>
    <t>28971</t>
  </si>
  <si>
    <t>WHITE MARTINS GASES IND. LTDA</t>
  </si>
  <si>
    <t>4.01.10 CUSTO COM PROCESSAMENTO DE SUCATA</t>
  </si>
  <si>
    <t>7.3.2</t>
  </si>
  <si>
    <t>FGTS</t>
  </si>
  <si>
    <t>7.3.2 FGTS</t>
  </si>
  <si>
    <t>FGTSRESCISÃOG&amp;S050825</t>
  </si>
  <si>
    <t>GUIA FGTS RESCISÃO AGOSTO 25 PAGTO REF A GFD GUIA DO FGTS RESCISÃO COMPETENCIA AGOSTO 2025 - LUCAS NOGUEIRA TORRES</t>
  </si>
  <si>
    <t>6030</t>
  </si>
  <si>
    <t>CAIXA ECONOMICA FEDERAL</t>
  </si>
  <si>
    <t>Tributos</t>
  </si>
  <si>
    <t>4.02.02 CUSTO COM FGTS</t>
  </si>
  <si>
    <t>NFE-5404</t>
  </si>
  <si>
    <t xml:space="preserve"> CRISTINA - NFE. 5.404 VENC. 15/09/25 VIA BOL. - REF. A COMPRA DE GAS OXIGENIO P/ USO NA MAQUINA EHH0044, JOINVILLE -  - CENTRO/DEPOSITO: 2460/U949, TIPO DE ORDEM: WOR, VEICULO: 0313, VIAGEM: 981857 COND.PGTO.:M015 15 DIAS FORA MES.DECLARO QUE OS PRODUTOS PERIGOSOS ESTAO ADEQUADAMENTE CLASSIFICADOS, EMBALADOS, IDENTIFICADOS E ESTIVADOS PARA SUPORTAR OS RISCOS DAS OPERACOES DE TRANSPORTE E QUE ATENDEM AS EXIGENCIAS DA REGULAMENTACAO.    .</t>
  </si>
  <si>
    <t>7.1.17</t>
  </si>
  <si>
    <t>GÁS - USO OFICINA</t>
  </si>
  <si>
    <t>7.1.17 GÁS - USO OFICINA</t>
  </si>
  <si>
    <t>NFE-62936</t>
  </si>
  <si>
    <t xml:space="preserve"> CRISTINA - NFE. 62.936 VENC. 10/09/25 VIA BOL. - REF. A COMPRA DE GAS LP 20KG P/ A EMPILHADEIRA EPT0024 E 2 GAS LP 13KG P/ A TESOURA QXH2G14, PRUDENTE -  - BC 446,50- SUBST. TRIBUTARIA;GASES DE PETROLEO LIQUEFEITO CLASSE DE RISCO SUBSIDIARIO: 3 CLASSE DE RISCO;PRINCIPAL: 2 SUBCLASSE DE RISCO: 2.1 NUMERO DA ONU: 1075 DECLARACAO:CERTIFICAMOS;QUE O PRODUTO ESTA ADEQUADAMENTE EMBALADO ACONDICIONADO PARA SUPORTAR OS RISCOS;DE CARREGAMENTO,TRANSPORTE, TRANSBORDO E DESCARREGAMENTO.;; VENDEDOR : 11 UNICO; [ TRIB APROX R$: 53,58 FEDERAL 53,58 ESTADUAL FONTE: IBPT/FECOMERCIO RS XE67EQ ]</t>
  </si>
  <si>
    <t>26376</t>
  </si>
  <si>
    <t>L C PRUDENTE COMERCIO DE GAS E AGUA LTDA - ME</t>
  </si>
  <si>
    <t>4.01.05 CUSTO COM GÁS - USO OFICINA</t>
  </si>
  <si>
    <t>NFE-1555034</t>
  </si>
  <si>
    <t xml:space="preserve"> CRISTINA - NFE. 1.555.034 VENC. 25/09/25 VIA BOL. - REF. A COMPRA DE DE 2 BALDES DE GRAXA AZUL P/ AS MAQUINAS EHH0044 E EHL0041, JOINVILLE -  - ICMS - RECOLHIDO POR SUBSTITUI\303\247\303\243O TRIBUT\303\241RIA, RICMS-SC/01-ANEXO 3 RICMS/SC/11-ANEXO 3 DECRETO 1.020/2008. VALOR APROXIMADO DE TRIBUTOS R$: 222,82 FEDERAL E 158,40 IMPORTADO FONTE: IBPT/EMPRESOMETRO.COM.BR CHAVE: 81AAFF PLACA:EHH0044/ EHL0041</t>
  </si>
  <si>
    <t>CTE378168/178346/178744/179158/179119</t>
  </si>
  <si>
    <t xml:space="preserve"> CRISTINA - CTE. 378.168 VENC. VIA BOL. - FRETE REF. A COMPRA DE CORREIA PLANA E KIT VEDAÇÃO P/ AS MAQUINAS EHL0013 E_x000D_EHL0014, PRUDENTE/   CRISTINA - CTE. 378.346 VENC. VIA BOL. - FRETE REF. A COMPRA DE PARAFUSOS CJ QUE SERÃO UTILIZADOS NA MANUTENÇÃO DA_x000D_MAQUINA CHF0016, PRUDENTE/   CRISTINA - CTE. 378.744 VENC. VIA BOL. - FRETE REF. A COMPRA DE VALVULA ANTSHOCK P/ A MAQUINA EHH0044 DE JOINVILLE/  CRISTINA - CTE. 379.158 VENC. VIA BOL. - FRETE REF. A COMPRA DE BOMBA DO PISTÃO, KIT FILROS E REPAROS P/ AS MAQUINA_x000D_EHL0043, EHL0013 E EHL0014, PRUDENTE/  CRISTINA - CTE. 379.119 VENC. VIA BOL. - FRETE REF. A COMPRA DE RETENTOR P/ A MAQUINA CHF0016, PRUDENTE</t>
  </si>
  <si>
    <t>NFE-78654</t>
  </si>
  <si>
    <t xml:space="preserve"> CRISTINA - NFE. 78.654 VENC. 15/10/25 VIA BOL. - REF. A COMPRA DE ARAME MIG 1.2 QUE SERA UTILIZADO NA MANUTENÇÃO DA MAQUINA EHH0044 E NA CAIXA ROLLON N°48, PRUDENTE -  - SOLICITADO VINICIUSPEDIDO: 001076141 02/09/25;BC 399,92-18% 71,99;TELEFONE 18 39033715;; VENDEDOR : 8 VINICIUS; [ TRIB APROX R$: 63,31 FEDERAL 71,99 ESTADUAL FONTE: IBPT/FECOMERCIO RS XE67EQ ]</t>
  </si>
  <si>
    <t>AL24745</t>
  </si>
  <si>
    <t xml:space="preserve"> CRISTINA - S/N VENC. 05/09/25 VIA CARTÃO ALELO - REF. A REFORMA PRESTADA NA TESOURA DA MAQUINA EHH0044 DE JOINVILLE</t>
  </si>
  <si>
    <t>686</t>
  </si>
  <si>
    <t>DAVID JUNIOR DE SOUZA</t>
  </si>
  <si>
    <t>NFE-1752</t>
  </si>
  <si>
    <t xml:space="preserve"> CRISTINA - NFE. 1.752 VENC. 25/09/25 VIA BOL. - REF. A COMPRA DE TINTA AZUL P/ PINTAR A MAQUINA EHH0044, JOINVILLE -  - I-DOCUMENTO EMITIDO POR ME OU EPP OPTANTE PELO SIMPLES NACIONAL;III-PERMITE O APROVEITAMENTO DO CREDITO DE ICMS NO VALOR DE R$ 10,30;CORRESPONDENTE A ALIQUOTA DE 3,1200%, NOS TERMOS DO ART.23 DA LC 123/2006 VENDEDOR : 2 SERGIO; [ TRIB APROX R$: 13,86 FEDERAL 23,10 ESTADUAL FONTE: IBPT/FECOMERCIO RS XE67EQ ]</t>
  </si>
  <si>
    <t>23127</t>
  </si>
  <si>
    <t>PRUDENCOLLOR LTDA</t>
  </si>
  <si>
    <t>NFE-578034</t>
  </si>
  <si>
    <t xml:space="preserve"> CRISTNA - NFE. 578.034 VENC. 04/10/25 03/11/25 03/12/25 VIA BOL. - REF. A COMPRA DE BOMBA DE PISTÃO AXIAL P/ A MAQUINA EHH0044, JOINVILLE -  - O.VENDA:SOG013956 REF.FISCAL:RFG030526 COD.CLI:907092 PED.CLI:LH30M 1253.99908 PEDIDO DO CLIENTE: LH30M 1253.99908 LINHA(S) 1: ICMS CALCULADO A ALIQUOTA DE 12% CONF. ART. 54 RICMS/SP, INCISO V E RESOLUCAO SF 04/98. REDESPACHO PELA TRANSPORTADORA ANDORINHA.</t>
  </si>
  <si>
    <t>28898</t>
  </si>
  <si>
    <t>LIEBHERR BRASIL LTDA.</t>
  </si>
  <si>
    <t>NFE-2710</t>
  </si>
  <si>
    <t xml:space="preserve"> CRISTINA - NFE. 2.710 VENC. 25/09/25 VIA PIX - REF. A COMPRA DE VALVULA ANTSHOCK P/ A MAQUINA EHH0044, JOINVILLE -  - DOCUMENTO EMITIDO POR ME OU EPP OPTANTE PELO SIMPLES NACIONAL NAO GERA DIREITO A CREDITO FISCAL DE ICMS, DE ISS E DE IPI. ORCAMENTO NO 3700. FRETE DE MOTOBOY ATE A TRANSPORTADORA ANDORINHAS R$150,00. PECA PARA USO/CONSUMO EM MAQUINA.VC PAGOU APROX. 25,45% EM IMPOSTOS, SENDO: R$ 497,65 (13,45%) EM TRIB. FEDERAIS; R$ 444,00 (12,00%) TRIB. ESTADUAIS; R$ 2.758,35 PELOS PROD./SERV.FONTE:IBPT V25.1.F (6A0A76)LEI 12.741/2012.</t>
  </si>
  <si>
    <t>6127</t>
  </si>
  <si>
    <t>SM HIDRAULICA LTDA</t>
  </si>
  <si>
    <t>NFE-5493</t>
  </si>
  <si>
    <t xml:space="preserve"> CRISTINA - NFE. 5.493 VENC. 15/10/25 VIA BOL. - REF. A COMPRA DE GAS OXIGENIO E STARGOLD QUE SERÃO UTILIZADOS NA MANUTENÇÃO DA TESOURA DA MAQUINA EHH0044 DE JOINVILLE QUE ESTA EM PRUDENTE -  - CENTRO/DEPOSITO: 2460/U949, TIPO DE ORDEM: WOR, VEICULO: 0313, VIAGEM: 997079 COND.PGTO.:M015 15 DIAS FORA MES.DECLARO QUE OS PRODUTOS PERIGOSOS ESTAO ADEQUADAMENTE CLASSIFICADOS, EMBALADOS, IDENTIFICADOS E ESTIVADOS PARA SUPORTAR OS RISCOS DAS OPERACOES DE TRANSPORTE E QUE ATENDEM AS EXIGENCIAS DA REGULAMENTACAO.    .</t>
  </si>
  <si>
    <t>NFSE-143</t>
  </si>
  <si>
    <t xml:space="preserve"> - CRISTINA - NFS. 143 VENC. 15/09/25 VIA PIX - REF. AO SERVIÇO DE MANDRILHAMENTO DE 2 FUROS MEDINDO 127MM EM CHAPA DE_x000D_AÇO DE 1" P/ ENCAIXE DO PINO DO PISTÃO HIDRAULICO (2.500,00), SERVIÇO DE SACAR 1 PARAFUSO QUEBRADO DE 3/4 DO SUPORTE_x000D_DA BUCHA DO PINO DA MANDIBULA (100,00) SERVIÇO DE ABRIR ROSCA 1/2 NPT EM CONEXÃO DE PRESSÃO DO SISTEMA HIDRAULICO_x000D_DA TESOURA (150,00) NA TESOURA DA MAQUINA EHH0044 DE JOINVILLE</t>
  </si>
  <si>
    <t>23839</t>
  </si>
  <si>
    <t>JOSE ADILSON FAZIONI</t>
  </si>
  <si>
    <t>NFE-154447</t>
  </si>
  <si>
    <t xml:space="preserve"> CRISTINA - NFE. VENC. - REF. A COMPRA DE MANGUEIRA HIDRAULICA E COMPLEMENTOS P/ A MAQUINA EHH0044, JOINVILLE -  - PEDIDO: 537636 VOCE PAGOU APROXIMADAMENTE:  258,97 DE TRIBUTOS FEDERAIS  281,25 DE TRIBUTOS ESTADUAIS  0,00 DE TRIBUTOS MUNICIPAIS  FONTE: IBPT  - CHAVE: CAF7DD</t>
  </si>
  <si>
    <t>NFE-78896</t>
  </si>
  <si>
    <t xml:space="preserve"> CRISTINA - NFE. 78.896 VENC. 12/10/25 VIA BOL. - REF. A COMPRA DE PARAFUSOS P/ A MANUTENÇÃO DA MAQUINA EHH0044, JOINVILLE -  - PEDIDOS: 001079972,;BC 361,23-18% 65,02;TELEFONE 18 39033715;EHH0044;RETIRADO POR VINICIUS;; VENDEDOR : 2 CAROL; [ TRIB APROX R$: 65,02 FEDERAL 65,02 ESTADUAL FONTE: IBPT/FECOMERCIO RS XE67EQ ]</t>
  </si>
  <si>
    <t>NFSE-2237</t>
  </si>
  <si>
    <t xml:space="preserve"> - CRISTINA - NFS. 2.237 VENC. 06/10/25 VIA BOL. - REF. A INSTALAÇÃO DA TESOURA HIDRAULICA, NA MAQUINA EHH0044_x000D_(DESLOCAMENTO INCLUSO), JOINVILLE</t>
  </si>
  <si>
    <t>NFSE-10</t>
  </si>
  <si>
    <t xml:space="preserve"> - CRISTINA - NFS. 10 VENC. 25/09/25 VIA PIX - REF. A RETIRAR E COLOCAR RADIADORES DA ESCAVADEIRA EHH0006 900,00 - RETIRAR E_x000D_COLOCAR RADIADORES E TROCA DE MANGUEIRA NA MAQUINA EHH0009 1.350,00 - TROCAR MANGUEIRA DA UNHA DA GARRA DO_x000D_CAMINHÃO SUY4F83 150,00 - DESMONTAR E MONTAR GIRO DA TESOURA, SACAR PARAFUSOS DO PINO DA TESOURA NA TESOURA_x000D_DA MAQUINA EHH0044 1.100,00 - MANUTENÇÕES EM PRUDENTE</t>
  </si>
  <si>
    <t>31262</t>
  </si>
  <si>
    <t>WILSON DANTAS MORAES</t>
  </si>
  <si>
    <t>AL25048</t>
  </si>
  <si>
    <t xml:space="preserve"> CRISTINA - S/N VENC. 25/09/25 VIA CARTÃO ALELO - REF. A PINTURA REALIZADA NA CAIXA ROLLON 1008 E PINTURA NA TESOURA DA MAQUINA EHH0044, PRUDENTE</t>
  </si>
  <si>
    <t>25211</t>
  </si>
  <si>
    <t>ROMILDO DAMIAO DA SILVA</t>
  </si>
  <si>
    <t>NFE-15190</t>
  </si>
  <si>
    <t xml:space="preserve"> CRISTINA - NFE. 15.190 VENC. 17/09/25 VIA CARTÃO FLASH CRISTINO 0537 - REF. A COMPRA DE ESTICADOR COMPLETO AR CONDICIONADO P/ A MAQUINA EHH0044, JOINVILLE - DOCUMENTO EMITIDO POR ME OU EPP OPTANTE PELO SIMPLES NACIONAL.   N\303\243O GERA DIREITO A CR\303\251DITO FISCAL DE IPI. - TRIB APROX R$: 158,42 FEDERAL, 30,43 ESTADUAL. FONTE: IBPT  9OI3AC</t>
  </si>
  <si>
    <t>22650</t>
  </si>
  <si>
    <t>BRASIL PARTS PECAS PARA TRATORES LTDA</t>
  </si>
  <si>
    <t>NFE-3492</t>
  </si>
  <si>
    <t xml:space="preserve"> CRISTINA - NFE. 3.492 VENC. 21/10/25 VIA BOL. - REF. A COMPRA DE RETROVISOR P/ A MAQUINA EHH0044, JOINVILLE -  - ;;VENDEDOR:33 FILIPE;;</t>
  </si>
  <si>
    <t>NFE-1555946</t>
  </si>
  <si>
    <t xml:space="preserve"> CRISTINA - NFE. 1.555.946 VENC. 25/10/25 VIA BOL. - REF. A COMPRA DE OLEO HYDRAULIC AW68 20LT P/ REPOSIÇÃO NA MAQUINA EHH0044, JOINVILLE -  - ICMS - RECOLHIDO POR SUBSTITUI\303\247\303\243O TRIBUT\303\241RIA, RICMS-SC/01-ANEXO 3 RICMS/SC/11-ANEXO 3 DECRETO 1.020/2008. VALOR APROXIMADO DE TRIBUTOS R$: 369,92 FEDERAL E 262,20 IMPORTADO FONTE: IBPT/EMPRESOMETRO.COM.BR CHAVE: A601D4 ORDEM DE COMPRA:25150</t>
  </si>
  <si>
    <t>NFSE-16</t>
  </si>
  <si>
    <t xml:space="preserve"> - CRISTINA - NFS. 16 VENC. 05/10/25 VIA PIX - REF._x000D_
EHH0019 - RETIRAR PROTEÇÃO E BOMBA HIDRAULIXA, TROCAR REPARO COMANDO 368,75_x000D_NRQ7727 - LAVAR LANÇA P/ SOLDAR OS TRINCOS, TERMINO DE PREPARAR LANÇA 368,75_x000D_EHH0044 - LAVAR TESOURA, DESMONTAR TESOURA M368,75_x000D_
EHH0044 - LAVAR TESOURA, DESMONTAGEM DE ITENS E LAVAR PEÇAS M368,75_x000D_TROCAR PISTÃO DA GARRA SUY4F83 E COLOCAR NA GARRA LIEBERR EHL0028 368,75_x000D_
EHH0007 E EHL0028 - COMPLETAR OLEO HIDRAULICO, LAVAR GARRA LIEBHERR P/ TROCA, TROCAR GARRA REFORMADA, TERMINAR_x000D_DE LAVAR GARRA LIEBHERR, TROCAR GARRA, RETIRAR UM PISTÃO PRA COLOCAR NA GARRA TROCADA 368,75</t>
  </si>
  <si>
    <t>30660</t>
  </si>
  <si>
    <t>ANTONIO LUIZ ALVES 03239840880</t>
  </si>
  <si>
    <t>NFE-5620</t>
  </si>
  <si>
    <t xml:space="preserve"> CRISTINA - NFE. 5.620 VENC. 15/10/25 VIA BOL. - REF. A COMPRA DE GAS OXIGENIO E GAS STARGOLD QUE SERA UTILIZADO NA TESOURA EHH0044, JOINVILLE -  - CENTRO/DEPOSITO: 2460/U949, TIPO DE ORDEM: WOR, VEICULO: 0313, VIAGEM: 1018297 COND.PGTO.:M015 15 DIAS FORA MES.DECLARO QUE OS PRODUTOS PERIGOSOS ESTAO ADEQUADAMENTE CLASSIFICADOS, EMBALADOS, IDENTIFICADOS E ESTIVADOS PARA SUPORTAR OS RISCOS DAS OPERACOES DE TRANSPORTE E QUE ATENDEM AS EXIGENCIAS DA REGULAMENTACAO.    .</t>
  </si>
  <si>
    <t>NFSE-5094</t>
  </si>
  <si>
    <t>CRISTINA - NFS. 5.094 VENC. 15/10/25 VIA PIX - REF. A TROCA DA CORREIA DO COMPRESSOR DO A/C, TESTES DE PRESSÃO NO_x000D__x000D__x000D_
SISTEMA E CARGA DE GAS NA MAQUINA EHH0044 (10.150 HRS), JOINVILLE</t>
  </si>
  <si>
    <t>NFE-1462</t>
  </si>
  <si>
    <t>CRISTINA - NFE. 1.462 VENC. 15/10/25 VIA PIX - REF. A CARGA DE GAS REALIZADA NA MAQUINA EHH0044 (10.150 HRS), JOINVILLE -  - EMPRESA OPTANTE PELO SIMPLES NACIONAL. NAO GERA DIREITO A CREDITO FISCAL DE ISS E IPI.  ESCAVADEIRA  10150 HRS  EHH0044    OS(S):4698</t>
  </si>
  <si>
    <t>NFE-1556642</t>
  </si>
  <si>
    <t>CRISTINA - NFE. 1.556.642 VENC. 15/11/25 VIA BOL. - REF. A COMPRA DE ESTOPAS P/ LIMPEZA E OLEO AW68 P/ AS MAQUINAS EHH0044 E EHL0041, JOINVILLE -  - ICMS - RECOLHIDO POR SUBSTITUI\303\247\303\243O TRIBUT\303\241RIA, RICMS-SC/01-ANEXO 3 RICMS/SC/11-ANEXO 3 DECRETO 1.020/2008. VALOR APROXIMADO DE TRIBUTOS R$: 314,45 FEDERAL E 226,76 IMPORTADO FONTE: IBPT/EMPRESOMETRO.COM.BR CHAVE: 80DB15</t>
  </si>
  <si>
    <t>7.6.3</t>
  </si>
  <si>
    <t>MANUTENÇÃO PATIO</t>
  </si>
  <si>
    <t>7.6.3 MANUTENÇÃO PATIO</t>
  </si>
  <si>
    <t>NFE-79530</t>
  </si>
  <si>
    <t>CRISTINA - NFE. 79.530 VENC. 15/11/25 VIA BOL. - REF. A COMPRA DE ARAME MIG 1,20 ROLO 15KG P/ SOLDA NA TESOURA DA MAQUINA EHH0044 E PANO DE MALHA P/ LIMPEZAS NA OFICINA, PRUDENTE -  - PEDIDO: 001096058 17/10/25BC 321,40-18% 57,85TELEFONE 18 39033715 VENDEDOR : 8 VINICIUS [ TRIB APROX R$: 47,98 FEDERAL 57,85 ESTADUAL FONTE: IBPT/FECOMERCIO RS XE67EQ ]</t>
  </si>
  <si>
    <t>4.03.01 CUSTO COM MANUTENÇÃO PÁTIO</t>
  </si>
  <si>
    <t>OC25851</t>
  </si>
  <si>
    <t>CRISTINA - S/N VENC. 25/10/25 VIA CARTÃO ALELO - REF. A MANUTENÇÃO NA TESOURA COM TROCA DE DUAS CHAPAS DA_x000D__x000D__x000D_
ESTRUTURA E SOLDAR TRINCAS EM GERAL QUE ESTÁ EM PRUDENTE DA MAQUINA EHH0044 DE JOINVILLE</t>
  </si>
  <si>
    <t>NFE-19983</t>
  </si>
  <si>
    <t>CRISTINA - NFE. 19.983 VENC. 15/11/25 R$ 4.395,00 15/12/25 R$ 4.395,00 VIA BOL. - REF. A COMPRA DE REPAROS E ROLAMENTOS P/ A MAQUINA EHH0044, JOINVILLE -  - VAL APROX TRIBUTOS FED. R$3.083,66 (35,08%) ESTADUAL R$0,00 (0,00%) MUNICIPAL R$0,00 (0,00%) FONTE:IBPT.VAL APROX TRIBUTOS DESTA NOTA R$3083,66 (35,08%) FONTE:IBPT.I-DOCUMENTO EMITIDO POR ME OU EPP OPTANTE PELO SIMPLES NACIONAL.III-PERMITE O APROVEITAMENTO DO CREDITO DE ICMS NO VALOR DE 0,00 REAIS, CORRESPONDENTE A ALIQUOTA DE 2,18%, NOS TERMOS DO ART.23 DA LC 123.REFERENTE AOS ORCAMENTOS:66628,66629,66630 MAQUINA:TESOURA HIDRAULICA PLACA:EHH-0044</t>
  </si>
  <si>
    <t>4640</t>
  </si>
  <si>
    <t>DONIZETE MIGUEL OLIVEIRA EPP TORNO LUCELIA</t>
  </si>
  <si>
    <t>NFSE-18256</t>
  </si>
  <si>
    <t>NFE-79777</t>
  </si>
  <si>
    <t>CRISTINA - NFE. 79.777 VENC. 25/11/25 VIA BOL. - REF. A COMPRA DE PARAFUSOS, PORCAS E ARRUELAS P/ A MANUTENÇÃO DA MAQUINA EHH0044 QUE ESTÁ SENDO REFORMADA EM PRUDENTE -  - SOLICITADO VINICIUSPEDIDO: 001101603 30/10/25BC 212,00-18% 38,17TELEFONE 18 39033715 VENDEDOR : 8 VINICIUS [ TRIB APROX R$: 38,23 FEDERAL 38,17 ESTADUAL FONTE: IBPT/FECOMERCIO RS XE67EQ ]</t>
  </si>
  <si>
    <t>NFE-1557146</t>
  </si>
  <si>
    <t>CRISTINA - NFE. 1.557.146 VENC. 25/11/25 VIA BOL. - REF. A COMPRA DE 3 BALDES DE GRAXA P/ ROLAMENTO AZUL EP2 P/ AS MAQUINAS (EHH0044 E EHL0041) DE JOINVILLE -  - ICMS - RECOLHIDO POR SUBSTITUICAO TRIBUTARIA, RICMS-SC/01-ANEXO 3 RICMS/SC/11-ANEXO 3 DECRETO 1.020/2008. VALOR APROXIMADO DE TRIBUTOS R$: 315,49 FEDERAL E 224,28 IMPORTADO FONTE: IBPT/EMPRESOMETRO.COM.BR CHAVE: 80DB15</t>
  </si>
  <si>
    <t>NFE-348261</t>
  </si>
  <si>
    <t xml:space="preserve"> CRISTINA - NFE. 348.261 VENC. 25/11/25 VIA BOL. - REF. A FABRICAÇÃO DE MANGUEIRA MONTADA - FLEXIT 4ST PLUS DN31 1.1/4 568,57948 - TERMINAL AY90B-20-20 386,07 - TERMINAL AY10B-20-24 246,22 - CAPA SO420-20 132,4 - ANEL DRV500380 31,61 - ANEL DRV500320 20,86 - P/ A MAQUINA EHH0044 DE JOINVILLE -  - CRT: 3 - REGIME NORMAL - HYUNDAI EHH0044 - JOINVILLE TUPY - PED. CLIENTE: CRISTIANO NUM. PED. INTERNO: 414256 - VALOR TOTAL APROXIMADO DOS TRIBUTOS: R$757,95 (25,68%) - DEVOLUCOES SOMENTE SERAO ACEITAS COM A  - "AUTORIZACAO DE DEVOLUCAO" ANEXADA A NOTA DE  - DEVOLUCAO.</t>
  </si>
  <si>
    <t>25227</t>
  </si>
  <si>
    <t>HIDRAMAVE COMERCIO DE PROD HIDRAULICOS E VEDACOES LTDA</t>
  </si>
  <si>
    <t>NFE-79910</t>
  </si>
  <si>
    <t xml:space="preserve"> CRISTINA - NFE. 79.910 VENC. 05/12/25 VIA BOL. - REF. A COMPRA DE PARAFUSOS, FITA ISOLANTE E VEDAROSCA P/ MANUTENÇÃO NA MAQUINA EHH0044 DE JOINVILLE -  - PEDIDO: 001104034 05/11/25BC 57,73-18% 10,39BC 36,27- SUBST. TRIBUTARIATELEFONE 18 39033715 VENDEDOR : 8 VINICIUS</t>
  </si>
  <si>
    <t>NFE-156578</t>
  </si>
  <si>
    <t xml:space="preserve"> CRISTINA - NFE. 156.578 VENC. 05/12/25 VIA PIX - REF. A COMPRA DE MANGUEIRA HIDRAULICA GATES AGR2-6 E COMPLEMENTOS P/ MANUTENÇÃO NA TESOURA DA MAQUINA EHH0044 DE JOINVILLE -  - PEDIDO: 550689 VOCE PAGOU APROXIMADAMENTE:  34,66 DE TRIBUTOS FEDERAIS  41,70 DE TRIBUTOS ESTADUAIS  0,00 DE TRIBUTOS MUNICIPAIS  FONTE: IBPT  - CHAVE: CAF7DD</t>
  </si>
  <si>
    <t>NFE-1557470</t>
  </si>
  <si>
    <t xml:space="preserve"> CRISTINA - NFE. 1.557.470 VENC. 25/11/25 VIA BOL. - REF. A COMPRA DE 3 BALDES DE OLEO TURBO DIESEL 15W40 CI-4 E700 20L P/ A MAQUINA EHH0044 DE JOINVILLE -  - ICMS - RECOLHIDO POR SUBSTITUICAO TRIBUTARIA, RICMS-SC/01-ANEXO 3 RICMS/SC/11-ANEXO 3 DECRETO 1.020/2008. VALOR APROXIMADO DE TRIBUTOS R$: 203,16 FEDERAL E 144,00 IMPORTADO FONTE: IBPT/EMPRESOMETRO.COM.BR CHAVE: 5FF712</t>
  </si>
  <si>
    <t>NFSE-2074</t>
  </si>
  <si>
    <t xml:space="preserve"> - CRISTINA - NFS. 2.074 VENC. 15/11/25 VIA BOL. - REF. AO SERVIÇO DE FAZER 1 SISTEMA DE TRAVA P/ O PINO 250,00 - ENCHER E_x000D_
TORNEAR 3 PINOS 600,00 - SACAR 3 PARAFUSOS QUEBRADOS 300,00 - RECUPERAR 2 COLOS DA BASE DO PINO 200,00 - FAZER 8_x000D_
PROTEÇÕES P/ 4 PISTÕES 2.400,00 - FAZER 2 ARRUELAS SOB MEDIDA 180,00 P/ MANUTENÇÃO DA TESOURA DA MAQUINA EHH0044_x000D_
DE JOINVILLE E CORTAR 2 CHAPAS, FAZER FURAÇÕES, FAZER 5 ROSCAS NAS CHAPAS 2.500,00 - FAZER 1 BUCHA PEQUENA DA_x000D_
PRENSA 400,00 - 2 BUCHAS PEQUENAS 250,00 - MÃO DE OBRA P/ FAZER 1 BUCHA GRANDE 250,00 P/ A PRENSA FIXA PHH0045 DE_x000D_
PRUDENTE</t>
  </si>
  <si>
    <t>485</t>
  </si>
  <si>
    <t>RECUPERADORA TOTAL PRECISAO</t>
  </si>
  <si>
    <t>NFSE-2077</t>
  </si>
  <si>
    <t xml:space="preserve"> - CRISTINA - NFS. 2.077 VENC. 22/11/25 VIA BOL. - REF. AO SERVIÇO DE RETIFICAR 18 ROSCAS DA TESOURA DA MAQUINA EHH0044 DE_x000D_
JOINVILLE</t>
  </si>
  <si>
    <t>NFSE-19</t>
  </si>
  <si>
    <t xml:space="preserve"> - CRISTINA - NFS. 19 VENC. 15/11/25 VIA PIX - REF. A_x000D_
EHL0014 - MONTAR CABEÇOTE DA GARRA / COLOCAR PISTÃO / TROCAR MANGUEIRA / VER ROLAMENTO DE GIRO 400,00_x000D_
EHL0014 - TERMINAR MONTAGEM DA GARRA E INSTALAR NA MAQUINA 400,00_x000D_
EHL0014 E BZG6A91 - COLOCAR PROTEÇÃO NOS PISTÕES / TIRAR PISTÃO P. SOLDAR / TROCAR ROTULA E TIRAR VAZAMENTO DA_x000D_
GARRA DO DISTRIBUIDOR 400,00_x000D_
EHH0028 - COMEÇAR A MONTAR A TESOURA 400,00_x000D_
EHH0044 OU EHH0028 - CONTINUAR A MONTAGEM DA TESOURA / PASSAR MACHO EM 6 ROSCAS / TROCAR 4 MANGUEIRAS /_x000D_
COLOCAR DISTRIBUIDOR DE OLEO, MANDIBULA E PISTÃO 400,00_x000D_
EHH0044 - COLOCAR CABEÇOTE / TROCAR MANGUEIRAS / TRAVAR PINOS DO PISTÃO E MANDIBULA PHH0045 - RETIRAR FACAS DA_x000D_
PRENSA P. ENCHER 400,00_x000D_
PHH0045 - RETIRAR FACAS E COMEÇAR A TIRAR SOFREDEIRAS 400,00_x000D_
PHH0045 - TROCAR MANOMETRO DE AR EHH0044 OU EHH0028 - TROCAR FILTRO DE AR / RETIRAR SOFREDEIRA 400,00_x000D_
PHH0045 - RETIRAR SOFREDEIRA E CONTINUAR RETIRANDO 400,00_x000D_
PHH0045 - TIRAR VAZAMENTO DO PISTÃO DA TAMPA / DESMONTAR CABÇOTE DO PISTÃO DO PRENSOR 400,00_x000D_
REALIZADOS EM PRUDENTE.</t>
  </si>
  <si>
    <t>NFSE-2411</t>
  </si>
  <si>
    <t xml:space="preserve"> - CRISTINA - NFS. 2.411 VENC. 25/11/25 VIA BOL. - REF. A REVISÃO REALIZADA, TROCA DE OLEO MOTOR E FILTROS 320,00 /_x000D_
REGULAGEM DA ESTEIRA DE LOCOMOÇÃO 120,00 - DESLOCAMENTO 180,00 - NA MAQUINA EHH0044 (HO 10.407,34), JOINVILLE</t>
  </si>
  <si>
    <t>NFE-156939</t>
  </si>
  <si>
    <t xml:space="preserve"> CRISTINA - NFE. 156.939 VENC. 15/12/25 VIA PIX - REF. A COMPRA DE MANGUEIRA HIDRAULICA 3/4 6090 PSI E COMPLEMENTOS P/ MANUTENÇÃO NA EHH0044, PRUDENTE -  - PEDIDO: 553575 VOCE PAGOU APROXIMADAMENTE:  143,20 DE TRIBUTOS FEDERAIS  141,24 DE TRIBUTOS ESTADUAIS  0,00 DE TRIBUTOS MUNICIPAIS  FONTE: IBPT  - CHAVE: CAF7DD</t>
  </si>
  <si>
    <t>NFE-156937</t>
  </si>
  <si>
    <t xml:space="preserve"> CRISTINA - NFE. 156.937 VENC. 15/12/25 VIA PIX - REF. A COMPRA DE MANGUEIRA HIDRAULICA 1 POLO 6090 PSI MANULI E TERMINAIS P/ A TESOURA QUE ESTÁ SENDO REFORMADA EM PRUDENTE DA MAQUINA EHH0044 DE JOINVILLE -  - PEDIDO: 552399 VOCE PAGOU APROXIMADAMENTE:  171,56 DE TRIBUTOS FEDERAIS  151,96 DE TRIBUTOS ESTADUAIS  0,00 DE TRIBUTOS MUNICIPAIS  FONTE: IBPT  - CHAVE: CAF7DD</t>
  </si>
  <si>
    <t>NFE-197875</t>
  </si>
  <si>
    <t xml:space="preserve"> CRISTINA - NFE. 197.875 VENC. 25/12/25 VIA BOL. - REF. A COMPRA DE TINTA AZUL DEL REY E THINNER P/ PINTURA NA TESOURA DA MAQUINA EHH0044 FR JOINVILLE QUE ESTAVA SENDO REFORMADA EM PRUDENTE - VLR APROX DO TRIBUTO "R$ 44,00(13,75%)" - VENDEDOR: 026 - CMC JELLISSON NICOLETIDIGITADOR: 026 - CMC JELLISSON NICOLETICOND.PAG: 01037 - DP-30 DIASEND.ENTREGA: RUA HELENA FERRANTE BORGHI, 100-B-DISTRITO INDUSTRIAL--PRESIDENTE PRUDENTE-SP-19043080</t>
  </si>
  <si>
    <t>6212</t>
  </si>
  <si>
    <t>CHUVEIRAO COM DE MATERIAIS PARA CONSTRUÇÃO LTDA</t>
  </si>
  <si>
    <t>NFE-80203</t>
  </si>
  <si>
    <t xml:space="preserve"> CRISTINA - NFE. 80.203 VENC. 15/12/25 VIA BOL. - REF. A COMPRA DE FITA CREPE 45MM X 50MTS P/ A PINTURA DA TESOURA DA MAQUINA EHH0044 QUE ESTAVA SENDO REFORMADA EM PRUDENTE -  - AUTORIZADO POR VINICIUSRETIRADO POR MARCIOPEDIDO: 001109173 18/11/25BC 19,20-18% 3,46TELEFONE 18 39033715 VENDEDOR : 15 DOUGLAS [ TRIB APROX R$: 2,49 FEDERAL 2,30 ESTADUAL FONTE: IBPT/FECOMERCIO RS XE67EQ ]</t>
  </si>
  <si>
    <t>AL26628</t>
  </si>
  <si>
    <t xml:space="preserve"> CRISTINA - S/N VENC. 25/11/25 VIA CARTÃO ALELO - REF. A PINTURA, LIMPEZA, ORGANIZAÇÃO LAVAGEM E PINTURA DA TESOURA DA_x000D_
MAQUINA EHH0044 (R$ 450,00) DE JOINVILLE QUE ESTAVA EM PRUDENTE ARRUMANDO E DIARIAS DO DIA 13 E 14 P/ A LIMPEZA DA_x000D_
OFICINA (R$ 340,</t>
  </si>
  <si>
    <t>31607</t>
  </si>
  <si>
    <t>MARCIO ALUISIO BATELANI DE LIMA JUNIOR</t>
  </si>
  <si>
    <t>00006012</t>
  </si>
  <si>
    <t xml:space="preserve"> CRISTINA - S/N ACERTO - REF. AO SERIÇOS 13/11 (02) CAMINHÕES MUNCKS P/ RETIRADA DA GARRA DA PRENSA MOVEL GDU0275_x000D_
1.400,00 (700,00 CADA) - 24/11 (02) CAMINHÕES MUNCK P/ COLOCAR A GARRA DA PRENSA MOVEL GDU0275 1.400,00 (700,00 CADA) -_x000D_
19/11 CAMINHÃO MUNCK P/ CARREGAR A TESOURA DA MAQUINA EHH0044 DE JOINVILLE QUE ESTAVA REFORMANDO EM PRUDENTE_x000D_
700,00 - 12/11 CAMINHÃO MUNCK P/ RETIRADA DO PRENSOR DA PRENSA JCG800 PHH0045 700,00</t>
  </si>
  <si>
    <t>NFSE-21</t>
  </si>
  <si>
    <t xml:space="preserve"> - CRISTINA - NFE. 21 VENC. 05/12/25 VIA PIX - REF. A_x000D_
PHH0045 - VER VAZAMENTO DO APOIO DO ESTABILIZADOR, VER VAZAMENTO NA GARRA ATEGO, RETIRAR OLEO HIDR. DO PISTÃO P/_x000D_
TIRAR CABEÇOTE P/ TROCA DE REPARO, RETIRAR REPARO PISTÃO PRENSOR, PRENSA RETIRADA P/ VER HASTE DO PISTÃO 400,00_x000D_
PHH0045 - RETIRAR HASTE DO PISTÃO P/ VER POSSIVEIS RISCOS EHH0019 - COLOCAR HASTES NOS PISTÕES 400,00_x000D_
EHH0044 - RETIRAR PRENSOR P/ MANUTENÇÃO E MONTAR TESOURA 400,00_x000D_
EHH0044 - CONTINUAR MONTAGEM DA TESOURA GDY0H74 - PUXAR HASTE P/ SOLDA, VERIFICAR RISCOS E TESTAR BASCULA 400,00_x000D_
EHH0044 - CONTINUAR MONTAGEM DA TESOURA MRP6135 - TROCAR CUICA DO TERCEIRO EIXO LD, TROCAR CATRACA DE FREIO E_x000D_
REGULAR FREIO 400,00_x000D_
EHH0044 - CONCLUIR TESOURA GDU0275 - COLOCAR MANGUEIRAS, APERTAR CABEÇOTE, TIRAR PISTÃO DO GIRO E TROCAR_x000D_
REPAROS 400,00_x000D_
GDU0275 - TROCAR 4 REPAROS DO GIRO 400,00_x000D_
EHH0044 - TENTATIVA FALHA DE CARREGAMENTO DA TESOURA PHH0045 - TROCAR FILTROS HIDR., RETIRAR CHAPA DO ASSOALHO_x000D_
400,00_x000D_
GDU0275 - COLOCAR PISTÃO, TROCAR MANGUEIRAS, COLOCAR FOLE SUSPENSOR E TIRAR VAZAMENTO DE AR 400,00_x000D_
GDU0275 - TERMINAR INSTALAÇÃO DA GARRA PHH0045 - TROCAR FILTRO DE AR, TROCAR FILTRO HIDR., COMPLETAR ÓLEO HIDR.,_x000D_
COMPLETAR ÓLEO DO GIRO 400,00_x000D_
GDU0275 - REAPERTAR FLANGE, PISTÃO, TAMPA E FUNCIONAR MÁQUINA P/ SUBIR PRENSOR E TESOURA PHH0045 - TROCAR_x000D_
MANGUEIRAS DE RETORNO E RETIRAR SOFREDEIRA 400,00_x000D_
GDU0275 - TIRAR VAZAMENTO DA FLANGE E PREPARAR BASE DA PRENSA P/ COLOCAR CHAPAS PHH0045 - COMPLETAR ÓLEO 400,00_x000D_
PHH0045 - TROCAR MANGUEIRAS QUEIMADAS BZG6A91 - RETIRAR REPAROS DO QUADRADO P/ TROCA GDU0275 - RECOLHER LANÇA_x000D_
400,00</t>
  </si>
  <si>
    <t>NFE-2864</t>
  </si>
  <si>
    <t xml:space="preserve"> CRISTINA - NFE. 2.864 VENC. 25/12/25 VIA BOL. - REF. A COMPRA DE BATERIA MOURA 100QD P/ USO NA MAQUINA EHH0044, JOINVILLE -  - TRIB APROX R$ 317,87 FEDERAL E R$ 203,76 ESTADUAL!! FONTE:IBPT D529CB!!OPERADOR: BATERIAS JOINVILLE</t>
  </si>
  <si>
    <t>31850</t>
  </si>
  <si>
    <t>COMERCIO DE BATERIAS JOINVILLE LTDA</t>
  </si>
  <si>
    <t>NFSE-5362</t>
  </si>
  <si>
    <t xml:space="preserve"> - CRISTINA - NFS. 5.362 VENC. 15/01/2026 - REF. AO DESLOCAMENTO R$80,00 E AOS TESTES ELÉTRICOS R$150,00 REALIZADOS NA_x000D_
MAQUINA EHH0044 (10.607 HRS), JOINVILLE</t>
  </si>
  <si>
    <t>SELETIVA</t>
  </si>
  <si>
    <t>1.2</t>
  </si>
  <si>
    <t>1.2 SELETIVA</t>
  </si>
  <si>
    <t>1.2.4</t>
  </si>
  <si>
    <t>MARINGA DISTRITO</t>
  </si>
  <si>
    <t>1.2.4 MARINGA DISTRITO</t>
  </si>
  <si>
    <t>1.2.4.8</t>
  </si>
  <si>
    <t>MAQUINAS E EQUIPAMENTOS</t>
  </si>
  <si>
    <t>1.2.4.8 MAQUINAS E EQUIPAMENTOS</t>
  </si>
  <si>
    <t>1.2.4.8.4</t>
  </si>
  <si>
    <t>EHL0043</t>
  </si>
  <si>
    <t>1.2.4.8.4 EHL0043</t>
  </si>
  <si>
    <t>7.1.22</t>
  </si>
  <si>
    <t>COMBUSTÍVEL - DIESEL (INTERNO)</t>
  </si>
  <si>
    <t>7.1.22 COMBUSTÍVEL - DIESEL (INTERNO)</t>
  </si>
  <si>
    <t>CTA</t>
  </si>
  <si>
    <t>RELATÓRIO CONSUMO DE COMBUSTÍVEL EMITIDO 16/07/25</t>
  </si>
  <si>
    <t>G&amp;G TRANSPORTE, LOG. E LOC DE MAQUINAS E EQUIP. LTDA</t>
  </si>
  <si>
    <t xml:space="preserve">EHL0043                                                                                                                                                                                                </t>
  </si>
  <si>
    <t>NFE-569349</t>
  </si>
  <si>
    <t xml:space="preserve"> - O.VENDA:SOG009709 REF.FISCAL:RFG019458 COD.CLI:907092001 PED.CLI:LH30M 1053.127615 PEDIDO DO CLIENTE: LH30M 1053.127615</t>
  </si>
  <si>
    <t>LIEBHERR BRASIL GUIND E MAQ. OPER. LTDA</t>
  </si>
  <si>
    <t>RELATÓRIO CONSUMO DE COMBUSTÍVEL EMITIDO 03/09/25</t>
  </si>
  <si>
    <t>370105/370800/370806</t>
  </si>
  <si>
    <t>REF.CTE'S 370105/370800/370806 CRISTINA - CTE. 370.105 VENC. 05/08/25 VIA BOL. - FRETE REF. A COMPRA DE CARCAÇA FILTRO DE AR P/ O CAMINHÃO ATEGO_x000D_NRV7727, CAMPO GRANDE. CRISTINA - CTE. 370.105 VENC. 05/08/25 VIA BOL. - FRETE REF. A COMPRA DE CARCAÇA FILTRO DE AR P/ O CAMINHÃO ATEGO_x000D_NRV7727, CAMPO GRANDE. CRISTINA - CTE. 370.800 VENC. 05/08/25 VIA BOL. - FRETE REF. A COMPRA DE POTENCIOMETRO QUE FOI UTILIZADO NA MAQUINA_x000D_EHH0009, PRUDENTE.</t>
  </si>
  <si>
    <t>NFE-42410</t>
  </si>
  <si>
    <t xml:space="preserve"> CRISTINA - NFE. 42.410 VENC 15/08/25 VIA BOL. - REF. A COMPRA DE OLEO 15W40 P/ TROCA NAS MAQUINAS LIEBHERR EHL0028_x000D_PRUDENTE, EHL0041 JOIVILLE, EHL0042 DOURADOS E EHL0043 MARINGA.</t>
  </si>
  <si>
    <t>30513</t>
  </si>
  <si>
    <t>LUBRISINT LUBRIFICANTES SINTETICOS ESPECIAIS LTDA</t>
  </si>
  <si>
    <t>NFE-1228396</t>
  </si>
  <si>
    <t xml:space="preserve"> CRISTINA - NFE. 1.228.396 VENC. 12/08/25 VIA BOL. - REF. A COMPRA DE 3 BALDES OLEO 85W90 20L, P/ A MAQUINA EHL0028 EM PRUDENTE, EHL0043 EM MARINGA E EHL0042 EM DOURADOS -  - PEDIDO VERBAL VINICIUS -\\NICMS PAGO POR SUBSTITUICAO TRIBUTARIA CONFORME ARTIGO 412 RICMS/SP. VALOR APROXIMADO DOS TRIBUTOS FEDERAL 9,20%; ESTADUAL 25%, MUNICIPAL 0% 008637 83 VENDEDOR: 1B0002 - GILMAR ROCHA DE OLIVEIRA - PEDIDO: 618511 - CLIENTE: 008637</t>
  </si>
  <si>
    <t>27730</t>
  </si>
  <si>
    <t>WEST BRASIL LUBRIFICANTES LTDA</t>
  </si>
  <si>
    <t>NFE-1386</t>
  </si>
  <si>
    <t xml:space="preserve"> CRISTINA - NFE. 1.386 VENC. 15/08/25 VIA BOL. - REF. A COMPRA DE BATERIA 150A P/ A MAQUINA EHL0043, MARINGA</t>
  </si>
  <si>
    <t>31029</t>
  </si>
  <si>
    <t>BRILHANTE COMERCIO DE AUTO PECAS LTDA</t>
  </si>
  <si>
    <t xml:space="preserve"> - CRISTINA - NFS. 385 VENC. 15/08/25 VIA BOL. - REF. A TROCA DE BATERIA, TESTAR ALTERNADOR, TESTAR BATERIA E FUNCIONAIR_x000D_MAQUINA MAIS DESLOCAMENTO NA MAQUINA EHL0043, MARINGA</t>
  </si>
  <si>
    <t>30427</t>
  </si>
  <si>
    <t>C. A. PEREIRA TOMAZINE &amp; PRATA LTDA</t>
  </si>
  <si>
    <t>NFE-508239</t>
  </si>
  <si>
    <t xml:space="preserve"> CRISTINA - NFE. 508.239 VENC. 05/09/25 VIA BOL. - REF. A COMPRA DE OLEO 68AW P/ AS MAQUINAS (EHH0004, EHH002, EHL0043 E_x000D_EHH0039) E CAMINHÕES (FRT7548, FJQ5A08, EWU5A85 E OON3B85) DE MARINGA</t>
  </si>
  <si>
    <t>28226</t>
  </si>
  <si>
    <t>NAC CENTRAL PARANA COMERCIAL DE LUBRIFICANTES LTDA</t>
  </si>
  <si>
    <t>NFE-576317</t>
  </si>
  <si>
    <t xml:space="preserve"> CRISTINA - NFE. 576.317 VENC. 18/09/25 18/10/25 17/11/25 VIA BOL. - REF. A COMPRA DE BOMBA HIDRAULICA P/ A MAQUINA EHL0043, MARINGA - E BOMBA ALTA PRESSAO P/ A MAQUINA EHL0028, PRUDENTE -  - O.VENDA:SOG013955 REF.FISCAL:RFG028406 COD.CLI:907092 PED.CLI:LH30M 1253.99908 PEDIDO DO CLIENTE: LH30M 1253.99908 LINHA(S) 1: ICMS CALCULADO A ALIQUOTA DE 12% CONF. ART. 54 RICMS/SP, INCISO V E RESOLUCAO SF 04/98. REDESPACHO PELA TRANSPORTADORA ANDORINHA.</t>
  </si>
  <si>
    <t>CTE376451/376670/377059</t>
  </si>
  <si>
    <t xml:space="preserve"> CRISTINA - CTE. 376.451 VENC. VIA BOL. - FRETE REF. A COMPRA DE VALVULA PIN/MOL P/ O CAMINHÃO EJZ7303 E VALVULA BOT P/ O_x000D_CAMINHÃO SUY4F83, PRUDENTE / CRISTINA - CTE. 376.670 VENC. VIA BOL. - FRETE REF. AO TRANSPORTE DA BOMBA HIDRAULICA E BOMBA ALTA PRESÃO P/ AS_x000D_MAQUINAS EHL0043 E EHL0028, PRUDENTE / CRISTINA - CTE. 377.059 VENC. VIA BOL. - FRETE REF. A COMPRA DE CERDAS MISTAS P/ A BOBCAT CHN0029 QUE ESTA EM ROSANA</t>
  </si>
  <si>
    <t>NFE-43029</t>
  </si>
  <si>
    <t xml:space="preserve"> CRISTINA - NFE. 43.029 VENC. 23/09/25 VIA BOL. - REF. A COMPRA DE OLEO 68 P/ A REVISÃO DE 2MIL HORAS DA MAQUINA EHL0043</t>
  </si>
  <si>
    <t>NFE-577014</t>
  </si>
  <si>
    <t xml:space="preserve"> CRISTINA - NFE. 577.014 VENC. 25/09/25 VIA BOL. - REF. A COMPRA DE KIT MANUTENÇÃO P/ A REVISÃO DE 2MIL HORAS DA MAQUINA_x000D_EHL0043, MARINGA</t>
  </si>
  <si>
    <t>CTE-411060</t>
  </si>
  <si>
    <t xml:space="preserve"> CRISTINA - CTE. 411.060 VENC. 25/09/25 VIA BOL. - FRETE REF. A COMPRA DE OLEO P/ A MAQUINA EHL0043, MARINGA</t>
  </si>
  <si>
    <t>23106</t>
  </si>
  <si>
    <t>TRANSHIZZA TRANSPORTES DE CARGA E ENCOMENDAS LTDA</t>
  </si>
  <si>
    <t>NFE-43112</t>
  </si>
  <si>
    <t xml:space="preserve"> CRISTINA - NFE. 43.112 VENC. 26/09/25 10/10/25 VIA BOL. - REF. A COMPRA DE OLEO LIEBHERR 68 E 10W40 P/ AS MAQUINAS EHL0043 E_x000D_EHL0028,PRUDENTE E MARINGA</t>
  </si>
  <si>
    <t>RELATÓRIO CONSUMO DE COMBUSTÍVEL EMITIDO 08/10/25</t>
  </si>
  <si>
    <t>CTE411908/412554</t>
  </si>
  <si>
    <t xml:space="preserve"> CRISTINA - CTE. 411.908 VENC. - FRETE REF. A COMPRA DE OLEO LIEBHERR BASIC - 68 E 10W40 P/ AS MAQUINAS EHL0043 E EHL0028,_x000D_PRUDENTE / CRISTINA - CTE. 412.554 VENC. VIA BOL. - FRETE REF. A COMPRA DE OLEO LIEBHERR GEAR BASIC 90LS P/ AS MAQUINAS EHL0043 E_x000D_EHL0028, PRUDENTE</t>
  </si>
  <si>
    <t>NFE-869285</t>
  </si>
  <si>
    <t xml:space="preserve"> CRISTINA - NFE. 869.285 VENC. 30/09/25 VIA BOL. - REF. A COMPRA DE OLEO MAXLUB HLP AW68 P/ AS MAQUINAS (EHH0004, EHH0002,_x000D_EHL0043 E EHH0039) E CAMINHÕES (FRT7548, FJQ5A08, EWU5A85 E OON3B85) DE MARINGA</t>
  </si>
  <si>
    <t>NFE-43205</t>
  </si>
  <si>
    <t xml:space="preserve"> CRISTINA - NFE. 43.205 VENC. 15/10/25 VIA BOL. - REF. A COMPRA DE OLEO LIEBHERR GEAR BASIC 90 LS P/ AS MAQUINAS EHL0043 E_x000D_EHL0028, PRUDENTE</t>
  </si>
  <si>
    <t>NFE-512437</t>
  </si>
  <si>
    <t xml:space="preserve"> CRISTINA - NFE. 512.437 VENC. 05/10/25 VIA BOL. - REF. A COMPRA DE OLEO IPI ULTRAGEAR LS 80W90 P/ A MAQUINA EHL0043,_x000D_MARINGA</t>
  </si>
  <si>
    <t xml:space="preserve"> CRISTINA - NFE. 1.204 VENC. 15/10/25 VIA BOL. - REF. A COMPRA DE MANGUEIRA 1/4 X 1AT C/ 1800MM E CONEXÕES P/ A MAQUINA EHL0043, MARINGA</t>
  </si>
  <si>
    <t>24718</t>
  </si>
  <si>
    <t>COMERCIO DE MANGUEIRAS E CONEXÃ•ES LTDA</t>
  </si>
  <si>
    <t>NFE-38574</t>
  </si>
  <si>
    <t xml:space="preserve"> CRISTINA - NFE. 38.574 VENC. 16/10/25 VIA BOL. - REF. A COMPRA DE PONTEIRAS DA UNHA DA GARRA LIEBHEER P/ AS MAQUINA EHL0028, EHL0041 E EHL0043, PRUDENTE -  - VAL APROX DOS TRIBUTOS R$ 271,02 (13,45%) FONTE:IBPT</t>
  </si>
  <si>
    <t>30562</t>
  </si>
  <si>
    <t>FERRO SUL INDUSTRIA DE FUNDIDOS EIRELI</t>
  </si>
  <si>
    <t>CTE-651009</t>
  </si>
  <si>
    <t xml:space="preserve"> CRISTINA - CTE. 651.009 VENC. VIA BOL. - FRETE REF. A COMPRA DE PONTEIRAS DA UNHA DA GARRA DAS MAQUINA EHL0028,_x000D_EHL0041 E EHL0043, PRUDENTE</t>
  </si>
  <si>
    <t>30566</t>
  </si>
  <si>
    <t>EXPRESSO SAO MIGUEL LTDA</t>
  </si>
  <si>
    <t>NFE-43328</t>
  </si>
  <si>
    <t xml:space="preserve"> CRISTINA - NFE. 43.328 VENC. 16/10/25 30/10/25 VIA BOL. - REF. A COMPRA DE LIEBHERR HYDRAULIC BASIC 68 BRA P/ AS MAQUINAS_x000D_EHL0043 E EHL0028, PRUDENTE</t>
  </si>
  <si>
    <t>CTE-413251</t>
  </si>
  <si>
    <t xml:space="preserve"> CRISTINA - CTE. 413.251 VENC. VIA BOL. - FRETE REF. A COMPRA DE OLEO LIEBHERR HYRDRAULIC BASIC 68 BRA P/ AS MAQUINAS_x000D_EHL0043 E EHL0028, PRUDENTE</t>
  </si>
  <si>
    <t>NFE-1357</t>
  </si>
  <si>
    <t xml:space="preserve"> CRISTINA - NFE. 1.357 VENC. 25/10/25 VIA BOL. - REF. A COMPRA DE MANGUEIRA 3/4 R12 E CONEXÕES P/ A MAQUINA EHH0043,_x000D_
MARINGA</t>
  </si>
  <si>
    <t>NFE-2327</t>
  </si>
  <si>
    <t xml:space="preserve"> CRISTINA - NFE. 2.327 VENC. 25/10/25 VIA BOL. - REF. A COMPRA DE HIPPERCAP 40 P/ LAVAR AS MAQUINAS (EHH0004, EHH0002,_x000D_EHL0043 E EHH0039) DE MARINGA</t>
  </si>
  <si>
    <t>13045</t>
  </si>
  <si>
    <t>HIPPERQUIMICA PPERQUIMICA PRODUTOS QUIMICOS LTDA</t>
  </si>
  <si>
    <t>NFE-581395</t>
  </si>
  <si>
    <t>CRISTINA - NFE. 581.395 VENC. 09/11/25 VIA BOL. - REF. AS PEÇAS UTILIZADAS P/ MANUTENÇÃO DA MAQUINA EHH0043 DE MARINGA -  - O.VENDA:SOG017361 REF.FISCAL:RFG034841 COD.CLI:907092 PED.CLI:LH30M 1253.127615 PEDIDO DO CLIENTE: LH30M 1253.127615 REDESPACHO PELA TRANSPORADORA ANDORINHA.</t>
  </si>
  <si>
    <t>CTE384546/384448</t>
  </si>
  <si>
    <t>REF. CTES 384546 E 384448 CRISTINA - CTE. 384.546 VENC. 25/10/25 VIA BOL. - FRETE REF. A COMPRA DE REPARO CILINDRO DO GIRO P/ A MAQUINA EHH0009,_x000D_PRUDENTE / CRISTINA - CTE. 384.448 VENC. VIA BOL. - FRETE REF. A COMPRA DE KIT VEDAÇÃO COLETOR GIRATORIO E ARRUELA P/ A MAQUINA_x000D_EHL0043 DE MARINGA</t>
  </si>
  <si>
    <t>NFSE-55819</t>
  </si>
  <si>
    <t>- CRISTINA - NFS. 55.819 VENC. 15/11/25 VIA BOL. - REF. A INSPEÇÃO DO SISTEMA HIDRAULICO DO EQUIPAMENTO; VERIFICADO_x000D_TANQUE HIDRAULICO E VELA MAGNETICA QUE NÃO APRESENTAM LIMALHAS; VERIFICADO SISTEMA LOAD SENSE QUE TAMBEM SE_x000D_ENCONTRA EM FUNCIONAMENTO; REALIZADO TESTE DO SISTEMA DE ANGULAÇÃO LR DA BOMBA QUE TAMBEM APRESENTA O_x000D_FUNCIONAMENTO CORRETO; CHECADO O FUNCIONAMENTO DOS REGULADORES DA BOMBA E NÃO FOI OBSERVADO FALHAS;_x000D_REALIZADO TESTE DE PERFORMANCE DA BOMBA ONDE A MAXIMA PRESSÃO ENCONTRADA FOI DE 15BAR; REALIZADA A REMOÇÃO_x000D_DA BOMBA E INSTALADA A BOMBA ANTIGA;APOS INSTALAÇÃO A FALHA FOI SANADA E O EQUIPAMENTO LIBERADO P/ OPERAÇÃO;_x000D_DURANTE O PROCESSO DE REMOÇÃO E INSTALAÇÃO DA BOMBA FOI OBSERVADO QUE O DISCO DE ACOPLAMENTO SE ENCONTRA_x000D_COM DESGASTE ACENTUADO E DEVE SER SUBSTITUIDO - SERVIÇOS REALIZADOS DO DIA16/09 AO DIA 19/09, PEDIDO 4LJ059198,_x000D_MAQUINA EHL0043, CHASI 127615, PRUDENTE</t>
  </si>
  <si>
    <t>ADT25826</t>
  </si>
  <si>
    <t>ADIANTAMENTO CTE7908780 EM SUBSTITUIÇÃO DO CTE 7906066 - CRISTINA - CTE. 7906066 VENC. 16/10/2025 VIA PIX - FRETE REFERENTE AO TRANSPORTE DA BOMBA HIDRAULICA DUPLA DA MAQUINA_x000D__x000D__x000D_
EHL0043 DE MARINGA, MODIVO DA DEVOLUÇÃO, BOMBA ESTA COM DEFEITO.</t>
  </si>
  <si>
    <t>26635</t>
  </si>
  <si>
    <t>ALFA TRANSPORTES EIRELI</t>
  </si>
  <si>
    <t>sagi_relcons_abast_010</t>
  </si>
  <si>
    <t>RELATÓRIO GERADO NO SAGI DIA 02/12/2025</t>
  </si>
  <si>
    <t>CTE-7908780</t>
  </si>
  <si>
    <t xml:space="preserve"> COMPENSA  ADT25826 - CRISTINA - (ORDEM 25826) CTE FOI SUBSTITUIDA PELO CTE. 7.908.780</t>
  </si>
  <si>
    <t>CTE-7964160</t>
  </si>
  <si>
    <t xml:space="preserve"> CRISTINA - CTE. 7.964.160 VENC. 30/11/25 VIA BOL. - FRETE REF. AO REENVIO DA BOMBA HIDRAULICA DA MAQUINA LIEBHEER_x000D_
EHL0043, MARINGA</t>
  </si>
  <si>
    <t>NFSE-56134</t>
  </si>
  <si>
    <t xml:space="preserve"> - CRISTINA - NFS. 56.091 VENC. VIA BOL. - REF. A INSPEÇÃO DE 10.000HRS, FOI SUBSTITUIDO O CONJUNTO DE BOMBAS HIDRÁULICAS_x000D_
E PTO, FOI NECESSÁRIO DESMONTAR PERIFERIOS E LATARIA P/ REALIZAR O TRABALHO, FOI REALIZADO PREVENTIVA CONFORME_x000D_
PLANO 10.000 HORAS E SUBSTITUIDO TODOS OS OLEOS E FILTROS DO EQUIPAMENTO, FALTANDO SUBSTITUIR ÓLEO DAS 2_x000D_
CABEÇAS DE RODA EIXO TRASEIRO DEVIDO FALTA DE OLEO, DURANTE O PROCESSO DE INSPEÇÃO O FILTRO LUBRIFICANTE DO_x000D_
MOTOR NÃO SAIU E FOI PASSADO AO CLIENTE, JUNIOR FEZ A RETIRADA ASSUMINDO TODOS OS RISCOS E APÓS FOI FEITO A_x000D_
LIMPEZA O MAXIMO POSSIVEL NA AREA ENVOLTA P/ NÃO TER CHANCE DE TER RESÍDUOS, FOI VERIFICADO A FOLGA DE VALVULAS,_x000D_
FOI COLETADO AMOSTA DE TODOS OS PONTOS E PREENCHIDO RELATÓRIO LAROROIL NA MAQUINA EHL0043 DE MARINGA -_x000D_
SERVIÇO FOI REALIZADO DO DIA 08/09 AO 13/09 E DIA 19/09 - HRS DE TRABALHO NORMAL 31,25 R$10.852,20 HRS DE TRABALHO_x000D_
EXTRA 2,24 R$ 1.166,84 HRS DE VIAGEM NORMAL 8,13 R$ 1.668,19 HRS DE VIAGEM EXTRA 7,76 R$ 2.388,45 HOTEL R$ 640,00 KM 740 R$_x000D_
1.901,80</t>
  </si>
  <si>
    <t>NFE-585155</t>
  </si>
  <si>
    <t xml:space="preserve"> CRISTINA - NFE. 585.155 VENC. 19/12/25 VIA BOL. - REF. A COMPRA DE ELEMENTO DE SEGURANÇA P/ AS MAQUINAS EHL0043 DE MARINGA, EHL0013 DE PRUDENTE E EHL0042 DE DOURADOS -  - O.VENDA:SOG019771 REF.FISCAL:RFG039724 COD.CLI:907092 PED.CLI:APROVADO SQG032450 PEDIDO DO CLIENTE: APROVADO SQG032450 REDESPACHO PELA TRANSPORTADORA ANDORINHA.</t>
  </si>
  <si>
    <t>CTE 389634 -390244-  390243- 390440</t>
  </si>
  <si>
    <t xml:space="preserve"> CRISTINA - CTE. 389.634 VENC. VIA BOL. - FRETE REF. A COMPRA DE BORRACHA VEDAÇÃO E FECHADURA P/ A MAQUINA EHH0007 E PLACA E RETENTOR P/ A MAQUINA EHH0004, PRUDENTE_x000D_
_x000D_
CRISTINA - CTE. 390.244 VENC. VIA BOL. - FRETE REF. A COMPRA DE FILTRO DE COMBUSTIVEL, ELEMENTO FILTRANTE E KIT MANUTENÇÃO P/ REVISÃO DE 500HRS NA MAQUINA EHL0028 (11.441 HORAS), PRUDENTE _x000D_
_x000D_
CRISTINA - CTE. 390.243 VENC. VIA BOL. - FRETE REF. A COMPRA DE ELEMENTO DE SEGURANÇA P/ AS MAQUINA EHL0043 DE MARINGA, EHL0013 DE PRUDENTE E EHL0042 DE DOURADOS_x000D_
_x000D_
CRTISTINA - CTE. 390.440 VENC. VIA BOL. - FRETE REF. A COMPRA DE FILTROS P/ REVISÃO NA MAQUINA EHH0007, PRUDENTE</t>
  </si>
  <si>
    <t>sagi_relcons_abast_011</t>
  </si>
  <si>
    <t>RELATÓRIO GERADO NO SAGI DIA 11/12/2025</t>
  </si>
  <si>
    <t>NFE-95559</t>
  </si>
  <si>
    <t xml:space="preserve"> CRISTINA - NFE. 95.559 VENC. 05/01/26 VIA BOL. - REF. A COMPRA DE BOTA 41 P/ COLABORADOR PATRICIO E BOTA 38 P/_x000D_
COLABORADOR RODRIGO, PARAFUSOS P/ USO NA MAQUINA EHL0043, TINTA SPRAY AZUL ESCURO P/ A PRENSA MOVEL GDU0275 E_x000D_
LUVA TERMICA E ARAME MIG P/ A PRENSA FIXA JCG800 DE MARINGA</t>
  </si>
  <si>
    <t>31519</t>
  </si>
  <si>
    <t>R.M. COMERCIO DE PARAFUSOS E FERRAMENTAS LTDA</t>
  </si>
  <si>
    <t>NFSE-2</t>
  </si>
  <si>
    <t xml:space="preserve"> - CRISTINA - NFS. 2 VENC. 25/12/25 VIA PIX - REF. A SOLDA REALIZADA NO PINO DE TRAVA DA GARRA LIEBHERR EHL0043 R$60,00 DIA_x000D_
09/12 - SOLDA GERAIS REALIZADAS, SOLDA P/ TRAVAR A LANÇA TELESCÓPICA, SOLDA NA ESTRUTURA DA ESCADA E REGULAGEM_x000D_
DE PRESSÃO DA COMPACTAÇÃO R$300,00 DIA 10/12 E FAZER 02 PINOS DO CILINDRO COMPACTADOR, INSTALAR 01 E DEIXAR 01 DE_x000D_
RESERVA R$200,00 DIA 11/12 NA PRENSA MOVEL GDU0275, MARINGA</t>
  </si>
  <si>
    <t>31837</t>
  </si>
  <si>
    <t>LUCAS OLIVEIRA DE SOUZA</t>
  </si>
  <si>
    <t>sagi_relcons_abast_012</t>
  </si>
  <si>
    <t>RELATÓRIO GERADO NO SAGI DIA 21/01/2026</t>
  </si>
  <si>
    <t>MANUAL</t>
  </si>
  <si>
    <t>1.7.1.8.1</t>
  </si>
  <si>
    <t>EHL0041</t>
  </si>
  <si>
    <t>1.7.1.8.1 EHL0041</t>
  </si>
  <si>
    <t>NFE-568986</t>
  </si>
  <si>
    <t xml:space="preserve"> CRISTINA - NFE. 568.986 VENC. 04/07/2025 VIA BOL. - REF. A COMPRA DE KIT FILTROS DE 1000 HORAS P/AS LIEBHERR EHL0028 PRUDENTE E EHL0041 JOINVILLE. -  - O.VENDA:SOG009318 REF.FISCAL:RFG019021 COD.CLI:907092 PED.CLI:LH30M 1253.99908 PEDIDO DO CLIENTE: LH30M 1253.99908 REDESPACHO PELA TRANSPORTADORA ANDORINHA.</t>
  </si>
  <si>
    <t>CTE-136505</t>
  </si>
  <si>
    <t xml:space="preserve"> _x000D_
CRISTINA - NFS 136505 VENC VIA BOL - REF. AO SERVIÇO DE FRETE AO ENVIO DE FILTROS DE PRESIDENTE PRUDENTE PARA_x000D_
JOINVILLE PARA A MAQUINA EHL0041_x000D_</t>
  </si>
  <si>
    <t>22924</t>
  </si>
  <si>
    <t>EXPRESSO SAO MIGUEL S/A</t>
  </si>
  <si>
    <t>NFE-120542</t>
  </si>
  <si>
    <t xml:space="preserve"> CRISTINA - NFE. 120.542 VENC 10/07/25 VIA BOL - REF. A COMPRA DE PRODUTOS PARA O VEICULO EHL0041 JOINVILLE -  - VAL APROX TRIBUTOS, F=48,29 (14,21%) E=53,55 (15,75%) FONTE: IBPT-SOLICITANTE: CRISTIANO- DEVOLUCAO SOMENTE COM AUTORIZACAO E APRESENTACAO DA NOTA FISCAL COM A MERCADORIA.-PEDIDO:122067-EXPEDICAO:110813VEND.: RAFAEL</t>
  </si>
  <si>
    <t>CTEANDORINHA</t>
  </si>
  <si>
    <t>REF. CTE ANDORINHA CTE'S 365531 - 365925 - 365951 - 365923 CRISTINA  VENC. 05/07/2025 VIA BOL - REF. AO SERVIÇO DE FRETE AO ENVIO DE FILTROS DE SÃO PAULO PARA_x000D_PRESIDENTE PRUDENTE PARA A MAQUINA EHH0005_x000D_
AO SERVIÇO DE FRETE PARA O TRANSPOTE DE CONJUTO DE POLIA AR DE_x000D_SÃO PAULO PARA PRESIDENTE PRUDENTE DESTINADO AS MAQUINAS EHH0007 E EHH0006_x000D_
CRISTINA - NFS. 365.951 VENC. 05/07/2025 VIA BOL. - REF. AO SERVIÇO DE FRETE PARA O TRANSPORTE DE FILTROS DAS MAQUINAS_x000D_EHL0041 E EHL0028 DE GUARULHOS PARA PRESIDENTE PRUDENTE_x000D_
CRISTINA - NFS. 365923 VENC. 05/07/2025 VIA BOL. - REF. AO SERVIÇO DE FRETE PARA O TRANSPORTE DE PEÇAS PARA OS_x000D_CAMINHÕES CZB9H07 E GDA9J63 DE SÃO PAULO PARA PRESIDENTE PRUDENTE</t>
  </si>
  <si>
    <t>NFE-5183</t>
  </si>
  <si>
    <t xml:space="preserve"> CRISTINA - NFE. 5.183 VENC. 15/09/25 VIA BOL. - REF. AS PEÇAS UTILIZADAS NA MANUTENÇÃO CORRETIVA DO SISTEMA DE AR CONDICIONADO DA MAQUINA EHL0041, JOIVILLE -  - VAL APROX DOS TRIBUTOS R$41,83(3,36%) FONTE IBPT.DOCUMENTO EMITIDO POR MICRO EMPRESA OPTANTE DO SIMPLES NACIONAL -GARANTIA LEGAL DE 90 DIAS NOS ITENS APLICADOS NO VEICULO ESCAVADEIRA LIEBHERR - LH 30 M LITRONIC -2021- FORMA DE PAGAMENTO:15DDF- SERVICO EXEC EM 01/09/2025 - NFSE 3841-AUTORIZADO POR SR.(A):CRISTIANO/ WAGNER JUNIOR</t>
  </si>
  <si>
    <t>30481</t>
  </si>
  <si>
    <t>JOINVILLE COMERCIO DE ACESSORIOS PARA VEICULOS LTDA ME</t>
  </si>
  <si>
    <t>NFSE-3841</t>
  </si>
  <si>
    <t xml:space="preserve"> - CRISTINA - NFS. 3.841 VENC. 15/09/25 VIA BOL. - REF. A MÃO DE OBRA TECNICA P/ MANUTENÇÃO CORRETIVA DO SISTEMA DE AR_x000D_CONDICIONADO NA MAQUINA EHL0041, JOINVILLE</t>
  </si>
  <si>
    <t>7.2.6</t>
  </si>
  <si>
    <t>EVENTOS ENDOMARKETING</t>
  </si>
  <si>
    <t>7.2.6 EVENTOS ENDOMARKETING</t>
  </si>
  <si>
    <t>A11441</t>
  </si>
  <si>
    <t>A11441 PIX REFERENTE PREMIAÇÃO DE ANIVERSARIO</t>
  </si>
  <si>
    <t>30207</t>
  </si>
  <si>
    <t>RIVAEL BARRETO DA SILVA</t>
  </si>
  <si>
    <t>4.05.04 DESPESA COM EVENTOS ENDOMARKETING</t>
  </si>
  <si>
    <t>NFSE-3495905</t>
  </si>
  <si>
    <t>- [GIULIANA] REF A SERVIÇOS PRESTADOS DE LICENCIAMENTO DE PROGRAMAS DE COMPUTADOR - FLASH EXPENSE_x000D__x000D__x000D_
PERIODO: SETEMBRO/2025_x000D__x000D__x000D_
NFS 003.495.905 VENCIMENTO 15/10/2025_x000D__x000D__x000D_
PAGAMENTO VIA BOLETO BANCARIO</t>
  </si>
  <si>
    <t>NFE-582820</t>
  </si>
  <si>
    <t>CRISTINA - NFE. 582.820 VENC. 26/11/25 VIA BOL. - REF. A COMPRA DE KIT DE MANUTENÇÃO 500H, FILTRO DE COMBUSTIVEL E ELEMENTO FILTRANTE P/ A MAQUINA EHH0041, JOINVILLE(TRANSPORADORA RESPONSAVEL ANDORINHA) -  - O.VENDA:SOG018323 REF.FISCAL:RFG036744 COD.CLI:907092 PED.CLI:026014 PEDIDO DO CLIENTE: 026014 REDESPACHO PELA TRANSPRTADORA ANDORINHA.</t>
  </si>
  <si>
    <t>OC26151 E OC26169</t>
  </si>
  <si>
    <t xml:space="preserve">CRISTINA - CTE. 1.410.442 VENC. VIA BOL. - FRETE REF. A COMPRA DE 2 BALDES DE GRAXA EP 00 P/ A PRENSA PHH0045, PRUDENTE_x000D__x000D__x000D_
_x000D__x000D__x000D_
CRISTINA - CTE. 148.307 VENC. 10/11/25 VIA BOL. - FRETE REF. AO ENVIO DE 5 UNHAS DA GARRA, 1 KIT DE FILTROS E 2 BALDES DE OLEO 10W40 P/ A MAQUINA EHL0041, JOINVILLE_x000D__x000D__x000D_
</t>
  </si>
  <si>
    <t>22858</t>
  </si>
  <si>
    <t>EXPRESSO SAO MIGUEL S/A SC</t>
  </si>
  <si>
    <t>OC25990-25993-26102</t>
  </si>
  <si>
    <t>CRISTINA - CTE. 386.892 VENC. VIA BOL. - FRETE REF. A COMPRA DE FILTROS E KIT MANUTENÇÃO P/ A MAQUINA EHH0041 DE JOINVILLE (MERCADORIA ENTREGUE EM PRUDENTE E VAI SER ENVIADA PARA JOINVILLE)_x000D__x000D__x000D_
_x000D__x000D__x000D_
CRISTINA - CTE. 386.027 VENC. VIA BOL. - FRETE REF. A COMPRA DE FILTRO DE AR INTERNO E EXTERNO, MANGOTE DA TURBINA E ABRAÇADEIRA SILENCIOSO P/ A MAQUINA EHH0009, PRUDENTE_x000D__x000D__x000D_
_x000D__x000D__x000D_
CRISTINA - CTE. 385.978 VENC. VIA BOL. - FRETE REF. A COMPRA DE KITS DE VEDAÇÃO DO CILINDRO E KITS VEDAÇÃO DO MANCAL HASTE P/ A MAQUINA EHL0028, PRUDENTE</t>
  </si>
  <si>
    <t>CTE-151948</t>
  </si>
  <si>
    <t xml:space="preserve"> CRISTINA - CTE. 151.948 VENC. VIA BOL. - FRETE REF. AO ENVIO DE FILTRO DA MATRIZ EM PRUDENTE P/ A MAQUINA EHL0041 EM JOINVILLE</t>
  </si>
  <si>
    <t>7.3.19</t>
  </si>
  <si>
    <t>FERIAS</t>
  </si>
  <si>
    <t>7.3.19 FERIAS</t>
  </si>
  <si>
    <t>FERIASG&amp;S05122025</t>
  </si>
  <si>
    <t>FERIAS FINAL DO ANO DEZ 2025 PAGTO REF A FERIAS RECESSO FINAL DO ANO DEZEMBRO 2025 ( CRISTIANO TUPY)</t>
  </si>
  <si>
    <t>745</t>
  </si>
  <si>
    <t>G&amp;S TRANSPORTE LOGISTICA E LOCACAO DE MAQUINAS E EQUIPAMENTO</t>
  </si>
  <si>
    <t>Salário</t>
  </si>
  <si>
    <t>NFSE-1979</t>
  </si>
  <si>
    <t xml:space="preserve"> - CRISTINA - NFS: 1.979 VENC: 25/12/25 VIA PIX - REF. A INSTALAÇÃO DE 2 BATERIAS HELIAR 150AH P/ MAQUINA EHL0041 DE JOINVILLE</t>
  </si>
  <si>
    <t>31845</t>
  </si>
  <si>
    <t>JR REPARACAO AUTOMOTIVA E PECAS LTDA</t>
  </si>
  <si>
    <t>NFE-10625387</t>
  </si>
  <si>
    <t xml:space="preserve"> CRISTINA - NFE. 10.625.387 VENC. 25/12/25 VIA PIX - REF. A COMPRA DE 02 BATERIAS HELIAR DE 150 AH P/ A MAQUINA EHL0041, JOINVILLE -  -</t>
  </si>
  <si>
    <t>observação</t>
  </si>
  <si>
    <t>TipoSaídas (Aplicações)</t>
  </si>
  <si>
    <t>C/D</t>
  </si>
  <si>
    <t>F/V</t>
  </si>
  <si>
    <t>D/I</t>
  </si>
  <si>
    <t>Natureza</t>
  </si>
  <si>
    <t>Tipo_C/D_DFC</t>
  </si>
  <si>
    <t>G&amp;G MARINGA</t>
  </si>
  <si>
    <t>SERVICO DE TORNO PHH0044</t>
  </si>
  <si>
    <t>NILTON ALVES DOS SANTOS 04834278964</t>
  </si>
  <si>
    <t>Saídas (Aplicações)</t>
  </si>
  <si>
    <t>MAN VEIC - SERVICOS</t>
  </si>
  <si>
    <t>Custo</t>
  </si>
  <si>
    <t>Variável</t>
  </si>
  <si>
    <t>Indireto</t>
  </si>
  <si>
    <t>1.2.5</t>
  </si>
  <si>
    <t>PRESIDENTE PRUDENTE</t>
  </si>
  <si>
    <t>1.2.5 PRESIDENTE PRUDENTE</t>
  </si>
  <si>
    <t>1.2.5.3</t>
  </si>
  <si>
    <t>OPERACIONAL</t>
  </si>
  <si>
    <t>1.2.5.3 OPERACIONAL</t>
  </si>
  <si>
    <t>7.7.1</t>
  </si>
  <si>
    <t>SERVIÇOS CONTRATADOS</t>
  </si>
  <si>
    <t>7.7.1 SERVIÇOS CONTRATADOS</t>
  </si>
  <si>
    <t>AL24669</t>
  </si>
  <si>
    <t>MARCONDES - PAGAMENTO VIA CARTÃO ALELO - VENCIMENTO 05/01/24 S/N_x000D_
REF. AO CONSERTO DE 3 JOYSTICK, SENDO 2 PARA A PRENSA GBL8H44 PRUDENTE E 1 PARA A PHH0049 PRUDENTE</t>
  </si>
  <si>
    <t>TIAGO LIMA MENDONCA</t>
  </si>
  <si>
    <t>G&amp;G MATRIZ</t>
  </si>
  <si>
    <t>GEOMAQ TRATORPECAS LTDA</t>
  </si>
  <si>
    <t>MAN VEIC PECAS - FILTROS</t>
  </si>
  <si>
    <t>PECAS</t>
  </si>
  <si>
    <t>LUBRIFICANTES - TODOS</t>
  </si>
  <si>
    <t>COMBUSTÍVEL - DIESEL</t>
  </si>
  <si>
    <t>7.1.4 COMBUSTÍVEL - DIESEL</t>
  </si>
  <si>
    <t>COMBUSTIVEL - DIESEL</t>
  </si>
  <si>
    <t>MOGI BRONZE COMERCIO DE FERRAGENS LTDA</t>
  </si>
  <si>
    <t>RODONAVES TRANSP. E ENC. LTDA</t>
  </si>
  <si>
    <t>FRETES PAGOS</t>
  </si>
  <si>
    <t>OLITRACTOR COMERCIO DE PECAS LTDA</t>
  </si>
  <si>
    <t>CASSIANA GRZYBOWSKI</t>
  </si>
  <si>
    <t>G&amp;G - MATO GROSSO DO SUL</t>
  </si>
  <si>
    <t>AGRIFLEX COMERCIO DE MANGUEIRAS E CONEXOES HIDRAULICAS LTDA</t>
  </si>
  <si>
    <t>TORNEARIA RECH LTDA</t>
  </si>
  <si>
    <t>TRIMETAIS BENEF DE ACO LTDA</t>
  </si>
  <si>
    <t>1.7.1.1</t>
  </si>
  <si>
    <t>APOIO</t>
  </si>
  <si>
    <t>1.7.1.1 APOIO</t>
  </si>
  <si>
    <t>CC098215032024</t>
  </si>
  <si>
    <t>CARTÃO DE CRÉDITO FINAL 0982 USO WAGNER JUNIOR - DESP. DEDUTÍVEIS: 19 ABASTECIMENTOS, 01 CHUVEIRO PARA CASA DE JOINVILLE, 01 PEÇA P/ MANUTENÇÃO DA MAQUINA EHH0044 E 03 REFEIÇÕES / DESP. INDEDUTÍVEIS: 02 REFEIÇÕES, SENDO UMA COM PRESTADOR DE SERVIÇO DE DOURADOS E OUTRA COM OPERADORES DE BARRA MANSA</t>
  </si>
  <si>
    <t>WAGNER CALDEIRA DA SILVA JUNIOR</t>
  </si>
  <si>
    <t>Despesa</t>
  </si>
  <si>
    <t>TW TRANSPORTES E LOGISTICA LTDA</t>
  </si>
  <si>
    <t>MATERIAL DE EXPEDIENTE - CONSUMO PROPRIO</t>
  </si>
  <si>
    <t>LIEBHERR BRASIL LTDA</t>
  </si>
  <si>
    <t>CC0982150424</t>
  </si>
  <si>
    <t>CARTÃO DE CRÉDITO FINAL 0982 USO WAGNER JUNIOR - DESP DEDUTÍVEIS: 11 ABASTECIMENTOS, 1 REFEIÇÃO PARA TODOS OS OPERADORES DE JOINVILLE E COMPRA DE UM FAROL DE MILHA PARA MAQUINA EHH0044 / DESP. INDEDUTÍVEIS: 01 REFEIÇÃO PARA TODOS OS OPERADORES DE JOINVILLE SEM COMPROVANTE</t>
  </si>
  <si>
    <t>EQUIPARTES SOLUCOES PORT E IND LTDA</t>
  </si>
  <si>
    <t>COMPACTA COMERCIO, LOCACAO E SERVICOS LTDA</t>
  </si>
  <si>
    <t>JOSE ADILSON FAZIONI 09753723865</t>
  </si>
  <si>
    <t>Fixo</t>
  </si>
  <si>
    <t>Direto</t>
  </si>
  <si>
    <t>AZ SERVICOS DE CARGA E DESCARGA LTDA-ME</t>
  </si>
  <si>
    <t>CHAPA / CARGA, DESCARGA</t>
  </si>
  <si>
    <t>BRS TRACTOR COMERCIO E SERVICOS LTDA</t>
  </si>
  <si>
    <t>7.6.1</t>
  </si>
  <si>
    <t>GÁS - GLP/ACETILENO/OXIGENIO</t>
  </si>
  <si>
    <t>7.6.1 GÁS - GLP/ACETILENO/OXIGENIO</t>
  </si>
  <si>
    <t>SERVICOS DE P.JURIDICAS - OUTROS</t>
  </si>
  <si>
    <t>TRANSP. LOG. OLEO BAURU EIRELI</t>
  </si>
  <si>
    <t>J B COMERCIO DE AUTO PECAS LTDA</t>
  </si>
  <si>
    <t>LUBFIL COMERCIO LUBRIFICANTES E FILTROS LTDA</t>
  </si>
  <si>
    <t>GUILHERME FIGUEIRO BELLATO &amp; CIA LTDA</t>
  </si>
  <si>
    <t>MANGUEIRACO COMERCIO DE MANGUEIRAS E CONEXOES LTDA</t>
  </si>
  <si>
    <t>SCANTECH AUTO ELETRICA LTDA</t>
  </si>
  <si>
    <t>ACIPAR LUBRIFICANTES LTDA</t>
  </si>
  <si>
    <t>JK TORNEARIA PECAS E MANGUEIRAS LTDA</t>
  </si>
  <si>
    <t>RODONAVES TRANSPORTES E ECOMENDAS</t>
  </si>
  <si>
    <t>AL54353</t>
  </si>
  <si>
    <t>COMPRA DE CHAVES PARA MAQUINA EHL0041 - CARTAO ALELO FINAL 3014 USO JOAO</t>
  </si>
  <si>
    <t>CHAVEIRO JC VILLE</t>
  </si>
  <si>
    <t>CUSTEIO ABSORÇÃO</t>
  </si>
  <si>
    <t>VG_BCBI+</t>
  </si>
  <si>
    <t>7.5.22</t>
  </si>
  <si>
    <t>DESPESAS BANCARIAS</t>
  </si>
  <si>
    <t>7.5.22 DESPESAS BANCARIAS</t>
  </si>
  <si>
    <t>NFSE-3983577</t>
  </si>
  <si>
    <t xml:space="preserve"> [GIULIANA] REF A SERVIÇOS PRESTADOS DE LICENCIAMENTO DE PROGRAMAS DE COMPUTADOR - FLASH EXPENSE_x000D_
PERIODO: DEZEMBRO/2025_x000D_
NFS 003.983.577 VENCIMENTO 15/01/2026_x000D_
PAGAMENTO VIA BOLETO BANCARIO</t>
  </si>
  <si>
    <t>4.07.01 DESPESA COM DESPESAS BANCÁRIAS</t>
  </si>
  <si>
    <t>4.07 DESPESA FINANCEIRA</t>
  </si>
  <si>
    <t>03. GASTO VARIÁVEL</t>
  </si>
  <si>
    <t>NFSE-48</t>
  </si>
  <si>
    <t xml:space="preserve"> - CRISTINA - NFS. 48 VENC. 15/01/26 VIA PIX - REF. AOS SERVIÇOS DE BORRACHARIA PRESTADOS EM RESENDE_x000D_
EWU5857 - 2 DESMONTAGEM/MONTAGEM, 1 CONSERTO E 1 BICO 200,00_x000D_
EWU5857 - 1 DESMONTAGEM/MONTAGEM, 1 CONSERTO E 1 TROCA 140,00_x000D_
GBL8H44 - 1 DESMONTAGEM/MONTAGEM E 1 CONSERTO 70,00_x000D_
GBL8H44 - 1 DESMONTAGEM/MONTAGEM, 2 CONSERTOS E 1 SOCORRO 650,00_x000D_
EWU5857 - 1 DESMONTAGEM/MONTAGEM E 1 TROCA 140,00_x000D_
GBL8H44 -2 RECAPAGENS, 2 VULCANIZAÇÃO, 2 DESMONTAGEM/MONTAGEM, 2 BICOS, 1 CONSERTO 2.630,00</t>
  </si>
  <si>
    <t>7.5.17</t>
  </si>
  <si>
    <t>TAXAS</t>
  </si>
  <si>
    <t>7.5.17 TAXAS</t>
  </si>
  <si>
    <t>TAXA GBL8H44 DETRAN</t>
  </si>
  <si>
    <t xml:space="preserve"> HUGO - TAXA DE TRANSFERENCIA REGULARIZAÇÃO PLACA GBL8H44 RENAVAM 01281034034 - ALIENAÇÃO BNDES BANCO DO BRASIL</t>
  </si>
  <si>
    <t>4.04.23 DESPESA COM TAXAS</t>
  </si>
  <si>
    <t>NFSE-1</t>
  </si>
  <si>
    <t xml:space="preserve"> - CRISTINA - NFS. 1 VENC. 14/01/26 VIA PIX - REF. A USINAGEM DE BUCHA CONFORME EXISTENTE E M AÇO 1020 NA PRENSA MOVEL_x000D_
GBL8H44, RESENDE</t>
  </si>
  <si>
    <t>31943</t>
  </si>
  <si>
    <t>R SILVA INDUSTRIA METALURGICA E COMERCIO</t>
  </si>
  <si>
    <t>NFSE-87</t>
  </si>
  <si>
    <t xml:space="preserve"> - CRISTINA - NFS. 87 VENC. 25/01/26 VIA PIX - REF. A TROCA DE BOTÃO COM DEFEITO DE JOYSTICK DA PRENSA MOVEL GBL8H44 DE_x000D_
RESENDE</t>
  </si>
  <si>
    <t>NFSE-4</t>
  </si>
  <si>
    <t xml:space="preserve"> - CRISTINA - NFS. 4 VENC. 25/01/26 VIA PIX - REF. A SOLDA DO TRINCO DA TAMPA DO LADO ESQUERDO R$450,00 SOLDA DO CAVALETE_x000D_
DE FIXAÇÃO DO CILINDRO R$500,00 CORTE COM SOLDA E REAJUSTE DA TAMPA DO L R$650,00 REPOSICIONAMENTO DA CHAPA DE_x000D_
FIXAÇÃO R$200,00 DISCO DE TACOGRAFO R$35,00 FUSIVEL M 10A R$4,00 E FUSIVEL DE PINO 15A R$2,00 NA PRENSA MOVEL_x000D_
GBL8H44, RESENDE</t>
  </si>
  <si>
    <t>NFSE-104</t>
  </si>
  <si>
    <t xml:space="preserve"> - CRISTINA - NFS. 104 VENC. 26/01/26 VIA PIX - REF. AO SERVIÇO DE TRAVAMENTO DOS BLOCOS PRENSADORES; SACAR PISTÃO DO_x000D_
BLOCO PRENSADOR; RETIRAR, PREPARAR E INSTALAR SUPORTE DE APOIO DO BRAÇO HIDRÁULICO DA GARRA R$2.200,00 REMOÇÃO_x000D_
DA BUCHA E LIMPEZA DO BLOCO PRENSADOR R$1.400,00 ALINHAMENTO E SOLDAGEM NA BUCHA NO BLOCO PRENSADOR R$1.800,00_x000D_
NA PRENSA MOVEL GBL8H44, RESENDE</t>
  </si>
  <si>
    <t>31999</t>
  </si>
  <si>
    <t>LUIZ APARECIDO BORDON</t>
  </si>
  <si>
    <t>X28230</t>
  </si>
  <si>
    <t xml:space="preserve"> CRISTINA - S/N VENC. 30/01/26 VIA DEPOSITO - REF. AO SERVIÇO DE SOLDA NO PISTÃO QUE ESTAVA RISCADO P/ NÃO DANIFICAR OS_x000D_
RETENTORES, FOI PREENCHIDO E FEITO ACABAMENTO, NA PRENSA MOVEL GBL8H44, RESENDE</t>
  </si>
  <si>
    <t>31791</t>
  </si>
  <si>
    <t>DAVIDSON THIAGO DOS SANTOS</t>
  </si>
  <si>
    <t>NFSE-34188</t>
  </si>
  <si>
    <t xml:space="preserve"> [GIULIANA] REF A SERVIÇOS PRESTADOS DA PLATAFORMA DE DESPESAS CORPORATIVAS PAYFY_x000D_
PERIODO: FEVEREIRO/2026_x000D_
NFS 000.034.188 VENCIMENTO 10/02/2026_x000D_
PAGAMENTO VIA BOLETO BANCARIO</t>
  </si>
  <si>
    <t>32092</t>
  </si>
  <si>
    <t>PAYFY S/A</t>
  </si>
  <si>
    <t>02. GASTO FIXO</t>
  </si>
  <si>
    <t>NFSE-4144482</t>
  </si>
  <si>
    <t xml:space="preserve"> [GIULIANA] REF A SERVIÇOS PRESTADOS DE LICENCIAMENTO DE PROGRAMAS DE COMPUTADOR - FLASH EXPENSE_x000D_
PERIODO: JANEIRO/2026_x000D_
NFS 004.144.482 VENCIMENTO 15/02/2026_x000D_
PAGAMENTO VIA BOLETO BANCARIO</t>
  </si>
  <si>
    <t>NFSE-14</t>
  </si>
  <si>
    <t xml:space="preserve"> CRISTINA - NFS. 14 VENC. 15/02/26 VIA PIX - REF. AO SERVIÇO DE BOLSA 4 PINO R$1.261,00 TROCA DE BOLSA R$194,00 RETIRADA DE_x000D_
PARAFUSO QUEBRADO DA SAPATA R$97,00 SOLDA POR PONTOS R$824,50 NA PRENSA MOVEL GBL8H44, RESENDE</t>
  </si>
  <si>
    <t>NFSE-52</t>
  </si>
  <si>
    <t xml:space="preserve"> - CRISTINA - NFS. 52 VENC. 25/02/26 VIA PIX - REF. AOS SERVIÇOS DE BORRACHARIA NA CIDADE DE RESENDE:_x000D_
GBL8H44 - 02 DESMONTAGEM / MONTAGEM 140,00_x000D_
GBL8H44 (HR: 7.212) - 01 TROCA 70,00_x000D_
GBL8H44 (HR: 7.244) - 01 DESMONTAGEM / MONTAGEM (R$80,00) E 01 CONSERTO MAIS BICO (R$40,00) 120,00_x000D_
GBL8H44 - 02 DESMONTAGEM / MONTAGEM (160,00), 01 CONSERTO (R$80,00) E 02 VULCANIZAÇÕES (R$450,00) 690,00</t>
  </si>
  <si>
    <t>CTE-398810/399390/399758/399917/400493/400313</t>
  </si>
  <si>
    <t xml:space="preserve"> OC 28371 - CRISTINA - CTE. 398.810 VENC. VIA BOL. - FRETE REF. A COMPRA DE FILTROS P/ REVISÃO DE 5.600 HORAS NA MAQUINA EHH0009,_x000D_
PRUDENTE /_x000D_
OC 28471 - CRISTINA - CTE. 399.390 VENC. VIA BOL. - FRETE REF. A COMPRA DE HELICE C/9 PS P/ USO NA MAQUINA EHH0009, PRUDENTE /_x000D_
OC 28523 - CRISTINA - CTE. 399.758 VENC. VIA BOL. - FRETE REF. A COMPRA DE FILTRO DE SUCÇÃO E DE RETORNO P/ USO NA MAQUINA_x000D_
EHH0009, PRUDENTE /_x000D_
OC 28531 - CRISTINA - CTE. 399.917 VENC. VIA BOL. - FRETE REF. A COMPR ADE FAROL DE MILHA P/ USO NO CAMINHÃO OON3B85, PRUDENTE /_x000D_
OC 28655 - CRISTINA - CTE. 400.493 VENC. 25/02/26 VIA BOL. - FRETE REF. A COMPRA DE SENSORES INDUITIVOS P/ USO NAS PRENSA MOVEIS_x000D_
GDU0275, GBL8H44, PHH0062 E SWQ2C15 /_x000D_
OC 28659 - CRISTINA - CTE. 400.313 VENC. 25/02/26 VIA BOL. - FRETE REF. A COMPRA DE KIT VEDAÇÃO COLETOR GIRATORIO P/ USO NA_x000D_
MAQUINA EHL0028, PRUDENTE</t>
  </si>
  <si>
    <t>NFE-77</t>
  </si>
  <si>
    <t xml:space="preserve"> CRISTINA - NFE. 77 VENC. 25/02/26 VIA BOL. - REF. A COMPRA DE OLEO 15W40 MULT LUB P/ USO NA PRENSA MOVEL GBL8H44, RESENDE - DOCUMENTO EMITIDO POR ME OU EPP OPTANTE PELO SIMPLES NACIONAL. NAO GERA DIREITO A CREDITO FISCAL DE IPI. PERMITE O APROVEITAMENTO DO CREDITO DE ICMS NO VALOR DE R$ 272,30 ; CORRESPONDENTE A ALIQUOTA DE 7,00 , NOS TERMOS DO ART. 23 DA LC 123/2006 - SOLICITANTE: SILVANO/VINICIUS VILELA / EQUIPAMENTO: GBL8H44/ HORIMETRO 7144 VENDEDOR: VITORIA PAGAMENTO SEM ENTRADA  PLANO DE PAGAMENTO: 34 DIAS FORMA DE PAGAMENTO: BOLETO USUARIO: VITORIA VALOR APROXIMADO TRIBUTOS FEDERAIS R$ 523,20 (13,45 %) VALOR APROXIMADO TRIBUTOS ESTADUAIS R$ 466,80 (12,00 %) FONTE: IBPT CHAVE TABELA: 1C2537</t>
  </si>
  <si>
    <t>NFE-1829</t>
  </si>
  <si>
    <t>REF. ADT27721 CRISTINA - NOTA FISCAL SERÁ EMITIDA APÓS O PAGAMENTO DA PRIMEIRA PARCELA COMO ADIANTAMENTO VENC. 15/01/26 3.870,00 (30% ANTECIPADO) + 05/02/26 - 25/02/26 - 15/03/26 VIA TRANSF. - REF. A COMPRA DE KIT AR CONDICIONADO ELETRICO P/ USO NA PRENSA MOVEL PHH0062 E GBL8H44. -  - TRIBUTOS APROXIMADOS R$ 1.735,05 FEDERAL E R$ 2.193,00 ESTADUAL FONTE: IBPT/FECOMERCIO RS (D8CAC2)LT;BRGT;IPI - ALIQUOTA 0% CFE. TABELA TIPILT;BRGT;O.C.: 27721LT;BRGT;LT;BRGT;FATURA 001 JA LIQUIDADA (15/01/2026)</t>
  </si>
  <si>
    <t>31928</t>
  </si>
  <si>
    <t>L&amp;L VAZQUEZ INDUSTRIA DE AR CONDICIONADO LTDA</t>
  </si>
  <si>
    <t>NFE-1999</t>
  </si>
  <si>
    <t xml:space="preserve"> CRISTINA - NFE. 1.999 VENC. 05/03/26 VIA PIX - REF. A COMPRA DE 2 KITS TAMPA DO COMPACTADOR P/ USO NA PRENSA MOVEL GBL8H44, RESENDE - PIX; - I  -DOCUMENTO EMITIDO POR ME OU EPP OPTANTE PELO SIMPLES NACIONAL.; II - NAO GERA DIREITO A CREDITO FISCAL DE IPI.; VALOR APROXIMADO DOS TRIBUTOS CONFORME LEI 12.741/2012: FEDERAL R$ 472,55 - ESTADUAL R$ 131,65 FONTE: IBPT - PIX; - I  -DOCUMENTO EMITIDO POR ME OU EPP OPTANTE PELO SIMPLES NACIONAL.; II - NAO GERA DIREITO A CREDITO FISCAL DE IPI.; VALOR APROXIMADO DOS TRIBUTOS CONFORME LEI 12.741/2012: FEDERAL R$ 472,55 - ESTADUAL R$ 131,65 FONTE: IBPT</t>
  </si>
  <si>
    <t>NFSE-113</t>
  </si>
  <si>
    <t xml:space="preserve"> - CRISTINA - NFS. 113 VENC. 05/03/26 VIA TRANSF. - REF. AO SERVIÇO DE TORNEAR 02 PINOS DE AÇO DA PRENSA MOVEL GBL8H44,_x000D_
RESENDE</t>
  </si>
  <si>
    <t>32215</t>
  </si>
  <si>
    <t>G. RUTTKOWSKI - TORNO E SOLDA LTDA</t>
  </si>
  <si>
    <t>CF7429022026</t>
  </si>
  <si>
    <t xml:space="preserve"> CARTAO FLASH FINAL 7429 - USO DANIEL JUNIOR - DESPESA DEDUTIVEL REF A 2 ABASTECIMENTO DIESEL E 2 ETANOL, UMA COMPRA DE FILTRO PARA PRENSA E UMA DE AMORTECEDORES/ DESPESA INDEDUTIVEL REF A BORRACHARIA, 2 COMPRAS DE PARAFUSOS E 37 UBERS_x000D_
</t>
  </si>
  <si>
    <t>CF9520022026</t>
  </si>
  <si>
    <t xml:space="preserve"> CARTAO FLASH FINAL 9520 - USO SILVANO - DESPESA DEDUTIVEL REF A 6 ABASTECIMENTO DE ETANOL/ DESPESA INDEDUTIVEL REF A 2 UBERS E UM CONSERTO DE PNEUS _x000D_
</t>
  </si>
  <si>
    <t>6715</t>
  </si>
  <si>
    <t>SILVANO VIEIRA DE SANTANA</t>
  </si>
  <si>
    <t>NFE-4498</t>
  </si>
  <si>
    <t xml:space="preserve"> CRISTINA - NFE. 4.498 VENC. 15/03/2026 VIA BOL. - REF. A COMPRA DE 03 LATAS DE TINTA AZUL DEL REY FOSCO A BASE DE SOLVENTE P/PINTURA DAS CAIXAS ROLLON N° 1.033 E 1.203 PRUDENTE. -  - -MERCADORIA QUE SEGUE PARA USO EM PROCESSOINDUSTRIALIZACAO DE OUTRO PRODUTO PELODESTINATARIO. NAO APLICACAO DA SUBSTITUICAOTRIBUTARIA DE ACORDO COM ARTIGO 264,INCISO I RICMS, DECRETO 45.491/2000.OBS: PEDIDO INTERNO NRO.40147 DT.PEDIDO INTERNO: 10/02/2026|TRANSFEL FRETE CIF E REDESPACHO TRANS RIZZA RUA ANTONIO FONSECA, 520 VILA MARIA CEP 02112-010 FRETE FOB</t>
  </si>
  <si>
    <t>24739</t>
  </si>
  <si>
    <t>TRIOCOR TINTAS E VERNIZES  LTDA</t>
  </si>
  <si>
    <t>NFE-493972</t>
  </si>
  <si>
    <t xml:space="preserve"> CRISTINA - NFE. 493.972 VENC. 15/03/26 VIA BOL. - REF. A COMPRA DE SENSOR INDUTIVO NÃO FACEADO M18 P/ USO NAS PRENSAS MOVEIS GDU0275, GBL8H44, PHH0062 E SWQ2C15 -  - ICMS:ALIQUOTA DE 18% REDUZIDA PARA 12%.DECRETO 65253 DE 15/10/20; IPI ALIQ. 15% PARA 9,75% CONF. DECRETO 11158 DE 2022</t>
  </si>
  <si>
    <t>30505</t>
  </si>
  <si>
    <t>PRODUTOS ELETRONICOS METALTEX LTDA</t>
  </si>
  <si>
    <t>NFE-9848</t>
  </si>
  <si>
    <t xml:space="preserve"> CRISTINA - NFE. 9.848 VENC. 07/01/26 VIA PIX - REF. A COMPRA DE BARRA REDONDA LAMINADO 1020 10 X 180MM P/ USO NA PRENSA MOVEL GBL8H44, RESENDE - \DOCUMENTO EMITIDO POR ME OU EPP OPTANTE PELO SIMPLES NACIONAL NAO GERA DIREITO A CREDITO DE IPI E PERMITE O APROVEITAMENTO DE CREDITO DE ICMS NO VALOR DE R$ 60.82 CORREPONDENTE A ALIQUOTA DE 3.21 % NOS TERMOS DO ART.23 DA LC 123/2006 - PEDIDO: O.S: 0020/2026</t>
  </si>
  <si>
    <t>31908</t>
  </si>
  <si>
    <t>STALX PRODUTOS METALURGICOS LTDA</t>
  </si>
  <si>
    <t>ADT27721</t>
  </si>
  <si>
    <t xml:space="preserve"> CRISTINA - NOTA FISCAL SERÁ EMITIDA APÓS O PAGAMENTO DA PRIMEIRA PARCELA COMO ADIANTAMENTO VENC. 15/01/26 3.870,00_x000D_
(30% ANTECIPADO) + 05/02/26 - 25/02/26 - 15/03/26 VIA TRANSF. - REF. A COMPRA DE KIT AR CONDICIONADO ELETRICO P/ USO NA_x000D_
PRENSA MOVEL PHH0062 E GBL8H44.</t>
  </si>
  <si>
    <t xml:space="preserve"> - CRISTINA - NFS. 4 VENC. 26/01/26 VIA PIX - REF. A TROCA DE REPAROS R$2.100,00 PREVENTIVA GERAL NO MOTOR DO EQUIPAMENTO_x000D_
R$400,00 DIVERSOS R$1.200,00 E VIGA L R$700,00 NA PRENSA MOVEL GBL8H44, RESENDE</t>
  </si>
  <si>
    <t>32003</t>
  </si>
  <si>
    <t>DIVINO MARQUES INOCENCIO</t>
  </si>
  <si>
    <t>NFSE-4345</t>
  </si>
  <si>
    <t>IMPRESSAO CHECKLIST CRISTINA - IMPRESSÃO E ENCADERNAÇÃO DO CHECKLIST DA PRENSA PHH0044 PARA UTILIZAÇÃO NA ARCELORMITTAL._x000D_
PAGAMENTO VIA PIX PARA O DIA 05/02/2025.</t>
  </si>
  <si>
    <t>CTE-5269793</t>
  </si>
  <si>
    <t xml:space="preserve"> CRISTINA - CTE. 5.269.793 VENC. VIA BOL. - FRETE REF. A COMPRA DE KITS AR CONDICIONADO ELETRICO P/ USO NAS PRENSA_x000D_
MOVEIS PHH0062 DE MARINGA E GBL8H44 DE RESENDE</t>
  </si>
  <si>
    <t>27120</t>
  </si>
  <si>
    <t>CF9520012026</t>
  </si>
  <si>
    <t xml:space="preserve"> CARTAO FLASH FINAL 9520 - USO SILVANO - DESPESA DEDUTIVEL REF A 3 ABASTECIMENTO DE ETANOL, UMA DE DIESEL, UMA COMPRA DE FITA ISOLANTE E UMA FAIXA REFLETIVA / DESPESA INDEDUTIVEL REF A 16 UBERS E UM SERVIÇO DE TERCEIRO _x000D_
</t>
  </si>
  <si>
    <t>CF7429012026</t>
  </si>
  <si>
    <t xml:space="preserve"> CARTAO FLASH FINAL 7429 - USO DANIEL JUNIOR - DESPESA DEDUTIVEL REF A 3 ABASTECIMENTO DE ETANOL E COMPRAS DE PEÇAS PARA MANUTENÇÃO / DESPESA INDEDUTIVEL REF A_x000D_
11 UBERS_x000D_
</t>
  </si>
  <si>
    <t>NFE-6501</t>
  </si>
  <si>
    <t xml:space="preserve"> CRISTINA - NFE. 6.501 VENC. 15/02/26 VIA BOL. - REF. A COMPRA DE FIM DE CURSO LXK M141 P/ USO NA PRENSA MOVEL GBL8H44 DE RESENDE -  - PEDIDO: 019490 VOCE PAGOU APROXIMADAMENTE:  11,00 DE TRIBUTOS FEDERAIS  0,00 DE TRIBUTOS MUNICIPAIS  FONTE: IBPT  - CHAVE: CF6051 CBS/IBS VL. BC: 252,44, VL. CBS: 2,27 , VL. IBS-UF: 0,25 , VL. IBS-MUN: 0,00</t>
  </si>
  <si>
    <t>1151</t>
  </si>
  <si>
    <t>WY SOLUCOES  ELETRICAS LTDA</t>
  </si>
  <si>
    <t>CTE1171719-539340</t>
  </si>
  <si>
    <t>REF. OCS 27999-28198 OC 27999 - CRISTINA - CTE. 1.171.719 VENC. VIA BOL. - FRETE REF. A COMPRA DE ELEMENTO RETORNO E ELEMENTO PRESSÃO P/ USO NA_x000D_
PRENSA MOVEL GDU0275, PRUDENTE / _x000D_
OC 28198 - CRISTINA - CTE. 539.340 VENC. VIA BOL. - FRETE REF. A COMPRA DE ANEIS DE VEDAÇÃO P/ AS MASQUINAS EHH0019, EHL0028 E_x000D_
EHH0007 E P/ AS PRENSA MOVEIS GBL8H44 E GDU0275, ENTREGA REALIZADA EM PRUDENTE</t>
  </si>
  <si>
    <t>NFE-11</t>
  </si>
  <si>
    <t xml:space="preserve"> CRISTINA - NFE. 11 VENC. 25/02/26 VIA PIX - REF. A COMPRA DE 02 PNEUS 275/80 XBRI LISOS P/ USO NA PRENSA MOVEL GBL8H44, RESENDE -  - DOCUMENTO EMITIDO POR ME OU EPP OPTANTE PELO SIMPLES NACIONAL. NAO GERA DIREITO A CREDITO FISCAL DE ICMS, ISS E IPI.</t>
  </si>
  <si>
    <t>NFE-83474</t>
  </si>
  <si>
    <t xml:space="preserve"> CRISTINA - NFE. 83.474 VENC. 27/02/26 VIA BOL. - REF. A COMPRA DE ANEIS DE VEDAÇÃO TREDO P/ USO NAS PRENSA MOVEIS GBL8H44 DE RESENDE E GDU0275 E MAQUINAS EHH0019, EHL0028 E EHH0007 DE PRUDENTE - TOTAL BASE CALC CBS: 267,03  TOTAL CBS: 2,41  TOTAL BASE CALC IBSMUN: 0,00  TOTAL IBSMUN: 0,00  TOTAL BASE CALC IBSUF: 267,03  TOTAL IBSUF: 0,26   DE ACORDO COM O ART.49 DO CDC SOMENTE SERA ACEITA DEVOLUCAO POR DESISTENCIA ATE SETE DIAS APOS RETIRADA DO ITEM, EM SUA EMBALAGEM ORIGINAL, NAO DANIFICADA, SEM INDICIOS DE USO E COM OS ACESSORIOS QUE O ACOMPANHAM.DEVOLUCAO POR DEFEITO SERAO APLICADAS AS REGRAS DE GARANTIA ESTABELECIDAS PELA KOMATSU FOREST.  EMBARQUE:912749 PEDIDO, CONFIRMADO POR VINICIUS VILELA. 28/01/2026 - NOTA FISCAL EMITIDA DE ACORDO COM A LC 214/2025, CONTENDO OS VALORES DE CBS E IBS DA REFORMA TRIBUTARIA.</t>
  </si>
  <si>
    <t>30458</t>
  </si>
  <si>
    <t>KOMATSU FOREST INDUSTRIA E COMERCIO DE MAQUINAS FLORESTAIS L</t>
  </si>
  <si>
    <t>NFE-159689</t>
  </si>
  <si>
    <t xml:space="preserve"> CRISTINA - NFE. 159.689 VENC. 05/03/26 VIA PIX - REF. A COMPRA DE UNIÃO P/ USO NA PRENSA MOVEL GBL8H44 DE RESENDE -  - PEDIDO: 570857 VOCE PAGOU APROXIMADAMENTE:  17,39 DE TRIBUTOS FEDERAIS  22,14 DE TRIBUTOS ESTADUAIS  0,00 DE TRIBUTOS MUNICIPAIS  FONTE: IBPT  - CHAVE: 1C2537 CBS/IBS VL. BC: 97,17, VL. CBS: 0,87 , VL. IBS-UF: 0,10 , VL. IBS-MUN: 0,00</t>
  </si>
  <si>
    <t>NFE-31407</t>
  </si>
  <si>
    <t xml:space="preserve"> CRISTINA - NFE. 31.407 VENC. 15/03/26 COMPRA CARTÃO FINAL 8971 EM 1X- REF. A COMPRA DE 01 JOGO DE AMORTECEDOR PARA PORTA DA CABINE DA PRESA GBL8H44 RESENDE. - EMITIDO POR ME/EPP OPTANTE DO SIMPLES NACIONAL. SEM DIREITO A CREDITO FISCAL DE ICMS/ISS/IPI. - MERCADORIA ENVIADA DIRETAMENTE DO DEPOSITO DO OPERADOR LOGISTICO EBAZAR.COM.BR LTDA, ESTABELECIDO RUA UBIRAJARA SAVIO TORRES, 354, BAIRRO FAZENDA VELHA, ARAUCARIA, PR, CEP 83704614, INSCRITO NO CNPJ/MF SOB O N 03007331021904, INSCRICAO ESTADUAL N 9110458778, CONFORME AJUSTE SINIEF N 35/22 - DECRETO N 3216 DE 22/08/2023 E RE N 6.975/2021 VALOR APROXIMADO DOS TRIBUTOS (IBPT) R$12,33.</t>
  </si>
  <si>
    <t>32213</t>
  </si>
  <si>
    <t>FERREIRA E SILVA ACESSORIOS AUTOMOTIVOS LTDA</t>
  </si>
  <si>
    <t>EKIPA LOCACOES E SERV  G&amp;S</t>
  </si>
  <si>
    <t>1.7 EKIPA LOCACOES E SERV  G&amp;S</t>
  </si>
  <si>
    <t>1.7.1.2.3</t>
  </si>
  <si>
    <t>1.7.1.2.3 ARCELOR - RESENDE/RJ</t>
  </si>
  <si>
    <t>1.7.1.2.3 GBL8H44 (PHH0044)</t>
  </si>
  <si>
    <t>NFSE-69</t>
  </si>
  <si>
    <t xml:space="preserve"> - CRISTINA - NFS. 69 VENC. 15/04/26 VIA BOL. - REF. AO REPARO DE ATUADOR HIDRAULICO E AJUSTE DA ROSCA DE ALIMENTAÇÃO DO_x000D_
CILINDRO NA PRENSA MOVEL GBL8H44, RESENDE</t>
  </si>
  <si>
    <t>NAO PAGO</t>
  </si>
  <si>
    <t>Saida (Aplicacoes)</t>
  </si>
  <si>
    <t>69-700/NS</t>
  </si>
  <si>
    <t>A11868</t>
  </si>
  <si>
    <t>A11868 REEMBOLSO REF SERVIÇO DE SOLDA NA PRENSA OC 29474</t>
  </si>
  <si>
    <t>2026-03-23</t>
  </si>
  <si>
    <t>NFE-5916</t>
  </si>
  <si>
    <t xml:space="preserve"> ref. A COMPRA DE 2 BATERIAS DE 100 AMPERES - PLACA GBL8H44 RESENDE, VIA CARTÃO FLASH - DANIEL</t>
  </si>
  <si>
    <t>32343</t>
  </si>
  <si>
    <t>COMERCIO DE PECAS PARA AUTOS JMR EIRELI</t>
  </si>
  <si>
    <t>5916-1/55</t>
  </si>
  <si>
    <t>NFE-24359</t>
  </si>
  <si>
    <t xml:space="preserve"> REF. AO ABASTECIMENTO DO VEÍCULO GBL8H44, 21,52LITROS DE ETANOL, VIA CARTÃO FLASH - COLABORADOR DANIEL</t>
  </si>
  <si>
    <t>2026-03-09</t>
  </si>
  <si>
    <t>24359-2/55</t>
  </si>
  <si>
    <t>NFSE-60</t>
  </si>
  <si>
    <t xml:space="preserve"> CRISTINA - NFS. 60 VENC. 05/04/26 VIA PIX - REF. AOS SERVIÇOS DE BORRACHARIA:_x000D_
GBL8H44 (HR 7.370) - 01 TROCA 70,00 _x000D_
GBL8H44 - 02 VULCANIZAÇÕES (500,00), 02 DESMONTAGENS / MONTAGENS (140,00) E 01 TROCA (70,00) 710,00 _x000D_
GBL8H44 (HR 7.431) - 02 VULCANIZAÇÕES (500,00), 02 DESMONTAGENS / MONTAGENS (140,00), 01 CONSERTO (50,00) E 01 BICO (10,00)_x000D_
700,00 _x000D_
GBL8H44 - 02 DESMONTAGENS / MONTAGENS (140,00)_x000D_
EWU5857 - 02 DESMONTAGENS / MONTAGENS (140,00), RODIZIO DE PNEUS (70,00), 02 BICOS (100,00) E 01 CONSERTO (70,00) 520,00</t>
  </si>
  <si>
    <t>2026-04-06</t>
  </si>
  <si>
    <t>60-1/NS</t>
  </si>
  <si>
    <t>OC 29303 QUALP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</si>
  <si>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15/03/2026 no valor de R$ 1.118,40_x000D_
Observações: Ref. Fev/2026 - Vencto. 15/03/2026_x000D_
</t>
  </si>
  <si>
    <t>2026-03-16</t>
  </si>
  <si>
    <t>NFE-305</t>
  </si>
  <si>
    <t xml:space="preserve"> CRISTINA - NFE. 305 VENC. 15/04/26 VIA BOL. - REF. A COMPRA DE OLEO 15W40 MULT LUB E ESTOPAS P/ USO NA PRENSA_x000D_
MOVELGBL8H44, RESENDE</t>
  </si>
  <si>
    <t>305-2/55</t>
  </si>
  <si>
    <t>NFSE-4306852</t>
  </si>
  <si>
    <t xml:space="preserve"> [GIULIANA] REF A SERVIÇOS PRESTADOS DE LICENCIAMENTO DE PROGRAMAS DE COMPUTADOR - FLASH EXPENSE_x000D_
PERIODO: FEVEREIRO/2026_x000D_
NFS 004.306.852 VENCIMENTO 15/03/2026_x000D_
PAGAMENTO VIA BOLETO BANCARIO</t>
  </si>
  <si>
    <t>4306852-E/NS</t>
  </si>
  <si>
    <t>NFSE-12</t>
  </si>
  <si>
    <t xml:space="preserve"> CRISTINA - NFS. 12 VENC. 06/03/26 VIA PIX - REF. A INSTALAÇÃO DE AR CONDICIONADO ELÉTRICO R$1.200,00 E CONFECÇÃO DE 30_x000D_
METROS DE FIO 16MM UTILIZADOS R$600 NA PRENSA MOVEL GBL8H44, RESENDE</t>
  </si>
  <si>
    <t>32237</t>
  </si>
  <si>
    <t>WELLINGTON REGO NASCIMENTO</t>
  </si>
  <si>
    <t>12-1/NS</t>
  </si>
  <si>
    <t>NFE-6582</t>
  </si>
  <si>
    <t xml:space="preserve"> CRISTINA - NFE. 6.582 VENC. 25/03/026 VIA BOL. - REF. A COMPRA DE 05 FIM DE CURSO LXK M141, 03 P/ A PRENSA MOVEL GBL8H44, RESENDE E 02 P/ A PRENSA MOVEL GDU0275, DOURADOS -  - PEDIDO: 019951 VOCE PAGOU APROXIMADAMENTE:  27,51 DE TRIBUTOS FEDERAIS  0,00 DE TRIBUTOS MUNICIPAIS  FONTE: IBPT  - CHAVE: CF6051 CBS/IBS VL. BC: 631,09, VL. CBS: 5,68 , VL. IBS-UF: 0,63 , VL. IBS-MUN: 0,00</t>
  </si>
  <si>
    <t>2026-03-24</t>
  </si>
  <si>
    <t>6582-1/55</t>
  </si>
  <si>
    <t>NFSE-2141</t>
  </si>
  <si>
    <t xml:space="preserve"> CRISTINA - NFS. 2.141 VENC. 25/03/26 VIA BOL. - REF. AO SERVIÇO DE RECUPERAR 01 ROSCA DO PISTÃO E RECURAR ROSCA DO_x000D_
ÊMBOLO R$300,00 NO CAMINHÃO SUY4F83 DE PRUDENTE E CONFECCIONAR 05 PINOS R$900,00 P/ A PRENSA MOVEL GBL8H44 DE_x000D_
RESENDE</t>
  </si>
  <si>
    <t>2141-1/NS</t>
  </si>
  <si>
    <t>NFSE-35196</t>
  </si>
  <si>
    <t xml:space="preserve"> [GIULIANA] REF A SERVIÇOS PRESTADOS DA PLATAFORMA DE DESPESAS CORPORATIVAS PAYFY_x000D_
VALOR PACOTE FIXO: R$920,00_x000D_
NFS 000.034.188 VENCIMENTO 10/02/2026_x000D_
PAGAMENTO VIA BOLETO BANCARIO</t>
  </si>
  <si>
    <t>2026-03-10</t>
  </si>
  <si>
    <t>35196-1/NS</t>
  </si>
  <si>
    <t>TAXA SWQ2C15 DETRAN</t>
  </si>
  <si>
    <t xml:space="preserve"> HUGO - TAXA DE TRANSFERENCIA REGULARIZAÇÃO PLACA SWQ2C15 RENAVAM 01451602186 - ALIENAÇÃO BNDES BANCO DO BRASIL</t>
  </si>
  <si>
    <t xml:space="preserve"> - CRISTINA - NFS. 09 - VENC. 05/02/2025 VIA PIX - REF. AO SERVIÇO DE INSTALAÇÃO DE LANTERNA E SOCORRO NA PRENSA MOVEL_x000D_
PHH0049 DE PIRACICABA</t>
  </si>
  <si>
    <t>32082</t>
  </si>
  <si>
    <t>S.A. DE CARVALHO LUCK SOM</t>
  </si>
  <si>
    <t>NFSE-84339</t>
  </si>
  <si>
    <t xml:space="preserve"> CRISTINA - NFS. 84.339 VENC. 05/02/26 05/03/26 05/04/26 VIA BOL. - REF. A REVISÃO COMPLETA E KM PICKUP DA SCANIA MAQUINA EHH0049 (HR 2.408), PIRACICABA</t>
  </si>
  <si>
    <t>30708</t>
  </si>
  <si>
    <t>WLM PARTICIPACOES E COMERCIO DE MAQUINAS EVEICULOS S.A.</t>
  </si>
  <si>
    <t>7.3.4</t>
  </si>
  <si>
    <t>EXAMES MÉDICOS</t>
  </si>
  <si>
    <t>7.3.4 EXAMES MÉDICOS</t>
  </si>
  <si>
    <t>NFSE-262</t>
  </si>
  <si>
    <t>EXAME MEDICO CRISTINA - PAGAMENTO REFERENTE AOS EXAMES MÉDICOS PERIÓDICOS DO COLABORADOR MARCOS ANTONIO CLAUDIO._x000D_
PAGAMENTO PARA HOJE 13/02/2026, POIS A CLINICA HAVIA INFORMADO QUE REALIZARIA O ATENDIMENTO PRIMEIRO E O_x000D_
PAGAMENTO SERIA FEITO SOMENTE PARA LIBERAÇÃO DO RESULTADO, POREM HOJE O COLABORADOR CHEGOU NA CLÍNICA E ELES NÃO IRIAM ATENDER CASO NÃO FOSSE REALIZADO PAGAMENTO._x000D_
PAGAMENTO VIA PIX PARA 13/02/2026.</t>
  </si>
  <si>
    <t>22893</t>
  </si>
  <si>
    <t>W &amp; MED SAUDE OCUPACIONAL LTDA</t>
  </si>
  <si>
    <t>4.02.05 CUSTO COM EXAMES MÉDICOS</t>
  </si>
  <si>
    <t>REUNIAO ARCELORMITTAL CRISTINA - REFERENTE A REPRESENTAÇÃO EM REUNIÃO NA CIPA NO DIA 30/01/2026 NA ARCELORMITTAL DE PIRACICABA._x000D_
PAGAMENTO DIA PIX PARA O DIA 25/02/2026.</t>
  </si>
  <si>
    <t xml:space="preserve"> - CRISTINA - NFS. 4 VENC. 25/02/26 VIA BOL. - REF. AO SERVIÇO DE COLOCAR LANTERNA TRASEIRA + LAMPADAS R$220,00 REFORÇO_x000D_
NO RADIADOR R$450,00 ENDIREITAMENTO DA UNHA DA GARRA R$190,00 ENDIREITAMENTO DA ESCADINHA R$320,00 TROCA DA_x000D_
MANGUEIRA ESPIRAL R$95,00 ENGATE + UNIÃO MANGUEIRA ESPIRAL R$69,00 LAVAGEM DA PRENSA R$1.200,00 E MÃO DE OBRA_x000D_
R$1.500,00 NA PRENSA MOVEL SWQ2C15, PIRACICABA</t>
  </si>
  <si>
    <t>NFSE-76</t>
  </si>
  <si>
    <t xml:space="preserve"> - CRISTINA - NFS. 76 VENC. 05/03/26 R$1.620,00 05/04/06 R$1.620,00 05/05/26 R$1.620,00 VIA BOL. - REF. AO FORNECIMENTO DE 02 PNEUS_x000D_
NOVOS 295/80R22,5 LISOS R$4800,00 E A MONTAGEM DE AMBOS R$60,00 NA PRENSA MOVEL SWQ2C15 DE PIRACICABA</t>
  </si>
  <si>
    <t>CTE2027/2089/3108/5038</t>
  </si>
  <si>
    <t xml:space="preserve"> OC 28519 - CRISTINA - CTE. 2.027 VENC. VIA BOL. - FRETE REF. A COMPRA DE CALCO E GUIA DESLIZANTE P/ USO NO CAMINHÃO SUY4F83,_x000D_
PRUDENTE /_x000D_
OC 28520 - CRISTINA - CTE. 2.089 VENC. VIA BOL. - FRETE REF. A COMPRA DE TOMADA DE FORÇA P/ USO NO CAMINHÃO NRV7727, PRUDENTE /_x000D_
OC 28569 - CRISTINA - CTE. 5.038 VENC. VIA BOL. - FRETE REF. A COMPRA DE FILTROS P/ A PRENSA MOVEL SWQ2C15, PIRACICABA /_x000D_
OC 28639 - CRISTINA - CTE. 3.108 VENC. VIA BOL. - FRETE REF. A COMPRA DE SUPORTE DA ALAVANCA P/ USO NOS CAMINHÕES BTZ8D36 E_x000D_
BKW9I57 DE DOURADOS</t>
  </si>
  <si>
    <t>NFE-138360</t>
  </si>
  <si>
    <t xml:space="preserve"> CRISTINA - NFE. 138.360 VENC. 05/02/26 05/03/26 05/04/26 VIA BOL. - REF. PEÇAS UTILIZADAS NA REVISÃO COMPLETA DA SCANIA DA PRENSA PHH0049 (HR 2.408), PIRACICABA -  - AVISO IMPORTANTE: RESTRICOES COMERCIAIS. EM VIRTUDE DO 14 PACOTE DE SANCOES DA UNIAO EUROPEIA (UE) EM RELACAO A RUSSIA E A BIELORRUSSIA, A SCANIA ESTA PLENAMENTE COMPROMETIDA EM CUMPRIR COM AS RESTRICOES DE EXPORTACAO DE SEUS PRODUTOS AOS REFERIDOS PAISES.; AO PROSSEGUIR COM ESTA TRANSACAO, VOCE DECLARA CONHECER AS CLAUSULAS DETALHADAS EM HTTPS://WWW.SCANIA.COM/BR/PT/HOME/ABOUT-SCANIA/CLAUSULAS-DE-NAO-EXPORTACAO E RATIFICA SEU COMPROMISSO EM OBSERVAR ESTAS CONDICOES. TIPO DE VENDA: 3, DEPARTAMENTO: 13, CONDICAO DE PAGAMENTO: 0D 15/43/74 - DUPLICATA MERCANTIL, VENDEDOR: BRUNO, FILIAL VENDEDORA: 71-WLM QR SUMARE, ORDEM DE COMPRA: 27951, ORDEM DE SERVICO: 42828, DATA ENTRADA DO VEICULO: 20/01/26, MARCA/MODELO: SCANIA/DC09072A, CHASSI: M7426945, ANO: 2023, COR: LARANJA, OPERACAO SAIDA: PP -GT; NAO CONSTITUI FATO GERADOR DE IPI. - MERCADORIA SUJEITA A SUBSTITUICAO TRIBUTARIA CFE. ART. 313-0E313 - PDO RICMS/SP, PROTOCOLO 41E49/08.</t>
  </si>
  <si>
    <t xml:space="preserve"> CRISTINA - NFS. 3 VENC. 15/02/26 VIA BOL. - REF. A TROCA DA MOLA PNEUMATICA, TROCA DO REPARO REGISTRO, SOLDA NA TAMPA LADO MOTOR, REFORÇO 02 CHASIS + SOLDA E REFORMA DO GUARDA COPO NA PRENSA PHH0049, PIRACICABA</t>
  </si>
  <si>
    <t xml:space="preserve"> - CRISTINA - NFS. 54 VENC. 16/02/26 VIA BOL. - REF. AOS SERVIÇOS DE BORRACHARIA EM PIRACICABA:_x000D_
EWU6A79 - 1 TROCA 45,00_x000D_
SWQ2C15 - 1 VULCANIZAÇÃO (R$350,00) 1 MONTAGEM / DEMONSTAGEM (R$45,00) 1 SOCORRO NA OFICINA DO CARLINHOS (R$120,00)_x000D_
515,00_x000D_
EWU6A79 - 1 TROCA (R$45,00) 1 MONTAGEM / DESMONTAGEM (R$45,00) 1 SOCORRO NA ARCELOR (R$350,00) 440,00_x000D_
EWU6A79 - 1 CONSERTO (R$70,00) 3 MONTAGENS / DESMONTAGENS (R$135,00) 2 PNEUS RESOLADOS (R$2.700,00) 2.905,00</t>
  </si>
  <si>
    <t>NFE-11647</t>
  </si>
  <si>
    <t xml:space="preserve"> CRISTINA - NFE. 11.647 VENC. 05/03/26 VIA PIX - REF. A COMPRA DE FILTROS P/ USO NA PRENSA MOVEL SWQ2C15, PIRACICABA -  - DADOS BANCARIOS :LT;BR /GT;BRADESCO LT;BR /GT;AG 2152-0LT;BR /GT;C/C 36304-9LT;BR /GT;CNPJ 40.105.250/0001-00 ( PIX)LT;BR /GT;LT;BR /GT;TRIBUTOS APROXIMADOS: R$ 1.161,32 (FEDERAL) E R$ 1.409,56 (ESTADUAL). FONTE: IBPT 47C8DALT;BR /GT;OC: WHATSAPP VINICIUSLT;BR /GT;N PEDIDO: 10976</t>
  </si>
  <si>
    <t>1.7.1.14.3</t>
  </si>
  <si>
    <t>1.7.1.14.3 SWQ2C15 (PHH0049)</t>
  </si>
  <si>
    <t>7.5.5</t>
  </si>
  <si>
    <t>MATERIAL DE ESCRITÓRIO</t>
  </si>
  <si>
    <t>7.5.5 MATERIAL DE ESCRITÓRIO</t>
  </si>
  <si>
    <t>NFSE-4390</t>
  </si>
  <si>
    <t xml:space="preserve"> CRISTINA - IMPRESSÃO E ENCADERNAÇÃO CHECKLIST DA PRENSA QUE ESTÁ NA ARCELORMITTAL PIRACICABA. NF 4390_x000D_
PAGAMENTO VIA PIX PARA 05/04/2026.</t>
  </si>
  <si>
    <t>4390-E/NS</t>
  </si>
  <si>
    <t>4.04.12 DESPESA COM MATERIAL DE ESCRITÓRIO</t>
  </si>
  <si>
    <t>NFSE-5</t>
  </si>
  <si>
    <t xml:space="preserve"> CRISTINA - REF A PARTICIPAÇÃO DA REUNIÃO DA CIPA EM 27/02 E ELABORAÇÃO DE RESUMO DA REUNIÃO, ANALISE DO ACIDENTE_x000D_
COM O COLABORADOR MARCOS ANTONIO QUE ACONTECEU DIA 11/02 PAGTO VIA PIX PARA 15/03/2026</t>
  </si>
  <si>
    <t>5-E/NS</t>
  </si>
  <si>
    <t>NFSE-8</t>
  </si>
  <si>
    <t xml:space="preserve"> CRISTINA - NFS. 8 VENC. 25/03/26 VIA BOL. - REF. A PROTEÇÃO DA LANTERNA R$320,00 02 REFORÇOS NO CHASSIS R$550,00 SOLDA_x000D_
NOS CHASSIS R$350,00 TROCAR LANTERNA DO CAVALO R$75,00 TROCAR 02 FILTROS DIESEL R$320,00 TROCAR FILTRO MOTOR_x000D_
R$150,00 TRICAR FILTRO DE AR R$220,00 TROCAR PARAFUSO DO PRENSOR R$250,00 TROCAR OLEO 15W40 R$850,00 02 MOLAS_x000D_
PNEUMATICAS R$1.000,00 SOLDAR TAMPA R$350,00 SERVIÇO ELETRICOS R$650,00 E MÃO DE OBRA R$2.350,00 NA PRENSA MOVEL_x000D_
SWQ2C15, PIRACICABA</t>
  </si>
  <si>
    <t>8-1/NS</t>
  </si>
  <si>
    <t>NFSE-191</t>
  </si>
  <si>
    <t xml:space="preserve"> - CRISTINA - NFS. 191 VENC. 15/04/26 VIA PIX - REF. A TROCA DE REPARO DO CILINDRO DA GARRA R$300,00 E PEÇAS UTILIZADAS_x000D_
(REPAROS, RASPADOR E GAXETAS) R$230,00 NA PRENSA MOVEL SWQ2C15, MARINGA</t>
  </si>
  <si>
    <t>30541</t>
  </si>
  <si>
    <t>NILTON HIDRAULICA LTDA</t>
  </si>
  <si>
    <t>191-E/NS</t>
  </si>
  <si>
    <t>NFSE-2719</t>
  </si>
  <si>
    <t xml:space="preserve"> - CRISTINA - NFS. 2.719 VENC. 25/02/26 VIA BOL. - REF. A ELIMINAÇÃO DE TRINCAS NA TESOURA HIDRAULICA NA MAQUINA EHH0044 E_x000D_
DESLOCAMENTO</t>
  </si>
  <si>
    <t>NFSE-1068</t>
  </si>
  <si>
    <t>EXAMES MEDICOS CRITSTINA - REFERENTE AO EXAME MEDICO PERIODICO DO COLABORADOR CRISTIANO LUCAS BACHIO. PAGAMENTO VIA PIX PARA_x000D_
27/02/2026._x000D_
OBS: O BOLETO FOI EMITIDO COM VENCIMENTO PARA 25/02, POREM A CLINICA NAO ENVIOU JUNTO COM A NF,POR ISSO_x000D_
PAGAMENTO PARA AMANHA VIA PIX.</t>
  </si>
  <si>
    <t>31360</t>
  </si>
  <si>
    <t>RAMAZZINI SAUDE E GESTAO LTDA</t>
  </si>
  <si>
    <t>NFSE-2721</t>
  </si>
  <si>
    <t xml:space="preserve"> - CRISTINA - NFS. 2.721 VENC. 05/03/26 VIA BOL. - REF. A TROCA DA TESOURA HIDRAULICA R$1.400,00 E CONFECÇÃO DE BUCHA DA_x000D_
TESOURA HIDRAULICA R$280,00 NA MAQUINA EHH0044, JOINVILLE</t>
  </si>
  <si>
    <t>NFE-1926</t>
  </si>
  <si>
    <t xml:space="preserve"> CRISTINA - NFE. 1.926 VENC. 05/03/26 VIA BOL. - REF. A COMPRA DE TB BRONZE P/ USO NA MAQUINA EHH0044, JOINVILLE -  - PLACA: LHH0044 FROTA: VEICULO: RETROESCAVADEIRA H940C - HYUNDAI KM: OC 28456</t>
  </si>
  <si>
    <t>NFSE-2732</t>
  </si>
  <si>
    <t xml:space="preserve"> - CRISTINA - NFS. 2.732 VENC. 05/03/26 VIA BOL. - REF. AO REPARO NA MANGUEIRA DA TESOURA HIDRALICA R$720,00 E_x000D_
DESLOCAMENTO R$160,00 NA MAQUINA EHH0044, JOINVILLE</t>
  </si>
  <si>
    <t>NFE-101910</t>
  </si>
  <si>
    <t xml:space="preserve"> CRISTINA - NFE. 101.910 VENC. 15/02/26 VIA CARTÃO 8971 EM 6X - REF. A COMPRA DE BARRA LED 12.000 LUM P/ USO NA MAQUINA EHH0044, JOINVILLE -  - TOTAL APROXIMADO DE TRIBUTOS: R$ 101,40 (35,17%)  FEDERAIS R$ 45,18 (15,67%)  ESTADUAIS R$ 56,22 (19,50%) . FONTE IBPT.LT;BR /GT;ENDERECO DE ENTREGA: SELETIVA RESIDUOS INDUSTRIAIS, RUA HELENA FERRANTE BORGHI, N 100, SELETIVA RESIDUOS REFERENCIA: SELETIVA RESIDUOS INDUSTRIAIS, BAIRRO DISTRITO INDUSTRIAL, PRESIDENTE PRUDENTE - SP, 19.043-080REFERENCIA NA LOJA: GS COMERCIO E INDUSTRIA DE FER .-LT;BR /GT;GSCOMERCIOEINDUSTRIADEFERLT;BR /GT;FRETE GRATISLT;BR /GT;N PEDIDO NA LOJA: 2000014913997298</t>
  </si>
  <si>
    <t>NFSE-5559</t>
  </si>
  <si>
    <t xml:space="preserve"> - CRISTINA - NFS. 5.559 VENC. 15/03/26 VIA BOL. - REF. AOS TESTES NO SISTEMA A/C, APERTO DA CORREIA DO COMPRESSOR,_x000D_
RECOLOCAÇÃO DO GAS, DESMONTAGEM INTERNA E LIMPEZA DO EVAPORADOR, LIMPEZA DO RADIADOR DE AR QUENTE E LIMPEZZA_x000D_
DE FILTROS R$1.500,00 MAIS DESLOCAMENTO R$80,00 NA MAQUINA EHH0044(10.851 HRS), JOINVILLE</t>
  </si>
  <si>
    <t>NFSE-2638</t>
  </si>
  <si>
    <t xml:space="preserve"> CRISTINA - NFS. 2.638 VENC. 05/02/26 VIA BOL. - REF. AO REPARO NO CABEÇOTE HIDRAULICO DA TESOURA (R$ 380,00) E DESLOCAMENTO (R$ 160,00) NA MAQUINA EHH0044, JOINVILLE</t>
  </si>
  <si>
    <t>7.3.5</t>
  </si>
  <si>
    <t>ALIMENTAÇÃO DO TRABALHADOR</t>
  </si>
  <si>
    <t>7.3.5 ALIMENTAÇÃO DO TRABALHADOR</t>
  </si>
  <si>
    <t>CF0537012026</t>
  </si>
  <si>
    <t xml:space="preserve"> CARTAO FLASH FINAL 0537 - USO CRISTIANO LUCAS - DESPESA DEDUTIVEL REF A  UMA REFEIÇÃO, ABASTECIMETO DE ETANOL, E UMA COMPRA DE BOMBA D'AGUA_x000D_
</t>
  </si>
  <si>
    <t>648</t>
  </si>
  <si>
    <t>CRISTIANO LUCAS BACHIO</t>
  </si>
  <si>
    <t>4.02.03 CUSTO COM ALIMENTAÇÃO DO TRABALHADOR</t>
  </si>
  <si>
    <t>NFE-1940</t>
  </si>
  <si>
    <t xml:space="preserve"> CRISTINA - NFE. 1.940 VENC. 05/03/26 VIA BOL. - REF. A COMPRA DE ANEL ORING P/ USO NA MAQUINA EHH0044, JOINVILLE -  - PLACA: EHH0044 FROTA: VEICULO: ESCAVADEIRA 140LC - HYUNDAI KM: OC 28541</t>
  </si>
  <si>
    <t>NFE-353171</t>
  </si>
  <si>
    <t xml:space="preserve"> CRISTINA - NFE. 353.171 VENC. 25/02/26 PAGAMENTO FEITO VIA CARTÃO FLASH 0537 - REF. A COMPRA DE ANEIS ORING 2600-300 26X3 NBR90 E VITON P/ USO NA MAQUINA EHH0044, JOINVILLE -  - CRT: 3 - REGIME NORMAL -  - PED. CLIENTE: CRIS NUM. PED. INTERNO: 420184 - VALOR TOTAL APROXIMADO DOS TRIBUTOS: R$6,32 (24,64%) - DEVOLUCOES SOMENTE SERAO ACEITAS COM A  - "AUTORIZACAO DE DEVOLUCAO" ANEXADA A NOTA DE  - DEVOLUCAO.</t>
  </si>
  <si>
    <t>NFE-1966</t>
  </si>
  <si>
    <t xml:space="preserve"> CRISITNA - NFE. 1.966 VENC. 16/03/26 VIA BOL. - REF. A COMPRA DE ANEL ORING 2-110 VITON 90 P/ USO NA MAQUINA EHH0044 DE JOINVILLE -  - PLACA: EHH0044 FROTA: VEICULO: ESCAVADEIRA 140LC - HYUNDAI KM:</t>
  </si>
  <si>
    <t>NFE-1560512</t>
  </si>
  <si>
    <t xml:space="preserve"> CRISTINA - NFE. 1.560.512 VENC. 15/03/26 VIA BOL. - REF. A COMPRA DE GRAXA AZUL, OLEO AW68 E ESTOPAS P/ USO NAS MAQUINAS EHH0044 E EHL0041 DE JOINVILLE -  - ICMS - RECOLHIDO POR SUBSTITUICAO TRIBUTARIA, RICMS-SC/01-ANEXO 3 RICMS/SC/11-ANEXO 3 DECRETO 1.020/2008. VALOR APROXIMADO DE TRIBUTOS R$: 345,63 FEDERAL E 249,08 IMPORTADO FONTE: IBPT/EMPRESOMETRO.COM.BR CHAVE: 47C8DA</t>
  </si>
  <si>
    <t>NFSE-2765</t>
  </si>
  <si>
    <t xml:space="preserve"> - CRISTINA - NFS. 2.765 VENC. 16/03/26 VIA BOL. - REF. AO SERVIÇO DE TROCA DE REPARO DO CABEÇOTE HIDRAULICO DA TESOURA_x000D_
R$650,00 E DESLOCAMENTO (IDA E VOLTA) R$240,00 NA MAQUINA EHH0044 DE JOINVILLE</t>
  </si>
  <si>
    <t>NFE-1689</t>
  </si>
  <si>
    <t xml:space="preserve"> CRISTINA - NFE. 1.689 VENC. 15/03/26 VIA BOL. - REF. A COMPRA DE CARGA DE GAS P/ USO NA MAQUINA EHH0044 (10.851 HRS), JOINVILLE -  - EMPRESA OPTANTE PELO SIMPLES NACIONAL. NAO GERA DIREITO A CREDITO FISCAL DE ISS E IPI.  EHH0044  10851 HRS  OS(S):5144  OC 28823</t>
  </si>
  <si>
    <t>TUPY - JOINVILLE/SC / EHH0044</t>
  </si>
  <si>
    <t>1.7.1.8.2 TUPY - JOINVILLE/SC / EHH0044</t>
  </si>
  <si>
    <t>NFSE-22</t>
  </si>
  <si>
    <t xml:space="preserve"> CRISTINA - REF. A:_x000D_
TRANSPORTE E HORA MUNCK PARA COLETAR A TESOURA DA TUPY EM GUARAMIRIM, E DEVOLVER NA TUPY DE JOINVILLE. ESTAVA EM CONSERTO._x000D_
AZ SERVIÇOS DE CARGA E DESCARGA LTDA_x000D_
_x000D_
CNPJ:023.181.222/0001-53_x000D_
_x000D_
AGÊNCIA:1737_x000D_
_x000D_
CONTA:28772-5_x000D_
_x000D_
BANCO:BRADESCO_x000D_
_x000D_
CHAVE PIX 23.181.222/0001-53 -</t>
  </si>
  <si>
    <t>2026-03-05</t>
  </si>
  <si>
    <t>30644</t>
  </si>
  <si>
    <t>22-1/NS</t>
  </si>
  <si>
    <t>4.04.18 DESPESA COM SERVIÇOS CONTRATADOS</t>
  </si>
  <si>
    <t>CP2336032026</t>
  </si>
  <si>
    <t xml:space="preserve"> CARTAO PAYFY FINAL 2336 - USO  - DESPESA DEDUTIVEL REF A DUAS COMPRAS PARA EHH004, UMA REFEIÇÃO, UM ABASTECIMENTO E UMA COMPRA DE LUVAS_x000D_
</t>
  </si>
  <si>
    <t>2026-03-30</t>
  </si>
  <si>
    <t>NFSE-644</t>
  </si>
  <si>
    <t xml:space="preserve"> CRISTINA - NFS. 644 VENC. 05/03/26 R$2.475,00 25/03/26 R$2.475,00 VIA BOL - REF. AO SERVIÇO DE DESMONTAGEM, SOLDAGEM,_x000D_
REFORÇAR E FABRICAR BUCHA DA TESOURA DA MAQUINA EHH0044, JOINVILLE</t>
  </si>
  <si>
    <t>30492</t>
  </si>
  <si>
    <t>644-1/NS</t>
  </si>
  <si>
    <t>NFSE-2837</t>
  </si>
  <si>
    <t xml:space="preserve"> - CRISTINA - NFS. 2.837 VENC. 25/03/26 VIA BOL. - REF. AO SERVIÇO DE TROCAR TESOURA HIDRAULICA R$1.400,00 E DESLOCAMENTO_x000D_
R$120,00 NA MAQUINA EHH0044, JOINVILLE</t>
  </si>
  <si>
    <t>2837-A1/NS</t>
  </si>
  <si>
    <t>G3S MARINGA</t>
  </si>
  <si>
    <t>NFE-47871</t>
  </si>
  <si>
    <t xml:space="preserve"> CRISTINIA - NFE. 47.871 VENC. 25/03/26 VIA BOL. - REF. A COMPRA DE ARAME MIG 1MM, CONECTOR BORRACHA E TRENA 5MTS P/ USO NAS MAQUINAS EHH0039 E EHL0043, MARINGA -  - V:  75  /  O:  10002 / PRODUTO C/SUBSTITUICAO TRIBUTARIA ART.481 PROTOCOLO ICMS 196/2009,69/2011,71/2011/ BASE ICMS SUBSTITUICAO: 137,88   ICMS SUBSTITUICAO: 23,94/ A - ICMS DIFERIDO 38,46% ART 108 RICMS/PR DEC 7.871/2017 ANEXO VIII / VALOR DA DIFERENCA DO ICMS: 13,73 / VALOR APROXIMADO DE TRIBUTOS R  81,63 (22,77%) FONTE:IBPT /</t>
  </si>
  <si>
    <t>31345</t>
  </si>
  <si>
    <t>VDM MAQUINAS E FERRAMENTAS LTDA</t>
  </si>
  <si>
    <t>CTE-421129</t>
  </si>
  <si>
    <t xml:space="preserve"> CRISTINA - CTE. 421.129 VENC. VIA BOL. - FRETE REF. A COMPRA DE OLEO HIDRAULICO LIEBHERR BASIC68 P/ A MAQUINA EHL0043,_x000D_
MARINGA</t>
  </si>
  <si>
    <t>NFE-44414</t>
  </si>
  <si>
    <t xml:space="preserve"> CRISTINA - NFE. 44.414 VENC. 15/02/26 VIA BOL. - REF. A COMPRA DE OLEO HIDRAULICO LIEBHERR BASIC68 200LTS P/ USO NA_x000D_
MAQUINA EHL0043, MARINGA</t>
  </si>
  <si>
    <t>NFE-590906</t>
  </si>
  <si>
    <t xml:space="preserve"> CRISTINA - NFE. 590.906 VENC. 28/02/26 VIA BOL. - REF. A COMPRA DE KIT MANUTENÇÃO P/ USO NA MAQUINA EHL0043, MARINGA</t>
  </si>
  <si>
    <t>NFE-2935</t>
  </si>
  <si>
    <t xml:space="preserve"> CRISTINA - NFE. 2.935 VENC. 05/03/26 VIA PIX - REF. A COMPRA DE ADAPTADOR 30MM X 3/4 NPT P/ USO NA MAQUINA EHL0043,_x000D_
MARINGA</t>
  </si>
  <si>
    <t>COMERCIO DE MANGUEIRAS E CONEXAES LTDA</t>
  </si>
  <si>
    <t>MARINGA</t>
  </si>
  <si>
    <t>1.2.4 MARINGA</t>
  </si>
  <si>
    <t>NFE-596447</t>
  </si>
  <si>
    <t xml:space="preserve"> CRISTINA - NFE. 596.447 VENC. 26/04/26 VIA BOL. - REF. A COMPRA DE KIT VEDAÇÃO COLETOR GIRATÓRIO P/ USO NA MAQUINA_x000D_
EHL0043, MARINGA</t>
  </si>
  <si>
    <t>596447-1/55</t>
  </si>
  <si>
    <t>NFE-780552</t>
  </si>
  <si>
    <t xml:space="preserve"> CRISTINA - NFE. 780.552 VENC. 25/04/26 R$3.200,00 25/05/26 R$3.200,00 VIA BOL. - REF. A COMPRA DE 02 OLEO AW68 HLP DRUM 200LTS_x000D_
P/ USO NOS CAMINHÕES (FRT7548, FBU7329 E BZL7H95) E MAQUINAS (EHL0043, EHL0014 E EHH0039) DE MARINGA</t>
  </si>
  <si>
    <t>7595</t>
  </si>
  <si>
    <t>780552-1/55</t>
  </si>
  <si>
    <t>NFSE-663</t>
  </si>
  <si>
    <t xml:space="preserve"> - CRISTINA - NFS. 663 VENC. 06/03/26 VIA PIX - REF. AO SERVIÇO DE REVISAR BOMBA ALTA, SERVIÇO DE TORNO, RETIFICA DO_x000D_
CABEÇOTE, REPAROS, TROCAR DE EIXO BB BAIXA E VEDAÇÃO DE ELEMENTOS NA MAQUINA EHL0043, MARINGA</t>
  </si>
  <si>
    <t>30667</t>
  </si>
  <si>
    <t>FTS DISTRIBUIDORA DE PECAS LTDA</t>
  </si>
  <si>
    <t>663-E/NS</t>
  </si>
  <si>
    <t>CTE-12509456</t>
  </si>
  <si>
    <t xml:space="preserve"> CRISTINA - CTE. 12.509.456 VENC. 25/03/26 VIA PIX - FRETE REF. A COMPRA DE BOMBA HIDRAULICA E BOMBA DO PISTÃO P/ AS_x000D_
MAQUINA EHL0043 DE LONDRINA E EHL0013 DE PRUDENTE</t>
  </si>
  <si>
    <t>24741</t>
  </si>
  <si>
    <t>12509456-0/57</t>
  </si>
  <si>
    <t>NFSE-940</t>
  </si>
  <si>
    <t xml:space="preserve"> - CRISTINA - NFS. 940 VENC. 15/04/26 VIA PIX - REF. AO SERVIÇO DE RETIRAR E INSTALAR A BOMBA DE COMBUSTIVEL P/ SANAR_x000D_
VAZAMENTO R$3.430,00 SANAR O VAZAMENTO DA GARRA R$230,00 E DESLOCAMENTO R$640,00 NA MAQUINA EHL0043, MARINGA</t>
  </si>
  <si>
    <t>30421</t>
  </si>
  <si>
    <t>E C DOURADO ASSISTENCIA TECNICA</t>
  </si>
  <si>
    <t>940-E/NS</t>
  </si>
  <si>
    <t>NFE-97975</t>
  </si>
  <si>
    <t xml:space="preserve"> CRISTINA - NFE. 97.975 VENC. 15/04/26 VIA BOL. - REF. A COMPRA DE ADITIVO P/ DIESEL 5LTS, P/ USO NOS CAMINHÕES (BZL7H95,_x000D_
FRT7548 E FBU7329) E MÁQUINAS (EHH0039, EHL0043 E EHL0014) QUE UTILIZAM DA BOMBA DE MARINGA</t>
  </si>
  <si>
    <t>7974</t>
  </si>
  <si>
    <t>UNIPETRO PRUDENTE DIST PETROL LT MARINGA</t>
  </si>
  <si>
    <t>97975-1/55</t>
  </si>
  <si>
    <t>NFSE-5404</t>
  </si>
  <si>
    <t xml:space="preserve"> - CRISTINA - NFS. 5.404 VENC. 25/01/26 VIA BOL. - REF. A TROCA DE BUZINA, TESTES DE CHICOTE E ELETRICOS NA CENTRAL DA_x000D_
MAQUNA EHL0041, JOINVILLE</t>
  </si>
  <si>
    <t>NFE-44355</t>
  </si>
  <si>
    <t xml:space="preserve"> CRISTINA - NFE. 44.355 VENC. 05/02/26 VIA BOL. - REF. A COMPRA DE OLEO 10W40 20LTS P/ AS MAQUINAS LIEBHERR DAS BASES DE_x000D_
PRUDENTE (EHL0028), JOINVILLE (EHL0041), DOURADOS (EHL0042) E MARINGA (EHL0043)</t>
  </si>
  <si>
    <t>CTE-420941</t>
  </si>
  <si>
    <t xml:space="preserve"> CRISTINA - CTE. 420.941 VENC. VIA BOL. - FRETE REF. A COMPRA DE 8 BALDES DE OLEO LIEBHERR 10W40 20 LTS P/ USO NAS_x000D_
MAQUINAS LIEBHERR DAS BASE DE PRUDENTE (EHL0028), JOINVILLE (EHL0041), DOURADOS (EHL0042) E MARINGA (EHL0043)</t>
  </si>
  <si>
    <t>NFE-1798</t>
  </si>
  <si>
    <t xml:space="preserve"> CRISTINA - NFE. 1.798 VENC. 26/01/26 VIA BOL. - REF. A COMPRA DE PRODUTOS P/ MANUTENÇÃO NA MAQUINA EHL0041 DE JOINVILLE -  - PLACA: EHL0041 FROTA: LIEBHERR 934 VEICULO: 934 L 934 L - LIEBHERR KM:</t>
  </si>
  <si>
    <t>NFSE-27638</t>
  </si>
  <si>
    <t xml:space="preserve"> - CRISTINA - NFS. 2.583 VENC. 26/01/26 VIA BOL. - REF. A REMOÇÃO DO CILINDRO HIDRAULICO DA CABINE (R$ 360,00) INSTALAÇÃO DO_x000D_
CILINDRO HIDRAULICO (R$ 360,00) TROCA DO REPARO DO CILINDRO HIDRAULICO (R$ 450,00) E DESLOCAMENTO (R$ 240,00) NA_x000D_
MAQUINA EHL0041 DE JOINVILLE</t>
  </si>
  <si>
    <t>NFE-1988</t>
  </si>
  <si>
    <t xml:space="preserve"> CRISTINA - NFE. 1.988 VENC. 15/02/26 VIA PIX - REF. A COMPRA DE KIT DA GARRA LIEBHERR P/ AS MAQUINAS EHH0040 DE LONDRINA, EHH0038 DE CAMPO GRANDE E EHL0041 DE JOINVILLE - RASTREIO OY 653 797 628 BR; - I  -DOCUMENTO EMITIDO POR ME OU EPP OPTANTE PELO SIMPLES NACIONAL.; II - NAO GERA DIREITO A CREDITO FISCAL DE IPI.; VALOR APROXIMADO DOS TRIBUTOS CONFORME LEI 12.741/2012: FEDERAL R$ 222,90 - ESTADUAL R$ 62,10 FONTE: IBPT - RASTREIO OY 653 797 628 BR; - I  -DOCUMENTO EMITIDO POR ME OU EPP OPTANTE PELO SIMPLES NACIONAL.; II - NAO GERA DIREITO A CREDITO FISCAL DE IPI.; VALOR APROXIMADO DOS TRIBUTOS CONFORME LEI 12.741/2012: FEDERAL R$ 222,90 - ESTADUAL R$ 62,10 FONTE: IBPT</t>
  </si>
  <si>
    <t>NFSE-2704</t>
  </si>
  <si>
    <t xml:space="preserve"> - CRISTINA - NFS. 2.704 VENC. 15/02/26 VIA BOL. - REF. A FABRICAÇÃO DE CAMISA DO CILINDRO GARRA R$350,00 TESTE DE RODAGEM_x000D_
R$13,00 E DESLOCAMENTO R$160,00 NA MAQUINA EHL0041, JOINVILLE</t>
  </si>
  <si>
    <t>NFE-1990</t>
  </si>
  <si>
    <t xml:space="preserve"> CRISTINA - NFE. 1.990 VENC. 27/02/26 VIA PIX - REF. A COMPRA DE KIT DA GARRA LIEBHERR JOGOS DE REPARO 50X70, 03 NA MAQUINA EHH0015 E 03 NA EHH0037 DE BARRA MANSA E 04 P/ A MAQUINA EHL0041 DE JOINVILLE - 30 DDL; - I  -DOCUMENTO EMITIDO POR ME OU EPP OPTANTE PELO SIMPLES NACIONAL.; II - NAO GERA DIREITO A CREDITO FISCAL DE IPI.; VALOR APROXIMADO DOS TRIBUTOS CONFORME LEI 12.741/2012: FEDERAL R$ 401,22 - ESTADUAL R$ 111,78 FONTE: IBPT - 30 DDL; - I  -DOCUMENTO EMITIDO POR ME OU EPP OPTANTE PELO SIMPLES NACIONAL.; II - NAO GERA DIREITO A CREDITO FISCAL DE IPI.; VALOR APROXIMADO DOS TRIBUTOS CONFORME LEI 12.741/2012: FEDERAL R$ 401,22 - ESTADUAL R$ 111,78 FONTE: IBPT</t>
  </si>
  <si>
    <t>NFE-124143</t>
  </si>
  <si>
    <t xml:space="preserve"> CRISTINA - NFE. 124.143 VENC. 17/03/26 VIA BOL. - REF. A COMPRA DE MANGUEIRA HIDRAULICA 4TR E COMPLEMENTOS P/ USO NA MAQUINA EHL0041 DE JOINVILLE -  - VAL APROX TRIBUTOS, F=106,95 (14,05%) E=118,05 (15,51%) FONTE: IBPT-SOLICITANTE: CRISTIANO- DEVOLUCAO SOMENTE COM AUTORIZACAO E APRESENTACAO DA NOTA FISCAL COM A MERCADORIA.-PEDIDO:131374-EXPEDICAO:114802-VEND.: RAFAEL-</t>
  </si>
  <si>
    <t>7.3.1</t>
  </si>
  <si>
    <t>SALÁRIOS, 13°, FÉRIAS, DIÁRIAS E RESCISÃ</t>
  </si>
  <si>
    <t>7.3.1 SALÁRIOS, 13°, FÉRIAS, DIÁRIAS E RESCISÃ</t>
  </si>
  <si>
    <t>20.504.237/0001-17</t>
  </si>
  <si>
    <t>FOLHA</t>
  </si>
  <si>
    <t>FOLHA + IMPOSTOS + PROVISAO</t>
  </si>
  <si>
    <t>folha</t>
  </si>
  <si>
    <t>SERGIO LUIZ RIBEIRO</t>
  </si>
  <si>
    <t>RODRIGO PERESSINI DE PAULA LEITE</t>
  </si>
  <si>
    <t>REGINALDO BARRETO DA SILVA</t>
  </si>
  <si>
    <t>JOSE ANTONIO DOS SANTOS</t>
  </si>
  <si>
    <t>JOAO BATISTA RIBEIRO SILVA</t>
  </si>
  <si>
    <t>1.7.1.3</t>
  </si>
  <si>
    <t>ARCELOR - BARRA MANSA/RJ</t>
  </si>
  <si>
    <t>1.7.1.3 ARCELOR - BARRA MANSA/RJ</t>
  </si>
  <si>
    <t>GILBERTO JEAN DA SILVA</t>
  </si>
  <si>
    <t>FLAVIO PINHEIRO LIMA</t>
  </si>
  <si>
    <t>33.678.173/0001-12</t>
  </si>
  <si>
    <t>ANTONIO CARLOS FIGUEREDO</t>
  </si>
  <si>
    <t>WALLANCE ALIEL FURTADO</t>
  </si>
  <si>
    <t>ADMINISTRATIVO/COMERCIAL</t>
  </si>
  <si>
    <t>PESSOAL - SALARIOS, COMIS. E IRRF</t>
  </si>
  <si>
    <t>NVS - EKIPA</t>
  </si>
  <si>
    <t>ADT</t>
  </si>
  <si>
    <t>PAGTO REF FÉRIAS COLABORADOR 01 2024</t>
  </si>
  <si>
    <t>ADIANTAMENTO</t>
  </si>
  <si>
    <t>RODRIGO PERESSIN DE PAULA LEITE</t>
  </si>
  <si>
    <t>JOAO BATISTA RIBEIRO DA SILVA</t>
  </si>
  <si>
    <t>ANTONIO CARLOS FIGUEIREDO</t>
  </si>
  <si>
    <t>SALARIOS</t>
  </si>
  <si>
    <t>SALARIO</t>
  </si>
  <si>
    <t>LUCAS NOGUEIRA TORRES</t>
  </si>
  <si>
    <t>PESSOAL - RESCISAO CONTRATUAL</t>
  </si>
  <si>
    <t>REF A PAGTO ADIANTAMENTO SALARIAL COMPETÊNCIA  FEVEREIRO24</t>
  </si>
  <si>
    <t>PAGTO REF A DIANTAMENTO SALARIAL COMPETÊNCIA MARÇO 2024</t>
  </si>
  <si>
    <t>ADT08042024</t>
  </si>
  <si>
    <t>PAGTO REF A  ADIANTAMENTO SALARIAL ABRIL 2024</t>
  </si>
  <si>
    <t>PIXANIV07/05</t>
  </si>
  <si>
    <t>EDILEUSA PEREIRA LISBOA</t>
  </si>
  <si>
    <t>REEMBOLSO REF VIAGENS DE UBER, COMPRA DE PEÇA PRENSA OC 18772</t>
  </si>
  <si>
    <t>SAL042024</t>
  </si>
  <si>
    <t>REEMBOLSO REF VIAGENS DE UBER, COMPRA DE LAMPADA, LOCAÇÃO DE VEICULO E PEDAGIOS OCS 18904/18903</t>
  </si>
  <si>
    <t>ADT052024</t>
  </si>
  <si>
    <t>DIARIAS - FUNCIONARIOS</t>
  </si>
  <si>
    <t>REEMBOLSO LOC.VEICULO, REFEIÇÕES, ABAST., COMPRA PNEU P/ PRENSA E SERV DE SOCORRO OC 18976/18975</t>
  </si>
  <si>
    <t>PAGTO REF A ADIANTAMENTO SALARIAL MAIO 24</t>
  </si>
  <si>
    <t>PREMIO0424</t>
  </si>
  <si>
    <t>REFEIÇ05/24</t>
  </si>
  <si>
    <t>PAGTO REF A REFEIÇÃO 02/05 A 16/05 E 20/05 A 24/05/24  - UNIDADE PRUDENTE E MARINGA</t>
  </si>
  <si>
    <t>MILTON ANDRADE DA COSTA</t>
  </si>
  <si>
    <t>PAGTO REF A REFEIÇÃO DE 27 A 31/05/2024 - UNIDADE MARINGA</t>
  </si>
  <si>
    <t>PREM07062024</t>
  </si>
  <si>
    <t>PREM04062024</t>
  </si>
  <si>
    <t>1.7.1.12</t>
  </si>
  <si>
    <t>ALMAD</t>
  </si>
  <si>
    <t>1.7.1.12 ALMAD</t>
  </si>
  <si>
    <t>20.947.332/0008-61</t>
  </si>
  <si>
    <t>VALMIR BEZERRA DA PAZ</t>
  </si>
  <si>
    <t>PGTO REF REEMBOLSO COMPRA DE PEÇA P/ MANUTENÇÃO GDU0275 /EWU6A79/EWU5857 OC 19122</t>
  </si>
  <si>
    <t>REEMBOLSO REF ABASTECIMENTO E ALUGUEL DE VEICULO - OC 19358</t>
  </si>
  <si>
    <t>REEMBOLSO REF VIAGENS DE UBER OC 19359</t>
  </si>
  <si>
    <t>GABRIEL CARDOSO MOREIR NEUBANER</t>
  </si>
  <si>
    <t>G3S LONDRINA</t>
  </si>
  <si>
    <t>REEMBOLSO REF CONSERTO DE PNEU BTZ8D36 OC 19607</t>
  </si>
  <si>
    <t>EKIPA LOCACOES RSE</t>
  </si>
  <si>
    <t>1.6</t>
  </si>
  <si>
    <t>1.6 EKIPA LOCACOES RSE</t>
  </si>
  <si>
    <t>1.6.3</t>
  </si>
  <si>
    <t>VEICULO, MAQUINA E EQUIPAMENTO</t>
  </si>
  <si>
    <t>1.6.3 VEICULO, MAQUINA E EQUIPAMENTO</t>
  </si>
  <si>
    <t>REEMBOLSO PREMIO FOLHA PAGAMENTO JUNHO2024</t>
  </si>
  <si>
    <t>TIAGO PINHO FERREIRA</t>
  </si>
  <si>
    <t>ROBERTT FERNANDO SIQUEIRA</t>
  </si>
  <si>
    <t>GABRIEL CARDOSO MOREIRA NEUBANER</t>
  </si>
  <si>
    <t>REEMBOLSO REF SERV. DE BORRACHARIA OC 20676</t>
  </si>
  <si>
    <t>7.3.8</t>
  </si>
  <si>
    <t>Folha</t>
  </si>
  <si>
    <t>PIRACICABA/SP</t>
  </si>
  <si>
    <t>1.7.1.4 PIRACICABA/SP</t>
  </si>
  <si>
    <t>GERSON TELES DA ROSA</t>
  </si>
  <si>
    <t>20.504.237/0005-40</t>
  </si>
  <si>
    <t>X16345</t>
  </si>
  <si>
    <t>(MARCOS) REF. AO ALUGUEL DO 01 QUARTOS, SENDO 01 P/ OS COLABORADORES DANIEL E SILVANO QUE ESTAO TRABALHANDO EM PIRACICABA. - PGTO  VIA TRANSFERENCIA - VENC 05/01/2024 - S/N. OC16345</t>
  </si>
  <si>
    <t>MARIA DE FATIMA MARCELINO</t>
  </si>
  <si>
    <t>ALUGUEL E CONDOMINIOS</t>
  </si>
  <si>
    <t>X17035</t>
  </si>
  <si>
    <t>(MAX) REF. AO ALUGUEL DO 01 QUARTO, SENDO  P/ O COLABORADOR SILVANO QUE ESTA TRABALHANDO EM PIRACICABA. - PGTO  VIA TRANSFERENCIA - VENC 05/02/2024 - S/N. - 17035 MATEUS</t>
  </si>
  <si>
    <t>X17658</t>
  </si>
  <si>
    <t>(MAX) REF. AO ALUGUEL DO 01 QUARTO, SENDO P/ O COLABORADOR DANIEL TRABALHANDO EM PIRACICABA. - PGTO VIA_x000D_
TRANSFERENCIA - VENC 05/03/2024 - S/N._x000D_ - OC 17658 - MATEUS PACHECO</t>
  </si>
  <si>
    <t>X18230</t>
  </si>
  <si>
    <t>(MAX) REF. AO ALUGUEL DO 01 QUARTO, SENDO  P/ O COLABORADOR DANIEL TRABALHANDO EM PIRACICABA. - PGTO  VIA TRANSFERENCIA - VENC 05/04/2024 - S/N.</t>
  </si>
  <si>
    <t>X18782</t>
  </si>
  <si>
    <t>MAX - REFERENTE AO ALUGUEL DO 01 QUARTO, SENDO  P/ O COLABORADOR DANIEL, QUE ESTA OPERNDO A PRENSA, NA  ARCELOR EM PIRACICABA. - PGTO  VIA TRANSFERENCIA - VENCIMENTO 05/05/2024 - S/N.</t>
  </si>
  <si>
    <t>X19232</t>
  </si>
  <si>
    <t>MAX - REFERENTE AO ALUGUEL DO 01 QUARTO, SENDO  P/ O COLABORADOR DANIEL, QUE ESTA OPERNDO A PRENSA, NA  ARCELOR EM PIRACICABA. - PGTO  VIA DEPOSITO - VENCIMENTO 05/06/2024 - S/N.</t>
  </si>
  <si>
    <t>X19910</t>
  </si>
  <si>
    <t>MARCONDES - PGTO VIA DEPOSITO - VENCIMENTO 06/08/2024 - S/N. REF. AO ALUGUEL DO 01 QUARTO, SENDO P/ COLABORADOR DANIEL, QUE ESTA OERANDO A PRENSA, NA ARCELOR PIRACICABA</t>
  </si>
  <si>
    <t>X20121</t>
  </si>
  <si>
    <t>MARCONDES - S/NOTA VENC.05/09/24 VIA DEPOSITO, SANTANDER AG 0041 CC 01091503-8_x000D_
REF. AO ALUGUEL DO 01 QUARTO, SENDO PARA O COLABORADOR DANIEL, QUE ESTA OPERANDO A PRENSA, NA ARCELOR EM_x000D_
PIRACICABA - OC 20121</t>
  </si>
  <si>
    <t>X20397</t>
  </si>
  <si>
    <t>MARCONDES - S/NOTA VENC. 05/10/24 VIA DEPOSITO, SANTANDER AG 0041 CC 01091503-8_x000D_
REF. AO ALUGUEL DO 01 QUARTO, SENDO PARA O COLABORADOR DANIEL, QUE ESTA OPERANDO A PRENSA, NA ARCELOR EM_x000D_
PIRACICABA. - OC 20397</t>
  </si>
  <si>
    <t>X20695</t>
  </si>
  <si>
    <t>MARCONDES - S/NOTA VENC. 05/11/24 VIA TRANSFERÊNCIA, SANTANDER AG 0041 CC 01091503-8_x000D_
REF. AO ALUGUEL DO 01 QUARTO, SENDO PARA O COLABORADOR DANIEL, QUE ESTA OPERANDO A PRENSA, NA ARCELOR EM_x000D_
PIRACICABA. - OC 20695</t>
  </si>
  <si>
    <t>CRISTIANY DE BARROS PEREIRA</t>
  </si>
  <si>
    <t>X20977</t>
  </si>
  <si>
    <t>MARCONDES - S/NOTA VENC. 05/12/24 VIA TRANSFERÊNCIA, SANTANDER AG 0041 CC 01091503-8_x000D_
REF. AO ALUGUEL DO 01 QUARTO, SENDO PARA O COLABORADOR DANIEL, QUE ESTA OPERANDO A PRENSA, NA ARCELOR EM_x000D_PIRACICABA.</t>
  </si>
  <si>
    <t>X21196</t>
  </si>
  <si>
    <t>MARCONDES - S/NOTA VENC. 06/01/25 VIA TRANSFERÊNCIA, SANTANDER AG 0041 CC 01091503-8 - REF. AO ALUGUEL DO 01 QUARTO,_x000D_
SENDO PARA O COLABORADOR DANIEL E SILVANO, QUE ESTA OPERANDO A PRENSA, NA ARCELOR EM PIRACICABA.</t>
  </si>
  <si>
    <t>46354-E/NS</t>
  </si>
  <si>
    <t>HOSPEDAGEM DE GEOVANE, MARIANE E JEANE EM PIRACICABA, SENDO 1 DIÁRIA , CARTÃO DE CRÉDITO FINAL 1946</t>
  </si>
  <si>
    <t>GAMA HOTELARIA E EMPREENDIMENTOS LTDA</t>
  </si>
  <si>
    <t>DESPESAS C/LOCOMOCAO E VIAGEM</t>
  </si>
  <si>
    <t>AL46921</t>
  </si>
  <si>
    <t>UBER DE MARUMBI A APUCARANA - CARTÃO ALELO FINAL 3014 USO JOAO BATISTA</t>
  </si>
  <si>
    <t>UBER DO BRASIL TECNOLOGIA LTDA.</t>
  </si>
  <si>
    <t>AL46922</t>
  </si>
  <si>
    <t>UBER RODOVIARIA PARA KITNET JOINVILLE - CARTÃO ALELO FINAL 3014 USO JOAO BATISTA</t>
  </si>
  <si>
    <t>AL16606</t>
  </si>
  <si>
    <t>REFERENTE A COMPRA DE AGUA E IMPRESSAO NO HOTEL NA CIDADE DE PIRACICABA, RELATIVO A VISITA A UNIDADE DA ARCELORMITTAL. PAGAMENTO VIA CARTAO ALELO FINAL 6011.</t>
  </si>
  <si>
    <t>HOTEL COPACABANA PIRACICABA LTDA</t>
  </si>
  <si>
    <t>CC0982100124</t>
  </si>
  <si>
    <t>CC FINAL 0982 USO WAGNER JUNIOR - DESP. DEDUTIVEL REF 06 ABASTECIMENTO /DESP. INDEDUTIVEL REF 01 REFEIÇÃO</t>
  </si>
  <si>
    <t>AL46932</t>
  </si>
  <si>
    <t>UBER INDO DO CENTRO MEDICO PARA TUPY - CARTÃO ALELO FINAL 3014 USO JOAO BATISTA</t>
  </si>
  <si>
    <t>REEMBOLSO VIAGENS DE UBER, ALUG. VEICULO, ABAST., COMPRA DE PEÇA P/ PRENÇA OCS 16480/16474/16473</t>
  </si>
  <si>
    <t>REEMBOLSO REF ALUGUEL DE VEICULO, ABASTECIMENTO E VIAGEM DE UBER OC 16484</t>
  </si>
  <si>
    <t>AL46923</t>
  </si>
  <si>
    <t>PASSAGEM DE APUCARANA PARA JOINVILLE - CARTÃO ALELO FINAL 3014 USO JOAO BATISTA</t>
  </si>
  <si>
    <t>BRASIL SUL LINHAS RODOVIARIAS LTDA.</t>
  </si>
  <si>
    <t>AL46926</t>
  </si>
  <si>
    <t>UBER DA KITNET PARA RODOVIARIA DE JOINVILLE P/ PAGAR PASSAGEM - CARTÃO ALELO FINAL 3014 USO JOAO BATISTA</t>
  </si>
  <si>
    <t>AL46931</t>
  </si>
  <si>
    <t>UBER DA KITNET PARA RODOVIARIA DE JOINVILLE P/ PAGAR PASSAGEM - CARTÃO ALELO FINAL 3014 - USO JOAO BATISTA</t>
  </si>
  <si>
    <t>NVS - PILARES</t>
  </si>
  <si>
    <t>REEMBOLSO REF VIAGEM DE UBER E LOCAÇÃO DE VEICULO OCS 16586/16596</t>
  </si>
  <si>
    <t>MARIANE APARECIDA DOS SANTOS MOREIRA</t>
  </si>
  <si>
    <t>AL46933</t>
  </si>
  <si>
    <t>COMPRA  DE PRODUTOS DE LIMPEZA E HIGIENE - CARTÃO ALELO FINAL 3014 USO JOAO BATISTA</t>
  </si>
  <si>
    <t>COOPERATIVA DE PRODUCAO E ABASTECIMENTO DO VALE DO ITAJAI</t>
  </si>
  <si>
    <t>AL46938</t>
  </si>
  <si>
    <t>PASSAGEM DE JOINVILLE PARA APUCARANA - CARTÃO ALELO FINAL 3014 USO JOAO BATISTA</t>
  </si>
  <si>
    <t>AL47091</t>
  </si>
  <si>
    <t>PASSAGEM DE APUCARANA PARA JOINVILLE - CARTÃO ALELO FINAL 3014 USO JOÃO BATISTA</t>
  </si>
  <si>
    <t>AL46941</t>
  </si>
  <si>
    <t>UBER KITNET PARA RODOVIARIA DE JOINVILLE - CARTÃO ALELO FINAL 3014 USO JOAO BATISTA</t>
  </si>
  <si>
    <t>AL46937</t>
  </si>
  <si>
    <t>UBER POSTO RODOVIARIO P/ MARUMBI (20/01) E UBER DE MARUMBI P/ APUCARANA (11/01) - CARTÃO ALELO FINAL 3014 USO JOAO BATISTA</t>
  </si>
  <si>
    <t>AL46944</t>
  </si>
  <si>
    <t>UBER RODOVIARIA PARA KITNET - CARTÃO FINAL 3014 USO JOAO BATISTA</t>
  </si>
  <si>
    <t>AL47098</t>
  </si>
  <si>
    <t>UBER DO MEDICO PARA KITNET - CARTÃO ALELO FINAL 3014 USO JOAO BATISTA</t>
  </si>
  <si>
    <t>AL47099</t>
  </si>
  <si>
    <t>UBER DA KITNET PARA O MEDICO - CARTÃO ALELO FINAL 3014 USO JOAO BATISTA</t>
  </si>
  <si>
    <t>REEMBOLSO REF PEDAGIO VISITA ARCELOR PIRACICABA OC 16772</t>
  </si>
  <si>
    <t>REEMBOLSO REF ABASTECIMENTO CARRO ALUGADO OC 16760</t>
  </si>
  <si>
    <t>AL46960</t>
  </si>
  <si>
    <t>UBER DE MARUMBI PARA APUCARANA - CARTÃO ALELO FINAL 3014 USO JOAO BATISTA</t>
  </si>
  <si>
    <t>AL46958</t>
  </si>
  <si>
    <t>UBER DA RODOVIARIA PARA KITNET EM JOINVILLE CARTÃO ALELO FINAL 3014  USO JOAO BATISTA</t>
  </si>
  <si>
    <t>AL46948</t>
  </si>
  <si>
    <t>COMPRA DE GRAXEIRA E ENGRAXADEIRA - CARTÃO ALELO FINAL 3014 USO JOAO BATISTA</t>
  </si>
  <si>
    <t>ROMAFIX COMERCIO LTDA</t>
  </si>
  <si>
    <t>AL46956</t>
  </si>
  <si>
    <t>COMPRA DE MANGUEIRA CRT 3/4X1 - CARTÃO ALELO FINAL 3014 USO JOAO BATISTA</t>
  </si>
  <si>
    <t>AL07022024</t>
  </si>
  <si>
    <t>ABASTECIMENTO VEICULO PARTICULAR PRESTAR SERVIÇO PARA LEVAR PEÇA ATE A USINA (SEM COMPROVANTE)</t>
  </si>
  <si>
    <t>POSTO SUL AMERICANO LTDA</t>
  </si>
  <si>
    <t>CC098210022024</t>
  </si>
  <si>
    <t>CARTÃO DE CRÉDITO FINAL 0982 USO WAGNER JÚNIOR - DESP DEDUTIVEIS: 06 ABASTECIMENTOS, 01 REFEIÇÃO COM PESSOAL DA HIDROAMERICA E 02 COMPRA DE PEÇAS P/ MAQUINA EHH 0038</t>
  </si>
  <si>
    <t>AL46961</t>
  </si>
  <si>
    <t>AL46970</t>
  </si>
  <si>
    <t>UBER KITNET PARA RODOVIARIA DE JOINVILLE P/ PAGAR PASSAGEM - CARTÃO ALELO FINAL 3014 USO JOAO BATISTA</t>
  </si>
  <si>
    <t>AL46963</t>
  </si>
  <si>
    <t>UBER DENTISTA PARA KITNET - CARTÃO ALELO FINAL 3014 USO JOAO BATISTA</t>
  </si>
  <si>
    <t>AL46967</t>
  </si>
  <si>
    <t>UBER DA KITNET PARA DENTISTA - CARTÃO ALELO FINAL 3014 USO JOAO BATISTA</t>
  </si>
  <si>
    <t>AL47102</t>
  </si>
  <si>
    <t>AL47103</t>
  </si>
  <si>
    <t>AL47100</t>
  </si>
  <si>
    <t>UBER DA KITNET PARA RODOVIARIA DE JOINVILLE - CARTÃO ALELO FINAL 3014 USO JOAO BATISTA</t>
  </si>
  <si>
    <t>AL47104</t>
  </si>
  <si>
    <t>UBER  POSTO RODOVIARIO P/ MARUMBI (17/02) E UBER DE MARUMBI P/ APUCARANA (18/02) - CATÃO ALELO FINAL 3014 USO JOAO BATISTA</t>
  </si>
  <si>
    <t>AL47105</t>
  </si>
  <si>
    <t>UBER DA RODOVIARIA PARA KITNET EM JOINVILLE - CARTÃO ALELO FINAL 3014 USO JOAO BATISTA</t>
  </si>
  <si>
    <t>CASA DO BOSQUE POUSADA LTDA</t>
  </si>
  <si>
    <t>ALIMENTACAO E HOSPEDAGEM</t>
  </si>
  <si>
    <t>REEMBOLSO REF VIAGEM DE UBER ARCELOR OC 17530</t>
  </si>
  <si>
    <t>REEMBOLSO REF LOCAÇÃO DE VEICULO VIAGEM PIRACICABA OC 17547</t>
  </si>
  <si>
    <t>REEMBOLSO REF 02 COBRANÇAS DE PEDAGIO OC 17598</t>
  </si>
  <si>
    <t>AL49558</t>
  </si>
  <si>
    <t>COMPPRA DE PASSAGEM IDA E VOLTA APUCARANA/JOINVILLE</t>
  </si>
  <si>
    <t>BRASIL SUL LINHAS RODOVIARIAS LTDA</t>
  </si>
  <si>
    <t>AL49554</t>
  </si>
  <si>
    <t>UBER KITNET P/ RODOVIARIA</t>
  </si>
  <si>
    <t>AL49559</t>
  </si>
  <si>
    <t>UBER POSTO RODOVIARIO P/ MARUMBI (02/03) E UBER DE MARUMBI P/ APUCARANA (03/03)</t>
  </si>
  <si>
    <t>AL49562</t>
  </si>
  <si>
    <t>UBER RODOVIARIA PARA KITNET</t>
  </si>
  <si>
    <t>AL52006</t>
  </si>
  <si>
    <t>ABASTECIMENTO - CARTÃO ALELO FINAL 1025 USO WALLANCE</t>
  </si>
  <si>
    <t>POSTO NACOES UNIDAS LTDA</t>
  </si>
  <si>
    <t>AL49568</t>
  </si>
  <si>
    <t>COMPRA DE PRODUTOS DE LIMPEZA E HIGIENE PESSOAL</t>
  </si>
  <si>
    <t>AL49566</t>
  </si>
  <si>
    <t>UBER P/ FAZER EXAME PERIODICO DO LABORATORIO P/ KITNET</t>
  </si>
  <si>
    <t>AL49569</t>
  </si>
  <si>
    <t>COMPRA DE UM GUARDA CHUVA</t>
  </si>
  <si>
    <t>AL51984</t>
  </si>
  <si>
    <t>PASSAGEM DE IDA E VOLTA JOINVILLE X APUCARANA FUNC. JOAO BATISTA CARTAO ALELO FINAL 3014 - USO JOAO BATISTA</t>
  </si>
  <si>
    <t>51981</t>
  </si>
  <si>
    <t>UBER MARUMBI P/ APUCARANA (17/03) E UBER POSTO RODOVIARIA P/ MARUMBI (16/03)</t>
  </si>
  <si>
    <t>51982</t>
  </si>
  <si>
    <t>UBER RODOVIARIA PARA KITNET JOINVILLE</t>
  </si>
  <si>
    <t>AL51986</t>
  </si>
  <si>
    <t>COMPRA DE PASSAGEM IDA E VOLTA APUCARANA X JOINVILE - CARTAO ALELO FINAL 3014 USO JOAO BATISTA</t>
  </si>
  <si>
    <t>AL51985</t>
  </si>
  <si>
    <t>UBER KITNET  P/ RODOVIARIA JOINVILLE - CARTAO ALELO FINAL 3014 USO JOAO BATISTA</t>
  </si>
  <si>
    <t>AL51987</t>
  </si>
  <si>
    <t>UBER POSTO RODOVIARIO P/ MARUMBI (29/03) E UBER DE MARUMBI P/ APUCARANA (01/03) - CARTAO ALELO FINAL 3014 USO JOAO BATISTA</t>
  </si>
  <si>
    <t>52138-E/NS</t>
  </si>
  <si>
    <t>REF. OC 18566 - CARTAO DE CREDITO FINAL 2914 - A HOSPEDAGEM DAS COLABORADORAS MARIANE MOREIRA E EDNA AMORIM , DOS DIAS 19/03 Á 22/03 , VISITA TÉCNICA_x000D_
ARCELORMITTAL</t>
  </si>
  <si>
    <t>52333-E/NS</t>
  </si>
  <si>
    <t>REF OC 18570 - CARTÃO FINAL 2914 - REF.A HOSPEDAGENS DAS COLABORADORAS EDNA AMORIM E MARIANE MOREIRA , NO DIA 25/03 , VISITA TÉCNICA_x000D_
ARCELORMITTAL</t>
  </si>
  <si>
    <t>REEMBOLSO REF ABASTECIMENTO ALUGUEL DE VEICULO OC 18168</t>
  </si>
  <si>
    <t>AL54095</t>
  </si>
  <si>
    <t>DESPESA REF ABASTECIMENTO PREST. SERV - CARTAO ALELO FINAL 4012 SERGIO</t>
  </si>
  <si>
    <t>CENTRO AUTOMOTIVO BIG-JALISCO DE RESENDE LTDA</t>
  </si>
  <si>
    <t>AL51988</t>
  </si>
  <si>
    <t>UBER RODOVIARIA KITNET JOINVILLE - CARTAO ALELO FINAL 3014 USO JOAO BATISTA</t>
  </si>
  <si>
    <t>PAGTO REF A REFEIÇÃO DE 08/04/24 A 19/04/24 - SERVIÇO EM PIRACICABA</t>
  </si>
  <si>
    <t>AL54369</t>
  </si>
  <si>
    <t>COMBUSTÍVEL PARA LEVAR MATERIAIS EM RESENDE - CARTAO FINAL 1025 USO WALLANCE</t>
  </si>
  <si>
    <t>POSTO NOVA BM LTDA</t>
  </si>
  <si>
    <t>REEMBOLSO REF.UBER OC 18405</t>
  </si>
  <si>
    <t>AL54348</t>
  </si>
  <si>
    <t>PASSAGEM JOINVILLE X APUCARANA IDA E VOLTA - CARTAO ALELO FINAL 3014 USO JOAO</t>
  </si>
  <si>
    <t>AL349</t>
  </si>
  <si>
    <t>UBER POSTO RODOVIARIO P/ MARUMBI (13/04) E DE MARUMBI P/ APUCARANA (14/04) - CARTAO ALELO FINAL 3014 USO JOAO</t>
  </si>
  <si>
    <t>AL54352</t>
  </si>
  <si>
    <t>UBER DA RODOVIARIA PARA KITNET EM JOINVILLE - CARTAO ALELO FINAL 3014 USO JOAO</t>
  </si>
  <si>
    <t>CC293815042024</t>
  </si>
  <si>
    <t>REEMB170424</t>
  </si>
  <si>
    <t>REEM170424</t>
  </si>
  <si>
    <t>FROTA TERCEIRO PRUDENTE</t>
  </si>
  <si>
    <t>AL54354</t>
  </si>
  <si>
    <t>UBER DA KITNET PARA SICREDI FAZER ASSINATURA IDA E VOLTA_x000D_
 - CARTAO ALELO FINAL 3014 USO JOAO</t>
  </si>
  <si>
    <t>REFEIÇÃO0424</t>
  </si>
  <si>
    <t>REEMBOLSO REF ABASTECIMENTO E ALUGUEL DE VEICULO OC 18687</t>
  </si>
  <si>
    <t>CF417630042024</t>
  </si>
  <si>
    <t>CARTÃO FLASH FINAL 4176 USO WAGNER JUNIOR - DESP. DEDUTIVEIS: 06 ABASTECIMENTOS E 01 REFEIÇÃO</t>
  </si>
  <si>
    <t>REFEI052024</t>
  </si>
  <si>
    <t>REFEIÇ052024</t>
  </si>
  <si>
    <t>CF351710052024</t>
  </si>
  <si>
    <t>CARTÃO FLASH FINAL 3517 USO JOAO BATISTA - DESP. DEDUTIVEIS: 01 ABASTECIMENTO / DESP. INDEDUTIVEIS: 01VIAGEMUBER E 01 COMPRA DE PASSAGEM</t>
  </si>
  <si>
    <t>AL6521</t>
  </si>
  <si>
    <t>ACERTO DE SALDO COMPRA DE PASSAGEM JOINVILLE X APUCARANA - CARTAO ALELO FINAL 3014</t>
  </si>
  <si>
    <t>CF417610052024</t>
  </si>
  <si>
    <t>CARTÃO FLASH FINAL 4176 USO WAGNER JUNIOR - DESP. DEDUTIVEIS: 03 ABASTECIMENTOS E 01 PEÇA DE MANUTENÇÃO</t>
  </si>
  <si>
    <t>CC293815052024</t>
  </si>
  <si>
    <t>69023-E/NS</t>
  </si>
  <si>
    <t>PAGAMENTO JA EFETUADO COM CARTÃO FLASH FINAL 7388 REFERENTE A HOSPEDAGEM E ESTACIOMENTO EDNA EM PIRACICABA VISITA TECNICA ARCELOR</t>
  </si>
  <si>
    <t>H N HOTEIS E TURISMO LTDA</t>
  </si>
  <si>
    <t>CC098215052024</t>
  </si>
  <si>
    <t>CARTÃO DE CREDITO FINAL 0982 USO WAGNER JUNIOR - DESP. DEDUTIVEIS: 07 ABASTECIMENTOS, 01 REFEIÇÃO E 02 COMPRAS DE PEÇAS / DESP. INDEDUTIVEIS: 01 COMPRA DE PARAFUSO</t>
  </si>
  <si>
    <t>CF351717052024</t>
  </si>
  <si>
    <t>CARTAO FLASH FINAL 3517 USO JOAO BATISTA - DESP. INDEDUTIVEIS: 03 VIAGENS UBER</t>
  </si>
  <si>
    <t>CF695017052024</t>
  </si>
  <si>
    <t>CARTAO FLASH FINAL 6950 USO WALLANCE - DESP. DEDUTIVEIS: 01 COMPRA RELACIONADA A SERVIÇOS DE MANUTENÇÃO E 01 ABASTECIMENTO</t>
  </si>
  <si>
    <t>CF417617052024</t>
  </si>
  <si>
    <t>CARTÃO FLASH FIBAL 4176 USO WAGNER JUNIOR - DESP. DEDUTIVEIS: 05 ABASTECIMENTOS / DESP. INDEDUTIVEIS: 01 REFEIÇÃO E 01 COMPRA DE PEÇAS  PARA MANUTENÇÃO</t>
  </si>
  <si>
    <t>REEMB230524</t>
  </si>
  <si>
    <t>HOSPEDAGEM EDILEUSA BARRA MANSA</t>
  </si>
  <si>
    <t>R COSTA E SOUZA HOTEL LTDA</t>
  </si>
  <si>
    <t>CF351724052024</t>
  </si>
  <si>
    <t>CARTÃO FLASH FINAL 3517 USO JOAO BATISTA - DESP. INDEDUTIVEIS: 01 VIAGEM UBER E 01 PASSAGEM RODOVIARIA</t>
  </si>
  <si>
    <t>CF417624052024</t>
  </si>
  <si>
    <t>CARTAO FLASH FINAL 4176 USO WAGNER JUNIOR - DESP. DEDUTIVEIS: 04 ABASTECIMENTOS / DESP. INDEDUTIVEIS: 01 SERVIÇO DE LAVAGEM DE VEICULO</t>
  </si>
  <si>
    <t>CF351731052024</t>
  </si>
  <si>
    <t>CARTAO FLASH FINAL 3517 USO JOAO BATISTA - DESP. DEDUTIVEL: 01 ABASTECIMENTO / DESP. INDEDUTIVEIS: 02 VIAGENS UBER</t>
  </si>
  <si>
    <t>CF417631052024</t>
  </si>
  <si>
    <t>CARTÃO FLASH FINAL 4176 USO WAGNER JÚNIOR - DESP. DEDUTIVEL: 01 ABASTECIMENTOS / DESP. INDEDUTIVEL: 01 REFEIÇÃO</t>
  </si>
  <si>
    <t>CF351707062024</t>
  </si>
  <si>
    <t>CARTÃO FLASH FINAL 3517 USO JOAO BATISTA - DESP. INDEDUTIVEIS: 01 PASSAGEM RODOVIARIA E 01 VIAGEM UBER</t>
  </si>
  <si>
    <t>CF787407062024</t>
  </si>
  <si>
    <t>CARTAO FLASH FINAL 7874 USO DANIEL - DESP. DEDUTIVEIS: 01 ABASTECIMENTO E 01 SERVIÇO DE MANUTENÇÃO / DESP. INDEDUTIVEIS: 01 LOCAÇÃO DE VEICULO, 03 VIAGENS UBER, 03 SERVIÇO DE MANUTENÇÃO E 01 PEÇA DE MANUTENÇÃO</t>
  </si>
  <si>
    <t>DANIEL JUNIOR DOS SANTOS</t>
  </si>
  <si>
    <t>CF417607062024</t>
  </si>
  <si>
    <t>CARTÃO FLASH FINAL 4176 USO WAGNER JUNIOR: DESP. DEDUTIVEIS: 04 ABASTECIMENTOS / DESP. INDDEDTIVEL: 01 REFEIÇÃO</t>
  </si>
  <si>
    <t>Transporte</t>
  </si>
  <si>
    <t>JOSE FIRME DE MELO</t>
  </si>
  <si>
    <t>CF351714062024</t>
  </si>
  <si>
    <t>CARTAO FLASH FINAL 3517 USO JOAO BATISTA - DESP. INDEDUTIVEIS: 02 VIAGENS UBER</t>
  </si>
  <si>
    <t>CF787414062024</t>
  </si>
  <si>
    <t>CARTAO FLASH FINAL 7874 USO DANIEL - DESP. DEDUTIVEIS: 02 ABASTECIMENTOS / DESP. INDEDUTIVEIS: 01 LOCAÇÃO DE VEICULOS</t>
  </si>
  <si>
    <t>CF417614062024</t>
  </si>
  <si>
    <t>CARTAO FLASH FINAL4176 USO WAGNER JUNIOR - DESP. DEDUTIVEIS: 04 ABASTECIMENTOS</t>
  </si>
  <si>
    <t>CF321521062024</t>
  </si>
  <si>
    <t>CARTÃO FLASH FINAL 3215 USO SERGIO - DESP. DEDUTIVEL: 01 ABASTECIMENTO</t>
  </si>
  <si>
    <t>CF351721062024</t>
  </si>
  <si>
    <t>CARTAO FLASH FINAL 3517 USO JOAO BATISTA - DESP. INDEDUTIVEL: COMPRA DE 02 PASSAGENS RODOVIARIAS</t>
  </si>
  <si>
    <t>CF695021062024</t>
  </si>
  <si>
    <t>CARTAO FLASH FINAL 6950 USO WALLANCE - DESP. DEDUTIVEL: 01 ABASTECIMENTO / DESP. INDEDUTIVEIS: 01 LANCHE E 01 CÓPIA DE CHAVE</t>
  </si>
  <si>
    <t>CF417621062024</t>
  </si>
  <si>
    <t>CARTÃO FLASH FINAL 4176 USO WAGNER JUNIOR - DESP. DEDUTIVEL: 01 ABASTECIMENTO</t>
  </si>
  <si>
    <t>GRANDE HOTEL TONON LTDA</t>
  </si>
  <si>
    <t>CF351728062024</t>
  </si>
  <si>
    <t>CARTAO FLASH FINAL 3517 USO JOAO BATISTA - DESP. INDEDUTIVEL: 02 VIAGENS DE UBER</t>
  </si>
  <si>
    <t>19826</t>
  </si>
  <si>
    <t>MARCONDES - VENC. 15/08 VIA CARTÃO 8840. REF. A COMPRA DE PASSAGEM IDA E VOLTA P. PRUDENTE X RESENDE RJ - EDILEUSA_x000D_
PEREIRA LISBOA, OPERAÇÃO ARCELOR_x000D_
VALORES: PASSAGENS 962,00, TAXA DE SERVIÇO 173,16, VALOR DO SEGURO 42,00._x000D_ - OC 19826</t>
  </si>
  <si>
    <t>QUERO PASSAGEM VIAGENS E TURISMO LTDA</t>
  </si>
  <si>
    <t>19827</t>
  </si>
  <si>
    <t>MARCONDES - VENC. 15/08 VIA CARTÃO 8840. REF. A COMPRA DE PASSAGEM IDA E VOLTA P. PRUDENTE X RESENDE RJ - EDILEUSA_x000D_
PEREIRA LISBOA, OPERAÇÃO ARCELOR_x000D_
VALORES: PASSAGENS 912,00, TAXA DE SERVIÇO 164,16, VALOR DO SEGURO 42,00. - OC 19827</t>
  </si>
  <si>
    <t>CF351709082024</t>
  </si>
  <si>
    <t>CARTÃO FLASH FINAL 3517 USO JOÃO BATISTA - DESP. DEDUTIVEL: 01 COMPRA DE PEÇA PARA MANUTENÇÃO / DESP. INDEDUTIVEIS: 02 VIAGENS UBER E 01 PASSAGEM RODOVIARIA</t>
  </si>
  <si>
    <t>EHH0002</t>
  </si>
  <si>
    <t>CF342328</t>
  </si>
  <si>
    <t>CARTAO FLASH FINAL 8986 USO JOAO BATISTA - DEDUTIVEL 01 ABASTECIMENTO,02 COMPRA DE PASSAGENS _x000D_
INDEDUTIVEL 05 VIAGENS DE UBER, 01 CHIP PARA CELULAR</t>
  </si>
  <si>
    <t>CF4038</t>
  </si>
  <si>
    <t>CARTAO FLASH USO DANIEL FINAL 7874, REF DESPESAS DEDUTIVEIS 05 ABASTECIMENTOS E 01 COMPRA DE FERRAMENTA</t>
  </si>
  <si>
    <t>CF4554</t>
  </si>
  <si>
    <t>CARTAO FLASH USO JOAO, FINAL 8976- DESP. DEDUTIVEL REF 01 ABASTECIMENTO,03 PASSAGENS,01 PRODUTOS DE LIMP, 01 FAROL DE MILHA</t>
  </si>
  <si>
    <t>CF537029112024</t>
  </si>
  <si>
    <t>CARTAO FLASH FINAL 5370 - USO DANIEL DESP. DEDUT. REF A 06 ABASTECIMENTOS E 02 FERRAMENTAS / DESP. INDED. REF A 01 FERRAMENTA E 01 UBER.</t>
  </si>
  <si>
    <t>REEMBOLSO REF PEDAGIOS  DE VIAGENS OC 20994</t>
  </si>
  <si>
    <t>CF26122024</t>
  </si>
  <si>
    <t>CARTAO FLASH FINAL 9686 - USO DANIEL - DESP. DEDUT. REF A 15 ABASTECIMENTOS E 01 COMPRA DE FITA ISOLANTE / DESP. INDEDUT. REF A 01 CORRIDA DE UBER</t>
  </si>
  <si>
    <t>RAMAZZINI MEDICINA E SEGURANCA DO TRABALHO LTDA</t>
  </si>
  <si>
    <t>SERVICOS MEDICOS</t>
  </si>
  <si>
    <t>JOINLAB - LABORATORIO DE ANALISES CLINICAS LTDA</t>
  </si>
  <si>
    <t>S.D.U.SERVICO DIAGNOSTICO ULTRASSONOGRAFICO LTDA</t>
  </si>
  <si>
    <t>W&amp;MED SAUDE OCUPACIONAL LTDA</t>
  </si>
  <si>
    <t>OUTRAS DESPESAS ADMINISTRATIVAS</t>
  </si>
  <si>
    <t>TF1025010124</t>
  </si>
  <si>
    <t>TARIFA MANUTENÇÃO DE CONTA - ALELO FINAL 1025 - Wagner Junior</t>
  </si>
  <si>
    <t>ALELO S.A</t>
  </si>
  <si>
    <t>AL16603</t>
  </si>
  <si>
    <t>COMBUSTIVEL REFERENTE A VISITA A ARCELORMITTAL DE PIRACICABA. ABASTECIMENTO PARA DEVOLUÇÃO DO CARRO LOCADO. PAGAMENTO VIA ALELO FINAL 6011.</t>
  </si>
  <si>
    <t>AUTO POSTO AQUARIUS DE PRESIDENTE PRUDENTE LTDA</t>
  </si>
  <si>
    <t>AL47089</t>
  </si>
  <si>
    <t>MOTOR DE ARRANQUE  DA MAQUINA AUT JUNIOR - CARTÃO ALELO FINAL 4012 USO SERGIO</t>
  </si>
  <si>
    <t>THIAGO MACHADO DA SILVA</t>
  </si>
  <si>
    <t>COMBUSTIVEL - GASOLINA OU ALCOOL</t>
  </si>
  <si>
    <t>TF1025010224</t>
  </si>
  <si>
    <t>17233</t>
  </si>
  <si>
    <t>MAX - REF. A ART LAUDO DAS PRENSAS QUE ESTÃO OPERANDO EM PIRACICABA - EQO6E99 E GDU0275 - VENCIMENTO VIA TRANSFERENCIA PAGO DIA 15/02/2024 OC 17233 CREA</t>
  </si>
  <si>
    <t>CONSELHO REG DE ENGENHARIA E AGRONO</t>
  </si>
  <si>
    <t>17298</t>
  </si>
  <si>
    <t>MAX - REF. A ART LAUDO DAS PRENSAS QUE ESTÃO OPERANDO EM PIRACICABA - PLACA EQO6E99 - VENCIMENTO VIA_x000D_
TRANSFERENCIA PAGO DIA 28/02/2024_x000D_ - OC 17298 CREA</t>
  </si>
  <si>
    <t>AL17568</t>
  </si>
  <si>
    <t>REFEIÇÃO DE MARIANE E GIOVANNA REFERENTE A VIAGEM A ARCELORMITTAL DE PIRACICABA PARA REUNIÃO DE ALINHAMENTO DE SEGURANÇA. PAGAMENTO ALELO FINAL 6011.</t>
  </si>
  <si>
    <t>SOPHINSKI SUCOS E ALIMENTOS LTDA.</t>
  </si>
  <si>
    <t>AL17565</t>
  </si>
  <si>
    <t>RODOPOSTO MARISTELA LTDA.</t>
  </si>
  <si>
    <t>AL17569</t>
  </si>
  <si>
    <t>ÁGUA DE MARIANE E GIOVANNA REFERENTE A VIAGEM A ARCELORMITTAL DE PIRACICABA PARA REUNIÃO DE ALINHAMENTO DE SEGURANÇA. PAGAMENTO ALELO FINAL 6011.</t>
  </si>
  <si>
    <t>AL17564</t>
  </si>
  <si>
    <t>COMBUSTIVEL REFERENTE A VIAGEM A ARCELORMITTAL DE PIRACICABA PARA REUNIAO DE ALINHAMENTO DE SEGURANÇA. PAGAMENTO ALELO FINAL 6011.</t>
  </si>
  <si>
    <t>AL17570</t>
  </si>
  <si>
    <t>COMBUSTÍVEL REFERENTE A VIAGEM A ARCELORMITTAL DE PIRACICABA PARA REUNIÃO DE ALINHAMENTO DE SEGURANÇA. PAGAMENTO ALELO FINAL 6011.</t>
  </si>
  <si>
    <t>AL17566</t>
  </si>
  <si>
    <t>CCB RESTAURANTE LTDA</t>
  </si>
  <si>
    <t>AL17549</t>
  </si>
  <si>
    <t>COMBUSTIVEL REFERENTE A REUNIÃO DE ALINHAMENTO DE SEGURANCA DA ARCELORMITTAL PIRACICABA.PAGAMENTO VIA ALELO FINAL 6011.</t>
  </si>
  <si>
    <t>POSTO ZAP PRESIDENTE PRUDENTE LTDA</t>
  </si>
  <si>
    <t>LIANE VEICULOS LTDA</t>
  </si>
  <si>
    <t>AL49551</t>
  </si>
  <si>
    <t>CABO AUXILIAR DE PARTIDA</t>
  </si>
  <si>
    <t>7.3.11</t>
  </si>
  <si>
    <t>UNIFORMES</t>
  </si>
  <si>
    <t>7.3.11 UNIFORMES</t>
  </si>
  <si>
    <t>UNIFORMES E EPI</t>
  </si>
  <si>
    <t>AL1025010324</t>
  </si>
  <si>
    <t>AL52007</t>
  </si>
  <si>
    <t>ANEIS DE BORRACHA DO MOTOR DE GIRO DA PENEIRA E DESINGRIPANTE - CARTAO ALELO FINAL 1025 USO WALLANCE</t>
  </si>
  <si>
    <t>ACO RUBER COMERCIAL LTDA</t>
  </si>
  <si>
    <t>AL52009</t>
  </si>
  <si>
    <t>PARAFUSO E EXTRATOR DE PARAFUSO - CARTÃO FINAL 1025 USO WALLANCE</t>
  </si>
  <si>
    <t>AL52010</t>
  </si>
  <si>
    <t>COMPRA DE 04 ABRAÇADEIRAS - CARTAO ALELO FINAL 1025 - USO WALLANCE</t>
  </si>
  <si>
    <t>N M MULLER PINESCHI</t>
  </si>
  <si>
    <t>AL18332</t>
  </si>
  <si>
    <t>(MARIANE) PGTO. CAFE DA MANHÃ VIAGEM PIRACICABA - CARTÃO ALELO FINAL 6011_x000D_</t>
  </si>
  <si>
    <t>RESTAURANTE E LANCHONETE MARISTELA LTDA.</t>
  </si>
  <si>
    <t>AL18339</t>
  </si>
  <si>
    <t>(MARIANE) PGTO. IMPRESSÃO CRACHÁ RODRIGO PIRACICABA - CARTÃO ALELO FINAL 6011</t>
  </si>
  <si>
    <t>PIRACICABA SERVICOS GRAFICOS LTDA ME - SOCIEDADE SIMPLES</t>
  </si>
  <si>
    <t>AL52011</t>
  </si>
  <si>
    <t>PEÇAS PARA TROCA DO EXTINTOR_x000D_
 - CARTÃO ALELO FINAL 1025 USO WALLANCE</t>
  </si>
  <si>
    <t>AL52012</t>
  </si>
  <si>
    <t>PEÇAS PARA TROCA DO EXTINTOR CARTÃO FINAL 1025 USO WALLANCE</t>
  </si>
  <si>
    <t>EXTINORTI COMERCIO E SERVICO DE EQUIPAMENTOS DE SEGURANCA LT</t>
  </si>
  <si>
    <t>AL52016</t>
  </si>
  <si>
    <t>ROLAMENTO DA POLIA DO AR CONDICIONADO - CARTAO ALELO 1025 USO WALLANCE</t>
  </si>
  <si>
    <t>B S DUTRA COMERCIO DE ROLAMENTOS LTDA</t>
  </si>
  <si>
    <t>X18096</t>
  </si>
  <si>
    <t>REFERENTE A COMPRA DE UMA CAIXA DE BLOQUEIO E UM CADEADO DE BLOQUEIO PARA USO NAS ADEQUAÇÕES DE SEGURANÇA DO TRABALHO NAS UNIDADES DE BARRA MANSA E RESENDE - VENCIMENTO DIA 25/03/2024 - PAGAMENTO VIA BOLETO - OC18096.</t>
  </si>
  <si>
    <t>MERCADOPAGO.COM REPRESENTACOES LTDA</t>
  </si>
  <si>
    <t>AL18333</t>
  </si>
  <si>
    <t>PALOMA RESTAURANTE E LANCHONETE LTDA</t>
  </si>
  <si>
    <t>AL18338</t>
  </si>
  <si>
    <t>(MARIANE) PGTO. ALMOÇO MARIANE E RENATO GALINDO VIAGEM LONDRINA - CARTÃO ALELO FINAL 6011</t>
  </si>
  <si>
    <t>BELA MANIA CONVENIENCIA</t>
  </si>
  <si>
    <t>AL18336</t>
  </si>
  <si>
    <t>(MARIANE) PGTO. AGUA VIAGEM PIRACICABA - CARTÃO ALELO FINAL 6011</t>
  </si>
  <si>
    <t>ALPHA COMERCIO DE ALIMENTOS LTDA</t>
  </si>
  <si>
    <t>AL51983</t>
  </si>
  <si>
    <t xml:space="preserve"> REF COMPRA DE PARAFUSOS CARTÃO ALELO FINAL 3014 - USO JOAO BATISTA</t>
  </si>
  <si>
    <t>AL54092</t>
  </si>
  <si>
    <t>DESP. REF COMPRA DE PARAFUSOS - CARTAO ALELO FINAL 4012 SERGIO</t>
  </si>
  <si>
    <t>EZEMAC MULTI UTILIDADES LTDA</t>
  </si>
  <si>
    <t>AL54098</t>
  </si>
  <si>
    <t>DESP. REF COMPRA DE BICO PARA ENGRACHAR - CARTAO ALELO FINAL 4012 SERGIO</t>
  </si>
  <si>
    <t>AL371</t>
  </si>
  <si>
    <t>COMPRA DE 2 LÂMPADAS PARA O FAROL MAQ. - CARTAO ALELO FINAL 1025 USO WALLANCE</t>
  </si>
  <si>
    <t>GERALDIESEL AUTO PECAS LTDA</t>
  </si>
  <si>
    <t>ABT SOLAR SOLUCORD ENERGETICAS LTDA</t>
  </si>
  <si>
    <t>PIRACICABA SERVICOS GRAFICOS LTDA</t>
  </si>
  <si>
    <t>7.6.2</t>
  </si>
  <si>
    <t>FERRAMENTAS</t>
  </si>
  <si>
    <t>7.6.2 FERRAMENTAS</t>
  </si>
  <si>
    <t>AL55404</t>
  </si>
  <si>
    <t>COMPRA DE 2 SOQUETE DE CHAVE N 16 USO JOAO - CARTAO ALELO FINAL 3014</t>
  </si>
  <si>
    <t>CASA ECONOMICA COM DE MAT DE CONSTRUCAO LTDA</t>
  </si>
  <si>
    <t>7.5.4</t>
  </si>
  <si>
    <t>MATERIAL DE LIMPEZA E HIGIENE</t>
  </si>
  <si>
    <t>7.5.4 MATERIAL DE LIMPEZA E HIGIENE</t>
  </si>
  <si>
    <t>AL55400</t>
  </si>
  <si>
    <t>COMPRA DE INSETICIDAS KIT NET AUT JUNIOR - CARTAO ALELO FINAL 3014</t>
  </si>
  <si>
    <t>SUPERMERCADO MPM LTDA</t>
  </si>
  <si>
    <t>CF695030042024</t>
  </si>
  <si>
    <t>CARTAO FLASH FINAL 6950 USO WALLANCE - DESP. DEDUTIVEIS: 03 ABASTECIMENTOS E 01 CONSERTO DE TELA DE CELULAR / DESP INDEDUTIVEIS: 02 COMPRA DE PEÇAS E 01 COMPRA DE ITENS PARA MANUTENÇÃO DE MAQUINA</t>
  </si>
  <si>
    <t>WAGNER FRANCISCO DA SILVA SERVICOS DE MANUTENCAO DE MAQUINAS</t>
  </si>
  <si>
    <t>AL55410</t>
  </si>
  <si>
    <t>ACERTO DE SALDO CARTAO DO JOAO, COMPRA DE CHICLETE - CARTAO FINAL 3014</t>
  </si>
  <si>
    <t>AL56525</t>
  </si>
  <si>
    <t>ACERTO DE SALDO COMPRA DE CABO DE AÇO PARA FEIO, CONCERTA PORTA DA MAQUINA - CARTAO ALELO FINAL 1025</t>
  </si>
  <si>
    <t>TALANA MORAES PEIXOTO</t>
  </si>
  <si>
    <t>AN098215052024</t>
  </si>
  <si>
    <t>ANUIDADE CARTAO DE CREDITO FINAL 0982 USO WAGNER JUNIOR</t>
  </si>
  <si>
    <t>BANCO BRADESCO S/A</t>
  </si>
  <si>
    <t>1.7.1.1 ARCELOR - RESENDE/RJ</t>
  </si>
  <si>
    <t>REEMBOLSO REF CONSERTO DE PNEU CAMINHÃO GDUA0275, E DESLOCAMENTO DO PRESTADOR OC 19030</t>
  </si>
  <si>
    <t>CF787431052024</t>
  </si>
  <si>
    <t>CARTÃO FLASH FINAL 7874 USO DANIEL - DESP. DEDUTIVEL: 01 COMPRA DE PEÇA PARA MANUTENÇÃO / DESP. INDEDUTIVEIS: 04 VIAGENS UBER E 01 SERVIÇO DE MANUTENÇÃO</t>
  </si>
  <si>
    <t>CF695031052024</t>
  </si>
  <si>
    <t>CARTAO FLASH FINAL 6950 USO WALLANCE - DESP. INDEDUTIVEIS: 01 ABASTECIMENTO</t>
  </si>
  <si>
    <t>65-900/NS</t>
  </si>
  <si>
    <t>REFERENTE A COMPRA DE 3 CRACHÁS (IMPRESSÃO E PLASTIFICAÇÃO) - SOLICITADO PELA MARIANE -  COMPRA FEITA NO CARTÃO FLASH DE FINAL 6950 (WALLANCE)</t>
  </si>
  <si>
    <t>LIDIANE APARECIDA DO NASCIMENTO</t>
  </si>
  <si>
    <t>32-900/NS</t>
  </si>
  <si>
    <t>ZILMA PASSABONE PEREIRA</t>
  </si>
  <si>
    <t>174559-1/55</t>
  </si>
  <si>
    <t>MAX- REFERENTE A COMPRA DE LUVA VAQUETA 07 CM TAM 9, MACACAO DE PROTECAO QUIMICA E LUVA TATIL PU PRETA - PAGAMENTO VIA BOLETO - VENCIMENTO DIA 05/07/2024 -  NFE 174.559 - OC 19348</t>
  </si>
  <si>
    <t>MULTISEG COMERCIO DE EQUIPAMENTOS DE SEGURANCA EIRELI</t>
  </si>
  <si>
    <t>SANTOS &amp; LANDES - TRANSPORTES LTDA</t>
  </si>
  <si>
    <t>CF695007062024</t>
  </si>
  <si>
    <t>CARTÃO FLASH FINAL 6950 USO WALLANCE - DESP. INDEDUTIVEL: 01 COMPRA DE PEÇAS PARA MANUTENÇÃO</t>
  </si>
  <si>
    <t>7.1.7</t>
  </si>
  <si>
    <t>TRANSPORTE MANUTENÇÃO</t>
  </si>
  <si>
    <t>7.1.7 TRANSPORTE MANUTENÇÃO</t>
  </si>
  <si>
    <t>RSR</t>
  </si>
  <si>
    <t>19263</t>
  </si>
  <si>
    <t>MAX - REFERENTE PAGAMENTO DE GUIA PARA  AFERIÇÃO DE TACÓGRAFO  PLACA  EWU5857 (PIRACICABA) - PAGAMENTO VIA PIX  - VENCIMENTO DIA  15/06/2024 - SEM NOTA .</t>
  </si>
  <si>
    <t>MINISTERIO DA FAZENDA</t>
  </si>
  <si>
    <t>19264</t>
  </si>
  <si>
    <t>MAX - REFERENTE PAGAMENTO DE GUIA PARA  AFERIÇÃO DE TACÓGRAFO  PLACA  EWU5989 (PIRACICABA) - PAGAMENTO VIA PIX  - VENCIMENTO DIA  15/06/2024 - SEM NOTA .</t>
  </si>
  <si>
    <t>AUTO POSTO SP 400 OESTE LTDA</t>
  </si>
  <si>
    <t>22635-1/55</t>
  </si>
  <si>
    <t>F.F. LIMA PARAFUSOS E FERRAMENTAS LTDA</t>
  </si>
  <si>
    <t>CF69501406204</t>
  </si>
  <si>
    <t>CARTÃO FLASH FINAL 6950 USO WALLANCE - DESP. INDEDUTIVEL: 01 ABASTECIMENTO</t>
  </si>
  <si>
    <t>REF BONUS ANIVERSARIO - NVS MATRIZ</t>
  </si>
  <si>
    <t>CF321522106</t>
  </si>
  <si>
    <t>REF A COMPRA DE PEÇAS, NF 2462 EMITIDA PARA G&amp;G, DESPESA SERÁ BAIXADA NO CAIXA ESPECIE NO ATUA - CARTÃO FLASH FINAL 3215 USO SERGIO</t>
  </si>
  <si>
    <t>CF787421062024</t>
  </si>
  <si>
    <t>CARTÃO FLASH FINAL 7874 USO DANIEL - DESP. DEDUTIVEIS: 02 COMPRA DE PEÇAS DE MANUTENÇÃO / DESP. INDEDUTIVEIS: 01 COMPRA DE PEÇAS MANUTENÇÃO E 02 VIAGENS UBER</t>
  </si>
  <si>
    <t>CF787428062024</t>
  </si>
  <si>
    <t>CARTAO FLASH FINAL 7874 USO DANIEL - DESP. DEDUTIVEL: 01 COMPRA DE PEÇA DE MANUTENÇÃO / DESP. INDEDUTIVEIS: 03 VIAGENS UBER E 01 PEÇADE MANUTENÇÃO</t>
  </si>
  <si>
    <t>8.1.2</t>
  </si>
  <si>
    <t>8.1.2 MAQUINAS E EQUIPAMENTOS</t>
  </si>
  <si>
    <t>335289</t>
  </si>
  <si>
    <t>[GIULIANA] SERÁ FEITO PRESTACAO DE CONTAS PELA EQUIPE DA QUATTROR - PAGAR ATÉ 04/07/2024 VIA PIX - VALORES_x000D_REFERENTE_x000D_
AOS CUSTOS DE IMPORTAÇÃO DA PRENSA MOVEL JCH 200 HIDROEUROPA - FOI DEFINDIO QUE O VALOR DE R$ 541.084,79 ICMS,_x000D_PIS/COFINS SERÃO PAGOS_x000D_
PELA RSR E AS DEMAIS CUSTAS NO VALOR DE R$ 164.947,96 SERÁ PAGO PELA QUATTROR. FOI FEITO A PRESTAÇÃO DE CONTAS_x000D_PELA QUATTROR O VALOR DAS_x000D_
DESPESAS PAGAS FOI DE R$ 140.580,33 ONDE SERÁ DEVOLVIDO O VALOR DE R$ 24.367,63 PREVISTO PARA 31/07/2024 - OC 19623</t>
  </si>
  <si>
    <t>QS SHIPPING AGENCIAMENTO E TRANSPORTE DE CARGAS LTDA</t>
  </si>
  <si>
    <t>7.4.2</t>
  </si>
  <si>
    <t>COFINS</t>
  </si>
  <si>
    <t>7.4.2 COFINS</t>
  </si>
  <si>
    <t>COFINS-PRENSAMOV</t>
  </si>
  <si>
    <t>REF COFINS IMPORTAÇÃO.R$ 198.773,94 - PRENSA MOVEL HIDROEUROPA DI 24/1449621-4 EMITIDA EM 09/07/2024</t>
  </si>
  <si>
    <t>910-1/55</t>
  </si>
  <si>
    <t>REF A REPOSIÇÃO DE LUVAS E PINCEIS, AUTORIZADO PELO WAGNER JUNIOR JÁ PAGO NO CARTÃO FLASH FINAL 6950</t>
  </si>
  <si>
    <t>R1 PARAFUSOS E FERRAGENS LTDA</t>
  </si>
  <si>
    <t>3144-E/NS</t>
  </si>
  <si>
    <t>QUATTROR SERVICOS DE IMPORTACAO S.A.</t>
  </si>
  <si>
    <t>335290</t>
  </si>
  <si>
    <t>VPORTS AUTORIDADE PORTUARIA S.A.</t>
  </si>
  <si>
    <t>335292</t>
  </si>
  <si>
    <t>POSEIDON OPERADORA PORTUARIA LTDA.</t>
  </si>
  <si>
    <t>6516-E/NS</t>
  </si>
  <si>
    <t>GESTAO ADUANEIRA LTDA</t>
  </si>
  <si>
    <t>335296</t>
  </si>
  <si>
    <t>COSTA E COSTA COMERCIO E SERVICO DE BORRACHARIA E TRANSPORTE LTDA ME</t>
  </si>
  <si>
    <t>296-1/55</t>
  </si>
  <si>
    <t>REF A AQUISIÇÃO DE CACAMBA PENEIRA MARCA MB CRUSHER - NF 296 E CTE 12180 - PAGAMENTO VIA PIX - RENATO REALIZOU A AQUISIÇÃO</t>
  </si>
  <si>
    <t>MB CRUSHER DO BRASIL COMERCIO DE EQUIPAMENTOS LTDA</t>
  </si>
  <si>
    <t>PESSOAL - FGTS</t>
  </si>
  <si>
    <t>7.5.32</t>
  </si>
  <si>
    <t>TAXAS E LICENÇAS</t>
  </si>
  <si>
    <t>7.5.32 TAXAS E LICENÇAS</t>
  </si>
  <si>
    <t>X19829</t>
  </si>
  <si>
    <t>[GIULIANA] SEM DOC - DEPOSITO - VENCIMENTO 30/07/2024 - REF AO REEMBOLSO DE TAXAS DA VENDA DO VEICULO FORD KA PLACA ENG-4A84_x000D_
VALOR DE R$ 290,00 TX TRANSFERENCIA + LAUDO DE VISTORIA R$ 100,00 + TAXA GEVER R$ 20,00 + HONORÁRIOS DESPACHANTE GERVAZONI R$ 100,00 VALOR TOTAL DE R$ 500,00 / VALOR DAS _x000D_
MULTAS NO VALOR DE R$ 341,00 SERÁ VIA OFICIAL PELA RSR. CONFIRMADO QUE NÃO FIORAM PAGAS NO VENCIMENTO. RENATO CIENTE - OC 19829</t>
  </si>
  <si>
    <t>JAIRO MARCULINO DA SILVA</t>
  </si>
  <si>
    <t>CF6950072024</t>
  </si>
  <si>
    <t>CARTÃO FLASH FINAL 6950 USO WALLANCE DESPESAS DO MÊS DE JULHO - DESP. DEDUTIVEIS: 02 PEÇAS DE MANUTENÇÃO E 02 ABASTECIMENTOS / DESP. INDEDUTIVEIS: 01 ABASTECIMENTO E 01 PEÇA DE MANUTENÇÃO</t>
  </si>
  <si>
    <t>FELIPE SILVA MIQUILINO</t>
  </si>
  <si>
    <t>OUTROS</t>
  </si>
  <si>
    <t>CF787409082024</t>
  </si>
  <si>
    <t>CARTAO FLASH FINAL 7874 USO DANIEL - DESP DEDUTIVEIS: 04 ABASTECIMENTOS E 01 COMPRA DE PEÇA</t>
  </si>
  <si>
    <t>341664</t>
  </si>
  <si>
    <t>REF A PEÇA COMPRADA PARA MANUTENÇÃO NF 14246 FATURADA PARA G&amp;G PAGO COM CARTÃO FLASH FINAL 3517 USO JOÃO BATISTA</t>
  </si>
  <si>
    <t>8048-3/55</t>
  </si>
  <si>
    <t>MARCONDES - NFE 8048, VENC 15/09 PAGO CARTAO FINAL 8840. REF. COMPRA DE DISPOSITIVO DE SEGURANÇA PARPARA PORCA_x000D_
SOLTA, SERA APLICADO NA PRENSA ARCELOR PIRACICABA, SOLICITADO POR EDNA.</t>
  </si>
  <si>
    <t>MAKK PARTS COMERCIO E NEGOCIOS</t>
  </si>
  <si>
    <t>AL23554</t>
  </si>
  <si>
    <t>PAGMARCONDES - PAGAMENTO VIA CARTÃO ALELO - VENCIMENTO 05/09/24 S/N_x000D_
REFERENTE AO CONSERTO DE QUATRO JOYSTICK DAS PRENSAS, SENDO DOIS JOYSTICK NA PRENSA MOVEL GDU0275 SILVANO E DOIS JOYSTICK NA PRENSA_x000D_
MOVEL GBL8H44 WAGNER._x000D_ - OC 23554 ATUA</t>
  </si>
  <si>
    <t>63393-0/55</t>
  </si>
  <si>
    <t>REF A COMPRA DE ANEIS - JÁ PAGO NO CARTÃO FLASH FINAL 6950 - WALLANCE - BARRA MANSA</t>
  </si>
  <si>
    <t>CF5952082024</t>
  </si>
  <si>
    <t>CARTAO FLASH FINAL 5952 USO GILBERTO JEAN - DESP. DEDUTIVEIS: 02 COMPRAS DE EPI E 01 COMPRA DE PEÇA PARA MANUTENÇÃO</t>
  </si>
  <si>
    <t>CHUVEIRAO COMERCIO DE MATERIAIS PARA CONSTRUCOES LTDA</t>
  </si>
  <si>
    <t>SOUSA E LINGIARD LTDA   AUTO POSTO SOUSA</t>
  </si>
  <si>
    <t>CAIADO PNEUS LTDA - LOJA 12</t>
  </si>
  <si>
    <t>PNEUS E CAMARAS- NOVOS</t>
  </si>
  <si>
    <t>PNEUS - SERVICOS DE BORRACHARIAS</t>
  </si>
  <si>
    <t>CF342073</t>
  </si>
  <si>
    <t>CARTÃO FLASH FINAL 6950 USO WALLANCE DESPESAS DO MÊS DE SETEMBRO DEDUTIVEIS: 03 ABASTECIMENTOS, 01 COMPRA DE PARAFUSO E 01 TROCA DE EXTINTOR.</t>
  </si>
  <si>
    <t>CF2080</t>
  </si>
  <si>
    <t>CARTAO FLASH FINAL 7874 USO DANIEL - DESP. DEDUTVEIS REF 11 ABASTECIMENTOS, 03 PEÇAS PARA MANUTENÇÃO DA MAQ/DESP. INDEDUTIVEL REF COMPRA DE FITA ISOLANTE</t>
  </si>
  <si>
    <t>1238-1/55</t>
  </si>
  <si>
    <t>NFE 1238 VENC 18/09, PAGO FLASH. REF A COMPRA DE MALHA COSTURADA</t>
  </si>
  <si>
    <t>1130-1/55</t>
  </si>
  <si>
    <t>REF A PEÇAS DE MANUTENÇÃO E EPIS UTILIZADOS PELO WALLANCE PAGO COM CARTAO FLASH FINAL 4176 USO WALLANCE</t>
  </si>
  <si>
    <t>KADU COMERCIO E SERVICOS DE FREIOS E SUSPENSAO LTDA</t>
  </si>
  <si>
    <t>AUTO CENTER BOM JESUS</t>
  </si>
  <si>
    <t>MIRAFER PROD. SIDERURGICOS LTDA</t>
  </si>
  <si>
    <t>REEMBOLSO REF MANUTENÇÃO DE PNEU PRENSA OC 20551</t>
  </si>
  <si>
    <t>7.5.6</t>
  </si>
  <si>
    <t>MANUTENÇÕES E REPAROS - ESTRUTURA</t>
  </si>
  <si>
    <t>7.5.6 MANUTENÇÕES E REPAROS - ESTRUTURA</t>
  </si>
  <si>
    <t>MARCIA MARIA BORGES</t>
  </si>
  <si>
    <t>SERVICOS DE P.FISICA</t>
  </si>
  <si>
    <t>CF4713</t>
  </si>
  <si>
    <t>CARTAO FLASH USO WALLANCE FINAL 6950 - DESP. DEDUTIVEL REF 05 ABASTECIMENTO/DESP. INDEDUTIVEL 06 COMPRAS DE PEÇAS E 01 MANUTENÇÃO</t>
  </si>
  <si>
    <t>Locação</t>
  </si>
  <si>
    <t>IMPRESSOS / FOLDERS / CARTOES / FORMULARIOS</t>
  </si>
  <si>
    <t>CF9547301124</t>
  </si>
  <si>
    <t>CARTÃO FLASH FINAL 9547 USO WALLANCE - DESPESAS DEDUTIVEIS - 4 ABASTECIMENTOS, 1 SERVIÇO MECANICO/ DESPESAS INDEDUTIVEIS - 2 ABASTECIMENTOS, 2 COMPRA DE FERRAMENTAS, 2 PEÇAS MANUTENÇÃO</t>
  </si>
  <si>
    <t>CF8986301124</t>
  </si>
  <si>
    <t>CARTÃO FLASH FINAL 8986 USO JOÃO BATISTA - DESPESAS DEDUTIVEIS - 1 PASSAGEM, 1 ABASTECIMENTO/ DESPESAS INDEDUTIVEIS - 4 DESPESAS COM UBER</t>
  </si>
  <si>
    <t>1299-1/55</t>
  </si>
  <si>
    <t>MARCONDES - NFE. 1.299 VENC. 15/01/25 VIA CARTÃO 8971 - REF. A COMPRA DE 2 PALLET DE CONTENÇÃO PARA</t>
  </si>
  <si>
    <t>LEONPLASTIC INDUSTRIA E COMERCIO LTDA</t>
  </si>
  <si>
    <t>342608-3/57</t>
  </si>
  <si>
    <t>MARCONDES - CTE. 342.608 VENC. 19/12/24 VIA PIX - REF. AO FRETE DOS 2 PALLETS DE CONTENÇÃO PARA USO EM PIRACICABA.</t>
  </si>
  <si>
    <t>ZARA EVENTOS LTDA</t>
  </si>
  <si>
    <t>CF27122024</t>
  </si>
  <si>
    <t>CARTAO FLASH FINAL 8373 - USO WALLANCE - DESP. DEDUT. REF A 05 ABASTECIMENTOS E 01 MATERIAL MANUTENÇÃO / DESP. INDEDUT. REF A 06 MATERIAIS PARA MANUTENÇÃO E 01 ABASTECIMENTO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</si>
</sst>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\-#,##0.00\ "/>
    <numFmt numFmtId="165" formatCode="000000"/>
    <numFmt numFmtId="166" formatCode="00000"/>
    <numFmt numFmtId="167" formatCode="dd/mm/yy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"/>
      <family val="2"/>
    </font>
    <font>
      <sz val="10"/>
      <name val="Arial"/>
      <family val="2"/>
    </font>
    <font>
      <b/>
      <sz val="12"/>
      <color theme="1"/>
      <name val="Aptos"/>
      <family val="2"/>
    </font>
    <font>
      <sz val="12"/>
      <name val="Aptos"/>
      <family val="2"/>
    </font>
    <font>
      <sz val="12"/>
      <color theme="1"/>
      <name val="Aptos"/>
      <family val="2"/>
    </font>
    <font>
      <sz val="11"/>
      <color indexed="8"/>
      <name val="Calibri"/>
      <family val="2"/>
    </font>
    <font>
      <sz val="11"/>
      <color theme="1"/>
      <name val="Aptos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Aptos Narrow"/>
      <family val="2"/>
    </font>
    <font>
      <b/>
      <sz val="11"/>
      <name val="Aptos"/>
      <family val="2"/>
    </font>
    <font>
      <sz val="11"/>
      <name val="Aptos"/>
      <family val="2"/>
    </font>
    <font>
      <sz val="11"/>
      <name val="Calibri"/>
      <family val="2"/>
    </font>
    <font>
      <sz val="9"/>
      <color indexed="81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4" fillId="0" borderId="0"/>
    <xf numFmtId="0" fontId="8" fillId="0" borderId="0" applyFill="0" applyProtection="0"/>
  </cellStyleXfs>
  <cellXfs count="192">
    <xf numFmtId="0" fontId="0" fillId="0" borderId="0" xfId="0"/>
    <xf numFmtId="0" fontId="3" fillId="0" borderId="0" xfId="0" applyFont="1" applyAlignment="1">
      <alignment horizontal="center" vertical="center"/>
    </xf>
    <xf numFmtId="49" fontId="3" fillId="2" borderId="0" xfId="3" applyNumberFormat="1" applyFont="1" applyFill="1" applyAlignment="1" applyProtection="1">
      <alignment horizontal="center" vertical="center"/>
      <protection locked="0"/>
    </xf>
    <xf numFmtId="0" fontId="3" fillId="0" borderId="0" xfId="3" applyFont="1" applyAlignment="1" applyProtection="1">
      <alignment horizontal="left" vertical="center"/>
      <protection locked="0"/>
    </xf>
    <xf numFmtId="0" fontId="3" fillId="3" borderId="0" xfId="3" applyFont="1" applyFill="1" applyAlignment="1" applyProtection="1">
      <alignment horizontal="center" vertical="center"/>
      <protection locked="0"/>
    </xf>
    <xf numFmtId="0" fontId="3" fillId="2" borderId="0" xfId="3" applyFont="1" applyFill="1" applyAlignment="1" applyProtection="1">
      <alignment horizontal="left" vertical="center"/>
      <protection locked="0"/>
    </xf>
    <xf numFmtId="4" fontId="3" fillId="3" borderId="0" xfId="3" applyNumberFormat="1" applyFont="1" applyFill="1" applyAlignment="1" applyProtection="1">
      <alignment horizontal="center" vertical="center"/>
      <protection locked="0"/>
    </xf>
    <xf numFmtId="4" fontId="3" fillId="0" borderId="0" xfId="3" applyNumberFormat="1" applyFont="1" applyAlignment="1" applyProtection="1">
      <alignment horizontal="left" vertical="center"/>
      <protection locked="0"/>
    </xf>
    <xf numFmtId="4" fontId="3" fillId="4" borderId="0" xfId="3" applyNumberFormat="1" applyFont="1" applyFill="1" applyAlignment="1" applyProtection="1">
      <alignment horizontal="left" vertical="center"/>
      <protection locked="0"/>
    </xf>
    <xf numFmtId="0" fontId="3" fillId="2" borderId="0" xfId="3" applyFont="1" applyFill="1" applyAlignment="1" applyProtection="1">
      <alignment horizontal="center" vertical="center"/>
      <protection locked="0"/>
    </xf>
    <xf numFmtId="0" fontId="3" fillId="5" borderId="0" xfId="3" applyFont="1" applyFill="1" applyAlignment="1" applyProtection="1">
      <alignment horizontal="center" vertical="center"/>
      <protection locked="0"/>
    </xf>
    <xf numFmtId="0" fontId="5" fillId="5" borderId="0" xfId="0" applyFont="1" applyFill="1" applyAlignment="1">
      <alignment horizontal="center" vertical="center"/>
    </xf>
    <xf numFmtId="164" fontId="3" fillId="0" borderId="0" xfId="3" applyNumberFormat="1" applyFont="1" applyAlignment="1" applyProtection="1">
      <alignment horizontal="center" vertical="top"/>
      <protection locked="0"/>
    </xf>
    <xf numFmtId="164" fontId="3" fillId="0" borderId="0" xfId="3" applyNumberFormat="1" applyFont="1" applyAlignment="1" applyProtection="1">
      <alignment horizontal="center" vertical="center"/>
      <protection locked="0"/>
    </xf>
    <xf numFmtId="4" fontId="3" fillId="0" borderId="0" xfId="1" applyNumberFormat="1" applyFont="1" applyFill="1" applyBorder="1" applyAlignment="1" applyProtection="1">
      <alignment horizontal="center"/>
      <protection locked="0"/>
    </xf>
    <xf numFmtId="0" fontId="3" fillId="6" borderId="0" xfId="3" applyFont="1" applyFill="1" applyAlignment="1" applyProtection="1">
      <alignment horizontal="left" vertical="center"/>
      <protection locked="0"/>
    </xf>
    <xf numFmtId="14" fontId="3" fillId="6" borderId="0" xfId="3" applyNumberFormat="1" applyFont="1" applyFill="1" applyAlignment="1" applyProtection="1">
      <alignment horizontal="center" vertical="center"/>
      <protection locked="0"/>
    </xf>
    <xf numFmtId="14" fontId="3" fillId="0" borderId="0" xfId="3" applyNumberFormat="1" applyFont="1" applyAlignment="1" applyProtection="1">
      <alignment horizontal="center" vertical="center"/>
      <protection locked="0"/>
    </xf>
    <xf numFmtId="0" fontId="3" fillId="6" borderId="0" xfId="3" applyFont="1" applyFill="1" applyAlignment="1" applyProtection="1">
      <alignment horizontal="center" vertical="center"/>
      <protection locked="0"/>
    </xf>
    <xf numFmtId="0" fontId="3" fillId="7" borderId="0" xfId="3" applyFont="1" applyFill="1" applyAlignment="1" applyProtection="1">
      <alignment horizontal="center" vertical="center"/>
      <protection locked="0"/>
    </xf>
    <xf numFmtId="0" fontId="6" fillId="8" borderId="0" xfId="0" applyFont="1" applyFill="1" applyAlignment="1">
      <alignment horizontal="center" vertical="center"/>
    </xf>
    <xf numFmtId="0" fontId="3" fillId="0" borderId="0" xfId="3" applyFont="1" applyAlignment="1" applyProtection="1">
      <alignment horizontal="center" vertical="center"/>
      <protection locked="0"/>
    </xf>
    <xf numFmtId="44" fontId="3" fillId="3" borderId="0" xfId="1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49" fontId="6" fillId="2" borderId="2" xfId="4" applyNumberFormat="1" applyFont="1" applyFill="1" applyBorder="1" applyAlignment="1" applyProtection="1">
      <alignment horizontal="left" vertical="center"/>
      <protection locked="0"/>
    </xf>
    <xf numFmtId="0" fontId="6" fillId="0" borderId="2" xfId="4" applyFont="1" applyBorder="1" applyAlignment="1" applyProtection="1">
      <alignment horizontal="center" vertical="center"/>
      <protection locked="0"/>
    </xf>
    <xf numFmtId="0" fontId="6" fillId="0" borderId="2" xfId="4" applyFont="1" applyBorder="1" applyAlignment="1" applyProtection="1">
      <alignment horizontal="left" vertical="center"/>
      <protection locked="0"/>
    </xf>
    <xf numFmtId="0" fontId="6" fillId="3" borderId="2" xfId="4" applyFont="1" applyFill="1" applyBorder="1" applyAlignment="1" applyProtection="1">
      <alignment horizontal="left" vertical="center"/>
      <protection locked="0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4" fontId="6" fillId="0" borderId="2" xfId="4" applyNumberFormat="1" applyFont="1" applyBorder="1" applyAlignment="1" applyProtection="1">
      <alignment horizontal="center" vertical="center"/>
      <protection locked="0"/>
    </xf>
    <xf numFmtId="4" fontId="6" fillId="2" borderId="2" xfId="4" applyNumberFormat="1" applyFont="1" applyFill="1" applyBorder="1" applyAlignment="1" applyProtection="1">
      <alignment horizontal="left" vertical="center"/>
      <protection locked="0"/>
    </xf>
    <xf numFmtId="4" fontId="6" fillId="6" borderId="2" xfId="4" applyNumberFormat="1" applyFont="1" applyFill="1" applyBorder="1" applyAlignment="1" applyProtection="1">
      <alignment horizontal="left" vertical="center"/>
      <protection locked="0"/>
    </xf>
    <xf numFmtId="0" fontId="6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164" fontId="6" fillId="0" borderId="2" xfId="0" applyNumberFormat="1" applyFont="1" applyBorder="1" applyAlignment="1">
      <alignment horizontal="center" vertical="top"/>
    </xf>
    <xf numFmtId="164" fontId="6" fillId="0" borderId="2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/>
    </xf>
    <xf numFmtId="14" fontId="6" fillId="6" borderId="2" xfId="0" applyNumberFormat="1" applyFont="1" applyFill="1" applyBorder="1" applyAlignment="1">
      <alignment horizontal="right" vertical="center"/>
    </xf>
    <xf numFmtId="14" fontId="6" fillId="0" borderId="2" xfId="0" applyNumberFormat="1" applyFont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2" borderId="2" xfId="5" applyFont="1" applyFill="1" applyBorder="1" applyAlignment="1" applyProtection="1">
      <alignment horizontal="left" vertical="center"/>
    </xf>
    <xf numFmtId="0" fontId="6" fillId="0" borderId="2" xfId="5" applyFont="1" applyFill="1" applyBorder="1" applyAlignment="1" applyProtection="1">
      <alignment horizontal="left" vertical="center"/>
    </xf>
    <xf numFmtId="44" fontId="6" fillId="6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64" fontId="6" fillId="0" borderId="2" xfId="5" applyNumberFormat="1" applyFont="1" applyFill="1" applyBorder="1" applyAlignment="1" applyProtection="1">
      <alignment horizontal="center" vertical="top"/>
    </xf>
    <xf numFmtId="0" fontId="7" fillId="0" borderId="2" xfId="0" applyFont="1" applyBorder="1"/>
    <xf numFmtId="0" fontId="7" fillId="6" borderId="2" xfId="0" applyFont="1" applyFill="1" applyBorder="1" applyAlignment="1">
      <alignment horizontal="left" vertical="center"/>
    </xf>
    <xf numFmtId="14" fontId="7" fillId="6" borderId="2" xfId="0" applyNumberFormat="1" applyFont="1" applyFill="1" applyBorder="1" applyAlignment="1">
      <alignment horizontal="right" vertical="center"/>
    </xf>
    <xf numFmtId="14" fontId="7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" fontId="6" fillId="0" borderId="0" xfId="4" applyNumberFormat="1" applyFont="1" applyAlignment="1" applyProtection="1">
      <alignment horizontal="center" vertical="center"/>
      <protection locked="0"/>
    </xf>
    <xf numFmtId="4" fontId="6" fillId="2" borderId="0" xfId="4" applyNumberFormat="1" applyFont="1" applyFill="1" applyAlignment="1" applyProtection="1">
      <alignment horizontal="left" vertical="center"/>
      <protection locked="0"/>
    </xf>
    <xf numFmtId="4" fontId="6" fillId="6" borderId="0" xfId="4" applyNumberFormat="1" applyFont="1" applyFill="1" applyAlignment="1" applyProtection="1">
      <alignment horizontal="left" vertical="center"/>
      <protection locked="0"/>
    </xf>
    <xf numFmtId="0" fontId="6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164" fontId="6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14" fontId="6" fillId="6" borderId="0" xfId="0" applyNumberFormat="1" applyFont="1" applyFill="1" applyAlignment="1">
      <alignment horizontal="right" vertical="center"/>
    </xf>
    <xf numFmtId="14" fontId="6" fillId="0" borderId="0" xfId="0" applyNumberFormat="1" applyFont="1" applyAlignment="1">
      <alignment horizontal="left" vertical="center"/>
    </xf>
    <xf numFmtId="44" fontId="6" fillId="6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top"/>
    </xf>
    <xf numFmtId="164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/>
    </xf>
    <xf numFmtId="14" fontId="6" fillId="6" borderId="1" xfId="0" applyNumberFormat="1" applyFont="1" applyFill="1" applyBorder="1" applyAlignment="1">
      <alignment horizontal="right" vertical="center"/>
    </xf>
    <xf numFmtId="14" fontId="6" fillId="0" borderId="1" xfId="0" applyNumberFormat="1" applyFont="1" applyBorder="1" applyAlignment="1">
      <alignment horizontal="left" vertical="center"/>
    </xf>
    <xf numFmtId="44" fontId="6" fillId="6" borderId="1" xfId="0" applyNumberFormat="1" applyFont="1" applyFill="1" applyBorder="1" applyAlignment="1">
      <alignment horizontal="center" vertical="center"/>
    </xf>
    <xf numFmtId="0" fontId="6" fillId="2" borderId="2" xfId="4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1" fontId="2" fillId="0" borderId="0" xfId="0" applyNumberFormat="1" applyFont="1"/>
    <xf numFmtId="49" fontId="10" fillId="2" borderId="0" xfId="3" applyNumberFormat="1" applyFont="1" applyFill="1" applyAlignment="1" applyProtection="1">
      <alignment horizontal="left"/>
      <protection locked="0"/>
    </xf>
    <xf numFmtId="0" fontId="10" fillId="0" borderId="0" xfId="3" applyFont="1" applyAlignment="1" applyProtection="1">
      <alignment horizontal="center"/>
      <protection locked="0"/>
    </xf>
    <xf numFmtId="0" fontId="10" fillId="2" borderId="0" xfId="3" applyFont="1" applyFill="1" applyAlignment="1" applyProtection="1">
      <alignment horizontal="left" vertical="center"/>
      <protection locked="0"/>
    </xf>
    <xf numFmtId="0" fontId="10" fillId="9" borderId="0" xfId="3" applyFont="1" applyFill="1" applyAlignment="1" applyProtection="1">
      <alignment horizontal="left"/>
      <protection locked="0"/>
    </xf>
    <xf numFmtId="0" fontId="10" fillId="0" borderId="0" xfId="3" applyFont="1" applyAlignment="1" applyProtection="1">
      <alignment horizontal="center" vertical="center"/>
      <protection locked="0"/>
    </xf>
    <xf numFmtId="0" fontId="10" fillId="2" borderId="0" xfId="3" applyFont="1" applyFill="1" applyAlignment="1" applyProtection="1">
      <alignment horizontal="left"/>
      <protection locked="0"/>
    </xf>
    <xf numFmtId="0" fontId="10" fillId="4" borderId="0" xfId="3" applyFont="1" applyFill="1" applyAlignment="1" applyProtection="1">
      <alignment horizontal="left"/>
      <protection locked="0"/>
    </xf>
    <xf numFmtId="4" fontId="10" fillId="9" borderId="0" xfId="3" applyNumberFormat="1" applyFont="1" applyFill="1" applyAlignment="1" applyProtection="1">
      <alignment horizontal="left"/>
      <protection locked="0"/>
    </xf>
    <xf numFmtId="0" fontId="2" fillId="0" borderId="0" xfId="0" applyFont="1"/>
    <xf numFmtId="0" fontId="2" fillId="2" borderId="0" xfId="0" applyFont="1" applyFill="1"/>
    <xf numFmtId="0" fontId="2" fillId="10" borderId="0" xfId="0" applyFont="1" applyFill="1"/>
    <xf numFmtId="0" fontId="10" fillId="0" borderId="0" xfId="3" applyFont="1" applyProtection="1">
      <protection locked="0"/>
    </xf>
    <xf numFmtId="0" fontId="2" fillId="0" borderId="0" xfId="0" applyFont="1" applyAlignment="1">
      <alignment horizontal="left"/>
    </xf>
    <xf numFmtId="4" fontId="10" fillId="0" borderId="0" xfId="3" applyNumberFormat="1" applyFont="1" applyProtection="1">
      <protection locked="0"/>
    </xf>
    <xf numFmtId="44" fontId="10" fillId="11" borderId="0" xfId="1" applyNumberFormat="1" applyFont="1" applyFill="1" applyBorder="1" applyAlignment="1" applyProtection="1">
      <alignment horizontal="right" vertical="center"/>
      <protection locked="0"/>
    </xf>
    <xf numFmtId="0" fontId="10" fillId="12" borderId="0" xfId="3" applyFont="1" applyFill="1" applyProtection="1">
      <protection locked="0"/>
    </xf>
    <xf numFmtId="14" fontId="10" fillId="6" borderId="0" xfId="3" applyNumberFormat="1" applyFont="1" applyFill="1" applyProtection="1">
      <protection locked="0"/>
    </xf>
    <xf numFmtId="14" fontId="10" fillId="0" borderId="0" xfId="3" applyNumberFormat="1" applyFont="1" applyProtection="1">
      <protection locked="0"/>
    </xf>
    <xf numFmtId="1" fontId="10" fillId="0" borderId="0" xfId="3" applyNumberFormat="1" applyFont="1" applyAlignment="1" applyProtection="1">
      <alignment wrapText="1"/>
      <protection locked="0"/>
    </xf>
    <xf numFmtId="0" fontId="2" fillId="11" borderId="0" xfId="0" applyFont="1" applyFill="1"/>
    <xf numFmtId="0" fontId="10" fillId="4" borderId="0" xfId="3" applyFont="1" applyFill="1" applyProtection="1">
      <protection locked="0"/>
    </xf>
    <xf numFmtId="0" fontId="10" fillId="9" borderId="0" xfId="3" applyFont="1" applyFill="1" applyProtection="1">
      <protection locked="0"/>
    </xf>
    <xf numFmtId="0" fontId="10" fillId="13" borderId="0" xfId="3" applyFont="1" applyFill="1" applyProtection="1">
      <protection locked="0"/>
    </xf>
    <xf numFmtId="44" fontId="10" fillId="14" borderId="0" xfId="1" applyNumberFormat="1" applyFont="1" applyFill="1" applyBorder="1" applyAlignment="1" applyProtection="1">
      <protection locked="0"/>
    </xf>
    <xf numFmtId="0" fontId="2" fillId="5" borderId="0" xfId="0" applyFont="1" applyFill="1"/>
    <xf numFmtId="166" fontId="6" fillId="0" borderId="0" xfId="0" applyNumberFormat="1" applyFont="1" applyAlignment="1">
      <alignment horizontal="left" vertical="center"/>
    </xf>
    <xf numFmtId="49" fontId="4" fillId="2" borderId="0" xfId="3" applyNumberFormat="1" applyFill="1" applyAlignment="1" applyProtection="1">
      <alignment horizontal="left"/>
      <protection locked="0"/>
    </xf>
    <xf numFmtId="0" fontId="4" fillId="0" borderId="0" xfId="3" applyAlignment="1" applyProtection="1">
      <alignment horizontal="center"/>
      <protection locked="0"/>
    </xf>
    <xf numFmtId="0" fontId="4" fillId="2" borderId="0" xfId="3" applyFill="1" applyAlignment="1" applyProtection="1">
      <alignment horizontal="left"/>
      <protection locked="0"/>
    </xf>
    <xf numFmtId="0" fontId="4" fillId="9" borderId="0" xfId="3" applyFill="1" applyAlignment="1" applyProtection="1">
      <alignment horizontal="left"/>
      <protection locked="0"/>
    </xf>
    <xf numFmtId="0" fontId="4" fillId="0" borderId="0" xfId="3" applyAlignment="1" applyProtection="1">
      <alignment horizontal="center" vertical="center"/>
      <protection locked="0"/>
    </xf>
    <xf numFmtId="0" fontId="11" fillId="9" borderId="0" xfId="0" applyFont="1" applyFill="1" applyAlignment="1">
      <alignment horizontal="left"/>
    </xf>
    <xf numFmtId="0" fontId="4" fillId="4" borderId="0" xfId="3" applyFill="1" applyAlignment="1" applyProtection="1">
      <alignment horizontal="left"/>
      <protection locked="0"/>
    </xf>
    <xf numFmtId="4" fontId="4" fillId="10" borderId="0" xfId="3" applyNumberFormat="1" applyFill="1" applyAlignment="1" applyProtection="1">
      <alignment horizontal="left"/>
      <protection locked="0"/>
    </xf>
    <xf numFmtId="0" fontId="0" fillId="2" borderId="0" xfId="0" applyFill="1"/>
    <xf numFmtId="0" fontId="0" fillId="10" borderId="0" xfId="0" applyFill="1"/>
    <xf numFmtId="0" fontId="4" fillId="0" borderId="0" xfId="3" applyProtection="1">
      <protection locked="0"/>
    </xf>
    <xf numFmtId="0" fontId="0" fillId="0" borderId="0" xfId="0" applyAlignment="1">
      <alignment horizontal="left"/>
    </xf>
    <xf numFmtId="0" fontId="12" fillId="0" borderId="0" xfId="0" applyFont="1"/>
    <xf numFmtId="44" fontId="4" fillId="15" borderId="0" xfId="1" applyNumberFormat="1" applyFont="1" applyFill="1" applyBorder="1" applyAlignment="1" applyProtection="1">
      <protection locked="0"/>
    </xf>
    <xf numFmtId="0" fontId="12" fillId="16" borderId="0" xfId="0" applyFont="1" applyFill="1"/>
    <xf numFmtId="14" fontId="4" fillId="3" borderId="0" xfId="3" applyNumberFormat="1" applyFill="1" applyProtection="1">
      <protection locked="0"/>
    </xf>
    <xf numFmtId="14" fontId="4" fillId="0" borderId="0" xfId="3" applyNumberFormat="1" applyProtection="1">
      <protection locked="0"/>
    </xf>
    <xf numFmtId="1" fontId="12" fillId="0" borderId="0" xfId="0" applyNumberFormat="1" applyFont="1"/>
    <xf numFmtId="0" fontId="12" fillId="11" borderId="0" xfId="0" applyFont="1" applyFill="1"/>
    <xf numFmtId="0" fontId="4" fillId="4" borderId="0" xfId="3" applyFill="1" applyProtection="1">
      <protection locked="0"/>
    </xf>
    <xf numFmtId="0" fontId="4" fillId="9" borderId="0" xfId="3" applyFill="1" applyProtection="1">
      <protection locked="0"/>
    </xf>
    <xf numFmtId="0" fontId="4" fillId="13" borderId="0" xfId="3" applyFill="1" applyProtection="1">
      <protection locked="0"/>
    </xf>
    <xf numFmtId="44" fontId="0" fillId="14" borderId="0" xfId="0" applyNumberFormat="1" applyFill="1"/>
    <xf numFmtId="0" fontId="0" fillId="5" borderId="0" xfId="0" applyFill="1"/>
    <xf numFmtId="0" fontId="11" fillId="0" borderId="0" xfId="0" applyFont="1" applyAlignment="1">
      <alignment horizontal="center"/>
    </xf>
    <xf numFmtId="44" fontId="0" fillId="11" borderId="0" xfId="0" applyNumberFormat="1" applyFill="1"/>
    <xf numFmtId="0" fontId="0" fillId="16" borderId="0" xfId="0" applyFill="1"/>
    <xf numFmtId="14" fontId="0" fillId="6" borderId="0" xfId="0" applyNumberFormat="1" applyFill="1"/>
    <xf numFmtId="0" fontId="0" fillId="11" borderId="0" xfId="0" applyFill="1"/>
    <xf numFmtId="0" fontId="0" fillId="17" borderId="0" xfId="0" applyFill="1"/>
    <xf numFmtId="1" fontId="2" fillId="0" borderId="0" xfId="0" applyNumberFormat="1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2" fillId="10" borderId="0" xfId="0" applyFont="1" applyFill="1" applyAlignment="1"/>
    <xf numFmtId="0" fontId="10" fillId="0" borderId="0" xfId="3" applyFont="1" applyAlignment="1" applyProtection="1">
      <protection locked="0"/>
    </xf>
    <xf numFmtId="4" fontId="10" fillId="0" borderId="0" xfId="3" applyNumberFormat="1" applyFont="1" applyAlignment="1" applyProtection="1">
      <protection locked="0"/>
    </xf>
    <xf numFmtId="0" fontId="10" fillId="12" borderId="0" xfId="3" applyFont="1" applyFill="1" applyAlignment="1" applyProtection="1">
      <protection locked="0"/>
    </xf>
    <xf numFmtId="14" fontId="10" fillId="6" borderId="0" xfId="3" applyNumberFormat="1" applyFont="1" applyFill="1" applyAlignment="1" applyProtection="1">
      <protection locked="0"/>
    </xf>
    <xf numFmtId="14" fontId="10" fillId="0" borderId="0" xfId="3" applyNumberFormat="1" applyFont="1" applyAlignment="1" applyProtection="1">
      <protection locked="0"/>
    </xf>
    <xf numFmtId="1" fontId="10" fillId="0" borderId="0" xfId="3" applyNumberFormat="1" applyFont="1" applyAlignment="1" applyProtection="1">
      <protection locked="0"/>
    </xf>
    <xf numFmtId="0" fontId="2" fillId="11" borderId="0" xfId="0" applyFont="1" applyFill="1" applyAlignment="1"/>
    <xf numFmtId="0" fontId="10" fillId="4" borderId="0" xfId="3" applyFont="1" applyFill="1" applyAlignment="1" applyProtection="1">
      <protection locked="0"/>
    </xf>
    <xf numFmtId="0" fontId="10" fillId="9" borderId="0" xfId="3" applyFont="1" applyFill="1" applyAlignment="1" applyProtection="1">
      <protection locked="0"/>
    </xf>
    <xf numFmtId="0" fontId="10" fillId="13" borderId="0" xfId="3" applyFont="1" applyFill="1" applyAlignment="1" applyProtection="1">
      <protection locked="0"/>
    </xf>
    <xf numFmtId="0" fontId="2" fillId="5" borderId="0" xfId="0" applyFont="1" applyFill="1" applyAlignment="1"/>
    <xf numFmtId="0" fontId="0" fillId="0" borderId="0" xfId="0" applyAlignment="1"/>
    <xf numFmtId="0" fontId="13" fillId="18" borderId="3" xfId="0" applyFont="1" applyFill="1" applyBorder="1" applyAlignment="1">
      <alignment horizontal="left" vertical="center"/>
    </xf>
    <xf numFmtId="49" fontId="13" fillId="18" borderId="3" xfId="3" applyNumberFormat="1" applyFont="1" applyFill="1" applyBorder="1" applyAlignment="1" applyProtection="1">
      <alignment horizontal="left" vertical="center"/>
      <protection locked="0"/>
    </xf>
    <xf numFmtId="0" fontId="13" fillId="18" borderId="3" xfId="3" applyFont="1" applyFill="1" applyBorder="1" applyAlignment="1" applyProtection="1">
      <alignment horizontal="left" vertical="center"/>
      <protection locked="0"/>
    </xf>
    <xf numFmtId="4" fontId="13" fillId="18" borderId="3" xfId="3" applyNumberFormat="1" applyFont="1" applyFill="1" applyBorder="1" applyAlignment="1" applyProtection="1">
      <alignment horizontal="left" vertical="center"/>
      <protection locked="0"/>
    </xf>
    <xf numFmtId="44" fontId="13" fillId="18" borderId="3" xfId="3" applyNumberFormat="1" applyFont="1" applyFill="1" applyBorder="1" applyAlignment="1" applyProtection="1">
      <alignment horizontal="left" vertical="center"/>
      <protection locked="0"/>
    </xf>
    <xf numFmtId="44" fontId="13" fillId="18" borderId="3" xfId="1" applyNumberFormat="1" applyFont="1" applyFill="1" applyBorder="1" applyAlignment="1" applyProtection="1">
      <alignment horizontal="left" vertical="center"/>
      <protection locked="0"/>
    </xf>
    <xf numFmtId="167" fontId="13" fillId="18" borderId="3" xfId="3" applyNumberFormat="1" applyFont="1" applyFill="1" applyBorder="1" applyAlignment="1" applyProtection="1">
      <alignment horizontal="left" vertical="center"/>
      <protection locked="0"/>
    </xf>
    <xf numFmtId="44" fontId="13" fillId="18" borderId="3" xfId="2" applyFont="1" applyFill="1" applyBorder="1" applyAlignment="1" applyProtection="1">
      <alignment horizontal="left" vertical="center"/>
      <protection locked="0"/>
    </xf>
    <xf numFmtId="165" fontId="14" fillId="0" borderId="3" xfId="0" applyNumberFormat="1" applyFont="1" applyBorder="1" applyAlignment="1">
      <alignment horizontal="left" vertical="center"/>
    </xf>
    <xf numFmtId="49" fontId="14" fillId="0" borderId="3" xfId="4" applyNumberFormat="1" applyFont="1" applyBorder="1" applyAlignment="1" applyProtection="1">
      <alignment horizontal="left" vertical="center"/>
      <protection locked="0"/>
    </xf>
    <xf numFmtId="0" fontId="14" fillId="0" borderId="3" xfId="4" applyFont="1" applyBorder="1" applyAlignment="1" applyProtection="1">
      <alignment horizontal="left" vertical="center"/>
      <protection locked="0"/>
    </xf>
    <xf numFmtId="0" fontId="14" fillId="0" borderId="3" xfId="0" applyFont="1" applyBorder="1" applyAlignment="1">
      <alignment horizontal="left" vertical="center"/>
    </xf>
    <xf numFmtId="4" fontId="14" fillId="0" borderId="3" xfId="4" applyNumberFormat="1" applyFont="1" applyBorder="1" applyAlignment="1" applyProtection="1">
      <alignment horizontal="left" vertical="center"/>
      <protection locked="0"/>
    </xf>
    <xf numFmtId="0" fontId="14" fillId="19" borderId="3" xfId="0" applyFont="1" applyFill="1" applyBorder="1" applyAlignment="1">
      <alignment horizontal="left" vertical="center"/>
    </xf>
    <xf numFmtId="0" fontId="14" fillId="0" borderId="3" xfId="5" applyFont="1" applyFill="1" applyBorder="1" applyAlignment="1" applyProtection="1">
      <alignment horizontal="left" vertical="center"/>
    </xf>
    <xf numFmtId="44" fontId="14" fillId="0" borderId="3" xfId="5" applyNumberFormat="1" applyFont="1" applyFill="1" applyBorder="1" applyAlignment="1" applyProtection="1">
      <alignment horizontal="left" vertical="center"/>
    </xf>
    <xf numFmtId="44" fontId="14" fillId="0" borderId="3" xfId="0" applyNumberFormat="1" applyFont="1" applyBorder="1" applyAlignment="1">
      <alignment horizontal="left" vertical="center"/>
    </xf>
    <xf numFmtId="4" fontId="14" fillId="0" borderId="3" xfId="5" applyNumberFormat="1" applyFont="1" applyFill="1" applyBorder="1" applyAlignment="1" applyProtection="1">
      <alignment horizontal="left" vertical="center"/>
    </xf>
    <xf numFmtId="167" fontId="14" fillId="0" borderId="3" xfId="0" applyNumberFormat="1" applyFont="1" applyBorder="1" applyAlignment="1">
      <alignment horizontal="left" vertical="center"/>
    </xf>
    <xf numFmtId="167" fontId="14" fillId="0" borderId="3" xfId="5" applyNumberFormat="1" applyFont="1" applyFill="1" applyBorder="1" applyAlignment="1" applyProtection="1">
      <alignment horizontal="left" vertical="center"/>
    </xf>
    <xf numFmtId="1" fontId="14" fillId="0" borderId="3" xfId="5" applyNumberFormat="1" applyFont="1" applyFill="1" applyBorder="1" applyAlignment="1" applyProtection="1">
      <alignment horizontal="left" vertical="center"/>
    </xf>
    <xf numFmtId="44" fontId="14" fillId="0" borderId="3" xfId="2" applyFont="1" applyFill="1" applyBorder="1" applyAlignment="1" applyProtection="1">
      <alignment horizontal="left" vertical="center"/>
    </xf>
    <xf numFmtId="167" fontId="14" fillId="0" borderId="3" xfId="5" applyNumberFormat="1" applyFont="1" applyFill="1" applyBorder="1" applyAlignment="1">
      <alignment horizontal="left" vertical="center"/>
    </xf>
    <xf numFmtId="164" fontId="14" fillId="0" borderId="3" xfId="5" applyNumberFormat="1" applyFont="1" applyFill="1" applyBorder="1" applyAlignment="1" applyProtection="1">
      <alignment horizontal="left" vertical="center"/>
    </xf>
    <xf numFmtId="44" fontId="14" fillId="0" borderId="3" xfId="2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15" fillId="11" borderId="0" xfId="0" applyFont="1" applyFill="1" applyAlignment="1">
      <alignment horizontal="left" vertical="center"/>
    </xf>
    <xf numFmtId="0" fontId="4" fillId="10" borderId="0" xfId="3" applyFill="1" applyAlignment="1" applyProtection="1">
      <alignment horizontal="left" vertical="center"/>
      <protection locked="0"/>
    </xf>
  </cellXfs>
  <cellStyles count="6">
    <cellStyle name="Moeda" xfId="2" builtinId="4"/>
    <cellStyle name="Normal" xfId="0" builtinId="0"/>
    <cellStyle name="Normal 2" xfId="3" xr:uid="{9B54622D-7E87-4F0E-BF39-2E8B52F1DFDA}"/>
    <cellStyle name="Normal 2 2 2" xfId="4" xr:uid="{9822861D-C16F-44E7-9D3B-6E6116E469BB}"/>
    <cellStyle name="Normal 2 3" xfId="5" xr:uid="{8D2BC577-68BE-4D27-9833-040C7734AA58}"/>
    <cellStyle name="Vírgula" xfId="1" builtinId="3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94C4EF43-F8FC-43EC-BBB6-BC5333DA77B8}">
    <Anchor>
      <Comment id="{C20B8D87-5470-482E-A0EB-937534F41A40}"/>
    </Anchor>
    <History>
      <Event time="2024-02-29T18:51:15.51" id="{15B96618-BA03-4B6F-B861-ECCB39E0EE39}">
        <Attribution userId="S::cristina.sugui@seletiva.ind.br::3adf00f0-444e-4e80-95b8-4fe658f29ff9" userName="Cristina Sugui" userProvider="AD"/>
        <Anchor>
          <Comment id="{C20B8D87-5470-482E-A0EB-937534F41A40}"/>
        </Anchor>
        <Create/>
      </Event>
      <Event time="2024-02-29T18:51:15.51" id="{B179DE2A-7AC6-4BB2-BB1A-D134E0B00D0A}">
        <Attribution userId="S::cristina.sugui@seletiva.ind.br::3adf00f0-444e-4e80-95b8-4fe658f29ff9" userName="Cristina Sugui" userProvider="AD"/>
        <Anchor>
          <Comment id="{C20B8D87-5470-482E-A0EB-937534F41A40}"/>
        </Anchor>
        <Assign userId="S::luciano.faria@pilares.adm.br::35a23d0e-8c4b-4e16-9e00-2967167d731e" userName="Luciano Faria" userProvider="AD"/>
      </Event>
      <Event time="2024-02-29T18:51:15.51" id="{8B07BB20-4B6F-45C4-AEB2-2AB24C169319}">
        <Attribution userId="S::cristina.sugui@seletiva.ind.br::3adf00f0-444e-4e80-95b8-4fe658f29ff9" userName="Cristina Sugui" userProvider="AD"/>
        <Anchor>
          <Comment id="{C20B8D87-5470-482E-A0EB-937534F41A40}"/>
        </Anchor>
        <SetTitle title="@Luciano Faria Verificar este lancamento e o ID 33620 de 5.500,00 e 6.900,00 respectiviamente, vi que é de Joinvile, mas é parcelado."/>
      </Event>
      <Event time="2024-02-29T19:52:13.03" id="{FE17F71F-8EA8-482B-A9C1-7800D601B0DB}">
        <Attribution userId="S::luciano.faria@pilares.adm.br::35a23d0e-8c4b-4e16-9e00-2967167d731e" userName="Luciano Faria" userProvider="AD"/>
        <Progress percentComplete="100"/>
      </Event>
    </History>
  </Task>
  <Task id="{A752085A-55C7-41F1-8F9D-527296D623DD}">
    <Anchor>
      <Comment id="{39365A74-B1A4-4971-BECA-7F3EF5F12226}"/>
    </Anchor>
    <History>
      <Event time="2024-03-27T20:47:37.06" id="{638AE38B-4648-4510-A37F-3C45CA0A8E8B}">
        <Attribution userId="S::cristina.sugui@seletiva.ind.br::3adf00f0-444e-4e80-95b8-4fe658f29ff9" userName="Cristina Sugui" userProvider="AD"/>
        <Anchor>
          <Comment id="{39365A74-B1A4-4971-BECA-7F3EF5F12226}"/>
        </Anchor>
        <Create/>
      </Event>
      <Event time="2024-03-27T20:47:37.06" id="{BFB5C7AC-EFDC-4BB3-8405-4DFE97CD02D7}">
        <Attribution userId="S::cristina.sugui@seletiva.ind.br::3adf00f0-444e-4e80-95b8-4fe658f29ff9" userName="Cristina Sugui" userProvider="AD"/>
        <Anchor>
          <Comment id="{39365A74-B1A4-4971-BECA-7F3EF5F12226}"/>
        </Anchor>
        <Assign userId="S::luciano.faria@pilares.adm.br::35a23d0e-8c4b-4e16-9e00-2967167d731e" userName="Luciano Faria" userProvider="AD"/>
      </Event>
      <Event time="2024-03-27T20:47:37.06" id="{2FE3B9B9-ACF0-4EC4-B93A-77864B08A6CE}">
        <Attribution userId="S::cristina.sugui@seletiva.ind.br::3adf00f0-444e-4e80-95b8-4fe658f29ff9" userName="Cristina Sugui" userProvider="AD"/>
        <Anchor>
          <Comment id="{39365A74-B1A4-4971-BECA-7F3EF5F12226}"/>
        </Anchor>
        <SetTitle title="@Luciano Faria Verificar se consegue identificar qual colaborador"/>
      </Event>
      <Event time="2024-04-15T13:20:00.52" id="{81CEA16E-B599-4828-B8A4-4AC8632EBA3E}">
        <Attribution userId="S::cristina.sugui@seletiva.ind.br::3adf00f0-444e-4e80-95b8-4fe658f29ff9" userName="Cristina Sugui" userProvider="AD"/>
        <Progress percentComplete="100"/>
      </Event>
    </History>
  </Task>
  <Task id="{8B32E66E-09DF-41DF-8F67-195AE88B5D38}">
    <Anchor>
      <Comment id="{181219F1-1931-47B6-9BDD-2FD80DE981ED}"/>
    </Anchor>
    <History>
      <Event time="2024-02-29T18:51:15.51" id="{15B96618-BA03-4B6F-B861-ECCB39E0EE39}">
        <Attribution userId="S::cristina.sugui@seletiva.ind.br::3adf00f0-444e-4e80-95b8-4fe658f29ff9" userName="Cristina Sugui" userProvider="AD"/>
        <Anchor>
          <Comment id="{181219F1-1931-47B6-9BDD-2FD80DE981ED}"/>
        </Anchor>
        <Create/>
      </Event>
      <Event time="2024-02-29T18:51:15.51" id="{B179DE2A-7AC6-4BB2-BB1A-D134E0B00D0A}">
        <Attribution userId="S::cristina.sugui@seletiva.ind.br::3adf00f0-444e-4e80-95b8-4fe658f29ff9" userName="Cristina Sugui" userProvider="AD"/>
        <Anchor>
          <Comment id="{181219F1-1931-47B6-9BDD-2FD80DE981ED}"/>
        </Anchor>
        <Assign userId="S::luciano.faria@pilares.adm.br::35a23d0e-8c4b-4e16-9e00-2967167d731e" userName="Luciano Faria" userProvider="AD"/>
      </Event>
      <Event time="2024-02-29T18:51:15.51" id="{8B07BB20-4B6F-45C4-AEB2-2AB24C169319}">
        <Attribution userId="S::cristina.sugui@seletiva.ind.br::3adf00f0-444e-4e80-95b8-4fe658f29ff9" userName="Cristina Sugui" userProvider="AD"/>
        <Anchor>
          <Comment id="{181219F1-1931-47B6-9BDD-2FD80DE981ED}"/>
        </Anchor>
        <SetTitle title="@Luciano Faria Verificar este lancamento e o ID 33620 de 5.500,00 e 6.900,00 respectiviamente, vi que é de Joinvile, mas é parcelado."/>
      </Event>
      <Event time="2024-02-29T19:51:58.78" id="{61A54A98-D6D6-48FA-A723-16DFFDBB3A11}">
        <Attribution userId="S::luciano.faria@pilares.adm.br::35a23d0e-8c4b-4e16-9e00-2967167d731e" userName="Luciano Faria" userProvider="AD"/>
        <Progress percentComplete="100"/>
      </Event>
    </History>
  </Task>
  <Task id="{53738F94-A230-4CD7-A5B6-773C73128F0E}">
    <Anchor>
      <Comment id="{5ED51396-18B7-42A0-A18A-CEA2CC19DD2C}"/>
    </Anchor>
    <History>
      <Event time="2024-03-27T21:05:39.96" id="{B9ED3056-D6CB-4447-8F0E-FE5EC86C355B}">
        <Attribution userId="S::cristina.sugui@seletiva.ind.br::3adf00f0-444e-4e80-95b8-4fe658f29ff9" userName="Cristina Sugui" userProvider="AD"/>
        <Anchor>
          <Comment id="{5ED51396-18B7-42A0-A18A-CEA2CC19DD2C}"/>
        </Anchor>
        <Create/>
      </Event>
      <Event time="2024-03-27T21:05:39.96" id="{B8A84A4E-A0B4-476A-BA3F-F37D2C32285E}">
        <Attribution userId="S::cristina.sugui@seletiva.ind.br::3adf00f0-444e-4e80-95b8-4fe658f29ff9" userName="Cristina Sugui" userProvider="AD"/>
        <Anchor>
          <Comment id="{5ED51396-18B7-42A0-A18A-CEA2CC19DD2C}"/>
        </Anchor>
        <Assign userId="S::luciano.faria@pilares.adm.br::35a23d0e-8c4b-4e16-9e00-2967167d731e" userName="Luciano Faria" userProvider="AD"/>
      </Event>
      <Event time="2024-03-27T21:05:39.96" id="{746BA240-7A9B-4617-975D-00BBA3140AD1}">
        <Attribution userId="S::cristina.sugui@seletiva.ind.br::3adf00f0-444e-4e80-95b8-4fe658f29ff9" userName="Cristina Sugui" userProvider="AD"/>
        <Anchor>
          <Comment id="{5ED51396-18B7-42A0-A18A-CEA2CC19DD2C}"/>
        </Anchor>
        <SetTitle title="@Luciano Faria identificar placa"/>
      </Event>
      <Event time="2024-04-15T12:22:39.56" id="{D3227A99-30A3-4142-8648-E30C5DEFCEB9}">
        <Attribution userId="S::cristina.sugui@seletiva.ind.br::3adf00f0-444e-4e80-95b8-4fe658f29ff9" userName="Cristina Sugui" userProvider="AD"/>
        <Progress percentComplete="100"/>
      </Event>
    </History>
  </Task>
  <Task id="{67F88FAA-B6C9-452F-A11C-61AEEB6A55C9}">
    <Anchor>
      <Comment id="{901C7999-5EE9-4006-8660-67F0D351A932}"/>
    </Anchor>
    <History>
      <Event time="2024-02-29T18:51:15.51" id="{15B96618-BA03-4B6F-B861-ECCB39E0EE39}">
        <Attribution userId="S::cristina.sugui@seletiva.ind.br::3adf00f0-444e-4e80-95b8-4fe658f29ff9" userName="Cristina Sugui" userProvider="AD"/>
        <Anchor>
          <Comment id="{901C7999-5EE9-4006-8660-67F0D351A932}"/>
        </Anchor>
        <Create/>
      </Event>
      <Event time="2024-02-29T18:51:15.51" id="{B179DE2A-7AC6-4BB2-BB1A-D134E0B00D0A}">
        <Attribution userId="S::cristina.sugui@seletiva.ind.br::3adf00f0-444e-4e80-95b8-4fe658f29ff9" userName="Cristina Sugui" userProvider="AD"/>
        <Anchor>
          <Comment id="{901C7999-5EE9-4006-8660-67F0D351A932}"/>
        </Anchor>
        <Assign userId="S::luciano.faria@pilares.adm.br::35a23d0e-8c4b-4e16-9e00-2967167d731e" userName="Luciano Faria" userProvider="AD"/>
      </Event>
      <Event time="2024-02-29T18:51:15.51" id="{8B07BB20-4B6F-45C4-AEB2-2AB24C169319}">
        <Attribution userId="S::cristina.sugui@seletiva.ind.br::3adf00f0-444e-4e80-95b8-4fe658f29ff9" userName="Cristina Sugui" userProvider="AD"/>
        <Anchor>
          <Comment id="{901C7999-5EE9-4006-8660-67F0D351A932}"/>
        </Anchor>
        <SetTitle title="@Luciano Faria Verificar este lancamento e o ID 33620 de 5.500,00 e 6.900,00 respectiviamente, vi que é de Joinvile, mas é parcelado."/>
      </Event>
      <Event time="2024-02-29T19:52:38.30" id="{A9C3F854-60C6-4282-9578-071B2F71EB08}">
        <Attribution userId="S::luciano.faria@pilares.adm.br::35a23d0e-8c4b-4e16-9e00-2967167d731e" userName="Luciano Faria" userProvider="AD"/>
        <Progress percentComplete="100"/>
      </Event>
    </History>
  </Task>
  <Task id="{0FCDF1AB-3EEF-4E0C-9A11-2A5EAE3D1332}">
    <Anchor>
      <Comment id="{1608BAB1-8CF2-4477-9780-4DD8EA9382B7}"/>
    </Anchor>
    <History>
      <Event time="2024-02-29T18:51:15.51" id="{15B96618-BA03-4B6F-B861-ECCB39E0EE39}">
        <Attribution userId="S::cristina.sugui@seletiva.ind.br::3adf00f0-444e-4e80-95b8-4fe658f29ff9" userName="Cristina Sugui" userProvider="AD"/>
        <Anchor>
          <Comment id="{1608BAB1-8CF2-4477-9780-4DD8EA9382B7}"/>
        </Anchor>
        <Create/>
      </Event>
      <Event time="2024-02-29T18:51:15.51" id="{B179DE2A-7AC6-4BB2-BB1A-D134E0B00D0A}">
        <Attribution userId="S::cristina.sugui@seletiva.ind.br::3adf00f0-444e-4e80-95b8-4fe658f29ff9" userName="Cristina Sugui" userProvider="AD"/>
        <Anchor>
          <Comment id="{1608BAB1-8CF2-4477-9780-4DD8EA9382B7}"/>
        </Anchor>
        <Assign userId="S::luciano.faria@pilares.adm.br::35a23d0e-8c4b-4e16-9e00-2967167d731e" userName="Luciano Faria" userProvider="AD"/>
      </Event>
      <Event time="2024-02-29T18:51:15.51" id="{8B07BB20-4B6F-45C4-AEB2-2AB24C169319}">
        <Attribution userId="S::cristina.sugui@seletiva.ind.br::3adf00f0-444e-4e80-95b8-4fe658f29ff9" userName="Cristina Sugui" userProvider="AD"/>
        <Anchor>
          <Comment id="{1608BAB1-8CF2-4477-9780-4DD8EA9382B7}"/>
        </Anchor>
        <SetTitle title="@Luciano Faria Verificar este lancamento e o ID 33620 de 5.500,00 e 6.900,00 respectiviamente, vi que é de Joinvile, mas é parcelado."/>
      </Event>
      <Event time="2024-02-29T19:52:10.68" id="{016E2878-D8C6-495B-8219-260AE4A4637C}">
        <Attribution userId="S::luciano.faria@pilares.adm.br::35a23d0e-8c4b-4e16-9e00-2967167d731e" userName="Luciano Faria" userProvider="AD"/>
        <Progress percentComplete="100"/>
      </Event>
    </History>
  </Task>
  <Task id="{797F40CE-4A4E-4D9A-8F13-70FCFC046F84}">
    <Anchor>
      <Comment id="{B428054B-3CA8-44DF-8D04-91DCA5E4F273}"/>
    </Anchor>
    <History>
      <Event time="2024-02-29T18:51:15.51" id="{15B96618-BA03-4B6F-B861-ECCB39E0EE39}">
        <Attribution userId="S::cristina.sugui@seletiva.ind.br::3adf00f0-444e-4e80-95b8-4fe658f29ff9" userName="Cristina Sugui" userProvider="AD"/>
        <Anchor>
          <Comment id="{B428054B-3CA8-44DF-8D04-91DCA5E4F273}"/>
        </Anchor>
        <Create/>
      </Event>
      <Event time="2024-02-29T18:51:15.51" id="{B179DE2A-7AC6-4BB2-BB1A-D134E0B00D0A}">
        <Attribution userId="S::cristina.sugui@seletiva.ind.br::3adf00f0-444e-4e80-95b8-4fe658f29ff9" userName="Cristina Sugui" userProvider="AD"/>
        <Anchor>
          <Comment id="{B428054B-3CA8-44DF-8D04-91DCA5E4F273}"/>
        </Anchor>
        <Assign userId="S::luciano.faria@pilares.adm.br::35a23d0e-8c4b-4e16-9e00-2967167d731e" userName="Luciano Faria" userProvider="AD"/>
      </Event>
      <Event time="2024-02-29T18:51:15.51" id="{8B07BB20-4B6F-45C4-AEB2-2AB24C169319}">
        <Attribution userId="S::cristina.sugui@seletiva.ind.br::3adf00f0-444e-4e80-95b8-4fe658f29ff9" userName="Cristina Sugui" userProvider="AD"/>
        <Anchor>
          <Comment id="{B428054B-3CA8-44DF-8D04-91DCA5E4F273}"/>
        </Anchor>
        <SetTitle title="@Luciano Faria Verificar este lancamento e o ID 33620 de 5.500,00 e 6.900,00 respectiviamente, vi que é de Joinvile, mas é parcelado."/>
      </Event>
      <Event time="2024-02-29T19:52:44.74" id="{4247D8A4-15D0-4266-AB9C-42679E059128}">
        <Attribution userId="S::luciano.faria@pilares.adm.br::35a23d0e-8c4b-4e16-9e00-2967167d731e" userName="Luciano Faria" userProvider="AD"/>
        <Progress percentComplete="100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letivaindbr-my.sharepoint.com/personal/cristina_sugui_seletiva_ind_br/Documents/Diretoria/Diretoria%20Administrativa/Centro%20de%20Custo/Fechamento/Fechamento_2024/FECHAMENTO%20GERAL%202024.xlsx" TargetMode="External"/><Relationship Id="rId1" Type="http://schemas.openxmlformats.org/officeDocument/2006/relationships/externalLinkPath" Target="https://seletivaindbr-my.sharepoint.com/personal/cristina_sugui_seletiva_ind_br/Documents/Diretoria/Diretoria%20Administrativa/Centro%20de%20Custo/Fechamento/Fechamento_2024/FECHAMENTO%20GER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QUANTIDADE DE LANÇAMENTOS"/>
      <sheetName val="CUSTOxCONTA"/>
      <sheetName val="TABELA DE CUSTOS"/>
      <sheetName val="Detalhes1"/>
      <sheetName val="TABELA DINAMICA"/>
      <sheetName val="Planilha8"/>
      <sheetName val="CONSULTI"/>
      <sheetName val="AMTI"/>
      <sheetName val="RATEIO KONFIDO"/>
      <sheetName val="TABELA DINAMICA SISTEMAS"/>
      <sheetName val=" manter de salario FECHAMENTO "/>
      <sheetName val="QUE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cod_conta</v>
          </cell>
          <cell r="B1" t="str">
            <v>conta</v>
          </cell>
          <cell r="C1" t="str">
            <v>MODELO DE QUEBRA MARCONDES 1</v>
          </cell>
          <cell r="D1" t="str">
            <v>MODELO DE QUEBRA MARCONDES 2</v>
          </cell>
        </row>
        <row r="2">
          <cell r="A2" t="str">
            <v>1.1.2</v>
          </cell>
          <cell r="B2" t="str">
            <v>COMPRA MATERIAL</v>
          </cell>
          <cell r="C2" t="str">
            <v>Custo Variável</v>
          </cell>
          <cell r="D2" t="str">
            <v>Não Operacional</v>
          </cell>
        </row>
        <row r="3">
          <cell r="A3" t="str">
            <v>1.2</v>
          </cell>
          <cell r="B3" t="str">
            <v>MIGRACAO FINANCEIRO 3.0</v>
          </cell>
          <cell r="C3" t="str">
            <v>Outros</v>
          </cell>
          <cell r="D3" t="str">
            <v>Outros</v>
          </cell>
        </row>
        <row r="4">
          <cell r="A4" t="str">
            <v>1.35.43</v>
          </cell>
          <cell r="B4" t="str">
            <v>ESTORNO DE PAGAMENTO RECEBIDO</v>
          </cell>
          <cell r="C4" t="str">
            <v>Outros</v>
          </cell>
          <cell r="D4" t="str">
            <v>Outros</v>
          </cell>
        </row>
        <row r="5">
          <cell r="A5" t="str">
            <v>2.12</v>
          </cell>
          <cell r="B5" t="str">
            <v>VENDA DE SUCATAS</v>
          </cell>
          <cell r="C5" t="str">
            <v>Receita</v>
          </cell>
          <cell r="D5" t="str">
            <v>Operacional</v>
          </cell>
        </row>
        <row r="6">
          <cell r="A6" t="str">
            <v>4.1.1</v>
          </cell>
          <cell r="B6" t="str">
            <v>VENDAS DE SUCATAS</v>
          </cell>
          <cell r="C6" t="str">
            <v>Receita</v>
          </cell>
          <cell r="D6" t="str">
            <v>Operacional</v>
          </cell>
        </row>
        <row r="7">
          <cell r="A7" t="str">
            <v>4.1.2</v>
          </cell>
          <cell r="B7" t="str">
            <v>ACERTO FORNECEDOR X CREDOR</v>
          </cell>
          <cell r="C7" t="str">
            <v>Receita</v>
          </cell>
          <cell r="D7" t="str">
            <v>Operacional</v>
          </cell>
        </row>
        <row r="8">
          <cell r="A8" t="str">
            <v>4.2.1</v>
          </cell>
          <cell r="B8" t="str">
            <v>ADIANTAMENTO CLIENTE SUCATA</v>
          </cell>
          <cell r="C8" t="str">
            <v>Receita</v>
          </cell>
          <cell r="D8" t="str">
            <v>Operacional</v>
          </cell>
        </row>
        <row r="9">
          <cell r="A9" t="str">
            <v>4.2.2</v>
          </cell>
          <cell r="B9" t="str">
            <v>DEVOLUÇÃO DE ADIANTAMENTO CLIENTE</v>
          </cell>
          <cell r="C9" t="str">
            <v>Outros</v>
          </cell>
          <cell r="D9" t="str">
            <v>Outros</v>
          </cell>
        </row>
        <row r="10">
          <cell r="A10" t="str">
            <v>4.3.1</v>
          </cell>
          <cell r="B10" t="str">
            <v>DEVOLUÇÃO DE VENDA SUCATA</v>
          </cell>
          <cell r="C10" t="str">
            <v>Receita</v>
          </cell>
          <cell r="D10" t="str">
            <v>Deduções da receita</v>
          </cell>
        </row>
        <row r="11">
          <cell r="A11" t="str">
            <v>5.1.1</v>
          </cell>
          <cell r="B11" t="str">
            <v xml:space="preserve">PRENSA JCH200 - EWU6041 </v>
          </cell>
          <cell r="C11" t="str">
            <v>Receita</v>
          </cell>
          <cell r="D11" t="str">
            <v>Não Operacional</v>
          </cell>
        </row>
        <row r="12">
          <cell r="A12" t="str">
            <v>5.1.2</v>
          </cell>
          <cell r="B12" t="str">
            <v xml:space="preserve">LOCAÇÃO DE CONTEINER E CAÇAMBAS </v>
          </cell>
          <cell r="C12" t="str">
            <v>Receita</v>
          </cell>
          <cell r="D12" t="str">
            <v>Não Operacional</v>
          </cell>
        </row>
        <row r="13">
          <cell r="A13" t="str">
            <v>5.2.1</v>
          </cell>
          <cell r="B13" t="str">
            <v>VENDA DE VEÍCULOS</v>
          </cell>
          <cell r="C13" t="str">
            <v>Receita</v>
          </cell>
          <cell r="D13" t="str">
            <v>Não Operacional</v>
          </cell>
        </row>
        <row r="14">
          <cell r="A14" t="str">
            <v>5.2.2</v>
          </cell>
          <cell r="B14" t="str">
            <v>VENDA DE MAQUINAS E EQUIPAMENTOS</v>
          </cell>
          <cell r="C14" t="str">
            <v>Receita</v>
          </cell>
          <cell r="D14" t="str">
            <v>Não Operacional</v>
          </cell>
        </row>
        <row r="15">
          <cell r="A15" t="str">
            <v>5.2.3</v>
          </cell>
          <cell r="B15" t="str">
            <v>VENDA DE IMÓVEIS</v>
          </cell>
          <cell r="C15" t="str">
            <v>Receita</v>
          </cell>
          <cell r="D15" t="str">
            <v>Não Operacional</v>
          </cell>
        </row>
        <row r="16">
          <cell r="A16" t="str">
            <v>5.3.1</v>
          </cell>
          <cell r="B16" t="str">
            <v>PERDCOMP RESSARCIMENTO</v>
          </cell>
          <cell r="C16" t="str">
            <v>Receita</v>
          </cell>
          <cell r="D16" t="str">
            <v>Não Operacional</v>
          </cell>
        </row>
        <row r="17">
          <cell r="A17" t="str">
            <v>5.3.2</v>
          </cell>
          <cell r="B17" t="str">
            <v>RESSARCIMENTO SEGURO</v>
          </cell>
          <cell r="C17" t="str">
            <v>Receita</v>
          </cell>
          <cell r="D17" t="str">
            <v>Não Operacional</v>
          </cell>
        </row>
        <row r="18">
          <cell r="A18" t="str">
            <v>5.3.3</v>
          </cell>
          <cell r="B18" t="str">
            <v>RENDIMENTO FINANCEIRO</v>
          </cell>
          <cell r="C18" t="str">
            <v>Receita</v>
          </cell>
          <cell r="D18" t="str">
            <v>Não Operacional</v>
          </cell>
        </row>
        <row r="19">
          <cell r="A19" t="str">
            <v>5.3.4</v>
          </cell>
          <cell r="B19" t="str">
            <v>VARIACAO CAMBIAL ATIVA</v>
          </cell>
          <cell r="C19" t="str">
            <v>Receita</v>
          </cell>
          <cell r="D19" t="str">
            <v>Não Operacional</v>
          </cell>
        </row>
        <row r="20">
          <cell r="A20" t="str">
            <v>5.4.1</v>
          </cell>
          <cell r="B20" t="str">
            <v>DISTRIBUIÇÃO DE LUCROS</v>
          </cell>
          <cell r="C20" t="str">
            <v>Receita</v>
          </cell>
          <cell r="D20" t="str">
            <v>Não Operacional</v>
          </cell>
        </row>
        <row r="21">
          <cell r="A21" t="str">
            <v>5.4.10</v>
          </cell>
          <cell r="B21" t="str">
            <v>AJUSTE COMPENSAÇÕES DE CHEQUES</v>
          </cell>
          <cell r="C21" t="str">
            <v>Receita</v>
          </cell>
          <cell r="D21" t="str">
            <v>Não Operacional</v>
          </cell>
        </row>
        <row r="22">
          <cell r="A22" t="str">
            <v>5.4.11</v>
          </cell>
          <cell r="B22" t="str">
            <v>RECEITAS DIVERSAS</v>
          </cell>
          <cell r="C22" t="str">
            <v>Receita</v>
          </cell>
          <cell r="D22" t="str">
            <v>Não Operacional</v>
          </cell>
        </row>
        <row r="23">
          <cell r="A23" t="str">
            <v>5.4.12</v>
          </cell>
          <cell r="B23" t="str">
            <v>JUROS E MULTAS</v>
          </cell>
          <cell r="C23" t="str">
            <v>Receita</v>
          </cell>
          <cell r="D23" t="str">
            <v>Não Operacional</v>
          </cell>
        </row>
        <row r="24">
          <cell r="A24" t="str">
            <v>5.4.13</v>
          </cell>
          <cell r="B24" t="str">
            <v>LOGISTICA REVERSA</v>
          </cell>
          <cell r="C24" t="str">
            <v>Receita</v>
          </cell>
          <cell r="D24" t="str">
            <v>Não Operacional</v>
          </cell>
        </row>
        <row r="25">
          <cell r="A25" t="str">
            <v>5.4.14</v>
          </cell>
          <cell r="B25" t="str">
            <v>MIGRACAO</v>
          </cell>
          <cell r="C25" t="str">
            <v>Receita</v>
          </cell>
          <cell r="D25" t="str">
            <v>Não Operacional</v>
          </cell>
        </row>
        <row r="26">
          <cell r="A26" t="str">
            <v>5.4.2</v>
          </cell>
          <cell r="B26" t="str">
            <v>EMPRÉSTIMOS</v>
          </cell>
          <cell r="C26" t="str">
            <v>Receita</v>
          </cell>
          <cell r="D26" t="str">
            <v>Não Operacional</v>
          </cell>
        </row>
        <row r="27">
          <cell r="A27" t="str">
            <v>5.4.3</v>
          </cell>
          <cell r="B27" t="str">
            <v>PESAGENS AVULSAS</v>
          </cell>
          <cell r="C27" t="str">
            <v>Receita</v>
          </cell>
          <cell r="D27" t="str">
            <v>Operacional</v>
          </cell>
        </row>
        <row r="28">
          <cell r="A28" t="str">
            <v>5.4.4</v>
          </cell>
          <cell r="B28" t="str">
            <v>DESCARTE DE OLEO USADO</v>
          </cell>
          <cell r="C28" t="str">
            <v>Receita</v>
          </cell>
          <cell r="D28" t="str">
            <v>Não Operacional</v>
          </cell>
        </row>
        <row r="29">
          <cell r="A29" t="str">
            <v>5.4.5</v>
          </cell>
          <cell r="B29" t="str">
            <v>DESCONTOS RECEBIDOS</v>
          </cell>
          <cell r="C29" t="str">
            <v>Receita</v>
          </cell>
          <cell r="D29" t="str">
            <v>Não Operacional</v>
          </cell>
        </row>
        <row r="30">
          <cell r="A30" t="str">
            <v>5.4.6</v>
          </cell>
          <cell r="B30" t="str">
            <v>PARTICULAR</v>
          </cell>
          <cell r="C30" t="str">
            <v>Receita</v>
          </cell>
          <cell r="D30" t="str">
            <v>Não Operacional</v>
          </cell>
        </row>
        <row r="31">
          <cell r="A31" t="str">
            <v>5.4.7</v>
          </cell>
          <cell r="B31" t="str">
            <v>OPERAÇÕES ENTRE EMPRESAS</v>
          </cell>
          <cell r="C31" t="str">
            <v>Receita</v>
          </cell>
          <cell r="D31" t="str">
            <v>Não Operacional</v>
          </cell>
        </row>
        <row r="32">
          <cell r="A32" t="str">
            <v>5.4.8</v>
          </cell>
          <cell r="B32" t="str">
            <v>ESTORNO DE PAGAMENTO INDEVIDO</v>
          </cell>
          <cell r="C32" t="str">
            <v>Receita</v>
          </cell>
          <cell r="D32" t="str">
            <v>Não Operacional</v>
          </cell>
        </row>
        <row r="33">
          <cell r="A33" t="str">
            <v>5.4.9</v>
          </cell>
          <cell r="B33" t="str">
            <v>DOAÇÕES RECEBIDAS</v>
          </cell>
          <cell r="C33" t="str">
            <v>Receita</v>
          </cell>
          <cell r="D33" t="str">
            <v>Não Operacional</v>
          </cell>
        </row>
        <row r="34">
          <cell r="A34" t="str">
            <v>5.5</v>
          </cell>
          <cell r="B34" t="str">
            <v>ADIANTAMENTO CLIENTE LOCAÇÃO</v>
          </cell>
          <cell r="C34" t="str">
            <v>Receita</v>
          </cell>
          <cell r="D34" t="str">
            <v>Não Operacional</v>
          </cell>
        </row>
        <row r="35">
          <cell r="A35" t="str">
            <v>5.6.1</v>
          </cell>
          <cell r="B35" t="str">
            <v>LOCACAO DE MÁQUINAS E EQUIPAMENTOS</v>
          </cell>
          <cell r="C35" t="str">
            <v>Receita</v>
          </cell>
          <cell r="D35" t="str">
            <v>Operacional</v>
          </cell>
        </row>
        <row r="36">
          <cell r="A36" t="str">
            <v>5.6.2</v>
          </cell>
          <cell r="B36" t="str">
            <v>LOCACAO DE CONTEINER E CACAMBAS</v>
          </cell>
          <cell r="C36" t="str">
            <v>Receita</v>
          </cell>
          <cell r="D36" t="str">
            <v>Operacional</v>
          </cell>
        </row>
        <row r="37">
          <cell r="A37" t="str">
            <v>5.6.3</v>
          </cell>
          <cell r="B37" t="str">
            <v>LOCACAO DE IMOVEIS</v>
          </cell>
          <cell r="C37" t="str">
            <v>Receita</v>
          </cell>
          <cell r="D37" t="str">
            <v>Operacional</v>
          </cell>
        </row>
        <row r="38">
          <cell r="A38" t="str">
            <v>5.7.1</v>
          </cell>
          <cell r="B38" t="str">
            <v>FRETES</v>
          </cell>
          <cell r="C38" t="str">
            <v>Receita</v>
          </cell>
          <cell r="D38" t="str">
            <v>Operacional</v>
          </cell>
        </row>
        <row r="39">
          <cell r="A39" t="str">
            <v>5.8.1</v>
          </cell>
          <cell r="B39" t="str">
            <v>REVENDA</v>
          </cell>
          <cell r="C39" t="str">
            <v>Receita</v>
          </cell>
          <cell r="D39" t="str">
            <v>Operacional</v>
          </cell>
        </row>
        <row r="40">
          <cell r="A40" t="str">
            <v>6.1.1</v>
          </cell>
          <cell r="B40" t="str">
            <v>COMPRAS DE SUCATAS</v>
          </cell>
          <cell r="C40" t="str">
            <v>Custo Variável</v>
          </cell>
          <cell r="D40" t="str">
            <v>Operacional</v>
          </cell>
        </row>
        <row r="41">
          <cell r="A41" t="str">
            <v>6.2</v>
          </cell>
          <cell r="B41" t="str">
            <v>PROCESSAMENTO INTERNO</v>
          </cell>
          <cell r="C41" t="str">
            <v>Custo Variável</v>
          </cell>
          <cell r="D41" t="str">
            <v>Operacional</v>
          </cell>
        </row>
        <row r="42">
          <cell r="A42" t="str">
            <v>6.3.1</v>
          </cell>
          <cell r="B42" t="str">
            <v>ADIANTAMENTO CONCEDIDOS</v>
          </cell>
          <cell r="C42" t="str">
            <v>Custo Variável</v>
          </cell>
          <cell r="D42" t="str">
            <v>Operacional</v>
          </cell>
        </row>
        <row r="43">
          <cell r="A43" t="str">
            <v>6.3.2</v>
          </cell>
          <cell r="B43" t="str">
            <v>DEVOLUÇÃO DE ADIANTAMENTO FORNECEDOR</v>
          </cell>
          <cell r="C43" t="str">
            <v>Custo Variável</v>
          </cell>
          <cell r="D43" t="str">
            <v>Operacional</v>
          </cell>
        </row>
        <row r="44">
          <cell r="A44" t="str">
            <v>6.4.1</v>
          </cell>
          <cell r="B44" t="str">
            <v>DEVOLUÇÃO DE COMPRA SUCATA</v>
          </cell>
          <cell r="C44" t="str">
            <v>Custo Variável</v>
          </cell>
          <cell r="D44" t="str">
            <v>Operacional</v>
          </cell>
        </row>
        <row r="45">
          <cell r="A45" t="str">
            <v>6.5.1</v>
          </cell>
          <cell r="B45" t="str">
            <v>COMPRA P/ REVENDA</v>
          </cell>
          <cell r="C45" t="str">
            <v>Custo Variável</v>
          </cell>
          <cell r="D45" t="str">
            <v>Operacional</v>
          </cell>
        </row>
        <row r="46">
          <cell r="A46" t="str">
            <v>6.5.2</v>
          </cell>
          <cell r="B46" t="str">
            <v>INDUSTRIALIZAÇÃO</v>
          </cell>
          <cell r="C46" t="str">
            <v>Custo Variável</v>
          </cell>
          <cell r="D46" t="str">
            <v>Operacional</v>
          </cell>
        </row>
        <row r="47">
          <cell r="A47" t="str">
            <v>7.1.1</v>
          </cell>
          <cell r="B47" t="str">
            <v>PEÇAS DE MANUTENÇÃO</v>
          </cell>
          <cell r="C47" t="str">
            <v>Custo Variável</v>
          </cell>
          <cell r="D47" t="str">
            <v>Operacional</v>
          </cell>
        </row>
        <row r="48">
          <cell r="A48" t="str">
            <v>7.1.10</v>
          </cell>
          <cell r="B48" t="str">
            <v>IPVA</v>
          </cell>
          <cell r="C48" t="str">
            <v>Custo Fixo</v>
          </cell>
          <cell r="D48" t="str">
            <v>Tributos</v>
          </cell>
        </row>
        <row r="49">
          <cell r="A49" t="str">
            <v>7.1.11</v>
          </cell>
          <cell r="B49" t="str">
            <v>LICENCIAMENTO / DPVAT</v>
          </cell>
          <cell r="C49" t="str">
            <v>Custo Variável</v>
          </cell>
          <cell r="D49" t="str">
            <v>Não Operacional</v>
          </cell>
        </row>
        <row r="50">
          <cell r="A50" t="str">
            <v>7.1.12</v>
          </cell>
          <cell r="B50" t="str">
            <v>PEDÁGIO</v>
          </cell>
          <cell r="C50" t="str">
            <v>Custo Variável</v>
          </cell>
          <cell r="D50" t="str">
            <v>Não Operacional</v>
          </cell>
        </row>
        <row r="51">
          <cell r="A51" t="str">
            <v>7.1.13</v>
          </cell>
          <cell r="B51" t="str">
            <v>TAXA 1° REGISTRO VEICULO</v>
          </cell>
          <cell r="C51" t="str">
            <v>Custo Variável</v>
          </cell>
          <cell r="D51" t="str">
            <v>Não Operacional</v>
          </cell>
        </row>
        <row r="52">
          <cell r="A52" t="str">
            <v>7.1.14</v>
          </cell>
          <cell r="B52" t="str">
            <v>DESPACHANTE</v>
          </cell>
          <cell r="C52" t="str">
            <v>Custo Variável</v>
          </cell>
          <cell r="D52" t="str">
            <v>Não Operacional</v>
          </cell>
        </row>
        <row r="53">
          <cell r="A53" t="str">
            <v>7.1.15</v>
          </cell>
          <cell r="B53" t="str">
            <v>VISTORIAS</v>
          </cell>
          <cell r="C53" t="str">
            <v>Custo Variável</v>
          </cell>
          <cell r="D53" t="str">
            <v>Não Operacional</v>
          </cell>
        </row>
        <row r="54">
          <cell r="A54" t="str">
            <v>7.1.16</v>
          </cell>
          <cell r="B54" t="str">
            <v>SERVIÇOS DE TERCEIROS</v>
          </cell>
          <cell r="C54" t="str">
            <v>Custo Variável</v>
          </cell>
          <cell r="D54" t="str">
            <v>Não Operacional</v>
          </cell>
        </row>
        <row r="55">
          <cell r="A55" t="str">
            <v>7.1.17</v>
          </cell>
          <cell r="B55" t="str">
            <v>GÁS - USO OFICINA</v>
          </cell>
          <cell r="C55" t="str">
            <v>Custo Variável</v>
          </cell>
          <cell r="D55" t="str">
            <v>Não Operacional</v>
          </cell>
        </row>
        <row r="56">
          <cell r="A56" t="str">
            <v>7.1.18</v>
          </cell>
          <cell r="B56" t="str">
            <v>FRETES E CARRETOS</v>
          </cell>
          <cell r="C56" t="str">
            <v>Custo Variável</v>
          </cell>
          <cell r="D56" t="str">
            <v>Operacional</v>
          </cell>
        </row>
        <row r="57">
          <cell r="A57" t="str">
            <v>7.1.19</v>
          </cell>
          <cell r="B57" t="str">
            <v>MULTA POR EXCESSO DE PESO</v>
          </cell>
          <cell r="C57" t="str">
            <v>Custo Variável</v>
          </cell>
          <cell r="D57" t="str">
            <v>Não Operacional</v>
          </cell>
        </row>
        <row r="58">
          <cell r="A58" t="str">
            <v>7.1.2</v>
          </cell>
          <cell r="B58" t="str">
            <v>MANUTENÇÃO DE VEÍCULOS/MAQUINAS</v>
          </cell>
          <cell r="C58" t="str">
            <v>Custo Variável</v>
          </cell>
          <cell r="D58" t="str">
            <v>Operacional</v>
          </cell>
        </row>
        <row r="59">
          <cell r="A59" t="str">
            <v>7.1.20</v>
          </cell>
          <cell r="B59" t="str">
            <v>RASTREADOR MONITORAMENTO</v>
          </cell>
          <cell r="C59" t="str">
            <v>Custo Fixo</v>
          </cell>
          <cell r="D59" t="str">
            <v>Não Operacional</v>
          </cell>
        </row>
        <row r="60">
          <cell r="A60" t="str">
            <v>7.1.21</v>
          </cell>
          <cell r="B60" t="str">
            <v>LOCAÇÃO DE VEÍCULOS</v>
          </cell>
          <cell r="C60" t="str">
            <v>Custo Variável</v>
          </cell>
          <cell r="D60" t="str">
            <v>Não Operacional</v>
          </cell>
        </row>
        <row r="61">
          <cell r="A61" t="str">
            <v>7.1.3</v>
          </cell>
          <cell r="B61" t="str">
            <v>LOCAÇÃO DE EQUIPAMENTOS E FERRAMENTAS</v>
          </cell>
          <cell r="C61" t="str">
            <v>Custo Variável</v>
          </cell>
          <cell r="D61" t="str">
            <v>Operacional</v>
          </cell>
        </row>
        <row r="62">
          <cell r="A62" t="str">
            <v>7.1.4</v>
          </cell>
          <cell r="B62" t="str">
            <v>COMBUSTÍVEL - DIESEL</v>
          </cell>
          <cell r="C62" t="str">
            <v>Custo Variável</v>
          </cell>
          <cell r="D62" t="str">
            <v>Operacional</v>
          </cell>
        </row>
        <row r="63">
          <cell r="A63" t="str">
            <v>7.1.5</v>
          </cell>
          <cell r="B63" t="str">
            <v>COMBUSTÍVEL - GASOLINA E ETANOL</v>
          </cell>
          <cell r="C63" t="str">
            <v>Custo Variável</v>
          </cell>
          <cell r="D63" t="str">
            <v>Operacional</v>
          </cell>
        </row>
        <row r="64">
          <cell r="A64" t="str">
            <v>7.1.6</v>
          </cell>
          <cell r="B64" t="str">
            <v>TRANSPORTE DE SUCATA</v>
          </cell>
          <cell r="C64" t="str">
            <v>Custo Variável</v>
          </cell>
          <cell r="D64" t="str">
            <v>Operacional</v>
          </cell>
        </row>
        <row r="65">
          <cell r="A65" t="str">
            <v>7.1.7</v>
          </cell>
          <cell r="B65" t="str">
            <v>TRANSPORTE MANUTENÇÃO</v>
          </cell>
          <cell r="C65" t="str">
            <v>Custo Variável</v>
          </cell>
          <cell r="D65" t="str">
            <v>Operacional</v>
          </cell>
        </row>
        <row r="66">
          <cell r="A66" t="str">
            <v>7.1.8</v>
          </cell>
          <cell r="B66" t="str">
            <v>DESPESAS DE VIAGEM</v>
          </cell>
          <cell r="C66" t="str">
            <v>Custo Variável</v>
          </cell>
          <cell r="D66" t="str">
            <v>Não Operacional</v>
          </cell>
        </row>
        <row r="67">
          <cell r="A67" t="str">
            <v>7.1.9</v>
          </cell>
          <cell r="B67" t="str">
            <v xml:space="preserve">MULTAS DE TRANSITO </v>
          </cell>
          <cell r="C67" t="str">
            <v>Custo Variável</v>
          </cell>
          <cell r="D67" t="str">
            <v>Não Operacional</v>
          </cell>
        </row>
        <row r="68">
          <cell r="A68" t="str">
            <v>7.11.1</v>
          </cell>
          <cell r="B68" t="str">
            <v>OPERAÇÕES ENTRE EMPRESAS</v>
          </cell>
          <cell r="C68" t="str">
            <v>Custo Variável</v>
          </cell>
          <cell r="D68" t="str">
            <v>Operacional</v>
          </cell>
        </row>
        <row r="69">
          <cell r="A69" t="str">
            <v>7.11.2</v>
          </cell>
          <cell r="B69" t="str">
            <v>PAGAMENTOS PARA SÓCIOS (DISTRIB)</v>
          </cell>
          <cell r="C69" t="str">
            <v>Custo Variável</v>
          </cell>
          <cell r="D69" t="str">
            <v>Não Operacional</v>
          </cell>
        </row>
        <row r="70">
          <cell r="A70" t="str">
            <v>7.11.3</v>
          </cell>
          <cell r="B70" t="str">
            <v>AJUSTE COMPENSAÇÕES DE CHEQUES</v>
          </cell>
          <cell r="C70" t="str">
            <v>Custo Variável</v>
          </cell>
          <cell r="D70" t="str">
            <v>Não Operacional</v>
          </cell>
        </row>
        <row r="71">
          <cell r="A71" t="str">
            <v>7.11.4</v>
          </cell>
          <cell r="B71" t="str">
            <v>ACERTOS PARTICULARES</v>
          </cell>
          <cell r="C71" t="str">
            <v>Custo Variável</v>
          </cell>
          <cell r="D71" t="str">
            <v>Não Operacional</v>
          </cell>
        </row>
        <row r="72">
          <cell r="A72" t="str">
            <v>7.11.5</v>
          </cell>
          <cell r="B72" t="str">
            <v>RECARGAS</v>
          </cell>
          <cell r="C72" t="str">
            <v>Custo Variável</v>
          </cell>
          <cell r="D72" t="str">
            <v>Não Operacional</v>
          </cell>
        </row>
        <row r="73">
          <cell r="A73" t="str">
            <v>7.11.6</v>
          </cell>
          <cell r="B73" t="str">
            <v>DESPESAS GERAIS PARTICULAR</v>
          </cell>
          <cell r="C73" t="str">
            <v>Custo Variável</v>
          </cell>
          <cell r="D73" t="str">
            <v>Não Operacional</v>
          </cell>
        </row>
        <row r="74">
          <cell r="A74" t="str">
            <v>7.11.7</v>
          </cell>
          <cell r="B74" t="str">
            <v>EMPRESTIMOS</v>
          </cell>
          <cell r="C74" t="str">
            <v>Custo Fixo</v>
          </cell>
          <cell r="D74" t="str">
            <v>Não Operacional</v>
          </cell>
        </row>
        <row r="75">
          <cell r="A75" t="str">
            <v>7.12.1</v>
          </cell>
          <cell r="B75" t="str">
            <v>VARIACAO CAMBIAL PASSIVA</v>
          </cell>
          <cell r="C75" t="str">
            <v>Custo Variável</v>
          </cell>
          <cell r="D75" t="str">
            <v>Não Operacional</v>
          </cell>
        </row>
        <row r="76">
          <cell r="A76" t="str">
            <v>7.2.2</v>
          </cell>
          <cell r="B76" t="str">
            <v>COMISSÃO</v>
          </cell>
          <cell r="C76" t="str">
            <v>Custo Variável</v>
          </cell>
          <cell r="D76" t="str">
            <v>Não Operacional</v>
          </cell>
        </row>
        <row r="77">
          <cell r="A77" t="str">
            <v>7.2.3</v>
          </cell>
          <cell r="B77" t="str">
            <v>PRÊMIOS</v>
          </cell>
          <cell r="C77" t="str">
            <v>Custo Variável</v>
          </cell>
          <cell r="D77" t="str">
            <v>Não Operacional</v>
          </cell>
        </row>
        <row r="78">
          <cell r="A78" t="str">
            <v>7.2.4</v>
          </cell>
          <cell r="B78" t="str">
            <v>BRINDES</v>
          </cell>
          <cell r="C78" t="str">
            <v>Custo Variável</v>
          </cell>
          <cell r="D78" t="str">
            <v>Não Operacional</v>
          </cell>
        </row>
        <row r="79">
          <cell r="A79" t="str">
            <v>7.2.5</v>
          </cell>
          <cell r="B79" t="str">
            <v>PUBLICIDADE E PROPAGANDA</v>
          </cell>
          <cell r="C79" t="str">
            <v>Custo Variável</v>
          </cell>
          <cell r="D79" t="str">
            <v>Não Operacional</v>
          </cell>
        </row>
        <row r="80">
          <cell r="A80" t="str">
            <v>7.2.6</v>
          </cell>
          <cell r="B80" t="str">
            <v>EVENTOS ENDOMARKETING</v>
          </cell>
          <cell r="C80" t="str">
            <v>Custo Variável</v>
          </cell>
          <cell r="D80" t="str">
            <v>Não Operacional</v>
          </cell>
        </row>
        <row r="81">
          <cell r="A81" t="str">
            <v>7.3.1</v>
          </cell>
          <cell r="B81" t="str">
            <v>SALÁRIOS, 13°, FÉRIAS, DIÁRIAS E RESCISÃ</v>
          </cell>
          <cell r="C81" t="str">
            <v>Custo Fixo</v>
          </cell>
          <cell r="D81" t="str">
            <v>Salário</v>
          </cell>
        </row>
        <row r="82">
          <cell r="A82" t="str">
            <v>7.3.10</v>
          </cell>
          <cell r="B82" t="str">
            <v>TRANSPORTE DE COLABORADORES</v>
          </cell>
          <cell r="C82" t="str">
            <v>Custo Variável</v>
          </cell>
          <cell r="D82" t="str">
            <v>Não Operacional</v>
          </cell>
        </row>
        <row r="83">
          <cell r="A83" t="str">
            <v>7.3.11</v>
          </cell>
          <cell r="B83" t="str">
            <v>UNIFORMES</v>
          </cell>
          <cell r="C83" t="str">
            <v>Custo Variável</v>
          </cell>
          <cell r="D83" t="str">
            <v>Não Operacional</v>
          </cell>
        </row>
        <row r="84">
          <cell r="A84" t="str">
            <v>7.3.12</v>
          </cell>
          <cell r="B84" t="str">
            <v>PRO LABORE</v>
          </cell>
          <cell r="C84" t="str">
            <v>Custo Fixo</v>
          </cell>
          <cell r="D84" t="str">
            <v>Salário</v>
          </cell>
        </row>
        <row r="85">
          <cell r="A85" t="str">
            <v>7.3.13</v>
          </cell>
          <cell r="B85" t="str">
            <v>SINDICATOS</v>
          </cell>
          <cell r="C85" t="str">
            <v>Custo Variável</v>
          </cell>
          <cell r="D85" t="str">
            <v>Não Operacional</v>
          </cell>
        </row>
        <row r="86">
          <cell r="A86" t="str">
            <v>7.3.14</v>
          </cell>
          <cell r="B86" t="str">
            <v>TREINAMENTOS E DESENVOLVIMENTO</v>
          </cell>
          <cell r="C86" t="str">
            <v>Custo Variável</v>
          </cell>
          <cell r="D86" t="str">
            <v>Não Operacional</v>
          </cell>
        </row>
        <row r="87">
          <cell r="A87" t="str">
            <v>7.3.15</v>
          </cell>
          <cell r="B87" t="str">
            <v>SEGURO DE VIDA</v>
          </cell>
          <cell r="C87" t="str">
            <v>Custo Fixo</v>
          </cell>
          <cell r="D87" t="str">
            <v>Salário</v>
          </cell>
        </row>
        <row r="88">
          <cell r="A88" t="str">
            <v>7.3.16</v>
          </cell>
          <cell r="B88" t="str">
            <v>EMPRESTIMO CONSIGNADO</v>
          </cell>
          <cell r="C88" t="str">
            <v>Custo Fixo</v>
          </cell>
          <cell r="D88" t="str">
            <v>Salário</v>
          </cell>
        </row>
        <row r="89">
          <cell r="A89" t="str">
            <v>7.3.17</v>
          </cell>
          <cell r="B89" t="str">
            <v>CONVÊNIOS</v>
          </cell>
          <cell r="C89" t="str">
            <v>Custo Fixo</v>
          </cell>
          <cell r="D89" t="str">
            <v>Não Operacional</v>
          </cell>
        </row>
        <row r="90">
          <cell r="A90" t="str">
            <v>7.3.2</v>
          </cell>
          <cell r="B90" t="str">
            <v>FGTS</v>
          </cell>
          <cell r="C90" t="str">
            <v>Custo Variável</v>
          </cell>
          <cell r="D90" t="str">
            <v>Tributos</v>
          </cell>
        </row>
        <row r="91">
          <cell r="A91" t="str">
            <v>7.3.3</v>
          </cell>
          <cell r="B91" t="str">
            <v>INSS</v>
          </cell>
          <cell r="C91" t="str">
            <v>Custo Variável</v>
          </cell>
          <cell r="D91" t="str">
            <v>Tributos</v>
          </cell>
        </row>
        <row r="92">
          <cell r="A92" t="str">
            <v>7.3.4</v>
          </cell>
          <cell r="B92" t="str">
            <v>EXAMES MÉDICOS</v>
          </cell>
          <cell r="C92" t="str">
            <v>Custo Variável</v>
          </cell>
          <cell r="D92" t="str">
            <v>Não Operacional</v>
          </cell>
        </row>
        <row r="93">
          <cell r="A93" t="str">
            <v>7.3.5</v>
          </cell>
          <cell r="B93" t="str">
            <v>ALIMENTAÇÃO DO TRABALHADOR</v>
          </cell>
          <cell r="C93" t="str">
            <v>Custo Variável</v>
          </cell>
          <cell r="D93" t="str">
            <v>Não Operacional</v>
          </cell>
        </row>
        <row r="94">
          <cell r="A94" t="str">
            <v>7.3.6</v>
          </cell>
          <cell r="B94" t="str">
            <v>PLANO DE SAÚDE</v>
          </cell>
          <cell r="C94" t="str">
            <v>Custo Fixo</v>
          </cell>
          <cell r="D94" t="str">
            <v>Salário</v>
          </cell>
        </row>
        <row r="95">
          <cell r="A95" t="str">
            <v>7.3.7</v>
          </cell>
          <cell r="B95" t="str">
            <v>ALUGUEL DE FUNCIONÁRIO</v>
          </cell>
          <cell r="C95" t="str">
            <v>Custo Variável</v>
          </cell>
          <cell r="D95" t="str">
            <v>Não Operacional</v>
          </cell>
        </row>
        <row r="96">
          <cell r="A96" t="str">
            <v>7.3.8</v>
          </cell>
          <cell r="B96" t="str">
            <v>CESTA BÁSICA</v>
          </cell>
          <cell r="C96" t="str">
            <v>Custo Variável</v>
          </cell>
          <cell r="D96" t="str">
            <v>Não Operacional</v>
          </cell>
        </row>
        <row r="97">
          <cell r="A97" t="str">
            <v>7.3.9</v>
          </cell>
          <cell r="B97" t="str">
            <v>SEGURANÇA DO TRABALHO</v>
          </cell>
          <cell r="C97" t="str">
            <v>Custo Variável</v>
          </cell>
          <cell r="D97" t="str">
            <v>Operacional</v>
          </cell>
        </row>
        <row r="98">
          <cell r="A98" t="str">
            <v>7.4.1</v>
          </cell>
          <cell r="B98" t="str">
            <v>PIS</v>
          </cell>
          <cell r="C98" t="str">
            <v>Custo Variável</v>
          </cell>
          <cell r="D98" t="str">
            <v>Tributos</v>
          </cell>
        </row>
        <row r="99">
          <cell r="A99" t="str">
            <v>7.4.10</v>
          </cell>
          <cell r="B99" t="str">
            <v>ITCMD</v>
          </cell>
          <cell r="C99" t="str">
            <v>Custo Fixo</v>
          </cell>
          <cell r="D99" t="str">
            <v>Tributos</v>
          </cell>
        </row>
        <row r="100">
          <cell r="A100" t="str">
            <v>7.4.11</v>
          </cell>
          <cell r="B100" t="str">
            <v>IRPF</v>
          </cell>
          <cell r="C100" t="str">
            <v>Custo Fixo</v>
          </cell>
          <cell r="D100" t="str">
            <v>Tributos</v>
          </cell>
        </row>
        <row r="101">
          <cell r="A101" t="str">
            <v>7.4.12</v>
          </cell>
          <cell r="B101" t="str">
            <v>ICMS</v>
          </cell>
          <cell r="C101" t="str">
            <v>Custo Variável</v>
          </cell>
          <cell r="D101" t="str">
            <v>Tributos</v>
          </cell>
        </row>
        <row r="102">
          <cell r="A102" t="str">
            <v>7.4.13</v>
          </cell>
          <cell r="B102" t="str">
            <v>DASN</v>
          </cell>
          <cell r="C102" t="str">
            <v>Custo Fixo</v>
          </cell>
          <cell r="D102" t="str">
            <v>Tributos</v>
          </cell>
        </row>
        <row r="103">
          <cell r="A103" t="str">
            <v>7.4.2</v>
          </cell>
          <cell r="B103" t="str">
            <v>COFINS</v>
          </cell>
          <cell r="C103" t="str">
            <v>Custo Variável</v>
          </cell>
          <cell r="D103" t="str">
            <v>Tributos</v>
          </cell>
        </row>
        <row r="104">
          <cell r="A104" t="str">
            <v>7.4.3</v>
          </cell>
          <cell r="B104" t="str">
            <v>IRPJ</v>
          </cell>
          <cell r="C104" t="str">
            <v>Custo Variável</v>
          </cell>
          <cell r="D104" t="str">
            <v>Tributos</v>
          </cell>
        </row>
        <row r="105">
          <cell r="A105" t="str">
            <v>7.4.4</v>
          </cell>
          <cell r="B105" t="str">
            <v>CSLL</v>
          </cell>
          <cell r="C105" t="str">
            <v>Custo Variável</v>
          </cell>
          <cell r="D105" t="str">
            <v>Tributos</v>
          </cell>
        </row>
        <row r="106">
          <cell r="A106" t="str">
            <v>7.4.5</v>
          </cell>
          <cell r="B106" t="str">
            <v>ISS</v>
          </cell>
          <cell r="C106" t="str">
            <v>Custo Variável</v>
          </cell>
          <cell r="D106" t="str">
            <v>Tributos</v>
          </cell>
        </row>
        <row r="107">
          <cell r="A107" t="str">
            <v>7.4.6</v>
          </cell>
          <cell r="B107" t="str">
            <v>IRRF</v>
          </cell>
          <cell r="C107" t="str">
            <v>Custo Variável</v>
          </cell>
          <cell r="D107" t="str">
            <v>Tributos</v>
          </cell>
        </row>
        <row r="108">
          <cell r="A108" t="str">
            <v>7.4.7</v>
          </cell>
          <cell r="B108" t="str">
            <v>CSRF</v>
          </cell>
          <cell r="C108" t="str">
            <v>Custo Variável</v>
          </cell>
          <cell r="D108" t="str">
            <v>Tributos</v>
          </cell>
        </row>
        <row r="109">
          <cell r="A109" t="str">
            <v>7.4.8</v>
          </cell>
          <cell r="B109" t="str">
            <v>IOF</v>
          </cell>
          <cell r="C109" t="str">
            <v>Custo Variável</v>
          </cell>
          <cell r="D109" t="str">
            <v>Tributos</v>
          </cell>
        </row>
        <row r="110">
          <cell r="A110" t="str">
            <v>7.4.9</v>
          </cell>
          <cell r="B110" t="str">
            <v>DIFAL</v>
          </cell>
          <cell r="C110" t="str">
            <v>Custo Variável</v>
          </cell>
          <cell r="D110" t="str">
            <v>Tributos</v>
          </cell>
        </row>
        <row r="111">
          <cell r="A111" t="str">
            <v>7.5.1</v>
          </cell>
          <cell r="B111" t="str">
            <v>ÁGUA E ESGOTO</v>
          </cell>
          <cell r="C111" t="str">
            <v>Custo Fixo</v>
          </cell>
          <cell r="D111" t="str">
            <v>Custo Administrativo</v>
          </cell>
        </row>
        <row r="112">
          <cell r="A112" t="str">
            <v>7.5.10</v>
          </cell>
          <cell r="B112" t="str">
            <v>SEGURANÇA E VIGILÂNCIA</v>
          </cell>
          <cell r="C112" t="str">
            <v>Custo Fixo</v>
          </cell>
          <cell r="D112" t="str">
            <v>Custo Administrativo</v>
          </cell>
        </row>
        <row r="113">
          <cell r="A113" t="str">
            <v>7.5.11</v>
          </cell>
          <cell r="B113" t="str">
            <v>CORREIOS</v>
          </cell>
          <cell r="C113" t="str">
            <v>Custo Variável</v>
          </cell>
          <cell r="D113" t="str">
            <v>Não Operacional</v>
          </cell>
        </row>
        <row r="114">
          <cell r="A114" t="str">
            <v>7.5.13</v>
          </cell>
          <cell r="B114" t="str">
            <v>SEGUROS</v>
          </cell>
          <cell r="C114" t="str">
            <v>Custo Fixo</v>
          </cell>
          <cell r="D114" t="str">
            <v>Custo Administrativo</v>
          </cell>
        </row>
        <row r="115">
          <cell r="A115" t="str">
            <v>7.5.15</v>
          </cell>
          <cell r="B115" t="str">
            <v>RAÇÃO</v>
          </cell>
          <cell r="C115" t="str">
            <v>Custo Variável</v>
          </cell>
          <cell r="D115" t="str">
            <v>Não Operacional</v>
          </cell>
        </row>
        <row r="116">
          <cell r="A116" t="str">
            <v>7.5.16</v>
          </cell>
          <cell r="B116" t="str">
            <v>ALARME E MONITORAMENTO</v>
          </cell>
          <cell r="C116" t="str">
            <v>Custo Fixo</v>
          </cell>
          <cell r="D116" t="str">
            <v>Custo Administrativo</v>
          </cell>
        </row>
        <row r="117">
          <cell r="A117" t="str">
            <v>7.5.17</v>
          </cell>
          <cell r="B117" t="str">
            <v>TAXAS</v>
          </cell>
          <cell r="C117" t="str">
            <v>Custo Variável</v>
          </cell>
          <cell r="D117" t="str">
            <v>Tributos</v>
          </cell>
        </row>
        <row r="118">
          <cell r="A118" t="str">
            <v>7.5.18</v>
          </cell>
          <cell r="B118" t="str">
            <v>SISTEMAS</v>
          </cell>
          <cell r="C118" t="str">
            <v>Custo Fixo</v>
          </cell>
          <cell r="D118" t="str">
            <v>Custo Administrativo</v>
          </cell>
        </row>
        <row r="119">
          <cell r="A119" t="str">
            <v>7.5.19</v>
          </cell>
          <cell r="B119" t="str">
            <v>ENTIDADES E ASSOCIAÇÕES</v>
          </cell>
          <cell r="C119" t="str">
            <v>Custo Variável</v>
          </cell>
          <cell r="D119" t="str">
            <v>Não Operacional</v>
          </cell>
        </row>
        <row r="120">
          <cell r="A120" t="str">
            <v>7.5.2</v>
          </cell>
          <cell r="B120" t="str">
            <v>ENERGIA ELÉTRICA</v>
          </cell>
          <cell r="C120" t="str">
            <v>Custo Fixo</v>
          </cell>
          <cell r="D120" t="str">
            <v>Custo Administrativo</v>
          </cell>
        </row>
        <row r="121">
          <cell r="A121" t="str">
            <v>7.5.20</v>
          </cell>
          <cell r="B121" t="str">
            <v>INTERNET</v>
          </cell>
          <cell r="C121" t="str">
            <v>Custo Fixo</v>
          </cell>
          <cell r="D121" t="str">
            <v>Custo Administrativo</v>
          </cell>
        </row>
        <row r="122">
          <cell r="A122" t="str">
            <v>7.5.21</v>
          </cell>
          <cell r="B122" t="str">
            <v>MATERIAL DE INFORMÁTICA</v>
          </cell>
          <cell r="C122" t="str">
            <v>Custo Variável</v>
          </cell>
          <cell r="D122" t="str">
            <v>Não Operacional</v>
          </cell>
        </row>
        <row r="123">
          <cell r="A123" t="str">
            <v>7.5.22</v>
          </cell>
          <cell r="B123" t="str">
            <v>DESPESAS BANCARIAS</v>
          </cell>
          <cell r="C123" t="str">
            <v>Custo Variável</v>
          </cell>
          <cell r="D123" t="str">
            <v>Não Operacional</v>
          </cell>
        </row>
        <row r="124">
          <cell r="A124" t="str">
            <v>7.5.23</v>
          </cell>
          <cell r="B124" t="str">
            <v>JUROS E MULTAS</v>
          </cell>
          <cell r="C124" t="str">
            <v>Custo Variável</v>
          </cell>
          <cell r="D124" t="str">
            <v>Não Operacional</v>
          </cell>
        </row>
        <row r="125">
          <cell r="A125" t="str">
            <v>7.5.24</v>
          </cell>
          <cell r="B125" t="str">
            <v>DESCONTOS CONCEDIDOS</v>
          </cell>
          <cell r="C125" t="str">
            <v>Custo Variável</v>
          </cell>
          <cell r="D125" t="str">
            <v>Não Operacional</v>
          </cell>
        </row>
        <row r="126">
          <cell r="A126" t="str">
            <v>7.5.25</v>
          </cell>
          <cell r="B126" t="str">
            <v>DESPESA DE CARTÓRIO</v>
          </cell>
          <cell r="C126" t="str">
            <v>Custo Variável</v>
          </cell>
          <cell r="D126" t="str">
            <v>Não Operacional</v>
          </cell>
        </row>
        <row r="127">
          <cell r="A127" t="str">
            <v>7.5.26</v>
          </cell>
          <cell r="B127" t="str">
            <v>DESPESAS SOCIAIS E DOAÇÕES</v>
          </cell>
          <cell r="C127" t="str">
            <v>Custo Variável</v>
          </cell>
          <cell r="D127" t="str">
            <v>Não Operacional</v>
          </cell>
        </row>
        <row r="128">
          <cell r="A128" t="str">
            <v>7.5.27</v>
          </cell>
          <cell r="B128" t="str">
            <v>MATERIAL DE COPA/COZINHA</v>
          </cell>
          <cell r="C128" t="str">
            <v>Custo Variável</v>
          </cell>
          <cell r="D128" t="str">
            <v>Não Operacional</v>
          </cell>
        </row>
        <row r="129">
          <cell r="A129" t="str">
            <v>7.5.28</v>
          </cell>
          <cell r="B129" t="str">
            <v>SERVIÇO DE LIMPEZA DO ESCRITÓRIO</v>
          </cell>
          <cell r="C129" t="str">
            <v>Custo Fixo</v>
          </cell>
          <cell r="D129" t="str">
            <v>Custo Administrativo</v>
          </cell>
        </row>
        <row r="130">
          <cell r="A130" t="str">
            <v>7.5.29</v>
          </cell>
          <cell r="B130" t="str">
            <v>LANCHES</v>
          </cell>
          <cell r="C130" t="str">
            <v>Custo Variável</v>
          </cell>
          <cell r="D130" t="str">
            <v>Não Operacional</v>
          </cell>
        </row>
        <row r="131">
          <cell r="A131" t="str">
            <v>7.5.3</v>
          </cell>
          <cell r="B131" t="str">
            <v>TELECOMUNICAÇÕES</v>
          </cell>
          <cell r="C131" t="str">
            <v>Custo Fixo</v>
          </cell>
          <cell r="D131" t="str">
            <v>Custo Administrativo</v>
          </cell>
        </row>
        <row r="132">
          <cell r="A132" t="str">
            <v>7.5.30</v>
          </cell>
          <cell r="B132" t="str">
            <v>HOMOLOGAÇÃO PGTOS ELETRONICOS</v>
          </cell>
          <cell r="C132" t="str">
            <v>Custo Variável</v>
          </cell>
          <cell r="D132" t="str">
            <v>Não Operacional</v>
          </cell>
        </row>
        <row r="133">
          <cell r="A133" t="str">
            <v>7.5.31</v>
          </cell>
          <cell r="B133" t="str">
            <v>ALUGUEL ADMINISTRATIVO</v>
          </cell>
          <cell r="C133" t="str">
            <v>Custo Fixo</v>
          </cell>
          <cell r="D133" t="str">
            <v>Custo Administrativo</v>
          </cell>
        </row>
        <row r="134">
          <cell r="A134" t="str">
            <v>7.5.32</v>
          </cell>
          <cell r="B134" t="str">
            <v>TAXAS E LICENÇAS</v>
          </cell>
          <cell r="C134" t="str">
            <v>Custo Variável</v>
          </cell>
          <cell r="D134" t="str">
            <v>Não Operacional</v>
          </cell>
        </row>
        <row r="135">
          <cell r="A135" t="str">
            <v>7.5.33</v>
          </cell>
          <cell r="B135" t="str">
            <v>ALUGUEL VAGA GARAGEM</v>
          </cell>
          <cell r="C135" t="str">
            <v>Custo Fixo</v>
          </cell>
          <cell r="D135" t="str">
            <v>Não Operacional</v>
          </cell>
        </row>
        <row r="136">
          <cell r="A136" t="str">
            <v>7.5.34</v>
          </cell>
          <cell r="B136" t="str">
            <v>MOVEIS E ELETRODOMESTICOS</v>
          </cell>
          <cell r="C136" t="str">
            <v>Custo Variável</v>
          </cell>
          <cell r="D136" t="str">
            <v>Não Operacional</v>
          </cell>
        </row>
        <row r="137">
          <cell r="A137" t="str">
            <v>7.5.4</v>
          </cell>
          <cell r="B137" t="str">
            <v>MATERIAL DE LIMPEZA E HIGIENE</v>
          </cell>
          <cell r="C137" t="str">
            <v>Custo Variável</v>
          </cell>
          <cell r="D137" t="str">
            <v>Não Operacional</v>
          </cell>
        </row>
        <row r="138">
          <cell r="A138" t="str">
            <v>7.5.5</v>
          </cell>
          <cell r="B138" t="str">
            <v>MATERIAL DE ESCRITÓRIO</v>
          </cell>
          <cell r="C138" t="str">
            <v>Custo Variável</v>
          </cell>
          <cell r="D138" t="str">
            <v>Não Operacional</v>
          </cell>
        </row>
        <row r="139">
          <cell r="A139" t="str">
            <v>7.5.6</v>
          </cell>
          <cell r="B139" t="str">
            <v>MANUTENÇÕES E REPAROS - ESTRUTURA ADMINISTRATIVA</v>
          </cell>
          <cell r="C139" t="str">
            <v>Custo Variável</v>
          </cell>
          <cell r="D139" t="str">
            <v>Não Operacional</v>
          </cell>
        </row>
        <row r="140">
          <cell r="A140" t="str">
            <v>7.5.7</v>
          </cell>
          <cell r="B140" t="str">
            <v>HONORÁRIOS CONTÁBEIS</v>
          </cell>
          <cell r="C140" t="str">
            <v>Custo Variável</v>
          </cell>
          <cell r="D140" t="str">
            <v>Não Operacional</v>
          </cell>
        </row>
        <row r="141">
          <cell r="A141" t="str">
            <v>7.5.8</v>
          </cell>
          <cell r="B141" t="str">
            <v>HONORÁRIOS ADVOCATÍCIOS</v>
          </cell>
          <cell r="C141" t="str">
            <v>Custo Variável</v>
          </cell>
          <cell r="D141" t="str">
            <v>Não Operacional</v>
          </cell>
        </row>
        <row r="142">
          <cell r="A142" t="str">
            <v>7.5.9</v>
          </cell>
          <cell r="B142" t="str">
            <v>CONSULTORIA</v>
          </cell>
          <cell r="C142" t="str">
            <v>Custo Variável</v>
          </cell>
          <cell r="D142" t="str">
            <v>Não Operacional</v>
          </cell>
        </row>
        <row r="143">
          <cell r="A143" t="str">
            <v>7.6.1</v>
          </cell>
          <cell r="B143" t="str">
            <v>GÁS - GLP/ACETILENO/OXIGENIO</v>
          </cell>
          <cell r="C143" t="str">
            <v>Custo Variável</v>
          </cell>
          <cell r="D143" t="str">
            <v>Não Operacional</v>
          </cell>
        </row>
        <row r="144">
          <cell r="A144" t="str">
            <v>7.6.2</v>
          </cell>
          <cell r="B144" t="str">
            <v>FERRAMENTAS</v>
          </cell>
          <cell r="C144" t="str">
            <v>Custo Variável</v>
          </cell>
          <cell r="D144" t="str">
            <v>Operacional</v>
          </cell>
        </row>
        <row r="145">
          <cell r="A145" t="str">
            <v>7.6.3</v>
          </cell>
          <cell r="B145" t="str">
            <v>MANUTENÇÃO PATIO</v>
          </cell>
          <cell r="C145" t="str">
            <v>Custo Variável</v>
          </cell>
          <cell r="D145" t="str">
            <v>Operacional</v>
          </cell>
        </row>
        <row r="146">
          <cell r="A146" t="str">
            <v>7.6.4</v>
          </cell>
          <cell r="B146" t="str">
            <v>ALUGUEL PATIO</v>
          </cell>
          <cell r="C146" t="str">
            <v>Custo Fixo</v>
          </cell>
          <cell r="D146" t="str">
            <v>Operacional</v>
          </cell>
        </row>
        <row r="147">
          <cell r="A147" t="str">
            <v>7.6.5</v>
          </cell>
          <cell r="B147" t="str">
            <v>IPTU PATIO</v>
          </cell>
          <cell r="C147" t="str">
            <v>Custo Fixo</v>
          </cell>
          <cell r="D147" t="str">
            <v>Tributos</v>
          </cell>
        </row>
        <row r="148">
          <cell r="A148" t="str">
            <v>7.7.1</v>
          </cell>
          <cell r="B148" t="str">
            <v>SERVIÇOS CONTRATADOS</v>
          </cell>
          <cell r="C148" t="str">
            <v>Custo Variável</v>
          </cell>
          <cell r="D148" t="str">
            <v>Não Operacional</v>
          </cell>
        </row>
        <row r="149">
          <cell r="A149" t="str">
            <v>7.7.2</v>
          </cell>
          <cell r="B149" t="str">
            <v>MATERIAL PARA REFORMA</v>
          </cell>
          <cell r="C149" t="str">
            <v>Custo Variável</v>
          </cell>
          <cell r="D149" t="str">
            <v>Não Operacional</v>
          </cell>
        </row>
        <row r="150">
          <cell r="A150" t="str">
            <v>7.8.1</v>
          </cell>
          <cell r="B150" t="str">
            <v>ADIANTAMENTO A CREDOR</v>
          </cell>
          <cell r="C150" t="str">
            <v>Custo Variável</v>
          </cell>
          <cell r="D150" t="str">
            <v>Não Operacional</v>
          </cell>
        </row>
        <row r="151">
          <cell r="A151" t="str">
            <v>7.8.2</v>
          </cell>
          <cell r="B151" t="str">
            <v>DEVOLUÇÃO DE ADIANTAMENTO A CREDOR</v>
          </cell>
          <cell r="C151" t="str">
            <v>Outros</v>
          </cell>
          <cell r="D151" t="str">
            <v>Outros</v>
          </cell>
        </row>
        <row r="152">
          <cell r="A152" t="str">
            <v>7.9.1</v>
          </cell>
          <cell r="B152" t="str">
            <v>DEVOLUÇÃO A CREDOR</v>
          </cell>
          <cell r="C152" t="str">
            <v>Custo Variável</v>
          </cell>
          <cell r="D152" t="str">
            <v>Não Operacional</v>
          </cell>
        </row>
        <row r="153">
          <cell r="A153" t="str">
            <v>8.1.1</v>
          </cell>
          <cell r="B153" t="str">
            <v>VEÍCULOS</v>
          </cell>
          <cell r="C153" t="str">
            <v>Custo Variável</v>
          </cell>
          <cell r="D153" t="str">
            <v>Não Operacional</v>
          </cell>
        </row>
        <row r="154">
          <cell r="A154" t="str">
            <v>8.1.2</v>
          </cell>
          <cell r="B154" t="str">
            <v>MAQUINAS E EQUIPAMENTOS</v>
          </cell>
          <cell r="C154" t="str">
            <v>Custo Variável</v>
          </cell>
          <cell r="D154" t="str">
            <v>Operacional</v>
          </cell>
        </row>
        <row r="155">
          <cell r="A155" t="str">
            <v>8.1.3</v>
          </cell>
          <cell r="B155" t="str">
            <v>MÓVEIS</v>
          </cell>
          <cell r="C155" t="str">
            <v>Custo Variável</v>
          </cell>
          <cell r="D155" t="str">
            <v>Não Operacional</v>
          </cell>
        </row>
        <row r="156">
          <cell r="A156" t="str">
            <v>8.1.4</v>
          </cell>
          <cell r="B156" t="str">
            <v>COMPUTADORES E PERIFERICOS</v>
          </cell>
          <cell r="C156" t="str">
            <v>Custo Variável</v>
          </cell>
          <cell r="D156" t="str">
            <v>Não Operacional</v>
          </cell>
        </row>
        <row r="157">
          <cell r="A157" t="str">
            <v>8.1.5</v>
          </cell>
          <cell r="B157" t="str">
            <v>INSTALAÇÕES</v>
          </cell>
          <cell r="C157" t="str">
            <v>Custo Variável</v>
          </cell>
          <cell r="D157" t="str">
            <v>Não Operacional</v>
          </cell>
        </row>
        <row r="158">
          <cell r="A158" t="str">
            <v>8.1.6</v>
          </cell>
          <cell r="B158" t="str">
            <v>ELETRÔNICOS</v>
          </cell>
          <cell r="C158" t="str">
            <v>Custo Variável</v>
          </cell>
          <cell r="D158" t="str">
            <v>Não Operacional</v>
          </cell>
        </row>
        <row r="159">
          <cell r="A159" t="str">
            <v>8.2.1</v>
          </cell>
          <cell r="B159" t="str">
            <v>RESIDENCIAL</v>
          </cell>
          <cell r="C159" t="str">
            <v>Custo Variável</v>
          </cell>
          <cell r="D159" t="str">
            <v>Não Operacional</v>
          </cell>
        </row>
        <row r="160">
          <cell r="A160" t="str">
            <v>8.2.2</v>
          </cell>
          <cell r="B160" t="str">
            <v>COMERCIAL</v>
          </cell>
          <cell r="C160" t="str">
            <v>Custo Variável</v>
          </cell>
          <cell r="D160" t="str">
            <v>Não Operacional</v>
          </cell>
        </row>
        <row r="161">
          <cell r="A161" t="str">
            <v>8.2.3</v>
          </cell>
          <cell r="B161" t="str">
            <v>TERRENO SEM CONSTRUÇÃO</v>
          </cell>
          <cell r="C161" t="str">
            <v>Custo Variável</v>
          </cell>
          <cell r="D161" t="str">
            <v>Não Operacional</v>
          </cell>
        </row>
        <row r="162">
          <cell r="A162" t="str">
            <v>8.3.1</v>
          </cell>
          <cell r="B162" t="str">
            <v>ITBI</v>
          </cell>
          <cell r="C162" t="str">
            <v>Custo Fixo</v>
          </cell>
          <cell r="D162" t="str">
            <v>Tributos</v>
          </cell>
        </row>
        <row r="163">
          <cell r="A163" t="str">
            <v>8.3.2</v>
          </cell>
          <cell r="B163" t="str">
            <v>ESCRITURA</v>
          </cell>
          <cell r="C163" t="str">
            <v>Custo Variável</v>
          </cell>
          <cell r="D163" t="str">
            <v>Não Operacional</v>
          </cell>
        </row>
        <row r="164">
          <cell r="A164" t="str">
            <v>8.3.3</v>
          </cell>
          <cell r="B164" t="str">
            <v>REGISTRO</v>
          </cell>
          <cell r="C164" t="str">
            <v>Custo Variável</v>
          </cell>
          <cell r="D164" t="str">
            <v>Não Operacional</v>
          </cell>
        </row>
        <row r="165">
          <cell r="A165" t="str">
            <v>8.3.4</v>
          </cell>
          <cell r="B165" t="str">
            <v>COMISSÃO DE CORRETORES</v>
          </cell>
          <cell r="C165" t="str">
            <v>Custo Variável</v>
          </cell>
          <cell r="D165" t="str">
            <v>Não Operacional</v>
          </cell>
        </row>
        <row r="166">
          <cell r="A166" t="str">
            <v>8.4</v>
          </cell>
          <cell r="B166" t="str">
            <v>CONSORCIO</v>
          </cell>
          <cell r="C166" t="str">
            <v>Custo Variável</v>
          </cell>
          <cell r="D166" t="str">
            <v>Não Operacional</v>
          </cell>
        </row>
        <row r="167">
          <cell r="A167" t="str">
            <v>9.2.1</v>
          </cell>
          <cell r="B167" t="str">
            <v>IPTU</v>
          </cell>
          <cell r="C167" t="str">
            <v>Custo Fixo</v>
          </cell>
          <cell r="D167" t="str">
            <v>Tributos</v>
          </cell>
        </row>
        <row r="168">
          <cell r="A168" t="str">
            <v>9.2.2</v>
          </cell>
          <cell r="B168" t="str">
            <v>ITR</v>
          </cell>
          <cell r="C168" t="str">
            <v>Custo Fixo</v>
          </cell>
          <cell r="D168" t="str">
            <v>Tributos</v>
          </cell>
        </row>
        <row r="169">
          <cell r="A169" t="str">
            <v>9.2.3</v>
          </cell>
          <cell r="B169" t="str">
            <v>ENGENHEIROS E ARQUITETOS</v>
          </cell>
          <cell r="C169" t="str">
            <v>Custo Variável</v>
          </cell>
          <cell r="D169" t="str">
            <v>Não Operacional</v>
          </cell>
        </row>
        <row r="170">
          <cell r="A170" t="str">
            <v>9.2.4</v>
          </cell>
          <cell r="B170" t="str">
            <v>TOPOGRAFIA</v>
          </cell>
          <cell r="C170" t="str">
            <v>Custo Variável</v>
          </cell>
          <cell r="D170" t="str">
            <v>Não Operacional</v>
          </cell>
        </row>
        <row r="171">
          <cell r="A171" t="str">
            <v>9.2.5</v>
          </cell>
          <cell r="B171" t="str">
            <v>TAXA DE ADMINISTRACAO DE IMOVEIS</v>
          </cell>
          <cell r="C171" t="str">
            <v>Custo Variável</v>
          </cell>
          <cell r="D171" t="str">
            <v>Não Operacional</v>
          </cell>
        </row>
        <row r="172">
          <cell r="A172" t="str">
            <v>9.2.6</v>
          </cell>
          <cell r="B172" t="str">
            <v>CONDOMINIO</v>
          </cell>
          <cell r="C172" t="str">
            <v>Custo Fixo</v>
          </cell>
          <cell r="D172" t="str">
            <v>Não Operacional</v>
          </cell>
        </row>
        <row r="173">
          <cell r="A173" t="str">
            <v>9.2.7</v>
          </cell>
          <cell r="B173" t="str">
            <v>OUTROS PRESTADORES DE SERVIÇOS</v>
          </cell>
          <cell r="C173" t="str">
            <v>Custo Variável</v>
          </cell>
          <cell r="D173" t="str">
            <v>Não Operacional</v>
          </cell>
        </row>
        <row r="174">
          <cell r="A174" t="str">
            <v>9.2.8</v>
          </cell>
          <cell r="B174" t="str">
            <v>DESPESAS COM IMÓVEIS DESOCUPADOS</v>
          </cell>
          <cell r="C174" t="str">
            <v>Custo Variável</v>
          </cell>
          <cell r="D174" t="str">
            <v>Não Operacional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ciano Faria" id="{4CC53136-181B-434E-ACCB-6B05CAB56A23}" userId="luciano.faria@pilares.adm.br" providerId="PeoplePicker"/>
  <person displayName="Luciano Faria" id="{485F9116-CFC0-47CC-B340-DB0272243B4D}" userId="S::luciano.faria@pilares.adm.br::35a23d0e-8c4b-4e16-9e00-2967167d731e" providerId="AD"/>
  <person displayName="Cristina Sugui" id="{0DEFABD4-B2DB-42C9-A8C6-0967E47B44A5}" userId="S::cristina.sugui@seletiva.ind.br::3adf00f0-444e-4e80-95b8-4fe658f29ff9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88" dT="2024-02-29T18:51:15.51" personId="{0DEFABD4-B2DB-42C9-A8C6-0967E47B44A5}" id="{181219F1-1931-47B6-9BDD-2FD80DE981ED}" done="1">
    <text>@Luciano Faria Verificar este lancamento e o ID 33620 de 5.500,00 e 6.900,00 respectiviamente, vi que é de Joinvile, mas é parcelado.</text>
    <mentions>
      <mention mentionpersonId="{4CC53136-181B-434E-ACCB-6B05CAB56A23}" mentionId="{0453E8AC-6316-4185-B5BE-A9BD39F3CB13}" startIndex="0" length="14"/>
    </mentions>
  </threadedComment>
  <threadedComment ref="Z188" dT="2024-02-29T19:51:56.14" personId="{485F9116-CFC0-47CC-B340-DB0272243B4D}" id="{C52D1FE8-B209-46D7-B397-9AB0EFBD67BD}" parentId="{181219F1-1931-47B6-9BDD-2FD80DE981ED}">
    <text>Ajustado lançamento! Aluguel de funcionário - 05 parcelas</text>
  </threadedComment>
  <threadedComment ref="Z196" dT="2024-02-29T18:51:15.51" personId="{0DEFABD4-B2DB-42C9-A8C6-0967E47B44A5}" id="{1608BAB1-8CF2-4477-9780-4DD8EA9382B7}" done="1">
    <text>@Luciano Faria Verificar este lancamento e o ID 33620 de 5.500,00 e 6.900,00 respectiviamente, vi que é de Joinvile, mas é parcelado.</text>
    <mentions>
      <mention mentionpersonId="{4CC53136-181B-434E-ACCB-6B05CAB56A23}" mentionId="{E63D0379-6ACF-4137-96DA-8FA9B135AE0F}" startIndex="0" length="14"/>
    </mentions>
  </threadedComment>
  <threadedComment ref="Z198" dT="2024-02-29T18:51:15.51" personId="{0DEFABD4-B2DB-42C9-A8C6-0967E47B44A5}" id="{C20B8D87-5470-482E-A0EB-937534F41A40}" done="1">
    <text>@Luciano Faria Verificar este lancamento e o ID 33620 de 5.500,00 e 6.900,00 respectiviamente, vi que é de Joinvile, mas é parcelado.</text>
    <mentions>
      <mention mentionpersonId="{4CC53136-181B-434E-ACCB-6B05CAB56A23}" mentionId="{BAE0FA86-32A7-4A2C-B901-46B36709E8FE}" startIndex="0" length="14"/>
    </mentions>
  </threadedComment>
  <threadedComment ref="Z367" dT="2024-03-27T20:47:37.06" personId="{0DEFABD4-B2DB-42C9-A8C6-0967E47B44A5}" id="{39365A74-B1A4-4971-BECA-7F3EF5F12226}" done="1">
    <text>@Luciano Faria Verificar se consegue identificar qual colaborador</text>
    <mentions>
      <mention mentionpersonId="{4CC53136-181B-434E-ACCB-6B05CAB56A23}" mentionId="{4F04249F-85A4-4F72-8ED3-CE9B4540D6D1}" startIndex="0" length="14"/>
    </mentions>
  </threadedComment>
  <threadedComment ref="Z377" dT="2024-02-29T18:51:15.51" personId="{0DEFABD4-B2DB-42C9-A8C6-0967E47B44A5}" id="{901C7999-5EE9-4006-8660-67F0D351A932}" done="1">
    <text>@Luciano Faria Verificar este lancamento e o ID 33620 de 5.500,00 e 6.900,00 respectiviamente, vi que é de Joinvile, mas é parcelado.</text>
    <mentions>
      <mention mentionpersonId="{4CC53136-181B-434E-ACCB-6B05CAB56A23}" mentionId="{DF23D784-6DCB-478C-9F16-54CC3147FF0D}" startIndex="0" length="14"/>
    </mentions>
  </threadedComment>
  <threadedComment ref="Z384" dT="2024-02-29T18:51:15.51" personId="{0DEFABD4-B2DB-42C9-A8C6-0967E47B44A5}" id="{B428054B-3CA8-44DF-8D04-91DCA5E4F273}" done="1">
    <text>@Luciano Faria Verificar este lancamento e o ID 33620 de 5.500,00 e 6.900,00 respectiviamente, vi que é de Joinvile, mas é parcelado.</text>
    <mentions>
      <mention mentionpersonId="{4CC53136-181B-434E-ACCB-6B05CAB56A23}" mentionId="{971C0C7C-8A37-498E-B783-5AA64B47D847}" startIndex="0" length="14"/>
    </mentions>
  </threadedComment>
  <threadedComment ref="Z394" dT="2024-03-27T21:05:39.96" personId="{0DEFABD4-B2DB-42C9-A8C6-0967E47B44A5}" id="{5ED51396-18B7-42A0-A18A-CEA2CC19DD2C}" done="1">
    <text>@Luciano Faria identificar placa</text>
    <mentions>
      <mention mentionpersonId="{4CC53136-181B-434E-ACCB-6B05CAB56A23}" mentionId="{FBEF3759-6830-4581-9ED3-D188C1BD390A}" startIndex="0" length="1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B624-D6CA-47AD-878D-12BCECCDD6F3}">
  <dimension ref="A1:AJ545"/>
  <sheetViews>
    <sheetView workbookViewId="0">
      <selection activeCell="M5" sqref="M5"/>
    </sheetView>
  </sheetViews>
  <sheetFormatPr defaultRowHeight="15" x14ac:dyDescent="0.25"/>
  <cols>
    <col min="13" max="13" width="36.28515625" bestFit="1" customWidth="1"/>
    <col min="18" max="18" width="9.140625" customWidth="1"/>
    <col min="19" max="19" width="15.28515625" customWidth="1"/>
    <col min="21" max="21" width="10.42578125" bestFit="1" customWidth="1"/>
  </cols>
  <sheetData>
    <row r="1" spans="1:36" s="161" customFormat="1" x14ac:dyDescent="0.25">
      <c r="A1" s="146" t="s">
        <v>0</v>
      </c>
      <c r="B1" s="90" t="s">
        <v>1</v>
      </c>
      <c r="C1" s="91" t="s">
        <v>2</v>
      </c>
      <c r="D1" s="92" t="s">
        <v>3</v>
      </c>
      <c r="E1" s="93" t="s">
        <v>4</v>
      </c>
      <c r="F1" s="94" t="s">
        <v>5</v>
      </c>
      <c r="G1" s="95" t="s">
        <v>6</v>
      </c>
      <c r="H1" s="93" t="s">
        <v>7</v>
      </c>
      <c r="I1" s="94" t="s">
        <v>8</v>
      </c>
      <c r="J1" s="96" t="s">
        <v>9</v>
      </c>
      <c r="K1" s="97" t="s">
        <v>10</v>
      </c>
      <c r="L1" s="147" t="s">
        <v>14</v>
      </c>
      <c r="M1" s="148" t="s">
        <v>15</v>
      </c>
      <c r="N1" s="149" t="s">
        <v>16</v>
      </c>
      <c r="O1" s="150" t="s">
        <v>17</v>
      </c>
      <c r="P1" s="102" t="s">
        <v>18</v>
      </c>
      <c r="Q1" s="151" t="s">
        <v>19</v>
      </c>
      <c r="R1" s="151" t="s">
        <v>20</v>
      </c>
      <c r="S1" s="104" t="s">
        <v>21</v>
      </c>
      <c r="T1" s="152" t="s">
        <v>902</v>
      </c>
      <c r="U1" s="153" t="s">
        <v>23</v>
      </c>
      <c r="V1" s="154" t="s">
        <v>24</v>
      </c>
      <c r="W1" s="155" t="s">
        <v>25</v>
      </c>
      <c r="X1" s="156" t="s">
        <v>26</v>
      </c>
      <c r="Y1" s="157" t="s">
        <v>27</v>
      </c>
      <c r="Z1" s="150" t="s">
        <v>28</v>
      </c>
      <c r="AA1" s="150" t="s">
        <v>29</v>
      </c>
      <c r="AB1" s="158" t="s">
        <v>903</v>
      </c>
      <c r="AC1" s="159" t="s">
        <v>904</v>
      </c>
      <c r="AD1" s="158" t="s">
        <v>905</v>
      </c>
      <c r="AE1" s="158" t="s">
        <v>906</v>
      </c>
      <c r="AF1" s="158" t="s">
        <v>907</v>
      </c>
      <c r="AG1" s="158" t="s">
        <v>908</v>
      </c>
      <c r="AH1" s="113" t="s">
        <v>30</v>
      </c>
      <c r="AI1" s="160" t="s">
        <v>31</v>
      </c>
      <c r="AJ1" s="160" t="s">
        <v>32</v>
      </c>
    </row>
    <row r="2" spans="1:36" ht="15.75" x14ac:dyDescent="0.25">
      <c r="A2" s="115">
        <v>808</v>
      </c>
      <c r="B2" s="116" t="s">
        <v>36</v>
      </c>
      <c r="C2" s="117" t="s">
        <v>37</v>
      </c>
      <c r="D2" s="118" t="s">
        <v>36</v>
      </c>
      <c r="E2" s="119" t="s">
        <v>38</v>
      </c>
      <c r="F2" s="120" t="s">
        <v>39</v>
      </c>
      <c r="G2" s="118" t="s">
        <v>40</v>
      </c>
      <c r="H2" s="121" t="s">
        <v>41</v>
      </c>
      <c r="I2" s="120" t="s">
        <v>301</v>
      </c>
      <c r="J2" s="122" t="s">
        <v>302</v>
      </c>
      <c r="K2" s="123" t="s">
        <v>303</v>
      </c>
      <c r="L2" t="s">
        <v>150</v>
      </c>
      <c r="M2" s="124" t="s">
        <v>151</v>
      </c>
      <c r="N2" s="125" t="s">
        <v>152</v>
      </c>
      <c r="O2" s="126" t="s">
        <v>121</v>
      </c>
      <c r="P2" s="127" t="s">
        <v>1388</v>
      </c>
      <c r="Q2" s="128">
        <v>1750</v>
      </c>
      <c r="R2" s="128">
        <v>1750</v>
      </c>
      <c r="S2" s="129">
        <v>1750</v>
      </c>
      <c r="T2" s="130" t="s">
        <v>1389</v>
      </c>
      <c r="U2" s="131">
        <v>45296</v>
      </c>
      <c r="V2" s="132">
        <v>45296</v>
      </c>
      <c r="W2" s="133">
        <v>9331</v>
      </c>
      <c r="X2" s="134" t="s">
        <v>312</v>
      </c>
      <c r="Y2" s="135" t="s">
        <v>912</v>
      </c>
      <c r="Z2" s="128" t="s">
        <v>57</v>
      </c>
      <c r="AA2" s="128"/>
      <c r="AB2" s="136" t="s">
        <v>256</v>
      </c>
      <c r="AC2" s="137" t="s">
        <v>914</v>
      </c>
      <c r="AD2" s="136" t="s">
        <v>961</v>
      </c>
      <c r="AE2" s="136" t="s">
        <v>962</v>
      </c>
      <c r="AF2" s="136" t="s">
        <v>59</v>
      </c>
      <c r="AG2" s="136" t="s">
        <v>59</v>
      </c>
      <c r="AH2" s="138">
        <v>-1750</v>
      </c>
      <c r="AI2" s="139" t="s">
        <v>58</v>
      </c>
      <c r="AJ2" s="139" t="s">
        <v>157</v>
      </c>
    </row>
    <row r="3" spans="1:36" ht="15.75" x14ac:dyDescent="0.25">
      <c r="A3" s="115">
        <v>34105</v>
      </c>
      <c r="B3" s="116" t="s">
        <v>726</v>
      </c>
      <c r="C3" s="117" t="s">
        <v>727</v>
      </c>
      <c r="D3" s="118" t="s">
        <v>726</v>
      </c>
      <c r="E3" s="119" t="s">
        <v>728</v>
      </c>
      <c r="F3" s="120" t="s">
        <v>917</v>
      </c>
      <c r="G3" s="118" t="s">
        <v>918</v>
      </c>
      <c r="H3" s="121" t="s">
        <v>919</v>
      </c>
      <c r="I3" s="120" t="s">
        <v>920</v>
      </c>
      <c r="J3" s="122" t="s">
        <v>921</v>
      </c>
      <c r="K3" s="123" t="s">
        <v>922</v>
      </c>
      <c r="L3" t="s">
        <v>923</v>
      </c>
      <c r="M3" s="124" t="s">
        <v>924</v>
      </c>
      <c r="N3" s="125" t="s">
        <v>925</v>
      </c>
      <c r="O3" s="126" t="s">
        <v>121</v>
      </c>
      <c r="P3" s="127" t="s">
        <v>926</v>
      </c>
      <c r="Q3" s="128">
        <v>330</v>
      </c>
      <c r="R3" s="128">
        <v>330</v>
      </c>
      <c r="S3" s="129">
        <v>330</v>
      </c>
      <c r="T3" s="130" t="s">
        <v>927</v>
      </c>
      <c r="U3" s="131">
        <v>45636</v>
      </c>
      <c r="V3" s="132">
        <v>45642</v>
      </c>
      <c r="W3" s="133">
        <v>3904</v>
      </c>
      <c r="X3" s="134" t="s">
        <v>928</v>
      </c>
      <c r="Y3" s="135" t="s">
        <v>912</v>
      </c>
      <c r="Z3" s="128" t="s">
        <v>57</v>
      </c>
      <c r="AA3" s="128"/>
      <c r="AB3" s="136"/>
      <c r="AC3" s="137"/>
      <c r="AD3" s="136"/>
      <c r="AE3" s="136"/>
      <c r="AF3" s="136"/>
      <c r="AG3" s="136"/>
      <c r="AH3" s="138">
        <v>-330</v>
      </c>
      <c r="AI3" s="139" t="str">
        <f>VLOOKUP(L3,[1]QUEBRAS!A:D,3,FALSE)</f>
        <v>Custo Variável</v>
      </c>
      <c r="AJ3" s="139" t="str">
        <f>VLOOKUP(L3,[1]QUEBRAS!A:E,4,FALSE)</f>
        <v>Não Operacional</v>
      </c>
    </row>
    <row r="4" spans="1:36" ht="15.75" x14ac:dyDescent="0.25">
      <c r="A4" s="115">
        <v>697</v>
      </c>
      <c r="B4" s="116" t="s">
        <v>36</v>
      </c>
      <c r="C4" s="117" t="s">
        <v>37</v>
      </c>
      <c r="D4" s="118" t="s">
        <v>36</v>
      </c>
      <c r="E4" s="119" t="s">
        <v>38</v>
      </c>
      <c r="F4" s="120" t="s">
        <v>39</v>
      </c>
      <c r="G4" s="118" t="s">
        <v>40</v>
      </c>
      <c r="H4" s="121" t="s">
        <v>41</v>
      </c>
      <c r="I4" s="120" t="s">
        <v>524</v>
      </c>
      <c r="J4" s="122" t="s">
        <v>525</v>
      </c>
      <c r="K4" s="123" t="s">
        <v>526</v>
      </c>
      <c r="L4" t="s">
        <v>63</v>
      </c>
      <c r="M4" s="124" t="s">
        <v>64</v>
      </c>
      <c r="N4" s="125" t="s">
        <v>65</v>
      </c>
      <c r="O4" s="126" t="s">
        <v>929</v>
      </c>
      <c r="P4" s="127"/>
      <c r="Q4" s="128"/>
      <c r="R4" s="128"/>
      <c r="S4" s="129">
        <v>227.1</v>
      </c>
      <c r="T4" s="130" t="s">
        <v>528</v>
      </c>
      <c r="U4" s="131">
        <v>45295</v>
      </c>
      <c r="V4" s="132"/>
      <c r="W4" s="133"/>
      <c r="X4" s="134" t="s">
        <v>930</v>
      </c>
      <c r="Y4" s="135" t="s">
        <v>912</v>
      </c>
      <c r="Z4" s="128" t="s">
        <v>96</v>
      </c>
      <c r="AA4" s="128" t="s">
        <v>931</v>
      </c>
      <c r="AB4" s="136" t="s">
        <v>256</v>
      </c>
      <c r="AC4" s="137" t="s">
        <v>914</v>
      </c>
      <c r="AD4" s="136" t="s">
        <v>915</v>
      </c>
      <c r="AE4" s="136" t="s">
        <v>916</v>
      </c>
      <c r="AF4" s="136" t="s">
        <v>59</v>
      </c>
      <c r="AG4" s="136" t="s">
        <v>59</v>
      </c>
      <c r="AH4" s="138">
        <v>-227.1</v>
      </c>
      <c r="AI4" s="139" t="s">
        <v>58</v>
      </c>
      <c r="AJ4" s="139" t="s">
        <v>59</v>
      </c>
    </row>
    <row r="5" spans="1:36" ht="15.75" x14ac:dyDescent="0.25">
      <c r="A5" s="115">
        <v>937</v>
      </c>
      <c r="B5" s="116" t="s">
        <v>36</v>
      </c>
      <c r="C5" s="117" t="s">
        <v>37</v>
      </c>
      <c r="D5" s="118" t="s">
        <v>36</v>
      </c>
      <c r="E5" s="119" t="s">
        <v>38</v>
      </c>
      <c r="F5" s="120" t="s">
        <v>39</v>
      </c>
      <c r="G5" s="118" t="s">
        <v>40</v>
      </c>
      <c r="H5" s="121" t="s">
        <v>41</v>
      </c>
      <c r="I5" s="120" t="s">
        <v>524</v>
      </c>
      <c r="J5" s="122" t="s">
        <v>525</v>
      </c>
      <c r="K5" s="123" t="s">
        <v>526</v>
      </c>
      <c r="L5" t="s">
        <v>262</v>
      </c>
      <c r="M5" s="124" t="s">
        <v>263</v>
      </c>
      <c r="N5" s="125" t="s">
        <v>264</v>
      </c>
      <c r="O5" s="126" t="s">
        <v>929</v>
      </c>
      <c r="P5" s="127"/>
      <c r="Q5" s="128"/>
      <c r="R5" s="128"/>
      <c r="S5" s="129">
        <v>745</v>
      </c>
      <c r="T5" s="130" t="s">
        <v>528</v>
      </c>
      <c r="U5" s="131">
        <v>45297</v>
      </c>
      <c r="V5" s="132"/>
      <c r="W5" s="133"/>
      <c r="X5" s="134" t="s">
        <v>545</v>
      </c>
      <c r="Y5" s="135" t="s">
        <v>912</v>
      </c>
      <c r="Z5" s="128" t="s">
        <v>96</v>
      </c>
      <c r="AA5" s="128" t="s">
        <v>932</v>
      </c>
      <c r="AB5" s="136" t="s">
        <v>256</v>
      </c>
      <c r="AC5" s="137" t="s">
        <v>914</v>
      </c>
      <c r="AD5" s="136" t="s">
        <v>915</v>
      </c>
      <c r="AE5" s="136" t="s">
        <v>916</v>
      </c>
      <c r="AF5" s="136" t="s">
        <v>59</v>
      </c>
      <c r="AG5" s="136" t="s">
        <v>59</v>
      </c>
      <c r="AH5" s="138">
        <v>-745</v>
      </c>
      <c r="AI5" s="139" t="s">
        <v>58</v>
      </c>
      <c r="AJ5" s="139" t="s">
        <v>59</v>
      </c>
    </row>
    <row r="6" spans="1:36" ht="15.75" x14ac:dyDescent="0.25">
      <c r="A6" s="115">
        <v>939</v>
      </c>
      <c r="B6" s="116" t="s">
        <v>36</v>
      </c>
      <c r="C6" s="117" t="s">
        <v>37</v>
      </c>
      <c r="D6" s="118" t="s">
        <v>36</v>
      </c>
      <c r="E6" s="119" t="s">
        <v>38</v>
      </c>
      <c r="F6" s="140" t="s">
        <v>39</v>
      </c>
      <c r="G6" s="118" t="s">
        <v>40</v>
      </c>
      <c r="H6" s="121" t="s">
        <v>41</v>
      </c>
      <c r="I6" s="120" t="s">
        <v>524</v>
      </c>
      <c r="J6" s="122" t="s">
        <v>525</v>
      </c>
      <c r="K6" s="123" t="s">
        <v>526</v>
      </c>
      <c r="L6" t="s">
        <v>63</v>
      </c>
      <c r="M6" s="124" t="s">
        <v>64</v>
      </c>
      <c r="N6" s="125" t="s">
        <v>65</v>
      </c>
      <c r="O6" s="126" t="s">
        <v>929</v>
      </c>
      <c r="P6" s="127"/>
      <c r="Q6" s="128"/>
      <c r="R6" s="128"/>
      <c r="S6" s="129">
        <v>2700</v>
      </c>
      <c r="T6" s="130" t="s">
        <v>528</v>
      </c>
      <c r="U6" s="131">
        <v>45297</v>
      </c>
      <c r="V6" s="132"/>
      <c r="W6" s="133"/>
      <c r="X6" s="134" t="s">
        <v>563</v>
      </c>
      <c r="Y6" s="135" t="s">
        <v>912</v>
      </c>
      <c r="Z6" s="128" t="s">
        <v>96</v>
      </c>
      <c r="AA6" s="128" t="s">
        <v>933</v>
      </c>
      <c r="AB6" s="136" t="s">
        <v>256</v>
      </c>
      <c r="AC6" s="137" t="s">
        <v>914</v>
      </c>
      <c r="AD6" s="136" t="s">
        <v>915</v>
      </c>
      <c r="AE6" s="136" t="s">
        <v>916</v>
      </c>
      <c r="AF6" s="136" t="s">
        <v>59</v>
      </c>
      <c r="AG6" s="136" t="s">
        <v>59</v>
      </c>
      <c r="AH6" s="138">
        <v>-2700</v>
      </c>
      <c r="AI6" s="139" t="s">
        <v>58</v>
      </c>
      <c r="AJ6" s="139" t="s">
        <v>59</v>
      </c>
    </row>
    <row r="7" spans="1:36" ht="15.75" x14ac:dyDescent="0.25">
      <c r="A7" s="115">
        <v>1001</v>
      </c>
      <c r="B7" s="116" t="s">
        <v>36</v>
      </c>
      <c r="C7" s="117" t="s">
        <v>37</v>
      </c>
      <c r="D7" s="118" t="s">
        <v>36</v>
      </c>
      <c r="E7" s="119" t="s">
        <v>38</v>
      </c>
      <c r="F7" s="120" t="s">
        <v>39</v>
      </c>
      <c r="G7" s="118" t="s">
        <v>40</v>
      </c>
      <c r="H7" s="121" t="s">
        <v>41</v>
      </c>
      <c r="I7" s="120" t="s">
        <v>524</v>
      </c>
      <c r="J7" s="122" t="s">
        <v>525</v>
      </c>
      <c r="K7" s="123" t="s">
        <v>526</v>
      </c>
      <c r="L7" t="s">
        <v>251</v>
      </c>
      <c r="M7" s="124" t="s">
        <v>934</v>
      </c>
      <c r="N7" s="125" t="s">
        <v>935</v>
      </c>
      <c r="O7" s="126" t="s">
        <v>929</v>
      </c>
      <c r="P7" s="127"/>
      <c r="Q7" s="128"/>
      <c r="R7" s="128"/>
      <c r="S7" s="129">
        <v>1454.64</v>
      </c>
      <c r="T7" s="130" t="s">
        <v>528</v>
      </c>
      <c r="U7" s="131">
        <v>45299</v>
      </c>
      <c r="V7" s="132"/>
      <c r="W7" s="133"/>
      <c r="X7" s="134" t="s">
        <v>743</v>
      </c>
      <c r="Y7" s="135" t="s">
        <v>912</v>
      </c>
      <c r="Z7" s="128" t="s">
        <v>96</v>
      </c>
      <c r="AA7" s="128" t="s">
        <v>936</v>
      </c>
      <c r="AB7" s="136" t="s">
        <v>256</v>
      </c>
      <c r="AC7" s="137" t="s">
        <v>914</v>
      </c>
      <c r="AD7" s="136" t="s">
        <v>915</v>
      </c>
      <c r="AE7" s="136" t="s">
        <v>916</v>
      </c>
      <c r="AF7" s="136" t="s">
        <v>59</v>
      </c>
      <c r="AG7" s="136" t="s">
        <v>59</v>
      </c>
      <c r="AH7" s="138">
        <v>-1454.64</v>
      </c>
      <c r="AI7" s="139" t="s">
        <v>58</v>
      </c>
      <c r="AJ7" s="139" t="s">
        <v>59</v>
      </c>
    </row>
    <row r="8" spans="1:36" ht="15.75" x14ac:dyDescent="0.25">
      <c r="A8" s="115">
        <v>1517</v>
      </c>
      <c r="B8" s="116" t="s">
        <v>36</v>
      </c>
      <c r="C8" s="117" t="s">
        <v>37</v>
      </c>
      <c r="D8" s="118" t="s">
        <v>36</v>
      </c>
      <c r="E8" s="119" t="s">
        <v>38</v>
      </c>
      <c r="F8" s="120" t="s">
        <v>39</v>
      </c>
      <c r="G8" s="118" t="s">
        <v>40</v>
      </c>
      <c r="H8" s="121" t="s">
        <v>41</v>
      </c>
      <c r="I8" s="120" t="s">
        <v>524</v>
      </c>
      <c r="J8" s="122" t="s">
        <v>525</v>
      </c>
      <c r="K8" s="123" t="s">
        <v>526</v>
      </c>
      <c r="L8" t="s">
        <v>262</v>
      </c>
      <c r="M8" s="124" t="s">
        <v>263</v>
      </c>
      <c r="N8" s="125" t="s">
        <v>264</v>
      </c>
      <c r="O8" s="126" t="s">
        <v>929</v>
      </c>
      <c r="P8" s="127"/>
      <c r="Q8" s="128"/>
      <c r="R8" s="128"/>
      <c r="S8" s="129">
        <v>2850</v>
      </c>
      <c r="T8" s="130" t="s">
        <v>528</v>
      </c>
      <c r="U8" s="131">
        <v>45306</v>
      </c>
      <c r="V8" s="132"/>
      <c r="W8" s="133"/>
      <c r="X8" s="134" t="s">
        <v>937</v>
      </c>
      <c r="Y8" s="135" t="s">
        <v>912</v>
      </c>
      <c r="Z8" s="128" t="s">
        <v>96</v>
      </c>
      <c r="AA8" s="128" t="s">
        <v>932</v>
      </c>
      <c r="AB8" s="136" t="s">
        <v>256</v>
      </c>
      <c r="AC8" s="137" t="s">
        <v>914</v>
      </c>
      <c r="AD8" s="136" t="s">
        <v>915</v>
      </c>
      <c r="AE8" s="136" t="s">
        <v>916</v>
      </c>
      <c r="AF8" s="136" t="s">
        <v>59</v>
      </c>
      <c r="AG8" s="136" t="s">
        <v>59</v>
      </c>
      <c r="AH8" s="138">
        <v>-2850</v>
      </c>
      <c r="AI8" s="139" t="s">
        <v>58</v>
      </c>
      <c r="AJ8" s="139" t="s">
        <v>59</v>
      </c>
    </row>
    <row r="9" spans="1:36" ht="15.75" x14ac:dyDescent="0.25">
      <c r="A9" s="115">
        <v>1546</v>
      </c>
      <c r="B9" s="116" t="s">
        <v>36</v>
      </c>
      <c r="C9" s="117" t="s">
        <v>37</v>
      </c>
      <c r="D9" s="118" t="s">
        <v>36</v>
      </c>
      <c r="E9" s="119" t="s">
        <v>38</v>
      </c>
      <c r="F9" s="120" t="s">
        <v>39</v>
      </c>
      <c r="G9" s="118" t="s">
        <v>40</v>
      </c>
      <c r="H9" s="121" t="s">
        <v>41</v>
      </c>
      <c r="I9" s="120" t="s">
        <v>524</v>
      </c>
      <c r="J9" s="122" t="s">
        <v>525</v>
      </c>
      <c r="K9" s="123" t="s">
        <v>526</v>
      </c>
      <c r="L9" t="s">
        <v>251</v>
      </c>
      <c r="M9" s="124" t="s">
        <v>934</v>
      </c>
      <c r="N9" s="125" t="s">
        <v>935</v>
      </c>
      <c r="O9" s="126" t="s">
        <v>929</v>
      </c>
      <c r="P9" s="127"/>
      <c r="Q9" s="128"/>
      <c r="R9" s="128"/>
      <c r="S9" s="129">
        <v>1459.92</v>
      </c>
      <c r="T9" s="130" t="s">
        <v>528</v>
      </c>
      <c r="U9" s="131">
        <v>45306</v>
      </c>
      <c r="V9" s="132"/>
      <c r="W9" s="133"/>
      <c r="X9" s="134" t="s">
        <v>743</v>
      </c>
      <c r="Y9" s="135" t="s">
        <v>912</v>
      </c>
      <c r="Z9" s="128" t="s">
        <v>96</v>
      </c>
      <c r="AA9" s="128" t="s">
        <v>936</v>
      </c>
      <c r="AB9" s="136" t="s">
        <v>256</v>
      </c>
      <c r="AC9" s="137" t="s">
        <v>914</v>
      </c>
      <c r="AD9" s="136" t="s">
        <v>915</v>
      </c>
      <c r="AE9" s="136" t="s">
        <v>916</v>
      </c>
      <c r="AF9" s="136" t="s">
        <v>59</v>
      </c>
      <c r="AG9" s="136" t="s">
        <v>59</v>
      </c>
      <c r="AH9" s="138">
        <v>-1459.92</v>
      </c>
      <c r="AI9" s="139" t="s">
        <v>58</v>
      </c>
      <c r="AJ9" s="139" t="s">
        <v>59</v>
      </c>
    </row>
    <row r="10" spans="1:36" ht="15.75" x14ac:dyDescent="0.25">
      <c r="A10" s="115">
        <v>1994</v>
      </c>
      <c r="B10" s="116" t="s">
        <v>36</v>
      </c>
      <c r="C10" s="117" t="s">
        <v>37</v>
      </c>
      <c r="D10" s="118" t="s">
        <v>36</v>
      </c>
      <c r="E10" s="119" t="s">
        <v>38</v>
      </c>
      <c r="F10" s="120" t="s">
        <v>39</v>
      </c>
      <c r="G10" s="118" t="s">
        <v>40</v>
      </c>
      <c r="H10" s="121" t="s">
        <v>41</v>
      </c>
      <c r="I10" s="120" t="s">
        <v>524</v>
      </c>
      <c r="J10" s="122" t="s">
        <v>525</v>
      </c>
      <c r="K10" s="123" t="s">
        <v>526</v>
      </c>
      <c r="L10" t="s">
        <v>83</v>
      </c>
      <c r="M10" s="124" t="s">
        <v>84</v>
      </c>
      <c r="N10" s="125" t="s">
        <v>85</v>
      </c>
      <c r="O10" s="126" t="s">
        <v>929</v>
      </c>
      <c r="P10" s="127"/>
      <c r="Q10" s="128"/>
      <c r="R10" s="128"/>
      <c r="S10" s="129">
        <v>287.02</v>
      </c>
      <c r="T10" s="130" t="s">
        <v>528</v>
      </c>
      <c r="U10" s="131">
        <v>45310</v>
      </c>
      <c r="V10" s="132"/>
      <c r="W10" s="133"/>
      <c r="X10" s="134" t="s">
        <v>938</v>
      </c>
      <c r="Y10" s="135" t="s">
        <v>912</v>
      </c>
      <c r="Z10" s="128" t="s">
        <v>96</v>
      </c>
      <c r="AA10" s="128" t="s">
        <v>939</v>
      </c>
      <c r="AB10" s="136" t="s">
        <v>256</v>
      </c>
      <c r="AC10" s="137" t="s">
        <v>914</v>
      </c>
      <c r="AD10" s="136" t="s">
        <v>915</v>
      </c>
      <c r="AE10" s="136" t="s">
        <v>916</v>
      </c>
      <c r="AF10" s="136" t="s">
        <v>59</v>
      </c>
      <c r="AG10" s="136" t="s">
        <v>59</v>
      </c>
      <c r="AH10" s="138">
        <v>-287.02</v>
      </c>
      <c r="AI10" s="139" t="s">
        <v>58</v>
      </c>
      <c r="AJ10" s="139" t="s">
        <v>59</v>
      </c>
    </row>
    <row r="11" spans="1:36" ht="15.75" x14ac:dyDescent="0.25">
      <c r="A11" s="115">
        <v>2122</v>
      </c>
      <c r="B11" s="116" t="s">
        <v>36</v>
      </c>
      <c r="C11" s="117" t="s">
        <v>37</v>
      </c>
      <c r="D11" s="118" t="s">
        <v>36</v>
      </c>
      <c r="E11" s="119" t="s">
        <v>38</v>
      </c>
      <c r="F11" s="120" t="s">
        <v>39</v>
      </c>
      <c r="G11" s="118" t="s">
        <v>40</v>
      </c>
      <c r="H11" s="121" t="s">
        <v>41</v>
      </c>
      <c r="I11" s="120" t="s">
        <v>524</v>
      </c>
      <c r="J11" s="122" t="s">
        <v>525</v>
      </c>
      <c r="K11" s="123" t="s">
        <v>526</v>
      </c>
      <c r="L11" t="s">
        <v>262</v>
      </c>
      <c r="M11" s="124" t="s">
        <v>263</v>
      </c>
      <c r="N11" s="125" t="s">
        <v>264</v>
      </c>
      <c r="O11" s="126" t="s">
        <v>929</v>
      </c>
      <c r="P11" s="127"/>
      <c r="Q11" s="128"/>
      <c r="R11" s="128"/>
      <c r="S11" s="129">
        <v>2050</v>
      </c>
      <c r="T11" s="130" t="s">
        <v>528</v>
      </c>
      <c r="U11" s="131">
        <v>45311</v>
      </c>
      <c r="V11" s="132"/>
      <c r="W11" s="133"/>
      <c r="X11" s="134" t="s">
        <v>940</v>
      </c>
      <c r="Y11" s="135" t="s">
        <v>912</v>
      </c>
      <c r="Z11" s="128" t="s">
        <v>96</v>
      </c>
      <c r="AA11" s="128" t="s">
        <v>932</v>
      </c>
      <c r="AB11" s="136" t="s">
        <v>256</v>
      </c>
      <c r="AC11" s="137" t="s">
        <v>914</v>
      </c>
      <c r="AD11" s="136" t="s">
        <v>915</v>
      </c>
      <c r="AE11" s="136" t="s">
        <v>916</v>
      </c>
      <c r="AF11" s="136" t="s">
        <v>59</v>
      </c>
      <c r="AG11" s="136" t="s">
        <v>59</v>
      </c>
      <c r="AH11" s="138">
        <v>-2050</v>
      </c>
      <c r="AI11" s="139" t="s">
        <v>58</v>
      </c>
      <c r="AJ11" s="139" t="s">
        <v>59</v>
      </c>
    </row>
    <row r="12" spans="1:36" ht="15.75" x14ac:dyDescent="0.25">
      <c r="A12" s="115">
        <v>2140</v>
      </c>
      <c r="B12" s="116" t="s">
        <v>36</v>
      </c>
      <c r="C12" s="117" t="s">
        <v>37</v>
      </c>
      <c r="D12" s="118" t="s">
        <v>36</v>
      </c>
      <c r="E12" s="119" t="s">
        <v>38</v>
      </c>
      <c r="F12" s="120" t="s">
        <v>39</v>
      </c>
      <c r="G12" s="118" t="s">
        <v>40</v>
      </c>
      <c r="H12" s="121" t="s">
        <v>41</v>
      </c>
      <c r="I12" s="120" t="s">
        <v>524</v>
      </c>
      <c r="J12" s="122" t="s">
        <v>525</v>
      </c>
      <c r="K12" s="123" t="s">
        <v>526</v>
      </c>
      <c r="L12" t="s">
        <v>262</v>
      </c>
      <c r="M12" s="124" t="s">
        <v>263</v>
      </c>
      <c r="N12" s="125" t="s">
        <v>264</v>
      </c>
      <c r="O12" s="126" t="s">
        <v>929</v>
      </c>
      <c r="P12" s="127"/>
      <c r="Q12" s="128"/>
      <c r="R12" s="128"/>
      <c r="S12" s="129">
        <v>398.4</v>
      </c>
      <c r="T12" s="130" t="s">
        <v>528</v>
      </c>
      <c r="U12" s="131">
        <v>45311</v>
      </c>
      <c r="V12" s="132"/>
      <c r="W12" s="133"/>
      <c r="X12" s="134" t="s">
        <v>545</v>
      </c>
      <c r="Y12" s="135" t="s">
        <v>912</v>
      </c>
      <c r="Z12" s="128" t="s">
        <v>96</v>
      </c>
      <c r="AA12" s="128" t="s">
        <v>932</v>
      </c>
      <c r="AB12" s="136" t="s">
        <v>256</v>
      </c>
      <c r="AC12" s="137" t="s">
        <v>914</v>
      </c>
      <c r="AD12" s="136" t="s">
        <v>915</v>
      </c>
      <c r="AE12" s="136" t="s">
        <v>916</v>
      </c>
      <c r="AF12" s="136" t="s">
        <v>59</v>
      </c>
      <c r="AG12" s="136" t="s">
        <v>59</v>
      </c>
      <c r="AH12" s="138">
        <v>-398.4</v>
      </c>
      <c r="AI12" s="139" t="s">
        <v>58</v>
      </c>
      <c r="AJ12" s="139" t="s">
        <v>59</v>
      </c>
    </row>
    <row r="13" spans="1:36" ht="15.75" x14ac:dyDescent="0.25">
      <c r="A13" s="115">
        <v>2143</v>
      </c>
      <c r="B13" s="116" t="s">
        <v>36</v>
      </c>
      <c r="C13" s="117" t="s">
        <v>37</v>
      </c>
      <c r="D13" s="118" t="s">
        <v>36</v>
      </c>
      <c r="E13" s="119" t="s">
        <v>38</v>
      </c>
      <c r="F13" s="140" t="s">
        <v>39</v>
      </c>
      <c r="G13" s="118" t="s">
        <v>40</v>
      </c>
      <c r="H13" s="121" t="s">
        <v>41</v>
      </c>
      <c r="I13" s="120" t="s">
        <v>524</v>
      </c>
      <c r="J13" s="122" t="s">
        <v>525</v>
      </c>
      <c r="K13" s="123" t="s">
        <v>526</v>
      </c>
      <c r="L13" t="s">
        <v>63</v>
      </c>
      <c r="M13" s="124" t="s">
        <v>64</v>
      </c>
      <c r="N13" s="125" t="s">
        <v>65</v>
      </c>
      <c r="O13" s="126" t="s">
        <v>929</v>
      </c>
      <c r="P13" s="127"/>
      <c r="Q13" s="128"/>
      <c r="R13" s="128"/>
      <c r="S13" s="129">
        <v>530</v>
      </c>
      <c r="T13" s="130" t="s">
        <v>528</v>
      </c>
      <c r="U13" s="131">
        <v>45311</v>
      </c>
      <c r="V13" s="132"/>
      <c r="W13" s="133"/>
      <c r="X13" s="134" t="s">
        <v>941</v>
      </c>
      <c r="Y13" s="135" t="s">
        <v>912</v>
      </c>
      <c r="Z13" s="128" t="s">
        <v>96</v>
      </c>
      <c r="AA13" s="128" t="s">
        <v>913</v>
      </c>
      <c r="AB13" s="136" t="s">
        <v>256</v>
      </c>
      <c r="AC13" s="137" t="s">
        <v>914</v>
      </c>
      <c r="AD13" s="136" t="s">
        <v>915</v>
      </c>
      <c r="AE13" s="136" t="s">
        <v>916</v>
      </c>
      <c r="AF13" s="136" t="s">
        <v>59</v>
      </c>
      <c r="AG13" s="136" t="s">
        <v>59</v>
      </c>
      <c r="AH13" s="138">
        <v>-530</v>
      </c>
      <c r="AI13" s="139" t="s">
        <v>58</v>
      </c>
      <c r="AJ13" s="139" t="s">
        <v>59</v>
      </c>
    </row>
    <row r="14" spans="1:36" ht="15.75" x14ac:dyDescent="0.25">
      <c r="A14" s="115">
        <v>2144</v>
      </c>
      <c r="B14" s="116" t="s">
        <v>36</v>
      </c>
      <c r="C14" s="117" t="s">
        <v>37</v>
      </c>
      <c r="D14" s="118" t="s">
        <v>36</v>
      </c>
      <c r="E14" s="119" t="s">
        <v>38</v>
      </c>
      <c r="F14" s="140" t="s">
        <v>39</v>
      </c>
      <c r="G14" s="118" t="s">
        <v>40</v>
      </c>
      <c r="H14" s="121" t="s">
        <v>41</v>
      </c>
      <c r="I14" s="120" t="s">
        <v>524</v>
      </c>
      <c r="J14" s="122" t="s">
        <v>525</v>
      </c>
      <c r="K14" s="123" t="s">
        <v>526</v>
      </c>
      <c r="L14" t="s">
        <v>63</v>
      </c>
      <c r="M14" s="124" t="s">
        <v>64</v>
      </c>
      <c r="N14" s="125" t="s">
        <v>65</v>
      </c>
      <c r="O14" s="126" t="s">
        <v>929</v>
      </c>
      <c r="P14" s="127"/>
      <c r="Q14" s="128"/>
      <c r="R14" s="128"/>
      <c r="S14" s="129">
        <v>470</v>
      </c>
      <c r="T14" s="130" t="s">
        <v>528</v>
      </c>
      <c r="U14" s="131">
        <v>45311</v>
      </c>
      <c r="V14" s="132"/>
      <c r="W14" s="133"/>
      <c r="X14" s="134" t="s">
        <v>941</v>
      </c>
      <c r="Y14" s="135" t="s">
        <v>912</v>
      </c>
      <c r="Z14" s="128" t="s">
        <v>96</v>
      </c>
      <c r="AA14" s="128" t="s">
        <v>913</v>
      </c>
      <c r="AB14" s="136" t="s">
        <v>256</v>
      </c>
      <c r="AC14" s="137" t="s">
        <v>914</v>
      </c>
      <c r="AD14" s="136" t="s">
        <v>915</v>
      </c>
      <c r="AE14" s="136" t="s">
        <v>916</v>
      </c>
      <c r="AF14" s="136" t="s">
        <v>59</v>
      </c>
      <c r="AG14" s="136" t="s">
        <v>59</v>
      </c>
      <c r="AH14" s="138">
        <v>-470</v>
      </c>
      <c r="AI14" s="139" t="s">
        <v>58</v>
      </c>
      <c r="AJ14" s="139" t="s">
        <v>59</v>
      </c>
    </row>
    <row r="15" spans="1:36" ht="15.75" x14ac:dyDescent="0.25">
      <c r="A15" s="115">
        <v>2145</v>
      </c>
      <c r="B15" s="116" t="s">
        <v>36</v>
      </c>
      <c r="C15" s="117" t="s">
        <v>37</v>
      </c>
      <c r="D15" s="118" t="s">
        <v>36</v>
      </c>
      <c r="E15" s="119" t="s">
        <v>38</v>
      </c>
      <c r="F15" s="140" t="s">
        <v>39</v>
      </c>
      <c r="G15" s="118" t="s">
        <v>40</v>
      </c>
      <c r="H15" s="121" t="s">
        <v>41</v>
      </c>
      <c r="I15" s="120" t="s">
        <v>524</v>
      </c>
      <c r="J15" s="122" t="s">
        <v>525</v>
      </c>
      <c r="K15" s="123" t="s">
        <v>526</v>
      </c>
      <c r="L15" t="s">
        <v>262</v>
      </c>
      <c r="M15" s="124" t="s">
        <v>263</v>
      </c>
      <c r="N15" s="125" t="s">
        <v>264</v>
      </c>
      <c r="O15" s="126" t="s">
        <v>929</v>
      </c>
      <c r="P15" s="127"/>
      <c r="Q15" s="128"/>
      <c r="R15" s="128"/>
      <c r="S15" s="129">
        <v>120</v>
      </c>
      <c r="T15" s="130" t="s">
        <v>528</v>
      </c>
      <c r="U15" s="131">
        <v>45311</v>
      </c>
      <c r="V15" s="132"/>
      <c r="W15" s="133"/>
      <c r="X15" s="134" t="s">
        <v>941</v>
      </c>
      <c r="Y15" s="135" t="s">
        <v>912</v>
      </c>
      <c r="Z15" s="128" t="s">
        <v>96</v>
      </c>
      <c r="AA15" s="128" t="s">
        <v>932</v>
      </c>
      <c r="AB15" s="136" t="s">
        <v>256</v>
      </c>
      <c r="AC15" s="137" t="s">
        <v>914</v>
      </c>
      <c r="AD15" s="136" t="s">
        <v>915</v>
      </c>
      <c r="AE15" s="136" t="s">
        <v>916</v>
      </c>
      <c r="AF15" s="136" t="s">
        <v>59</v>
      </c>
      <c r="AG15" s="136" t="s">
        <v>59</v>
      </c>
      <c r="AH15" s="138">
        <v>-120</v>
      </c>
      <c r="AI15" s="139" t="s">
        <v>58</v>
      </c>
      <c r="AJ15" s="139" t="s">
        <v>59</v>
      </c>
    </row>
    <row r="16" spans="1:36" ht="15.75" x14ac:dyDescent="0.25">
      <c r="A16" s="115">
        <v>2146</v>
      </c>
      <c r="B16" s="116" t="s">
        <v>36</v>
      </c>
      <c r="C16" s="117" t="s">
        <v>37</v>
      </c>
      <c r="D16" s="118" t="s">
        <v>36</v>
      </c>
      <c r="E16" s="119" t="s">
        <v>38</v>
      </c>
      <c r="F16" s="140" t="s">
        <v>39</v>
      </c>
      <c r="G16" s="118" t="s">
        <v>40</v>
      </c>
      <c r="H16" s="121" t="s">
        <v>41</v>
      </c>
      <c r="I16" s="120" t="s">
        <v>524</v>
      </c>
      <c r="J16" s="122" t="s">
        <v>525</v>
      </c>
      <c r="K16" s="123" t="s">
        <v>526</v>
      </c>
      <c r="L16" t="s">
        <v>262</v>
      </c>
      <c r="M16" s="124" t="s">
        <v>263</v>
      </c>
      <c r="N16" s="125" t="s">
        <v>264</v>
      </c>
      <c r="O16" s="126" t="s">
        <v>929</v>
      </c>
      <c r="P16" s="127"/>
      <c r="Q16" s="128"/>
      <c r="R16" s="128"/>
      <c r="S16" s="129">
        <v>95</v>
      </c>
      <c r="T16" s="130" t="s">
        <v>528</v>
      </c>
      <c r="U16" s="131">
        <v>45311</v>
      </c>
      <c r="V16" s="132"/>
      <c r="W16" s="133"/>
      <c r="X16" s="134" t="s">
        <v>941</v>
      </c>
      <c r="Y16" s="135" t="s">
        <v>912</v>
      </c>
      <c r="Z16" s="128" t="s">
        <v>96</v>
      </c>
      <c r="AA16" s="128" t="s">
        <v>932</v>
      </c>
      <c r="AB16" s="136" t="s">
        <v>256</v>
      </c>
      <c r="AC16" s="137" t="s">
        <v>914</v>
      </c>
      <c r="AD16" s="136" t="s">
        <v>915</v>
      </c>
      <c r="AE16" s="136" t="s">
        <v>916</v>
      </c>
      <c r="AF16" s="136" t="s">
        <v>59</v>
      </c>
      <c r="AG16" s="136" t="s">
        <v>59</v>
      </c>
      <c r="AH16" s="138">
        <v>-95</v>
      </c>
      <c r="AI16" s="139" t="s">
        <v>58</v>
      </c>
      <c r="AJ16" s="139" t="s">
        <v>59</v>
      </c>
    </row>
    <row r="17" spans="1:36" ht="15.75" x14ac:dyDescent="0.25">
      <c r="A17" s="115">
        <v>2203</v>
      </c>
      <c r="B17" s="116" t="s">
        <v>36</v>
      </c>
      <c r="C17" s="117" t="s">
        <v>37</v>
      </c>
      <c r="D17" s="118" t="s">
        <v>36</v>
      </c>
      <c r="E17" s="119" t="s">
        <v>38</v>
      </c>
      <c r="F17" s="120" t="s">
        <v>39</v>
      </c>
      <c r="G17" s="118" t="s">
        <v>40</v>
      </c>
      <c r="H17" s="121" t="s">
        <v>41</v>
      </c>
      <c r="I17" s="120" t="s">
        <v>524</v>
      </c>
      <c r="J17" s="122" t="s">
        <v>525</v>
      </c>
      <c r="K17" s="123" t="s">
        <v>526</v>
      </c>
      <c r="L17" t="s">
        <v>251</v>
      </c>
      <c r="M17" s="124" t="s">
        <v>934</v>
      </c>
      <c r="N17" s="125" t="s">
        <v>935</v>
      </c>
      <c r="O17" s="126" t="s">
        <v>929</v>
      </c>
      <c r="P17" s="127"/>
      <c r="Q17" s="128"/>
      <c r="R17" s="128"/>
      <c r="S17" s="129">
        <v>1525.92</v>
      </c>
      <c r="T17" s="130" t="s">
        <v>528</v>
      </c>
      <c r="U17" s="131">
        <v>45313</v>
      </c>
      <c r="V17" s="132"/>
      <c r="W17" s="133"/>
      <c r="X17" s="134" t="s">
        <v>743</v>
      </c>
      <c r="Y17" s="135" t="s">
        <v>912</v>
      </c>
      <c r="Z17" s="128" t="s">
        <v>96</v>
      </c>
      <c r="AA17" s="128" t="s">
        <v>936</v>
      </c>
      <c r="AB17" s="136" t="s">
        <v>256</v>
      </c>
      <c r="AC17" s="137" t="s">
        <v>914</v>
      </c>
      <c r="AD17" s="136" t="s">
        <v>915</v>
      </c>
      <c r="AE17" s="136" t="s">
        <v>916</v>
      </c>
      <c r="AF17" s="136" t="s">
        <v>59</v>
      </c>
      <c r="AG17" s="136" t="s">
        <v>59</v>
      </c>
      <c r="AH17" s="138">
        <v>-1525.92</v>
      </c>
      <c r="AI17" s="139" t="s">
        <v>58</v>
      </c>
      <c r="AJ17" s="139" t="s">
        <v>59</v>
      </c>
    </row>
    <row r="18" spans="1:36" ht="15.75" x14ac:dyDescent="0.25">
      <c r="A18" s="115">
        <v>2472</v>
      </c>
      <c r="B18" s="116" t="s">
        <v>36</v>
      </c>
      <c r="C18" s="117" t="s">
        <v>37</v>
      </c>
      <c r="D18" s="118" t="s">
        <v>36</v>
      </c>
      <c r="E18" s="119" t="s">
        <v>38</v>
      </c>
      <c r="F18" s="120" t="s">
        <v>39</v>
      </c>
      <c r="G18" s="118" t="s">
        <v>40</v>
      </c>
      <c r="H18" s="121" t="s">
        <v>41</v>
      </c>
      <c r="I18" s="120" t="s">
        <v>524</v>
      </c>
      <c r="J18" s="122" t="s">
        <v>525</v>
      </c>
      <c r="K18" s="123" t="s">
        <v>526</v>
      </c>
      <c r="L18" t="s">
        <v>262</v>
      </c>
      <c r="M18" s="124" t="s">
        <v>263</v>
      </c>
      <c r="N18" s="125" t="s">
        <v>264</v>
      </c>
      <c r="O18" s="126" t="s">
        <v>929</v>
      </c>
      <c r="P18" s="127"/>
      <c r="Q18" s="128"/>
      <c r="R18" s="128"/>
      <c r="S18" s="129">
        <v>192.61</v>
      </c>
      <c r="T18" s="130" t="s">
        <v>528</v>
      </c>
      <c r="U18" s="131">
        <v>45315</v>
      </c>
      <c r="V18" s="132"/>
      <c r="W18" s="133"/>
      <c r="X18" s="134" t="s">
        <v>545</v>
      </c>
      <c r="Y18" s="135" t="s">
        <v>912</v>
      </c>
      <c r="Z18" s="128" t="s">
        <v>96</v>
      </c>
      <c r="AA18" s="128" t="s">
        <v>932</v>
      </c>
      <c r="AB18" s="136" t="s">
        <v>256</v>
      </c>
      <c r="AC18" s="137" t="s">
        <v>914</v>
      </c>
      <c r="AD18" s="136" t="s">
        <v>915</v>
      </c>
      <c r="AE18" s="136" t="s">
        <v>916</v>
      </c>
      <c r="AF18" s="136" t="s">
        <v>59</v>
      </c>
      <c r="AG18" s="136" t="s">
        <v>59</v>
      </c>
      <c r="AH18" s="138">
        <v>-192.61</v>
      </c>
      <c r="AI18" s="139" t="s">
        <v>58</v>
      </c>
      <c r="AJ18" s="139" t="s">
        <v>59</v>
      </c>
    </row>
    <row r="19" spans="1:36" ht="15.75" x14ac:dyDescent="0.25">
      <c r="A19" s="115">
        <v>2601</v>
      </c>
      <c r="B19" s="116" t="s">
        <v>36</v>
      </c>
      <c r="C19" s="117" t="s">
        <v>37</v>
      </c>
      <c r="D19" s="118" t="s">
        <v>36</v>
      </c>
      <c r="E19" s="119" t="s">
        <v>38</v>
      </c>
      <c r="F19" s="120" t="s">
        <v>39</v>
      </c>
      <c r="G19" s="118" t="s">
        <v>40</v>
      </c>
      <c r="H19" s="121" t="s">
        <v>41</v>
      </c>
      <c r="I19" s="120" t="s">
        <v>524</v>
      </c>
      <c r="J19" s="122" t="s">
        <v>525</v>
      </c>
      <c r="K19" s="123" t="s">
        <v>526</v>
      </c>
      <c r="L19" t="s">
        <v>83</v>
      </c>
      <c r="M19" s="124" t="s">
        <v>84</v>
      </c>
      <c r="N19" s="125" t="s">
        <v>85</v>
      </c>
      <c r="O19" s="126" t="s">
        <v>929</v>
      </c>
      <c r="P19" s="127"/>
      <c r="Q19" s="128"/>
      <c r="R19" s="128"/>
      <c r="S19" s="129">
        <v>140</v>
      </c>
      <c r="T19" s="130" t="s">
        <v>528</v>
      </c>
      <c r="U19" s="131">
        <v>45316</v>
      </c>
      <c r="V19" s="132"/>
      <c r="W19" s="133"/>
      <c r="X19" s="134" t="s">
        <v>803</v>
      </c>
      <c r="Y19" s="135" t="s">
        <v>912</v>
      </c>
      <c r="Z19" s="128" t="s">
        <v>96</v>
      </c>
      <c r="AA19" s="128" t="s">
        <v>939</v>
      </c>
      <c r="AB19" s="136" t="s">
        <v>256</v>
      </c>
      <c r="AC19" s="137" t="s">
        <v>914</v>
      </c>
      <c r="AD19" s="136" t="s">
        <v>915</v>
      </c>
      <c r="AE19" s="136" t="s">
        <v>916</v>
      </c>
      <c r="AF19" s="136" t="s">
        <v>59</v>
      </c>
      <c r="AG19" s="136" t="s">
        <v>59</v>
      </c>
      <c r="AH19" s="138">
        <v>-140</v>
      </c>
      <c r="AI19" s="139" t="s">
        <v>58</v>
      </c>
      <c r="AJ19" s="139" t="s">
        <v>59</v>
      </c>
    </row>
    <row r="20" spans="1:36" ht="15.75" x14ac:dyDescent="0.25">
      <c r="A20" s="115">
        <v>2729</v>
      </c>
      <c r="B20" s="116" t="s">
        <v>36</v>
      </c>
      <c r="C20" s="117" t="s">
        <v>37</v>
      </c>
      <c r="D20" s="118" t="s">
        <v>36</v>
      </c>
      <c r="E20" s="119" t="s">
        <v>38</v>
      </c>
      <c r="F20" s="120" t="s">
        <v>39</v>
      </c>
      <c r="G20" s="118" t="s">
        <v>40</v>
      </c>
      <c r="H20" s="121" t="s">
        <v>41</v>
      </c>
      <c r="I20" s="120" t="s">
        <v>524</v>
      </c>
      <c r="J20" s="122" t="s">
        <v>525</v>
      </c>
      <c r="K20" s="123" t="s">
        <v>526</v>
      </c>
      <c r="L20" t="s">
        <v>251</v>
      </c>
      <c r="M20" s="124" t="s">
        <v>934</v>
      </c>
      <c r="N20" s="125" t="s">
        <v>935</v>
      </c>
      <c r="O20" s="126" t="s">
        <v>929</v>
      </c>
      <c r="P20" s="127"/>
      <c r="Q20" s="128"/>
      <c r="R20" s="128"/>
      <c r="S20" s="129">
        <v>1587.67</v>
      </c>
      <c r="T20" s="130" t="s">
        <v>528</v>
      </c>
      <c r="U20" s="131">
        <v>45317</v>
      </c>
      <c r="V20" s="132"/>
      <c r="W20" s="133"/>
      <c r="X20" s="134" t="s">
        <v>743</v>
      </c>
      <c r="Y20" s="135" t="s">
        <v>912</v>
      </c>
      <c r="Z20" s="128" t="s">
        <v>96</v>
      </c>
      <c r="AA20" s="128" t="s">
        <v>936</v>
      </c>
      <c r="AB20" s="136" t="s">
        <v>256</v>
      </c>
      <c r="AC20" s="137" t="s">
        <v>914</v>
      </c>
      <c r="AD20" s="136" t="s">
        <v>915</v>
      </c>
      <c r="AE20" s="136" t="s">
        <v>916</v>
      </c>
      <c r="AF20" s="136" t="s">
        <v>59</v>
      </c>
      <c r="AG20" s="136" t="s">
        <v>59</v>
      </c>
      <c r="AH20" s="138">
        <v>-1587.67</v>
      </c>
      <c r="AI20" s="139" t="s">
        <v>58</v>
      </c>
      <c r="AJ20" s="139" t="s">
        <v>59</v>
      </c>
    </row>
    <row r="21" spans="1:36" ht="15.75" x14ac:dyDescent="0.25">
      <c r="A21" s="115">
        <v>3353</v>
      </c>
      <c r="B21" s="116" t="s">
        <v>36</v>
      </c>
      <c r="C21" s="117" t="s">
        <v>37</v>
      </c>
      <c r="D21" s="118" t="s">
        <v>36</v>
      </c>
      <c r="E21" s="119" t="s">
        <v>38</v>
      </c>
      <c r="F21" s="120" t="s">
        <v>39</v>
      </c>
      <c r="G21" s="118" t="s">
        <v>40</v>
      </c>
      <c r="H21" s="121" t="s">
        <v>41</v>
      </c>
      <c r="I21" s="120" t="s">
        <v>524</v>
      </c>
      <c r="J21" s="122" t="s">
        <v>525</v>
      </c>
      <c r="K21" s="123" t="s">
        <v>526</v>
      </c>
      <c r="L21" t="s">
        <v>262</v>
      </c>
      <c r="M21" s="124" t="s">
        <v>263</v>
      </c>
      <c r="N21" s="125" t="s">
        <v>264</v>
      </c>
      <c r="O21" s="126" t="s">
        <v>929</v>
      </c>
      <c r="P21" s="127"/>
      <c r="Q21" s="128"/>
      <c r="R21" s="128"/>
      <c r="S21" s="129">
        <v>587.70000000000005</v>
      </c>
      <c r="T21" s="130" t="s">
        <v>528</v>
      </c>
      <c r="U21" s="131">
        <v>45322</v>
      </c>
      <c r="V21" s="132"/>
      <c r="W21" s="133"/>
      <c r="X21" s="134" t="s">
        <v>545</v>
      </c>
      <c r="Y21" s="135" t="s">
        <v>912</v>
      </c>
      <c r="Z21" s="128" t="s">
        <v>96</v>
      </c>
      <c r="AA21" s="128" t="s">
        <v>932</v>
      </c>
      <c r="AB21" s="136" t="s">
        <v>256</v>
      </c>
      <c r="AC21" s="137" t="s">
        <v>914</v>
      </c>
      <c r="AD21" s="136" t="s">
        <v>915</v>
      </c>
      <c r="AE21" s="136" t="s">
        <v>916</v>
      </c>
      <c r="AF21" s="136" t="s">
        <v>59</v>
      </c>
      <c r="AG21" s="136" t="s">
        <v>59</v>
      </c>
      <c r="AH21" s="138">
        <v>-587.70000000000005</v>
      </c>
      <c r="AI21" s="139" t="s">
        <v>58</v>
      </c>
      <c r="AJ21" s="139" t="s">
        <v>59</v>
      </c>
    </row>
    <row r="22" spans="1:36" ht="15.75" x14ac:dyDescent="0.25">
      <c r="A22" s="115">
        <v>3606</v>
      </c>
      <c r="B22" s="116" t="s">
        <v>36</v>
      </c>
      <c r="C22" s="117" t="s">
        <v>37</v>
      </c>
      <c r="D22" s="118" t="s">
        <v>36</v>
      </c>
      <c r="E22" s="119" t="s">
        <v>38</v>
      </c>
      <c r="F22" s="120" t="s">
        <v>39</v>
      </c>
      <c r="G22" s="118" t="s">
        <v>40</v>
      </c>
      <c r="H22" s="121" t="s">
        <v>41</v>
      </c>
      <c r="I22" s="120" t="s">
        <v>524</v>
      </c>
      <c r="J22" s="122" t="s">
        <v>525</v>
      </c>
      <c r="K22" s="123" t="s">
        <v>526</v>
      </c>
      <c r="L22" t="s">
        <v>63</v>
      </c>
      <c r="M22" s="124" t="s">
        <v>64</v>
      </c>
      <c r="N22" s="125" t="s">
        <v>65</v>
      </c>
      <c r="O22" s="126" t="s">
        <v>929</v>
      </c>
      <c r="P22" s="127"/>
      <c r="Q22" s="128"/>
      <c r="R22" s="128"/>
      <c r="S22" s="129">
        <v>530</v>
      </c>
      <c r="T22" s="130" t="s">
        <v>528</v>
      </c>
      <c r="U22" s="131">
        <v>45323</v>
      </c>
      <c r="V22" s="132"/>
      <c r="W22" s="133"/>
      <c r="X22" s="134" t="s">
        <v>541</v>
      </c>
      <c r="Y22" s="135" t="s">
        <v>912</v>
      </c>
      <c r="Z22" s="128" t="s">
        <v>96</v>
      </c>
      <c r="AA22" s="128" t="s">
        <v>913</v>
      </c>
      <c r="AB22" s="136" t="s">
        <v>256</v>
      </c>
      <c r="AC22" s="137" t="s">
        <v>914</v>
      </c>
      <c r="AD22" s="136" t="s">
        <v>915</v>
      </c>
      <c r="AE22" s="136" t="s">
        <v>916</v>
      </c>
      <c r="AF22" s="136" t="s">
        <v>59</v>
      </c>
      <c r="AG22" s="136" t="s">
        <v>59</v>
      </c>
      <c r="AH22" s="138">
        <v>-530</v>
      </c>
      <c r="AI22" s="139" t="s">
        <v>58</v>
      </c>
      <c r="AJ22" s="139" t="s">
        <v>59</v>
      </c>
    </row>
    <row r="23" spans="1:36" ht="15.75" x14ac:dyDescent="0.25">
      <c r="A23" s="115">
        <v>4182</v>
      </c>
      <c r="B23" s="116" t="s">
        <v>36</v>
      </c>
      <c r="C23" s="117" t="s">
        <v>37</v>
      </c>
      <c r="D23" s="118" t="s">
        <v>36</v>
      </c>
      <c r="E23" s="119" t="s">
        <v>38</v>
      </c>
      <c r="F23" s="120" t="s">
        <v>39</v>
      </c>
      <c r="G23" s="118" t="s">
        <v>40</v>
      </c>
      <c r="H23" s="121" t="s">
        <v>41</v>
      </c>
      <c r="I23" s="120" t="s">
        <v>524</v>
      </c>
      <c r="J23" s="122" t="s">
        <v>525</v>
      </c>
      <c r="K23" s="123" t="s">
        <v>526</v>
      </c>
      <c r="L23" t="s">
        <v>251</v>
      </c>
      <c r="M23" s="124" t="s">
        <v>934</v>
      </c>
      <c r="N23" s="125" t="s">
        <v>935</v>
      </c>
      <c r="O23" s="126" t="s">
        <v>929</v>
      </c>
      <c r="P23" s="127"/>
      <c r="Q23" s="128"/>
      <c r="R23" s="128"/>
      <c r="S23" s="129">
        <v>1191.4000000000001</v>
      </c>
      <c r="T23" s="130" t="s">
        <v>528</v>
      </c>
      <c r="U23" s="131">
        <v>45327</v>
      </c>
      <c r="V23" s="132"/>
      <c r="W23" s="133"/>
      <c r="X23" s="134" t="s">
        <v>743</v>
      </c>
      <c r="Y23" s="135" t="s">
        <v>912</v>
      </c>
      <c r="Z23" s="128" t="s">
        <v>96</v>
      </c>
      <c r="AA23" s="128" t="s">
        <v>936</v>
      </c>
      <c r="AB23" s="136" t="s">
        <v>256</v>
      </c>
      <c r="AC23" s="137" t="s">
        <v>914</v>
      </c>
      <c r="AD23" s="136" t="s">
        <v>915</v>
      </c>
      <c r="AE23" s="136" t="s">
        <v>916</v>
      </c>
      <c r="AF23" s="136" t="s">
        <v>59</v>
      </c>
      <c r="AG23" s="136" t="s">
        <v>59</v>
      </c>
      <c r="AH23" s="138">
        <v>-1191.4000000000001</v>
      </c>
      <c r="AI23" s="139" t="s">
        <v>58</v>
      </c>
      <c r="AJ23" s="139" t="s">
        <v>59</v>
      </c>
    </row>
    <row r="24" spans="1:36" ht="15.75" x14ac:dyDescent="0.25">
      <c r="A24" s="115">
        <v>4727</v>
      </c>
      <c r="B24" s="116" t="s">
        <v>36</v>
      </c>
      <c r="C24" s="117" t="s">
        <v>37</v>
      </c>
      <c r="D24" s="118" t="s">
        <v>36</v>
      </c>
      <c r="E24" s="119" t="s">
        <v>38</v>
      </c>
      <c r="F24" s="120" t="s">
        <v>39</v>
      </c>
      <c r="G24" s="118" t="s">
        <v>40</v>
      </c>
      <c r="H24" s="121" t="s">
        <v>41</v>
      </c>
      <c r="I24" s="120" t="s">
        <v>524</v>
      </c>
      <c r="J24" s="122" t="s">
        <v>525</v>
      </c>
      <c r="K24" s="123" t="s">
        <v>526</v>
      </c>
      <c r="L24" t="s">
        <v>251</v>
      </c>
      <c r="M24" s="124" t="s">
        <v>934</v>
      </c>
      <c r="N24" s="125" t="s">
        <v>935</v>
      </c>
      <c r="O24" s="126" t="s">
        <v>929</v>
      </c>
      <c r="P24" s="127"/>
      <c r="Q24" s="128"/>
      <c r="R24" s="128"/>
      <c r="S24" s="129">
        <v>1417.63</v>
      </c>
      <c r="T24" s="130" t="s">
        <v>528</v>
      </c>
      <c r="U24" s="131">
        <v>45331</v>
      </c>
      <c r="V24" s="132"/>
      <c r="W24" s="133"/>
      <c r="X24" s="134" t="s">
        <v>743</v>
      </c>
      <c r="Y24" s="135" t="s">
        <v>912</v>
      </c>
      <c r="Z24" s="128" t="s">
        <v>96</v>
      </c>
      <c r="AA24" s="128" t="s">
        <v>936</v>
      </c>
      <c r="AB24" s="136" t="s">
        <v>256</v>
      </c>
      <c r="AC24" s="137" t="s">
        <v>914</v>
      </c>
      <c r="AD24" s="136" t="s">
        <v>915</v>
      </c>
      <c r="AE24" s="136" t="s">
        <v>916</v>
      </c>
      <c r="AF24" s="136" t="s">
        <v>59</v>
      </c>
      <c r="AG24" s="136" t="s">
        <v>59</v>
      </c>
      <c r="AH24" s="138">
        <v>-1417.63</v>
      </c>
      <c r="AI24" s="139" t="s">
        <v>58</v>
      </c>
      <c r="AJ24" s="139" t="s">
        <v>59</v>
      </c>
    </row>
    <row r="25" spans="1:36" ht="15.75" x14ac:dyDescent="0.25">
      <c r="A25" s="115">
        <v>5425</v>
      </c>
      <c r="B25" s="116" t="s">
        <v>36</v>
      </c>
      <c r="C25" s="117" t="s">
        <v>37</v>
      </c>
      <c r="D25" s="118" t="s">
        <v>36</v>
      </c>
      <c r="E25" s="119" t="s">
        <v>38</v>
      </c>
      <c r="F25" s="120" t="s">
        <v>39</v>
      </c>
      <c r="G25" s="118" t="s">
        <v>40</v>
      </c>
      <c r="H25" s="121" t="s">
        <v>41</v>
      </c>
      <c r="I25" s="120" t="s">
        <v>524</v>
      </c>
      <c r="J25" s="122" t="s">
        <v>525</v>
      </c>
      <c r="K25" s="123" t="s">
        <v>526</v>
      </c>
      <c r="L25" t="s">
        <v>262</v>
      </c>
      <c r="M25" s="124" t="s">
        <v>263</v>
      </c>
      <c r="N25" s="125" t="s">
        <v>264</v>
      </c>
      <c r="O25" s="126" t="s">
        <v>929</v>
      </c>
      <c r="P25" s="127"/>
      <c r="Q25" s="128"/>
      <c r="R25" s="128"/>
      <c r="S25" s="129">
        <v>1060</v>
      </c>
      <c r="T25" s="130" t="s">
        <v>528</v>
      </c>
      <c r="U25" s="131">
        <v>45339</v>
      </c>
      <c r="V25" s="132"/>
      <c r="W25" s="133"/>
      <c r="X25" s="134" t="s">
        <v>865</v>
      </c>
      <c r="Y25" s="135" t="s">
        <v>912</v>
      </c>
      <c r="Z25" s="128" t="s">
        <v>96</v>
      </c>
      <c r="AA25" s="128" t="s">
        <v>932</v>
      </c>
      <c r="AB25" s="136" t="s">
        <v>256</v>
      </c>
      <c r="AC25" s="137" t="s">
        <v>914</v>
      </c>
      <c r="AD25" s="136" t="s">
        <v>915</v>
      </c>
      <c r="AE25" s="136" t="s">
        <v>916</v>
      </c>
      <c r="AF25" s="136" t="s">
        <v>59</v>
      </c>
      <c r="AG25" s="136" t="s">
        <v>59</v>
      </c>
      <c r="AH25" s="138">
        <v>-1060</v>
      </c>
      <c r="AI25" s="139" t="s">
        <v>58</v>
      </c>
      <c r="AJ25" s="139" t="s">
        <v>59</v>
      </c>
    </row>
    <row r="26" spans="1:36" ht="15.75" x14ac:dyDescent="0.25">
      <c r="A26" s="115">
        <v>5428</v>
      </c>
      <c r="B26" s="116" t="s">
        <v>36</v>
      </c>
      <c r="C26" s="117" t="s">
        <v>37</v>
      </c>
      <c r="D26" s="118" t="s">
        <v>36</v>
      </c>
      <c r="E26" s="119" t="s">
        <v>38</v>
      </c>
      <c r="F26" s="120" t="s">
        <v>39</v>
      </c>
      <c r="G26" s="118" t="s">
        <v>40</v>
      </c>
      <c r="H26" s="121" t="s">
        <v>41</v>
      </c>
      <c r="I26" s="120" t="s">
        <v>524</v>
      </c>
      <c r="J26" s="122" t="s">
        <v>525</v>
      </c>
      <c r="K26" s="123" t="s">
        <v>526</v>
      </c>
      <c r="L26" t="s">
        <v>63</v>
      </c>
      <c r="M26" s="124" t="s">
        <v>64</v>
      </c>
      <c r="N26" s="125" t="s">
        <v>65</v>
      </c>
      <c r="O26" s="126" t="s">
        <v>929</v>
      </c>
      <c r="P26" s="127"/>
      <c r="Q26" s="128"/>
      <c r="R26" s="128"/>
      <c r="S26" s="129">
        <v>530</v>
      </c>
      <c r="T26" s="130" t="s">
        <v>528</v>
      </c>
      <c r="U26" s="131">
        <v>45339</v>
      </c>
      <c r="V26" s="132"/>
      <c r="W26" s="133"/>
      <c r="X26" s="134" t="s">
        <v>541</v>
      </c>
      <c r="Y26" s="135" t="s">
        <v>912</v>
      </c>
      <c r="Z26" s="128" t="s">
        <v>96</v>
      </c>
      <c r="AA26" s="128" t="s">
        <v>913</v>
      </c>
      <c r="AB26" s="136" t="s">
        <v>256</v>
      </c>
      <c r="AC26" s="137" t="s">
        <v>914</v>
      </c>
      <c r="AD26" s="136" t="s">
        <v>915</v>
      </c>
      <c r="AE26" s="136" t="s">
        <v>916</v>
      </c>
      <c r="AF26" s="136" t="s">
        <v>59</v>
      </c>
      <c r="AG26" s="136" t="s">
        <v>59</v>
      </c>
      <c r="AH26" s="138">
        <v>-530</v>
      </c>
      <c r="AI26" s="139" t="s">
        <v>58</v>
      </c>
      <c r="AJ26" s="139" t="s">
        <v>59</v>
      </c>
    </row>
    <row r="27" spans="1:36" ht="15.75" x14ac:dyDescent="0.25">
      <c r="A27" s="115">
        <v>5436</v>
      </c>
      <c r="B27" s="116" t="s">
        <v>36</v>
      </c>
      <c r="C27" s="117" t="s">
        <v>37</v>
      </c>
      <c r="D27" s="118" t="s">
        <v>36</v>
      </c>
      <c r="E27" s="119" t="s">
        <v>38</v>
      </c>
      <c r="F27" s="120" t="s">
        <v>39</v>
      </c>
      <c r="G27" s="118" t="s">
        <v>40</v>
      </c>
      <c r="H27" s="121" t="s">
        <v>41</v>
      </c>
      <c r="I27" s="120" t="s">
        <v>524</v>
      </c>
      <c r="J27" s="122" t="s">
        <v>525</v>
      </c>
      <c r="K27" s="123" t="s">
        <v>526</v>
      </c>
      <c r="L27" t="s">
        <v>262</v>
      </c>
      <c r="M27" s="124" t="s">
        <v>263</v>
      </c>
      <c r="N27" s="125" t="s">
        <v>264</v>
      </c>
      <c r="O27" s="126" t="s">
        <v>929</v>
      </c>
      <c r="P27" s="127"/>
      <c r="Q27" s="128"/>
      <c r="R27" s="128"/>
      <c r="S27" s="129">
        <v>951.84</v>
      </c>
      <c r="T27" s="130" t="s">
        <v>528</v>
      </c>
      <c r="U27" s="131">
        <v>45339</v>
      </c>
      <c r="V27" s="132"/>
      <c r="W27" s="133"/>
      <c r="X27" s="134" t="s">
        <v>545</v>
      </c>
      <c r="Y27" s="135" t="s">
        <v>912</v>
      </c>
      <c r="Z27" s="128" t="s">
        <v>96</v>
      </c>
      <c r="AA27" s="128" t="s">
        <v>932</v>
      </c>
      <c r="AB27" s="136" t="s">
        <v>256</v>
      </c>
      <c r="AC27" s="137" t="s">
        <v>914</v>
      </c>
      <c r="AD27" s="136" t="s">
        <v>915</v>
      </c>
      <c r="AE27" s="136" t="s">
        <v>916</v>
      </c>
      <c r="AF27" s="136" t="s">
        <v>59</v>
      </c>
      <c r="AG27" s="136" t="s">
        <v>59</v>
      </c>
      <c r="AH27" s="138">
        <v>-951.84</v>
      </c>
      <c r="AI27" s="139" t="s">
        <v>58</v>
      </c>
      <c r="AJ27" s="139" t="s">
        <v>59</v>
      </c>
    </row>
    <row r="28" spans="1:36" ht="15.75" x14ac:dyDescent="0.25">
      <c r="A28" s="115">
        <v>5439</v>
      </c>
      <c r="B28" s="116" t="s">
        <v>36</v>
      </c>
      <c r="C28" s="117" t="s">
        <v>37</v>
      </c>
      <c r="D28" s="118" t="s">
        <v>36</v>
      </c>
      <c r="E28" s="119" t="s">
        <v>38</v>
      </c>
      <c r="F28" s="140" t="s">
        <v>39</v>
      </c>
      <c r="G28" s="118" t="s">
        <v>40</v>
      </c>
      <c r="H28" s="121" t="s">
        <v>41</v>
      </c>
      <c r="I28" s="120" t="s">
        <v>524</v>
      </c>
      <c r="J28" s="122" t="s">
        <v>525</v>
      </c>
      <c r="K28" s="123" t="s">
        <v>526</v>
      </c>
      <c r="L28" t="s">
        <v>63</v>
      </c>
      <c r="M28" s="124" t="s">
        <v>64</v>
      </c>
      <c r="N28" s="125" t="s">
        <v>65</v>
      </c>
      <c r="O28" s="126" t="s">
        <v>929</v>
      </c>
      <c r="P28" s="127"/>
      <c r="Q28" s="128"/>
      <c r="R28" s="128"/>
      <c r="S28" s="129">
        <v>2479.98</v>
      </c>
      <c r="T28" s="130" t="s">
        <v>528</v>
      </c>
      <c r="U28" s="131">
        <v>45339</v>
      </c>
      <c r="V28" s="132"/>
      <c r="W28" s="133"/>
      <c r="X28" s="134" t="s">
        <v>573</v>
      </c>
      <c r="Y28" s="135" t="s">
        <v>912</v>
      </c>
      <c r="Z28" s="128" t="s">
        <v>96</v>
      </c>
      <c r="AA28" s="128" t="s">
        <v>931</v>
      </c>
      <c r="AB28" s="136" t="s">
        <v>256</v>
      </c>
      <c r="AC28" s="137" t="s">
        <v>914</v>
      </c>
      <c r="AD28" s="136" t="s">
        <v>915</v>
      </c>
      <c r="AE28" s="136" t="s">
        <v>916</v>
      </c>
      <c r="AF28" s="136" t="s">
        <v>59</v>
      </c>
      <c r="AG28" s="136" t="s">
        <v>59</v>
      </c>
      <c r="AH28" s="138">
        <v>-2479.98</v>
      </c>
      <c r="AI28" s="139" t="s">
        <v>58</v>
      </c>
      <c r="AJ28" s="139" t="s">
        <v>59</v>
      </c>
    </row>
    <row r="29" spans="1:36" ht="15.75" x14ac:dyDescent="0.25">
      <c r="A29" s="115">
        <v>5734</v>
      </c>
      <c r="B29" s="116" t="s">
        <v>36</v>
      </c>
      <c r="C29" s="117" t="s">
        <v>37</v>
      </c>
      <c r="D29" s="118" t="s">
        <v>36</v>
      </c>
      <c r="E29" s="119" t="s">
        <v>38</v>
      </c>
      <c r="F29" s="140" t="s">
        <v>39</v>
      </c>
      <c r="G29" s="118" t="s">
        <v>40</v>
      </c>
      <c r="H29" s="121" t="s">
        <v>41</v>
      </c>
      <c r="I29" s="120" t="s">
        <v>524</v>
      </c>
      <c r="J29" s="122" t="s">
        <v>525</v>
      </c>
      <c r="K29" s="123" t="s">
        <v>526</v>
      </c>
      <c r="L29" t="s">
        <v>262</v>
      </c>
      <c r="M29" s="124" t="s">
        <v>263</v>
      </c>
      <c r="N29" s="125" t="s">
        <v>264</v>
      </c>
      <c r="O29" s="126" t="s">
        <v>942</v>
      </c>
      <c r="P29" s="127"/>
      <c r="Q29" s="128"/>
      <c r="R29" s="128"/>
      <c r="S29" s="129">
        <v>133.4</v>
      </c>
      <c r="T29" s="130" t="s">
        <v>528</v>
      </c>
      <c r="U29" s="131">
        <v>45342</v>
      </c>
      <c r="V29" s="132"/>
      <c r="W29" s="133"/>
      <c r="X29" s="134" t="s">
        <v>943</v>
      </c>
      <c r="Y29" s="135" t="s">
        <v>912</v>
      </c>
      <c r="Z29" s="128" t="s">
        <v>96</v>
      </c>
      <c r="AA29" s="128" t="s">
        <v>932</v>
      </c>
      <c r="AB29" s="136" t="s">
        <v>256</v>
      </c>
      <c r="AC29" s="137" t="s">
        <v>914</v>
      </c>
      <c r="AD29" s="136" t="s">
        <v>915</v>
      </c>
      <c r="AE29" s="136" t="s">
        <v>916</v>
      </c>
      <c r="AF29" s="136" t="s">
        <v>59</v>
      </c>
      <c r="AG29" s="136" t="s">
        <v>59</v>
      </c>
      <c r="AH29" s="138">
        <v>-133.4</v>
      </c>
      <c r="AI29" s="139" t="s">
        <v>58</v>
      </c>
      <c r="AJ29" s="139" t="s">
        <v>59</v>
      </c>
    </row>
    <row r="30" spans="1:36" ht="15.75" x14ac:dyDescent="0.25">
      <c r="A30" s="115">
        <v>5933</v>
      </c>
      <c r="B30" s="116" t="s">
        <v>36</v>
      </c>
      <c r="C30" s="117" t="s">
        <v>37</v>
      </c>
      <c r="D30" s="118" t="s">
        <v>36</v>
      </c>
      <c r="E30" s="119" t="s">
        <v>38</v>
      </c>
      <c r="F30" s="120" t="s">
        <v>39</v>
      </c>
      <c r="G30" s="118" t="s">
        <v>40</v>
      </c>
      <c r="H30" s="121" t="s">
        <v>41</v>
      </c>
      <c r="I30" s="120" t="s">
        <v>524</v>
      </c>
      <c r="J30" s="122" t="s">
        <v>525</v>
      </c>
      <c r="K30" s="123" t="s">
        <v>526</v>
      </c>
      <c r="L30" t="s">
        <v>262</v>
      </c>
      <c r="M30" s="124" t="s">
        <v>263</v>
      </c>
      <c r="N30" s="125" t="s">
        <v>264</v>
      </c>
      <c r="O30" s="126" t="s">
        <v>929</v>
      </c>
      <c r="P30" s="127"/>
      <c r="Q30" s="128"/>
      <c r="R30" s="128"/>
      <c r="S30" s="129">
        <v>815.2</v>
      </c>
      <c r="T30" s="130" t="s">
        <v>528</v>
      </c>
      <c r="U30" s="131">
        <v>45344</v>
      </c>
      <c r="V30" s="132"/>
      <c r="W30" s="133"/>
      <c r="X30" s="134" t="s">
        <v>541</v>
      </c>
      <c r="Y30" s="135" t="s">
        <v>912</v>
      </c>
      <c r="Z30" s="128" t="s">
        <v>96</v>
      </c>
      <c r="AA30" s="128" t="s">
        <v>932</v>
      </c>
      <c r="AB30" s="136" t="s">
        <v>256</v>
      </c>
      <c r="AC30" s="137" t="s">
        <v>914</v>
      </c>
      <c r="AD30" s="136" t="s">
        <v>915</v>
      </c>
      <c r="AE30" s="136" t="s">
        <v>916</v>
      </c>
      <c r="AF30" s="136" t="s">
        <v>59</v>
      </c>
      <c r="AG30" s="136" t="s">
        <v>59</v>
      </c>
      <c r="AH30" s="138">
        <v>-815.2</v>
      </c>
      <c r="AI30" s="139" t="s">
        <v>58</v>
      </c>
      <c r="AJ30" s="139" t="s">
        <v>59</v>
      </c>
    </row>
    <row r="31" spans="1:36" ht="15.75" x14ac:dyDescent="0.25">
      <c r="A31" s="115">
        <v>6143</v>
      </c>
      <c r="B31" s="116" t="s">
        <v>36</v>
      </c>
      <c r="C31" s="117" t="s">
        <v>37</v>
      </c>
      <c r="D31" s="118" t="s">
        <v>36</v>
      </c>
      <c r="E31" s="119" t="s">
        <v>38</v>
      </c>
      <c r="F31" s="140" t="s">
        <v>39</v>
      </c>
      <c r="G31" s="118" t="s">
        <v>40</v>
      </c>
      <c r="H31" s="121" t="s">
        <v>41</v>
      </c>
      <c r="I31" s="120" t="s">
        <v>524</v>
      </c>
      <c r="J31" s="122" t="s">
        <v>525</v>
      </c>
      <c r="K31" s="123" t="s">
        <v>526</v>
      </c>
      <c r="L31" t="s">
        <v>262</v>
      </c>
      <c r="M31" s="124" t="s">
        <v>263</v>
      </c>
      <c r="N31" s="125" t="s">
        <v>264</v>
      </c>
      <c r="O31" s="126" t="s">
        <v>929</v>
      </c>
      <c r="P31" s="127"/>
      <c r="Q31" s="128"/>
      <c r="R31" s="128"/>
      <c r="S31" s="129">
        <v>1956</v>
      </c>
      <c r="T31" s="130" t="s">
        <v>528</v>
      </c>
      <c r="U31" s="131">
        <v>45345</v>
      </c>
      <c r="V31" s="132"/>
      <c r="W31" s="133"/>
      <c r="X31" s="134" t="s">
        <v>563</v>
      </c>
      <c r="Y31" s="135" t="s">
        <v>912</v>
      </c>
      <c r="Z31" s="128" t="s">
        <v>96</v>
      </c>
      <c r="AA31" s="128" t="s">
        <v>932</v>
      </c>
      <c r="AB31" s="136" t="s">
        <v>256</v>
      </c>
      <c r="AC31" s="137" t="s">
        <v>914</v>
      </c>
      <c r="AD31" s="136" t="s">
        <v>915</v>
      </c>
      <c r="AE31" s="136" t="s">
        <v>916</v>
      </c>
      <c r="AF31" s="136" t="s">
        <v>59</v>
      </c>
      <c r="AG31" s="136" t="s">
        <v>59</v>
      </c>
      <c r="AH31" s="138">
        <v>-1956</v>
      </c>
      <c r="AI31" s="139" t="s">
        <v>58</v>
      </c>
      <c r="AJ31" s="139" t="s">
        <v>59</v>
      </c>
    </row>
    <row r="32" spans="1:36" ht="15.75" x14ac:dyDescent="0.25">
      <c r="A32" s="115">
        <v>6179</v>
      </c>
      <c r="B32" s="116" t="s">
        <v>36</v>
      </c>
      <c r="C32" s="117" t="s">
        <v>37</v>
      </c>
      <c r="D32" s="118" t="s">
        <v>36</v>
      </c>
      <c r="E32" s="119" t="s">
        <v>38</v>
      </c>
      <c r="F32" s="120" t="s">
        <v>39</v>
      </c>
      <c r="G32" s="118" t="s">
        <v>40</v>
      </c>
      <c r="H32" s="121" t="s">
        <v>41</v>
      </c>
      <c r="I32" s="120" t="s">
        <v>524</v>
      </c>
      <c r="J32" s="122" t="s">
        <v>525</v>
      </c>
      <c r="K32" s="123" t="s">
        <v>526</v>
      </c>
      <c r="L32" t="s">
        <v>63</v>
      </c>
      <c r="M32" s="124" t="s">
        <v>64</v>
      </c>
      <c r="N32" s="125" t="s">
        <v>65</v>
      </c>
      <c r="O32" s="126" t="s">
        <v>929</v>
      </c>
      <c r="P32" s="127"/>
      <c r="Q32" s="128"/>
      <c r="R32" s="128"/>
      <c r="S32" s="129">
        <v>19848</v>
      </c>
      <c r="T32" s="130" t="s">
        <v>528</v>
      </c>
      <c r="U32" s="131">
        <v>45345</v>
      </c>
      <c r="V32" s="132"/>
      <c r="W32" s="133"/>
      <c r="X32" s="134" t="s">
        <v>944</v>
      </c>
      <c r="Y32" s="135" t="s">
        <v>912</v>
      </c>
      <c r="Z32" s="128" t="s">
        <v>96</v>
      </c>
      <c r="AA32" s="128" t="s">
        <v>913</v>
      </c>
      <c r="AB32" s="136" t="s">
        <v>256</v>
      </c>
      <c r="AC32" s="137" t="s">
        <v>914</v>
      </c>
      <c r="AD32" s="136" t="s">
        <v>915</v>
      </c>
      <c r="AE32" s="136" t="s">
        <v>916</v>
      </c>
      <c r="AF32" s="136" t="s">
        <v>59</v>
      </c>
      <c r="AG32" s="136" t="s">
        <v>59</v>
      </c>
      <c r="AH32" s="138">
        <v>-19848</v>
      </c>
      <c r="AI32" s="139" t="s">
        <v>58</v>
      </c>
      <c r="AJ32" s="139" t="s">
        <v>59</v>
      </c>
    </row>
    <row r="33" spans="1:36" ht="15.75" x14ac:dyDescent="0.25">
      <c r="A33" s="115">
        <v>6621</v>
      </c>
      <c r="B33" s="116" t="s">
        <v>36</v>
      </c>
      <c r="C33" s="117" t="s">
        <v>37</v>
      </c>
      <c r="D33" s="118" t="s">
        <v>36</v>
      </c>
      <c r="E33" s="119" t="s">
        <v>38</v>
      </c>
      <c r="F33" s="120" t="s">
        <v>39</v>
      </c>
      <c r="G33" s="118" t="s">
        <v>40</v>
      </c>
      <c r="H33" s="121" t="s">
        <v>41</v>
      </c>
      <c r="I33" s="120" t="s">
        <v>524</v>
      </c>
      <c r="J33" s="122" t="s">
        <v>525</v>
      </c>
      <c r="K33" s="123" t="s">
        <v>526</v>
      </c>
      <c r="L33" t="s">
        <v>262</v>
      </c>
      <c r="M33" s="124" t="s">
        <v>263</v>
      </c>
      <c r="N33" s="125" t="s">
        <v>264</v>
      </c>
      <c r="O33" s="126" t="s">
        <v>929</v>
      </c>
      <c r="P33" s="127"/>
      <c r="Q33" s="128"/>
      <c r="R33" s="128"/>
      <c r="S33" s="129">
        <v>9290.23</v>
      </c>
      <c r="T33" s="130" t="s">
        <v>528</v>
      </c>
      <c r="U33" s="131">
        <v>45350</v>
      </c>
      <c r="V33" s="132"/>
      <c r="W33" s="133"/>
      <c r="X33" s="134" t="s">
        <v>945</v>
      </c>
      <c r="Y33" s="135" t="s">
        <v>912</v>
      </c>
      <c r="Z33" s="128" t="s">
        <v>96</v>
      </c>
      <c r="AA33" s="128" t="s">
        <v>932</v>
      </c>
      <c r="AB33" s="136" t="s">
        <v>256</v>
      </c>
      <c r="AC33" s="137" t="s">
        <v>914</v>
      </c>
      <c r="AD33" s="136" t="s">
        <v>915</v>
      </c>
      <c r="AE33" s="136" t="s">
        <v>916</v>
      </c>
      <c r="AF33" s="136" t="s">
        <v>59</v>
      </c>
      <c r="AG33" s="136" t="s">
        <v>59</v>
      </c>
      <c r="AH33" s="138">
        <v>-9290.23</v>
      </c>
      <c r="AI33" s="139" t="s">
        <v>58</v>
      </c>
      <c r="AJ33" s="139" t="s">
        <v>59</v>
      </c>
    </row>
    <row r="34" spans="1:36" ht="15.75" x14ac:dyDescent="0.25">
      <c r="A34" s="115">
        <v>6761</v>
      </c>
      <c r="B34" s="116" t="s">
        <v>36</v>
      </c>
      <c r="C34" s="117" t="s">
        <v>37</v>
      </c>
      <c r="D34" s="118" t="s">
        <v>36</v>
      </c>
      <c r="E34" s="119" t="s">
        <v>38</v>
      </c>
      <c r="F34" s="120" t="s">
        <v>39</v>
      </c>
      <c r="G34" s="118" t="s">
        <v>40</v>
      </c>
      <c r="H34" s="121" t="s">
        <v>41</v>
      </c>
      <c r="I34" s="120" t="s">
        <v>524</v>
      </c>
      <c r="J34" s="122" t="s">
        <v>525</v>
      </c>
      <c r="K34" s="123" t="s">
        <v>526</v>
      </c>
      <c r="L34" t="s">
        <v>251</v>
      </c>
      <c r="M34" s="124" t="s">
        <v>934</v>
      </c>
      <c r="N34" s="125" t="s">
        <v>935</v>
      </c>
      <c r="O34" s="126" t="s">
        <v>929</v>
      </c>
      <c r="P34" s="127"/>
      <c r="Q34" s="128"/>
      <c r="R34" s="128"/>
      <c r="S34" s="129">
        <v>1433.77</v>
      </c>
      <c r="T34" s="130" t="s">
        <v>528</v>
      </c>
      <c r="U34" s="131">
        <v>45351</v>
      </c>
      <c r="V34" s="132"/>
      <c r="W34" s="133"/>
      <c r="X34" s="134" t="s">
        <v>743</v>
      </c>
      <c r="Y34" s="135" t="s">
        <v>912</v>
      </c>
      <c r="Z34" s="128" t="s">
        <v>96</v>
      </c>
      <c r="AA34" s="128" t="s">
        <v>936</v>
      </c>
      <c r="AB34" s="136" t="s">
        <v>256</v>
      </c>
      <c r="AC34" s="137" t="s">
        <v>914</v>
      </c>
      <c r="AD34" s="136" t="s">
        <v>915</v>
      </c>
      <c r="AE34" s="136" t="s">
        <v>916</v>
      </c>
      <c r="AF34" s="136" t="s">
        <v>59</v>
      </c>
      <c r="AG34" s="136" t="s">
        <v>59</v>
      </c>
      <c r="AH34" s="138">
        <v>-1433.77</v>
      </c>
      <c r="AI34" s="139" t="s">
        <v>58</v>
      </c>
      <c r="AJ34" s="139" t="s">
        <v>59</v>
      </c>
    </row>
    <row r="35" spans="1:36" ht="15.75" x14ac:dyDescent="0.25">
      <c r="A35" s="115">
        <v>6873</v>
      </c>
      <c r="B35" s="116" t="s">
        <v>36</v>
      </c>
      <c r="C35" s="117" t="s">
        <v>37</v>
      </c>
      <c r="D35" s="118" t="s">
        <v>36</v>
      </c>
      <c r="E35" s="119" t="s">
        <v>38</v>
      </c>
      <c r="F35" s="140" t="s">
        <v>39</v>
      </c>
      <c r="G35" s="118" t="s">
        <v>40</v>
      </c>
      <c r="H35" s="121" t="s">
        <v>41</v>
      </c>
      <c r="I35" s="120" t="s">
        <v>524</v>
      </c>
      <c r="J35" s="122" t="s">
        <v>525</v>
      </c>
      <c r="K35" s="123" t="s">
        <v>526</v>
      </c>
      <c r="L35" t="s">
        <v>262</v>
      </c>
      <c r="M35" s="124" t="s">
        <v>263</v>
      </c>
      <c r="N35" s="125" t="s">
        <v>264</v>
      </c>
      <c r="O35" s="126" t="s">
        <v>942</v>
      </c>
      <c r="P35" s="127"/>
      <c r="Q35" s="128"/>
      <c r="R35" s="128"/>
      <c r="S35" s="129">
        <v>162.83000000000001</v>
      </c>
      <c r="T35" s="130" t="s">
        <v>528</v>
      </c>
      <c r="U35" s="131">
        <v>45351</v>
      </c>
      <c r="V35" s="132"/>
      <c r="W35" s="133"/>
      <c r="X35" s="134" t="s">
        <v>943</v>
      </c>
      <c r="Y35" s="135" t="s">
        <v>912</v>
      </c>
      <c r="Z35" s="128" t="s">
        <v>96</v>
      </c>
      <c r="AA35" s="128" t="s">
        <v>932</v>
      </c>
      <c r="AB35" s="136" t="s">
        <v>256</v>
      </c>
      <c r="AC35" s="137" t="s">
        <v>914</v>
      </c>
      <c r="AD35" s="136" t="s">
        <v>915</v>
      </c>
      <c r="AE35" s="136" t="s">
        <v>916</v>
      </c>
      <c r="AF35" s="136" t="s">
        <v>59</v>
      </c>
      <c r="AG35" s="136" t="s">
        <v>59</v>
      </c>
      <c r="AH35" s="138">
        <v>-162.83000000000001</v>
      </c>
      <c r="AI35" s="139" t="s">
        <v>58</v>
      </c>
      <c r="AJ35" s="139" t="s">
        <v>59</v>
      </c>
    </row>
    <row r="36" spans="1:36" ht="15.75" x14ac:dyDescent="0.25">
      <c r="A36" s="115">
        <v>7813</v>
      </c>
      <c r="B36" s="116" t="s">
        <v>36</v>
      </c>
      <c r="C36" s="117" t="s">
        <v>37</v>
      </c>
      <c r="D36" s="118" t="s">
        <v>36</v>
      </c>
      <c r="E36" s="119" t="s">
        <v>38</v>
      </c>
      <c r="F36" s="120" t="s">
        <v>39</v>
      </c>
      <c r="G36" s="118" t="s">
        <v>40</v>
      </c>
      <c r="H36" s="121" t="s">
        <v>41</v>
      </c>
      <c r="I36" s="120" t="s">
        <v>524</v>
      </c>
      <c r="J36" s="122" t="s">
        <v>525</v>
      </c>
      <c r="K36" s="123" t="s">
        <v>526</v>
      </c>
      <c r="L36" t="s">
        <v>63</v>
      </c>
      <c r="M36" s="124" t="s">
        <v>64</v>
      </c>
      <c r="N36" s="125" t="s">
        <v>65</v>
      </c>
      <c r="O36" s="126" t="s">
        <v>929</v>
      </c>
      <c r="P36" s="127">
        <v>63632</v>
      </c>
      <c r="Q36" s="128"/>
      <c r="R36" s="128"/>
      <c r="S36" s="129">
        <v>2280</v>
      </c>
      <c r="T36" s="130" t="s">
        <v>528</v>
      </c>
      <c r="U36" s="131">
        <v>45358</v>
      </c>
      <c r="V36" s="132"/>
      <c r="W36" s="133"/>
      <c r="X36" s="134" t="s">
        <v>541</v>
      </c>
      <c r="Y36" s="135" t="s">
        <v>912</v>
      </c>
      <c r="Z36" s="128" t="s">
        <v>96</v>
      </c>
      <c r="AA36" s="128" t="s">
        <v>913</v>
      </c>
      <c r="AB36" s="136" t="s">
        <v>256</v>
      </c>
      <c r="AC36" s="137" t="s">
        <v>914</v>
      </c>
      <c r="AD36" s="136" t="s">
        <v>915</v>
      </c>
      <c r="AE36" s="136" t="s">
        <v>916</v>
      </c>
      <c r="AF36" s="136" t="s">
        <v>59</v>
      </c>
      <c r="AG36" s="136" t="s">
        <v>59</v>
      </c>
      <c r="AH36" s="138">
        <v>-2280</v>
      </c>
      <c r="AI36" s="139" t="s">
        <v>58</v>
      </c>
      <c r="AJ36" s="139" t="s">
        <v>59</v>
      </c>
    </row>
    <row r="37" spans="1:36" ht="15.75" x14ac:dyDescent="0.25">
      <c r="A37" s="115">
        <v>7837</v>
      </c>
      <c r="B37" s="116" t="s">
        <v>36</v>
      </c>
      <c r="C37" s="117" t="s">
        <v>37</v>
      </c>
      <c r="D37" s="118" t="s">
        <v>36</v>
      </c>
      <c r="E37" s="119" t="s">
        <v>38</v>
      </c>
      <c r="F37" s="120" t="s">
        <v>39</v>
      </c>
      <c r="G37" s="118" t="s">
        <v>40</v>
      </c>
      <c r="H37" s="121" t="s">
        <v>41</v>
      </c>
      <c r="I37" s="120" t="s">
        <v>524</v>
      </c>
      <c r="J37" s="122" t="s">
        <v>525</v>
      </c>
      <c r="K37" s="123" t="s">
        <v>526</v>
      </c>
      <c r="L37" t="s">
        <v>63</v>
      </c>
      <c r="M37" s="124" t="s">
        <v>64</v>
      </c>
      <c r="N37" s="125" t="s">
        <v>65</v>
      </c>
      <c r="O37" s="126" t="s">
        <v>929</v>
      </c>
      <c r="P37" s="127">
        <v>63636</v>
      </c>
      <c r="Q37" s="128"/>
      <c r="R37" s="128"/>
      <c r="S37" s="129">
        <v>150</v>
      </c>
      <c r="T37" s="130" t="s">
        <v>528</v>
      </c>
      <c r="U37" s="131">
        <v>45358</v>
      </c>
      <c r="V37" s="132"/>
      <c r="W37" s="133"/>
      <c r="X37" s="134" t="s">
        <v>533</v>
      </c>
      <c r="Y37" s="135" t="s">
        <v>912</v>
      </c>
      <c r="Z37" s="128" t="s">
        <v>96</v>
      </c>
      <c r="AA37" s="128" t="s">
        <v>913</v>
      </c>
      <c r="AB37" s="136" t="s">
        <v>256</v>
      </c>
      <c r="AC37" s="137" t="s">
        <v>914</v>
      </c>
      <c r="AD37" s="136" t="s">
        <v>915</v>
      </c>
      <c r="AE37" s="136" t="s">
        <v>916</v>
      </c>
      <c r="AF37" s="136" t="s">
        <v>59</v>
      </c>
      <c r="AG37" s="136" t="s">
        <v>59</v>
      </c>
      <c r="AH37" s="138">
        <v>-150</v>
      </c>
      <c r="AI37" s="139" t="s">
        <v>58</v>
      </c>
      <c r="AJ37" s="139" t="s">
        <v>59</v>
      </c>
    </row>
    <row r="38" spans="1:36" ht="15.75" x14ac:dyDescent="0.25">
      <c r="A38" s="115">
        <v>7838</v>
      </c>
      <c r="B38" s="116" t="s">
        <v>36</v>
      </c>
      <c r="C38" s="117" t="s">
        <v>37</v>
      </c>
      <c r="D38" s="118" t="s">
        <v>36</v>
      </c>
      <c r="E38" s="119" t="s">
        <v>38</v>
      </c>
      <c r="F38" s="120" t="s">
        <v>39</v>
      </c>
      <c r="G38" s="118" t="s">
        <v>40</v>
      </c>
      <c r="H38" s="121" t="s">
        <v>41</v>
      </c>
      <c r="I38" s="120" t="s">
        <v>524</v>
      </c>
      <c r="J38" s="122" t="s">
        <v>525</v>
      </c>
      <c r="K38" s="123" t="s">
        <v>526</v>
      </c>
      <c r="L38" t="s">
        <v>262</v>
      </c>
      <c r="M38" s="124" t="s">
        <v>263</v>
      </c>
      <c r="N38" s="125" t="s">
        <v>264</v>
      </c>
      <c r="O38" s="126" t="s">
        <v>929</v>
      </c>
      <c r="P38" s="127">
        <v>63637</v>
      </c>
      <c r="Q38" s="128"/>
      <c r="R38" s="128"/>
      <c r="S38" s="129">
        <v>1060.56</v>
      </c>
      <c r="T38" s="130" t="s">
        <v>528</v>
      </c>
      <c r="U38" s="131">
        <v>45358</v>
      </c>
      <c r="V38" s="132"/>
      <c r="W38" s="133"/>
      <c r="X38" s="134" t="s">
        <v>533</v>
      </c>
      <c r="Y38" s="135" t="s">
        <v>912</v>
      </c>
      <c r="Z38" s="128" t="s">
        <v>96</v>
      </c>
      <c r="AA38" s="128" t="s">
        <v>932</v>
      </c>
      <c r="AB38" s="136" t="s">
        <v>256</v>
      </c>
      <c r="AC38" s="137" t="s">
        <v>914</v>
      </c>
      <c r="AD38" s="136" t="s">
        <v>915</v>
      </c>
      <c r="AE38" s="136" t="s">
        <v>916</v>
      </c>
      <c r="AF38" s="136" t="s">
        <v>59</v>
      </c>
      <c r="AG38" s="136" t="s">
        <v>59</v>
      </c>
      <c r="AH38" s="138">
        <v>-1060.56</v>
      </c>
      <c r="AI38" s="139" t="s">
        <v>58</v>
      </c>
      <c r="AJ38" s="139" t="s">
        <v>59</v>
      </c>
    </row>
    <row r="39" spans="1:36" ht="15.75" x14ac:dyDescent="0.25">
      <c r="A39" s="115">
        <v>8223</v>
      </c>
      <c r="B39" s="116" t="s">
        <v>36</v>
      </c>
      <c r="C39" s="117" t="s">
        <v>37</v>
      </c>
      <c r="D39" s="118" t="s">
        <v>36</v>
      </c>
      <c r="E39" s="119" t="s">
        <v>38</v>
      </c>
      <c r="F39" s="120" t="s">
        <v>39</v>
      </c>
      <c r="G39" s="118" t="s">
        <v>40</v>
      </c>
      <c r="H39" s="121" t="s">
        <v>41</v>
      </c>
      <c r="I39" s="120" t="s">
        <v>524</v>
      </c>
      <c r="J39" s="122" t="s">
        <v>525</v>
      </c>
      <c r="K39" s="123" t="s">
        <v>526</v>
      </c>
      <c r="L39" t="s">
        <v>251</v>
      </c>
      <c r="M39" s="124" t="s">
        <v>934</v>
      </c>
      <c r="N39" s="125" t="s">
        <v>935</v>
      </c>
      <c r="O39" s="126" t="s">
        <v>929</v>
      </c>
      <c r="P39" s="127">
        <v>63911</v>
      </c>
      <c r="Q39" s="128"/>
      <c r="R39" s="128"/>
      <c r="S39" s="129">
        <v>1527.92</v>
      </c>
      <c r="T39" s="130" t="s">
        <v>528</v>
      </c>
      <c r="U39" s="131">
        <v>45363</v>
      </c>
      <c r="V39" s="132"/>
      <c r="W39" s="133"/>
      <c r="X39" s="134" t="s">
        <v>743</v>
      </c>
      <c r="Y39" s="135" t="s">
        <v>912</v>
      </c>
      <c r="Z39" s="128" t="s">
        <v>96</v>
      </c>
      <c r="AA39" s="128" t="s">
        <v>936</v>
      </c>
      <c r="AB39" s="136" t="s">
        <v>256</v>
      </c>
      <c r="AC39" s="137" t="s">
        <v>914</v>
      </c>
      <c r="AD39" s="136" t="s">
        <v>915</v>
      </c>
      <c r="AE39" s="136" t="s">
        <v>916</v>
      </c>
      <c r="AF39" s="136" t="s">
        <v>59</v>
      </c>
      <c r="AG39" s="136" t="s">
        <v>59</v>
      </c>
      <c r="AH39" s="138">
        <v>-1527.92</v>
      </c>
      <c r="AI39" s="139" t="s">
        <v>58</v>
      </c>
      <c r="AJ39" s="139" t="s">
        <v>59</v>
      </c>
    </row>
    <row r="40" spans="1:36" ht="15.75" x14ac:dyDescent="0.25">
      <c r="A40" s="115">
        <v>8500</v>
      </c>
      <c r="B40" s="116" t="s">
        <v>36</v>
      </c>
      <c r="C40" s="117" t="s">
        <v>37</v>
      </c>
      <c r="D40" s="118" t="s">
        <v>36</v>
      </c>
      <c r="E40" s="119" t="s">
        <v>38</v>
      </c>
      <c r="F40" s="120" t="s">
        <v>39</v>
      </c>
      <c r="G40" s="118" t="s">
        <v>40</v>
      </c>
      <c r="H40" s="121" t="s">
        <v>41</v>
      </c>
      <c r="I40" s="120" t="s">
        <v>524</v>
      </c>
      <c r="J40" s="122" t="s">
        <v>525</v>
      </c>
      <c r="K40" s="123" t="s">
        <v>526</v>
      </c>
      <c r="L40" t="s">
        <v>83</v>
      </c>
      <c r="M40" s="124" t="s">
        <v>84</v>
      </c>
      <c r="N40" s="125" t="s">
        <v>85</v>
      </c>
      <c r="O40" s="126" t="s">
        <v>929</v>
      </c>
      <c r="P40" s="127">
        <v>63995</v>
      </c>
      <c r="Q40" s="128"/>
      <c r="R40" s="128"/>
      <c r="S40" s="129">
        <v>100.82</v>
      </c>
      <c r="T40" s="130" t="s">
        <v>528</v>
      </c>
      <c r="U40" s="131">
        <v>45365</v>
      </c>
      <c r="V40" s="132"/>
      <c r="W40" s="133"/>
      <c r="X40" s="134" t="s">
        <v>953</v>
      </c>
      <c r="Y40" s="135" t="s">
        <v>912</v>
      </c>
      <c r="Z40" s="128" t="s">
        <v>96</v>
      </c>
      <c r="AA40" s="128" t="s">
        <v>939</v>
      </c>
      <c r="AB40" s="136" t="s">
        <v>256</v>
      </c>
      <c r="AC40" s="137" t="s">
        <v>914</v>
      </c>
      <c r="AD40" s="136" t="s">
        <v>915</v>
      </c>
      <c r="AE40" s="136" t="s">
        <v>916</v>
      </c>
      <c r="AF40" s="136" t="s">
        <v>59</v>
      </c>
      <c r="AG40" s="136" t="s">
        <v>59</v>
      </c>
      <c r="AH40" s="138">
        <v>-100.82</v>
      </c>
      <c r="AI40" s="139" t="s">
        <v>58</v>
      </c>
      <c r="AJ40" s="139" t="s">
        <v>59</v>
      </c>
    </row>
    <row r="41" spans="1:36" ht="15.75" x14ac:dyDescent="0.25">
      <c r="A41" s="115">
        <v>9251</v>
      </c>
      <c r="B41" s="116" t="s">
        <v>36</v>
      </c>
      <c r="C41" s="117" t="s">
        <v>37</v>
      </c>
      <c r="D41" s="118" t="s">
        <v>36</v>
      </c>
      <c r="E41" s="119" t="s">
        <v>38</v>
      </c>
      <c r="F41" s="120" t="s">
        <v>39</v>
      </c>
      <c r="G41" s="118" t="s">
        <v>40</v>
      </c>
      <c r="H41" s="121" t="s">
        <v>41</v>
      </c>
      <c r="I41" s="120" t="s">
        <v>524</v>
      </c>
      <c r="J41" s="122" t="s">
        <v>525</v>
      </c>
      <c r="K41" s="123" t="s">
        <v>526</v>
      </c>
      <c r="L41" t="s">
        <v>251</v>
      </c>
      <c r="M41" s="124" t="s">
        <v>934</v>
      </c>
      <c r="N41" s="125" t="s">
        <v>935</v>
      </c>
      <c r="O41" s="126" t="s">
        <v>929</v>
      </c>
      <c r="P41" s="127">
        <v>64414</v>
      </c>
      <c r="Q41" s="128"/>
      <c r="R41" s="128"/>
      <c r="S41" s="129">
        <v>1401.75</v>
      </c>
      <c r="T41" s="130" t="s">
        <v>528</v>
      </c>
      <c r="U41" s="131">
        <v>45376</v>
      </c>
      <c r="V41" s="132"/>
      <c r="W41" s="133"/>
      <c r="X41" s="134" t="s">
        <v>743</v>
      </c>
      <c r="Y41" s="135" t="s">
        <v>912</v>
      </c>
      <c r="Z41" s="128" t="s">
        <v>96</v>
      </c>
      <c r="AA41" s="128" t="s">
        <v>936</v>
      </c>
      <c r="AB41" s="136" t="s">
        <v>256</v>
      </c>
      <c r="AC41" s="137" t="s">
        <v>914</v>
      </c>
      <c r="AD41" s="136" t="s">
        <v>915</v>
      </c>
      <c r="AE41" s="136" t="s">
        <v>916</v>
      </c>
      <c r="AF41" s="136" t="s">
        <v>59</v>
      </c>
      <c r="AG41" s="136" t="s">
        <v>59</v>
      </c>
      <c r="AH41" s="138">
        <v>-1401.75</v>
      </c>
      <c r="AI41" s="139" t="s">
        <v>58</v>
      </c>
      <c r="AJ41" s="139" t="s">
        <v>59</v>
      </c>
    </row>
    <row r="42" spans="1:36" ht="15.75" x14ac:dyDescent="0.25">
      <c r="A42" s="115">
        <v>10484</v>
      </c>
      <c r="B42" s="116" t="s">
        <v>36</v>
      </c>
      <c r="C42" s="117" t="s">
        <v>37</v>
      </c>
      <c r="D42" s="118" t="s">
        <v>36</v>
      </c>
      <c r="E42" s="119" t="s">
        <v>38</v>
      </c>
      <c r="F42" s="120" t="s">
        <v>39</v>
      </c>
      <c r="G42" s="118" t="s">
        <v>40</v>
      </c>
      <c r="H42" s="121" t="s">
        <v>41</v>
      </c>
      <c r="I42" s="120" t="s">
        <v>524</v>
      </c>
      <c r="J42" s="122" t="s">
        <v>525</v>
      </c>
      <c r="K42" s="123" t="s">
        <v>526</v>
      </c>
      <c r="L42" t="s">
        <v>262</v>
      </c>
      <c r="M42" s="124" t="s">
        <v>263</v>
      </c>
      <c r="N42" s="125" t="s">
        <v>264</v>
      </c>
      <c r="O42" s="126" t="s">
        <v>929</v>
      </c>
      <c r="P42" s="127">
        <v>114338</v>
      </c>
      <c r="Q42" s="128"/>
      <c r="R42" s="128"/>
      <c r="S42" s="129">
        <v>2130.35</v>
      </c>
      <c r="T42" s="130" t="s">
        <v>528</v>
      </c>
      <c r="U42" s="131">
        <v>45385</v>
      </c>
      <c r="V42" s="132"/>
      <c r="W42" s="133">
        <v>3072</v>
      </c>
      <c r="X42" s="134" t="s">
        <v>545</v>
      </c>
      <c r="Y42" s="135" t="s">
        <v>912</v>
      </c>
      <c r="Z42" s="128" t="s">
        <v>96</v>
      </c>
      <c r="AA42" s="128" t="s">
        <v>932</v>
      </c>
      <c r="AB42" s="136" t="s">
        <v>256</v>
      </c>
      <c r="AC42" s="137" t="s">
        <v>914</v>
      </c>
      <c r="AD42" s="136" t="s">
        <v>915</v>
      </c>
      <c r="AE42" s="136" t="s">
        <v>916</v>
      </c>
      <c r="AF42" s="136" t="s">
        <v>59</v>
      </c>
      <c r="AG42" s="136" t="s">
        <v>59</v>
      </c>
      <c r="AH42" s="138">
        <v>-2130.35</v>
      </c>
      <c r="AI42" s="139" t="s">
        <v>58</v>
      </c>
      <c r="AJ42" s="139" t="s">
        <v>59</v>
      </c>
    </row>
    <row r="43" spans="1:36" ht="15.75" x14ac:dyDescent="0.25">
      <c r="A43" s="115">
        <v>10500</v>
      </c>
      <c r="B43" s="116" t="s">
        <v>36</v>
      </c>
      <c r="C43" s="117" t="s">
        <v>37</v>
      </c>
      <c r="D43" s="118" t="s">
        <v>36</v>
      </c>
      <c r="E43" s="119" t="s">
        <v>38</v>
      </c>
      <c r="F43" s="140" t="s">
        <v>39</v>
      </c>
      <c r="G43" s="118" t="s">
        <v>40</v>
      </c>
      <c r="H43" s="121" t="s">
        <v>41</v>
      </c>
      <c r="I43" s="120" t="s">
        <v>524</v>
      </c>
      <c r="J43" s="122" t="s">
        <v>525</v>
      </c>
      <c r="K43" s="123" t="s">
        <v>526</v>
      </c>
      <c r="L43" t="s">
        <v>262</v>
      </c>
      <c r="M43" s="124" t="s">
        <v>263</v>
      </c>
      <c r="N43" s="125" t="s">
        <v>264</v>
      </c>
      <c r="O43" s="126" t="s">
        <v>929</v>
      </c>
      <c r="P43" s="127">
        <v>1537052</v>
      </c>
      <c r="Q43" s="128"/>
      <c r="R43" s="128"/>
      <c r="S43" s="129">
        <v>70</v>
      </c>
      <c r="T43" s="130" t="s">
        <v>528</v>
      </c>
      <c r="U43" s="131">
        <v>45385</v>
      </c>
      <c r="V43" s="132"/>
      <c r="W43" s="133">
        <v>2478</v>
      </c>
      <c r="X43" s="134" t="s">
        <v>563</v>
      </c>
      <c r="Y43" s="135" t="s">
        <v>912</v>
      </c>
      <c r="Z43" s="128" t="s">
        <v>96</v>
      </c>
      <c r="AA43" s="128" t="s">
        <v>954</v>
      </c>
      <c r="AB43" s="136" t="s">
        <v>256</v>
      </c>
      <c r="AC43" s="137" t="s">
        <v>914</v>
      </c>
      <c r="AD43" s="136" t="s">
        <v>915</v>
      </c>
      <c r="AE43" s="136" t="s">
        <v>916</v>
      </c>
      <c r="AF43" s="136" t="s">
        <v>59</v>
      </c>
      <c r="AG43" s="136" t="s">
        <v>59</v>
      </c>
      <c r="AH43" s="138">
        <v>-70</v>
      </c>
      <c r="AI43" s="139" t="s">
        <v>58</v>
      </c>
      <c r="AJ43" s="139" t="s">
        <v>59</v>
      </c>
    </row>
    <row r="44" spans="1:36" ht="15.75" x14ac:dyDescent="0.25">
      <c r="A44" s="115">
        <v>10636</v>
      </c>
      <c r="B44" s="116" t="s">
        <v>36</v>
      </c>
      <c r="C44" s="117" t="s">
        <v>37</v>
      </c>
      <c r="D44" s="118" t="s">
        <v>36</v>
      </c>
      <c r="E44" s="119" t="s">
        <v>38</v>
      </c>
      <c r="F44" s="120" t="s">
        <v>39</v>
      </c>
      <c r="G44" s="118" t="s">
        <v>40</v>
      </c>
      <c r="H44" s="121" t="s">
        <v>41</v>
      </c>
      <c r="I44" s="120" t="s">
        <v>524</v>
      </c>
      <c r="J44" s="122" t="s">
        <v>525</v>
      </c>
      <c r="K44" s="123" t="s">
        <v>526</v>
      </c>
      <c r="L44" t="s">
        <v>251</v>
      </c>
      <c r="M44" s="124" t="s">
        <v>934</v>
      </c>
      <c r="N44" s="125" t="s">
        <v>935</v>
      </c>
      <c r="O44" s="126" t="s">
        <v>929</v>
      </c>
      <c r="P44" s="127">
        <v>53936094</v>
      </c>
      <c r="Q44" s="128"/>
      <c r="R44" s="128"/>
      <c r="S44" s="129">
        <v>1633.64</v>
      </c>
      <c r="T44" s="130" t="s">
        <v>528</v>
      </c>
      <c r="U44" s="131">
        <v>45386</v>
      </c>
      <c r="V44" s="132"/>
      <c r="W44" s="133">
        <v>2</v>
      </c>
      <c r="X44" s="134" t="s">
        <v>743</v>
      </c>
      <c r="Y44" s="135" t="s">
        <v>912</v>
      </c>
      <c r="Z44" s="128" t="s">
        <v>96</v>
      </c>
      <c r="AA44" s="128" t="s">
        <v>936</v>
      </c>
      <c r="AB44" s="136" t="s">
        <v>256</v>
      </c>
      <c r="AC44" s="137" t="s">
        <v>914</v>
      </c>
      <c r="AD44" s="136" t="s">
        <v>915</v>
      </c>
      <c r="AE44" s="136" t="s">
        <v>916</v>
      </c>
      <c r="AF44" s="136" t="s">
        <v>59</v>
      </c>
      <c r="AG44" s="136" t="s">
        <v>59</v>
      </c>
      <c r="AH44" s="138">
        <v>-1633.64</v>
      </c>
      <c r="AI44" s="139" t="s">
        <v>58</v>
      </c>
      <c r="AJ44" s="139" t="s">
        <v>59</v>
      </c>
    </row>
    <row r="45" spans="1:36" ht="15.75" x14ac:dyDescent="0.25">
      <c r="A45" s="115">
        <v>10908</v>
      </c>
      <c r="B45" s="116" t="s">
        <v>36</v>
      </c>
      <c r="C45" s="117" t="s">
        <v>37</v>
      </c>
      <c r="D45" s="118" t="s">
        <v>36</v>
      </c>
      <c r="E45" s="119" t="s">
        <v>38</v>
      </c>
      <c r="F45" s="140" t="s">
        <v>39</v>
      </c>
      <c r="G45" s="118" t="s">
        <v>40</v>
      </c>
      <c r="H45" s="121" t="s">
        <v>41</v>
      </c>
      <c r="I45" s="120" t="s">
        <v>524</v>
      </c>
      <c r="J45" s="122" t="s">
        <v>525</v>
      </c>
      <c r="K45" s="123" t="s">
        <v>526</v>
      </c>
      <c r="L45" t="s">
        <v>63</v>
      </c>
      <c r="M45" s="124" t="s">
        <v>64</v>
      </c>
      <c r="N45" s="125" t="s">
        <v>65</v>
      </c>
      <c r="O45" s="126" t="s">
        <v>929</v>
      </c>
      <c r="P45" s="127">
        <v>1790</v>
      </c>
      <c r="Q45" s="128"/>
      <c r="R45" s="128"/>
      <c r="S45" s="129">
        <v>1008.98</v>
      </c>
      <c r="T45" s="130" t="s">
        <v>528</v>
      </c>
      <c r="U45" s="131">
        <v>45388</v>
      </c>
      <c r="V45" s="132"/>
      <c r="W45" s="133">
        <v>8100</v>
      </c>
      <c r="X45" s="134" t="s">
        <v>573</v>
      </c>
      <c r="Y45" s="135" t="s">
        <v>912</v>
      </c>
      <c r="Z45" s="128" t="s">
        <v>96</v>
      </c>
      <c r="AA45" s="128" t="s">
        <v>931</v>
      </c>
      <c r="AB45" s="136" t="s">
        <v>256</v>
      </c>
      <c r="AC45" s="137" t="s">
        <v>914</v>
      </c>
      <c r="AD45" s="136" t="s">
        <v>915</v>
      </c>
      <c r="AE45" s="136" t="s">
        <v>916</v>
      </c>
      <c r="AF45" s="136" t="s">
        <v>59</v>
      </c>
      <c r="AG45" s="136" t="s">
        <v>59</v>
      </c>
      <c r="AH45" s="138">
        <v>-1008.98</v>
      </c>
      <c r="AI45" s="139" t="s">
        <v>58</v>
      </c>
      <c r="AJ45" s="139" t="s">
        <v>59</v>
      </c>
    </row>
    <row r="46" spans="1:36" ht="15.75" x14ac:dyDescent="0.25">
      <c r="A46" s="115">
        <v>10947</v>
      </c>
      <c r="B46" s="116" t="s">
        <v>36</v>
      </c>
      <c r="C46" s="117" t="s">
        <v>37</v>
      </c>
      <c r="D46" s="118" t="s">
        <v>36</v>
      </c>
      <c r="E46" s="119" t="s">
        <v>38</v>
      </c>
      <c r="F46" s="120" t="s">
        <v>39</v>
      </c>
      <c r="G46" s="118" t="s">
        <v>40</v>
      </c>
      <c r="H46" s="121" t="s">
        <v>41</v>
      </c>
      <c r="I46" s="120" t="s">
        <v>524</v>
      </c>
      <c r="J46" s="122" t="s">
        <v>525</v>
      </c>
      <c r="K46" s="123" t="s">
        <v>526</v>
      </c>
      <c r="L46" t="s">
        <v>63</v>
      </c>
      <c r="M46" s="124" t="s">
        <v>64</v>
      </c>
      <c r="N46" s="125" t="s">
        <v>65</v>
      </c>
      <c r="O46" s="126" t="s">
        <v>929</v>
      </c>
      <c r="P46" s="127">
        <v>523668</v>
      </c>
      <c r="Q46" s="128"/>
      <c r="R46" s="128"/>
      <c r="S46" s="129">
        <v>629.57000000000005</v>
      </c>
      <c r="T46" s="130" t="s">
        <v>528</v>
      </c>
      <c r="U46" s="131">
        <v>45390</v>
      </c>
      <c r="V46" s="132"/>
      <c r="W46" s="133">
        <v>1283</v>
      </c>
      <c r="X46" s="134" t="s">
        <v>955</v>
      </c>
      <c r="Y46" s="135" t="s">
        <v>912</v>
      </c>
      <c r="Z46" s="128" t="s">
        <v>96</v>
      </c>
      <c r="AA46" s="128" t="s">
        <v>931</v>
      </c>
      <c r="AB46" s="136" t="s">
        <v>256</v>
      </c>
      <c r="AC46" s="137" t="s">
        <v>914</v>
      </c>
      <c r="AD46" s="136" t="s">
        <v>915</v>
      </c>
      <c r="AE46" s="136" t="s">
        <v>916</v>
      </c>
      <c r="AF46" s="136" t="s">
        <v>59</v>
      </c>
      <c r="AG46" s="136" t="s">
        <v>59</v>
      </c>
      <c r="AH46" s="138">
        <v>-629.57000000000005</v>
      </c>
      <c r="AI46" s="139" t="s">
        <v>58</v>
      </c>
      <c r="AJ46" s="139" t="s">
        <v>59</v>
      </c>
    </row>
    <row r="47" spans="1:36" ht="15.75" x14ac:dyDescent="0.25">
      <c r="A47" s="115">
        <v>11506</v>
      </c>
      <c r="B47" s="116" t="s">
        <v>36</v>
      </c>
      <c r="C47" s="117" t="s">
        <v>37</v>
      </c>
      <c r="D47" s="118" t="s">
        <v>36</v>
      </c>
      <c r="E47" s="119" t="s">
        <v>38</v>
      </c>
      <c r="F47" s="120" t="s">
        <v>39</v>
      </c>
      <c r="G47" s="118" t="s">
        <v>40</v>
      </c>
      <c r="H47" s="121" t="s">
        <v>41</v>
      </c>
      <c r="I47" s="120" t="s">
        <v>524</v>
      </c>
      <c r="J47" s="122" t="s">
        <v>525</v>
      </c>
      <c r="K47" s="123" t="s">
        <v>526</v>
      </c>
      <c r="L47" t="s">
        <v>251</v>
      </c>
      <c r="M47" s="124" t="s">
        <v>934</v>
      </c>
      <c r="N47" s="125" t="s">
        <v>935</v>
      </c>
      <c r="O47" s="126" t="s">
        <v>929</v>
      </c>
      <c r="P47" s="127">
        <v>54172808</v>
      </c>
      <c r="Q47" s="128"/>
      <c r="R47" s="128"/>
      <c r="S47" s="129">
        <v>1317.05</v>
      </c>
      <c r="T47" s="130" t="s">
        <v>528</v>
      </c>
      <c r="U47" s="131">
        <v>45393</v>
      </c>
      <c r="V47" s="132"/>
      <c r="W47" s="133">
        <v>2</v>
      </c>
      <c r="X47" s="134" t="s">
        <v>743</v>
      </c>
      <c r="Y47" s="135" t="s">
        <v>912</v>
      </c>
      <c r="Z47" s="128" t="s">
        <v>96</v>
      </c>
      <c r="AA47" s="128" t="s">
        <v>936</v>
      </c>
      <c r="AB47" s="136" t="s">
        <v>256</v>
      </c>
      <c r="AC47" s="137" t="s">
        <v>914</v>
      </c>
      <c r="AD47" s="136" t="s">
        <v>915</v>
      </c>
      <c r="AE47" s="136" t="s">
        <v>916</v>
      </c>
      <c r="AF47" s="136" t="s">
        <v>59</v>
      </c>
      <c r="AG47" s="136" t="s">
        <v>59</v>
      </c>
      <c r="AH47" s="138">
        <v>-1317.05</v>
      </c>
      <c r="AI47" s="139" t="s">
        <v>58</v>
      </c>
      <c r="AJ47" s="139" t="s">
        <v>59</v>
      </c>
    </row>
    <row r="48" spans="1:36" ht="15.75" x14ac:dyDescent="0.25">
      <c r="A48" s="115">
        <v>11511</v>
      </c>
      <c r="B48" s="116" t="s">
        <v>36</v>
      </c>
      <c r="C48" s="117" t="s">
        <v>37</v>
      </c>
      <c r="D48" s="118" t="s">
        <v>36</v>
      </c>
      <c r="E48" s="119" t="s">
        <v>38</v>
      </c>
      <c r="F48" s="120" t="s">
        <v>39</v>
      </c>
      <c r="G48" s="118" t="s">
        <v>40</v>
      </c>
      <c r="H48" s="121" t="s">
        <v>41</v>
      </c>
      <c r="I48" s="120" t="s">
        <v>524</v>
      </c>
      <c r="J48" s="122" t="s">
        <v>525</v>
      </c>
      <c r="K48" s="123" t="s">
        <v>526</v>
      </c>
      <c r="L48" t="s">
        <v>251</v>
      </c>
      <c r="M48" s="124" t="s">
        <v>934</v>
      </c>
      <c r="N48" s="125" t="s">
        <v>935</v>
      </c>
      <c r="O48" s="126" t="s">
        <v>929</v>
      </c>
      <c r="P48" s="127">
        <v>54162626</v>
      </c>
      <c r="Q48" s="128"/>
      <c r="R48" s="128"/>
      <c r="S48" s="129">
        <v>265</v>
      </c>
      <c r="T48" s="130" t="s">
        <v>528</v>
      </c>
      <c r="U48" s="131">
        <v>45393</v>
      </c>
      <c r="V48" s="132"/>
      <c r="W48" s="133">
        <v>2</v>
      </c>
      <c r="X48" s="134" t="s">
        <v>743</v>
      </c>
      <c r="Y48" s="135" t="s">
        <v>912</v>
      </c>
      <c r="Z48" s="128" t="s">
        <v>96</v>
      </c>
      <c r="AA48" s="128" t="s">
        <v>936</v>
      </c>
      <c r="AB48" s="136" t="s">
        <v>256</v>
      </c>
      <c r="AC48" s="137" t="s">
        <v>914</v>
      </c>
      <c r="AD48" s="136" t="s">
        <v>915</v>
      </c>
      <c r="AE48" s="136" t="s">
        <v>916</v>
      </c>
      <c r="AF48" s="136" t="s">
        <v>59</v>
      </c>
      <c r="AG48" s="136" t="s">
        <v>59</v>
      </c>
      <c r="AH48" s="138">
        <v>-265</v>
      </c>
      <c r="AI48" s="139" t="s">
        <v>58</v>
      </c>
      <c r="AJ48" s="139" t="s">
        <v>59</v>
      </c>
    </row>
    <row r="49" spans="1:36" ht="15.75" x14ac:dyDescent="0.25">
      <c r="A49" s="115">
        <v>11706</v>
      </c>
      <c r="B49" s="116" t="s">
        <v>36</v>
      </c>
      <c r="C49" s="117" t="s">
        <v>37</v>
      </c>
      <c r="D49" s="118" t="s">
        <v>36</v>
      </c>
      <c r="E49" s="119" t="s">
        <v>38</v>
      </c>
      <c r="F49" s="120" t="s">
        <v>39</v>
      </c>
      <c r="G49" s="118" t="s">
        <v>40</v>
      </c>
      <c r="H49" s="121" t="s">
        <v>41</v>
      </c>
      <c r="I49" s="120" t="s">
        <v>524</v>
      </c>
      <c r="J49" s="122" t="s">
        <v>525</v>
      </c>
      <c r="K49" s="123" t="s">
        <v>526</v>
      </c>
      <c r="L49" t="s">
        <v>63</v>
      </c>
      <c r="M49" s="124" t="s">
        <v>64</v>
      </c>
      <c r="N49" s="125" t="s">
        <v>65</v>
      </c>
      <c r="O49" s="126" t="s">
        <v>929</v>
      </c>
      <c r="P49" s="127">
        <v>550</v>
      </c>
      <c r="Q49" s="128"/>
      <c r="R49" s="128"/>
      <c r="S49" s="129">
        <v>1100</v>
      </c>
      <c r="T49" s="130" t="s">
        <v>528</v>
      </c>
      <c r="U49" s="131">
        <v>45395</v>
      </c>
      <c r="V49" s="132"/>
      <c r="W49" s="133">
        <v>7628</v>
      </c>
      <c r="X49" s="134" t="s">
        <v>541</v>
      </c>
      <c r="Y49" s="135" t="s">
        <v>912</v>
      </c>
      <c r="Z49" s="128" t="s">
        <v>96</v>
      </c>
      <c r="AA49" s="128" t="s">
        <v>913</v>
      </c>
      <c r="AB49" s="136" t="s">
        <v>256</v>
      </c>
      <c r="AC49" s="137" t="s">
        <v>914</v>
      </c>
      <c r="AD49" s="136" t="s">
        <v>915</v>
      </c>
      <c r="AE49" s="136" t="s">
        <v>916</v>
      </c>
      <c r="AF49" s="136" t="s">
        <v>59</v>
      </c>
      <c r="AG49" s="136" t="s">
        <v>59</v>
      </c>
      <c r="AH49" s="138">
        <v>-1100</v>
      </c>
      <c r="AI49" s="139" t="s">
        <v>58</v>
      </c>
      <c r="AJ49" s="139" t="s">
        <v>59</v>
      </c>
    </row>
    <row r="50" spans="1:36" ht="15.75" x14ac:dyDescent="0.25">
      <c r="A50" s="115">
        <v>11707</v>
      </c>
      <c r="B50" s="116" t="s">
        <v>36</v>
      </c>
      <c r="C50" s="117" t="s">
        <v>37</v>
      </c>
      <c r="D50" s="118" t="s">
        <v>36</v>
      </c>
      <c r="E50" s="119" t="s">
        <v>38</v>
      </c>
      <c r="F50" s="120" t="s">
        <v>39</v>
      </c>
      <c r="G50" s="118" t="s">
        <v>40</v>
      </c>
      <c r="H50" s="121" t="s">
        <v>41</v>
      </c>
      <c r="I50" s="120" t="s">
        <v>524</v>
      </c>
      <c r="J50" s="122" t="s">
        <v>525</v>
      </c>
      <c r="K50" s="123" t="s">
        <v>526</v>
      </c>
      <c r="L50" t="s">
        <v>63</v>
      </c>
      <c r="M50" s="124" t="s">
        <v>64</v>
      </c>
      <c r="N50" s="125" t="s">
        <v>65</v>
      </c>
      <c r="O50" s="126" t="s">
        <v>929</v>
      </c>
      <c r="P50" s="127">
        <v>551</v>
      </c>
      <c r="Q50" s="128"/>
      <c r="R50" s="128"/>
      <c r="S50" s="129">
        <v>1500</v>
      </c>
      <c r="T50" s="130" t="s">
        <v>528</v>
      </c>
      <c r="U50" s="131">
        <v>45395</v>
      </c>
      <c r="V50" s="132"/>
      <c r="W50" s="133">
        <v>7628</v>
      </c>
      <c r="X50" s="134" t="s">
        <v>541</v>
      </c>
      <c r="Y50" s="135" t="s">
        <v>912</v>
      </c>
      <c r="Z50" s="128" t="s">
        <v>96</v>
      </c>
      <c r="AA50" s="128" t="s">
        <v>913</v>
      </c>
      <c r="AB50" s="136" t="s">
        <v>256</v>
      </c>
      <c r="AC50" s="137" t="s">
        <v>914</v>
      </c>
      <c r="AD50" s="136" t="s">
        <v>915</v>
      </c>
      <c r="AE50" s="136" t="s">
        <v>916</v>
      </c>
      <c r="AF50" s="136" t="s">
        <v>59</v>
      </c>
      <c r="AG50" s="136" t="s">
        <v>59</v>
      </c>
      <c r="AH50" s="138">
        <v>-1500</v>
      </c>
      <c r="AI50" s="139" t="s">
        <v>58</v>
      </c>
      <c r="AJ50" s="139" t="s">
        <v>59</v>
      </c>
    </row>
    <row r="51" spans="1:36" ht="15.75" x14ac:dyDescent="0.25">
      <c r="A51" s="115">
        <v>11721</v>
      </c>
      <c r="B51" s="116" t="s">
        <v>36</v>
      </c>
      <c r="C51" s="117" t="s">
        <v>37</v>
      </c>
      <c r="D51" s="118" t="s">
        <v>36</v>
      </c>
      <c r="E51" s="119" t="s">
        <v>38</v>
      </c>
      <c r="F51" s="140" t="s">
        <v>39</v>
      </c>
      <c r="G51" s="118" t="s">
        <v>40</v>
      </c>
      <c r="H51" s="121" t="s">
        <v>41</v>
      </c>
      <c r="I51" s="120" t="s">
        <v>524</v>
      </c>
      <c r="J51" s="122" t="s">
        <v>525</v>
      </c>
      <c r="K51" s="123" t="s">
        <v>526</v>
      </c>
      <c r="L51" t="s">
        <v>63</v>
      </c>
      <c r="M51" s="124" t="s">
        <v>64</v>
      </c>
      <c r="N51" s="125" t="s">
        <v>65</v>
      </c>
      <c r="O51" s="126" t="s">
        <v>929</v>
      </c>
      <c r="P51" s="127">
        <v>1810</v>
      </c>
      <c r="Q51" s="128"/>
      <c r="R51" s="128"/>
      <c r="S51" s="129">
        <v>2275.59</v>
      </c>
      <c r="T51" s="130" t="s">
        <v>528</v>
      </c>
      <c r="U51" s="131">
        <v>45395</v>
      </c>
      <c r="V51" s="132"/>
      <c r="W51" s="133">
        <v>8100</v>
      </c>
      <c r="X51" s="134" t="s">
        <v>573</v>
      </c>
      <c r="Y51" s="135" t="s">
        <v>912</v>
      </c>
      <c r="Z51" s="128" t="s">
        <v>96</v>
      </c>
      <c r="AA51" s="128" t="s">
        <v>931</v>
      </c>
      <c r="AB51" s="136" t="s">
        <v>256</v>
      </c>
      <c r="AC51" s="137" t="s">
        <v>914</v>
      </c>
      <c r="AD51" s="136" t="s">
        <v>915</v>
      </c>
      <c r="AE51" s="136" t="s">
        <v>916</v>
      </c>
      <c r="AF51" s="136" t="s">
        <v>59</v>
      </c>
      <c r="AG51" s="136" t="s">
        <v>59</v>
      </c>
      <c r="AH51" s="138">
        <v>-2275.59</v>
      </c>
      <c r="AI51" s="139" t="s">
        <v>58</v>
      </c>
      <c r="AJ51" s="139" t="s">
        <v>59</v>
      </c>
    </row>
    <row r="52" spans="1:36" ht="15.75" x14ac:dyDescent="0.25">
      <c r="A52" s="115">
        <v>12236</v>
      </c>
      <c r="B52" s="116" t="s">
        <v>36</v>
      </c>
      <c r="C52" s="117" t="s">
        <v>37</v>
      </c>
      <c r="D52" s="118" t="s">
        <v>36</v>
      </c>
      <c r="E52" s="119" t="s">
        <v>38</v>
      </c>
      <c r="F52" s="120" t="s">
        <v>39</v>
      </c>
      <c r="G52" s="118" t="s">
        <v>40</v>
      </c>
      <c r="H52" s="121" t="s">
        <v>41</v>
      </c>
      <c r="I52" s="120" t="s">
        <v>524</v>
      </c>
      <c r="J52" s="122" t="s">
        <v>525</v>
      </c>
      <c r="K52" s="123" t="s">
        <v>526</v>
      </c>
      <c r="L52" t="s">
        <v>63</v>
      </c>
      <c r="M52" s="124" t="s">
        <v>64</v>
      </c>
      <c r="N52" s="125" t="s">
        <v>65</v>
      </c>
      <c r="O52" s="126" t="s">
        <v>929</v>
      </c>
      <c r="P52" s="127">
        <v>582</v>
      </c>
      <c r="Q52" s="128"/>
      <c r="R52" s="128"/>
      <c r="S52" s="129">
        <v>680</v>
      </c>
      <c r="T52" s="130" t="s">
        <v>528</v>
      </c>
      <c r="U52" s="131">
        <v>45400</v>
      </c>
      <c r="V52" s="132"/>
      <c r="W52" s="133">
        <v>7628</v>
      </c>
      <c r="X52" s="134" t="s">
        <v>541</v>
      </c>
      <c r="Y52" s="135" t="s">
        <v>912</v>
      </c>
      <c r="Z52" s="128" t="s">
        <v>96</v>
      </c>
      <c r="AA52" s="128" t="s">
        <v>913</v>
      </c>
      <c r="AB52" s="136" t="s">
        <v>256</v>
      </c>
      <c r="AC52" s="137" t="s">
        <v>914</v>
      </c>
      <c r="AD52" s="136" t="s">
        <v>915</v>
      </c>
      <c r="AE52" s="136" t="s">
        <v>916</v>
      </c>
      <c r="AF52" s="136" t="s">
        <v>59</v>
      </c>
      <c r="AG52" s="136" t="s">
        <v>59</v>
      </c>
      <c r="AH52" s="138">
        <v>-680</v>
      </c>
      <c r="AI52" s="139" t="s">
        <v>58</v>
      </c>
      <c r="AJ52" s="139" t="s">
        <v>59</v>
      </c>
    </row>
    <row r="53" spans="1:36" ht="15.75" x14ac:dyDescent="0.25">
      <c r="A53" s="115">
        <v>12249</v>
      </c>
      <c r="B53" s="116" t="s">
        <v>36</v>
      </c>
      <c r="C53" s="117" t="s">
        <v>37</v>
      </c>
      <c r="D53" s="118" t="s">
        <v>36</v>
      </c>
      <c r="E53" s="119" t="s">
        <v>38</v>
      </c>
      <c r="F53" s="120" t="s">
        <v>39</v>
      </c>
      <c r="G53" s="118" t="s">
        <v>40</v>
      </c>
      <c r="H53" s="121" t="s">
        <v>41</v>
      </c>
      <c r="I53" s="120" t="s">
        <v>524</v>
      </c>
      <c r="J53" s="122" t="s">
        <v>525</v>
      </c>
      <c r="K53" s="123" t="s">
        <v>526</v>
      </c>
      <c r="L53" t="s">
        <v>251</v>
      </c>
      <c r="M53" s="124" t="s">
        <v>934</v>
      </c>
      <c r="N53" s="125" t="s">
        <v>935</v>
      </c>
      <c r="O53" s="126" t="s">
        <v>929</v>
      </c>
      <c r="P53" s="127">
        <v>54492792</v>
      </c>
      <c r="Q53" s="128"/>
      <c r="R53" s="128"/>
      <c r="S53" s="129">
        <v>1611.2</v>
      </c>
      <c r="T53" s="130" t="s">
        <v>528</v>
      </c>
      <c r="U53" s="131">
        <v>45400</v>
      </c>
      <c r="V53" s="132"/>
      <c r="W53" s="133">
        <v>2</v>
      </c>
      <c r="X53" s="134" t="s">
        <v>743</v>
      </c>
      <c r="Y53" s="135" t="s">
        <v>912</v>
      </c>
      <c r="Z53" s="128" t="s">
        <v>96</v>
      </c>
      <c r="AA53" s="128" t="s">
        <v>936</v>
      </c>
      <c r="AB53" s="136" t="s">
        <v>256</v>
      </c>
      <c r="AC53" s="137" t="s">
        <v>914</v>
      </c>
      <c r="AD53" s="136" t="s">
        <v>915</v>
      </c>
      <c r="AE53" s="136" t="s">
        <v>916</v>
      </c>
      <c r="AF53" s="136" t="s">
        <v>59</v>
      </c>
      <c r="AG53" s="136" t="s">
        <v>59</v>
      </c>
      <c r="AH53" s="138">
        <v>-1611.2</v>
      </c>
      <c r="AI53" s="139" t="s">
        <v>58</v>
      </c>
      <c r="AJ53" s="139" t="s">
        <v>59</v>
      </c>
    </row>
    <row r="54" spans="1:36" ht="15.75" x14ac:dyDescent="0.25">
      <c r="A54" s="115">
        <v>12296</v>
      </c>
      <c r="B54" s="116" t="s">
        <v>36</v>
      </c>
      <c r="C54" s="117" t="s">
        <v>37</v>
      </c>
      <c r="D54" s="118" t="s">
        <v>36</v>
      </c>
      <c r="E54" s="119" t="s">
        <v>38</v>
      </c>
      <c r="F54" s="140" t="s">
        <v>39</v>
      </c>
      <c r="G54" s="118" t="s">
        <v>40</v>
      </c>
      <c r="H54" s="121" t="s">
        <v>41</v>
      </c>
      <c r="I54" s="120" t="s">
        <v>524</v>
      </c>
      <c r="J54" s="122" t="s">
        <v>525</v>
      </c>
      <c r="K54" s="123" t="s">
        <v>526</v>
      </c>
      <c r="L54" t="s">
        <v>83</v>
      </c>
      <c r="M54" s="124" t="s">
        <v>84</v>
      </c>
      <c r="N54" s="125" t="s">
        <v>85</v>
      </c>
      <c r="O54" s="126" t="s">
        <v>929</v>
      </c>
      <c r="P54" s="127">
        <v>302880</v>
      </c>
      <c r="Q54" s="128"/>
      <c r="R54" s="128"/>
      <c r="S54" s="129">
        <v>31.95</v>
      </c>
      <c r="T54" s="130" t="s">
        <v>528</v>
      </c>
      <c r="U54" s="131">
        <v>45400</v>
      </c>
      <c r="V54" s="132"/>
      <c r="W54" s="133">
        <v>391</v>
      </c>
      <c r="X54" s="134" t="s">
        <v>55</v>
      </c>
      <c r="Y54" s="135" t="s">
        <v>912</v>
      </c>
      <c r="Z54" s="128" t="s">
        <v>96</v>
      </c>
      <c r="AA54" s="128" t="s">
        <v>939</v>
      </c>
      <c r="AB54" s="136" t="s">
        <v>256</v>
      </c>
      <c r="AC54" s="137" t="s">
        <v>914</v>
      </c>
      <c r="AD54" s="136" t="s">
        <v>915</v>
      </c>
      <c r="AE54" s="136" t="s">
        <v>916</v>
      </c>
      <c r="AF54" s="136" t="s">
        <v>59</v>
      </c>
      <c r="AG54" s="136" t="s">
        <v>59</v>
      </c>
      <c r="AH54" s="138">
        <v>-31.95</v>
      </c>
      <c r="AI54" s="139" t="s">
        <v>58</v>
      </c>
      <c r="AJ54" s="139" t="s">
        <v>59</v>
      </c>
    </row>
    <row r="55" spans="1:36" ht="15.75" x14ac:dyDescent="0.25">
      <c r="A55" s="115">
        <v>12297</v>
      </c>
      <c r="B55" s="116" t="s">
        <v>36</v>
      </c>
      <c r="C55" s="117" t="s">
        <v>37</v>
      </c>
      <c r="D55" s="118" t="s">
        <v>36</v>
      </c>
      <c r="E55" s="119" t="s">
        <v>38</v>
      </c>
      <c r="F55" s="140" t="s">
        <v>39</v>
      </c>
      <c r="G55" s="118" t="s">
        <v>40</v>
      </c>
      <c r="H55" s="121" t="s">
        <v>41</v>
      </c>
      <c r="I55" s="120" t="s">
        <v>524</v>
      </c>
      <c r="J55" s="122" t="s">
        <v>525</v>
      </c>
      <c r="K55" s="123" t="s">
        <v>526</v>
      </c>
      <c r="L55" t="s">
        <v>83</v>
      </c>
      <c r="M55" s="124" t="s">
        <v>84</v>
      </c>
      <c r="N55" s="125" t="s">
        <v>85</v>
      </c>
      <c r="O55" s="126" t="s">
        <v>929</v>
      </c>
      <c r="P55" s="127">
        <v>303612</v>
      </c>
      <c r="Q55" s="128"/>
      <c r="R55" s="128"/>
      <c r="S55" s="129">
        <v>128.36000000000001</v>
      </c>
      <c r="T55" s="130" t="s">
        <v>528</v>
      </c>
      <c r="U55" s="131">
        <v>45400</v>
      </c>
      <c r="V55" s="132"/>
      <c r="W55" s="133">
        <v>391</v>
      </c>
      <c r="X55" s="134" t="s">
        <v>55</v>
      </c>
      <c r="Y55" s="135" t="s">
        <v>912</v>
      </c>
      <c r="Z55" s="128" t="s">
        <v>96</v>
      </c>
      <c r="AA55" s="128" t="s">
        <v>939</v>
      </c>
      <c r="AB55" s="136" t="s">
        <v>256</v>
      </c>
      <c r="AC55" s="137" t="s">
        <v>914</v>
      </c>
      <c r="AD55" s="136" t="s">
        <v>915</v>
      </c>
      <c r="AE55" s="136" t="s">
        <v>916</v>
      </c>
      <c r="AF55" s="136" t="s">
        <v>59</v>
      </c>
      <c r="AG55" s="136" t="s">
        <v>59</v>
      </c>
      <c r="AH55" s="138">
        <v>-128.36000000000001</v>
      </c>
      <c r="AI55" s="139" t="s">
        <v>58</v>
      </c>
      <c r="AJ55" s="139" t="s">
        <v>59</v>
      </c>
    </row>
    <row r="56" spans="1:36" ht="15.75" x14ac:dyDescent="0.25">
      <c r="A56" s="115">
        <v>12364</v>
      </c>
      <c r="B56" s="116" t="s">
        <v>36</v>
      </c>
      <c r="C56" s="117" t="s">
        <v>37</v>
      </c>
      <c r="D56" s="118" t="s">
        <v>36</v>
      </c>
      <c r="E56" s="119" t="s">
        <v>38</v>
      </c>
      <c r="F56" s="120" t="s">
        <v>39</v>
      </c>
      <c r="G56" s="118" t="s">
        <v>40</v>
      </c>
      <c r="H56" s="121" t="s">
        <v>41</v>
      </c>
      <c r="I56" s="120" t="s">
        <v>524</v>
      </c>
      <c r="J56" s="122" t="s">
        <v>525</v>
      </c>
      <c r="K56" s="123" t="s">
        <v>526</v>
      </c>
      <c r="L56" t="s">
        <v>262</v>
      </c>
      <c r="M56" s="124" t="s">
        <v>263</v>
      </c>
      <c r="N56" s="125" t="s">
        <v>264</v>
      </c>
      <c r="O56" s="126" t="s">
        <v>929</v>
      </c>
      <c r="P56" s="127">
        <v>524531</v>
      </c>
      <c r="Q56" s="128"/>
      <c r="R56" s="128"/>
      <c r="S56" s="129">
        <v>3025.27</v>
      </c>
      <c r="T56" s="130" t="s">
        <v>528</v>
      </c>
      <c r="U56" s="131">
        <v>45401</v>
      </c>
      <c r="V56" s="132"/>
      <c r="W56" s="133">
        <v>1283</v>
      </c>
      <c r="X56" s="134" t="s">
        <v>955</v>
      </c>
      <c r="Y56" s="135" t="s">
        <v>912</v>
      </c>
      <c r="Z56" s="128" t="s">
        <v>96</v>
      </c>
      <c r="AA56" s="128" t="s">
        <v>932</v>
      </c>
      <c r="AB56" s="136" t="s">
        <v>256</v>
      </c>
      <c r="AC56" s="137" t="s">
        <v>914</v>
      </c>
      <c r="AD56" s="136" t="s">
        <v>915</v>
      </c>
      <c r="AE56" s="136" t="s">
        <v>916</v>
      </c>
      <c r="AF56" s="136" t="s">
        <v>59</v>
      </c>
      <c r="AG56" s="136" t="s">
        <v>59</v>
      </c>
      <c r="AH56" s="138">
        <v>-3025.27</v>
      </c>
      <c r="AI56" s="139" t="s">
        <v>58</v>
      </c>
      <c r="AJ56" s="139" t="s">
        <v>59</v>
      </c>
    </row>
    <row r="57" spans="1:36" ht="15.75" x14ac:dyDescent="0.25">
      <c r="A57" s="115">
        <v>13127</v>
      </c>
      <c r="B57" s="116" t="s">
        <v>36</v>
      </c>
      <c r="C57" s="117" t="s">
        <v>37</v>
      </c>
      <c r="D57" s="118" t="s">
        <v>36</v>
      </c>
      <c r="E57" s="119" t="s">
        <v>38</v>
      </c>
      <c r="F57" s="120" t="s">
        <v>39</v>
      </c>
      <c r="G57" s="118" t="s">
        <v>40</v>
      </c>
      <c r="H57" s="121" t="s">
        <v>41</v>
      </c>
      <c r="I57" s="120" t="s">
        <v>524</v>
      </c>
      <c r="J57" s="122" t="s">
        <v>525</v>
      </c>
      <c r="K57" s="123" t="s">
        <v>526</v>
      </c>
      <c r="L57" t="s">
        <v>251</v>
      </c>
      <c r="M57" s="124" t="s">
        <v>934</v>
      </c>
      <c r="N57" s="125" t="s">
        <v>935</v>
      </c>
      <c r="O57" s="126" t="s">
        <v>929</v>
      </c>
      <c r="P57" s="127">
        <v>54908438</v>
      </c>
      <c r="Q57" s="128"/>
      <c r="R57" s="128"/>
      <c r="S57" s="129">
        <v>1436.47</v>
      </c>
      <c r="T57" s="130" t="s">
        <v>528</v>
      </c>
      <c r="U57" s="131">
        <v>45411</v>
      </c>
      <c r="V57" s="132"/>
      <c r="W57" s="133">
        <v>2</v>
      </c>
      <c r="X57" s="134" t="s">
        <v>743</v>
      </c>
      <c r="Y57" s="135" t="s">
        <v>912</v>
      </c>
      <c r="Z57" s="128" t="s">
        <v>96</v>
      </c>
      <c r="AA57" s="128" t="s">
        <v>936</v>
      </c>
      <c r="AB57" s="136" t="s">
        <v>256</v>
      </c>
      <c r="AC57" s="137" t="s">
        <v>914</v>
      </c>
      <c r="AD57" s="136" t="s">
        <v>915</v>
      </c>
      <c r="AE57" s="136" t="s">
        <v>916</v>
      </c>
      <c r="AF57" s="136" t="s">
        <v>59</v>
      </c>
      <c r="AG57" s="136" t="s">
        <v>59</v>
      </c>
      <c r="AH57" s="138">
        <v>-1436.47</v>
      </c>
      <c r="AI57" s="139" t="s">
        <v>58</v>
      </c>
      <c r="AJ57" s="139" t="s">
        <v>59</v>
      </c>
    </row>
    <row r="58" spans="1:36" ht="15.75" x14ac:dyDescent="0.25">
      <c r="A58" s="115">
        <v>13132</v>
      </c>
      <c r="B58" s="116" t="s">
        <v>36</v>
      </c>
      <c r="C58" s="117" t="s">
        <v>37</v>
      </c>
      <c r="D58" s="118" t="s">
        <v>36</v>
      </c>
      <c r="E58" s="119" t="s">
        <v>38</v>
      </c>
      <c r="F58" s="120" t="s">
        <v>39</v>
      </c>
      <c r="G58" s="118" t="s">
        <v>40</v>
      </c>
      <c r="H58" s="121" t="s">
        <v>41</v>
      </c>
      <c r="I58" s="120" t="s">
        <v>524</v>
      </c>
      <c r="J58" s="122" t="s">
        <v>525</v>
      </c>
      <c r="K58" s="123" t="s">
        <v>526</v>
      </c>
      <c r="L58" t="s">
        <v>251</v>
      </c>
      <c r="M58" s="124" t="s">
        <v>934</v>
      </c>
      <c r="N58" s="125" t="s">
        <v>935</v>
      </c>
      <c r="O58" s="126" t="s">
        <v>929</v>
      </c>
      <c r="P58" s="127">
        <v>54907341</v>
      </c>
      <c r="Q58" s="128"/>
      <c r="R58" s="128"/>
      <c r="S58" s="129">
        <v>214</v>
      </c>
      <c r="T58" s="130" t="s">
        <v>528</v>
      </c>
      <c r="U58" s="131">
        <v>45411</v>
      </c>
      <c r="V58" s="132"/>
      <c r="W58" s="133">
        <v>2</v>
      </c>
      <c r="X58" s="134" t="s">
        <v>743</v>
      </c>
      <c r="Y58" s="135" t="s">
        <v>912</v>
      </c>
      <c r="Z58" s="128" t="s">
        <v>96</v>
      </c>
      <c r="AA58" s="128" t="s">
        <v>936</v>
      </c>
      <c r="AB58" s="136" t="s">
        <v>256</v>
      </c>
      <c r="AC58" s="137" t="s">
        <v>914</v>
      </c>
      <c r="AD58" s="136" t="s">
        <v>915</v>
      </c>
      <c r="AE58" s="136" t="s">
        <v>916</v>
      </c>
      <c r="AF58" s="136" t="s">
        <v>59</v>
      </c>
      <c r="AG58" s="136" t="s">
        <v>59</v>
      </c>
      <c r="AH58" s="138">
        <v>-214</v>
      </c>
      <c r="AI58" s="139" t="s">
        <v>58</v>
      </c>
      <c r="AJ58" s="139" t="s">
        <v>59</v>
      </c>
    </row>
    <row r="59" spans="1:36" ht="15.75" x14ac:dyDescent="0.25">
      <c r="A59" s="115">
        <v>13579</v>
      </c>
      <c r="B59" s="116" t="s">
        <v>36</v>
      </c>
      <c r="C59" s="117" t="s">
        <v>37</v>
      </c>
      <c r="D59" s="118" t="s">
        <v>36</v>
      </c>
      <c r="E59" s="119" t="s">
        <v>38</v>
      </c>
      <c r="F59" s="140" t="s">
        <v>39</v>
      </c>
      <c r="G59" s="118" t="s">
        <v>40</v>
      </c>
      <c r="H59" s="121" t="s">
        <v>41</v>
      </c>
      <c r="I59" s="120" t="s">
        <v>524</v>
      </c>
      <c r="J59" s="122" t="s">
        <v>525</v>
      </c>
      <c r="K59" s="123" t="s">
        <v>526</v>
      </c>
      <c r="L59" t="s">
        <v>63</v>
      </c>
      <c r="M59" s="124" t="s">
        <v>64</v>
      </c>
      <c r="N59" s="125" t="s">
        <v>65</v>
      </c>
      <c r="O59" s="126" t="s">
        <v>929</v>
      </c>
      <c r="P59" s="127">
        <v>1538195</v>
      </c>
      <c r="Q59" s="128"/>
      <c r="R59" s="128"/>
      <c r="S59" s="129">
        <v>1600</v>
      </c>
      <c r="T59" s="130" t="s">
        <v>528</v>
      </c>
      <c r="U59" s="131">
        <v>45413</v>
      </c>
      <c r="V59" s="132"/>
      <c r="W59" s="133"/>
      <c r="X59" s="134" t="s">
        <v>563</v>
      </c>
      <c r="Y59" s="135" t="s">
        <v>912</v>
      </c>
      <c r="Z59" s="128" t="s">
        <v>96</v>
      </c>
      <c r="AA59" s="128" t="s">
        <v>933</v>
      </c>
      <c r="AB59" s="136"/>
      <c r="AC59" s="137"/>
      <c r="AD59" s="136"/>
      <c r="AE59" s="136"/>
      <c r="AF59" s="136"/>
      <c r="AG59" s="136"/>
      <c r="AH59" s="138">
        <v>-1600</v>
      </c>
      <c r="AI59" s="139" t="s">
        <v>58</v>
      </c>
      <c r="AJ59" s="139" t="s">
        <v>59</v>
      </c>
    </row>
    <row r="60" spans="1:36" ht="15.75" x14ac:dyDescent="0.25">
      <c r="A60" s="115">
        <v>14396</v>
      </c>
      <c r="B60" s="116" t="s">
        <v>36</v>
      </c>
      <c r="C60" s="117" t="s">
        <v>37</v>
      </c>
      <c r="D60" s="118" t="s">
        <v>36</v>
      </c>
      <c r="E60" s="119" t="s">
        <v>38</v>
      </c>
      <c r="F60" s="120" t="s">
        <v>39</v>
      </c>
      <c r="G60" s="118" t="s">
        <v>40</v>
      </c>
      <c r="H60" s="121" t="s">
        <v>41</v>
      </c>
      <c r="I60" s="120" t="s">
        <v>524</v>
      </c>
      <c r="J60" s="122" t="s">
        <v>525</v>
      </c>
      <c r="K60" s="123" t="s">
        <v>526</v>
      </c>
      <c r="L60" t="s">
        <v>63</v>
      </c>
      <c r="M60" s="124" t="s">
        <v>64</v>
      </c>
      <c r="N60" s="125" t="s">
        <v>65</v>
      </c>
      <c r="O60" s="126" t="s">
        <v>929</v>
      </c>
      <c r="P60" s="127">
        <v>13318</v>
      </c>
      <c r="Q60" s="128"/>
      <c r="R60" s="128"/>
      <c r="S60" s="129">
        <v>890.63</v>
      </c>
      <c r="T60" s="130" t="s">
        <v>528</v>
      </c>
      <c r="U60" s="131">
        <v>45420</v>
      </c>
      <c r="V60" s="132"/>
      <c r="W60" s="133"/>
      <c r="X60" s="134" t="s">
        <v>958</v>
      </c>
      <c r="Y60" s="135" t="s">
        <v>912</v>
      </c>
      <c r="Z60" s="128" t="s">
        <v>96</v>
      </c>
      <c r="AA60" s="128" t="s">
        <v>931</v>
      </c>
      <c r="AB60" s="136"/>
      <c r="AC60" s="137"/>
      <c r="AD60" s="136"/>
      <c r="AE60" s="136"/>
      <c r="AF60" s="136"/>
      <c r="AG60" s="136"/>
      <c r="AH60" s="138">
        <v>-890.63</v>
      </c>
      <c r="AI60" s="139" t="s">
        <v>58</v>
      </c>
      <c r="AJ60" s="139" t="s">
        <v>59</v>
      </c>
    </row>
    <row r="61" spans="1:36" ht="15.75" x14ac:dyDescent="0.25">
      <c r="A61" s="115">
        <v>14767</v>
      </c>
      <c r="B61" s="116" t="s">
        <v>36</v>
      </c>
      <c r="C61" s="117" t="s">
        <v>37</v>
      </c>
      <c r="D61" s="118" t="s">
        <v>36</v>
      </c>
      <c r="E61" s="119" t="s">
        <v>38</v>
      </c>
      <c r="F61" s="140" t="s">
        <v>39</v>
      </c>
      <c r="G61" s="118" t="s">
        <v>40</v>
      </c>
      <c r="H61" s="121" t="s">
        <v>41</v>
      </c>
      <c r="I61" s="120" t="s">
        <v>524</v>
      </c>
      <c r="J61" s="122" t="s">
        <v>525</v>
      </c>
      <c r="K61" s="123" t="s">
        <v>526</v>
      </c>
      <c r="L61" t="s">
        <v>262</v>
      </c>
      <c r="M61" s="124" t="s">
        <v>263</v>
      </c>
      <c r="N61" s="125" t="s">
        <v>264</v>
      </c>
      <c r="O61" s="126" t="s">
        <v>929</v>
      </c>
      <c r="P61" s="127">
        <v>9578</v>
      </c>
      <c r="Q61" s="128"/>
      <c r="R61" s="128"/>
      <c r="S61" s="129">
        <v>2945</v>
      </c>
      <c r="T61" s="130" t="s">
        <v>528</v>
      </c>
      <c r="U61" s="131">
        <v>45423</v>
      </c>
      <c r="V61" s="132"/>
      <c r="W61" s="133"/>
      <c r="X61" s="134" t="s">
        <v>959</v>
      </c>
      <c r="Y61" s="135" t="s">
        <v>912</v>
      </c>
      <c r="Z61" s="128" t="s">
        <v>96</v>
      </c>
      <c r="AA61" s="128" t="s">
        <v>932</v>
      </c>
      <c r="AB61" s="136"/>
      <c r="AC61" s="137"/>
      <c r="AD61" s="136"/>
      <c r="AE61" s="136"/>
      <c r="AF61" s="136"/>
      <c r="AG61" s="136"/>
      <c r="AH61" s="138">
        <v>-2945</v>
      </c>
      <c r="AI61" s="139" t="s">
        <v>58</v>
      </c>
      <c r="AJ61" s="139" t="s">
        <v>59</v>
      </c>
    </row>
    <row r="62" spans="1:36" ht="15.75" x14ac:dyDescent="0.25">
      <c r="A62" s="115">
        <v>14951</v>
      </c>
      <c r="B62" s="116" t="s">
        <v>36</v>
      </c>
      <c r="C62" s="117" t="s">
        <v>37</v>
      </c>
      <c r="D62" s="118" t="s">
        <v>36</v>
      </c>
      <c r="E62" s="119" t="s">
        <v>38</v>
      </c>
      <c r="F62" s="120" t="s">
        <v>39</v>
      </c>
      <c r="G62" s="118" t="s">
        <v>40</v>
      </c>
      <c r="H62" s="121" t="s">
        <v>41</v>
      </c>
      <c r="I62" s="120" t="s">
        <v>524</v>
      </c>
      <c r="J62" s="122" t="s">
        <v>525</v>
      </c>
      <c r="K62" s="123" t="s">
        <v>526</v>
      </c>
      <c r="L62" t="s">
        <v>63</v>
      </c>
      <c r="M62" s="124" t="s">
        <v>64</v>
      </c>
      <c r="N62" s="125" t="s">
        <v>65</v>
      </c>
      <c r="O62" s="126" t="s">
        <v>929</v>
      </c>
      <c r="P62" s="127">
        <v>644</v>
      </c>
      <c r="Q62" s="128"/>
      <c r="R62" s="128"/>
      <c r="S62" s="129">
        <v>1350</v>
      </c>
      <c r="T62" s="130" t="s">
        <v>528</v>
      </c>
      <c r="U62" s="131">
        <v>45426</v>
      </c>
      <c r="V62" s="132"/>
      <c r="W62" s="133"/>
      <c r="X62" s="134" t="s">
        <v>541</v>
      </c>
      <c r="Y62" s="135" t="s">
        <v>912</v>
      </c>
      <c r="Z62" s="128" t="s">
        <v>96</v>
      </c>
      <c r="AA62" s="128" t="s">
        <v>913</v>
      </c>
      <c r="AB62" s="136"/>
      <c r="AC62" s="137"/>
      <c r="AD62" s="136"/>
      <c r="AE62" s="136"/>
      <c r="AF62" s="136"/>
      <c r="AG62" s="136"/>
      <c r="AH62" s="138">
        <v>-1350</v>
      </c>
      <c r="AI62" s="139" t="s">
        <v>58</v>
      </c>
      <c r="AJ62" s="139" t="s">
        <v>59</v>
      </c>
    </row>
    <row r="63" spans="1:36" ht="15.75" x14ac:dyDescent="0.25">
      <c r="A63" s="115">
        <v>14952</v>
      </c>
      <c r="B63" s="116" t="s">
        <v>36</v>
      </c>
      <c r="C63" s="117" t="s">
        <v>37</v>
      </c>
      <c r="D63" s="118" t="s">
        <v>36</v>
      </c>
      <c r="E63" s="119" t="s">
        <v>38</v>
      </c>
      <c r="F63" s="120" t="s">
        <v>39</v>
      </c>
      <c r="G63" s="118" t="s">
        <v>40</v>
      </c>
      <c r="H63" s="121" t="s">
        <v>41</v>
      </c>
      <c r="I63" s="120" t="s">
        <v>524</v>
      </c>
      <c r="J63" s="122" t="s">
        <v>525</v>
      </c>
      <c r="K63" s="123" t="s">
        <v>526</v>
      </c>
      <c r="L63" t="s">
        <v>63</v>
      </c>
      <c r="M63" s="124" t="s">
        <v>64</v>
      </c>
      <c r="N63" s="125" t="s">
        <v>65</v>
      </c>
      <c r="O63" s="126" t="s">
        <v>929</v>
      </c>
      <c r="P63" s="127">
        <v>643</v>
      </c>
      <c r="Q63" s="128"/>
      <c r="R63" s="128"/>
      <c r="S63" s="129">
        <v>1100</v>
      </c>
      <c r="T63" s="130" t="s">
        <v>528</v>
      </c>
      <c r="U63" s="131">
        <v>45426</v>
      </c>
      <c r="V63" s="132"/>
      <c r="W63" s="133"/>
      <c r="X63" s="134" t="s">
        <v>541</v>
      </c>
      <c r="Y63" s="135" t="s">
        <v>912</v>
      </c>
      <c r="Z63" s="128" t="s">
        <v>96</v>
      </c>
      <c r="AA63" s="128" t="s">
        <v>913</v>
      </c>
      <c r="AB63" s="136"/>
      <c r="AC63" s="137"/>
      <c r="AD63" s="136"/>
      <c r="AE63" s="136"/>
      <c r="AF63" s="136"/>
      <c r="AG63" s="136"/>
      <c r="AH63" s="138">
        <v>-1100</v>
      </c>
      <c r="AI63" s="139" t="s">
        <v>58</v>
      </c>
      <c r="AJ63" s="139" t="s">
        <v>59</v>
      </c>
    </row>
    <row r="64" spans="1:36" ht="15.75" x14ac:dyDescent="0.25">
      <c r="A64" s="115">
        <v>14953</v>
      </c>
      <c r="B64" s="116" t="s">
        <v>36</v>
      </c>
      <c r="C64" s="117" t="s">
        <v>37</v>
      </c>
      <c r="D64" s="118" t="s">
        <v>36</v>
      </c>
      <c r="E64" s="119" t="s">
        <v>38</v>
      </c>
      <c r="F64" s="120" t="s">
        <v>39</v>
      </c>
      <c r="G64" s="118" t="s">
        <v>40</v>
      </c>
      <c r="H64" s="121" t="s">
        <v>41</v>
      </c>
      <c r="I64" s="120" t="s">
        <v>524</v>
      </c>
      <c r="J64" s="122" t="s">
        <v>525</v>
      </c>
      <c r="K64" s="123" t="s">
        <v>526</v>
      </c>
      <c r="L64" t="s">
        <v>262</v>
      </c>
      <c r="M64" s="124" t="s">
        <v>263</v>
      </c>
      <c r="N64" s="125" t="s">
        <v>264</v>
      </c>
      <c r="O64" s="126" t="s">
        <v>929</v>
      </c>
      <c r="P64" s="127">
        <v>160</v>
      </c>
      <c r="Q64" s="128"/>
      <c r="R64" s="128"/>
      <c r="S64" s="129">
        <v>168.74</v>
      </c>
      <c r="T64" s="130" t="s">
        <v>528</v>
      </c>
      <c r="U64" s="131">
        <v>45426</v>
      </c>
      <c r="V64" s="132"/>
      <c r="W64" s="133"/>
      <c r="X64" s="134" t="s">
        <v>541</v>
      </c>
      <c r="Y64" s="135" t="s">
        <v>912</v>
      </c>
      <c r="Z64" s="128" t="s">
        <v>96</v>
      </c>
      <c r="AA64" s="128" t="s">
        <v>932</v>
      </c>
      <c r="AB64" s="136"/>
      <c r="AC64" s="137"/>
      <c r="AD64" s="136"/>
      <c r="AE64" s="136"/>
      <c r="AF64" s="136"/>
      <c r="AG64" s="136"/>
      <c r="AH64" s="138">
        <v>-168.74</v>
      </c>
      <c r="AI64" s="139" t="s">
        <v>58</v>
      </c>
      <c r="AJ64" s="139" t="s">
        <v>59</v>
      </c>
    </row>
    <row r="65" spans="1:36" ht="15.75" x14ac:dyDescent="0.25">
      <c r="A65" s="115">
        <v>15097</v>
      </c>
      <c r="B65" s="116" t="s">
        <v>36</v>
      </c>
      <c r="C65" s="117" t="s">
        <v>37</v>
      </c>
      <c r="D65" s="118" t="s">
        <v>36</v>
      </c>
      <c r="E65" s="119" t="s">
        <v>38</v>
      </c>
      <c r="F65" s="120" t="s">
        <v>39</v>
      </c>
      <c r="G65" s="118" t="s">
        <v>40</v>
      </c>
      <c r="H65" s="121" t="s">
        <v>41</v>
      </c>
      <c r="I65" s="120" t="s">
        <v>524</v>
      </c>
      <c r="J65" s="122" t="s">
        <v>525</v>
      </c>
      <c r="K65" s="123" t="s">
        <v>526</v>
      </c>
      <c r="L65" t="s">
        <v>63</v>
      </c>
      <c r="M65" s="124" t="s">
        <v>64</v>
      </c>
      <c r="N65" s="125" t="s">
        <v>65</v>
      </c>
      <c r="O65" s="126" t="s">
        <v>929</v>
      </c>
      <c r="P65" s="127">
        <v>645</v>
      </c>
      <c r="Q65" s="128"/>
      <c r="R65" s="128"/>
      <c r="S65" s="129">
        <v>950</v>
      </c>
      <c r="T65" s="130" t="s">
        <v>528</v>
      </c>
      <c r="U65" s="131">
        <v>45427</v>
      </c>
      <c r="V65" s="132"/>
      <c r="W65" s="133"/>
      <c r="X65" s="134" t="s">
        <v>541</v>
      </c>
      <c r="Y65" s="135" t="s">
        <v>912</v>
      </c>
      <c r="Z65" s="128" t="s">
        <v>96</v>
      </c>
      <c r="AA65" s="128" t="s">
        <v>913</v>
      </c>
      <c r="AB65" s="136"/>
      <c r="AC65" s="137"/>
      <c r="AD65" s="136"/>
      <c r="AE65" s="136"/>
      <c r="AF65" s="136"/>
      <c r="AG65" s="136"/>
      <c r="AH65" s="138">
        <v>-950</v>
      </c>
      <c r="AI65" s="139" t="s">
        <v>58</v>
      </c>
      <c r="AJ65" s="139" t="s">
        <v>59</v>
      </c>
    </row>
    <row r="66" spans="1:36" ht="15.75" x14ac:dyDescent="0.25">
      <c r="A66" s="115">
        <v>15098</v>
      </c>
      <c r="B66" s="116" t="s">
        <v>36</v>
      </c>
      <c r="C66" s="117" t="s">
        <v>37</v>
      </c>
      <c r="D66" s="118" t="s">
        <v>36</v>
      </c>
      <c r="E66" s="119" t="s">
        <v>38</v>
      </c>
      <c r="F66" s="120" t="s">
        <v>39</v>
      </c>
      <c r="G66" s="118" t="s">
        <v>40</v>
      </c>
      <c r="H66" s="121" t="s">
        <v>41</v>
      </c>
      <c r="I66" s="120" t="s">
        <v>524</v>
      </c>
      <c r="J66" s="122" t="s">
        <v>525</v>
      </c>
      <c r="K66" s="123" t="s">
        <v>526</v>
      </c>
      <c r="L66" t="s">
        <v>262</v>
      </c>
      <c r="M66" s="124" t="s">
        <v>263</v>
      </c>
      <c r="N66" s="125" t="s">
        <v>264</v>
      </c>
      <c r="O66" s="126" t="s">
        <v>929</v>
      </c>
      <c r="P66" s="127">
        <v>161</v>
      </c>
      <c r="Q66" s="128"/>
      <c r="R66" s="128"/>
      <c r="S66" s="129">
        <v>864.9</v>
      </c>
      <c r="T66" s="130" t="s">
        <v>528</v>
      </c>
      <c r="U66" s="131">
        <v>45427</v>
      </c>
      <c r="V66" s="132"/>
      <c r="W66" s="133"/>
      <c r="X66" s="134" t="s">
        <v>541</v>
      </c>
      <c r="Y66" s="135" t="s">
        <v>912</v>
      </c>
      <c r="Z66" s="128" t="s">
        <v>96</v>
      </c>
      <c r="AA66" s="128" t="s">
        <v>932</v>
      </c>
      <c r="AB66" s="136"/>
      <c r="AC66" s="137"/>
      <c r="AD66" s="136"/>
      <c r="AE66" s="136"/>
      <c r="AF66" s="136"/>
      <c r="AG66" s="136"/>
      <c r="AH66" s="138">
        <v>-864.9</v>
      </c>
      <c r="AI66" s="139" t="s">
        <v>58</v>
      </c>
      <c r="AJ66" s="139" t="s">
        <v>59</v>
      </c>
    </row>
    <row r="67" spans="1:36" ht="15.75" x14ac:dyDescent="0.25">
      <c r="A67" s="115">
        <v>15470</v>
      </c>
      <c r="B67" s="116" t="s">
        <v>36</v>
      </c>
      <c r="C67" s="117" t="s">
        <v>37</v>
      </c>
      <c r="D67" s="118" t="s">
        <v>36</v>
      </c>
      <c r="E67" s="119" t="s">
        <v>38</v>
      </c>
      <c r="F67" s="120" t="s">
        <v>39</v>
      </c>
      <c r="G67" s="118" t="s">
        <v>40</v>
      </c>
      <c r="H67" s="121" t="s">
        <v>41</v>
      </c>
      <c r="I67" s="120" t="s">
        <v>524</v>
      </c>
      <c r="J67" s="122" t="s">
        <v>525</v>
      </c>
      <c r="K67" s="123" t="s">
        <v>526</v>
      </c>
      <c r="L67" t="s">
        <v>251</v>
      </c>
      <c r="M67" s="124" t="s">
        <v>934</v>
      </c>
      <c r="N67" s="125" t="s">
        <v>935</v>
      </c>
      <c r="O67" s="126" t="s">
        <v>929</v>
      </c>
      <c r="P67" s="127">
        <v>55490095</v>
      </c>
      <c r="Q67" s="128"/>
      <c r="R67" s="128"/>
      <c r="S67" s="129">
        <v>1492.65</v>
      </c>
      <c r="T67" s="130" t="s">
        <v>528</v>
      </c>
      <c r="U67" s="131">
        <v>45429</v>
      </c>
      <c r="V67" s="132"/>
      <c r="W67" s="133"/>
      <c r="X67" s="134" t="s">
        <v>743</v>
      </c>
      <c r="Y67" s="135" t="s">
        <v>912</v>
      </c>
      <c r="Z67" s="128" t="s">
        <v>96</v>
      </c>
      <c r="AA67" s="128" t="s">
        <v>936</v>
      </c>
      <c r="AB67" s="136"/>
      <c r="AC67" s="137"/>
      <c r="AD67" s="136"/>
      <c r="AE67" s="136"/>
      <c r="AF67" s="136"/>
      <c r="AG67" s="136"/>
      <c r="AH67" s="138">
        <v>-1492.65</v>
      </c>
      <c r="AI67" s="139" t="s">
        <v>58</v>
      </c>
      <c r="AJ67" s="139" t="s">
        <v>59</v>
      </c>
    </row>
    <row r="68" spans="1:36" ht="15.75" x14ac:dyDescent="0.25">
      <c r="A68" s="115">
        <v>15635</v>
      </c>
      <c r="B68" s="116" t="s">
        <v>36</v>
      </c>
      <c r="C68" s="117" t="s">
        <v>37</v>
      </c>
      <c r="D68" s="118" t="s">
        <v>36</v>
      </c>
      <c r="E68" s="119" t="s">
        <v>38</v>
      </c>
      <c r="F68" s="120" t="s">
        <v>39</v>
      </c>
      <c r="G68" s="118" t="s">
        <v>40</v>
      </c>
      <c r="H68" s="121" t="s">
        <v>41</v>
      </c>
      <c r="I68" s="120" t="s">
        <v>524</v>
      </c>
      <c r="J68" s="122" t="s">
        <v>525</v>
      </c>
      <c r="K68" s="123" t="s">
        <v>526</v>
      </c>
      <c r="L68" t="s">
        <v>262</v>
      </c>
      <c r="M68" s="124" t="s">
        <v>263</v>
      </c>
      <c r="N68" s="125" t="s">
        <v>264</v>
      </c>
      <c r="O68" s="126" t="s">
        <v>929</v>
      </c>
      <c r="P68" s="127">
        <v>13396</v>
      </c>
      <c r="Q68" s="128"/>
      <c r="R68" s="128"/>
      <c r="S68" s="129">
        <v>50</v>
      </c>
      <c r="T68" s="130" t="s">
        <v>528</v>
      </c>
      <c r="U68" s="131">
        <v>45432</v>
      </c>
      <c r="V68" s="132"/>
      <c r="W68" s="133"/>
      <c r="X68" s="134" t="s">
        <v>958</v>
      </c>
      <c r="Y68" s="135" t="s">
        <v>912</v>
      </c>
      <c r="Z68" s="128" t="s">
        <v>96</v>
      </c>
      <c r="AA68" s="128" t="s">
        <v>932</v>
      </c>
      <c r="AB68" s="136"/>
      <c r="AC68" s="137"/>
      <c r="AD68" s="136"/>
      <c r="AE68" s="136"/>
      <c r="AF68" s="136"/>
      <c r="AG68" s="136"/>
      <c r="AH68" s="138">
        <v>-50</v>
      </c>
      <c r="AI68" s="139" t="s">
        <v>58</v>
      </c>
      <c r="AJ68" s="139" t="s">
        <v>59</v>
      </c>
    </row>
    <row r="69" spans="1:36" ht="15.75" x14ac:dyDescent="0.25">
      <c r="A69" s="115">
        <v>16251</v>
      </c>
      <c r="B69" s="116" t="s">
        <v>36</v>
      </c>
      <c r="C69" s="117" t="s">
        <v>37</v>
      </c>
      <c r="D69" s="118" t="s">
        <v>36</v>
      </c>
      <c r="E69" s="119" t="s">
        <v>38</v>
      </c>
      <c r="F69" s="120" t="s">
        <v>39</v>
      </c>
      <c r="G69" s="118" t="s">
        <v>40</v>
      </c>
      <c r="H69" s="121" t="s">
        <v>41</v>
      </c>
      <c r="I69" s="120" t="s">
        <v>524</v>
      </c>
      <c r="J69" s="122" t="s">
        <v>525</v>
      </c>
      <c r="K69" s="123" t="s">
        <v>526</v>
      </c>
      <c r="L69" t="s">
        <v>262</v>
      </c>
      <c r="M69" s="124" t="s">
        <v>263</v>
      </c>
      <c r="N69" s="125" t="s">
        <v>264</v>
      </c>
      <c r="O69" s="126" t="s">
        <v>929</v>
      </c>
      <c r="P69" s="127">
        <v>13403</v>
      </c>
      <c r="Q69" s="128"/>
      <c r="R69" s="128"/>
      <c r="S69" s="129">
        <v>124</v>
      </c>
      <c r="T69" s="130" t="s">
        <v>528</v>
      </c>
      <c r="U69" s="131">
        <v>45439</v>
      </c>
      <c r="V69" s="132"/>
      <c r="W69" s="133"/>
      <c r="X69" s="134" t="s">
        <v>958</v>
      </c>
      <c r="Y69" s="135" t="s">
        <v>912</v>
      </c>
      <c r="Z69" s="128" t="s">
        <v>96</v>
      </c>
      <c r="AA69" s="128" t="s">
        <v>932</v>
      </c>
      <c r="AB69" s="136"/>
      <c r="AC69" s="137"/>
      <c r="AD69" s="136"/>
      <c r="AE69" s="136"/>
      <c r="AF69" s="136"/>
      <c r="AG69" s="136"/>
      <c r="AH69" s="138">
        <v>-124</v>
      </c>
      <c r="AI69" s="139" t="s">
        <v>58</v>
      </c>
      <c r="AJ69" s="139" t="s">
        <v>59</v>
      </c>
    </row>
    <row r="70" spans="1:36" ht="15.75" x14ac:dyDescent="0.25">
      <c r="A70" s="115">
        <v>16330</v>
      </c>
      <c r="B70" s="116" t="s">
        <v>36</v>
      </c>
      <c r="C70" s="117" t="s">
        <v>37</v>
      </c>
      <c r="D70" s="118" t="s">
        <v>36</v>
      </c>
      <c r="E70" s="119" t="s">
        <v>38</v>
      </c>
      <c r="F70" s="120" t="s">
        <v>39</v>
      </c>
      <c r="G70" s="118" t="s">
        <v>40</v>
      </c>
      <c r="H70" s="121" t="s">
        <v>41</v>
      </c>
      <c r="I70" s="120" t="s">
        <v>524</v>
      </c>
      <c r="J70" s="122" t="s">
        <v>525</v>
      </c>
      <c r="K70" s="123" t="s">
        <v>526</v>
      </c>
      <c r="L70" t="s">
        <v>63</v>
      </c>
      <c r="M70" s="124" t="s">
        <v>64</v>
      </c>
      <c r="N70" s="125" t="s">
        <v>65</v>
      </c>
      <c r="O70" s="126" t="s">
        <v>929</v>
      </c>
      <c r="P70" s="127">
        <v>676</v>
      </c>
      <c r="Q70" s="128"/>
      <c r="R70" s="128"/>
      <c r="S70" s="129">
        <v>780</v>
      </c>
      <c r="T70" s="130" t="s">
        <v>528</v>
      </c>
      <c r="U70" s="131">
        <v>45440</v>
      </c>
      <c r="V70" s="132"/>
      <c r="W70" s="133"/>
      <c r="X70" s="134" t="s">
        <v>541</v>
      </c>
      <c r="Y70" s="135" t="s">
        <v>912</v>
      </c>
      <c r="Z70" s="128" t="s">
        <v>96</v>
      </c>
      <c r="AA70" s="128" t="s">
        <v>913</v>
      </c>
      <c r="AB70" s="136"/>
      <c r="AC70" s="137"/>
      <c r="AD70" s="136"/>
      <c r="AE70" s="136"/>
      <c r="AF70" s="136"/>
      <c r="AG70" s="136"/>
      <c r="AH70" s="138">
        <v>-780</v>
      </c>
      <c r="AI70" s="139" t="s">
        <v>58</v>
      </c>
      <c r="AJ70" s="139" t="s">
        <v>59</v>
      </c>
    </row>
    <row r="71" spans="1:36" ht="15.75" x14ac:dyDescent="0.25">
      <c r="A71" s="115">
        <v>16341</v>
      </c>
      <c r="B71" s="116" t="s">
        <v>36</v>
      </c>
      <c r="C71" s="117" t="s">
        <v>37</v>
      </c>
      <c r="D71" s="118" t="s">
        <v>36</v>
      </c>
      <c r="E71" s="119" t="s">
        <v>38</v>
      </c>
      <c r="F71" s="120" t="s">
        <v>39</v>
      </c>
      <c r="G71" s="118" t="s">
        <v>40</v>
      </c>
      <c r="H71" s="121" t="s">
        <v>41</v>
      </c>
      <c r="I71" s="120" t="s">
        <v>524</v>
      </c>
      <c r="J71" s="122" t="s">
        <v>525</v>
      </c>
      <c r="K71" s="123" t="s">
        <v>526</v>
      </c>
      <c r="L71" t="s">
        <v>251</v>
      </c>
      <c r="M71" s="124" t="s">
        <v>934</v>
      </c>
      <c r="N71" s="125" t="s">
        <v>935</v>
      </c>
      <c r="O71" s="126" t="s">
        <v>929</v>
      </c>
      <c r="P71" s="127">
        <v>55825877</v>
      </c>
      <c r="Q71" s="128"/>
      <c r="R71" s="128"/>
      <c r="S71" s="129">
        <v>1624.45</v>
      </c>
      <c r="T71" s="130" t="s">
        <v>528</v>
      </c>
      <c r="U71" s="131">
        <v>45440</v>
      </c>
      <c r="V71" s="132"/>
      <c r="W71" s="133"/>
      <c r="X71" s="134" t="s">
        <v>743</v>
      </c>
      <c r="Y71" s="135" t="s">
        <v>912</v>
      </c>
      <c r="Z71" s="128" t="s">
        <v>96</v>
      </c>
      <c r="AA71" s="128" t="s">
        <v>936</v>
      </c>
      <c r="AB71" s="136"/>
      <c r="AC71" s="137"/>
      <c r="AD71" s="136"/>
      <c r="AE71" s="136"/>
      <c r="AF71" s="136"/>
      <c r="AG71" s="136"/>
      <c r="AH71" s="138">
        <v>-1624.45</v>
      </c>
      <c r="AI71" s="139" t="s">
        <v>58</v>
      </c>
      <c r="AJ71" s="139" t="s">
        <v>59</v>
      </c>
    </row>
    <row r="72" spans="1:36" ht="15.75" x14ac:dyDescent="0.25">
      <c r="A72" s="115">
        <v>17606</v>
      </c>
      <c r="B72" s="116" t="s">
        <v>36</v>
      </c>
      <c r="C72" s="117" t="s">
        <v>37</v>
      </c>
      <c r="D72" s="118" t="s">
        <v>36</v>
      </c>
      <c r="E72" s="119" t="s">
        <v>38</v>
      </c>
      <c r="F72" s="140" t="s">
        <v>39</v>
      </c>
      <c r="G72" s="118" t="s">
        <v>40</v>
      </c>
      <c r="H72" s="121" t="s">
        <v>41</v>
      </c>
      <c r="I72" s="120" t="s">
        <v>524</v>
      </c>
      <c r="J72" s="122" t="s">
        <v>525</v>
      </c>
      <c r="K72" s="123" t="s">
        <v>526</v>
      </c>
      <c r="L72" t="s">
        <v>63</v>
      </c>
      <c r="M72" s="124" t="s">
        <v>64</v>
      </c>
      <c r="N72" s="125" t="s">
        <v>65</v>
      </c>
      <c r="O72" s="126" t="s">
        <v>929</v>
      </c>
      <c r="P72" s="127"/>
      <c r="Q72" s="128"/>
      <c r="R72" s="128"/>
      <c r="S72" s="129">
        <v>740</v>
      </c>
      <c r="T72" s="130" t="s">
        <v>528</v>
      </c>
      <c r="U72" s="131">
        <v>45451</v>
      </c>
      <c r="V72" s="132"/>
      <c r="W72" s="133"/>
      <c r="X72" s="134" t="s">
        <v>563</v>
      </c>
      <c r="Y72" s="135" t="s">
        <v>912</v>
      </c>
      <c r="Z72" s="128" t="s">
        <v>96</v>
      </c>
      <c r="AA72" s="128" t="s">
        <v>933</v>
      </c>
      <c r="AB72" s="136"/>
      <c r="AC72" s="137"/>
      <c r="AD72" s="136"/>
      <c r="AE72" s="136"/>
      <c r="AF72" s="136"/>
      <c r="AG72" s="136"/>
      <c r="AH72" s="138">
        <v>-740</v>
      </c>
      <c r="AI72" s="139" t="s">
        <v>58</v>
      </c>
      <c r="AJ72" s="139" t="s">
        <v>59</v>
      </c>
    </row>
    <row r="73" spans="1:36" ht="15.75" x14ac:dyDescent="0.25">
      <c r="A73" s="115">
        <v>17743</v>
      </c>
      <c r="B73" s="116" t="s">
        <v>36</v>
      </c>
      <c r="C73" s="117" t="s">
        <v>37</v>
      </c>
      <c r="D73" s="118" t="s">
        <v>36</v>
      </c>
      <c r="E73" s="119" t="s">
        <v>38</v>
      </c>
      <c r="F73" s="120" t="s">
        <v>39</v>
      </c>
      <c r="G73" s="118" t="s">
        <v>40</v>
      </c>
      <c r="H73" s="121" t="s">
        <v>41</v>
      </c>
      <c r="I73" s="120" t="s">
        <v>524</v>
      </c>
      <c r="J73" s="122" t="s">
        <v>525</v>
      </c>
      <c r="K73" s="123" t="s">
        <v>526</v>
      </c>
      <c r="L73" t="s">
        <v>63</v>
      </c>
      <c r="M73" s="124" t="s">
        <v>64</v>
      </c>
      <c r="N73" s="125" t="s">
        <v>65</v>
      </c>
      <c r="O73" s="126" t="s">
        <v>929</v>
      </c>
      <c r="P73" s="127"/>
      <c r="Q73" s="128"/>
      <c r="R73" s="128"/>
      <c r="S73" s="129">
        <v>18973</v>
      </c>
      <c r="T73" s="130" t="s">
        <v>528</v>
      </c>
      <c r="U73" s="131">
        <v>45453</v>
      </c>
      <c r="V73" s="132"/>
      <c r="W73" s="133"/>
      <c r="X73" s="134" t="s">
        <v>944</v>
      </c>
      <c r="Y73" s="135" t="s">
        <v>912</v>
      </c>
      <c r="Z73" s="128" t="s">
        <v>96</v>
      </c>
      <c r="AA73" s="128" t="s">
        <v>913</v>
      </c>
      <c r="AB73" s="136"/>
      <c r="AC73" s="137"/>
      <c r="AD73" s="136"/>
      <c r="AE73" s="136"/>
      <c r="AF73" s="136"/>
      <c r="AG73" s="136"/>
      <c r="AH73" s="138">
        <v>-18973</v>
      </c>
      <c r="AI73" s="139" t="s">
        <v>58</v>
      </c>
      <c r="AJ73" s="139" t="s">
        <v>59</v>
      </c>
    </row>
    <row r="74" spans="1:36" ht="15.75" x14ac:dyDescent="0.25">
      <c r="A74" s="115">
        <v>18628</v>
      </c>
      <c r="B74" s="116" t="s">
        <v>36</v>
      </c>
      <c r="C74" s="117" t="s">
        <v>37</v>
      </c>
      <c r="D74" s="118" t="s">
        <v>36</v>
      </c>
      <c r="E74" s="119" t="s">
        <v>38</v>
      </c>
      <c r="F74" s="120" t="s">
        <v>39</v>
      </c>
      <c r="G74" s="118" t="s">
        <v>40</v>
      </c>
      <c r="H74" s="121" t="s">
        <v>41</v>
      </c>
      <c r="I74" s="120" t="s">
        <v>524</v>
      </c>
      <c r="J74" s="122" t="s">
        <v>525</v>
      </c>
      <c r="K74" s="123" t="s">
        <v>526</v>
      </c>
      <c r="L74" t="s">
        <v>251</v>
      </c>
      <c r="M74" s="124" t="s">
        <v>934</v>
      </c>
      <c r="N74" s="125" t="s">
        <v>935</v>
      </c>
      <c r="O74" s="126" t="s">
        <v>929</v>
      </c>
      <c r="P74" s="127"/>
      <c r="Q74" s="128"/>
      <c r="R74" s="128"/>
      <c r="S74" s="129">
        <v>1509.62</v>
      </c>
      <c r="T74" s="130" t="s">
        <v>528</v>
      </c>
      <c r="U74" s="131">
        <v>45461</v>
      </c>
      <c r="V74" s="132"/>
      <c r="W74" s="133"/>
      <c r="X74" s="134" t="s">
        <v>743</v>
      </c>
      <c r="Y74" s="135" t="s">
        <v>912</v>
      </c>
      <c r="Z74" s="128" t="s">
        <v>96</v>
      </c>
      <c r="AA74" s="128" t="s">
        <v>936</v>
      </c>
      <c r="AB74" s="136"/>
      <c r="AC74" s="137"/>
      <c r="AD74" s="136"/>
      <c r="AE74" s="136"/>
      <c r="AF74" s="136"/>
      <c r="AG74" s="136"/>
      <c r="AH74" s="138">
        <v>-1509.62</v>
      </c>
      <c r="AI74" s="139" t="s">
        <v>58</v>
      </c>
      <c r="AJ74" s="139" t="s">
        <v>59</v>
      </c>
    </row>
    <row r="75" spans="1:36" ht="15.75" x14ac:dyDescent="0.25">
      <c r="A75" s="115">
        <v>18972</v>
      </c>
      <c r="B75" s="116" t="s">
        <v>36</v>
      </c>
      <c r="C75" s="117" t="s">
        <v>37</v>
      </c>
      <c r="D75" s="118" t="s">
        <v>36</v>
      </c>
      <c r="E75" s="119" t="s">
        <v>38</v>
      </c>
      <c r="F75" s="120" t="s">
        <v>39</v>
      </c>
      <c r="G75" s="118" t="s">
        <v>40</v>
      </c>
      <c r="H75" s="121" t="s">
        <v>41</v>
      </c>
      <c r="I75" s="120" t="s">
        <v>524</v>
      </c>
      <c r="J75" s="122" t="s">
        <v>525</v>
      </c>
      <c r="K75" s="123" t="s">
        <v>526</v>
      </c>
      <c r="L75" t="s">
        <v>63</v>
      </c>
      <c r="M75" s="124" t="s">
        <v>64</v>
      </c>
      <c r="N75" s="125" t="s">
        <v>65</v>
      </c>
      <c r="O75" s="126" t="s">
        <v>929</v>
      </c>
      <c r="P75" s="127"/>
      <c r="Q75" s="128"/>
      <c r="R75" s="128"/>
      <c r="S75" s="129">
        <v>400</v>
      </c>
      <c r="T75" s="130" t="s">
        <v>528</v>
      </c>
      <c r="U75" s="131">
        <v>45464</v>
      </c>
      <c r="V75" s="132"/>
      <c r="W75" s="133"/>
      <c r="X75" s="134" t="s">
        <v>960</v>
      </c>
      <c r="Y75" s="135" t="s">
        <v>912</v>
      </c>
      <c r="Z75" s="128" t="s">
        <v>96</v>
      </c>
      <c r="AA75" s="128" t="s">
        <v>913</v>
      </c>
      <c r="AB75" s="136"/>
      <c r="AC75" s="137"/>
      <c r="AD75" s="136"/>
      <c r="AE75" s="136"/>
      <c r="AF75" s="136"/>
      <c r="AG75" s="136"/>
      <c r="AH75" s="138">
        <v>-400</v>
      </c>
      <c r="AI75" s="139" t="s">
        <v>58</v>
      </c>
      <c r="AJ75" s="139" t="s">
        <v>59</v>
      </c>
    </row>
    <row r="76" spans="1:36" ht="15.75" x14ac:dyDescent="0.25">
      <c r="A76" s="115">
        <v>18980</v>
      </c>
      <c r="B76" s="116" t="s">
        <v>36</v>
      </c>
      <c r="C76" s="117" t="s">
        <v>37</v>
      </c>
      <c r="D76" s="118" t="s">
        <v>36</v>
      </c>
      <c r="E76" s="119" t="s">
        <v>38</v>
      </c>
      <c r="F76" s="120" t="s">
        <v>39</v>
      </c>
      <c r="G76" s="118" t="s">
        <v>40</v>
      </c>
      <c r="H76" s="121" t="s">
        <v>41</v>
      </c>
      <c r="I76" s="120" t="s">
        <v>524</v>
      </c>
      <c r="J76" s="122" t="s">
        <v>525</v>
      </c>
      <c r="K76" s="123" t="s">
        <v>526</v>
      </c>
      <c r="L76" t="s">
        <v>63</v>
      </c>
      <c r="M76" s="124" t="s">
        <v>64</v>
      </c>
      <c r="N76" s="125" t="s">
        <v>65</v>
      </c>
      <c r="O76" s="126" t="s">
        <v>929</v>
      </c>
      <c r="P76" s="127"/>
      <c r="Q76" s="128"/>
      <c r="R76" s="128"/>
      <c r="S76" s="129">
        <v>980</v>
      </c>
      <c r="T76" s="130" t="s">
        <v>528</v>
      </c>
      <c r="U76" s="131">
        <v>45464</v>
      </c>
      <c r="V76" s="132"/>
      <c r="W76" s="133"/>
      <c r="X76" s="134" t="s">
        <v>541</v>
      </c>
      <c r="Y76" s="135" t="s">
        <v>912</v>
      </c>
      <c r="Z76" s="128" t="s">
        <v>96</v>
      </c>
      <c r="AA76" s="128" t="s">
        <v>913</v>
      </c>
      <c r="AB76" s="136"/>
      <c r="AC76" s="137"/>
      <c r="AD76" s="136"/>
      <c r="AE76" s="136"/>
      <c r="AF76" s="136"/>
      <c r="AG76" s="136"/>
      <c r="AH76" s="138">
        <v>-980</v>
      </c>
      <c r="AI76" s="139" t="s">
        <v>58</v>
      </c>
      <c r="AJ76" s="139" t="s">
        <v>59</v>
      </c>
    </row>
    <row r="77" spans="1:36" ht="15.75" x14ac:dyDescent="0.25">
      <c r="A77" s="115">
        <v>19019</v>
      </c>
      <c r="B77" s="116" t="s">
        <v>36</v>
      </c>
      <c r="C77" s="117" t="s">
        <v>37</v>
      </c>
      <c r="D77" s="118" t="s">
        <v>36</v>
      </c>
      <c r="E77" s="119" t="s">
        <v>38</v>
      </c>
      <c r="F77" s="120" t="s">
        <v>39</v>
      </c>
      <c r="G77" s="118" t="s">
        <v>40</v>
      </c>
      <c r="H77" s="121" t="s">
        <v>41</v>
      </c>
      <c r="I77" s="120" t="s">
        <v>524</v>
      </c>
      <c r="J77" s="122" t="s">
        <v>525</v>
      </c>
      <c r="K77" s="123" t="s">
        <v>526</v>
      </c>
      <c r="L77" t="s">
        <v>262</v>
      </c>
      <c r="M77" s="124" t="s">
        <v>263</v>
      </c>
      <c r="N77" s="125" t="s">
        <v>264</v>
      </c>
      <c r="O77" s="126" t="s">
        <v>929</v>
      </c>
      <c r="P77" s="127"/>
      <c r="Q77" s="128"/>
      <c r="R77" s="128"/>
      <c r="S77" s="129">
        <v>1457.07</v>
      </c>
      <c r="T77" s="130" t="s">
        <v>528</v>
      </c>
      <c r="U77" s="131">
        <v>45464</v>
      </c>
      <c r="V77" s="132"/>
      <c r="W77" s="133"/>
      <c r="X77" s="134" t="s">
        <v>545</v>
      </c>
      <c r="Y77" s="135" t="s">
        <v>912</v>
      </c>
      <c r="Z77" s="128" t="s">
        <v>96</v>
      </c>
      <c r="AA77" s="128" t="s">
        <v>932</v>
      </c>
      <c r="AB77" s="136"/>
      <c r="AC77" s="137"/>
      <c r="AD77" s="136"/>
      <c r="AE77" s="136"/>
      <c r="AF77" s="136"/>
      <c r="AG77" s="136"/>
      <c r="AH77" s="138">
        <v>-1457.07</v>
      </c>
      <c r="AI77" s="139" t="s">
        <v>58</v>
      </c>
      <c r="AJ77" s="139" t="s">
        <v>59</v>
      </c>
    </row>
    <row r="78" spans="1:36" ht="15.75" x14ac:dyDescent="0.25">
      <c r="A78" s="115">
        <v>19073</v>
      </c>
      <c r="B78" s="116" t="s">
        <v>36</v>
      </c>
      <c r="C78" s="117" t="s">
        <v>37</v>
      </c>
      <c r="D78" s="118" t="s">
        <v>36</v>
      </c>
      <c r="E78" s="119" t="s">
        <v>38</v>
      </c>
      <c r="F78" s="120" t="s">
        <v>39</v>
      </c>
      <c r="G78" s="118" t="s">
        <v>40</v>
      </c>
      <c r="H78" s="121" t="s">
        <v>41</v>
      </c>
      <c r="I78" s="120" t="s">
        <v>524</v>
      </c>
      <c r="J78" s="122" t="s">
        <v>525</v>
      </c>
      <c r="K78" s="123" t="s">
        <v>526</v>
      </c>
      <c r="L78" t="s">
        <v>63</v>
      </c>
      <c r="M78" s="124" t="s">
        <v>64</v>
      </c>
      <c r="N78" s="125" t="s">
        <v>65</v>
      </c>
      <c r="O78" s="126" t="s">
        <v>929</v>
      </c>
      <c r="P78" s="127"/>
      <c r="Q78" s="128"/>
      <c r="R78" s="128"/>
      <c r="S78" s="129">
        <v>840</v>
      </c>
      <c r="T78" s="130" t="s">
        <v>528</v>
      </c>
      <c r="U78" s="131">
        <v>45465</v>
      </c>
      <c r="V78" s="132"/>
      <c r="W78" s="133"/>
      <c r="X78" s="134" t="s">
        <v>541</v>
      </c>
      <c r="Y78" s="135" t="s">
        <v>912</v>
      </c>
      <c r="Z78" s="128" t="s">
        <v>96</v>
      </c>
      <c r="AA78" s="128" t="s">
        <v>913</v>
      </c>
      <c r="AB78" s="136"/>
      <c r="AC78" s="137"/>
      <c r="AD78" s="136"/>
      <c r="AE78" s="136"/>
      <c r="AF78" s="136"/>
      <c r="AG78" s="136"/>
      <c r="AH78" s="138">
        <v>-840</v>
      </c>
      <c r="AI78" s="139" t="s">
        <v>58</v>
      </c>
      <c r="AJ78" s="139" t="s">
        <v>59</v>
      </c>
    </row>
    <row r="79" spans="1:36" ht="15.75" x14ac:dyDescent="0.25">
      <c r="A79" s="115">
        <v>19074</v>
      </c>
      <c r="B79" s="116" t="s">
        <v>36</v>
      </c>
      <c r="C79" s="117" t="s">
        <v>37</v>
      </c>
      <c r="D79" s="118" t="s">
        <v>36</v>
      </c>
      <c r="E79" s="119" t="s">
        <v>38</v>
      </c>
      <c r="F79" s="120" t="s">
        <v>39</v>
      </c>
      <c r="G79" s="118" t="s">
        <v>40</v>
      </c>
      <c r="H79" s="121" t="s">
        <v>41</v>
      </c>
      <c r="I79" s="120" t="s">
        <v>524</v>
      </c>
      <c r="J79" s="122" t="s">
        <v>525</v>
      </c>
      <c r="K79" s="123" t="s">
        <v>526</v>
      </c>
      <c r="L79" t="s">
        <v>262</v>
      </c>
      <c r="M79" s="124" t="s">
        <v>263</v>
      </c>
      <c r="N79" s="125" t="s">
        <v>264</v>
      </c>
      <c r="O79" s="126" t="s">
        <v>929</v>
      </c>
      <c r="P79" s="127"/>
      <c r="Q79" s="128"/>
      <c r="R79" s="128"/>
      <c r="S79" s="129">
        <v>102.6</v>
      </c>
      <c r="T79" s="130" t="s">
        <v>528</v>
      </c>
      <c r="U79" s="131">
        <v>45465</v>
      </c>
      <c r="V79" s="132"/>
      <c r="W79" s="133"/>
      <c r="X79" s="134" t="s">
        <v>541</v>
      </c>
      <c r="Y79" s="135" t="s">
        <v>912</v>
      </c>
      <c r="Z79" s="128" t="s">
        <v>96</v>
      </c>
      <c r="AA79" s="128" t="s">
        <v>932</v>
      </c>
      <c r="AB79" s="136"/>
      <c r="AC79" s="137"/>
      <c r="AD79" s="136"/>
      <c r="AE79" s="136"/>
      <c r="AF79" s="136"/>
      <c r="AG79" s="136"/>
      <c r="AH79" s="138">
        <v>-102.6</v>
      </c>
      <c r="AI79" s="139" t="s">
        <v>58</v>
      </c>
      <c r="AJ79" s="139" t="s">
        <v>59</v>
      </c>
    </row>
    <row r="80" spans="1:36" ht="15.75" x14ac:dyDescent="0.25">
      <c r="A80" s="115">
        <v>19461</v>
      </c>
      <c r="B80" s="116" t="s">
        <v>36</v>
      </c>
      <c r="C80" s="117" t="s">
        <v>37</v>
      </c>
      <c r="D80" s="118" t="s">
        <v>36</v>
      </c>
      <c r="E80" s="119" t="s">
        <v>38</v>
      </c>
      <c r="F80" s="120" t="s">
        <v>39</v>
      </c>
      <c r="G80" s="118" t="s">
        <v>40</v>
      </c>
      <c r="H80" s="121" t="s">
        <v>41</v>
      </c>
      <c r="I80" s="120" t="s">
        <v>524</v>
      </c>
      <c r="J80" s="122" t="s">
        <v>525</v>
      </c>
      <c r="K80" s="123" t="s">
        <v>526</v>
      </c>
      <c r="L80" t="s">
        <v>262</v>
      </c>
      <c r="M80" s="124" t="s">
        <v>263</v>
      </c>
      <c r="N80" s="125" t="s">
        <v>264</v>
      </c>
      <c r="O80" s="126" t="s">
        <v>929</v>
      </c>
      <c r="P80" s="127"/>
      <c r="Q80" s="128"/>
      <c r="R80" s="128"/>
      <c r="S80" s="129">
        <v>711.17</v>
      </c>
      <c r="T80" s="130" t="s">
        <v>528</v>
      </c>
      <c r="U80" s="131">
        <v>45471</v>
      </c>
      <c r="V80" s="132"/>
      <c r="W80" s="133"/>
      <c r="X80" s="134" t="s">
        <v>955</v>
      </c>
      <c r="Y80" s="135" t="s">
        <v>912</v>
      </c>
      <c r="Z80" s="128" t="s">
        <v>96</v>
      </c>
      <c r="AA80" s="128" t="s">
        <v>931</v>
      </c>
      <c r="AB80" s="136"/>
      <c r="AC80" s="137"/>
      <c r="AD80" s="136"/>
      <c r="AE80" s="136"/>
      <c r="AF80" s="136"/>
      <c r="AG80" s="136"/>
      <c r="AH80" s="138">
        <v>-711.17</v>
      </c>
      <c r="AI80" s="139" t="s">
        <v>58</v>
      </c>
      <c r="AJ80" s="139" t="s">
        <v>59</v>
      </c>
    </row>
    <row r="81" spans="1:36" ht="15.75" x14ac:dyDescent="0.25">
      <c r="A81" s="115">
        <v>19466</v>
      </c>
      <c r="B81" s="116" t="s">
        <v>36</v>
      </c>
      <c r="C81" s="117" t="s">
        <v>37</v>
      </c>
      <c r="D81" s="118" t="s">
        <v>36</v>
      </c>
      <c r="E81" s="119" t="s">
        <v>38</v>
      </c>
      <c r="F81" s="120" t="s">
        <v>39</v>
      </c>
      <c r="G81" s="118" t="s">
        <v>40</v>
      </c>
      <c r="H81" s="121" t="s">
        <v>41</v>
      </c>
      <c r="I81" s="120" t="s">
        <v>524</v>
      </c>
      <c r="J81" s="122" t="s">
        <v>525</v>
      </c>
      <c r="K81" s="123" t="s">
        <v>526</v>
      </c>
      <c r="L81" t="s">
        <v>262</v>
      </c>
      <c r="M81" s="124" t="s">
        <v>263</v>
      </c>
      <c r="N81" s="125" t="s">
        <v>264</v>
      </c>
      <c r="O81" s="126" t="s">
        <v>929</v>
      </c>
      <c r="P81" s="127"/>
      <c r="Q81" s="128"/>
      <c r="R81" s="128"/>
      <c r="S81" s="129">
        <v>609.92999999999995</v>
      </c>
      <c r="T81" s="130" t="s">
        <v>528</v>
      </c>
      <c r="U81" s="131">
        <v>45471</v>
      </c>
      <c r="V81" s="132"/>
      <c r="W81" s="133"/>
      <c r="X81" s="134" t="s">
        <v>955</v>
      </c>
      <c r="Y81" s="135" t="s">
        <v>912</v>
      </c>
      <c r="Z81" s="128" t="s">
        <v>96</v>
      </c>
      <c r="AA81" s="128" t="s">
        <v>931</v>
      </c>
      <c r="AB81" s="136"/>
      <c r="AC81" s="137"/>
      <c r="AD81" s="136"/>
      <c r="AE81" s="136"/>
      <c r="AF81" s="136"/>
      <c r="AG81" s="136"/>
      <c r="AH81" s="138">
        <v>-609.92999999999995</v>
      </c>
      <c r="AI81" s="139" t="s">
        <v>58</v>
      </c>
      <c r="AJ81" s="139" t="s">
        <v>59</v>
      </c>
    </row>
    <row r="82" spans="1:36" ht="15.75" x14ac:dyDescent="0.25">
      <c r="A82" s="115">
        <v>20248</v>
      </c>
      <c r="B82" s="116" t="s">
        <v>36</v>
      </c>
      <c r="C82" s="117" t="s">
        <v>37</v>
      </c>
      <c r="D82" s="118" t="s">
        <v>36</v>
      </c>
      <c r="E82" s="119" t="s">
        <v>38</v>
      </c>
      <c r="F82" s="140" t="s">
        <v>39</v>
      </c>
      <c r="G82" s="118" t="s">
        <v>40</v>
      </c>
      <c r="H82" s="121" t="s">
        <v>41</v>
      </c>
      <c r="I82" s="120" t="s">
        <v>524</v>
      </c>
      <c r="J82" s="122" t="s">
        <v>525</v>
      </c>
      <c r="K82" s="123" t="s">
        <v>526</v>
      </c>
      <c r="L82" t="s">
        <v>83</v>
      </c>
      <c r="M82" s="124" t="s">
        <v>84</v>
      </c>
      <c r="N82" s="125" t="s">
        <v>85</v>
      </c>
      <c r="O82" s="126" t="s">
        <v>929</v>
      </c>
      <c r="P82" s="127"/>
      <c r="Q82" s="128"/>
      <c r="R82" s="128"/>
      <c r="S82" s="129">
        <v>28.98</v>
      </c>
      <c r="T82" s="130" t="s">
        <v>528</v>
      </c>
      <c r="U82" s="131">
        <v>45476</v>
      </c>
      <c r="V82" s="132"/>
      <c r="W82" s="133"/>
      <c r="X82" s="134" t="s">
        <v>55</v>
      </c>
      <c r="Y82" s="135" t="s">
        <v>912</v>
      </c>
      <c r="Z82" s="128" t="s">
        <v>96</v>
      </c>
      <c r="AA82" s="128" t="s">
        <v>939</v>
      </c>
      <c r="AB82" s="136" t="s">
        <v>256</v>
      </c>
      <c r="AC82" s="137" t="s">
        <v>914</v>
      </c>
      <c r="AD82" s="136" t="s">
        <v>961</v>
      </c>
      <c r="AE82" s="136" t="s">
        <v>962</v>
      </c>
      <c r="AF82" s="136" t="s">
        <v>59</v>
      </c>
      <c r="AG82" s="136" t="s">
        <v>59</v>
      </c>
      <c r="AH82" s="138">
        <v>-28.98</v>
      </c>
      <c r="AI82" s="139" t="s">
        <v>58</v>
      </c>
      <c r="AJ82" s="139" t="s">
        <v>59</v>
      </c>
    </row>
    <row r="83" spans="1:36" ht="15.75" x14ac:dyDescent="0.25">
      <c r="A83" s="115">
        <v>20529</v>
      </c>
      <c r="B83" s="116" t="s">
        <v>36</v>
      </c>
      <c r="C83" s="117" t="s">
        <v>37</v>
      </c>
      <c r="D83" s="118" t="s">
        <v>36</v>
      </c>
      <c r="E83" s="119" t="s">
        <v>38</v>
      </c>
      <c r="F83" s="120" t="s">
        <v>39</v>
      </c>
      <c r="G83" s="118" t="s">
        <v>40</v>
      </c>
      <c r="H83" s="121" t="s">
        <v>41</v>
      </c>
      <c r="I83" s="120" t="s">
        <v>524</v>
      </c>
      <c r="J83" s="122" t="s">
        <v>525</v>
      </c>
      <c r="K83" s="123" t="s">
        <v>526</v>
      </c>
      <c r="L83" t="s">
        <v>63</v>
      </c>
      <c r="M83" s="124" t="s">
        <v>64</v>
      </c>
      <c r="N83" s="125" t="s">
        <v>65</v>
      </c>
      <c r="O83" s="126" t="s">
        <v>929</v>
      </c>
      <c r="P83" s="127"/>
      <c r="Q83" s="128"/>
      <c r="R83" s="128"/>
      <c r="S83" s="129">
        <v>740</v>
      </c>
      <c r="T83" s="130" t="s">
        <v>528</v>
      </c>
      <c r="U83" s="131">
        <v>45481</v>
      </c>
      <c r="V83" s="132"/>
      <c r="W83" s="133"/>
      <c r="X83" s="134" t="s">
        <v>541</v>
      </c>
      <c r="Y83" s="135" t="s">
        <v>912</v>
      </c>
      <c r="Z83" s="128" t="s">
        <v>96</v>
      </c>
      <c r="AA83" s="128" t="s">
        <v>913</v>
      </c>
      <c r="AB83" s="136" t="s">
        <v>256</v>
      </c>
      <c r="AC83" s="137" t="s">
        <v>914</v>
      </c>
      <c r="AD83" s="136" t="s">
        <v>961</v>
      </c>
      <c r="AE83" s="136" t="s">
        <v>962</v>
      </c>
      <c r="AF83" s="136" t="s">
        <v>59</v>
      </c>
      <c r="AG83" s="136" t="s">
        <v>59</v>
      </c>
      <c r="AH83" s="138">
        <v>-740</v>
      </c>
      <c r="AI83" s="139" t="s">
        <v>58</v>
      </c>
      <c r="AJ83" s="139" t="s">
        <v>59</v>
      </c>
    </row>
    <row r="84" spans="1:36" ht="15.75" x14ac:dyDescent="0.25">
      <c r="A84" s="115">
        <v>20764</v>
      </c>
      <c r="B84" s="116" t="s">
        <v>36</v>
      </c>
      <c r="C84" s="117" t="s">
        <v>37</v>
      </c>
      <c r="D84" s="118" t="s">
        <v>36</v>
      </c>
      <c r="E84" s="119" t="s">
        <v>38</v>
      </c>
      <c r="F84" s="120" t="s">
        <v>39</v>
      </c>
      <c r="G84" s="118" t="s">
        <v>40</v>
      </c>
      <c r="H84" s="121" t="s">
        <v>41</v>
      </c>
      <c r="I84" s="120" t="s">
        <v>524</v>
      </c>
      <c r="J84" s="122" t="s">
        <v>525</v>
      </c>
      <c r="K84" s="123" t="s">
        <v>526</v>
      </c>
      <c r="L84" t="s">
        <v>63</v>
      </c>
      <c r="M84" s="124" t="s">
        <v>64</v>
      </c>
      <c r="N84" s="125" t="s">
        <v>65</v>
      </c>
      <c r="O84" s="126" t="s">
        <v>929</v>
      </c>
      <c r="P84" s="127"/>
      <c r="Q84" s="128"/>
      <c r="R84" s="128"/>
      <c r="S84" s="129">
        <v>680</v>
      </c>
      <c r="T84" s="130" t="s">
        <v>528</v>
      </c>
      <c r="U84" s="131">
        <v>45484</v>
      </c>
      <c r="V84" s="132"/>
      <c r="W84" s="133"/>
      <c r="X84" s="134" t="s">
        <v>754</v>
      </c>
      <c r="Y84" s="135" t="s">
        <v>912</v>
      </c>
      <c r="Z84" s="128" t="s">
        <v>96</v>
      </c>
      <c r="AA84" s="128" t="s">
        <v>933</v>
      </c>
      <c r="AB84" s="136" t="s">
        <v>256</v>
      </c>
      <c r="AC84" s="137" t="s">
        <v>914</v>
      </c>
      <c r="AD84" s="136" t="s">
        <v>961</v>
      </c>
      <c r="AE84" s="136" t="s">
        <v>962</v>
      </c>
      <c r="AF84" s="136" t="s">
        <v>59</v>
      </c>
      <c r="AG84" s="136" t="s">
        <v>59</v>
      </c>
      <c r="AH84" s="138">
        <v>-680</v>
      </c>
      <c r="AI84" s="139" t="s">
        <v>58</v>
      </c>
      <c r="AJ84" s="139" t="s">
        <v>59</v>
      </c>
    </row>
    <row r="85" spans="1:36" ht="15.75" x14ac:dyDescent="0.25">
      <c r="A85" s="115">
        <v>20954</v>
      </c>
      <c r="B85" s="116" t="s">
        <v>36</v>
      </c>
      <c r="C85" s="117" t="s">
        <v>37</v>
      </c>
      <c r="D85" s="118" t="s">
        <v>36</v>
      </c>
      <c r="E85" s="119" t="s">
        <v>38</v>
      </c>
      <c r="F85" s="140" t="s">
        <v>39</v>
      </c>
      <c r="G85" s="118" t="s">
        <v>40</v>
      </c>
      <c r="H85" s="121" t="s">
        <v>41</v>
      </c>
      <c r="I85" s="120" t="s">
        <v>524</v>
      </c>
      <c r="J85" s="122" t="s">
        <v>525</v>
      </c>
      <c r="K85" s="123" t="s">
        <v>526</v>
      </c>
      <c r="L85" t="s">
        <v>63</v>
      </c>
      <c r="M85" s="124" t="s">
        <v>64</v>
      </c>
      <c r="N85" s="125" t="s">
        <v>65</v>
      </c>
      <c r="O85" s="126" t="s">
        <v>929</v>
      </c>
      <c r="P85" s="127"/>
      <c r="Q85" s="128"/>
      <c r="R85" s="128"/>
      <c r="S85" s="129">
        <v>840</v>
      </c>
      <c r="T85" s="130" t="s">
        <v>528</v>
      </c>
      <c r="U85" s="131">
        <v>45485</v>
      </c>
      <c r="V85" s="132"/>
      <c r="W85" s="133"/>
      <c r="X85" s="134" t="s">
        <v>563</v>
      </c>
      <c r="Y85" s="135" t="s">
        <v>912</v>
      </c>
      <c r="Z85" s="128" t="s">
        <v>96</v>
      </c>
      <c r="AA85" s="128" t="s">
        <v>933</v>
      </c>
      <c r="AB85" s="136" t="s">
        <v>256</v>
      </c>
      <c r="AC85" s="137" t="s">
        <v>914</v>
      </c>
      <c r="AD85" s="136" t="s">
        <v>961</v>
      </c>
      <c r="AE85" s="136" t="s">
        <v>962</v>
      </c>
      <c r="AF85" s="136" t="s">
        <v>59</v>
      </c>
      <c r="AG85" s="136" t="s">
        <v>59</v>
      </c>
      <c r="AH85" s="138">
        <v>-840</v>
      </c>
      <c r="AI85" s="139" t="s">
        <v>58</v>
      </c>
      <c r="AJ85" s="139" t="s">
        <v>59</v>
      </c>
    </row>
    <row r="86" spans="1:36" ht="15.75" x14ac:dyDescent="0.25">
      <c r="A86" s="115">
        <v>21108</v>
      </c>
      <c r="B86" s="116" t="s">
        <v>36</v>
      </c>
      <c r="C86" s="117" t="s">
        <v>37</v>
      </c>
      <c r="D86" s="118" t="s">
        <v>36</v>
      </c>
      <c r="E86" s="119" t="s">
        <v>38</v>
      </c>
      <c r="F86" s="140" t="s">
        <v>39</v>
      </c>
      <c r="G86" s="118" t="s">
        <v>40</v>
      </c>
      <c r="H86" s="121" t="s">
        <v>41</v>
      </c>
      <c r="I86" s="120" t="s">
        <v>524</v>
      </c>
      <c r="J86" s="122" t="s">
        <v>525</v>
      </c>
      <c r="K86" s="123" t="s">
        <v>526</v>
      </c>
      <c r="L86" t="s">
        <v>63</v>
      </c>
      <c r="M86" s="124" t="s">
        <v>64</v>
      </c>
      <c r="N86" s="125" t="s">
        <v>65</v>
      </c>
      <c r="O86" s="126" t="s">
        <v>929</v>
      </c>
      <c r="P86" s="127"/>
      <c r="Q86" s="128"/>
      <c r="R86" s="128"/>
      <c r="S86" s="129">
        <v>969.97</v>
      </c>
      <c r="T86" s="130" t="s">
        <v>528</v>
      </c>
      <c r="U86" s="131">
        <v>45488</v>
      </c>
      <c r="V86" s="132"/>
      <c r="W86" s="133"/>
      <c r="X86" s="134" t="s">
        <v>573</v>
      </c>
      <c r="Y86" s="135" t="s">
        <v>912</v>
      </c>
      <c r="Z86" s="128" t="s">
        <v>96</v>
      </c>
      <c r="AA86" s="128" t="s">
        <v>931</v>
      </c>
      <c r="AB86" s="136" t="s">
        <v>256</v>
      </c>
      <c r="AC86" s="137" t="s">
        <v>914</v>
      </c>
      <c r="AD86" s="136" t="s">
        <v>961</v>
      </c>
      <c r="AE86" s="136" t="s">
        <v>962</v>
      </c>
      <c r="AF86" s="136" t="s">
        <v>59</v>
      </c>
      <c r="AG86" s="136" t="s">
        <v>59</v>
      </c>
      <c r="AH86" s="138">
        <v>-969.97</v>
      </c>
      <c r="AI86" s="139" t="s">
        <v>58</v>
      </c>
      <c r="AJ86" s="139" t="s">
        <v>59</v>
      </c>
    </row>
    <row r="87" spans="1:36" ht="15.75" x14ac:dyDescent="0.25">
      <c r="A87" s="115">
        <v>21254</v>
      </c>
      <c r="B87" s="116" t="s">
        <v>36</v>
      </c>
      <c r="C87" s="117" t="s">
        <v>37</v>
      </c>
      <c r="D87" s="118" t="s">
        <v>36</v>
      </c>
      <c r="E87" s="119" t="s">
        <v>38</v>
      </c>
      <c r="F87" s="140" t="s">
        <v>39</v>
      </c>
      <c r="G87" s="118" t="s">
        <v>40</v>
      </c>
      <c r="H87" s="121" t="s">
        <v>41</v>
      </c>
      <c r="I87" s="120" t="s">
        <v>524</v>
      </c>
      <c r="J87" s="122" t="s">
        <v>525</v>
      </c>
      <c r="K87" s="123" t="s">
        <v>526</v>
      </c>
      <c r="L87" t="s">
        <v>262</v>
      </c>
      <c r="M87" s="124" t="s">
        <v>263</v>
      </c>
      <c r="N87" s="125" t="s">
        <v>264</v>
      </c>
      <c r="O87" s="126" t="s">
        <v>929</v>
      </c>
      <c r="P87" s="127"/>
      <c r="Q87" s="128"/>
      <c r="R87" s="128"/>
      <c r="S87" s="129">
        <v>329.32</v>
      </c>
      <c r="T87" s="130" t="s">
        <v>528</v>
      </c>
      <c r="U87" s="131">
        <v>45490</v>
      </c>
      <c r="V87" s="132"/>
      <c r="W87" s="133"/>
      <c r="X87" s="134" t="s">
        <v>573</v>
      </c>
      <c r="Y87" s="135" t="s">
        <v>912</v>
      </c>
      <c r="Z87" s="128" t="s">
        <v>96</v>
      </c>
      <c r="AA87" s="128" t="s">
        <v>932</v>
      </c>
      <c r="AB87" s="136" t="s">
        <v>256</v>
      </c>
      <c r="AC87" s="137" t="s">
        <v>914</v>
      </c>
      <c r="AD87" s="136" t="s">
        <v>961</v>
      </c>
      <c r="AE87" s="136" t="s">
        <v>962</v>
      </c>
      <c r="AF87" s="136" t="s">
        <v>59</v>
      </c>
      <c r="AG87" s="136" t="s">
        <v>59</v>
      </c>
      <c r="AH87" s="138">
        <v>-329.32</v>
      </c>
      <c r="AI87" s="139" t="s">
        <v>58</v>
      </c>
      <c r="AJ87" s="139" t="s">
        <v>59</v>
      </c>
    </row>
    <row r="88" spans="1:36" ht="15.75" x14ac:dyDescent="0.25">
      <c r="A88" s="115">
        <v>21326</v>
      </c>
      <c r="B88" s="116" t="s">
        <v>36</v>
      </c>
      <c r="C88" s="117" t="s">
        <v>37</v>
      </c>
      <c r="D88" s="118" t="s">
        <v>36</v>
      </c>
      <c r="E88" s="119" t="s">
        <v>38</v>
      </c>
      <c r="F88" s="140" t="s">
        <v>39</v>
      </c>
      <c r="G88" s="118" t="s">
        <v>40</v>
      </c>
      <c r="H88" s="121" t="s">
        <v>41</v>
      </c>
      <c r="I88" s="120" t="s">
        <v>524</v>
      </c>
      <c r="J88" s="122" t="s">
        <v>525</v>
      </c>
      <c r="K88" s="123" t="s">
        <v>526</v>
      </c>
      <c r="L88" t="s">
        <v>63</v>
      </c>
      <c r="M88" s="124" t="s">
        <v>64</v>
      </c>
      <c r="N88" s="125" t="s">
        <v>65</v>
      </c>
      <c r="O88" s="126" t="s">
        <v>929</v>
      </c>
      <c r="P88" s="127"/>
      <c r="Q88" s="128"/>
      <c r="R88" s="128"/>
      <c r="S88" s="129">
        <v>1596</v>
      </c>
      <c r="T88" s="130" t="s">
        <v>528</v>
      </c>
      <c r="U88" s="131">
        <v>45491</v>
      </c>
      <c r="V88" s="132"/>
      <c r="W88" s="133"/>
      <c r="X88" s="134" t="s">
        <v>563</v>
      </c>
      <c r="Y88" s="135" t="s">
        <v>912</v>
      </c>
      <c r="Z88" s="128" t="s">
        <v>96</v>
      </c>
      <c r="AA88" s="128" t="s">
        <v>933</v>
      </c>
      <c r="AB88" s="136" t="s">
        <v>256</v>
      </c>
      <c r="AC88" s="137" t="s">
        <v>914</v>
      </c>
      <c r="AD88" s="136" t="s">
        <v>961</v>
      </c>
      <c r="AE88" s="136" t="s">
        <v>962</v>
      </c>
      <c r="AF88" s="136" t="s">
        <v>59</v>
      </c>
      <c r="AG88" s="136" t="s">
        <v>59</v>
      </c>
      <c r="AH88" s="138">
        <v>-1596</v>
      </c>
      <c r="AI88" s="139" t="s">
        <v>58</v>
      </c>
      <c r="AJ88" s="139" t="s">
        <v>59</v>
      </c>
    </row>
    <row r="89" spans="1:36" ht="15.75" x14ac:dyDescent="0.25">
      <c r="A89" s="115">
        <v>21454</v>
      </c>
      <c r="B89" s="116" t="s">
        <v>36</v>
      </c>
      <c r="C89" s="117" t="s">
        <v>37</v>
      </c>
      <c r="D89" s="118" t="s">
        <v>36</v>
      </c>
      <c r="E89" s="119" t="s">
        <v>38</v>
      </c>
      <c r="F89" s="140" t="s">
        <v>39</v>
      </c>
      <c r="G89" s="118" t="s">
        <v>40</v>
      </c>
      <c r="H89" s="121" t="s">
        <v>41</v>
      </c>
      <c r="I89" s="120" t="s">
        <v>524</v>
      </c>
      <c r="J89" s="122" t="s">
        <v>525</v>
      </c>
      <c r="K89" s="123" t="s">
        <v>526</v>
      </c>
      <c r="L89" t="s">
        <v>83</v>
      </c>
      <c r="M89" s="124" t="s">
        <v>84</v>
      </c>
      <c r="N89" s="125" t="s">
        <v>85</v>
      </c>
      <c r="O89" s="126" t="s">
        <v>929</v>
      </c>
      <c r="P89" s="127"/>
      <c r="Q89" s="128"/>
      <c r="R89" s="128"/>
      <c r="S89" s="129">
        <v>61.68</v>
      </c>
      <c r="T89" s="130" t="s">
        <v>528</v>
      </c>
      <c r="U89" s="131">
        <v>45494</v>
      </c>
      <c r="V89" s="132"/>
      <c r="W89" s="133"/>
      <c r="X89" s="134" t="s">
        <v>55</v>
      </c>
      <c r="Y89" s="135" t="s">
        <v>912</v>
      </c>
      <c r="Z89" s="128" t="s">
        <v>96</v>
      </c>
      <c r="AA89" s="128" t="s">
        <v>939</v>
      </c>
      <c r="AB89" s="136" t="s">
        <v>256</v>
      </c>
      <c r="AC89" s="137" t="s">
        <v>914</v>
      </c>
      <c r="AD89" s="136" t="s">
        <v>961</v>
      </c>
      <c r="AE89" s="136" t="s">
        <v>962</v>
      </c>
      <c r="AF89" s="136" t="s">
        <v>59</v>
      </c>
      <c r="AG89" s="136" t="s">
        <v>59</v>
      </c>
      <c r="AH89" s="138">
        <v>-61.68</v>
      </c>
      <c r="AI89" s="139" t="s">
        <v>58</v>
      </c>
      <c r="AJ89" s="139" t="s">
        <v>59</v>
      </c>
    </row>
    <row r="90" spans="1:36" ht="15.75" x14ac:dyDescent="0.25">
      <c r="A90" s="115">
        <v>21612</v>
      </c>
      <c r="B90" s="116" t="s">
        <v>36</v>
      </c>
      <c r="C90" s="117" t="s">
        <v>37</v>
      </c>
      <c r="D90" s="118" t="s">
        <v>36</v>
      </c>
      <c r="E90" s="119" t="s">
        <v>38</v>
      </c>
      <c r="F90" s="120" t="s">
        <v>39</v>
      </c>
      <c r="G90" s="118" t="s">
        <v>40</v>
      </c>
      <c r="H90" s="121" t="s">
        <v>41</v>
      </c>
      <c r="I90" s="120" t="s">
        <v>524</v>
      </c>
      <c r="J90" s="122" t="s">
        <v>525</v>
      </c>
      <c r="K90" s="123" t="s">
        <v>526</v>
      </c>
      <c r="L90" t="s">
        <v>63</v>
      </c>
      <c r="M90" s="124" t="s">
        <v>64</v>
      </c>
      <c r="N90" s="125" t="s">
        <v>65</v>
      </c>
      <c r="O90" s="126" t="s">
        <v>929</v>
      </c>
      <c r="P90" s="127"/>
      <c r="Q90" s="128"/>
      <c r="R90" s="128"/>
      <c r="S90" s="129">
        <v>10700</v>
      </c>
      <c r="T90" s="130" t="s">
        <v>528</v>
      </c>
      <c r="U90" s="131">
        <v>45496</v>
      </c>
      <c r="V90" s="132"/>
      <c r="W90" s="133"/>
      <c r="X90" s="134" t="s">
        <v>944</v>
      </c>
      <c r="Y90" s="135" t="s">
        <v>912</v>
      </c>
      <c r="Z90" s="128" t="s">
        <v>96</v>
      </c>
      <c r="AA90" s="128" t="s">
        <v>913</v>
      </c>
      <c r="AB90" s="136" t="s">
        <v>256</v>
      </c>
      <c r="AC90" s="137" t="s">
        <v>914</v>
      </c>
      <c r="AD90" s="136" t="s">
        <v>961</v>
      </c>
      <c r="AE90" s="136" t="s">
        <v>962</v>
      </c>
      <c r="AF90" s="136" t="s">
        <v>59</v>
      </c>
      <c r="AG90" s="136" t="s">
        <v>59</v>
      </c>
      <c r="AH90" s="138">
        <v>-10700</v>
      </c>
      <c r="AI90" s="139" t="s">
        <v>58</v>
      </c>
      <c r="AJ90" s="139" t="s">
        <v>59</v>
      </c>
    </row>
    <row r="91" spans="1:36" ht="15.75" x14ac:dyDescent="0.25">
      <c r="A91" s="115">
        <v>22612</v>
      </c>
      <c r="B91" s="116" t="s">
        <v>36</v>
      </c>
      <c r="C91" s="117" t="s">
        <v>37</v>
      </c>
      <c r="D91" s="118" t="s">
        <v>36</v>
      </c>
      <c r="E91" s="119" t="s">
        <v>38</v>
      </c>
      <c r="F91" s="120" t="s">
        <v>39</v>
      </c>
      <c r="G91" s="118" t="s">
        <v>40</v>
      </c>
      <c r="H91" s="121" t="s">
        <v>41</v>
      </c>
      <c r="I91" s="120" t="s">
        <v>524</v>
      </c>
      <c r="J91" s="122" t="s">
        <v>525</v>
      </c>
      <c r="K91" s="123" t="s">
        <v>526</v>
      </c>
      <c r="L91" t="s">
        <v>63</v>
      </c>
      <c r="M91" s="124" t="s">
        <v>64</v>
      </c>
      <c r="N91" s="125" t="s">
        <v>65</v>
      </c>
      <c r="O91" s="126" t="s">
        <v>929</v>
      </c>
      <c r="P91" s="127"/>
      <c r="Q91" s="128"/>
      <c r="R91" s="128"/>
      <c r="S91" s="129">
        <v>1500</v>
      </c>
      <c r="T91" s="130" t="s">
        <v>528</v>
      </c>
      <c r="U91" s="131">
        <v>45506</v>
      </c>
      <c r="V91" s="132"/>
      <c r="W91" s="133"/>
      <c r="X91" s="134" t="s">
        <v>541</v>
      </c>
      <c r="Y91" s="135" t="s">
        <v>912</v>
      </c>
      <c r="Z91" s="128" t="s">
        <v>96</v>
      </c>
      <c r="AA91" s="128" t="s">
        <v>913</v>
      </c>
      <c r="AB91" s="136"/>
      <c r="AC91" s="137"/>
      <c r="AD91" s="136"/>
      <c r="AE91" s="136"/>
      <c r="AF91" s="136"/>
      <c r="AG91" s="136"/>
      <c r="AH91" s="138">
        <v>-1500</v>
      </c>
      <c r="AI91" s="139" t="s">
        <v>58</v>
      </c>
      <c r="AJ91" s="139" t="s">
        <v>59</v>
      </c>
    </row>
    <row r="92" spans="1:36" ht="15.75" x14ac:dyDescent="0.25">
      <c r="A92" s="115">
        <v>22630</v>
      </c>
      <c r="B92" s="116" t="s">
        <v>36</v>
      </c>
      <c r="C92" s="117" t="s">
        <v>37</v>
      </c>
      <c r="D92" s="118" t="s">
        <v>36</v>
      </c>
      <c r="E92" s="119" t="s">
        <v>38</v>
      </c>
      <c r="F92" s="140" t="s">
        <v>39</v>
      </c>
      <c r="G92" s="118" t="s">
        <v>40</v>
      </c>
      <c r="H92" s="121" t="s">
        <v>41</v>
      </c>
      <c r="I92" s="120" t="s">
        <v>524</v>
      </c>
      <c r="J92" s="122" t="s">
        <v>525</v>
      </c>
      <c r="K92" s="123" t="s">
        <v>526</v>
      </c>
      <c r="L92" t="s">
        <v>63</v>
      </c>
      <c r="M92" s="124" t="s">
        <v>64</v>
      </c>
      <c r="N92" s="125" t="s">
        <v>65</v>
      </c>
      <c r="O92" s="126" t="s">
        <v>929</v>
      </c>
      <c r="P92" s="127"/>
      <c r="Q92" s="128"/>
      <c r="R92" s="128"/>
      <c r="S92" s="129">
        <v>1400</v>
      </c>
      <c r="T92" s="130" t="s">
        <v>528</v>
      </c>
      <c r="U92" s="131">
        <v>45506</v>
      </c>
      <c r="V92" s="132"/>
      <c r="W92" s="133"/>
      <c r="X92" s="134" t="s">
        <v>563</v>
      </c>
      <c r="Y92" s="135" t="s">
        <v>912</v>
      </c>
      <c r="Z92" s="128" t="s">
        <v>96</v>
      </c>
      <c r="AA92" s="128" t="s">
        <v>933</v>
      </c>
      <c r="AB92" s="136"/>
      <c r="AC92" s="137"/>
      <c r="AD92" s="136"/>
      <c r="AE92" s="136"/>
      <c r="AF92" s="136"/>
      <c r="AG92" s="136"/>
      <c r="AH92" s="138">
        <v>-1400</v>
      </c>
      <c r="AI92" s="139" t="s">
        <v>58</v>
      </c>
      <c r="AJ92" s="139" t="s">
        <v>59</v>
      </c>
    </row>
    <row r="93" spans="1:36" ht="15.75" x14ac:dyDescent="0.25">
      <c r="A93" s="115">
        <v>22885</v>
      </c>
      <c r="B93" s="116" t="s">
        <v>36</v>
      </c>
      <c r="C93" s="117" t="s">
        <v>37</v>
      </c>
      <c r="D93" s="118" t="s">
        <v>36</v>
      </c>
      <c r="E93" s="119" t="s">
        <v>38</v>
      </c>
      <c r="F93" s="120" t="s">
        <v>39</v>
      </c>
      <c r="G93" s="118" t="s">
        <v>40</v>
      </c>
      <c r="H93" s="121" t="s">
        <v>41</v>
      </c>
      <c r="I93" s="120" t="s">
        <v>524</v>
      </c>
      <c r="J93" s="122" t="s">
        <v>525</v>
      </c>
      <c r="K93" s="123" t="s">
        <v>526</v>
      </c>
      <c r="L93" t="s">
        <v>251</v>
      </c>
      <c r="M93" s="124" t="s">
        <v>934</v>
      </c>
      <c r="N93" s="125" t="s">
        <v>935</v>
      </c>
      <c r="O93" s="126" t="s">
        <v>929</v>
      </c>
      <c r="P93" s="127"/>
      <c r="Q93" s="128"/>
      <c r="R93" s="128"/>
      <c r="S93" s="129">
        <v>1553.82</v>
      </c>
      <c r="T93" s="130" t="s">
        <v>528</v>
      </c>
      <c r="U93" s="131">
        <v>45510</v>
      </c>
      <c r="V93" s="132"/>
      <c r="W93" s="133"/>
      <c r="X93" s="134" t="s">
        <v>743</v>
      </c>
      <c r="Y93" s="135" t="s">
        <v>912</v>
      </c>
      <c r="Z93" s="128" t="s">
        <v>96</v>
      </c>
      <c r="AA93" s="128" t="s">
        <v>936</v>
      </c>
      <c r="AB93" s="136"/>
      <c r="AC93" s="137"/>
      <c r="AD93" s="136"/>
      <c r="AE93" s="136"/>
      <c r="AF93" s="136"/>
      <c r="AG93" s="136"/>
      <c r="AH93" s="138">
        <v>-1553.82</v>
      </c>
      <c r="AI93" s="139" t="s">
        <v>58</v>
      </c>
      <c r="AJ93" s="139" t="s">
        <v>59</v>
      </c>
    </row>
    <row r="94" spans="1:36" ht="15.75" x14ac:dyDescent="0.25">
      <c r="A94" s="115">
        <v>23401</v>
      </c>
      <c r="B94" s="116" t="s">
        <v>36</v>
      </c>
      <c r="C94" s="117" t="s">
        <v>37</v>
      </c>
      <c r="D94" s="118" t="s">
        <v>36</v>
      </c>
      <c r="E94" s="119" t="s">
        <v>38</v>
      </c>
      <c r="F94" s="140" t="s">
        <v>39</v>
      </c>
      <c r="G94" s="118" t="s">
        <v>40</v>
      </c>
      <c r="H94" s="121" t="s">
        <v>41</v>
      </c>
      <c r="I94" s="120" t="s">
        <v>524</v>
      </c>
      <c r="J94" s="122" t="s">
        <v>525</v>
      </c>
      <c r="K94" s="123" t="s">
        <v>526</v>
      </c>
      <c r="L94" t="s">
        <v>262</v>
      </c>
      <c r="M94" s="124" t="s">
        <v>263</v>
      </c>
      <c r="N94" s="125" t="s">
        <v>264</v>
      </c>
      <c r="O94" s="126" t="s">
        <v>929</v>
      </c>
      <c r="P94" s="127"/>
      <c r="Q94" s="128"/>
      <c r="R94" s="128"/>
      <c r="S94" s="129">
        <v>1120</v>
      </c>
      <c r="T94" s="130" t="s">
        <v>528</v>
      </c>
      <c r="U94" s="131">
        <v>45517</v>
      </c>
      <c r="V94" s="132"/>
      <c r="W94" s="133"/>
      <c r="X94" s="134" t="s">
        <v>963</v>
      </c>
      <c r="Y94" s="135" t="s">
        <v>912</v>
      </c>
      <c r="Z94" s="128" t="s">
        <v>96</v>
      </c>
      <c r="AA94" s="128" t="s">
        <v>964</v>
      </c>
      <c r="AB94" s="136"/>
      <c r="AC94" s="137"/>
      <c r="AD94" s="136"/>
      <c r="AE94" s="136"/>
      <c r="AF94" s="136"/>
      <c r="AG94" s="136"/>
      <c r="AH94" s="138">
        <v>-1120</v>
      </c>
      <c r="AI94" s="139" t="s">
        <v>58</v>
      </c>
      <c r="AJ94" s="139" t="s">
        <v>59</v>
      </c>
    </row>
    <row r="95" spans="1:36" ht="15.75" x14ac:dyDescent="0.25">
      <c r="A95" s="115">
        <v>24038</v>
      </c>
      <c r="B95" s="116" t="s">
        <v>36</v>
      </c>
      <c r="C95" s="117" t="s">
        <v>37</v>
      </c>
      <c r="D95" s="118" t="s">
        <v>36</v>
      </c>
      <c r="E95" s="119" t="s">
        <v>38</v>
      </c>
      <c r="F95" s="120" t="s">
        <v>39</v>
      </c>
      <c r="G95" s="118" t="s">
        <v>40</v>
      </c>
      <c r="H95" s="121" t="s">
        <v>41</v>
      </c>
      <c r="I95" s="120" t="s">
        <v>524</v>
      </c>
      <c r="J95" s="122" t="s">
        <v>525</v>
      </c>
      <c r="K95" s="123" t="s">
        <v>526</v>
      </c>
      <c r="L95" t="s">
        <v>63</v>
      </c>
      <c r="M95" s="124" t="s">
        <v>64</v>
      </c>
      <c r="N95" s="125" t="s">
        <v>65</v>
      </c>
      <c r="O95" s="126" t="s">
        <v>929</v>
      </c>
      <c r="P95" s="127"/>
      <c r="Q95" s="128"/>
      <c r="R95" s="128"/>
      <c r="S95" s="129">
        <v>330</v>
      </c>
      <c r="T95" s="130" t="s">
        <v>528</v>
      </c>
      <c r="U95" s="131">
        <v>45525</v>
      </c>
      <c r="V95" s="132"/>
      <c r="W95" s="133"/>
      <c r="X95" s="134" t="s">
        <v>533</v>
      </c>
      <c r="Y95" s="135" t="s">
        <v>912</v>
      </c>
      <c r="Z95" s="128" t="s">
        <v>96</v>
      </c>
      <c r="AA95" s="128" t="s">
        <v>913</v>
      </c>
      <c r="AB95" s="136"/>
      <c r="AC95" s="137"/>
      <c r="AD95" s="136"/>
      <c r="AE95" s="136"/>
      <c r="AF95" s="136"/>
      <c r="AG95" s="136"/>
      <c r="AH95" s="138">
        <v>-330</v>
      </c>
      <c r="AI95" s="139" t="s">
        <v>58</v>
      </c>
      <c r="AJ95" s="139" t="s">
        <v>59</v>
      </c>
    </row>
    <row r="96" spans="1:36" ht="15.75" x14ac:dyDescent="0.25">
      <c r="A96" s="115">
        <v>24291</v>
      </c>
      <c r="B96" s="116" t="s">
        <v>36</v>
      </c>
      <c r="C96" s="117" t="s">
        <v>37</v>
      </c>
      <c r="D96" s="118" t="s">
        <v>36</v>
      </c>
      <c r="E96" s="119" t="s">
        <v>38</v>
      </c>
      <c r="F96" s="140" t="s">
        <v>39</v>
      </c>
      <c r="G96" s="118" t="s">
        <v>40</v>
      </c>
      <c r="H96" s="121" t="s">
        <v>41</v>
      </c>
      <c r="I96" s="120" t="s">
        <v>524</v>
      </c>
      <c r="J96" s="122" t="s">
        <v>525</v>
      </c>
      <c r="K96" s="123" t="s">
        <v>526</v>
      </c>
      <c r="L96" t="s">
        <v>262</v>
      </c>
      <c r="M96" s="124" t="s">
        <v>263</v>
      </c>
      <c r="N96" s="125" t="s">
        <v>264</v>
      </c>
      <c r="O96" s="126" t="s">
        <v>929</v>
      </c>
      <c r="P96" s="127"/>
      <c r="Q96" s="128"/>
      <c r="R96" s="128"/>
      <c r="S96" s="129">
        <v>1290</v>
      </c>
      <c r="T96" s="130" t="s">
        <v>528</v>
      </c>
      <c r="U96" s="131">
        <v>45527</v>
      </c>
      <c r="V96" s="132"/>
      <c r="W96" s="133"/>
      <c r="X96" s="134" t="s">
        <v>965</v>
      </c>
      <c r="Y96" s="135" t="s">
        <v>912</v>
      </c>
      <c r="Z96" s="128" t="s">
        <v>96</v>
      </c>
      <c r="AA96" s="128" t="s">
        <v>932</v>
      </c>
      <c r="AB96" s="136"/>
      <c r="AC96" s="137"/>
      <c r="AD96" s="136"/>
      <c r="AE96" s="136"/>
      <c r="AF96" s="136"/>
      <c r="AG96" s="136"/>
      <c r="AH96" s="138">
        <v>-1290</v>
      </c>
      <c r="AI96" s="139" t="s">
        <v>58</v>
      </c>
      <c r="AJ96" s="139" t="s">
        <v>59</v>
      </c>
    </row>
    <row r="97" spans="1:36" ht="15.75" x14ac:dyDescent="0.25">
      <c r="A97" s="115">
        <v>24819</v>
      </c>
      <c r="B97" s="116" t="s">
        <v>36</v>
      </c>
      <c r="C97" s="117" t="s">
        <v>37</v>
      </c>
      <c r="D97" s="118" t="s">
        <v>36</v>
      </c>
      <c r="E97" s="119" t="s">
        <v>38</v>
      </c>
      <c r="F97" s="120" t="s">
        <v>39</v>
      </c>
      <c r="G97" s="118" t="s">
        <v>40</v>
      </c>
      <c r="H97" s="121" t="s">
        <v>41</v>
      </c>
      <c r="I97" s="120" t="s">
        <v>524</v>
      </c>
      <c r="J97" s="122" t="s">
        <v>525</v>
      </c>
      <c r="K97" s="123" t="s">
        <v>526</v>
      </c>
      <c r="L97" t="s">
        <v>251</v>
      </c>
      <c r="M97" s="124" t="s">
        <v>934</v>
      </c>
      <c r="N97" s="125" t="s">
        <v>935</v>
      </c>
      <c r="O97" s="126" t="s">
        <v>929</v>
      </c>
      <c r="P97" s="127"/>
      <c r="Q97" s="128"/>
      <c r="R97" s="128"/>
      <c r="S97" s="129">
        <v>1487.84</v>
      </c>
      <c r="T97" s="130" t="s">
        <v>528</v>
      </c>
      <c r="U97" s="131">
        <v>45534</v>
      </c>
      <c r="V97" s="132"/>
      <c r="W97" s="133"/>
      <c r="X97" s="134" t="s">
        <v>743</v>
      </c>
      <c r="Y97" s="135" t="s">
        <v>912</v>
      </c>
      <c r="Z97" s="128" t="s">
        <v>96</v>
      </c>
      <c r="AA97" s="128" t="s">
        <v>936</v>
      </c>
      <c r="AB97" s="136"/>
      <c r="AC97" s="137"/>
      <c r="AD97" s="136"/>
      <c r="AE97" s="136"/>
      <c r="AF97" s="136"/>
      <c r="AG97" s="136"/>
      <c r="AH97" s="138">
        <v>-1487.84</v>
      </c>
      <c r="AI97" s="139" t="s">
        <v>58</v>
      </c>
      <c r="AJ97" s="139" t="s">
        <v>59</v>
      </c>
    </row>
    <row r="98" spans="1:36" ht="15.75" x14ac:dyDescent="0.25">
      <c r="A98" s="115">
        <v>24822</v>
      </c>
      <c r="B98" s="116" t="s">
        <v>36</v>
      </c>
      <c r="C98" s="117" t="s">
        <v>37</v>
      </c>
      <c r="D98" s="118" t="s">
        <v>36</v>
      </c>
      <c r="E98" s="119" t="s">
        <v>38</v>
      </c>
      <c r="F98" s="120" t="s">
        <v>39</v>
      </c>
      <c r="G98" s="118" t="s">
        <v>40</v>
      </c>
      <c r="H98" s="121" t="s">
        <v>41</v>
      </c>
      <c r="I98" s="120" t="s">
        <v>524</v>
      </c>
      <c r="J98" s="122" t="s">
        <v>525</v>
      </c>
      <c r="K98" s="123" t="s">
        <v>526</v>
      </c>
      <c r="L98" t="s">
        <v>251</v>
      </c>
      <c r="M98" s="124" t="s">
        <v>934</v>
      </c>
      <c r="N98" s="125" t="s">
        <v>935</v>
      </c>
      <c r="O98" s="126" t="s">
        <v>929</v>
      </c>
      <c r="P98" s="127"/>
      <c r="Q98" s="128"/>
      <c r="R98" s="128"/>
      <c r="S98" s="129">
        <v>136.75</v>
      </c>
      <c r="T98" s="130" t="s">
        <v>528</v>
      </c>
      <c r="U98" s="131">
        <v>45534</v>
      </c>
      <c r="V98" s="132"/>
      <c r="W98" s="133"/>
      <c r="X98" s="134" t="s">
        <v>743</v>
      </c>
      <c r="Y98" s="135" t="s">
        <v>912</v>
      </c>
      <c r="Z98" s="128" t="s">
        <v>96</v>
      </c>
      <c r="AA98" s="128" t="s">
        <v>936</v>
      </c>
      <c r="AB98" s="136"/>
      <c r="AC98" s="137"/>
      <c r="AD98" s="136"/>
      <c r="AE98" s="136"/>
      <c r="AF98" s="136"/>
      <c r="AG98" s="136"/>
      <c r="AH98" s="138">
        <v>-136.75</v>
      </c>
      <c r="AI98" s="139" t="s">
        <v>58</v>
      </c>
      <c r="AJ98" s="139" t="s">
        <v>59</v>
      </c>
    </row>
    <row r="99" spans="1:36" ht="15.75" x14ac:dyDescent="0.25">
      <c r="A99" s="115">
        <v>24826</v>
      </c>
      <c r="B99" s="116" t="s">
        <v>36</v>
      </c>
      <c r="C99" s="117" t="s">
        <v>37</v>
      </c>
      <c r="D99" s="118" t="s">
        <v>36</v>
      </c>
      <c r="E99" s="119" t="s">
        <v>38</v>
      </c>
      <c r="F99" s="140" t="s">
        <v>39</v>
      </c>
      <c r="G99" s="118" t="s">
        <v>40</v>
      </c>
      <c r="H99" s="121" t="s">
        <v>41</v>
      </c>
      <c r="I99" s="120" t="s">
        <v>524</v>
      </c>
      <c r="J99" s="122" t="s">
        <v>525</v>
      </c>
      <c r="K99" s="123" t="s">
        <v>526</v>
      </c>
      <c r="L99" t="s">
        <v>966</v>
      </c>
      <c r="M99" s="124" t="s">
        <v>967</v>
      </c>
      <c r="N99" s="125" t="s">
        <v>968</v>
      </c>
      <c r="O99" s="126" t="s">
        <v>929</v>
      </c>
      <c r="P99" s="127"/>
      <c r="Q99" s="128"/>
      <c r="R99" s="128"/>
      <c r="S99" s="129">
        <v>740</v>
      </c>
      <c r="T99" s="130" t="s">
        <v>528</v>
      </c>
      <c r="U99" s="131">
        <v>45534</v>
      </c>
      <c r="V99" s="132"/>
      <c r="W99" s="133"/>
      <c r="X99" s="134" t="s">
        <v>563</v>
      </c>
      <c r="Y99" s="135" t="s">
        <v>912</v>
      </c>
      <c r="Z99" s="128" t="s">
        <v>96</v>
      </c>
      <c r="AA99" s="128" t="s">
        <v>954</v>
      </c>
      <c r="AB99" s="136"/>
      <c r="AC99" s="137"/>
      <c r="AD99" s="136"/>
      <c r="AE99" s="136"/>
      <c r="AF99" s="136"/>
      <c r="AG99" s="136"/>
      <c r="AH99" s="138">
        <v>-740</v>
      </c>
      <c r="AI99" s="139" t="s">
        <v>58</v>
      </c>
      <c r="AJ99" s="139" t="s">
        <v>157</v>
      </c>
    </row>
    <row r="100" spans="1:36" ht="15.75" x14ac:dyDescent="0.25">
      <c r="A100" s="115">
        <v>24828</v>
      </c>
      <c r="B100" s="116" t="s">
        <v>36</v>
      </c>
      <c r="C100" s="117" t="s">
        <v>37</v>
      </c>
      <c r="D100" s="118" t="s">
        <v>36</v>
      </c>
      <c r="E100" s="119" t="s">
        <v>38</v>
      </c>
      <c r="F100" s="140" t="s">
        <v>39</v>
      </c>
      <c r="G100" s="118" t="s">
        <v>40</v>
      </c>
      <c r="H100" s="121" t="s">
        <v>41</v>
      </c>
      <c r="I100" s="120" t="s">
        <v>524</v>
      </c>
      <c r="J100" s="122" t="s">
        <v>525</v>
      </c>
      <c r="K100" s="123" t="s">
        <v>526</v>
      </c>
      <c r="L100" t="s">
        <v>966</v>
      </c>
      <c r="M100" s="124" t="s">
        <v>967</v>
      </c>
      <c r="N100" s="125" t="s">
        <v>968</v>
      </c>
      <c r="O100" s="126" t="s">
        <v>929</v>
      </c>
      <c r="P100" s="127"/>
      <c r="Q100" s="128"/>
      <c r="R100" s="128"/>
      <c r="S100" s="129">
        <v>50</v>
      </c>
      <c r="T100" s="130" t="s">
        <v>528</v>
      </c>
      <c r="U100" s="131">
        <v>45534</v>
      </c>
      <c r="V100" s="132"/>
      <c r="W100" s="133"/>
      <c r="X100" s="134" t="s">
        <v>563</v>
      </c>
      <c r="Y100" s="135" t="s">
        <v>912</v>
      </c>
      <c r="Z100" s="128" t="s">
        <v>96</v>
      </c>
      <c r="AA100" s="128" t="s">
        <v>954</v>
      </c>
      <c r="AB100" s="136"/>
      <c r="AC100" s="137"/>
      <c r="AD100" s="136"/>
      <c r="AE100" s="136"/>
      <c r="AF100" s="136"/>
      <c r="AG100" s="136"/>
      <c r="AH100" s="138">
        <v>-50</v>
      </c>
      <c r="AI100" s="139" t="s">
        <v>58</v>
      </c>
      <c r="AJ100" s="139" t="s">
        <v>157</v>
      </c>
    </row>
    <row r="101" spans="1:36" ht="15.75" x14ac:dyDescent="0.25">
      <c r="A101" s="115">
        <v>25384</v>
      </c>
      <c r="B101" s="116" t="s">
        <v>36</v>
      </c>
      <c r="C101" s="117" t="s">
        <v>37</v>
      </c>
      <c r="D101" s="118" t="s">
        <v>36</v>
      </c>
      <c r="E101" s="119" t="s">
        <v>38</v>
      </c>
      <c r="F101" s="140" t="s">
        <v>39</v>
      </c>
      <c r="G101" s="118" t="s">
        <v>40</v>
      </c>
      <c r="H101" s="121" t="s">
        <v>41</v>
      </c>
      <c r="I101" s="120" t="s">
        <v>524</v>
      </c>
      <c r="J101" s="122" t="s">
        <v>525</v>
      </c>
      <c r="K101" s="123" t="s">
        <v>526</v>
      </c>
      <c r="L101" t="s">
        <v>334</v>
      </c>
      <c r="M101" s="124" t="s">
        <v>335</v>
      </c>
      <c r="N101" s="125" t="s">
        <v>336</v>
      </c>
      <c r="O101" s="126" t="s">
        <v>929</v>
      </c>
      <c r="P101" s="127"/>
      <c r="Q101" s="128"/>
      <c r="R101" s="128"/>
      <c r="S101" s="129">
        <v>1120</v>
      </c>
      <c r="T101" s="130" t="s">
        <v>528</v>
      </c>
      <c r="U101" s="131">
        <v>45538</v>
      </c>
      <c r="V101" s="132"/>
      <c r="W101" s="133"/>
      <c r="X101" s="134" t="s">
        <v>963</v>
      </c>
      <c r="Y101" s="135" t="s">
        <v>912</v>
      </c>
      <c r="Z101" s="128" t="s">
        <v>96</v>
      </c>
      <c r="AA101" s="128" t="s">
        <v>969</v>
      </c>
      <c r="AB101" s="136"/>
      <c r="AC101" s="137"/>
      <c r="AD101" s="136"/>
      <c r="AE101" s="136"/>
      <c r="AF101" s="136"/>
      <c r="AG101" s="136"/>
      <c r="AH101" s="138">
        <v>-1120</v>
      </c>
      <c r="AI101" s="139" t="s">
        <v>58</v>
      </c>
      <c r="AJ101" s="139" t="s">
        <v>157</v>
      </c>
    </row>
    <row r="102" spans="1:36" ht="15.75" x14ac:dyDescent="0.25">
      <c r="A102" s="115">
        <v>25676</v>
      </c>
      <c r="B102" s="116" t="s">
        <v>36</v>
      </c>
      <c r="C102" s="117" t="s">
        <v>37</v>
      </c>
      <c r="D102" s="118" t="s">
        <v>36</v>
      </c>
      <c r="E102" s="119" t="s">
        <v>38</v>
      </c>
      <c r="F102" s="120" t="s">
        <v>39</v>
      </c>
      <c r="G102" s="118" t="s">
        <v>40</v>
      </c>
      <c r="H102" s="121" t="s">
        <v>41</v>
      </c>
      <c r="I102" s="120" t="s">
        <v>524</v>
      </c>
      <c r="J102" s="122" t="s">
        <v>525</v>
      </c>
      <c r="K102" s="123" t="s">
        <v>526</v>
      </c>
      <c r="L102" t="s">
        <v>63</v>
      </c>
      <c r="M102" s="124" t="s">
        <v>64</v>
      </c>
      <c r="N102" s="125" t="s">
        <v>65</v>
      </c>
      <c r="O102" s="126" t="s">
        <v>929</v>
      </c>
      <c r="P102" s="127"/>
      <c r="Q102" s="128"/>
      <c r="R102" s="128"/>
      <c r="S102" s="129">
        <v>6300</v>
      </c>
      <c r="T102" s="130" t="s">
        <v>528</v>
      </c>
      <c r="U102" s="131">
        <v>45540</v>
      </c>
      <c r="V102" s="132"/>
      <c r="W102" s="133"/>
      <c r="X102" s="134" t="s">
        <v>944</v>
      </c>
      <c r="Y102" s="135" t="s">
        <v>912</v>
      </c>
      <c r="Z102" s="128" t="s">
        <v>96</v>
      </c>
      <c r="AA102" s="128" t="s">
        <v>913</v>
      </c>
      <c r="AB102" s="136"/>
      <c r="AC102" s="137"/>
      <c r="AD102" s="136"/>
      <c r="AE102" s="136"/>
      <c r="AF102" s="136"/>
      <c r="AG102" s="136"/>
      <c r="AH102" s="138">
        <v>-6300</v>
      </c>
      <c r="AI102" s="139" t="s">
        <v>58</v>
      </c>
      <c r="AJ102" s="139" t="s">
        <v>59</v>
      </c>
    </row>
    <row r="103" spans="1:36" ht="15.75" x14ac:dyDescent="0.25">
      <c r="A103" s="115">
        <v>26850</v>
      </c>
      <c r="B103" s="116" t="s">
        <v>36</v>
      </c>
      <c r="C103" s="117" t="s">
        <v>37</v>
      </c>
      <c r="D103" s="118" t="s">
        <v>36</v>
      </c>
      <c r="E103" s="119" t="s">
        <v>38</v>
      </c>
      <c r="F103" s="140" t="s">
        <v>39</v>
      </c>
      <c r="G103" s="118" t="s">
        <v>40</v>
      </c>
      <c r="H103" s="121" t="s">
        <v>41</v>
      </c>
      <c r="I103" s="120" t="s">
        <v>524</v>
      </c>
      <c r="J103" s="122" t="s">
        <v>525</v>
      </c>
      <c r="K103" s="123" t="s">
        <v>526</v>
      </c>
      <c r="L103" t="s">
        <v>262</v>
      </c>
      <c r="M103" s="124" t="s">
        <v>263</v>
      </c>
      <c r="N103" s="125" t="s">
        <v>264</v>
      </c>
      <c r="O103" s="126" t="s">
        <v>929</v>
      </c>
      <c r="P103" s="127"/>
      <c r="Q103" s="128"/>
      <c r="R103" s="128"/>
      <c r="S103" s="129">
        <v>140</v>
      </c>
      <c r="T103" s="130" t="s">
        <v>528</v>
      </c>
      <c r="U103" s="131">
        <v>45553</v>
      </c>
      <c r="V103" s="132"/>
      <c r="W103" s="133"/>
      <c r="X103" s="134" t="s">
        <v>965</v>
      </c>
      <c r="Y103" s="135" t="s">
        <v>912</v>
      </c>
      <c r="Z103" s="128" t="s">
        <v>96</v>
      </c>
      <c r="AA103" s="128" t="s">
        <v>932</v>
      </c>
      <c r="AB103" s="136"/>
      <c r="AC103" s="137"/>
      <c r="AD103" s="136"/>
      <c r="AE103" s="136"/>
      <c r="AF103" s="136"/>
      <c r="AG103" s="136"/>
      <c r="AH103" s="138">
        <v>-140</v>
      </c>
      <c r="AI103" s="139" t="s">
        <v>58</v>
      </c>
      <c r="AJ103" s="139" t="s">
        <v>59</v>
      </c>
    </row>
    <row r="104" spans="1:36" ht="15.75" x14ac:dyDescent="0.25">
      <c r="A104" s="115">
        <v>27067</v>
      </c>
      <c r="B104" s="116" t="s">
        <v>36</v>
      </c>
      <c r="C104" s="117" t="s">
        <v>37</v>
      </c>
      <c r="D104" s="118" t="s">
        <v>36</v>
      </c>
      <c r="E104" s="119" t="s">
        <v>38</v>
      </c>
      <c r="F104" s="120" t="s">
        <v>39</v>
      </c>
      <c r="G104" s="118" t="s">
        <v>40</v>
      </c>
      <c r="H104" s="121" t="s">
        <v>41</v>
      </c>
      <c r="I104" s="120" t="s">
        <v>524</v>
      </c>
      <c r="J104" s="122" t="s">
        <v>525</v>
      </c>
      <c r="K104" s="123" t="s">
        <v>526</v>
      </c>
      <c r="L104" t="s">
        <v>262</v>
      </c>
      <c r="M104" s="124" t="s">
        <v>263</v>
      </c>
      <c r="N104" s="125" t="s">
        <v>264</v>
      </c>
      <c r="O104" s="126" t="s">
        <v>929</v>
      </c>
      <c r="P104" s="127"/>
      <c r="Q104" s="128"/>
      <c r="R104" s="128"/>
      <c r="S104" s="129">
        <v>1151.33</v>
      </c>
      <c r="T104" s="130" t="s">
        <v>528</v>
      </c>
      <c r="U104" s="131">
        <v>45555</v>
      </c>
      <c r="V104" s="132"/>
      <c r="W104" s="133"/>
      <c r="X104" s="134" t="s">
        <v>545</v>
      </c>
      <c r="Y104" s="135" t="s">
        <v>912</v>
      </c>
      <c r="Z104" s="128" t="s">
        <v>96</v>
      </c>
      <c r="AA104" s="128" t="s">
        <v>932</v>
      </c>
      <c r="AB104" s="136"/>
      <c r="AC104" s="137"/>
      <c r="AD104" s="136"/>
      <c r="AE104" s="136"/>
      <c r="AF104" s="136"/>
      <c r="AG104" s="136"/>
      <c r="AH104" s="138">
        <v>-1151.33</v>
      </c>
      <c r="AI104" s="139" t="s">
        <v>58</v>
      </c>
      <c r="AJ104" s="139" t="s">
        <v>59</v>
      </c>
    </row>
    <row r="105" spans="1:36" ht="15.75" x14ac:dyDescent="0.25">
      <c r="A105" s="115">
        <v>27381</v>
      </c>
      <c r="B105" s="116" t="s">
        <v>36</v>
      </c>
      <c r="C105" s="117" t="s">
        <v>37</v>
      </c>
      <c r="D105" s="118" t="s">
        <v>36</v>
      </c>
      <c r="E105" s="119" t="s">
        <v>38</v>
      </c>
      <c r="F105" s="120" t="s">
        <v>39</v>
      </c>
      <c r="G105" s="118" t="s">
        <v>40</v>
      </c>
      <c r="H105" s="121" t="s">
        <v>41</v>
      </c>
      <c r="I105" s="120" t="s">
        <v>524</v>
      </c>
      <c r="J105" s="122" t="s">
        <v>525</v>
      </c>
      <c r="K105" s="123" t="s">
        <v>526</v>
      </c>
      <c r="L105" t="s">
        <v>63</v>
      </c>
      <c r="M105" s="124" t="s">
        <v>64</v>
      </c>
      <c r="N105" s="125" t="s">
        <v>65</v>
      </c>
      <c r="O105" s="126" t="s">
        <v>929</v>
      </c>
      <c r="P105" s="127"/>
      <c r="Q105" s="128"/>
      <c r="R105" s="128"/>
      <c r="S105" s="129">
        <v>1260</v>
      </c>
      <c r="T105" s="130" t="s">
        <v>528</v>
      </c>
      <c r="U105" s="131">
        <v>45560</v>
      </c>
      <c r="V105" s="132"/>
      <c r="W105" s="133"/>
      <c r="X105" s="134" t="s">
        <v>754</v>
      </c>
      <c r="Y105" s="135" t="s">
        <v>912</v>
      </c>
      <c r="Z105" s="128" t="s">
        <v>96</v>
      </c>
      <c r="AA105" s="128" t="s">
        <v>933</v>
      </c>
      <c r="AB105" s="136"/>
      <c r="AC105" s="137"/>
      <c r="AD105" s="136"/>
      <c r="AE105" s="136"/>
      <c r="AF105" s="136"/>
      <c r="AG105" s="136"/>
      <c r="AH105" s="138">
        <v>-1260</v>
      </c>
      <c r="AI105" s="139" t="s">
        <v>58</v>
      </c>
      <c r="AJ105" s="139" t="s">
        <v>59</v>
      </c>
    </row>
    <row r="106" spans="1:36" ht="15.75" x14ac:dyDescent="0.25">
      <c r="A106" s="115">
        <v>27382</v>
      </c>
      <c r="B106" s="116" t="s">
        <v>36</v>
      </c>
      <c r="C106" s="117" t="s">
        <v>37</v>
      </c>
      <c r="D106" s="118" t="s">
        <v>36</v>
      </c>
      <c r="E106" s="119" t="s">
        <v>38</v>
      </c>
      <c r="F106" s="120" t="s">
        <v>39</v>
      </c>
      <c r="G106" s="118" t="s">
        <v>40</v>
      </c>
      <c r="H106" s="121" t="s">
        <v>41</v>
      </c>
      <c r="I106" s="120" t="s">
        <v>524</v>
      </c>
      <c r="J106" s="122" t="s">
        <v>525</v>
      </c>
      <c r="K106" s="123" t="s">
        <v>526</v>
      </c>
      <c r="L106" t="s">
        <v>63</v>
      </c>
      <c r="M106" s="124" t="s">
        <v>64</v>
      </c>
      <c r="N106" s="125" t="s">
        <v>65</v>
      </c>
      <c r="O106" s="126" t="s">
        <v>929</v>
      </c>
      <c r="P106" s="127"/>
      <c r="Q106" s="128"/>
      <c r="R106" s="128"/>
      <c r="S106" s="129">
        <v>1260</v>
      </c>
      <c r="T106" s="130" t="s">
        <v>528</v>
      </c>
      <c r="U106" s="131">
        <v>45560</v>
      </c>
      <c r="V106" s="132"/>
      <c r="W106" s="133"/>
      <c r="X106" s="134" t="s">
        <v>754</v>
      </c>
      <c r="Y106" s="135" t="s">
        <v>912</v>
      </c>
      <c r="Z106" s="128" t="s">
        <v>96</v>
      </c>
      <c r="AA106" s="128" t="s">
        <v>933</v>
      </c>
      <c r="AB106" s="136"/>
      <c r="AC106" s="137"/>
      <c r="AD106" s="136"/>
      <c r="AE106" s="136"/>
      <c r="AF106" s="136"/>
      <c r="AG106" s="136"/>
      <c r="AH106" s="138">
        <v>-1260</v>
      </c>
      <c r="AI106" s="139" t="s">
        <v>58</v>
      </c>
      <c r="AJ106" s="139" t="s">
        <v>59</v>
      </c>
    </row>
    <row r="107" spans="1:36" ht="15.75" x14ac:dyDescent="0.25">
      <c r="A107" s="115">
        <v>27478</v>
      </c>
      <c r="B107" s="116" t="s">
        <v>36</v>
      </c>
      <c r="C107" s="117" t="s">
        <v>37</v>
      </c>
      <c r="D107" s="118" t="s">
        <v>36</v>
      </c>
      <c r="E107" s="119" t="s">
        <v>38</v>
      </c>
      <c r="F107" s="120" t="s">
        <v>39</v>
      </c>
      <c r="G107" s="118" t="s">
        <v>40</v>
      </c>
      <c r="H107" s="121" t="s">
        <v>41</v>
      </c>
      <c r="I107" s="120" t="s">
        <v>524</v>
      </c>
      <c r="J107" s="122" t="s">
        <v>525</v>
      </c>
      <c r="K107" s="123" t="s">
        <v>526</v>
      </c>
      <c r="L107" t="s">
        <v>63</v>
      </c>
      <c r="M107" s="124" t="s">
        <v>64</v>
      </c>
      <c r="N107" s="125" t="s">
        <v>65</v>
      </c>
      <c r="O107" s="126" t="s">
        <v>929</v>
      </c>
      <c r="P107" s="127"/>
      <c r="Q107" s="128"/>
      <c r="R107" s="128"/>
      <c r="S107" s="129">
        <v>1130</v>
      </c>
      <c r="T107" s="130" t="s">
        <v>528</v>
      </c>
      <c r="U107" s="131">
        <v>45560</v>
      </c>
      <c r="V107" s="132"/>
      <c r="W107" s="133"/>
      <c r="X107" s="134" t="s">
        <v>970</v>
      </c>
      <c r="Y107" s="135" t="s">
        <v>912</v>
      </c>
      <c r="Z107" s="128" t="s">
        <v>96</v>
      </c>
      <c r="AA107" s="128" t="s">
        <v>933</v>
      </c>
      <c r="AB107" s="136"/>
      <c r="AC107" s="137"/>
      <c r="AD107" s="136"/>
      <c r="AE107" s="136"/>
      <c r="AF107" s="136"/>
      <c r="AG107" s="136"/>
      <c r="AH107" s="138">
        <v>-1130</v>
      </c>
      <c r="AI107" s="139" t="s">
        <v>58</v>
      </c>
      <c r="AJ107" s="139" t="s">
        <v>59</v>
      </c>
    </row>
    <row r="108" spans="1:36" ht="15.75" x14ac:dyDescent="0.25">
      <c r="A108" s="115">
        <v>27650</v>
      </c>
      <c r="B108" s="116" t="s">
        <v>36</v>
      </c>
      <c r="C108" s="117" t="s">
        <v>37</v>
      </c>
      <c r="D108" s="118" t="s">
        <v>36</v>
      </c>
      <c r="E108" s="119" t="s">
        <v>38</v>
      </c>
      <c r="F108" s="120" t="s">
        <v>39</v>
      </c>
      <c r="G108" s="118" t="s">
        <v>40</v>
      </c>
      <c r="H108" s="121" t="s">
        <v>41</v>
      </c>
      <c r="I108" s="120" t="s">
        <v>524</v>
      </c>
      <c r="J108" s="122" t="s">
        <v>525</v>
      </c>
      <c r="K108" s="123" t="s">
        <v>526</v>
      </c>
      <c r="L108" t="s">
        <v>262</v>
      </c>
      <c r="M108" s="124" t="s">
        <v>263</v>
      </c>
      <c r="N108" s="125" t="s">
        <v>264</v>
      </c>
      <c r="O108" s="126" t="s">
        <v>909</v>
      </c>
      <c r="P108" s="127"/>
      <c r="Q108" s="128"/>
      <c r="R108" s="128"/>
      <c r="S108" s="129">
        <v>630</v>
      </c>
      <c r="T108" s="130" t="s">
        <v>528</v>
      </c>
      <c r="U108" s="131">
        <v>45562</v>
      </c>
      <c r="V108" s="132"/>
      <c r="W108" s="133"/>
      <c r="X108" s="134" t="s">
        <v>971</v>
      </c>
      <c r="Y108" s="135" t="s">
        <v>912</v>
      </c>
      <c r="Z108" s="128" t="s">
        <v>96</v>
      </c>
      <c r="AA108" s="128" t="s">
        <v>932</v>
      </c>
      <c r="AB108" s="136"/>
      <c r="AC108" s="137"/>
      <c r="AD108" s="136"/>
      <c r="AE108" s="136"/>
      <c r="AF108" s="136"/>
      <c r="AG108" s="136"/>
      <c r="AH108" s="138">
        <v>-630</v>
      </c>
      <c r="AI108" s="139" t="s">
        <v>58</v>
      </c>
      <c r="AJ108" s="139" t="s">
        <v>59</v>
      </c>
    </row>
    <row r="109" spans="1:36" ht="15.75" x14ac:dyDescent="0.25">
      <c r="A109" s="115">
        <v>27865</v>
      </c>
      <c r="B109" s="116" t="s">
        <v>36</v>
      </c>
      <c r="C109" s="117" t="s">
        <v>37</v>
      </c>
      <c r="D109" s="118" t="s">
        <v>36</v>
      </c>
      <c r="E109" s="119" t="s">
        <v>38</v>
      </c>
      <c r="F109" s="140" t="s">
        <v>39</v>
      </c>
      <c r="G109" s="118" t="s">
        <v>40</v>
      </c>
      <c r="H109" s="121" t="s">
        <v>41</v>
      </c>
      <c r="I109" s="120" t="s">
        <v>524</v>
      </c>
      <c r="J109" s="122" t="s">
        <v>525</v>
      </c>
      <c r="K109" s="123" t="s">
        <v>526</v>
      </c>
      <c r="L109" t="s">
        <v>251</v>
      </c>
      <c r="M109" s="124" t="s">
        <v>934</v>
      </c>
      <c r="N109" s="125" t="s">
        <v>935</v>
      </c>
      <c r="O109" s="126" t="s">
        <v>929</v>
      </c>
      <c r="P109" s="127"/>
      <c r="Q109" s="128"/>
      <c r="R109" s="128"/>
      <c r="S109" s="129">
        <v>1506.98</v>
      </c>
      <c r="T109" s="130" t="s">
        <v>528</v>
      </c>
      <c r="U109" s="131">
        <v>45566</v>
      </c>
      <c r="V109" s="132"/>
      <c r="W109" s="133"/>
      <c r="X109" s="134" t="s">
        <v>743</v>
      </c>
      <c r="Y109" s="135" t="s">
        <v>912</v>
      </c>
      <c r="Z109" s="128" t="s">
        <v>96</v>
      </c>
      <c r="AA109" s="128" t="s">
        <v>936</v>
      </c>
      <c r="AB109" s="136"/>
      <c r="AC109" s="137"/>
      <c r="AD109" s="136"/>
      <c r="AE109" s="136"/>
      <c r="AF109" s="136"/>
      <c r="AG109" s="136"/>
      <c r="AH109" s="138">
        <v>-1506.98</v>
      </c>
      <c r="AI109" s="139" t="s">
        <v>58</v>
      </c>
      <c r="AJ109" s="139" t="s">
        <v>59</v>
      </c>
    </row>
    <row r="110" spans="1:36" ht="15.75" x14ac:dyDescent="0.25">
      <c r="A110" s="115">
        <v>28455</v>
      </c>
      <c r="B110" s="116" t="s">
        <v>36</v>
      </c>
      <c r="C110" s="117" t="s">
        <v>37</v>
      </c>
      <c r="D110" s="118" t="s">
        <v>36</v>
      </c>
      <c r="E110" s="119" t="s">
        <v>38</v>
      </c>
      <c r="F110" s="140" t="s">
        <v>39</v>
      </c>
      <c r="G110" s="118" t="s">
        <v>40</v>
      </c>
      <c r="H110" s="121" t="s">
        <v>41</v>
      </c>
      <c r="I110" s="120" t="s">
        <v>524</v>
      </c>
      <c r="J110" s="122" t="s">
        <v>525</v>
      </c>
      <c r="K110" s="123" t="s">
        <v>526</v>
      </c>
      <c r="L110" t="s">
        <v>83</v>
      </c>
      <c r="M110" s="124" t="s">
        <v>84</v>
      </c>
      <c r="N110" s="125" t="s">
        <v>85</v>
      </c>
      <c r="O110" s="126" t="s">
        <v>929</v>
      </c>
      <c r="P110" s="127"/>
      <c r="Q110" s="128"/>
      <c r="R110" s="128"/>
      <c r="S110" s="129">
        <v>52.89</v>
      </c>
      <c r="T110" s="130" t="s">
        <v>528</v>
      </c>
      <c r="U110" s="131">
        <v>45569</v>
      </c>
      <c r="V110" s="132"/>
      <c r="W110" s="133"/>
      <c r="X110" s="134" t="s">
        <v>55</v>
      </c>
      <c r="Y110" s="135" t="s">
        <v>912</v>
      </c>
      <c r="Z110" s="128" t="s">
        <v>96</v>
      </c>
      <c r="AA110" s="128" t="s">
        <v>939</v>
      </c>
      <c r="AB110" s="136"/>
      <c r="AC110" s="137"/>
      <c r="AD110" s="136"/>
      <c r="AE110" s="136"/>
      <c r="AF110" s="136"/>
      <c r="AG110" s="136"/>
      <c r="AH110" s="138">
        <v>-52.89</v>
      </c>
      <c r="AI110" s="139" t="s">
        <v>58</v>
      </c>
      <c r="AJ110" s="139" t="s">
        <v>59</v>
      </c>
    </row>
    <row r="111" spans="1:36" ht="15.75" x14ac:dyDescent="0.25">
      <c r="A111" s="115">
        <v>28456</v>
      </c>
      <c r="B111" s="116" t="s">
        <v>36</v>
      </c>
      <c r="C111" s="117" t="s">
        <v>37</v>
      </c>
      <c r="D111" s="118" t="s">
        <v>36</v>
      </c>
      <c r="E111" s="119" t="s">
        <v>38</v>
      </c>
      <c r="F111" s="140" t="s">
        <v>39</v>
      </c>
      <c r="G111" s="118" t="s">
        <v>40</v>
      </c>
      <c r="H111" s="121" t="s">
        <v>41</v>
      </c>
      <c r="I111" s="120" t="s">
        <v>524</v>
      </c>
      <c r="J111" s="122" t="s">
        <v>525</v>
      </c>
      <c r="K111" s="123" t="s">
        <v>526</v>
      </c>
      <c r="L111" t="s">
        <v>83</v>
      </c>
      <c r="M111" s="124" t="s">
        <v>84</v>
      </c>
      <c r="N111" s="125" t="s">
        <v>85</v>
      </c>
      <c r="O111" s="126" t="s">
        <v>929</v>
      </c>
      <c r="P111" s="127"/>
      <c r="Q111" s="128"/>
      <c r="R111" s="128"/>
      <c r="S111" s="129">
        <v>52.89</v>
      </c>
      <c r="T111" s="130" t="s">
        <v>528</v>
      </c>
      <c r="U111" s="131">
        <v>45569</v>
      </c>
      <c r="V111" s="132"/>
      <c r="W111" s="133"/>
      <c r="X111" s="134" t="s">
        <v>55</v>
      </c>
      <c r="Y111" s="135" t="s">
        <v>912</v>
      </c>
      <c r="Z111" s="128" t="s">
        <v>96</v>
      </c>
      <c r="AA111" s="128" t="s">
        <v>939</v>
      </c>
      <c r="AB111" s="136"/>
      <c r="AC111" s="137"/>
      <c r="AD111" s="136"/>
      <c r="AE111" s="136"/>
      <c r="AF111" s="136"/>
      <c r="AG111" s="136"/>
      <c r="AH111" s="138">
        <v>-52.89</v>
      </c>
      <c r="AI111" s="139" t="s">
        <v>58</v>
      </c>
      <c r="AJ111" s="139" t="s">
        <v>59</v>
      </c>
    </row>
    <row r="112" spans="1:36" ht="15.75" x14ac:dyDescent="0.25">
      <c r="A112" s="115">
        <v>28603</v>
      </c>
      <c r="B112" s="116" t="s">
        <v>36</v>
      </c>
      <c r="C112" s="117" t="s">
        <v>37</v>
      </c>
      <c r="D112" s="118" t="s">
        <v>36</v>
      </c>
      <c r="E112" s="119" t="s">
        <v>38</v>
      </c>
      <c r="F112" s="140" t="s">
        <v>39</v>
      </c>
      <c r="G112" s="118" t="s">
        <v>40</v>
      </c>
      <c r="H112" s="121" t="s">
        <v>41</v>
      </c>
      <c r="I112" s="120" t="s">
        <v>524</v>
      </c>
      <c r="J112" s="122" t="s">
        <v>525</v>
      </c>
      <c r="K112" s="123" t="s">
        <v>526</v>
      </c>
      <c r="L112" t="s">
        <v>251</v>
      </c>
      <c r="M112" s="124" t="s">
        <v>934</v>
      </c>
      <c r="N112" s="125" t="s">
        <v>935</v>
      </c>
      <c r="O112" s="126" t="s">
        <v>929</v>
      </c>
      <c r="P112" s="127"/>
      <c r="Q112" s="128"/>
      <c r="R112" s="128"/>
      <c r="S112" s="129">
        <v>1594.12</v>
      </c>
      <c r="T112" s="130" t="s">
        <v>528</v>
      </c>
      <c r="U112" s="131">
        <v>45572</v>
      </c>
      <c r="V112" s="132"/>
      <c r="W112" s="133"/>
      <c r="X112" s="134" t="s">
        <v>743</v>
      </c>
      <c r="Y112" s="135" t="s">
        <v>912</v>
      </c>
      <c r="Z112" s="128" t="s">
        <v>96</v>
      </c>
      <c r="AA112" s="128" t="s">
        <v>936</v>
      </c>
      <c r="AB112" s="136"/>
      <c r="AC112" s="137"/>
      <c r="AD112" s="136"/>
      <c r="AE112" s="136"/>
      <c r="AF112" s="136"/>
      <c r="AG112" s="136"/>
      <c r="AH112" s="138">
        <v>-1594.12</v>
      </c>
      <c r="AI112" s="139" t="s">
        <v>58</v>
      </c>
      <c r="AJ112" s="139" t="s">
        <v>59</v>
      </c>
    </row>
    <row r="113" spans="1:36" ht="15.75" x14ac:dyDescent="0.25">
      <c r="A113" s="115">
        <v>28910</v>
      </c>
      <c r="B113" s="116" t="s">
        <v>36</v>
      </c>
      <c r="C113" s="117" t="s">
        <v>37</v>
      </c>
      <c r="D113" s="118" t="s">
        <v>36</v>
      </c>
      <c r="E113" s="119" t="s">
        <v>38</v>
      </c>
      <c r="F113" s="140" t="s">
        <v>39</v>
      </c>
      <c r="G113" s="118" t="s">
        <v>40</v>
      </c>
      <c r="H113" s="121" t="s">
        <v>41</v>
      </c>
      <c r="I113" s="120" t="s">
        <v>524</v>
      </c>
      <c r="J113" s="122" t="s">
        <v>525</v>
      </c>
      <c r="K113" s="123" t="s">
        <v>526</v>
      </c>
      <c r="L113" t="s">
        <v>262</v>
      </c>
      <c r="M113" s="124" t="s">
        <v>263</v>
      </c>
      <c r="N113" s="125" t="s">
        <v>264</v>
      </c>
      <c r="O113" s="126" t="s">
        <v>942</v>
      </c>
      <c r="P113" s="127"/>
      <c r="Q113" s="128"/>
      <c r="R113" s="128"/>
      <c r="S113" s="129">
        <v>991.15</v>
      </c>
      <c r="T113" s="130" t="s">
        <v>528</v>
      </c>
      <c r="U113" s="131">
        <v>45575</v>
      </c>
      <c r="V113" s="132"/>
      <c r="W113" s="133"/>
      <c r="X113" s="134" t="s">
        <v>943</v>
      </c>
      <c r="Y113" s="135" t="s">
        <v>912</v>
      </c>
      <c r="Z113" s="128" t="s">
        <v>96</v>
      </c>
      <c r="AA113" s="128" t="s">
        <v>932</v>
      </c>
      <c r="AB113" s="136"/>
      <c r="AC113" s="137"/>
      <c r="AD113" s="136"/>
      <c r="AE113" s="136"/>
      <c r="AF113" s="136"/>
      <c r="AG113" s="136"/>
      <c r="AH113" s="138">
        <v>-991.15</v>
      </c>
      <c r="AI113" s="139" t="s">
        <v>58</v>
      </c>
      <c r="AJ113" s="139" t="s">
        <v>59</v>
      </c>
    </row>
    <row r="114" spans="1:36" ht="15.75" x14ac:dyDescent="0.25">
      <c r="A114" s="115">
        <v>29197</v>
      </c>
      <c r="B114" s="116" t="s">
        <v>36</v>
      </c>
      <c r="C114" s="117" t="s">
        <v>37</v>
      </c>
      <c r="D114" s="118" t="s">
        <v>36</v>
      </c>
      <c r="E114" s="119" t="s">
        <v>38</v>
      </c>
      <c r="F114" s="140" t="s">
        <v>39</v>
      </c>
      <c r="G114" s="118" t="s">
        <v>40</v>
      </c>
      <c r="H114" s="121" t="s">
        <v>41</v>
      </c>
      <c r="I114" s="120" t="s">
        <v>524</v>
      </c>
      <c r="J114" s="122" t="s">
        <v>525</v>
      </c>
      <c r="K114" s="123" t="s">
        <v>526</v>
      </c>
      <c r="L114" t="s">
        <v>251</v>
      </c>
      <c r="M114" s="124" t="s">
        <v>934</v>
      </c>
      <c r="N114" s="125" t="s">
        <v>935</v>
      </c>
      <c r="O114" s="126" t="s">
        <v>929</v>
      </c>
      <c r="P114" s="127"/>
      <c r="Q114" s="128"/>
      <c r="R114" s="128"/>
      <c r="S114" s="129">
        <v>1566.88</v>
      </c>
      <c r="T114" s="130" t="s">
        <v>528</v>
      </c>
      <c r="U114" s="131">
        <v>45579</v>
      </c>
      <c r="V114" s="132"/>
      <c r="W114" s="133"/>
      <c r="X114" s="134" t="s">
        <v>743</v>
      </c>
      <c r="Y114" s="135" t="s">
        <v>912</v>
      </c>
      <c r="Z114" s="128" t="s">
        <v>96</v>
      </c>
      <c r="AA114" s="128" t="s">
        <v>936</v>
      </c>
      <c r="AB114" s="136"/>
      <c r="AC114" s="137"/>
      <c r="AD114" s="136"/>
      <c r="AE114" s="136"/>
      <c r="AF114" s="136"/>
      <c r="AG114" s="136"/>
      <c r="AH114" s="138">
        <v>-1566.88</v>
      </c>
      <c r="AI114" s="139" t="s">
        <v>58</v>
      </c>
      <c r="AJ114" s="139" t="s">
        <v>59</v>
      </c>
    </row>
    <row r="115" spans="1:36" ht="15.75" x14ac:dyDescent="0.25">
      <c r="A115" s="115">
        <v>29953</v>
      </c>
      <c r="B115" s="116" t="s">
        <v>36</v>
      </c>
      <c r="C115" s="117" t="s">
        <v>37</v>
      </c>
      <c r="D115" s="118" t="s">
        <v>36</v>
      </c>
      <c r="E115" s="119" t="s">
        <v>38</v>
      </c>
      <c r="F115" s="140" t="s">
        <v>39</v>
      </c>
      <c r="G115" s="118" t="s">
        <v>40</v>
      </c>
      <c r="H115" s="121" t="s">
        <v>41</v>
      </c>
      <c r="I115" s="120" t="s">
        <v>524</v>
      </c>
      <c r="J115" s="122" t="s">
        <v>525</v>
      </c>
      <c r="K115" s="123" t="s">
        <v>526</v>
      </c>
      <c r="L115" t="s">
        <v>63</v>
      </c>
      <c r="M115" s="124" t="s">
        <v>64</v>
      </c>
      <c r="N115" s="125" t="s">
        <v>65</v>
      </c>
      <c r="O115" s="126" t="s">
        <v>929</v>
      </c>
      <c r="P115" s="127"/>
      <c r="Q115" s="128"/>
      <c r="R115" s="128"/>
      <c r="S115" s="129">
        <v>750</v>
      </c>
      <c r="T115" s="130" t="s">
        <v>528</v>
      </c>
      <c r="U115" s="131">
        <v>45588</v>
      </c>
      <c r="V115" s="132"/>
      <c r="W115" s="133"/>
      <c r="X115" s="134" t="s">
        <v>541</v>
      </c>
      <c r="Y115" s="135" t="s">
        <v>912</v>
      </c>
      <c r="Z115" s="128" t="s">
        <v>96</v>
      </c>
      <c r="AA115" s="128" t="s">
        <v>913</v>
      </c>
      <c r="AB115" s="136"/>
      <c r="AC115" s="137"/>
      <c r="AD115" s="136"/>
      <c r="AE115" s="136"/>
      <c r="AF115" s="136"/>
      <c r="AG115" s="136"/>
      <c r="AH115" s="138">
        <v>-750</v>
      </c>
      <c r="AI115" s="139" t="s">
        <v>58</v>
      </c>
      <c r="AJ115" s="139" t="s">
        <v>59</v>
      </c>
    </row>
    <row r="116" spans="1:36" ht="15.75" x14ac:dyDescent="0.25">
      <c r="A116" s="115">
        <v>30562</v>
      </c>
      <c r="B116" s="116" t="s">
        <v>36</v>
      </c>
      <c r="C116" s="117" t="s">
        <v>37</v>
      </c>
      <c r="D116" s="118" t="s">
        <v>36</v>
      </c>
      <c r="E116" s="119" t="s">
        <v>38</v>
      </c>
      <c r="F116" s="140" t="s">
        <v>39</v>
      </c>
      <c r="G116" s="118" t="s">
        <v>40</v>
      </c>
      <c r="H116" s="121" t="s">
        <v>41</v>
      </c>
      <c r="I116" s="120" t="s">
        <v>524</v>
      </c>
      <c r="J116" s="122" t="s">
        <v>525</v>
      </c>
      <c r="K116" s="123" t="s">
        <v>526</v>
      </c>
      <c r="L116" t="s">
        <v>262</v>
      </c>
      <c r="M116" s="124" t="s">
        <v>263</v>
      </c>
      <c r="N116" s="125" t="s">
        <v>264</v>
      </c>
      <c r="O116" s="126" t="s">
        <v>929</v>
      </c>
      <c r="P116" s="127"/>
      <c r="Q116" s="128"/>
      <c r="R116" s="128"/>
      <c r="S116" s="129">
        <v>1250.96</v>
      </c>
      <c r="T116" s="130" t="s">
        <v>528</v>
      </c>
      <c r="U116" s="131">
        <v>45596</v>
      </c>
      <c r="V116" s="132"/>
      <c r="W116" s="133"/>
      <c r="X116" s="134" t="s">
        <v>541</v>
      </c>
      <c r="Y116" s="135" t="s">
        <v>912</v>
      </c>
      <c r="Z116" s="128" t="s">
        <v>96</v>
      </c>
      <c r="AA116" s="128" t="s">
        <v>932</v>
      </c>
      <c r="AB116" s="136"/>
      <c r="AC116" s="137"/>
      <c r="AD116" s="136"/>
      <c r="AE116" s="136"/>
      <c r="AF116" s="136"/>
      <c r="AG116" s="136"/>
      <c r="AH116" s="138">
        <v>-1250.96</v>
      </c>
      <c r="AI116" s="139" t="s">
        <v>58</v>
      </c>
      <c r="AJ116" s="139" t="s">
        <v>59</v>
      </c>
    </row>
    <row r="117" spans="1:36" ht="15.75" x14ac:dyDescent="0.25">
      <c r="A117" s="115">
        <v>30563</v>
      </c>
      <c r="B117" s="116" t="s">
        <v>36</v>
      </c>
      <c r="C117" s="117" t="s">
        <v>37</v>
      </c>
      <c r="D117" s="118" t="s">
        <v>36</v>
      </c>
      <c r="E117" s="119" t="s">
        <v>38</v>
      </c>
      <c r="F117" s="140" t="s">
        <v>39</v>
      </c>
      <c r="G117" s="118" t="s">
        <v>40</v>
      </c>
      <c r="H117" s="121" t="s">
        <v>41</v>
      </c>
      <c r="I117" s="120" t="s">
        <v>524</v>
      </c>
      <c r="J117" s="122" t="s">
        <v>525</v>
      </c>
      <c r="K117" s="123" t="s">
        <v>526</v>
      </c>
      <c r="L117" t="s">
        <v>63</v>
      </c>
      <c r="M117" s="124" t="s">
        <v>64</v>
      </c>
      <c r="N117" s="125" t="s">
        <v>65</v>
      </c>
      <c r="O117" s="126" t="s">
        <v>929</v>
      </c>
      <c r="P117" s="127"/>
      <c r="Q117" s="128"/>
      <c r="R117" s="128"/>
      <c r="S117" s="129">
        <v>970</v>
      </c>
      <c r="T117" s="130" t="s">
        <v>528</v>
      </c>
      <c r="U117" s="131">
        <v>45596</v>
      </c>
      <c r="V117" s="132"/>
      <c r="W117" s="133"/>
      <c r="X117" s="134" t="s">
        <v>541</v>
      </c>
      <c r="Y117" s="135" t="s">
        <v>912</v>
      </c>
      <c r="Z117" s="128" t="s">
        <v>96</v>
      </c>
      <c r="AA117" s="128" t="s">
        <v>913</v>
      </c>
      <c r="AB117" s="136"/>
      <c r="AC117" s="137"/>
      <c r="AD117" s="136"/>
      <c r="AE117" s="136"/>
      <c r="AF117" s="136"/>
      <c r="AG117" s="136"/>
      <c r="AH117" s="138">
        <v>-970</v>
      </c>
      <c r="AI117" s="139" t="s">
        <v>58</v>
      </c>
      <c r="AJ117" s="139" t="s">
        <v>59</v>
      </c>
    </row>
    <row r="118" spans="1:36" ht="15.75" x14ac:dyDescent="0.25">
      <c r="A118" s="115">
        <v>30962</v>
      </c>
      <c r="B118" s="116" t="s">
        <v>36</v>
      </c>
      <c r="C118" s="117" t="s">
        <v>37</v>
      </c>
      <c r="D118" s="118" t="s">
        <v>36</v>
      </c>
      <c r="E118" s="119" t="s">
        <v>38</v>
      </c>
      <c r="F118" s="120" t="s">
        <v>39</v>
      </c>
      <c r="G118" s="118" t="s">
        <v>40</v>
      </c>
      <c r="H118" s="121" t="s">
        <v>41</v>
      </c>
      <c r="I118" s="120" t="s">
        <v>524</v>
      </c>
      <c r="J118" s="122" t="s">
        <v>525</v>
      </c>
      <c r="K118" s="123" t="s">
        <v>526</v>
      </c>
      <c r="L118" t="s">
        <v>262</v>
      </c>
      <c r="M118" s="124" t="s">
        <v>263</v>
      </c>
      <c r="N118" s="125" t="s">
        <v>264</v>
      </c>
      <c r="O118" t="s">
        <v>942</v>
      </c>
      <c r="P118" s="127"/>
      <c r="S118" s="141">
        <v>172</v>
      </c>
      <c r="T118" s="142" t="s">
        <v>528</v>
      </c>
      <c r="U118" s="143">
        <v>45600.567824074074</v>
      </c>
      <c r="X118" s="144" t="s">
        <v>943</v>
      </c>
      <c r="Y118" s="135" t="s">
        <v>912</v>
      </c>
      <c r="Z118" t="s">
        <v>96</v>
      </c>
      <c r="AA118" t="s">
        <v>932</v>
      </c>
      <c r="AB118" s="125"/>
      <c r="AC118" s="145"/>
      <c r="AD118" s="125"/>
      <c r="AE118" s="125"/>
      <c r="AF118" s="125"/>
      <c r="AG118" s="125"/>
      <c r="AH118" s="138">
        <v>-172</v>
      </c>
      <c r="AI118" s="139" t="s">
        <v>58</v>
      </c>
      <c r="AJ118" s="139" t="s">
        <v>59</v>
      </c>
    </row>
    <row r="119" spans="1:36" ht="15.75" x14ac:dyDescent="0.25">
      <c r="A119" s="115">
        <v>31440</v>
      </c>
      <c r="B119" s="116" t="s">
        <v>36</v>
      </c>
      <c r="C119" s="117" t="s">
        <v>37</v>
      </c>
      <c r="D119" s="118" t="s">
        <v>36</v>
      </c>
      <c r="E119" s="119" t="s">
        <v>38</v>
      </c>
      <c r="F119" s="120" t="s">
        <v>39</v>
      </c>
      <c r="G119" s="118" t="s">
        <v>40</v>
      </c>
      <c r="H119" s="121" t="s">
        <v>41</v>
      </c>
      <c r="I119" s="120" t="s">
        <v>524</v>
      </c>
      <c r="J119" s="122" t="s">
        <v>525</v>
      </c>
      <c r="K119" s="123" t="s">
        <v>526</v>
      </c>
      <c r="L119" t="s">
        <v>251</v>
      </c>
      <c r="M119" s="124" t="s">
        <v>934</v>
      </c>
      <c r="N119" s="125" t="s">
        <v>935</v>
      </c>
      <c r="O119" t="s">
        <v>929</v>
      </c>
      <c r="P119" s="127"/>
      <c r="S119" s="141">
        <v>1476.81</v>
      </c>
      <c r="T119" s="142" t="s">
        <v>528</v>
      </c>
      <c r="U119" s="143">
        <v>45603.567835648151</v>
      </c>
      <c r="X119" s="144" t="s">
        <v>743</v>
      </c>
      <c r="Y119" s="135" t="s">
        <v>912</v>
      </c>
      <c r="Z119" t="s">
        <v>96</v>
      </c>
      <c r="AA119" t="s">
        <v>936</v>
      </c>
      <c r="AB119" s="125"/>
      <c r="AC119" s="145"/>
      <c r="AD119" s="125"/>
      <c r="AE119" s="125"/>
      <c r="AF119" s="125"/>
      <c r="AG119" s="125"/>
      <c r="AH119" s="138">
        <v>-1476.81</v>
      </c>
      <c r="AI119" s="139" t="s">
        <v>58</v>
      </c>
      <c r="AJ119" s="139" t="s">
        <v>59</v>
      </c>
    </row>
    <row r="120" spans="1:36" ht="15.75" x14ac:dyDescent="0.25">
      <c r="A120" s="115">
        <v>31825</v>
      </c>
      <c r="B120" s="116" t="s">
        <v>36</v>
      </c>
      <c r="C120" s="117" t="s">
        <v>37</v>
      </c>
      <c r="D120" s="118" t="s">
        <v>36</v>
      </c>
      <c r="E120" s="119" t="s">
        <v>38</v>
      </c>
      <c r="F120" s="120" t="s">
        <v>39</v>
      </c>
      <c r="G120" s="118" t="s">
        <v>40</v>
      </c>
      <c r="H120" s="121" t="s">
        <v>41</v>
      </c>
      <c r="I120" s="120" t="s">
        <v>524</v>
      </c>
      <c r="J120" s="122" t="s">
        <v>525</v>
      </c>
      <c r="K120" s="123" t="s">
        <v>526</v>
      </c>
      <c r="L120" t="s">
        <v>262</v>
      </c>
      <c r="M120" s="124" t="s">
        <v>263</v>
      </c>
      <c r="N120" s="125" t="s">
        <v>264</v>
      </c>
      <c r="O120" t="s">
        <v>929</v>
      </c>
      <c r="P120" s="127"/>
      <c r="S120" s="141">
        <v>1727.84</v>
      </c>
      <c r="T120" s="142" t="s">
        <v>528</v>
      </c>
      <c r="U120" s="143">
        <v>45608.567835648151</v>
      </c>
      <c r="X120" s="144" t="s">
        <v>541</v>
      </c>
      <c r="Y120" s="135" t="s">
        <v>912</v>
      </c>
      <c r="Z120" t="s">
        <v>96</v>
      </c>
      <c r="AA120" t="s">
        <v>932</v>
      </c>
      <c r="AB120" s="125"/>
      <c r="AC120" s="145"/>
      <c r="AD120" s="125"/>
      <c r="AE120" s="125"/>
      <c r="AF120" s="125"/>
      <c r="AG120" s="125"/>
      <c r="AH120" s="138">
        <v>-1727.84</v>
      </c>
      <c r="AI120" s="139" t="s">
        <v>58</v>
      </c>
      <c r="AJ120" s="139" t="s">
        <v>59</v>
      </c>
    </row>
    <row r="121" spans="1:36" ht="15.75" x14ac:dyDescent="0.25">
      <c r="A121" s="115">
        <v>31826</v>
      </c>
      <c r="B121" s="116" t="s">
        <v>36</v>
      </c>
      <c r="C121" s="117" t="s">
        <v>37</v>
      </c>
      <c r="D121" s="118" t="s">
        <v>36</v>
      </c>
      <c r="E121" s="119" t="s">
        <v>38</v>
      </c>
      <c r="F121" s="120" t="s">
        <v>39</v>
      </c>
      <c r="G121" s="118" t="s">
        <v>40</v>
      </c>
      <c r="H121" s="121" t="s">
        <v>41</v>
      </c>
      <c r="I121" s="120" t="s">
        <v>524</v>
      </c>
      <c r="J121" s="122" t="s">
        <v>525</v>
      </c>
      <c r="K121" s="123" t="s">
        <v>526</v>
      </c>
      <c r="L121" t="s">
        <v>63</v>
      </c>
      <c r="M121" s="124" t="s">
        <v>64</v>
      </c>
      <c r="N121" s="125" t="s">
        <v>65</v>
      </c>
      <c r="O121" t="s">
        <v>929</v>
      </c>
      <c r="P121" s="127"/>
      <c r="S121" s="141">
        <v>750</v>
      </c>
      <c r="T121" s="142" t="s">
        <v>528</v>
      </c>
      <c r="U121" s="143">
        <v>45608.567835648151</v>
      </c>
      <c r="X121" s="144" t="s">
        <v>541</v>
      </c>
      <c r="Y121" s="135" t="s">
        <v>912</v>
      </c>
      <c r="Z121" t="s">
        <v>96</v>
      </c>
      <c r="AA121" t="s">
        <v>913</v>
      </c>
      <c r="AB121" s="125"/>
      <c r="AC121" s="145"/>
      <c r="AD121" s="125"/>
      <c r="AE121" s="125"/>
      <c r="AF121" s="125"/>
      <c r="AG121" s="125"/>
      <c r="AH121" s="138">
        <v>-750</v>
      </c>
      <c r="AI121" s="139" t="s">
        <v>58</v>
      </c>
      <c r="AJ121" s="139" t="s">
        <v>59</v>
      </c>
    </row>
    <row r="122" spans="1:36" ht="15.75" x14ac:dyDescent="0.25">
      <c r="A122" s="115">
        <v>31837</v>
      </c>
      <c r="B122" s="116" t="s">
        <v>36</v>
      </c>
      <c r="C122" s="117" t="s">
        <v>37</v>
      </c>
      <c r="D122" s="118" t="s">
        <v>36</v>
      </c>
      <c r="E122" s="119" t="s">
        <v>38</v>
      </c>
      <c r="F122" s="120" t="s">
        <v>39</v>
      </c>
      <c r="G122" s="118" t="s">
        <v>40</v>
      </c>
      <c r="H122" s="121" t="s">
        <v>41</v>
      </c>
      <c r="I122" s="120" t="s">
        <v>524</v>
      </c>
      <c r="J122" s="122" t="s">
        <v>525</v>
      </c>
      <c r="K122" s="123" t="s">
        <v>526</v>
      </c>
      <c r="L122" t="s">
        <v>251</v>
      </c>
      <c r="M122" s="124" t="s">
        <v>934</v>
      </c>
      <c r="N122" s="125" t="s">
        <v>935</v>
      </c>
      <c r="O122" t="s">
        <v>929</v>
      </c>
      <c r="P122" s="127"/>
      <c r="S122" s="141">
        <v>1633.28</v>
      </c>
      <c r="T122" s="142" t="s">
        <v>528</v>
      </c>
      <c r="U122" s="143">
        <v>45608.567835648151</v>
      </c>
      <c r="X122" s="144" t="s">
        <v>743</v>
      </c>
      <c r="Y122" s="135" t="s">
        <v>912</v>
      </c>
      <c r="Z122" t="s">
        <v>96</v>
      </c>
      <c r="AA122" t="s">
        <v>936</v>
      </c>
      <c r="AB122" s="125"/>
      <c r="AC122" s="145"/>
      <c r="AD122" s="125"/>
      <c r="AE122" s="125"/>
      <c r="AF122" s="125"/>
      <c r="AG122" s="125"/>
      <c r="AH122" s="138">
        <v>-1633.28</v>
      </c>
      <c r="AI122" s="139" t="s">
        <v>58</v>
      </c>
      <c r="AJ122" s="139" t="s">
        <v>59</v>
      </c>
    </row>
    <row r="123" spans="1:36" ht="15.75" x14ac:dyDescent="0.25">
      <c r="A123" s="115">
        <v>32183</v>
      </c>
      <c r="B123" s="116" t="s">
        <v>36</v>
      </c>
      <c r="C123" s="117" t="s">
        <v>37</v>
      </c>
      <c r="D123" s="118" t="s">
        <v>36</v>
      </c>
      <c r="E123" s="119" t="s">
        <v>38</v>
      </c>
      <c r="F123" s="120" t="s">
        <v>39</v>
      </c>
      <c r="G123" s="118" t="s">
        <v>40</v>
      </c>
      <c r="H123" s="121" t="s">
        <v>41</v>
      </c>
      <c r="I123" s="120" t="s">
        <v>524</v>
      </c>
      <c r="J123" s="122" t="s">
        <v>525</v>
      </c>
      <c r="K123" s="123" t="s">
        <v>526</v>
      </c>
      <c r="L123" t="s">
        <v>251</v>
      </c>
      <c r="M123" s="124" t="s">
        <v>934</v>
      </c>
      <c r="N123" s="125" t="s">
        <v>935</v>
      </c>
      <c r="O123" t="s">
        <v>929</v>
      </c>
      <c r="P123" s="127"/>
      <c r="S123" s="141">
        <v>1482.3</v>
      </c>
      <c r="T123" s="142" t="s">
        <v>528</v>
      </c>
      <c r="U123" s="143">
        <v>45614.567835648151</v>
      </c>
      <c r="X123" s="144" t="s">
        <v>743</v>
      </c>
      <c r="Y123" s="135" t="s">
        <v>912</v>
      </c>
      <c r="Z123" t="s">
        <v>96</v>
      </c>
      <c r="AA123" t="s">
        <v>936</v>
      </c>
      <c r="AB123" s="125"/>
      <c r="AC123" s="145"/>
      <c r="AD123" s="125"/>
      <c r="AE123" s="125"/>
      <c r="AF123" s="125"/>
      <c r="AG123" s="125"/>
      <c r="AH123" s="138">
        <v>-1482.3</v>
      </c>
      <c r="AI123" s="139" t="s">
        <v>58</v>
      </c>
      <c r="AJ123" s="139" t="s">
        <v>59</v>
      </c>
    </row>
    <row r="124" spans="1:36" ht="15.75" x14ac:dyDescent="0.25">
      <c r="A124" s="115">
        <v>32310</v>
      </c>
      <c r="B124" s="116" t="s">
        <v>36</v>
      </c>
      <c r="C124" s="117" t="s">
        <v>37</v>
      </c>
      <c r="D124" s="118" t="s">
        <v>36</v>
      </c>
      <c r="E124" s="119" t="s">
        <v>38</v>
      </c>
      <c r="F124" s="120" t="s">
        <v>39</v>
      </c>
      <c r="G124" s="118" t="s">
        <v>40</v>
      </c>
      <c r="H124" s="121" t="s">
        <v>41</v>
      </c>
      <c r="I124" s="120" t="s">
        <v>524</v>
      </c>
      <c r="J124" s="122" t="s">
        <v>525</v>
      </c>
      <c r="K124" s="123" t="s">
        <v>526</v>
      </c>
      <c r="L124" t="s">
        <v>83</v>
      </c>
      <c r="M124" s="124" t="s">
        <v>84</v>
      </c>
      <c r="N124" s="125" t="s">
        <v>85</v>
      </c>
      <c r="O124" t="s">
        <v>929</v>
      </c>
      <c r="P124" s="127"/>
      <c r="S124" s="141">
        <v>87.16</v>
      </c>
      <c r="T124" s="142" t="s">
        <v>528</v>
      </c>
      <c r="U124" s="143">
        <v>45615.567835648151</v>
      </c>
      <c r="X124" s="144" t="s">
        <v>55</v>
      </c>
      <c r="Y124" s="135" t="s">
        <v>912</v>
      </c>
      <c r="Z124" t="s">
        <v>96</v>
      </c>
      <c r="AA124" t="s">
        <v>939</v>
      </c>
      <c r="AB124" s="125"/>
      <c r="AC124" s="145"/>
      <c r="AD124" s="125"/>
      <c r="AE124" s="125"/>
      <c r="AF124" s="125"/>
      <c r="AG124" s="125"/>
      <c r="AH124" s="138">
        <v>-87.16</v>
      </c>
      <c r="AI124" s="139" t="s">
        <v>58</v>
      </c>
      <c r="AJ124" s="139" t="s">
        <v>59</v>
      </c>
    </row>
    <row r="125" spans="1:36" ht="15.75" x14ac:dyDescent="0.25">
      <c r="A125" s="115">
        <v>32321</v>
      </c>
      <c r="B125" s="116" t="s">
        <v>36</v>
      </c>
      <c r="C125" s="117" t="s">
        <v>37</v>
      </c>
      <c r="D125" s="118" t="s">
        <v>36</v>
      </c>
      <c r="E125" s="119" t="s">
        <v>38</v>
      </c>
      <c r="F125" s="120" t="s">
        <v>39</v>
      </c>
      <c r="G125" s="118" t="s">
        <v>40</v>
      </c>
      <c r="H125" s="121" t="s">
        <v>41</v>
      </c>
      <c r="I125" s="120" t="s">
        <v>524</v>
      </c>
      <c r="J125" s="122" t="s">
        <v>525</v>
      </c>
      <c r="K125" s="123" t="s">
        <v>526</v>
      </c>
      <c r="L125" t="s">
        <v>251</v>
      </c>
      <c r="M125" s="124" t="s">
        <v>934</v>
      </c>
      <c r="N125" s="125" t="s">
        <v>935</v>
      </c>
      <c r="O125" t="s">
        <v>929</v>
      </c>
      <c r="P125" s="127"/>
      <c r="S125" s="141">
        <v>1572.88</v>
      </c>
      <c r="T125" s="142" t="s">
        <v>528</v>
      </c>
      <c r="U125" s="143">
        <v>45616.567835648151</v>
      </c>
      <c r="X125" s="144" t="s">
        <v>743</v>
      </c>
      <c r="Y125" s="135" t="s">
        <v>912</v>
      </c>
      <c r="Z125" t="s">
        <v>96</v>
      </c>
      <c r="AA125" t="s">
        <v>936</v>
      </c>
      <c r="AB125" s="125"/>
      <c r="AC125" s="145"/>
      <c r="AD125" s="125"/>
      <c r="AE125" s="125"/>
      <c r="AF125" s="125"/>
      <c r="AG125" s="125"/>
      <c r="AH125" s="138">
        <v>-1572.88</v>
      </c>
      <c r="AI125" s="139" t="s">
        <v>58</v>
      </c>
      <c r="AJ125" s="139" t="s">
        <v>59</v>
      </c>
    </row>
    <row r="126" spans="1:36" ht="15.75" x14ac:dyDescent="0.25">
      <c r="A126" s="115">
        <v>32540</v>
      </c>
      <c r="B126" s="116" t="s">
        <v>36</v>
      </c>
      <c r="C126" s="117" t="s">
        <v>37</v>
      </c>
      <c r="D126" s="118" t="s">
        <v>36</v>
      </c>
      <c r="E126" s="119" t="s">
        <v>38</v>
      </c>
      <c r="F126" s="120" t="s">
        <v>39</v>
      </c>
      <c r="G126" s="118" t="s">
        <v>40</v>
      </c>
      <c r="H126" s="121" t="s">
        <v>41</v>
      </c>
      <c r="I126" s="120" t="s">
        <v>524</v>
      </c>
      <c r="J126" s="122" t="s">
        <v>525</v>
      </c>
      <c r="K126" s="123" t="s">
        <v>526</v>
      </c>
      <c r="L126" t="s">
        <v>83</v>
      </c>
      <c r="M126" s="124" t="s">
        <v>84</v>
      </c>
      <c r="N126" s="125" t="s">
        <v>85</v>
      </c>
      <c r="O126" t="s">
        <v>929</v>
      </c>
      <c r="P126" s="127"/>
      <c r="S126" s="141">
        <v>157.5</v>
      </c>
      <c r="T126" s="142" t="s">
        <v>528</v>
      </c>
      <c r="U126" s="143">
        <v>45618.567835648151</v>
      </c>
      <c r="X126" s="144" t="s">
        <v>803</v>
      </c>
      <c r="Y126" s="135" t="s">
        <v>912</v>
      </c>
      <c r="Z126" t="s">
        <v>96</v>
      </c>
      <c r="AA126" t="s">
        <v>939</v>
      </c>
      <c r="AB126" s="125"/>
      <c r="AC126" s="145"/>
      <c r="AD126" s="125"/>
      <c r="AE126" s="125"/>
      <c r="AF126" s="125"/>
      <c r="AG126" s="125"/>
      <c r="AH126" s="138">
        <v>-157.5</v>
      </c>
      <c r="AI126" s="139" t="s">
        <v>58</v>
      </c>
      <c r="AJ126" s="139" t="s">
        <v>59</v>
      </c>
    </row>
    <row r="127" spans="1:36" ht="15.75" x14ac:dyDescent="0.25">
      <c r="A127" s="115">
        <v>32543</v>
      </c>
      <c r="B127" s="116" t="s">
        <v>36</v>
      </c>
      <c r="C127" s="117" t="s">
        <v>37</v>
      </c>
      <c r="D127" s="118" t="s">
        <v>36</v>
      </c>
      <c r="E127" s="119" t="s">
        <v>38</v>
      </c>
      <c r="F127" s="120" t="s">
        <v>39</v>
      </c>
      <c r="G127" s="118" t="s">
        <v>40</v>
      </c>
      <c r="H127" s="121" t="s">
        <v>41</v>
      </c>
      <c r="I127" s="120" t="s">
        <v>524</v>
      </c>
      <c r="J127" s="122" t="s">
        <v>525</v>
      </c>
      <c r="K127" s="123" t="s">
        <v>526</v>
      </c>
      <c r="L127" t="s">
        <v>262</v>
      </c>
      <c r="M127" s="124" t="s">
        <v>263</v>
      </c>
      <c r="N127" s="125" t="s">
        <v>264</v>
      </c>
      <c r="O127" t="s">
        <v>929</v>
      </c>
      <c r="P127" s="127"/>
      <c r="S127" s="141">
        <v>1944.5</v>
      </c>
      <c r="T127" s="142" t="s">
        <v>528</v>
      </c>
      <c r="U127" s="143">
        <v>45618.567835648151</v>
      </c>
      <c r="X127" s="144" t="s">
        <v>573</v>
      </c>
      <c r="Y127" s="135" t="s">
        <v>912</v>
      </c>
      <c r="Z127" t="s">
        <v>96</v>
      </c>
      <c r="AA127" t="s">
        <v>932</v>
      </c>
      <c r="AB127" s="125"/>
      <c r="AC127" s="145"/>
      <c r="AD127" s="125"/>
      <c r="AE127" s="125"/>
      <c r="AF127" s="125"/>
      <c r="AG127" s="125"/>
      <c r="AH127" s="138">
        <v>-1944.5</v>
      </c>
      <c r="AI127" s="139" t="s">
        <v>58</v>
      </c>
      <c r="AJ127" s="139" t="s">
        <v>59</v>
      </c>
    </row>
    <row r="128" spans="1:36" ht="15.75" x14ac:dyDescent="0.25">
      <c r="A128" s="115">
        <v>32666</v>
      </c>
      <c r="B128" s="116" t="s">
        <v>36</v>
      </c>
      <c r="C128" s="117" t="s">
        <v>37</v>
      </c>
      <c r="D128" s="118" t="s">
        <v>36</v>
      </c>
      <c r="E128" s="119" t="s">
        <v>38</v>
      </c>
      <c r="F128" s="120" t="s">
        <v>39</v>
      </c>
      <c r="G128" s="118" t="s">
        <v>40</v>
      </c>
      <c r="H128" s="121" t="s">
        <v>41</v>
      </c>
      <c r="I128" s="120" t="s">
        <v>524</v>
      </c>
      <c r="J128" s="122" t="s">
        <v>525</v>
      </c>
      <c r="K128" s="123" t="s">
        <v>526</v>
      </c>
      <c r="L128" t="s">
        <v>251</v>
      </c>
      <c r="M128" s="124" t="s">
        <v>934</v>
      </c>
      <c r="N128" s="125" t="s">
        <v>935</v>
      </c>
      <c r="O128" t="s">
        <v>929</v>
      </c>
      <c r="P128" s="127"/>
      <c r="S128" s="141">
        <v>1523.47</v>
      </c>
      <c r="T128" s="142" t="s">
        <v>528</v>
      </c>
      <c r="U128" s="143">
        <v>45621.567835648151</v>
      </c>
      <c r="X128" s="144" t="s">
        <v>743</v>
      </c>
      <c r="Y128" s="135" t="s">
        <v>912</v>
      </c>
      <c r="Z128" t="s">
        <v>96</v>
      </c>
      <c r="AA128" t="s">
        <v>936</v>
      </c>
      <c r="AB128" s="125"/>
      <c r="AC128" s="145"/>
      <c r="AD128" s="125"/>
      <c r="AE128" s="125"/>
      <c r="AF128" s="125"/>
      <c r="AG128" s="125"/>
      <c r="AH128" s="138">
        <v>-1523.47</v>
      </c>
      <c r="AI128" s="139" t="s">
        <v>58</v>
      </c>
      <c r="AJ128" s="139" t="s">
        <v>59</v>
      </c>
    </row>
    <row r="129" spans="1:36" ht="15.75" x14ac:dyDescent="0.25">
      <c r="A129" s="115">
        <v>32841</v>
      </c>
      <c r="B129" s="116" t="s">
        <v>36</v>
      </c>
      <c r="C129" s="117" t="s">
        <v>37</v>
      </c>
      <c r="D129" s="118" t="s">
        <v>36</v>
      </c>
      <c r="E129" s="119" t="s">
        <v>38</v>
      </c>
      <c r="F129" s="120" t="s">
        <v>39</v>
      </c>
      <c r="G129" s="118" t="s">
        <v>40</v>
      </c>
      <c r="H129" s="121" t="s">
        <v>41</v>
      </c>
      <c r="I129" s="120" t="s">
        <v>524</v>
      </c>
      <c r="J129" s="122" t="s">
        <v>525</v>
      </c>
      <c r="K129" s="123" t="s">
        <v>526</v>
      </c>
      <c r="L129" t="s">
        <v>63</v>
      </c>
      <c r="M129" s="124" t="s">
        <v>64</v>
      </c>
      <c r="N129" s="125" t="s">
        <v>65</v>
      </c>
      <c r="O129" t="s">
        <v>929</v>
      </c>
      <c r="P129" s="127"/>
      <c r="S129" s="141">
        <v>879.98</v>
      </c>
      <c r="T129" s="142" t="s">
        <v>528</v>
      </c>
      <c r="U129" s="143">
        <v>45623.567835648151</v>
      </c>
      <c r="X129" s="144" t="s">
        <v>563</v>
      </c>
      <c r="Y129" s="135" t="s">
        <v>912</v>
      </c>
      <c r="Z129" t="s">
        <v>96</v>
      </c>
      <c r="AA129" t="s">
        <v>933</v>
      </c>
      <c r="AB129" s="125"/>
      <c r="AC129" s="145"/>
      <c r="AD129" s="125"/>
      <c r="AE129" s="125"/>
      <c r="AF129" s="125"/>
      <c r="AG129" s="125"/>
      <c r="AH129" s="138">
        <v>-879.98</v>
      </c>
      <c r="AI129" s="139" t="s">
        <v>58</v>
      </c>
      <c r="AJ129" s="139" t="s">
        <v>59</v>
      </c>
    </row>
    <row r="130" spans="1:36" ht="15.75" x14ac:dyDescent="0.25">
      <c r="A130" s="115">
        <v>33682</v>
      </c>
      <c r="B130" s="116" t="s">
        <v>36</v>
      </c>
      <c r="C130" s="117" t="s">
        <v>37</v>
      </c>
      <c r="D130" s="118" t="s">
        <v>36</v>
      </c>
      <c r="E130" s="119" t="s">
        <v>38</v>
      </c>
      <c r="F130" s="120" t="s">
        <v>39</v>
      </c>
      <c r="G130" s="118" t="s">
        <v>40</v>
      </c>
      <c r="H130" s="121" t="s">
        <v>41</v>
      </c>
      <c r="I130" s="120" t="s">
        <v>524</v>
      </c>
      <c r="J130" s="122" t="s">
        <v>525</v>
      </c>
      <c r="K130" s="123" t="s">
        <v>526</v>
      </c>
      <c r="L130" t="s">
        <v>83</v>
      </c>
      <c r="M130" s="124" t="s">
        <v>84</v>
      </c>
      <c r="N130" s="125" t="s">
        <v>85</v>
      </c>
      <c r="O130" s="126" t="s">
        <v>929</v>
      </c>
      <c r="P130" s="127"/>
      <c r="Q130" s="128"/>
      <c r="R130" s="128"/>
      <c r="S130" s="129">
        <v>73.239999999999995</v>
      </c>
      <c r="T130" s="130" t="s">
        <v>528</v>
      </c>
      <c r="U130" s="131">
        <v>45630.510821759257</v>
      </c>
      <c r="V130" s="132"/>
      <c r="W130" s="133"/>
      <c r="X130" s="134" t="s">
        <v>55</v>
      </c>
      <c r="Y130" s="135" t="s">
        <v>912</v>
      </c>
      <c r="Z130" s="128" t="s">
        <v>96</v>
      </c>
      <c r="AA130" s="128" t="s">
        <v>939</v>
      </c>
      <c r="AB130" s="136"/>
      <c r="AC130" s="137"/>
      <c r="AD130" s="136"/>
      <c r="AE130" s="136"/>
      <c r="AF130" s="136"/>
      <c r="AG130" s="136"/>
      <c r="AH130" s="138">
        <v>-73.239999999999995</v>
      </c>
      <c r="AI130" s="139" t="s">
        <v>58</v>
      </c>
      <c r="AJ130" s="139" t="s">
        <v>59</v>
      </c>
    </row>
    <row r="131" spans="1:36" ht="15.75" x14ac:dyDescent="0.25">
      <c r="A131" s="115">
        <v>33726</v>
      </c>
      <c r="B131" s="116" t="s">
        <v>36</v>
      </c>
      <c r="C131" s="117" t="s">
        <v>37</v>
      </c>
      <c r="D131" s="118" t="s">
        <v>36</v>
      </c>
      <c r="E131" s="119" t="s">
        <v>38</v>
      </c>
      <c r="F131" s="120" t="s">
        <v>39</v>
      </c>
      <c r="G131" s="118" t="s">
        <v>40</v>
      </c>
      <c r="H131" s="121" t="s">
        <v>41</v>
      </c>
      <c r="I131" s="120" t="s">
        <v>524</v>
      </c>
      <c r="J131" s="122" t="s">
        <v>525</v>
      </c>
      <c r="K131" s="123" t="s">
        <v>526</v>
      </c>
      <c r="L131" t="s">
        <v>63</v>
      </c>
      <c r="M131" s="124" t="s">
        <v>64</v>
      </c>
      <c r="N131" s="125" t="s">
        <v>65</v>
      </c>
      <c r="O131" s="126" t="s">
        <v>929</v>
      </c>
      <c r="P131" s="127"/>
      <c r="Q131" s="128"/>
      <c r="R131" s="128"/>
      <c r="S131" s="129">
        <v>1292</v>
      </c>
      <c r="T131" s="130" t="s">
        <v>528</v>
      </c>
      <c r="U131" s="131">
        <v>45630.510833333326</v>
      </c>
      <c r="V131" s="132"/>
      <c r="W131" s="133"/>
      <c r="X131" s="134" t="s">
        <v>754</v>
      </c>
      <c r="Y131" s="135" t="s">
        <v>912</v>
      </c>
      <c r="Z131" s="128" t="s">
        <v>96</v>
      </c>
      <c r="AA131" s="128" t="s">
        <v>933</v>
      </c>
      <c r="AB131" s="136"/>
      <c r="AC131" s="137"/>
      <c r="AD131" s="136"/>
      <c r="AE131" s="136"/>
      <c r="AF131" s="136"/>
      <c r="AG131" s="136"/>
      <c r="AH131" s="138">
        <v>-1292</v>
      </c>
      <c r="AI131" s="139" t="s">
        <v>58</v>
      </c>
      <c r="AJ131" s="139" t="s">
        <v>59</v>
      </c>
    </row>
    <row r="132" spans="1:36" ht="15.75" x14ac:dyDescent="0.25">
      <c r="A132" s="115">
        <v>33835</v>
      </c>
      <c r="B132" s="116" t="s">
        <v>36</v>
      </c>
      <c r="C132" s="117" t="s">
        <v>37</v>
      </c>
      <c r="D132" s="118" t="s">
        <v>36</v>
      </c>
      <c r="E132" s="119" t="s">
        <v>38</v>
      </c>
      <c r="F132" s="120" t="s">
        <v>39</v>
      </c>
      <c r="G132" s="118" t="s">
        <v>40</v>
      </c>
      <c r="H132" s="121" t="s">
        <v>41</v>
      </c>
      <c r="I132" s="120" t="s">
        <v>524</v>
      </c>
      <c r="J132" s="122" t="s">
        <v>525</v>
      </c>
      <c r="K132" s="123" t="s">
        <v>526</v>
      </c>
      <c r="L132" t="s">
        <v>251</v>
      </c>
      <c r="M132" s="124" t="s">
        <v>934</v>
      </c>
      <c r="N132" s="125" t="s">
        <v>935</v>
      </c>
      <c r="O132" s="126" t="s">
        <v>929</v>
      </c>
      <c r="P132" s="127"/>
      <c r="Q132" s="128"/>
      <c r="R132" s="128"/>
      <c r="S132" s="129">
        <v>1570.25</v>
      </c>
      <c r="T132" s="130" t="s">
        <v>528</v>
      </c>
      <c r="U132" s="131">
        <v>45631.510833333326</v>
      </c>
      <c r="V132" s="132"/>
      <c r="W132" s="133"/>
      <c r="X132" s="134" t="s">
        <v>743</v>
      </c>
      <c r="Y132" s="135" t="s">
        <v>912</v>
      </c>
      <c r="Z132" s="128" t="s">
        <v>96</v>
      </c>
      <c r="AA132" s="128" t="s">
        <v>936</v>
      </c>
      <c r="AB132" s="136"/>
      <c r="AC132" s="137"/>
      <c r="AD132" s="136"/>
      <c r="AE132" s="136"/>
      <c r="AF132" s="136"/>
      <c r="AG132" s="136"/>
      <c r="AH132" s="138">
        <v>-1570.25</v>
      </c>
      <c r="AI132" s="139" t="s">
        <v>58</v>
      </c>
      <c r="AJ132" s="139" t="s">
        <v>59</v>
      </c>
    </row>
    <row r="133" spans="1:36" ht="15.75" x14ac:dyDescent="0.25">
      <c r="A133" s="115">
        <v>34083</v>
      </c>
      <c r="B133" s="116" t="s">
        <v>36</v>
      </c>
      <c r="C133" s="117" t="s">
        <v>37</v>
      </c>
      <c r="D133" s="118" t="s">
        <v>36</v>
      </c>
      <c r="E133" s="119" t="s">
        <v>38</v>
      </c>
      <c r="F133" s="120" t="s">
        <v>39</v>
      </c>
      <c r="G133" s="118" t="s">
        <v>40</v>
      </c>
      <c r="H133" s="121" t="s">
        <v>41</v>
      </c>
      <c r="I133" s="120" t="s">
        <v>524</v>
      </c>
      <c r="J133" s="122" t="s">
        <v>525</v>
      </c>
      <c r="K133" s="123" t="s">
        <v>526</v>
      </c>
      <c r="L133" t="s">
        <v>63</v>
      </c>
      <c r="M133" s="124" t="s">
        <v>64</v>
      </c>
      <c r="N133" s="125" t="s">
        <v>65</v>
      </c>
      <c r="O133" s="126" t="s">
        <v>929</v>
      </c>
      <c r="P133" s="127"/>
      <c r="Q133" s="128"/>
      <c r="R133" s="128"/>
      <c r="S133" s="129">
        <v>850</v>
      </c>
      <c r="T133" s="130" t="s">
        <v>528</v>
      </c>
      <c r="U133" s="131">
        <v>45635.510833333326</v>
      </c>
      <c r="V133" s="132"/>
      <c r="W133" s="133"/>
      <c r="X133" s="134" t="s">
        <v>541</v>
      </c>
      <c r="Y133" s="135" t="s">
        <v>912</v>
      </c>
      <c r="Z133" s="128" t="s">
        <v>96</v>
      </c>
      <c r="AA133" s="128" t="s">
        <v>913</v>
      </c>
      <c r="AB133" s="136"/>
      <c r="AC133" s="137"/>
      <c r="AD133" s="136"/>
      <c r="AE133" s="136"/>
      <c r="AF133" s="136"/>
      <c r="AG133" s="136"/>
      <c r="AH133" s="138">
        <v>-850</v>
      </c>
      <c r="AI133" s="139" t="s">
        <v>58</v>
      </c>
      <c r="AJ133" s="139" t="s">
        <v>59</v>
      </c>
    </row>
    <row r="134" spans="1:36" ht="15.75" x14ac:dyDescent="0.25">
      <c r="A134" s="115">
        <v>34365</v>
      </c>
      <c r="B134" s="116" t="s">
        <v>36</v>
      </c>
      <c r="C134" s="117" t="s">
        <v>37</v>
      </c>
      <c r="D134" s="118" t="s">
        <v>36</v>
      </c>
      <c r="E134" s="119" t="s">
        <v>38</v>
      </c>
      <c r="F134" s="120" t="s">
        <v>39</v>
      </c>
      <c r="G134" s="118" t="s">
        <v>40</v>
      </c>
      <c r="H134" s="121" t="s">
        <v>41</v>
      </c>
      <c r="I134" s="120" t="s">
        <v>524</v>
      </c>
      <c r="J134" s="122" t="s">
        <v>525</v>
      </c>
      <c r="K134" s="123" t="s">
        <v>526</v>
      </c>
      <c r="L134" t="s">
        <v>262</v>
      </c>
      <c r="M134" s="124" t="s">
        <v>263</v>
      </c>
      <c r="N134" s="125" t="s">
        <v>264</v>
      </c>
      <c r="O134" s="126" t="s">
        <v>942</v>
      </c>
      <c r="P134" s="127"/>
      <c r="Q134" s="128"/>
      <c r="R134" s="128"/>
      <c r="S134" s="129">
        <v>243.08</v>
      </c>
      <c r="T134" s="130" t="s">
        <v>528</v>
      </c>
      <c r="U134" s="131">
        <v>45638.510833333326</v>
      </c>
      <c r="V134" s="132"/>
      <c r="W134" s="133"/>
      <c r="X134" s="134" t="s">
        <v>972</v>
      </c>
      <c r="Y134" s="135" t="s">
        <v>912</v>
      </c>
      <c r="Z134" s="128" t="s">
        <v>96</v>
      </c>
      <c r="AA134" s="128" t="s">
        <v>932</v>
      </c>
      <c r="AB134" s="136"/>
      <c r="AC134" s="137"/>
      <c r="AD134" s="136"/>
      <c r="AE134" s="136"/>
      <c r="AF134" s="136"/>
      <c r="AG134" s="136"/>
      <c r="AH134" s="138">
        <v>-243.08</v>
      </c>
      <c r="AI134" s="139" t="s">
        <v>58</v>
      </c>
      <c r="AJ134" s="139" t="s">
        <v>59</v>
      </c>
    </row>
    <row r="135" spans="1:36" ht="15.75" x14ac:dyDescent="0.25">
      <c r="A135" s="115">
        <v>34469</v>
      </c>
      <c r="B135" s="116" t="s">
        <v>36</v>
      </c>
      <c r="C135" s="117" t="s">
        <v>37</v>
      </c>
      <c r="D135" s="118" t="s">
        <v>36</v>
      </c>
      <c r="E135" s="119" t="s">
        <v>38</v>
      </c>
      <c r="F135" s="120" t="s">
        <v>39</v>
      </c>
      <c r="G135" s="118" t="s">
        <v>40</v>
      </c>
      <c r="H135" s="121" t="s">
        <v>41</v>
      </c>
      <c r="I135" s="120" t="s">
        <v>524</v>
      </c>
      <c r="J135" s="122" t="s">
        <v>525</v>
      </c>
      <c r="K135" s="123" t="s">
        <v>526</v>
      </c>
      <c r="L135" t="s">
        <v>262</v>
      </c>
      <c r="M135" s="124" t="s">
        <v>263</v>
      </c>
      <c r="N135" s="125" t="s">
        <v>264</v>
      </c>
      <c r="O135" s="126" t="s">
        <v>942</v>
      </c>
      <c r="P135" s="127"/>
      <c r="Q135" s="128"/>
      <c r="R135" s="128"/>
      <c r="S135" s="129">
        <v>181.88</v>
      </c>
      <c r="T135" s="130" t="s">
        <v>528</v>
      </c>
      <c r="U135" s="131">
        <v>45639.510833333326</v>
      </c>
      <c r="V135" s="132"/>
      <c r="W135" s="133"/>
      <c r="X135" s="134" t="s">
        <v>943</v>
      </c>
      <c r="Y135" s="135" t="s">
        <v>912</v>
      </c>
      <c r="Z135" s="128" t="s">
        <v>96</v>
      </c>
      <c r="AA135" s="128" t="s">
        <v>932</v>
      </c>
      <c r="AB135" s="136"/>
      <c r="AC135" s="137"/>
      <c r="AD135" s="136"/>
      <c r="AE135" s="136"/>
      <c r="AF135" s="136"/>
      <c r="AG135" s="136"/>
      <c r="AH135" s="138">
        <v>-181.88</v>
      </c>
      <c r="AI135" s="139" t="s">
        <v>58</v>
      </c>
      <c r="AJ135" s="139" t="s">
        <v>59</v>
      </c>
    </row>
    <row r="136" spans="1:36" ht="15.75" x14ac:dyDescent="0.25">
      <c r="A136" s="115">
        <v>34656</v>
      </c>
      <c r="B136" s="116" t="s">
        <v>36</v>
      </c>
      <c r="C136" s="117" t="s">
        <v>37</v>
      </c>
      <c r="D136" s="118" t="s">
        <v>36</v>
      </c>
      <c r="E136" s="119" t="s">
        <v>38</v>
      </c>
      <c r="F136" s="120" t="s">
        <v>39</v>
      </c>
      <c r="G136" s="118" t="s">
        <v>40</v>
      </c>
      <c r="H136" s="121" t="s">
        <v>41</v>
      </c>
      <c r="I136" s="120" t="s">
        <v>524</v>
      </c>
      <c r="J136" s="122" t="s">
        <v>525</v>
      </c>
      <c r="K136" s="123" t="s">
        <v>526</v>
      </c>
      <c r="L136" t="s">
        <v>251</v>
      </c>
      <c r="M136" s="124" t="s">
        <v>934</v>
      </c>
      <c r="N136" s="125" t="s">
        <v>935</v>
      </c>
      <c r="O136" s="126" t="s">
        <v>929</v>
      </c>
      <c r="P136" s="127"/>
      <c r="Q136" s="128"/>
      <c r="R136" s="128"/>
      <c r="S136" s="129">
        <v>1634.3</v>
      </c>
      <c r="T136" s="130" t="s">
        <v>528</v>
      </c>
      <c r="U136" s="131">
        <v>45642.510833333326</v>
      </c>
      <c r="V136" s="132"/>
      <c r="W136" s="133"/>
      <c r="X136" s="134" t="s">
        <v>743</v>
      </c>
      <c r="Y136" s="135" t="s">
        <v>912</v>
      </c>
      <c r="Z136" s="128" t="s">
        <v>96</v>
      </c>
      <c r="AA136" s="128" t="s">
        <v>936</v>
      </c>
      <c r="AB136" s="136"/>
      <c r="AC136" s="137"/>
      <c r="AD136" s="136"/>
      <c r="AE136" s="136"/>
      <c r="AF136" s="136"/>
      <c r="AG136" s="136"/>
      <c r="AH136" s="138">
        <v>-1634.3</v>
      </c>
      <c r="AI136" s="139" t="s">
        <v>58</v>
      </c>
      <c r="AJ136" s="139" t="s">
        <v>59</v>
      </c>
    </row>
    <row r="137" spans="1:36" ht="15.75" x14ac:dyDescent="0.25">
      <c r="A137" s="115">
        <v>34657</v>
      </c>
      <c r="B137" s="116" t="s">
        <v>36</v>
      </c>
      <c r="C137" s="117" t="s">
        <v>37</v>
      </c>
      <c r="D137" s="118" t="s">
        <v>36</v>
      </c>
      <c r="E137" s="119" t="s">
        <v>38</v>
      </c>
      <c r="F137" s="120" t="s">
        <v>39</v>
      </c>
      <c r="G137" s="118" t="s">
        <v>40</v>
      </c>
      <c r="H137" s="121" t="s">
        <v>41</v>
      </c>
      <c r="I137" s="120" t="s">
        <v>524</v>
      </c>
      <c r="J137" s="122" t="s">
        <v>525</v>
      </c>
      <c r="K137" s="123" t="s">
        <v>526</v>
      </c>
      <c r="L137" t="s">
        <v>262</v>
      </c>
      <c r="M137" s="124" t="s">
        <v>263</v>
      </c>
      <c r="N137" s="125" t="s">
        <v>264</v>
      </c>
      <c r="O137" s="126" t="s">
        <v>942</v>
      </c>
      <c r="P137" s="127"/>
      <c r="Q137" s="128"/>
      <c r="R137" s="128"/>
      <c r="S137" s="129">
        <v>1850</v>
      </c>
      <c r="T137" s="130" t="s">
        <v>528</v>
      </c>
      <c r="U137" s="131">
        <v>45642.510833333326</v>
      </c>
      <c r="V137" s="132"/>
      <c r="W137" s="133"/>
      <c r="X137" s="134" t="s">
        <v>973</v>
      </c>
      <c r="Y137" s="135" t="s">
        <v>912</v>
      </c>
      <c r="Z137" s="128" t="s">
        <v>96</v>
      </c>
      <c r="AA137" s="128" t="s">
        <v>932</v>
      </c>
      <c r="AB137" s="136"/>
      <c r="AC137" s="137"/>
      <c r="AD137" s="136"/>
      <c r="AE137" s="136"/>
      <c r="AF137" s="136"/>
      <c r="AG137" s="136"/>
      <c r="AH137" s="138">
        <v>-1850</v>
      </c>
      <c r="AI137" s="139" t="s">
        <v>58</v>
      </c>
      <c r="AJ137" s="139" t="s">
        <v>59</v>
      </c>
    </row>
    <row r="138" spans="1:36" ht="15.75" x14ac:dyDescent="0.25">
      <c r="A138" s="115">
        <v>34841</v>
      </c>
      <c r="B138" s="116" t="s">
        <v>36</v>
      </c>
      <c r="C138" s="117" t="s">
        <v>37</v>
      </c>
      <c r="D138" s="118" t="s">
        <v>36</v>
      </c>
      <c r="E138" s="119" t="s">
        <v>38</v>
      </c>
      <c r="F138" s="120" t="s">
        <v>39</v>
      </c>
      <c r="G138" s="118" t="s">
        <v>40</v>
      </c>
      <c r="H138" s="121" t="s">
        <v>41</v>
      </c>
      <c r="I138" s="120" t="s">
        <v>524</v>
      </c>
      <c r="J138" s="122" t="s">
        <v>525</v>
      </c>
      <c r="K138" s="123" t="s">
        <v>526</v>
      </c>
      <c r="L138" t="s">
        <v>83</v>
      </c>
      <c r="M138" s="124" t="s">
        <v>84</v>
      </c>
      <c r="N138" s="125" t="s">
        <v>85</v>
      </c>
      <c r="O138" s="126" t="s">
        <v>929</v>
      </c>
      <c r="P138" s="127"/>
      <c r="Q138" s="128"/>
      <c r="R138" s="128"/>
      <c r="S138" s="129">
        <v>218.99</v>
      </c>
      <c r="T138" s="130" t="s">
        <v>528</v>
      </c>
      <c r="U138" s="131">
        <v>45643.510833333326</v>
      </c>
      <c r="V138" s="132"/>
      <c r="W138" s="133"/>
      <c r="X138" s="134" t="s">
        <v>55</v>
      </c>
      <c r="Y138" s="135" t="s">
        <v>912</v>
      </c>
      <c r="Z138" s="128" t="s">
        <v>96</v>
      </c>
      <c r="AA138" s="128" t="s">
        <v>939</v>
      </c>
      <c r="AB138" s="136"/>
      <c r="AC138" s="137"/>
      <c r="AD138" s="136"/>
      <c r="AE138" s="136"/>
      <c r="AF138" s="136"/>
      <c r="AG138" s="136"/>
      <c r="AH138" s="138">
        <v>-218.99</v>
      </c>
      <c r="AI138" s="139" t="s">
        <v>58</v>
      </c>
      <c r="AJ138" s="139" t="s">
        <v>59</v>
      </c>
    </row>
    <row r="139" spans="1:36" ht="15.75" x14ac:dyDescent="0.25">
      <c r="A139" s="115">
        <v>35220</v>
      </c>
      <c r="B139" s="116" t="s">
        <v>36</v>
      </c>
      <c r="C139" s="117" t="s">
        <v>37</v>
      </c>
      <c r="D139" s="118" t="s">
        <v>36</v>
      </c>
      <c r="E139" s="119" t="s">
        <v>38</v>
      </c>
      <c r="F139" s="120" t="s">
        <v>39</v>
      </c>
      <c r="G139" s="118" t="s">
        <v>40</v>
      </c>
      <c r="H139" s="121" t="s">
        <v>41</v>
      </c>
      <c r="I139" s="120" t="s">
        <v>524</v>
      </c>
      <c r="J139" s="122" t="s">
        <v>525</v>
      </c>
      <c r="K139" s="123" t="s">
        <v>526</v>
      </c>
      <c r="L139" t="s">
        <v>251</v>
      </c>
      <c r="M139" s="124" t="s">
        <v>934</v>
      </c>
      <c r="N139" s="125" t="s">
        <v>935</v>
      </c>
      <c r="O139" s="126" t="s">
        <v>929</v>
      </c>
      <c r="P139" s="127"/>
      <c r="Q139" s="128"/>
      <c r="R139" s="128"/>
      <c r="S139" s="129">
        <v>1548.43</v>
      </c>
      <c r="T139" s="130" t="s">
        <v>528</v>
      </c>
      <c r="U139" s="131">
        <v>45656.510833333326</v>
      </c>
      <c r="V139" s="132"/>
      <c r="W139" s="133"/>
      <c r="X139" s="134" t="s">
        <v>743</v>
      </c>
      <c r="Y139" s="135" t="s">
        <v>912</v>
      </c>
      <c r="Z139" s="128" t="s">
        <v>96</v>
      </c>
      <c r="AA139" s="128" t="s">
        <v>936</v>
      </c>
      <c r="AB139" s="136"/>
      <c r="AC139" s="137"/>
      <c r="AD139" s="136"/>
      <c r="AE139" s="136"/>
      <c r="AF139" s="136"/>
      <c r="AG139" s="136"/>
      <c r="AH139" s="138">
        <v>-1548.43</v>
      </c>
      <c r="AI139" s="139" t="s">
        <v>58</v>
      </c>
      <c r="AJ139" s="139" t="s">
        <v>59</v>
      </c>
    </row>
    <row r="140" spans="1:36" ht="15.75" x14ac:dyDescent="0.25">
      <c r="A140" s="115">
        <v>35221</v>
      </c>
      <c r="B140" s="116" t="s">
        <v>36</v>
      </c>
      <c r="C140" s="117" t="s">
        <v>37</v>
      </c>
      <c r="D140" s="118" t="s">
        <v>36</v>
      </c>
      <c r="E140" s="119" t="s">
        <v>38</v>
      </c>
      <c r="F140" s="120" t="s">
        <v>39</v>
      </c>
      <c r="G140" s="118" t="s">
        <v>40</v>
      </c>
      <c r="H140" s="121" t="s">
        <v>41</v>
      </c>
      <c r="I140" s="120" t="s">
        <v>524</v>
      </c>
      <c r="J140" s="122" t="s">
        <v>525</v>
      </c>
      <c r="K140" s="123" t="s">
        <v>526</v>
      </c>
      <c r="L140" t="s">
        <v>262</v>
      </c>
      <c r="M140" s="124" t="s">
        <v>263</v>
      </c>
      <c r="N140" s="125" t="s">
        <v>264</v>
      </c>
      <c r="O140" s="126" t="s">
        <v>942</v>
      </c>
      <c r="P140" s="127"/>
      <c r="Q140" s="128"/>
      <c r="R140" s="128"/>
      <c r="S140" s="129">
        <v>109.48</v>
      </c>
      <c r="T140" s="130" t="s">
        <v>528</v>
      </c>
      <c r="U140" s="131">
        <v>45656.510833333326</v>
      </c>
      <c r="V140" s="132"/>
      <c r="W140" s="133"/>
      <c r="X140" s="134" t="s">
        <v>943</v>
      </c>
      <c r="Y140" s="135" t="s">
        <v>912</v>
      </c>
      <c r="Z140" s="128" t="s">
        <v>96</v>
      </c>
      <c r="AA140" s="128" t="s">
        <v>932</v>
      </c>
      <c r="AB140" s="136"/>
      <c r="AC140" s="137"/>
      <c r="AD140" s="136"/>
      <c r="AE140" s="136"/>
      <c r="AF140" s="136"/>
      <c r="AG140" s="136"/>
      <c r="AH140" s="138">
        <v>-109.48</v>
      </c>
      <c r="AI140" s="139" t="s">
        <v>58</v>
      </c>
      <c r="AJ140" s="139" t="s">
        <v>59</v>
      </c>
    </row>
    <row r="141" spans="1:36" ht="15.75" x14ac:dyDescent="0.25">
      <c r="A141" s="115">
        <v>2439</v>
      </c>
      <c r="B141" s="116" t="s">
        <v>36</v>
      </c>
      <c r="C141" s="117" t="s">
        <v>37</v>
      </c>
      <c r="D141" s="118" t="s">
        <v>36</v>
      </c>
      <c r="E141" s="119" t="s">
        <v>38</v>
      </c>
      <c r="F141" s="120" t="s">
        <v>39</v>
      </c>
      <c r="G141" s="118" t="s">
        <v>40</v>
      </c>
      <c r="H141" s="121" t="s">
        <v>41</v>
      </c>
      <c r="I141" s="120" t="s">
        <v>524</v>
      </c>
      <c r="J141" s="122" t="s">
        <v>525</v>
      </c>
      <c r="K141" s="123" t="s">
        <v>526</v>
      </c>
      <c r="L141" t="s">
        <v>63</v>
      </c>
      <c r="M141" s="124" t="s">
        <v>64</v>
      </c>
      <c r="N141" s="125" t="s">
        <v>65</v>
      </c>
      <c r="O141" s="126" t="s">
        <v>929</v>
      </c>
      <c r="P141" s="127"/>
      <c r="Q141" s="128"/>
      <c r="R141" s="128"/>
      <c r="S141" s="129">
        <v>467.79</v>
      </c>
      <c r="T141" s="130" t="s">
        <v>736</v>
      </c>
      <c r="U141" s="131">
        <v>45315</v>
      </c>
      <c r="V141" s="132"/>
      <c r="W141" s="133"/>
      <c r="X141" s="134" t="s">
        <v>930</v>
      </c>
      <c r="Y141" s="135" t="s">
        <v>912</v>
      </c>
      <c r="Z141" s="128" t="s">
        <v>96</v>
      </c>
      <c r="AA141" s="128" t="s">
        <v>931</v>
      </c>
      <c r="AB141" s="136" t="s">
        <v>256</v>
      </c>
      <c r="AC141" s="137" t="s">
        <v>914</v>
      </c>
      <c r="AD141" s="136" t="s">
        <v>915</v>
      </c>
      <c r="AE141" s="136" t="s">
        <v>916</v>
      </c>
      <c r="AF141" s="136" t="s">
        <v>59</v>
      </c>
      <c r="AG141" s="136" t="s">
        <v>59</v>
      </c>
      <c r="AH141" s="138">
        <v>-467.79</v>
      </c>
      <c r="AI141" s="139" t="s">
        <v>58</v>
      </c>
      <c r="AJ141" s="139" t="s">
        <v>59</v>
      </c>
    </row>
    <row r="142" spans="1:36" ht="15.75" x14ac:dyDescent="0.25">
      <c r="A142" s="115">
        <v>3352</v>
      </c>
      <c r="B142" s="116" t="s">
        <v>36</v>
      </c>
      <c r="C142" s="117" t="s">
        <v>37</v>
      </c>
      <c r="D142" s="118" t="s">
        <v>36</v>
      </c>
      <c r="E142" s="119" t="s">
        <v>38</v>
      </c>
      <c r="F142" s="120" t="s">
        <v>39</v>
      </c>
      <c r="G142" s="118" t="s">
        <v>40</v>
      </c>
      <c r="H142" s="121" t="s">
        <v>41</v>
      </c>
      <c r="I142" s="120" t="s">
        <v>524</v>
      </c>
      <c r="J142" s="122" t="s">
        <v>525</v>
      </c>
      <c r="K142" s="123" t="s">
        <v>526</v>
      </c>
      <c r="L142" t="s">
        <v>83</v>
      </c>
      <c r="M142" s="124" t="s">
        <v>84</v>
      </c>
      <c r="N142" s="125" t="s">
        <v>85</v>
      </c>
      <c r="O142" s="126" t="s">
        <v>929</v>
      </c>
      <c r="P142" s="127"/>
      <c r="Q142" s="128"/>
      <c r="R142" s="128"/>
      <c r="S142" s="129">
        <v>263</v>
      </c>
      <c r="T142" s="130" t="s">
        <v>736</v>
      </c>
      <c r="U142" s="131">
        <v>45322</v>
      </c>
      <c r="V142" s="132"/>
      <c r="W142" s="133"/>
      <c r="X142" s="134" t="s">
        <v>803</v>
      </c>
      <c r="Y142" s="135" t="s">
        <v>912</v>
      </c>
      <c r="Z142" s="128" t="s">
        <v>96</v>
      </c>
      <c r="AA142" s="128" t="s">
        <v>939</v>
      </c>
      <c r="AB142" s="136" t="s">
        <v>256</v>
      </c>
      <c r="AC142" s="137" t="s">
        <v>914</v>
      </c>
      <c r="AD142" s="136" t="s">
        <v>915</v>
      </c>
      <c r="AE142" s="136" t="s">
        <v>916</v>
      </c>
      <c r="AF142" s="136" t="s">
        <v>59</v>
      </c>
      <c r="AG142" s="136" t="s">
        <v>59</v>
      </c>
      <c r="AH142" s="138">
        <v>-263</v>
      </c>
      <c r="AI142" s="139" t="s">
        <v>58</v>
      </c>
      <c r="AJ142" s="139" t="s">
        <v>59</v>
      </c>
    </row>
    <row r="143" spans="1:36" ht="15.75" x14ac:dyDescent="0.25">
      <c r="A143" s="115">
        <v>5932</v>
      </c>
      <c r="B143" s="116" t="s">
        <v>36</v>
      </c>
      <c r="C143" s="117" t="s">
        <v>37</v>
      </c>
      <c r="D143" s="118" t="s">
        <v>36</v>
      </c>
      <c r="E143" s="119" t="s">
        <v>38</v>
      </c>
      <c r="F143" s="120" t="s">
        <v>39</v>
      </c>
      <c r="G143" s="118" t="s">
        <v>40</v>
      </c>
      <c r="H143" s="121" t="s">
        <v>41</v>
      </c>
      <c r="I143" s="120" t="s">
        <v>524</v>
      </c>
      <c r="J143" s="122" t="s">
        <v>525</v>
      </c>
      <c r="K143" s="123" t="s">
        <v>526</v>
      </c>
      <c r="L143" t="s">
        <v>63</v>
      </c>
      <c r="M143" s="124" t="s">
        <v>64</v>
      </c>
      <c r="N143" s="125" t="s">
        <v>65</v>
      </c>
      <c r="O143" s="126" t="s">
        <v>929</v>
      </c>
      <c r="P143" s="127"/>
      <c r="Q143" s="128"/>
      <c r="R143" s="128"/>
      <c r="S143" s="129">
        <v>1350</v>
      </c>
      <c r="T143" s="130" t="s">
        <v>736</v>
      </c>
      <c r="U143" s="131">
        <v>45344</v>
      </c>
      <c r="V143" s="132"/>
      <c r="W143" s="133"/>
      <c r="X143" s="134" t="s">
        <v>541</v>
      </c>
      <c r="Y143" s="135" t="s">
        <v>912</v>
      </c>
      <c r="Z143" s="128" t="s">
        <v>96</v>
      </c>
      <c r="AA143" s="128" t="s">
        <v>913</v>
      </c>
      <c r="AB143" s="136" t="s">
        <v>256</v>
      </c>
      <c r="AC143" s="137" t="s">
        <v>914</v>
      </c>
      <c r="AD143" s="136" t="s">
        <v>915</v>
      </c>
      <c r="AE143" s="136" t="s">
        <v>916</v>
      </c>
      <c r="AF143" s="136" t="s">
        <v>59</v>
      </c>
      <c r="AG143" s="136" t="s">
        <v>59</v>
      </c>
      <c r="AH143" s="138">
        <v>-1350</v>
      </c>
      <c r="AI143" s="139" t="s">
        <v>58</v>
      </c>
      <c r="AJ143" s="139" t="s">
        <v>59</v>
      </c>
    </row>
    <row r="144" spans="1:36" ht="15.75" x14ac:dyDescent="0.25">
      <c r="A144" s="115">
        <v>8870</v>
      </c>
      <c r="B144" s="116" t="s">
        <v>36</v>
      </c>
      <c r="C144" s="117" t="s">
        <v>37</v>
      </c>
      <c r="D144" s="118" t="s">
        <v>36</v>
      </c>
      <c r="E144" s="119" t="s">
        <v>38</v>
      </c>
      <c r="F144" s="120" t="s">
        <v>39</v>
      </c>
      <c r="G144" s="118" t="s">
        <v>40</v>
      </c>
      <c r="H144" s="121" t="s">
        <v>41</v>
      </c>
      <c r="I144" s="120" t="s">
        <v>524</v>
      </c>
      <c r="J144" s="122" t="s">
        <v>525</v>
      </c>
      <c r="K144" s="123" t="s">
        <v>526</v>
      </c>
      <c r="L144" t="s">
        <v>63</v>
      </c>
      <c r="M144" s="124" t="s">
        <v>64</v>
      </c>
      <c r="N144" s="125" t="s">
        <v>65</v>
      </c>
      <c r="O144" s="126" t="s">
        <v>929</v>
      </c>
      <c r="P144" s="127">
        <v>64153</v>
      </c>
      <c r="Q144" s="128"/>
      <c r="R144" s="128"/>
      <c r="S144" s="129">
        <v>856.58</v>
      </c>
      <c r="T144" s="130" t="s">
        <v>736</v>
      </c>
      <c r="U144" s="131">
        <v>45370</v>
      </c>
      <c r="V144" s="132"/>
      <c r="W144" s="133"/>
      <c r="X144" s="134" t="s">
        <v>758</v>
      </c>
      <c r="Y144" s="135" t="s">
        <v>912</v>
      </c>
      <c r="Z144" s="128" t="s">
        <v>96</v>
      </c>
      <c r="AA144" s="128" t="s">
        <v>933</v>
      </c>
      <c r="AB144" s="136" t="s">
        <v>256</v>
      </c>
      <c r="AC144" s="137" t="s">
        <v>914</v>
      </c>
      <c r="AD144" s="136" t="s">
        <v>915</v>
      </c>
      <c r="AE144" s="136" t="s">
        <v>916</v>
      </c>
      <c r="AF144" s="136" t="s">
        <v>59</v>
      </c>
      <c r="AG144" s="136" t="s">
        <v>59</v>
      </c>
      <c r="AH144" s="138">
        <v>-856.58</v>
      </c>
      <c r="AI144" s="139" t="s">
        <v>58</v>
      </c>
      <c r="AJ144" s="139" t="s">
        <v>59</v>
      </c>
    </row>
    <row r="145" spans="1:36" ht="15.75" x14ac:dyDescent="0.25">
      <c r="A145" s="115">
        <v>10323</v>
      </c>
      <c r="B145" s="116" t="s">
        <v>36</v>
      </c>
      <c r="C145" s="117" t="s">
        <v>37</v>
      </c>
      <c r="D145" s="118" t="s">
        <v>36</v>
      </c>
      <c r="E145" s="119" t="s">
        <v>38</v>
      </c>
      <c r="F145" s="120" t="s">
        <v>39</v>
      </c>
      <c r="G145" s="118" t="s">
        <v>40</v>
      </c>
      <c r="H145" s="121" t="s">
        <v>41</v>
      </c>
      <c r="I145" s="120" t="s">
        <v>524</v>
      </c>
      <c r="J145" s="122" t="s">
        <v>525</v>
      </c>
      <c r="K145" s="123" t="s">
        <v>526</v>
      </c>
      <c r="L145" t="s">
        <v>83</v>
      </c>
      <c r="M145" s="124" t="s">
        <v>84</v>
      </c>
      <c r="N145" s="125" t="s">
        <v>85</v>
      </c>
      <c r="O145" s="126" t="s">
        <v>929</v>
      </c>
      <c r="P145" s="127">
        <v>103933</v>
      </c>
      <c r="Q145" s="128"/>
      <c r="R145" s="128"/>
      <c r="S145" s="129">
        <v>60.25</v>
      </c>
      <c r="T145" s="130" t="s">
        <v>736</v>
      </c>
      <c r="U145" s="131">
        <v>45384</v>
      </c>
      <c r="V145" s="132"/>
      <c r="W145" s="133">
        <v>3976</v>
      </c>
      <c r="X145" s="134" t="s">
        <v>803</v>
      </c>
      <c r="Y145" s="135" t="s">
        <v>912</v>
      </c>
      <c r="Z145" s="128" t="s">
        <v>96</v>
      </c>
      <c r="AA145" s="128" t="s">
        <v>939</v>
      </c>
      <c r="AB145" s="136" t="s">
        <v>256</v>
      </c>
      <c r="AC145" s="137" t="s">
        <v>914</v>
      </c>
      <c r="AD145" s="136" t="s">
        <v>915</v>
      </c>
      <c r="AE145" s="136" t="s">
        <v>916</v>
      </c>
      <c r="AF145" s="136" t="s">
        <v>59</v>
      </c>
      <c r="AG145" s="136" t="s">
        <v>59</v>
      </c>
      <c r="AH145" s="138">
        <v>-60.25</v>
      </c>
      <c r="AI145" s="139" t="s">
        <v>58</v>
      </c>
      <c r="AJ145" s="139" t="s">
        <v>59</v>
      </c>
    </row>
    <row r="146" spans="1:36" ht="15.75" x14ac:dyDescent="0.25">
      <c r="A146" s="115">
        <v>10501</v>
      </c>
      <c r="B146" s="116" t="s">
        <v>36</v>
      </c>
      <c r="C146" s="117" t="s">
        <v>37</v>
      </c>
      <c r="D146" s="118" t="s">
        <v>36</v>
      </c>
      <c r="E146" s="119" t="s">
        <v>38</v>
      </c>
      <c r="F146" s="140" t="s">
        <v>39</v>
      </c>
      <c r="G146" s="118" t="s">
        <v>40</v>
      </c>
      <c r="H146" s="121" t="s">
        <v>41</v>
      </c>
      <c r="I146" s="120" t="s">
        <v>524</v>
      </c>
      <c r="J146" s="122" t="s">
        <v>525</v>
      </c>
      <c r="K146" s="123" t="s">
        <v>526</v>
      </c>
      <c r="L146" t="s">
        <v>262</v>
      </c>
      <c r="M146" s="124" t="s">
        <v>263</v>
      </c>
      <c r="N146" s="125" t="s">
        <v>264</v>
      </c>
      <c r="O146" s="126" t="s">
        <v>929</v>
      </c>
      <c r="P146" s="127">
        <v>1537052</v>
      </c>
      <c r="Q146" s="128"/>
      <c r="R146" s="128"/>
      <c r="S146" s="129">
        <v>70</v>
      </c>
      <c r="T146" s="130" t="s">
        <v>736</v>
      </c>
      <c r="U146" s="131">
        <v>45385</v>
      </c>
      <c r="V146" s="132"/>
      <c r="W146" s="133">
        <v>2478</v>
      </c>
      <c r="X146" s="134" t="s">
        <v>563</v>
      </c>
      <c r="Y146" s="135" t="s">
        <v>912</v>
      </c>
      <c r="Z146" s="128" t="s">
        <v>96</v>
      </c>
      <c r="AA146" s="128" t="s">
        <v>954</v>
      </c>
      <c r="AB146" s="136" t="s">
        <v>256</v>
      </c>
      <c r="AC146" s="137" t="s">
        <v>914</v>
      </c>
      <c r="AD146" s="136" t="s">
        <v>915</v>
      </c>
      <c r="AE146" s="136" t="s">
        <v>916</v>
      </c>
      <c r="AF146" s="136" t="s">
        <v>59</v>
      </c>
      <c r="AG146" s="136" t="s">
        <v>59</v>
      </c>
      <c r="AH146" s="138">
        <v>-70</v>
      </c>
      <c r="AI146" s="139" t="s">
        <v>58</v>
      </c>
      <c r="AJ146" s="139" t="s">
        <v>59</v>
      </c>
    </row>
    <row r="147" spans="1:36" ht="15.75" x14ac:dyDescent="0.25">
      <c r="A147" s="115">
        <v>10945</v>
      </c>
      <c r="B147" s="116" t="s">
        <v>36</v>
      </c>
      <c r="C147" s="117" t="s">
        <v>37</v>
      </c>
      <c r="D147" s="118" t="s">
        <v>36</v>
      </c>
      <c r="E147" s="119" t="s">
        <v>38</v>
      </c>
      <c r="F147" s="120" t="s">
        <v>39</v>
      </c>
      <c r="G147" s="118" t="s">
        <v>40</v>
      </c>
      <c r="H147" s="121" t="s">
        <v>41</v>
      </c>
      <c r="I147" s="120" t="s">
        <v>524</v>
      </c>
      <c r="J147" s="122" t="s">
        <v>525</v>
      </c>
      <c r="K147" s="123" t="s">
        <v>526</v>
      </c>
      <c r="L147" t="s">
        <v>63</v>
      </c>
      <c r="M147" s="124" t="s">
        <v>64</v>
      </c>
      <c r="N147" s="125" t="s">
        <v>65</v>
      </c>
      <c r="O147" s="126" t="s">
        <v>929</v>
      </c>
      <c r="P147" s="127">
        <v>523668</v>
      </c>
      <c r="Q147" s="128"/>
      <c r="R147" s="128"/>
      <c r="S147" s="129">
        <v>366.59</v>
      </c>
      <c r="T147" s="130" t="s">
        <v>736</v>
      </c>
      <c r="U147" s="131">
        <v>45390</v>
      </c>
      <c r="V147" s="132"/>
      <c r="W147" s="133">
        <v>1283</v>
      </c>
      <c r="X147" s="134" t="s">
        <v>955</v>
      </c>
      <c r="Y147" s="135" t="s">
        <v>912</v>
      </c>
      <c r="Z147" s="128" t="s">
        <v>96</v>
      </c>
      <c r="AA147" s="128" t="s">
        <v>931</v>
      </c>
      <c r="AB147" s="136" t="s">
        <v>256</v>
      </c>
      <c r="AC147" s="137" t="s">
        <v>914</v>
      </c>
      <c r="AD147" s="136" t="s">
        <v>915</v>
      </c>
      <c r="AE147" s="136" t="s">
        <v>916</v>
      </c>
      <c r="AF147" s="136" t="s">
        <v>59</v>
      </c>
      <c r="AG147" s="136" t="s">
        <v>59</v>
      </c>
      <c r="AH147" s="138">
        <v>-366.59</v>
      </c>
      <c r="AI147" s="139" t="s">
        <v>58</v>
      </c>
      <c r="AJ147" s="139" t="s">
        <v>59</v>
      </c>
    </row>
    <row r="148" spans="1:36" ht="15.75" x14ac:dyDescent="0.25">
      <c r="A148" s="115">
        <v>10946</v>
      </c>
      <c r="B148" s="116" t="s">
        <v>36</v>
      </c>
      <c r="C148" s="117" t="s">
        <v>37</v>
      </c>
      <c r="D148" s="118" t="s">
        <v>36</v>
      </c>
      <c r="E148" s="119" t="s">
        <v>38</v>
      </c>
      <c r="F148" s="120" t="s">
        <v>39</v>
      </c>
      <c r="G148" s="118" t="s">
        <v>40</v>
      </c>
      <c r="H148" s="121" t="s">
        <v>41</v>
      </c>
      <c r="I148" s="120" t="s">
        <v>524</v>
      </c>
      <c r="J148" s="122" t="s">
        <v>525</v>
      </c>
      <c r="K148" s="123" t="s">
        <v>526</v>
      </c>
      <c r="L148" t="s">
        <v>63</v>
      </c>
      <c r="M148" s="124" t="s">
        <v>64</v>
      </c>
      <c r="N148" s="125" t="s">
        <v>65</v>
      </c>
      <c r="O148" s="126" t="s">
        <v>929</v>
      </c>
      <c r="P148" s="127">
        <v>523668</v>
      </c>
      <c r="Q148" s="128"/>
      <c r="R148" s="128"/>
      <c r="S148" s="129">
        <v>314.79000000000002</v>
      </c>
      <c r="T148" s="130" t="s">
        <v>736</v>
      </c>
      <c r="U148" s="131">
        <v>45390</v>
      </c>
      <c r="V148" s="132"/>
      <c r="W148" s="133">
        <v>1283</v>
      </c>
      <c r="X148" s="134" t="s">
        <v>955</v>
      </c>
      <c r="Y148" s="135" t="s">
        <v>912</v>
      </c>
      <c r="Z148" s="128" t="s">
        <v>96</v>
      </c>
      <c r="AA148" s="128" t="s">
        <v>931</v>
      </c>
      <c r="AB148" s="136" t="s">
        <v>256</v>
      </c>
      <c r="AC148" s="137" t="s">
        <v>914</v>
      </c>
      <c r="AD148" s="136" t="s">
        <v>915</v>
      </c>
      <c r="AE148" s="136" t="s">
        <v>916</v>
      </c>
      <c r="AF148" s="136" t="s">
        <v>59</v>
      </c>
      <c r="AG148" s="136" t="s">
        <v>59</v>
      </c>
      <c r="AH148" s="138">
        <v>-314.79000000000002</v>
      </c>
      <c r="AI148" s="139" t="s">
        <v>58</v>
      </c>
      <c r="AJ148" s="139" t="s">
        <v>59</v>
      </c>
    </row>
    <row r="149" spans="1:36" ht="15.75" x14ac:dyDescent="0.25">
      <c r="A149" s="115">
        <v>11305</v>
      </c>
      <c r="B149" s="116" t="s">
        <v>36</v>
      </c>
      <c r="C149" s="117" t="s">
        <v>37</v>
      </c>
      <c r="D149" s="118" t="s">
        <v>36</v>
      </c>
      <c r="E149" s="119" t="s">
        <v>38</v>
      </c>
      <c r="F149" s="120" t="s">
        <v>39</v>
      </c>
      <c r="G149" s="118" t="s">
        <v>40</v>
      </c>
      <c r="H149" s="121" t="s">
        <v>41</v>
      </c>
      <c r="I149" s="120" t="s">
        <v>524</v>
      </c>
      <c r="J149" s="122" t="s">
        <v>525</v>
      </c>
      <c r="K149" s="123" t="s">
        <v>526</v>
      </c>
      <c r="L149" t="s">
        <v>63</v>
      </c>
      <c r="M149" s="124" t="s">
        <v>64</v>
      </c>
      <c r="N149" s="125" t="s">
        <v>65</v>
      </c>
      <c r="O149" s="126" t="s">
        <v>929</v>
      </c>
      <c r="P149" s="127">
        <v>552</v>
      </c>
      <c r="Q149" s="128"/>
      <c r="R149" s="128"/>
      <c r="S149" s="129">
        <v>1090</v>
      </c>
      <c r="T149" s="130" t="s">
        <v>736</v>
      </c>
      <c r="U149" s="131">
        <v>45392</v>
      </c>
      <c r="V149" s="132"/>
      <c r="W149" s="133">
        <v>7628</v>
      </c>
      <c r="X149" s="134" t="s">
        <v>541</v>
      </c>
      <c r="Y149" s="135" t="s">
        <v>912</v>
      </c>
      <c r="Z149" s="128" t="s">
        <v>96</v>
      </c>
      <c r="AA149" s="128" t="s">
        <v>913</v>
      </c>
      <c r="AB149" s="136" t="s">
        <v>256</v>
      </c>
      <c r="AC149" s="137" t="s">
        <v>914</v>
      </c>
      <c r="AD149" s="136" t="s">
        <v>915</v>
      </c>
      <c r="AE149" s="136" t="s">
        <v>916</v>
      </c>
      <c r="AF149" s="136" t="s">
        <v>59</v>
      </c>
      <c r="AG149" s="136" t="s">
        <v>59</v>
      </c>
      <c r="AH149" s="138">
        <v>-1090</v>
      </c>
      <c r="AI149" s="139" t="s">
        <v>58</v>
      </c>
      <c r="AJ149" s="139" t="s">
        <v>59</v>
      </c>
    </row>
    <row r="150" spans="1:36" ht="15.75" x14ac:dyDescent="0.25">
      <c r="A150" s="115">
        <v>12295</v>
      </c>
      <c r="B150" s="116" t="s">
        <v>36</v>
      </c>
      <c r="C150" s="117" t="s">
        <v>37</v>
      </c>
      <c r="D150" s="118" t="s">
        <v>36</v>
      </c>
      <c r="E150" s="119" t="s">
        <v>38</v>
      </c>
      <c r="F150" s="140" t="s">
        <v>39</v>
      </c>
      <c r="G150" s="118" t="s">
        <v>40</v>
      </c>
      <c r="H150" s="121" t="s">
        <v>41</v>
      </c>
      <c r="I150" s="120" t="s">
        <v>524</v>
      </c>
      <c r="J150" s="122" t="s">
        <v>525</v>
      </c>
      <c r="K150" s="123" t="s">
        <v>526</v>
      </c>
      <c r="L150" t="s">
        <v>83</v>
      </c>
      <c r="M150" s="124" t="s">
        <v>84</v>
      </c>
      <c r="N150" s="125" t="s">
        <v>85</v>
      </c>
      <c r="O150" s="126" t="s">
        <v>929</v>
      </c>
      <c r="P150" s="127">
        <v>302880</v>
      </c>
      <c r="Q150" s="128"/>
      <c r="R150" s="128"/>
      <c r="S150" s="129">
        <v>31.94</v>
      </c>
      <c r="T150" s="130" t="s">
        <v>736</v>
      </c>
      <c r="U150" s="131">
        <v>45400</v>
      </c>
      <c r="V150" s="132"/>
      <c r="W150" s="133">
        <v>391</v>
      </c>
      <c r="X150" s="134" t="s">
        <v>55</v>
      </c>
      <c r="Y150" s="135" t="s">
        <v>912</v>
      </c>
      <c r="Z150" s="128" t="s">
        <v>96</v>
      </c>
      <c r="AA150" s="128" t="s">
        <v>939</v>
      </c>
      <c r="AB150" s="136" t="s">
        <v>256</v>
      </c>
      <c r="AC150" s="137" t="s">
        <v>914</v>
      </c>
      <c r="AD150" s="136" t="s">
        <v>915</v>
      </c>
      <c r="AE150" s="136" t="s">
        <v>916</v>
      </c>
      <c r="AF150" s="136" t="s">
        <v>59</v>
      </c>
      <c r="AG150" s="136" t="s">
        <v>59</v>
      </c>
      <c r="AH150" s="138">
        <v>-31.94</v>
      </c>
      <c r="AI150" s="139" t="s">
        <v>58</v>
      </c>
      <c r="AJ150" s="139" t="s">
        <v>59</v>
      </c>
    </row>
    <row r="151" spans="1:36" ht="15.75" x14ac:dyDescent="0.25">
      <c r="A151" s="115">
        <v>12646</v>
      </c>
      <c r="B151" s="116" t="s">
        <v>36</v>
      </c>
      <c r="C151" s="117" t="s">
        <v>37</v>
      </c>
      <c r="D151" s="118" t="s">
        <v>36</v>
      </c>
      <c r="E151" s="119" t="s">
        <v>38</v>
      </c>
      <c r="F151" s="120" t="s">
        <v>39</v>
      </c>
      <c r="G151" s="118" t="s">
        <v>40</v>
      </c>
      <c r="H151" s="121" t="s">
        <v>41</v>
      </c>
      <c r="I151" s="120" t="s">
        <v>524</v>
      </c>
      <c r="J151" s="122" t="s">
        <v>525</v>
      </c>
      <c r="K151" s="123" t="s">
        <v>526</v>
      </c>
      <c r="L151" t="s">
        <v>63</v>
      </c>
      <c r="M151" s="124" t="s">
        <v>64</v>
      </c>
      <c r="N151" s="125" t="s">
        <v>65</v>
      </c>
      <c r="O151" s="126" t="s">
        <v>929</v>
      </c>
      <c r="P151" s="127">
        <v>36640</v>
      </c>
      <c r="Q151" s="128"/>
      <c r="R151" s="128"/>
      <c r="S151" s="129">
        <v>1360</v>
      </c>
      <c r="T151" s="130" t="s">
        <v>736</v>
      </c>
      <c r="U151" s="131">
        <v>45405</v>
      </c>
      <c r="V151" s="132"/>
      <c r="W151" s="133">
        <v>3828</v>
      </c>
      <c r="X151" s="134" t="s">
        <v>754</v>
      </c>
      <c r="Y151" s="135" t="s">
        <v>912</v>
      </c>
      <c r="Z151" s="128" t="s">
        <v>96</v>
      </c>
      <c r="AA151" s="128" t="s">
        <v>933</v>
      </c>
      <c r="AB151" s="136" t="s">
        <v>256</v>
      </c>
      <c r="AC151" s="137" t="s">
        <v>914</v>
      </c>
      <c r="AD151" s="136" t="s">
        <v>915</v>
      </c>
      <c r="AE151" s="136" t="s">
        <v>916</v>
      </c>
      <c r="AF151" s="136" t="s">
        <v>59</v>
      </c>
      <c r="AG151" s="136" t="s">
        <v>59</v>
      </c>
      <c r="AH151" s="138">
        <v>-1360</v>
      </c>
      <c r="AI151" s="139" t="s">
        <v>58</v>
      </c>
      <c r="AJ151" s="139" t="s">
        <v>59</v>
      </c>
    </row>
    <row r="152" spans="1:36" ht="15.75" x14ac:dyDescent="0.25">
      <c r="A152" s="115">
        <v>14080</v>
      </c>
      <c r="B152" s="116" t="s">
        <v>36</v>
      </c>
      <c r="C152" s="117" t="s">
        <v>37</v>
      </c>
      <c r="D152" s="118" t="s">
        <v>36</v>
      </c>
      <c r="E152" s="119" t="s">
        <v>38</v>
      </c>
      <c r="F152" s="140" t="s">
        <v>39</v>
      </c>
      <c r="G152" s="118" t="s">
        <v>40</v>
      </c>
      <c r="H152" s="121" t="s">
        <v>41</v>
      </c>
      <c r="I152" s="120" t="s">
        <v>524</v>
      </c>
      <c r="J152" s="122" t="s">
        <v>525</v>
      </c>
      <c r="K152" s="123" t="s">
        <v>526</v>
      </c>
      <c r="L152" t="s">
        <v>83</v>
      </c>
      <c r="M152" s="124" t="s">
        <v>84</v>
      </c>
      <c r="N152" s="125" t="s">
        <v>85</v>
      </c>
      <c r="O152" s="126" t="s">
        <v>929</v>
      </c>
      <c r="P152" s="127">
        <v>304484</v>
      </c>
      <c r="Q152" s="128"/>
      <c r="R152" s="128"/>
      <c r="S152" s="129">
        <v>73.650000000000006</v>
      </c>
      <c r="T152" s="130" t="s">
        <v>736</v>
      </c>
      <c r="U152" s="131">
        <v>45416</v>
      </c>
      <c r="V152" s="132"/>
      <c r="W152" s="133"/>
      <c r="X152" s="134" t="s">
        <v>55</v>
      </c>
      <c r="Y152" s="135" t="s">
        <v>912</v>
      </c>
      <c r="Z152" s="128" t="s">
        <v>96</v>
      </c>
      <c r="AA152" s="128" t="s">
        <v>939</v>
      </c>
      <c r="AB152" s="136"/>
      <c r="AC152" s="137"/>
      <c r="AD152" s="136"/>
      <c r="AE152" s="136"/>
      <c r="AF152" s="136"/>
      <c r="AG152" s="136"/>
      <c r="AH152" s="138">
        <v>-73.650000000000006</v>
      </c>
      <c r="AI152" s="139" t="s">
        <v>58</v>
      </c>
      <c r="AJ152" s="139" t="s">
        <v>59</v>
      </c>
    </row>
    <row r="153" spans="1:36" ht="15.75" x14ac:dyDescent="0.25">
      <c r="A153" s="115">
        <v>17608</v>
      </c>
      <c r="B153" s="116" t="s">
        <v>36</v>
      </c>
      <c r="C153" s="117" t="s">
        <v>37</v>
      </c>
      <c r="D153" s="118" t="s">
        <v>36</v>
      </c>
      <c r="E153" s="119" t="s">
        <v>38</v>
      </c>
      <c r="F153" s="140" t="s">
        <v>39</v>
      </c>
      <c r="G153" s="118" t="s">
        <v>40</v>
      </c>
      <c r="H153" s="121" t="s">
        <v>41</v>
      </c>
      <c r="I153" s="120" t="s">
        <v>524</v>
      </c>
      <c r="J153" s="122" t="s">
        <v>525</v>
      </c>
      <c r="K153" s="123" t="s">
        <v>526</v>
      </c>
      <c r="L153" t="s">
        <v>63</v>
      </c>
      <c r="M153" s="124" t="s">
        <v>64</v>
      </c>
      <c r="N153" s="125" t="s">
        <v>65</v>
      </c>
      <c r="O153" s="126" t="s">
        <v>929</v>
      </c>
      <c r="P153" s="127"/>
      <c r="Q153" s="128"/>
      <c r="R153" s="128"/>
      <c r="S153" s="129">
        <v>740</v>
      </c>
      <c r="T153" s="130" t="s">
        <v>736</v>
      </c>
      <c r="U153" s="131">
        <v>45451</v>
      </c>
      <c r="V153" s="132"/>
      <c r="W153" s="133"/>
      <c r="X153" s="134" t="s">
        <v>563</v>
      </c>
      <c r="Y153" s="135" t="s">
        <v>912</v>
      </c>
      <c r="Z153" s="128" t="s">
        <v>96</v>
      </c>
      <c r="AA153" s="128" t="s">
        <v>933</v>
      </c>
      <c r="AB153" s="136"/>
      <c r="AC153" s="137"/>
      <c r="AD153" s="136"/>
      <c r="AE153" s="136"/>
      <c r="AF153" s="136"/>
      <c r="AG153" s="136"/>
      <c r="AH153" s="138">
        <v>-740</v>
      </c>
      <c r="AI153" s="139" t="s">
        <v>58</v>
      </c>
      <c r="AJ153" s="139" t="s">
        <v>59</v>
      </c>
    </row>
    <row r="154" spans="1:36" ht="15.75" x14ac:dyDescent="0.25">
      <c r="A154" s="115">
        <v>19465</v>
      </c>
      <c r="B154" s="116" t="s">
        <v>36</v>
      </c>
      <c r="C154" s="117" t="s">
        <v>37</v>
      </c>
      <c r="D154" s="118" t="s">
        <v>36</v>
      </c>
      <c r="E154" s="119" t="s">
        <v>38</v>
      </c>
      <c r="F154" s="120" t="s">
        <v>39</v>
      </c>
      <c r="G154" s="118" t="s">
        <v>40</v>
      </c>
      <c r="H154" s="121" t="s">
        <v>41</v>
      </c>
      <c r="I154" s="120" t="s">
        <v>524</v>
      </c>
      <c r="J154" s="122" t="s">
        <v>525</v>
      </c>
      <c r="K154" s="123" t="s">
        <v>526</v>
      </c>
      <c r="L154" t="s">
        <v>262</v>
      </c>
      <c r="M154" s="124" t="s">
        <v>263</v>
      </c>
      <c r="N154" s="125" t="s">
        <v>264</v>
      </c>
      <c r="O154" s="126" t="s">
        <v>929</v>
      </c>
      <c r="P154" s="127"/>
      <c r="Q154" s="128"/>
      <c r="R154" s="128"/>
      <c r="S154" s="129">
        <v>355.58</v>
      </c>
      <c r="T154" s="130" t="s">
        <v>736</v>
      </c>
      <c r="U154" s="131">
        <v>45471</v>
      </c>
      <c r="V154" s="132"/>
      <c r="W154" s="133"/>
      <c r="X154" s="134" t="s">
        <v>955</v>
      </c>
      <c r="Y154" s="135" t="s">
        <v>912</v>
      </c>
      <c r="Z154" s="128" t="s">
        <v>96</v>
      </c>
      <c r="AA154" s="128" t="s">
        <v>931</v>
      </c>
      <c r="AB154" s="136"/>
      <c r="AC154" s="137"/>
      <c r="AD154" s="136"/>
      <c r="AE154" s="136"/>
      <c r="AF154" s="136"/>
      <c r="AG154" s="136"/>
      <c r="AH154" s="138">
        <v>-355.58</v>
      </c>
      <c r="AI154" s="139" t="s">
        <v>58</v>
      </c>
      <c r="AJ154" s="139" t="s">
        <v>59</v>
      </c>
    </row>
    <row r="155" spans="1:36" ht="15.75" x14ac:dyDescent="0.25">
      <c r="A155" s="115">
        <v>19470</v>
      </c>
      <c r="B155" s="116" t="s">
        <v>36</v>
      </c>
      <c r="C155" s="117" t="s">
        <v>37</v>
      </c>
      <c r="D155" s="118" t="s">
        <v>36</v>
      </c>
      <c r="E155" s="119" t="s">
        <v>38</v>
      </c>
      <c r="F155" s="120" t="s">
        <v>39</v>
      </c>
      <c r="G155" s="118" t="s">
        <v>40</v>
      </c>
      <c r="H155" s="121" t="s">
        <v>41</v>
      </c>
      <c r="I155" s="120" t="s">
        <v>524</v>
      </c>
      <c r="J155" s="122" t="s">
        <v>525</v>
      </c>
      <c r="K155" s="123" t="s">
        <v>526</v>
      </c>
      <c r="L155" t="s">
        <v>262</v>
      </c>
      <c r="M155" s="124" t="s">
        <v>263</v>
      </c>
      <c r="N155" s="125" t="s">
        <v>264</v>
      </c>
      <c r="O155" s="126" t="s">
        <v>929</v>
      </c>
      <c r="P155" s="127"/>
      <c r="Q155" s="128"/>
      <c r="R155" s="128"/>
      <c r="S155" s="129">
        <v>304.95999999999998</v>
      </c>
      <c r="T155" s="130" t="s">
        <v>736</v>
      </c>
      <c r="U155" s="131">
        <v>45471</v>
      </c>
      <c r="V155" s="132"/>
      <c r="W155" s="133"/>
      <c r="X155" s="134" t="s">
        <v>955</v>
      </c>
      <c r="Y155" s="135" t="s">
        <v>912</v>
      </c>
      <c r="Z155" s="128" t="s">
        <v>96</v>
      </c>
      <c r="AA155" s="128" t="s">
        <v>931</v>
      </c>
      <c r="AB155" s="136"/>
      <c r="AC155" s="137"/>
      <c r="AD155" s="136"/>
      <c r="AE155" s="136"/>
      <c r="AF155" s="136"/>
      <c r="AG155" s="136"/>
      <c r="AH155" s="138">
        <v>-304.95999999999998</v>
      </c>
      <c r="AI155" s="139" t="s">
        <v>58</v>
      </c>
      <c r="AJ155" s="139" t="s">
        <v>59</v>
      </c>
    </row>
    <row r="156" spans="1:36" ht="15.75" x14ac:dyDescent="0.25">
      <c r="A156" s="115">
        <v>20252</v>
      </c>
      <c r="B156" s="116" t="s">
        <v>36</v>
      </c>
      <c r="C156" s="117" t="s">
        <v>37</v>
      </c>
      <c r="D156" s="118" t="s">
        <v>36</v>
      </c>
      <c r="E156" s="119" t="s">
        <v>38</v>
      </c>
      <c r="F156" s="140" t="s">
        <v>39</v>
      </c>
      <c r="G156" s="118" t="s">
        <v>40</v>
      </c>
      <c r="H156" s="121" t="s">
        <v>41</v>
      </c>
      <c r="I156" s="120" t="s">
        <v>524</v>
      </c>
      <c r="J156" s="122" t="s">
        <v>525</v>
      </c>
      <c r="K156" s="123" t="s">
        <v>526</v>
      </c>
      <c r="L156" t="s">
        <v>83</v>
      </c>
      <c r="M156" s="124" t="s">
        <v>84</v>
      </c>
      <c r="N156" s="125" t="s">
        <v>85</v>
      </c>
      <c r="O156" s="126" t="s">
        <v>929</v>
      </c>
      <c r="P156" s="127"/>
      <c r="Q156" s="128"/>
      <c r="R156" s="128"/>
      <c r="S156" s="129">
        <v>28.97</v>
      </c>
      <c r="T156" s="130" t="s">
        <v>736</v>
      </c>
      <c r="U156" s="131">
        <v>45476</v>
      </c>
      <c r="V156" s="132"/>
      <c r="W156" s="133"/>
      <c r="X156" s="134" t="s">
        <v>55</v>
      </c>
      <c r="Y156" s="135" t="s">
        <v>912</v>
      </c>
      <c r="Z156" s="128" t="s">
        <v>96</v>
      </c>
      <c r="AA156" s="128" t="s">
        <v>939</v>
      </c>
      <c r="AB156" s="136" t="s">
        <v>256</v>
      </c>
      <c r="AC156" s="137" t="s">
        <v>914</v>
      </c>
      <c r="AD156" s="136" t="s">
        <v>961</v>
      </c>
      <c r="AE156" s="136" t="s">
        <v>962</v>
      </c>
      <c r="AF156" s="136" t="s">
        <v>59</v>
      </c>
      <c r="AG156" s="136" t="s">
        <v>59</v>
      </c>
      <c r="AH156" s="138">
        <v>-28.97</v>
      </c>
      <c r="AI156" s="139" t="s">
        <v>58</v>
      </c>
      <c r="AJ156" s="139" t="s">
        <v>59</v>
      </c>
    </row>
    <row r="157" spans="1:36" ht="15.75" x14ac:dyDescent="0.25">
      <c r="A157" s="115">
        <v>21449</v>
      </c>
      <c r="B157" s="116" t="s">
        <v>36</v>
      </c>
      <c r="C157" s="117" t="s">
        <v>37</v>
      </c>
      <c r="D157" s="118" t="s">
        <v>36</v>
      </c>
      <c r="E157" s="119" t="s">
        <v>38</v>
      </c>
      <c r="F157" s="120" t="s">
        <v>39</v>
      </c>
      <c r="G157" s="118" t="s">
        <v>40</v>
      </c>
      <c r="H157" s="121" t="s">
        <v>41</v>
      </c>
      <c r="I157" s="120" t="s">
        <v>524</v>
      </c>
      <c r="J157" s="122" t="s">
        <v>525</v>
      </c>
      <c r="K157" s="123" t="s">
        <v>526</v>
      </c>
      <c r="L157" t="s">
        <v>63</v>
      </c>
      <c r="M157" s="124" t="s">
        <v>64</v>
      </c>
      <c r="N157" s="125" t="s">
        <v>65</v>
      </c>
      <c r="O157" s="126" t="s">
        <v>929</v>
      </c>
      <c r="P157" s="127"/>
      <c r="Q157" s="128"/>
      <c r="R157" s="128"/>
      <c r="S157" s="129">
        <v>4980</v>
      </c>
      <c r="T157" s="130" t="s">
        <v>736</v>
      </c>
      <c r="U157" s="131">
        <v>45493</v>
      </c>
      <c r="V157" s="132"/>
      <c r="W157" s="133"/>
      <c r="X157" s="134" t="s">
        <v>541</v>
      </c>
      <c r="Y157" s="135" t="s">
        <v>912</v>
      </c>
      <c r="Z157" s="128" t="s">
        <v>96</v>
      </c>
      <c r="AA157" s="128" t="s">
        <v>913</v>
      </c>
      <c r="AB157" s="136" t="s">
        <v>256</v>
      </c>
      <c r="AC157" s="137" t="s">
        <v>914</v>
      </c>
      <c r="AD157" s="136" t="s">
        <v>961</v>
      </c>
      <c r="AE157" s="136" t="s">
        <v>962</v>
      </c>
      <c r="AF157" s="136" t="s">
        <v>59</v>
      </c>
      <c r="AG157" s="136" t="s">
        <v>59</v>
      </c>
      <c r="AH157" s="138">
        <v>-4980</v>
      </c>
      <c r="AI157" s="139" t="s">
        <v>58</v>
      </c>
      <c r="AJ157" s="139" t="s">
        <v>59</v>
      </c>
    </row>
    <row r="158" spans="1:36" ht="15.75" x14ac:dyDescent="0.25">
      <c r="A158" s="115">
        <v>27384</v>
      </c>
      <c r="B158" s="116" t="s">
        <v>36</v>
      </c>
      <c r="C158" s="117" t="s">
        <v>37</v>
      </c>
      <c r="D158" s="118" t="s">
        <v>36</v>
      </c>
      <c r="E158" s="119" t="s">
        <v>38</v>
      </c>
      <c r="F158" s="120" t="s">
        <v>39</v>
      </c>
      <c r="G158" s="118" t="s">
        <v>40</v>
      </c>
      <c r="H158" s="121" t="s">
        <v>41</v>
      </c>
      <c r="I158" s="120" t="s">
        <v>524</v>
      </c>
      <c r="J158" s="122" t="s">
        <v>525</v>
      </c>
      <c r="K158" s="123" t="s">
        <v>526</v>
      </c>
      <c r="L158" t="s">
        <v>63</v>
      </c>
      <c r="M158" s="124" t="s">
        <v>64</v>
      </c>
      <c r="N158" s="125" t="s">
        <v>65</v>
      </c>
      <c r="O158" s="126" t="s">
        <v>929</v>
      </c>
      <c r="P158" s="127"/>
      <c r="Q158" s="128"/>
      <c r="R158" s="128"/>
      <c r="S158" s="129">
        <v>1260</v>
      </c>
      <c r="T158" s="130" t="s">
        <v>736</v>
      </c>
      <c r="U158" s="131">
        <v>45560</v>
      </c>
      <c r="V158" s="132"/>
      <c r="W158" s="133"/>
      <c r="X158" s="134" t="s">
        <v>754</v>
      </c>
      <c r="Y158" s="135" t="s">
        <v>912</v>
      </c>
      <c r="Z158" s="128" t="s">
        <v>96</v>
      </c>
      <c r="AA158" s="128" t="s">
        <v>933</v>
      </c>
      <c r="AB158" s="136"/>
      <c r="AC158" s="137"/>
      <c r="AD158" s="136"/>
      <c r="AE158" s="136"/>
      <c r="AF158" s="136"/>
      <c r="AG158" s="136"/>
      <c r="AH158" s="138">
        <v>-1260</v>
      </c>
      <c r="AI158" s="139" t="s">
        <v>58</v>
      </c>
      <c r="AJ158" s="139" t="s">
        <v>59</v>
      </c>
    </row>
    <row r="159" spans="1:36" ht="15.75" x14ac:dyDescent="0.25">
      <c r="A159" s="115">
        <v>27479</v>
      </c>
      <c r="B159" s="116" t="s">
        <v>36</v>
      </c>
      <c r="C159" s="117" t="s">
        <v>37</v>
      </c>
      <c r="D159" s="118" t="s">
        <v>36</v>
      </c>
      <c r="E159" s="119" t="s">
        <v>38</v>
      </c>
      <c r="F159" s="120" t="s">
        <v>39</v>
      </c>
      <c r="G159" s="118" t="s">
        <v>40</v>
      </c>
      <c r="H159" s="121" t="s">
        <v>41</v>
      </c>
      <c r="I159" s="120" t="s">
        <v>524</v>
      </c>
      <c r="J159" s="122" t="s">
        <v>525</v>
      </c>
      <c r="K159" s="123" t="s">
        <v>526</v>
      </c>
      <c r="L159" t="s">
        <v>63</v>
      </c>
      <c r="M159" s="124" t="s">
        <v>64</v>
      </c>
      <c r="N159" s="125" t="s">
        <v>65</v>
      </c>
      <c r="O159" s="126" t="s">
        <v>929</v>
      </c>
      <c r="P159" s="127"/>
      <c r="Q159" s="128"/>
      <c r="R159" s="128"/>
      <c r="S159" s="129">
        <v>1130</v>
      </c>
      <c r="T159" s="130" t="s">
        <v>736</v>
      </c>
      <c r="U159" s="131">
        <v>45560</v>
      </c>
      <c r="V159" s="132"/>
      <c r="W159" s="133"/>
      <c r="X159" s="134" t="s">
        <v>970</v>
      </c>
      <c r="Y159" s="135" t="s">
        <v>912</v>
      </c>
      <c r="Z159" s="128" t="s">
        <v>96</v>
      </c>
      <c r="AA159" s="128" t="s">
        <v>933</v>
      </c>
      <c r="AB159" s="136"/>
      <c r="AC159" s="137"/>
      <c r="AD159" s="136"/>
      <c r="AE159" s="136"/>
      <c r="AF159" s="136"/>
      <c r="AG159" s="136"/>
      <c r="AH159" s="138">
        <v>-1130</v>
      </c>
      <c r="AI159" s="139" t="s">
        <v>58</v>
      </c>
      <c r="AJ159" s="139" t="s">
        <v>59</v>
      </c>
    </row>
    <row r="160" spans="1:36" ht="15.75" x14ac:dyDescent="0.25">
      <c r="A160" s="115">
        <v>27845</v>
      </c>
      <c r="B160" s="116" t="s">
        <v>36</v>
      </c>
      <c r="C160" s="117" t="s">
        <v>37</v>
      </c>
      <c r="D160" s="118" t="s">
        <v>36</v>
      </c>
      <c r="E160" s="119" t="s">
        <v>38</v>
      </c>
      <c r="F160" s="140" t="s">
        <v>39</v>
      </c>
      <c r="G160" s="118" t="s">
        <v>40</v>
      </c>
      <c r="H160" s="121" t="s">
        <v>41</v>
      </c>
      <c r="I160" s="120" t="s">
        <v>524</v>
      </c>
      <c r="J160" s="122" t="s">
        <v>525</v>
      </c>
      <c r="K160" s="123" t="s">
        <v>526</v>
      </c>
      <c r="L160" t="s">
        <v>262</v>
      </c>
      <c r="M160" s="124" t="s">
        <v>263</v>
      </c>
      <c r="N160" s="125" t="s">
        <v>264</v>
      </c>
      <c r="O160" s="126" t="s">
        <v>929</v>
      </c>
      <c r="P160" s="127"/>
      <c r="Q160" s="128"/>
      <c r="R160" s="128"/>
      <c r="S160" s="129">
        <v>2229.4</v>
      </c>
      <c r="T160" s="130" t="s">
        <v>736</v>
      </c>
      <c r="U160" s="131">
        <v>45566</v>
      </c>
      <c r="V160" s="132"/>
      <c r="W160" s="133"/>
      <c r="X160" s="134" t="s">
        <v>955</v>
      </c>
      <c r="Y160" s="135" t="s">
        <v>912</v>
      </c>
      <c r="Z160" s="128" t="s">
        <v>96</v>
      </c>
      <c r="AA160" s="128" t="s">
        <v>932</v>
      </c>
      <c r="AB160" s="136"/>
      <c r="AC160" s="137"/>
      <c r="AD160" s="136"/>
      <c r="AE160" s="136"/>
      <c r="AF160" s="136"/>
      <c r="AG160" s="136"/>
      <c r="AH160" s="138">
        <v>-2229.4</v>
      </c>
      <c r="AI160" s="139" t="s">
        <v>58</v>
      </c>
      <c r="AJ160" s="139" t="s">
        <v>59</v>
      </c>
    </row>
    <row r="161" spans="1:36" ht="15.75" x14ac:dyDescent="0.25">
      <c r="A161" s="115">
        <v>28446</v>
      </c>
      <c r="B161" s="116" t="s">
        <v>36</v>
      </c>
      <c r="C161" s="117" t="s">
        <v>37</v>
      </c>
      <c r="D161" s="118" t="s">
        <v>36</v>
      </c>
      <c r="E161" s="119" t="s">
        <v>38</v>
      </c>
      <c r="F161" s="140" t="s">
        <v>39</v>
      </c>
      <c r="G161" s="118" t="s">
        <v>40</v>
      </c>
      <c r="H161" s="121" t="s">
        <v>41</v>
      </c>
      <c r="I161" s="120" t="s">
        <v>524</v>
      </c>
      <c r="J161" s="122" t="s">
        <v>525</v>
      </c>
      <c r="K161" s="123" t="s">
        <v>526</v>
      </c>
      <c r="L161" t="s">
        <v>262</v>
      </c>
      <c r="M161" s="124" t="s">
        <v>263</v>
      </c>
      <c r="N161" s="125" t="s">
        <v>264</v>
      </c>
      <c r="O161" s="126" t="s">
        <v>929</v>
      </c>
      <c r="P161" s="127"/>
      <c r="Q161" s="128"/>
      <c r="R161" s="128"/>
      <c r="S161" s="129">
        <v>14234.71</v>
      </c>
      <c r="T161" s="130" t="s">
        <v>736</v>
      </c>
      <c r="U161" s="131">
        <v>45569</v>
      </c>
      <c r="V161" s="132"/>
      <c r="W161" s="133"/>
      <c r="X161" s="134" t="s">
        <v>955</v>
      </c>
      <c r="Y161" s="135" t="s">
        <v>912</v>
      </c>
      <c r="Z161" s="128" t="s">
        <v>96</v>
      </c>
      <c r="AA161" s="128" t="s">
        <v>932</v>
      </c>
      <c r="AB161" s="136"/>
      <c r="AC161" s="137"/>
      <c r="AD161" s="136"/>
      <c r="AE161" s="136"/>
      <c r="AF161" s="136"/>
      <c r="AG161" s="136"/>
      <c r="AH161" s="138">
        <v>-14234.71</v>
      </c>
      <c r="AI161" s="139" t="s">
        <v>58</v>
      </c>
      <c r="AJ161" s="139" t="s">
        <v>59</v>
      </c>
    </row>
    <row r="162" spans="1:36" ht="15.75" x14ac:dyDescent="0.25">
      <c r="A162" s="115">
        <v>28458</v>
      </c>
      <c r="B162" s="116" t="s">
        <v>36</v>
      </c>
      <c r="C162" s="117" t="s">
        <v>37</v>
      </c>
      <c r="D162" s="118" t="s">
        <v>36</v>
      </c>
      <c r="E162" s="119" t="s">
        <v>38</v>
      </c>
      <c r="F162" s="140" t="s">
        <v>39</v>
      </c>
      <c r="G162" s="118" t="s">
        <v>40</v>
      </c>
      <c r="H162" s="121" t="s">
        <v>41</v>
      </c>
      <c r="I162" s="120" t="s">
        <v>524</v>
      </c>
      <c r="J162" s="122" t="s">
        <v>525</v>
      </c>
      <c r="K162" s="123" t="s">
        <v>526</v>
      </c>
      <c r="L162" t="s">
        <v>83</v>
      </c>
      <c r="M162" s="124" t="s">
        <v>84</v>
      </c>
      <c r="N162" s="125" t="s">
        <v>85</v>
      </c>
      <c r="O162" s="126" t="s">
        <v>929</v>
      </c>
      <c r="P162" s="127"/>
      <c r="Q162" s="128"/>
      <c r="R162" s="128"/>
      <c r="S162" s="129">
        <v>52.89</v>
      </c>
      <c r="T162" s="130" t="s">
        <v>736</v>
      </c>
      <c r="U162" s="131">
        <v>45569</v>
      </c>
      <c r="V162" s="132"/>
      <c r="W162" s="133"/>
      <c r="X162" s="134" t="s">
        <v>55</v>
      </c>
      <c r="Y162" s="135" t="s">
        <v>912</v>
      </c>
      <c r="Z162" s="128" t="s">
        <v>96</v>
      </c>
      <c r="AA162" s="128" t="s">
        <v>939</v>
      </c>
      <c r="AB162" s="136"/>
      <c r="AC162" s="137"/>
      <c r="AD162" s="136"/>
      <c r="AE162" s="136"/>
      <c r="AF162" s="136"/>
      <c r="AG162" s="136"/>
      <c r="AH162" s="138">
        <v>-52.89</v>
      </c>
      <c r="AI162" s="139" t="s">
        <v>58</v>
      </c>
      <c r="AJ162" s="139" t="s">
        <v>59</v>
      </c>
    </row>
    <row r="163" spans="1:36" ht="15.75" x14ac:dyDescent="0.25">
      <c r="A163" s="115">
        <v>28459</v>
      </c>
      <c r="B163" s="116" t="s">
        <v>36</v>
      </c>
      <c r="C163" s="117" t="s">
        <v>37</v>
      </c>
      <c r="D163" s="118" t="s">
        <v>36</v>
      </c>
      <c r="E163" s="119" t="s">
        <v>38</v>
      </c>
      <c r="F163" s="140" t="s">
        <v>39</v>
      </c>
      <c r="G163" s="118" t="s">
        <v>40</v>
      </c>
      <c r="H163" s="121" t="s">
        <v>41</v>
      </c>
      <c r="I163" s="120" t="s">
        <v>524</v>
      </c>
      <c r="J163" s="122" t="s">
        <v>525</v>
      </c>
      <c r="K163" s="123" t="s">
        <v>526</v>
      </c>
      <c r="L163" t="s">
        <v>83</v>
      </c>
      <c r="M163" s="124" t="s">
        <v>84</v>
      </c>
      <c r="N163" s="125" t="s">
        <v>85</v>
      </c>
      <c r="O163" s="126" t="s">
        <v>929</v>
      </c>
      <c r="P163" s="127"/>
      <c r="Q163" s="128"/>
      <c r="R163" s="128"/>
      <c r="S163" s="129">
        <v>225.42</v>
      </c>
      <c r="T163" s="130" t="s">
        <v>736</v>
      </c>
      <c r="U163" s="131">
        <v>45569</v>
      </c>
      <c r="V163" s="132"/>
      <c r="W163" s="133"/>
      <c r="X163" s="134" t="s">
        <v>55</v>
      </c>
      <c r="Y163" s="135" t="s">
        <v>912</v>
      </c>
      <c r="Z163" s="128" t="s">
        <v>96</v>
      </c>
      <c r="AA163" s="128" t="s">
        <v>939</v>
      </c>
      <c r="AB163" s="136"/>
      <c r="AC163" s="137"/>
      <c r="AD163" s="136"/>
      <c r="AE163" s="136"/>
      <c r="AF163" s="136"/>
      <c r="AG163" s="136"/>
      <c r="AH163" s="138">
        <v>-225.42</v>
      </c>
      <c r="AI163" s="139" t="s">
        <v>58</v>
      </c>
      <c r="AJ163" s="139" t="s">
        <v>59</v>
      </c>
    </row>
    <row r="164" spans="1:36" ht="15.75" x14ac:dyDescent="0.25">
      <c r="A164" s="115">
        <v>28782</v>
      </c>
      <c r="B164" s="116" t="s">
        <v>36</v>
      </c>
      <c r="C164" s="117" t="s">
        <v>37</v>
      </c>
      <c r="D164" s="118" t="s">
        <v>36</v>
      </c>
      <c r="E164" s="119" t="s">
        <v>38</v>
      </c>
      <c r="F164" s="140" t="s">
        <v>39</v>
      </c>
      <c r="G164" s="118" t="s">
        <v>40</v>
      </c>
      <c r="H164" s="121" t="s">
        <v>41</v>
      </c>
      <c r="I164" s="120" t="s">
        <v>524</v>
      </c>
      <c r="J164" s="122" t="s">
        <v>525</v>
      </c>
      <c r="K164" s="123" t="s">
        <v>526</v>
      </c>
      <c r="L164" t="s">
        <v>83</v>
      </c>
      <c r="M164" s="124" t="s">
        <v>84</v>
      </c>
      <c r="N164" s="125" t="s">
        <v>85</v>
      </c>
      <c r="O164" s="126" t="s">
        <v>929</v>
      </c>
      <c r="P164" s="127"/>
      <c r="Q164" s="128"/>
      <c r="R164" s="128"/>
      <c r="S164" s="129">
        <v>219.5</v>
      </c>
      <c r="T164" s="130" t="s">
        <v>736</v>
      </c>
      <c r="U164" s="131">
        <v>45574</v>
      </c>
      <c r="V164" s="132"/>
      <c r="W164" s="133"/>
      <c r="X164" s="134" t="s">
        <v>803</v>
      </c>
      <c r="Y164" s="135" t="s">
        <v>912</v>
      </c>
      <c r="Z164" s="128" t="s">
        <v>96</v>
      </c>
      <c r="AA164" s="128" t="s">
        <v>939</v>
      </c>
      <c r="AB164" s="136"/>
      <c r="AC164" s="137"/>
      <c r="AD164" s="136"/>
      <c r="AE164" s="136"/>
      <c r="AF164" s="136"/>
      <c r="AG164" s="136"/>
      <c r="AH164" s="138">
        <v>-219.5</v>
      </c>
      <c r="AI164" s="139" t="s">
        <v>58</v>
      </c>
      <c r="AJ164" s="139" t="s">
        <v>59</v>
      </c>
    </row>
    <row r="165" spans="1:36" ht="15.75" x14ac:dyDescent="0.25">
      <c r="A165" s="115">
        <v>30129</v>
      </c>
      <c r="B165" s="116" t="s">
        <v>36</v>
      </c>
      <c r="C165" s="117" t="s">
        <v>37</v>
      </c>
      <c r="D165" s="118" t="s">
        <v>36</v>
      </c>
      <c r="E165" s="119" t="s">
        <v>38</v>
      </c>
      <c r="F165" s="140" t="s">
        <v>39</v>
      </c>
      <c r="G165" s="118" t="s">
        <v>40</v>
      </c>
      <c r="H165" s="121" t="s">
        <v>41</v>
      </c>
      <c r="I165" s="120" t="s">
        <v>524</v>
      </c>
      <c r="J165" s="122" t="s">
        <v>525</v>
      </c>
      <c r="K165" s="123" t="s">
        <v>526</v>
      </c>
      <c r="L165" t="s">
        <v>262</v>
      </c>
      <c r="M165" s="124" t="s">
        <v>263</v>
      </c>
      <c r="N165" s="125" t="s">
        <v>264</v>
      </c>
      <c r="O165" s="126" t="s">
        <v>909</v>
      </c>
      <c r="P165" s="127"/>
      <c r="Q165" s="128"/>
      <c r="R165" s="128"/>
      <c r="S165" s="129">
        <v>160</v>
      </c>
      <c r="T165" s="130" t="s">
        <v>736</v>
      </c>
      <c r="U165" s="131">
        <v>45590</v>
      </c>
      <c r="V165" s="132"/>
      <c r="W165" s="133"/>
      <c r="X165" s="134" t="s">
        <v>974</v>
      </c>
      <c r="Y165" s="135" t="s">
        <v>912</v>
      </c>
      <c r="Z165" s="128" t="s">
        <v>96</v>
      </c>
      <c r="AA165" s="128" t="s">
        <v>932</v>
      </c>
      <c r="AB165" s="136"/>
      <c r="AC165" s="137"/>
      <c r="AD165" s="136"/>
      <c r="AE165" s="136"/>
      <c r="AF165" s="136"/>
      <c r="AG165" s="136"/>
      <c r="AH165" s="138">
        <v>-160</v>
      </c>
      <c r="AI165" s="139" t="s">
        <v>58</v>
      </c>
      <c r="AJ165" s="139" t="s">
        <v>59</v>
      </c>
    </row>
    <row r="166" spans="1:36" ht="15.75" x14ac:dyDescent="0.25">
      <c r="A166" s="115">
        <v>30850</v>
      </c>
      <c r="B166" s="116" t="s">
        <v>36</v>
      </c>
      <c r="C166" s="117" t="s">
        <v>37</v>
      </c>
      <c r="D166" s="118" t="s">
        <v>36</v>
      </c>
      <c r="E166" s="119" t="s">
        <v>38</v>
      </c>
      <c r="F166" s="120" t="s">
        <v>39</v>
      </c>
      <c r="G166" s="118" t="s">
        <v>40</v>
      </c>
      <c r="H166" s="121" t="s">
        <v>41</v>
      </c>
      <c r="I166" s="120" t="s">
        <v>524</v>
      </c>
      <c r="J166" s="122" t="s">
        <v>525</v>
      </c>
      <c r="K166" s="123" t="s">
        <v>526</v>
      </c>
      <c r="L166" t="s">
        <v>83</v>
      </c>
      <c r="M166" s="124" t="s">
        <v>84</v>
      </c>
      <c r="N166" s="125" t="s">
        <v>85</v>
      </c>
      <c r="O166" t="s">
        <v>909</v>
      </c>
      <c r="P166" s="127"/>
      <c r="S166" s="141">
        <v>135.1</v>
      </c>
      <c r="T166" s="142" t="s">
        <v>736</v>
      </c>
      <c r="U166" s="143">
        <v>45597.567824074074</v>
      </c>
      <c r="X166" s="144" t="s">
        <v>938</v>
      </c>
      <c r="Y166" s="135" t="s">
        <v>912</v>
      </c>
      <c r="Z166" t="s">
        <v>96</v>
      </c>
      <c r="AA166" t="s">
        <v>939</v>
      </c>
      <c r="AB166" s="125"/>
      <c r="AC166" s="145"/>
      <c r="AD166" s="125"/>
      <c r="AE166" s="125"/>
      <c r="AF166" s="125"/>
      <c r="AG166" s="125"/>
      <c r="AH166" s="138">
        <v>-135.1</v>
      </c>
      <c r="AI166" s="139" t="s">
        <v>58</v>
      </c>
      <c r="AJ166" s="139" t="s">
        <v>59</v>
      </c>
    </row>
    <row r="167" spans="1:36" ht="15.75" x14ac:dyDescent="0.25">
      <c r="A167" s="115">
        <v>31339</v>
      </c>
      <c r="B167" s="116" t="s">
        <v>36</v>
      </c>
      <c r="C167" s="117" t="s">
        <v>37</v>
      </c>
      <c r="D167" s="118" t="s">
        <v>36</v>
      </c>
      <c r="E167" s="119" t="s">
        <v>38</v>
      </c>
      <c r="F167" s="120" t="s">
        <v>39</v>
      </c>
      <c r="G167" s="118" t="s">
        <v>40</v>
      </c>
      <c r="H167" s="121" t="s">
        <v>41</v>
      </c>
      <c r="I167" s="120" t="s">
        <v>524</v>
      </c>
      <c r="J167" s="122" t="s">
        <v>525</v>
      </c>
      <c r="K167" s="123" t="s">
        <v>526</v>
      </c>
      <c r="L167" t="s">
        <v>262</v>
      </c>
      <c r="M167" s="124" t="s">
        <v>263</v>
      </c>
      <c r="N167" s="125" t="s">
        <v>264</v>
      </c>
      <c r="O167" t="s">
        <v>909</v>
      </c>
      <c r="P167" s="127"/>
      <c r="S167" s="141">
        <v>760</v>
      </c>
      <c r="T167" s="142" t="s">
        <v>736</v>
      </c>
      <c r="U167" s="143">
        <v>45602.567835648151</v>
      </c>
      <c r="X167" s="144" t="s">
        <v>974</v>
      </c>
      <c r="Y167" s="135" t="s">
        <v>912</v>
      </c>
      <c r="Z167" t="s">
        <v>96</v>
      </c>
      <c r="AA167" t="s">
        <v>932</v>
      </c>
      <c r="AB167" s="125"/>
      <c r="AC167" s="145"/>
      <c r="AD167" s="125"/>
      <c r="AE167" s="125"/>
      <c r="AF167" s="125"/>
      <c r="AG167" s="125"/>
      <c r="AH167" s="138">
        <v>-760</v>
      </c>
      <c r="AI167" s="139" t="s">
        <v>58</v>
      </c>
      <c r="AJ167" s="139" t="s">
        <v>59</v>
      </c>
    </row>
    <row r="168" spans="1:36" ht="15.75" x14ac:dyDescent="0.25">
      <c r="A168" s="115">
        <v>31924</v>
      </c>
      <c r="B168" s="116" t="s">
        <v>36</v>
      </c>
      <c r="C168" s="117" t="s">
        <v>37</v>
      </c>
      <c r="D168" s="118" t="s">
        <v>36</v>
      </c>
      <c r="E168" s="119" t="s">
        <v>38</v>
      </c>
      <c r="F168" s="120" t="s">
        <v>39</v>
      </c>
      <c r="G168" s="118" t="s">
        <v>40</v>
      </c>
      <c r="H168" s="121" t="s">
        <v>41</v>
      </c>
      <c r="I168" s="120" t="s">
        <v>524</v>
      </c>
      <c r="J168" s="122" t="s">
        <v>525</v>
      </c>
      <c r="K168" s="123" t="s">
        <v>526</v>
      </c>
      <c r="L168" t="s">
        <v>262</v>
      </c>
      <c r="M168" s="124" t="s">
        <v>263</v>
      </c>
      <c r="N168" s="125" t="s">
        <v>264</v>
      </c>
      <c r="O168" t="s">
        <v>909</v>
      </c>
      <c r="P168" s="127"/>
      <c r="S168" s="141">
        <v>7532.14</v>
      </c>
      <c r="T168" s="142" t="s">
        <v>736</v>
      </c>
      <c r="U168" s="143">
        <v>45609.567835648151</v>
      </c>
      <c r="X168" s="144" t="s">
        <v>955</v>
      </c>
      <c r="Y168" s="135" t="s">
        <v>912</v>
      </c>
      <c r="Z168" t="s">
        <v>96</v>
      </c>
      <c r="AA168" t="s">
        <v>932</v>
      </c>
      <c r="AB168" s="125"/>
      <c r="AC168" s="145"/>
      <c r="AD168" s="125"/>
      <c r="AE168" s="125"/>
      <c r="AF168" s="125"/>
      <c r="AG168" s="125"/>
      <c r="AH168" s="138">
        <v>-7532.14</v>
      </c>
      <c r="AI168" s="139" t="s">
        <v>58</v>
      </c>
      <c r="AJ168" s="139" t="s">
        <v>59</v>
      </c>
    </row>
    <row r="169" spans="1:36" ht="15.75" x14ac:dyDescent="0.25">
      <c r="A169" s="115">
        <v>32542</v>
      </c>
      <c r="B169" s="116" t="s">
        <v>36</v>
      </c>
      <c r="C169" s="117" t="s">
        <v>37</v>
      </c>
      <c r="D169" s="118" t="s">
        <v>36</v>
      </c>
      <c r="E169" s="119" t="s">
        <v>38</v>
      </c>
      <c r="F169" s="120" t="s">
        <v>39</v>
      </c>
      <c r="G169" s="118" t="s">
        <v>40</v>
      </c>
      <c r="H169" s="121" t="s">
        <v>41</v>
      </c>
      <c r="I169" s="120" t="s">
        <v>524</v>
      </c>
      <c r="J169" s="122" t="s">
        <v>525</v>
      </c>
      <c r="K169" s="123" t="s">
        <v>526</v>
      </c>
      <c r="L169" t="s">
        <v>262</v>
      </c>
      <c r="M169" s="124" t="s">
        <v>263</v>
      </c>
      <c r="N169" s="125" t="s">
        <v>264</v>
      </c>
      <c r="O169" t="s">
        <v>909</v>
      </c>
      <c r="P169" s="127"/>
      <c r="S169" s="141">
        <v>160</v>
      </c>
      <c r="T169" s="142" t="s">
        <v>736</v>
      </c>
      <c r="U169" s="143">
        <v>45618.567835648151</v>
      </c>
      <c r="X169" s="144" t="s">
        <v>975</v>
      </c>
      <c r="Y169" s="135" t="s">
        <v>912</v>
      </c>
      <c r="Z169" t="s">
        <v>96</v>
      </c>
      <c r="AA169" t="s">
        <v>932</v>
      </c>
      <c r="AB169" s="125"/>
      <c r="AC169" s="145"/>
      <c r="AD169" s="125"/>
      <c r="AE169" s="125"/>
      <c r="AF169" s="125"/>
      <c r="AG169" s="125"/>
      <c r="AH169" s="138">
        <v>-160</v>
      </c>
      <c r="AI169" s="139" t="s">
        <v>58</v>
      </c>
      <c r="AJ169" s="139" t="s">
        <v>59</v>
      </c>
    </row>
    <row r="170" spans="1:36" ht="15.75" x14ac:dyDescent="0.25">
      <c r="A170" s="115">
        <v>32843</v>
      </c>
      <c r="B170" s="116" t="s">
        <v>36</v>
      </c>
      <c r="C170" s="117" t="s">
        <v>37</v>
      </c>
      <c r="D170" s="118" t="s">
        <v>36</v>
      </c>
      <c r="E170" s="119" t="s">
        <v>38</v>
      </c>
      <c r="F170" s="120" t="s">
        <v>39</v>
      </c>
      <c r="G170" s="118" t="s">
        <v>40</v>
      </c>
      <c r="H170" s="121" t="s">
        <v>41</v>
      </c>
      <c r="I170" s="120" t="s">
        <v>524</v>
      </c>
      <c r="J170" s="122" t="s">
        <v>525</v>
      </c>
      <c r="K170" s="123" t="s">
        <v>526</v>
      </c>
      <c r="L170" t="s">
        <v>63</v>
      </c>
      <c r="M170" s="124" t="s">
        <v>64</v>
      </c>
      <c r="N170" s="125" t="s">
        <v>65</v>
      </c>
      <c r="O170" t="s">
        <v>929</v>
      </c>
      <c r="P170" s="127"/>
      <c r="S170" s="141">
        <v>880.01</v>
      </c>
      <c r="T170" s="142" t="s">
        <v>736</v>
      </c>
      <c r="U170" s="143">
        <v>45623.567835648151</v>
      </c>
      <c r="X170" s="144" t="s">
        <v>563</v>
      </c>
      <c r="Y170" s="135" t="s">
        <v>912</v>
      </c>
      <c r="Z170" t="s">
        <v>96</v>
      </c>
      <c r="AA170" t="s">
        <v>933</v>
      </c>
      <c r="AB170" s="125"/>
      <c r="AC170" s="145"/>
      <c r="AD170" s="125"/>
      <c r="AE170" s="125"/>
      <c r="AF170" s="125"/>
      <c r="AG170" s="125"/>
      <c r="AH170" s="138">
        <v>-880.01</v>
      </c>
      <c r="AI170" s="139" t="s">
        <v>58</v>
      </c>
      <c r="AJ170" s="139" t="s">
        <v>59</v>
      </c>
    </row>
    <row r="171" spans="1:36" ht="15.75" x14ac:dyDescent="0.25">
      <c r="A171" s="115">
        <v>33584</v>
      </c>
      <c r="B171" s="116" t="s">
        <v>36</v>
      </c>
      <c r="C171" s="117" t="s">
        <v>37</v>
      </c>
      <c r="D171" s="118" t="s">
        <v>36</v>
      </c>
      <c r="E171" s="119" t="s">
        <v>38</v>
      </c>
      <c r="F171" s="120" t="s">
        <v>39</v>
      </c>
      <c r="G171" s="118" t="s">
        <v>40</v>
      </c>
      <c r="H171" s="121" t="s">
        <v>41</v>
      </c>
      <c r="I171" s="120" t="s">
        <v>524</v>
      </c>
      <c r="J171" s="122" t="s">
        <v>525</v>
      </c>
      <c r="K171" s="123" t="s">
        <v>526</v>
      </c>
      <c r="L171" t="s">
        <v>251</v>
      </c>
      <c r="M171" s="124" t="s">
        <v>934</v>
      </c>
      <c r="N171" s="125" t="s">
        <v>935</v>
      </c>
      <c r="O171" s="126" t="s">
        <v>929</v>
      </c>
      <c r="P171" s="127"/>
      <c r="Q171" s="128"/>
      <c r="R171" s="128"/>
      <c r="S171" s="129">
        <v>1372.25</v>
      </c>
      <c r="T171" s="130" t="s">
        <v>736</v>
      </c>
      <c r="U171" s="131">
        <v>45629.510821759257</v>
      </c>
      <c r="V171" s="132"/>
      <c r="W171" s="133"/>
      <c r="X171" s="134" t="s">
        <v>743</v>
      </c>
      <c r="Y171" s="135" t="s">
        <v>912</v>
      </c>
      <c r="Z171" s="128" t="s">
        <v>96</v>
      </c>
      <c r="AA171" s="128" t="s">
        <v>936</v>
      </c>
      <c r="AB171" s="136"/>
      <c r="AC171" s="137"/>
      <c r="AD171" s="136"/>
      <c r="AE171" s="136"/>
      <c r="AF171" s="136"/>
      <c r="AG171" s="136"/>
      <c r="AH171" s="138">
        <v>-1372.25</v>
      </c>
      <c r="AI171" s="139" t="s">
        <v>58</v>
      </c>
      <c r="AJ171" s="139" t="s">
        <v>59</v>
      </c>
    </row>
    <row r="172" spans="1:36" ht="15.75" x14ac:dyDescent="0.25">
      <c r="A172" s="115">
        <v>3051</v>
      </c>
      <c r="B172" s="116" t="s">
        <v>36</v>
      </c>
      <c r="C172" s="117" t="s">
        <v>37</v>
      </c>
      <c r="D172" s="118" t="s">
        <v>36</v>
      </c>
      <c r="E172" s="119" t="s">
        <v>38</v>
      </c>
      <c r="F172" s="120" t="s">
        <v>39</v>
      </c>
      <c r="G172" s="118" t="s">
        <v>40</v>
      </c>
      <c r="H172" s="121" t="s">
        <v>41</v>
      </c>
      <c r="I172" s="120" t="s">
        <v>524</v>
      </c>
      <c r="J172" s="122" t="s">
        <v>525</v>
      </c>
      <c r="K172" s="123" t="s">
        <v>526</v>
      </c>
      <c r="L172" t="s">
        <v>90</v>
      </c>
      <c r="M172" s="124" t="s">
        <v>91</v>
      </c>
      <c r="N172" s="125" t="s">
        <v>92</v>
      </c>
      <c r="O172" s="126" t="s">
        <v>929</v>
      </c>
      <c r="P172" s="127"/>
      <c r="Q172" s="128"/>
      <c r="R172" s="128"/>
      <c r="S172" s="129">
        <v>69.900000000000006</v>
      </c>
      <c r="T172" s="130" t="s">
        <v>850</v>
      </c>
      <c r="U172" s="131">
        <v>45321</v>
      </c>
      <c r="V172" s="132"/>
      <c r="W172" s="133"/>
      <c r="X172" s="134" t="s">
        <v>95</v>
      </c>
      <c r="Y172" s="135" t="s">
        <v>912</v>
      </c>
      <c r="Z172" s="128" t="s">
        <v>96</v>
      </c>
      <c r="AA172" s="128" t="s">
        <v>97</v>
      </c>
      <c r="AB172" s="136" t="s">
        <v>256</v>
      </c>
      <c r="AC172" s="137" t="s">
        <v>952</v>
      </c>
      <c r="AD172" s="136" t="s">
        <v>961</v>
      </c>
      <c r="AE172" s="136" t="s">
        <v>916</v>
      </c>
      <c r="AF172" s="136" t="s">
        <v>157</v>
      </c>
      <c r="AG172" s="136" t="s">
        <v>59</v>
      </c>
      <c r="AH172" s="138">
        <v>-69.900000000000006</v>
      </c>
      <c r="AI172" s="139" t="s">
        <v>98</v>
      </c>
      <c r="AJ172" s="139" t="s">
        <v>157</v>
      </c>
    </row>
    <row r="173" spans="1:36" ht="15.75" x14ac:dyDescent="0.25">
      <c r="A173" s="115">
        <v>5062</v>
      </c>
      <c r="B173" s="116" t="s">
        <v>36</v>
      </c>
      <c r="C173" s="117" t="s">
        <v>37</v>
      </c>
      <c r="D173" s="118" t="s">
        <v>36</v>
      </c>
      <c r="E173" s="119" t="s">
        <v>38</v>
      </c>
      <c r="F173" s="120" t="s">
        <v>39</v>
      </c>
      <c r="G173" s="118" t="s">
        <v>40</v>
      </c>
      <c r="H173" s="121" t="s">
        <v>41</v>
      </c>
      <c r="I173" s="120" t="s">
        <v>524</v>
      </c>
      <c r="J173" s="122" t="s">
        <v>525</v>
      </c>
      <c r="K173" s="123" t="s">
        <v>526</v>
      </c>
      <c r="L173" t="s">
        <v>90</v>
      </c>
      <c r="M173" s="124" t="s">
        <v>91</v>
      </c>
      <c r="N173" s="125" t="s">
        <v>92</v>
      </c>
      <c r="O173" s="126" t="s">
        <v>929</v>
      </c>
      <c r="P173" s="127"/>
      <c r="Q173" s="128"/>
      <c r="R173" s="128"/>
      <c r="S173" s="129">
        <v>66.400000000000006</v>
      </c>
      <c r="T173" s="130" t="s">
        <v>850</v>
      </c>
      <c r="U173" s="131">
        <v>45337</v>
      </c>
      <c r="V173" s="132"/>
      <c r="W173" s="133"/>
      <c r="X173" s="134" t="s">
        <v>95</v>
      </c>
      <c r="Y173" s="135" t="s">
        <v>912</v>
      </c>
      <c r="Z173" s="128" t="s">
        <v>96</v>
      </c>
      <c r="AA173" s="128" t="s">
        <v>97</v>
      </c>
      <c r="AB173" s="136" t="s">
        <v>256</v>
      </c>
      <c r="AC173" s="137" t="s">
        <v>952</v>
      </c>
      <c r="AD173" s="136" t="s">
        <v>961</v>
      </c>
      <c r="AE173" s="136" t="s">
        <v>916</v>
      </c>
      <c r="AF173" s="136" t="s">
        <v>157</v>
      </c>
      <c r="AG173" s="136" t="s">
        <v>59</v>
      </c>
      <c r="AH173" s="138">
        <v>-66.400000000000006</v>
      </c>
      <c r="AI173" s="139" t="s">
        <v>98</v>
      </c>
      <c r="AJ173" s="139" t="s">
        <v>157</v>
      </c>
    </row>
    <row r="174" spans="1:36" ht="15.75" x14ac:dyDescent="0.25">
      <c r="A174" s="115">
        <v>5386</v>
      </c>
      <c r="B174" s="116" t="s">
        <v>36</v>
      </c>
      <c r="C174" s="117" t="s">
        <v>37</v>
      </c>
      <c r="D174" s="118" t="s">
        <v>36</v>
      </c>
      <c r="E174" s="119" t="s">
        <v>38</v>
      </c>
      <c r="F174" s="140" t="s">
        <v>39</v>
      </c>
      <c r="G174" s="118" t="s">
        <v>40</v>
      </c>
      <c r="H174" s="121" t="s">
        <v>41</v>
      </c>
      <c r="I174" s="120" t="s">
        <v>524</v>
      </c>
      <c r="J174" s="122" t="s">
        <v>525</v>
      </c>
      <c r="K174" s="123" t="s">
        <v>526</v>
      </c>
      <c r="L174" t="s">
        <v>63</v>
      </c>
      <c r="M174" s="124" t="s">
        <v>64</v>
      </c>
      <c r="N174" s="125" t="s">
        <v>65</v>
      </c>
      <c r="O174" s="126" t="s">
        <v>909</v>
      </c>
      <c r="P174" s="127"/>
      <c r="Q174" s="128"/>
      <c r="R174" s="128"/>
      <c r="S174" s="129">
        <v>1944.72</v>
      </c>
      <c r="T174" s="130" t="s">
        <v>850</v>
      </c>
      <c r="U174" s="131">
        <v>45338</v>
      </c>
      <c r="V174" s="132"/>
      <c r="W174" s="133"/>
      <c r="X174" s="134" t="s">
        <v>976</v>
      </c>
      <c r="Y174" s="135" t="s">
        <v>912</v>
      </c>
      <c r="Z174" s="128" t="s">
        <v>96</v>
      </c>
      <c r="AA174" s="128" t="s">
        <v>933</v>
      </c>
      <c r="AB174" s="136" t="s">
        <v>256</v>
      </c>
      <c r="AC174" s="137" t="s">
        <v>914</v>
      </c>
      <c r="AD174" s="136" t="s">
        <v>915</v>
      </c>
      <c r="AE174" s="136" t="s">
        <v>916</v>
      </c>
      <c r="AF174" s="136" t="s">
        <v>59</v>
      </c>
      <c r="AG174" s="136" t="s">
        <v>59</v>
      </c>
      <c r="AH174" s="138">
        <v>-1944.72</v>
      </c>
      <c r="AI174" s="139" t="s">
        <v>58</v>
      </c>
      <c r="AJ174" s="139" t="s">
        <v>59</v>
      </c>
    </row>
    <row r="175" spans="1:36" ht="15.75" x14ac:dyDescent="0.25">
      <c r="A175" s="115">
        <v>5437</v>
      </c>
      <c r="B175" s="116" t="s">
        <v>36</v>
      </c>
      <c r="C175" s="117" t="s">
        <v>37</v>
      </c>
      <c r="D175" s="118" t="s">
        <v>36</v>
      </c>
      <c r="E175" s="119" t="s">
        <v>38</v>
      </c>
      <c r="F175" s="140" t="s">
        <v>39</v>
      </c>
      <c r="G175" s="118" t="s">
        <v>40</v>
      </c>
      <c r="H175" s="121" t="s">
        <v>41</v>
      </c>
      <c r="I175" s="120" t="s">
        <v>524</v>
      </c>
      <c r="J175" s="122" t="s">
        <v>525</v>
      </c>
      <c r="K175" s="123" t="s">
        <v>526</v>
      </c>
      <c r="L175" t="s">
        <v>63</v>
      </c>
      <c r="M175" s="124" t="s">
        <v>64</v>
      </c>
      <c r="N175" s="125" t="s">
        <v>65</v>
      </c>
      <c r="O175" s="126" t="s">
        <v>929</v>
      </c>
      <c r="P175" s="127"/>
      <c r="Q175" s="128"/>
      <c r="R175" s="128"/>
      <c r="S175" s="129">
        <v>448</v>
      </c>
      <c r="T175" s="130" t="s">
        <v>850</v>
      </c>
      <c r="U175" s="131">
        <v>45339</v>
      </c>
      <c r="V175" s="132"/>
      <c r="W175" s="133"/>
      <c r="X175" s="134" t="s">
        <v>563</v>
      </c>
      <c r="Y175" s="135" t="s">
        <v>912</v>
      </c>
      <c r="Z175" s="128" t="s">
        <v>96</v>
      </c>
      <c r="AA175" s="128" t="s">
        <v>933</v>
      </c>
      <c r="AB175" s="136" t="s">
        <v>256</v>
      </c>
      <c r="AC175" s="137" t="s">
        <v>914</v>
      </c>
      <c r="AD175" s="136" t="s">
        <v>915</v>
      </c>
      <c r="AE175" s="136" t="s">
        <v>916</v>
      </c>
      <c r="AF175" s="136" t="s">
        <v>59</v>
      </c>
      <c r="AG175" s="136" t="s">
        <v>59</v>
      </c>
      <c r="AH175" s="138">
        <v>-448</v>
      </c>
      <c r="AI175" s="139" t="s">
        <v>58</v>
      </c>
      <c r="AJ175" s="139" t="s">
        <v>59</v>
      </c>
    </row>
    <row r="176" spans="1:36" ht="15.75" x14ac:dyDescent="0.25">
      <c r="A176" s="115">
        <v>5513</v>
      </c>
      <c r="B176" s="116" t="s">
        <v>36</v>
      </c>
      <c r="C176" s="117" t="s">
        <v>37</v>
      </c>
      <c r="D176" s="118" t="s">
        <v>36</v>
      </c>
      <c r="E176" s="119" t="s">
        <v>38</v>
      </c>
      <c r="F176" s="120" t="s">
        <v>39</v>
      </c>
      <c r="G176" s="118" t="s">
        <v>40</v>
      </c>
      <c r="H176" s="121" t="s">
        <v>41</v>
      </c>
      <c r="I176" s="120" t="s">
        <v>524</v>
      </c>
      <c r="J176" s="122" t="s">
        <v>525</v>
      </c>
      <c r="K176" s="123" t="s">
        <v>526</v>
      </c>
      <c r="L176" t="s">
        <v>63</v>
      </c>
      <c r="M176" s="124" t="s">
        <v>64</v>
      </c>
      <c r="N176" s="125" t="s">
        <v>65</v>
      </c>
      <c r="O176" s="126" t="s">
        <v>929</v>
      </c>
      <c r="P176" s="127"/>
      <c r="Q176" s="128"/>
      <c r="R176" s="128"/>
      <c r="S176" s="129">
        <v>8998.85</v>
      </c>
      <c r="T176" s="130" t="s">
        <v>850</v>
      </c>
      <c r="U176" s="131">
        <v>45341</v>
      </c>
      <c r="V176" s="132"/>
      <c r="W176" s="133"/>
      <c r="X176" s="134" t="s">
        <v>955</v>
      </c>
      <c r="Y176" s="135" t="s">
        <v>912</v>
      </c>
      <c r="Z176" s="128" t="s">
        <v>96</v>
      </c>
      <c r="AA176" s="128" t="s">
        <v>931</v>
      </c>
      <c r="AB176" s="136" t="s">
        <v>256</v>
      </c>
      <c r="AC176" s="137" t="s">
        <v>914</v>
      </c>
      <c r="AD176" s="136" t="s">
        <v>915</v>
      </c>
      <c r="AE176" s="136" t="s">
        <v>916</v>
      </c>
      <c r="AF176" s="136" t="s">
        <v>59</v>
      </c>
      <c r="AG176" s="136" t="s">
        <v>59</v>
      </c>
      <c r="AH176" s="138">
        <v>-8998.85</v>
      </c>
      <c r="AI176" s="139" t="s">
        <v>58</v>
      </c>
      <c r="AJ176" s="139" t="s">
        <v>59</v>
      </c>
    </row>
    <row r="177" spans="1:36" ht="15.75" x14ac:dyDescent="0.25">
      <c r="A177" s="115">
        <v>5706</v>
      </c>
      <c r="B177" s="116" t="s">
        <v>36</v>
      </c>
      <c r="C177" s="117" t="s">
        <v>37</v>
      </c>
      <c r="D177" s="118" t="s">
        <v>36</v>
      </c>
      <c r="E177" s="119" t="s">
        <v>38</v>
      </c>
      <c r="F177" s="120" t="s">
        <v>39</v>
      </c>
      <c r="G177" s="118" t="s">
        <v>40</v>
      </c>
      <c r="H177" s="121" t="s">
        <v>41</v>
      </c>
      <c r="I177" s="120" t="s">
        <v>524</v>
      </c>
      <c r="J177" s="122" t="s">
        <v>525</v>
      </c>
      <c r="K177" s="123" t="s">
        <v>526</v>
      </c>
      <c r="L177" t="s">
        <v>83</v>
      </c>
      <c r="M177" s="124" t="s">
        <v>84</v>
      </c>
      <c r="N177" s="125" t="s">
        <v>85</v>
      </c>
      <c r="O177" s="126" t="s">
        <v>909</v>
      </c>
      <c r="P177" s="127"/>
      <c r="Q177" s="128"/>
      <c r="R177" s="128"/>
      <c r="S177" s="129">
        <v>315</v>
      </c>
      <c r="T177" s="130" t="s">
        <v>850</v>
      </c>
      <c r="U177" s="131">
        <v>45342</v>
      </c>
      <c r="V177" s="132"/>
      <c r="W177" s="133"/>
      <c r="X177" s="134" t="s">
        <v>857</v>
      </c>
      <c r="Y177" s="135" t="s">
        <v>912</v>
      </c>
      <c r="Z177" s="128" t="s">
        <v>96</v>
      </c>
      <c r="AA177" s="128" t="s">
        <v>939</v>
      </c>
      <c r="AB177" s="136" t="s">
        <v>256</v>
      </c>
      <c r="AC177" s="137" t="s">
        <v>914</v>
      </c>
      <c r="AD177" s="136" t="s">
        <v>915</v>
      </c>
      <c r="AE177" s="136" t="s">
        <v>916</v>
      </c>
      <c r="AF177" s="136" t="s">
        <v>59</v>
      </c>
      <c r="AG177" s="136" t="s">
        <v>59</v>
      </c>
      <c r="AH177" s="138">
        <v>-315</v>
      </c>
      <c r="AI177" s="139" t="s">
        <v>58</v>
      </c>
      <c r="AJ177" s="139" t="s">
        <v>59</v>
      </c>
    </row>
    <row r="178" spans="1:36" ht="15.75" x14ac:dyDescent="0.25">
      <c r="A178" s="115">
        <v>7085</v>
      </c>
      <c r="B178" s="116" t="s">
        <v>36</v>
      </c>
      <c r="C178" s="117" t="s">
        <v>37</v>
      </c>
      <c r="D178" s="118" t="s">
        <v>36</v>
      </c>
      <c r="E178" s="119" t="s">
        <v>38</v>
      </c>
      <c r="F178" s="120" t="s">
        <v>39</v>
      </c>
      <c r="G178" s="118" t="s">
        <v>40</v>
      </c>
      <c r="H178" s="121" t="s">
        <v>41</v>
      </c>
      <c r="I178" s="120" t="s">
        <v>524</v>
      </c>
      <c r="J178" s="122" t="s">
        <v>525</v>
      </c>
      <c r="K178" s="123" t="s">
        <v>526</v>
      </c>
      <c r="L178" t="s">
        <v>83</v>
      </c>
      <c r="M178" s="124" t="s">
        <v>84</v>
      </c>
      <c r="N178" s="125" t="s">
        <v>85</v>
      </c>
      <c r="O178" s="126" t="s">
        <v>909</v>
      </c>
      <c r="P178" s="127">
        <v>63482</v>
      </c>
      <c r="Q178" s="128"/>
      <c r="R178" s="128"/>
      <c r="S178" s="129">
        <v>192</v>
      </c>
      <c r="T178" s="130" t="s">
        <v>850</v>
      </c>
      <c r="U178" s="131">
        <v>45352</v>
      </c>
      <c r="V178" s="132"/>
      <c r="W178" s="133"/>
      <c r="X178" s="134" t="s">
        <v>857</v>
      </c>
      <c r="Y178" s="135" t="s">
        <v>912</v>
      </c>
      <c r="Z178" s="128" t="s">
        <v>96</v>
      </c>
      <c r="AA178" s="128" t="s">
        <v>939</v>
      </c>
      <c r="AB178" s="136" t="s">
        <v>256</v>
      </c>
      <c r="AC178" s="137" t="s">
        <v>914</v>
      </c>
      <c r="AD178" s="136" t="s">
        <v>915</v>
      </c>
      <c r="AE178" s="136" t="s">
        <v>916</v>
      </c>
      <c r="AF178" s="136" t="s">
        <v>59</v>
      </c>
      <c r="AG178" s="136" t="s">
        <v>59</v>
      </c>
      <c r="AH178" s="138">
        <v>-192</v>
      </c>
      <c r="AI178" s="139" t="s">
        <v>58</v>
      </c>
      <c r="AJ178" s="139" t="s">
        <v>59</v>
      </c>
    </row>
    <row r="179" spans="1:36" ht="15.75" x14ac:dyDescent="0.25">
      <c r="A179" s="115">
        <v>7295</v>
      </c>
      <c r="B179" s="116" t="s">
        <v>36</v>
      </c>
      <c r="C179" s="117" t="s">
        <v>37</v>
      </c>
      <c r="D179" s="118" t="s">
        <v>36</v>
      </c>
      <c r="E179" s="119" t="s">
        <v>38</v>
      </c>
      <c r="F179" s="120" t="s">
        <v>39</v>
      </c>
      <c r="G179" s="118" t="s">
        <v>40</v>
      </c>
      <c r="H179" s="121" t="s">
        <v>41</v>
      </c>
      <c r="I179" s="120" t="s">
        <v>524</v>
      </c>
      <c r="J179" s="122" t="s">
        <v>525</v>
      </c>
      <c r="K179" s="123" t="s">
        <v>526</v>
      </c>
      <c r="L179" t="s">
        <v>83</v>
      </c>
      <c r="M179" s="124" t="s">
        <v>84</v>
      </c>
      <c r="N179" s="125" t="s">
        <v>85</v>
      </c>
      <c r="O179" s="126" t="s">
        <v>929</v>
      </c>
      <c r="P179" s="127">
        <v>63523</v>
      </c>
      <c r="Q179" s="128"/>
      <c r="R179" s="128"/>
      <c r="S179" s="129">
        <v>375.29</v>
      </c>
      <c r="T179" s="130" t="s">
        <v>850</v>
      </c>
      <c r="U179" s="131">
        <v>45353</v>
      </c>
      <c r="V179" s="132"/>
      <c r="W179" s="133"/>
      <c r="X179" s="134" t="s">
        <v>938</v>
      </c>
      <c r="Y179" s="135" t="s">
        <v>912</v>
      </c>
      <c r="Z179" s="128" t="s">
        <v>96</v>
      </c>
      <c r="AA179" s="128" t="s">
        <v>939</v>
      </c>
      <c r="AB179" s="136" t="s">
        <v>256</v>
      </c>
      <c r="AC179" s="137" t="s">
        <v>914</v>
      </c>
      <c r="AD179" s="136" t="s">
        <v>915</v>
      </c>
      <c r="AE179" s="136" t="s">
        <v>916</v>
      </c>
      <c r="AF179" s="136" t="s">
        <v>59</v>
      </c>
      <c r="AG179" s="136" t="s">
        <v>59</v>
      </c>
      <c r="AH179" s="138">
        <v>-375.29</v>
      </c>
      <c r="AI179" s="139" t="s">
        <v>58</v>
      </c>
      <c r="AJ179" s="139" t="s">
        <v>59</v>
      </c>
    </row>
    <row r="180" spans="1:36" ht="15.75" x14ac:dyDescent="0.25">
      <c r="A180" s="115">
        <v>7755</v>
      </c>
      <c r="B180" s="116" t="s">
        <v>36</v>
      </c>
      <c r="C180" s="117" t="s">
        <v>37</v>
      </c>
      <c r="D180" s="118" t="s">
        <v>36</v>
      </c>
      <c r="E180" s="119" t="s">
        <v>38</v>
      </c>
      <c r="F180" s="120" t="s">
        <v>39</v>
      </c>
      <c r="G180" s="118" t="s">
        <v>40</v>
      </c>
      <c r="H180" s="121" t="s">
        <v>41</v>
      </c>
      <c r="I180" s="120" t="s">
        <v>524</v>
      </c>
      <c r="J180" s="122" t="s">
        <v>525</v>
      </c>
      <c r="K180" s="123" t="s">
        <v>526</v>
      </c>
      <c r="L180" t="s">
        <v>90</v>
      </c>
      <c r="M180" s="124" t="s">
        <v>91</v>
      </c>
      <c r="N180" s="125" t="s">
        <v>92</v>
      </c>
      <c r="O180" s="126" t="s">
        <v>929</v>
      </c>
      <c r="P180" s="127">
        <v>63752</v>
      </c>
      <c r="Q180" s="128"/>
      <c r="R180" s="128"/>
      <c r="S180" s="129">
        <v>66.400000000000006</v>
      </c>
      <c r="T180" s="130" t="s">
        <v>850</v>
      </c>
      <c r="U180" s="131">
        <v>45358</v>
      </c>
      <c r="V180" s="132"/>
      <c r="W180" s="133"/>
      <c r="X180" s="134" t="s">
        <v>95</v>
      </c>
      <c r="Y180" s="135" t="s">
        <v>912</v>
      </c>
      <c r="Z180" s="128" t="s">
        <v>96</v>
      </c>
      <c r="AA180" s="128" t="s">
        <v>97</v>
      </c>
      <c r="AB180" s="136" t="s">
        <v>256</v>
      </c>
      <c r="AC180" s="137" t="s">
        <v>952</v>
      </c>
      <c r="AD180" s="136" t="s">
        <v>961</v>
      </c>
      <c r="AE180" s="136" t="s">
        <v>916</v>
      </c>
      <c r="AF180" s="136" t="s">
        <v>157</v>
      </c>
      <c r="AG180" s="136" t="s">
        <v>59</v>
      </c>
      <c r="AH180" s="138">
        <v>-66.400000000000006</v>
      </c>
      <c r="AI180" s="139" t="s">
        <v>98</v>
      </c>
      <c r="AJ180" s="139" t="s">
        <v>157</v>
      </c>
    </row>
    <row r="181" spans="1:36" ht="15.75" x14ac:dyDescent="0.25">
      <c r="A181" s="115">
        <v>7803</v>
      </c>
      <c r="B181" s="116" t="s">
        <v>36</v>
      </c>
      <c r="C181" s="117" t="s">
        <v>37</v>
      </c>
      <c r="D181" s="118" t="s">
        <v>36</v>
      </c>
      <c r="E181" s="119" t="s">
        <v>38</v>
      </c>
      <c r="F181" s="120" t="s">
        <v>39</v>
      </c>
      <c r="G181" s="118" t="s">
        <v>40</v>
      </c>
      <c r="H181" s="121" t="s">
        <v>41</v>
      </c>
      <c r="I181" s="120" t="s">
        <v>524</v>
      </c>
      <c r="J181" s="122" t="s">
        <v>525</v>
      </c>
      <c r="K181" s="123" t="s">
        <v>526</v>
      </c>
      <c r="L181" t="s">
        <v>63</v>
      </c>
      <c r="M181" s="124" t="s">
        <v>64</v>
      </c>
      <c r="N181" s="125" t="s">
        <v>65</v>
      </c>
      <c r="O181" s="126" t="s">
        <v>929</v>
      </c>
      <c r="P181" s="127">
        <v>63783</v>
      </c>
      <c r="Q181" s="128"/>
      <c r="R181" s="128"/>
      <c r="S181" s="129">
        <v>2720</v>
      </c>
      <c r="T181" s="130" t="s">
        <v>850</v>
      </c>
      <c r="U181" s="131">
        <v>45358</v>
      </c>
      <c r="V181" s="132"/>
      <c r="W181" s="133"/>
      <c r="X181" s="134" t="s">
        <v>754</v>
      </c>
      <c r="Y181" s="135" t="s">
        <v>912</v>
      </c>
      <c r="Z181" s="128" t="s">
        <v>96</v>
      </c>
      <c r="AA181" s="128" t="s">
        <v>933</v>
      </c>
      <c r="AB181" s="136" t="s">
        <v>256</v>
      </c>
      <c r="AC181" s="137" t="s">
        <v>914</v>
      </c>
      <c r="AD181" s="136" t="s">
        <v>915</v>
      </c>
      <c r="AE181" s="136" t="s">
        <v>916</v>
      </c>
      <c r="AF181" s="136" t="s">
        <v>59</v>
      </c>
      <c r="AG181" s="136" t="s">
        <v>59</v>
      </c>
      <c r="AH181" s="138">
        <v>-2720</v>
      </c>
      <c r="AI181" s="139" t="s">
        <v>58</v>
      </c>
      <c r="AJ181" s="139" t="s">
        <v>59</v>
      </c>
    </row>
    <row r="182" spans="1:36" ht="15.75" x14ac:dyDescent="0.25">
      <c r="A182" s="115">
        <v>8569</v>
      </c>
      <c r="B182" s="116" t="s">
        <v>36</v>
      </c>
      <c r="C182" s="117" t="s">
        <v>37</v>
      </c>
      <c r="D182" s="118" t="s">
        <v>36</v>
      </c>
      <c r="E182" s="119" t="s">
        <v>38</v>
      </c>
      <c r="F182" s="120" t="s">
        <v>39</v>
      </c>
      <c r="G182" s="118" t="s">
        <v>40</v>
      </c>
      <c r="H182" s="121" t="s">
        <v>41</v>
      </c>
      <c r="I182" s="120" t="s">
        <v>524</v>
      </c>
      <c r="J182" s="122" t="s">
        <v>525</v>
      </c>
      <c r="K182" s="123" t="s">
        <v>526</v>
      </c>
      <c r="L182" t="s">
        <v>262</v>
      </c>
      <c r="M182" s="124" t="s">
        <v>263</v>
      </c>
      <c r="N182" s="125" t="s">
        <v>264</v>
      </c>
      <c r="O182" s="126" t="s">
        <v>929</v>
      </c>
      <c r="P182" s="127">
        <v>64082</v>
      </c>
      <c r="Q182" s="128"/>
      <c r="R182" s="128"/>
      <c r="S182" s="129">
        <v>1905.52</v>
      </c>
      <c r="T182" s="130" t="s">
        <v>850</v>
      </c>
      <c r="U182" s="131">
        <v>45366</v>
      </c>
      <c r="V182" s="132"/>
      <c r="W182" s="133"/>
      <c r="X182" s="134" t="s">
        <v>545</v>
      </c>
      <c r="Y182" s="135" t="s">
        <v>912</v>
      </c>
      <c r="Z182" s="128" t="s">
        <v>96</v>
      </c>
      <c r="AA182" s="128" t="s">
        <v>932</v>
      </c>
      <c r="AB182" s="136" t="s">
        <v>256</v>
      </c>
      <c r="AC182" s="137" t="s">
        <v>914</v>
      </c>
      <c r="AD182" s="136" t="s">
        <v>915</v>
      </c>
      <c r="AE182" s="136" t="s">
        <v>916</v>
      </c>
      <c r="AF182" s="136" t="s">
        <v>59</v>
      </c>
      <c r="AG182" s="136" t="s">
        <v>59</v>
      </c>
      <c r="AH182" s="138">
        <v>-1905.52</v>
      </c>
      <c r="AI182" s="139" t="s">
        <v>58</v>
      </c>
      <c r="AJ182" s="139" t="s">
        <v>59</v>
      </c>
    </row>
    <row r="183" spans="1:36" ht="15.75" x14ac:dyDescent="0.25">
      <c r="A183" s="115">
        <v>8916</v>
      </c>
      <c r="B183" s="116" t="s">
        <v>36</v>
      </c>
      <c r="C183" s="117" t="s">
        <v>37</v>
      </c>
      <c r="D183" s="118" t="s">
        <v>36</v>
      </c>
      <c r="E183" s="119" t="s">
        <v>38</v>
      </c>
      <c r="F183" s="120" t="s">
        <v>39</v>
      </c>
      <c r="G183" s="118" t="s">
        <v>40</v>
      </c>
      <c r="H183" s="121" t="s">
        <v>41</v>
      </c>
      <c r="I183" s="120" t="s">
        <v>524</v>
      </c>
      <c r="J183" s="122" t="s">
        <v>525</v>
      </c>
      <c r="K183" s="123" t="s">
        <v>526</v>
      </c>
      <c r="L183" t="s">
        <v>63</v>
      </c>
      <c r="M183" s="124" t="s">
        <v>64</v>
      </c>
      <c r="N183" s="125" t="s">
        <v>65</v>
      </c>
      <c r="O183" s="126" t="s">
        <v>909</v>
      </c>
      <c r="P183" s="127">
        <v>64184</v>
      </c>
      <c r="Q183" s="128"/>
      <c r="R183" s="128"/>
      <c r="S183" s="129">
        <v>9680</v>
      </c>
      <c r="T183" s="130" t="s">
        <v>850</v>
      </c>
      <c r="U183" s="131">
        <v>45371</v>
      </c>
      <c r="V183" s="132"/>
      <c r="W183" s="133"/>
      <c r="X183" s="134" t="s">
        <v>977</v>
      </c>
      <c r="Y183" s="135" t="s">
        <v>912</v>
      </c>
      <c r="Z183" s="128" t="s">
        <v>96</v>
      </c>
      <c r="AA183" s="128" t="s">
        <v>913</v>
      </c>
      <c r="AB183" s="136" t="s">
        <v>256</v>
      </c>
      <c r="AC183" s="137" t="s">
        <v>914</v>
      </c>
      <c r="AD183" s="136" t="s">
        <v>915</v>
      </c>
      <c r="AE183" s="136" t="s">
        <v>916</v>
      </c>
      <c r="AF183" s="136" t="s">
        <v>59</v>
      </c>
      <c r="AG183" s="136" t="s">
        <v>59</v>
      </c>
      <c r="AH183" s="138">
        <v>-9680</v>
      </c>
      <c r="AI183" s="139" t="s">
        <v>58</v>
      </c>
      <c r="AJ183" s="139" t="s">
        <v>59</v>
      </c>
    </row>
    <row r="184" spans="1:36" ht="15.75" x14ac:dyDescent="0.25">
      <c r="A184" s="115">
        <v>9007</v>
      </c>
      <c r="B184" s="116" t="s">
        <v>36</v>
      </c>
      <c r="C184" s="117" t="s">
        <v>37</v>
      </c>
      <c r="D184" s="118" t="s">
        <v>36</v>
      </c>
      <c r="E184" s="119" t="s">
        <v>38</v>
      </c>
      <c r="F184" s="120" t="s">
        <v>39</v>
      </c>
      <c r="G184" s="118" t="s">
        <v>40</v>
      </c>
      <c r="H184" s="121" t="s">
        <v>41</v>
      </c>
      <c r="I184" s="120" t="s">
        <v>524</v>
      </c>
      <c r="J184" s="122" t="s">
        <v>525</v>
      </c>
      <c r="K184" s="123" t="s">
        <v>526</v>
      </c>
      <c r="L184" t="s">
        <v>83</v>
      </c>
      <c r="M184" s="124" t="s">
        <v>84</v>
      </c>
      <c r="N184" s="125" t="s">
        <v>85</v>
      </c>
      <c r="O184" s="126" t="s">
        <v>929</v>
      </c>
      <c r="P184" s="127">
        <v>64221</v>
      </c>
      <c r="Q184" s="128"/>
      <c r="R184" s="128"/>
      <c r="S184" s="129">
        <v>501.19</v>
      </c>
      <c r="T184" s="130" t="s">
        <v>850</v>
      </c>
      <c r="U184" s="131">
        <v>45372</v>
      </c>
      <c r="V184" s="132"/>
      <c r="W184" s="133"/>
      <c r="X184" s="134" t="s">
        <v>978</v>
      </c>
      <c r="Y184" s="135" t="s">
        <v>912</v>
      </c>
      <c r="Z184" s="128" t="s">
        <v>96</v>
      </c>
      <c r="AA184" s="128" t="s">
        <v>939</v>
      </c>
      <c r="AB184" s="136" t="s">
        <v>256</v>
      </c>
      <c r="AC184" s="137" t="s">
        <v>914</v>
      </c>
      <c r="AD184" s="136" t="s">
        <v>915</v>
      </c>
      <c r="AE184" s="136" t="s">
        <v>916</v>
      </c>
      <c r="AF184" s="136" t="s">
        <v>59</v>
      </c>
      <c r="AG184" s="136" t="s">
        <v>59</v>
      </c>
      <c r="AH184" s="138">
        <v>-501.19</v>
      </c>
      <c r="AI184" s="139" t="s">
        <v>58</v>
      </c>
      <c r="AJ184" s="139" t="s">
        <v>59</v>
      </c>
    </row>
    <row r="185" spans="1:36" ht="15.75" x14ac:dyDescent="0.25">
      <c r="A185" s="115">
        <v>9088</v>
      </c>
      <c r="B185" s="116" t="s">
        <v>36</v>
      </c>
      <c r="C185" s="117" t="s">
        <v>37</v>
      </c>
      <c r="D185" s="118" t="s">
        <v>36</v>
      </c>
      <c r="E185" s="119" t="s">
        <v>38</v>
      </c>
      <c r="F185" s="120" t="s">
        <v>39</v>
      </c>
      <c r="G185" s="118" t="s">
        <v>40</v>
      </c>
      <c r="H185" s="121" t="s">
        <v>41</v>
      </c>
      <c r="I185" s="120" t="s">
        <v>524</v>
      </c>
      <c r="J185" s="122" t="s">
        <v>525</v>
      </c>
      <c r="K185" s="123" t="s">
        <v>526</v>
      </c>
      <c r="L185" t="s">
        <v>63</v>
      </c>
      <c r="M185" s="124" t="s">
        <v>64</v>
      </c>
      <c r="N185" s="125" t="s">
        <v>65</v>
      </c>
      <c r="O185" s="126" t="s">
        <v>929</v>
      </c>
      <c r="P185" s="127">
        <v>64224</v>
      </c>
      <c r="Q185" s="128"/>
      <c r="R185" s="128"/>
      <c r="S185" s="129">
        <v>8232.02</v>
      </c>
      <c r="T185" s="130" t="s">
        <v>850</v>
      </c>
      <c r="U185" s="131">
        <v>45373</v>
      </c>
      <c r="V185" s="132"/>
      <c r="W185" s="133"/>
      <c r="X185" s="134" t="s">
        <v>955</v>
      </c>
      <c r="Y185" s="135" t="s">
        <v>912</v>
      </c>
      <c r="Z185" s="128" t="s">
        <v>96</v>
      </c>
      <c r="AA185" s="128" t="s">
        <v>913</v>
      </c>
      <c r="AB185" s="136" t="s">
        <v>256</v>
      </c>
      <c r="AC185" s="137" t="s">
        <v>914</v>
      </c>
      <c r="AD185" s="136" t="s">
        <v>915</v>
      </c>
      <c r="AE185" s="136" t="s">
        <v>916</v>
      </c>
      <c r="AF185" s="136" t="s">
        <v>59</v>
      </c>
      <c r="AG185" s="136" t="s">
        <v>59</v>
      </c>
      <c r="AH185" s="138">
        <v>-8232.02</v>
      </c>
      <c r="AI185" s="139" t="s">
        <v>58</v>
      </c>
      <c r="AJ185" s="139" t="s">
        <v>59</v>
      </c>
    </row>
    <row r="186" spans="1:36" ht="15.75" x14ac:dyDescent="0.25">
      <c r="A186" s="115">
        <v>9367</v>
      </c>
      <c r="B186" s="116" t="s">
        <v>36</v>
      </c>
      <c r="C186" s="117" t="s">
        <v>37</v>
      </c>
      <c r="D186" s="118" t="s">
        <v>36</v>
      </c>
      <c r="E186" s="119" t="s">
        <v>38</v>
      </c>
      <c r="F186" s="120" t="s">
        <v>39</v>
      </c>
      <c r="G186" s="118" t="s">
        <v>40</v>
      </c>
      <c r="H186" s="121" t="s">
        <v>41</v>
      </c>
      <c r="I186" s="120" t="s">
        <v>524</v>
      </c>
      <c r="J186" s="122" t="s">
        <v>525</v>
      </c>
      <c r="K186" s="123" t="s">
        <v>526</v>
      </c>
      <c r="L186" t="s">
        <v>63</v>
      </c>
      <c r="M186" s="124" t="s">
        <v>64</v>
      </c>
      <c r="N186" s="125" t="s">
        <v>65</v>
      </c>
      <c r="O186" s="126" t="s">
        <v>929</v>
      </c>
      <c r="P186" s="127">
        <v>64694</v>
      </c>
      <c r="Q186" s="128"/>
      <c r="R186" s="128"/>
      <c r="S186" s="129">
        <v>1470</v>
      </c>
      <c r="T186" s="130" t="s">
        <v>850</v>
      </c>
      <c r="U186" s="131">
        <v>45377</v>
      </c>
      <c r="V186" s="132"/>
      <c r="W186" s="133"/>
      <c r="X186" s="134" t="s">
        <v>541</v>
      </c>
      <c r="Y186" s="135" t="s">
        <v>912</v>
      </c>
      <c r="Z186" s="128" t="s">
        <v>96</v>
      </c>
      <c r="AA186" s="128" t="s">
        <v>913</v>
      </c>
      <c r="AB186" s="136" t="s">
        <v>256</v>
      </c>
      <c r="AC186" s="137" t="s">
        <v>914</v>
      </c>
      <c r="AD186" s="136" t="s">
        <v>915</v>
      </c>
      <c r="AE186" s="136" t="s">
        <v>916</v>
      </c>
      <c r="AF186" s="136" t="s">
        <v>59</v>
      </c>
      <c r="AG186" s="136" t="s">
        <v>59</v>
      </c>
      <c r="AH186" s="138">
        <v>-1470</v>
      </c>
      <c r="AI186" s="139" t="s">
        <v>58</v>
      </c>
      <c r="AJ186" s="139" t="s">
        <v>59</v>
      </c>
    </row>
    <row r="187" spans="1:36" ht="15.75" x14ac:dyDescent="0.25">
      <c r="A187" s="115">
        <v>25913</v>
      </c>
      <c r="B187" s="116" t="s">
        <v>36</v>
      </c>
      <c r="C187" s="117" t="s">
        <v>37</v>
      </c>
      <c r="D187" s="118" t="s">
        <v>36</v>
      </c>
      <c r="E187" s="119" t="s">
        <v>38</v>
      </c>
      <c r="F187" s="120" t="s">
        <v>39</v>
      </c>
      <c r="G187" s="118" t="s">
        <v>40</v>
      </c>
      <c r="H187" s="121" t="s">
        <v>41</v>
      </c>
      <c r="I187" s="120" t="s">
        <v>524</v>
      </c>
      <c r="J187" s="122" t="s">
        <v>525</v>
      </c>
      <c r="K187" s="123" t="s">
        <v>526</v>
      </c>
      <c r="L187" t="s">
        <v>90</v>
      </c>
      <c r="M187" s="124" t="s">
        <v>91</v>
      </c>
      <c r="N187" s="125" t="s">
        <v>92</v>
      </c>
      <c r="O187" s="126" t="s">
        <v>929</v>
      </c>
      <c r="P187" s="127"/>
      <c r="Q187" s="128"/>
      <c r="R187" s="128"/>
      <c r="S187" s="129">
        <v>240.16</v>
      </c>
      <c r="T187" s="130" t="s">
        <v>850</v>
      </c>
      <c r="U187" s="131">
        <v>45545</v>
      </c>
      <c r="V187" s="132"/>
      <c r="W187" s="133"/>
      <c r="X187" s="134" t="s">
        <v>95</v>
      </c>
      <c r="Y187" s="135" t="s">
        <v>912</v>
      </c>
      <c r="Z187" s="128" t="s">
        <v>96</v>
      </c>
      <c r="AA187" s="128" t="s">
        <v>97</v>
      </c>
      <c r="AB187" s="136"/>
      <c r="AC187" s="137"/>
      <c r="AD187" s="136"/>
      <c r="AE187" s="136"/>
      <c r="AF187" s="136"/>
      <c r="AG187" s="136"/>
      <c r="AH187" s="138">
        <v>-69.900000000000006</v>
      </c>
      <c r="AI187" s="139" t="s">
        <v>98</v>
      </c>
      <c r="AJ187" s="139" t="s">
        <v>157</v>
      </c>
    </row>
    <row r="188" spans="1:36" ht="15.75" x14ac:dyDescent="0.25">
      <c r="A188" s="115">
        <v>1654</v>
      </c>
      <c r="B188" s="116" t="s">
        <v>36</v>
      </c>
      <c r="C188" s="117" t="s">
        <v>37</v>
      </c>
      <c r="D188" s="118" t="s">
        <v>36</v>
      </c>
      <c r="E188" s="119" t="s">
        <v>38</v>
      </c>
      <c r="F188" s="120" t="s">
        <v>39</v>
      </c>
      <c r="G188" s="118" t="s">
        <v>40</v>
      </c>
      <c r="H188" s="121" t="s">
        <v>41</v>
      </c>
      <c r="I188" s="120" t="s">
        <v>524</v>
      </c>
      <c r="J188" s="122" t="s">
        <v>525</v>
      </c>
      <c r="K188" s="123" t="s">
        <v>526</v>
      </c>
      <c r="L188" t="s">
        <v>150</v>
      </c>
      <c r="M188" s="124" t="s">
        <v>151</v>
      </c>
      <c r="N188" s="125" t="s">
        <v>152</v>
      </c>
      <c r="O188" s="126" t="s">
        <v>929</v>
      </c>
      <c r="P188" s="127"/>
      <c r="Q188" s="128"/>
      <c r="R188" s="128"/>
      <c r="S188" s="129">
        <v>1100</v>
      </c>
      <c r="T188" s="130" t="s">
        <v>1327</v>
      </c>
      <c r="U188" s="131">
        <v>45307</v>
      </c>
      <c r="V188" s="132"/>
      <c r="W188" s="133"/>
      <c r="X188" s="134" t="s">
        <v>1390</v>
      </c>
      <c r="Y188" s="135" t="s">
        <v>912</v>
      </c>
      <c r="Z188" s="128" t="s">
        <v>96</v>
      </c>
      <c r="AA188" s="128" t="s">
        <v>1391</v>
      </c>
      <c r="AB188" s="136" t="s">
        <v>256</v>
      </c>
      <c r="AC188" s="137" t="s">
        <v>914</v>
      </c>
      <c r="AD188" s="136" t="s">
        <v>961</v>
      </c>
      <c r="AE188" s="136" t="s">
        <v>962</v>
      </c>
      <c r="AF188" s="136" t="s">
        <v>59</v>
      </c>
      <c r="AG188" s="136" t="s">
        <v>59</v>
      </c>
      <c r="AH188" s="138">
        <v>-1100</v>
      </c>
      <c r="AI188" s="139" t="s">
        <v>58</v>
      </c>
      <c r="AJ188" s="139" t="s">
        <v>157</v>
      </c>
    </row>
    <row r="189" spans="1:36" ht="15.75" x14ac:dyDescent="0.25">
      <c r="A189" s="115">
        <v>1655</v>
      </c>
      <c r="B189" s="116" t="s">
        <v>36</v>
      </c>
      <c r="C189" s="117" t="s">
        <v>37</v>
      </c>
      <c r="D189" s="118" t="s">
        <v>36</v>
      </c>
      <c r="E189" s="119" t="s">
        <v>38</v>
      </c>
      <c r="F189" s="120" t="s">
        <v>39</v>
      </c>
      <c r="G189" s="118" t="s">
        <v>40</v>
      </c>
      <c r="H189" s="121" t="s">
        <v>41</v>
      </c>
      <c r="I189" s="120" t="s">
        <v>524</v>
      </c>
      <c r="J189" s="122" t="s">
        <v>525</v>
      </c>
      <c r="K189" s="123" t="s">
        <v>526</v>
      </c>
      <c r="L189" t="s">
        <v>150</v>
      </c>
      <c r="M189" s="124" t="s">
        <v>151</v>
      </c>
      <c r="N189" s="125" t="s">
        <v>152</v>
      </c>
      <c r="O189" s="126" t="s">
        <v>929</v>
      </c>
      <c r="P189" s="127"/>
      <c r="Q189" s="128"/>
      <c r="R189" s="128"/>
      <c r="S189" s="129">
        <v>1150</v>
      </c>
      <c r="T189" s="130" t="s">
        <v>1327</v>
      </c>
      <c r="U189" s="131">
        <v>45307</v>
      </c>
      <c r="V189" s="132"/>
      <c r="W189" s="133"/>
      <c r="X189" s="134" t="s">
        <v>1390</v>
      </c>
      <c r="Y189" s="135" t="s">
        <v>912</v>
      </c>
      <c r="Z189" s="128" t="s">
        <v>96</v>
      </c>
      <c r="AA189" s="128" t="s">
        <v>1391</v>
      </c>
      <c r="AB189" s="136" t="s">
        <v>256</v>
      </c>
      <c r="AC189" s="137" t="s">
        <v>914</v>
      </c>
      <c r="AD189" s="136" t="s">
        <v>961</v>
      </c>
      <c r="AE189" s="136" t="s">
        <v>962</v>
      </c>
      <c r="AF189" s="136" t="s">
        <v>59</v>
      </c>
      <c r="AG189" s="136" t="s">
        <v>59</v>
      </c>
      <c r="AH189" s="138">
        <v>-1150</v>
      </c>
      <c r="AI189" s="139" t="s">
        <v>58</v>
      </c>
      <c r="AJ189" s="139" t="s">
        <v>157</v>
      </c>
    </row>
    <row r="190" spans="1:36" ht="15.75" x14ac:dyDescent="0.25">
      <c r="A190" s="115">
        <v>1656</v>
      </c>
      <c r="B190" s="116" t="s">
        <v>36</v>
      </c>
      <c r="C190" s="117" t="s">
        <v>37</v>
      </c>
      <c r="D190" s="118" t="s">
        <v>36</v>
      </c>
      <c r="E190" s="119" t="s">
        <v>38</v>
      </c>
      <c r="F190" s="120" t="s">
        <v>39</v>
      </c>
      <c r="G190" s="118" t="s">
        <v>40</v>
      </c>
      <c r="H190" s="121" t="s">
        <v>41</v>
      </c>
      <c r="I190" s="120" t="s">
        <v>524</v>
      </c>
      <c r="J190" s="122" t="s">
        <v>525</v>
      </c>
      <c r="K190" s="123" t="s">
        <v>526</v>
      </c>
      <c r="L190" t="s">
        <v>150</v>
      </c>
      <c r="M190" s="124" t="s">
        <v>151</v>
      </c>
      <c r="N190" s="125" t="s">
        <v>152</v>
      </c>
      <c r="O190" s="126" t="s">
        <v>929</v>
      </c>
      <c r="P190" s="127"/>
      <c r="Q190" s="128"/>
      <c r="R190" s="128"/>
      <c r="S190" s="129">
        <v>1150</v>
      </c>
      <c r="T190" s="130" t="s">
        <v>1327</v>
      </c>
      <c r="U190" s="131">
        <v>45307</v>
      </c>
      <c r="V190" s="132"/>
      <c r="W190" s="133"/>
      <c r="X190" s="134" t="s">
        <v>1390</v>
      </c>
      <c r="Y190" s="135" t="s">
        <v>912</v>
      </c>
      <c r="Z190" s="128" t="s">
        <v>96</v>
      </c>
      <c r="AA190" s="128" t="s">
        <v>1391</v>
      </c>
      <c r="AB190" s="136" t="s">
        <v>256</v>
      </c>
      <c r="AC190" s="137" t="s">
        <v>914</v>
      </c>
      <c r="AD190" s="136" t="s">
        <v>961</v>
      </c>
      <c r="AE190" s="136" t="s">
        <v>962</v>
      </c>
      <c r="AF190" s="136" t="s">
        <v>59</v>
      </c>
      <c r="AG190" s="136" t="s">
        <v>59</v>
      </c>
      <c r="AH190" s="138">
        <v>-1150</v>
      </c>
      <c r="AI190" s="139" t="s">
        <v>58</v>
      </c>
      <c r="AJ190" s="139" t="s">
        <v>157</v>
      </c>
    </row>
    <row r="191" spans="1:36" ht="15.75" x14ac:dyDescent="0.25">
      <c r="A191" s="115">
        <v>1657</v>
      </c>
      <c r="B191" s="116" t="s">
        <v>36</v>
      </c>
      <c r="C191" s="117" t="s">
        <v>37</v>
      </c>
      <c r="D191" s="118" t="s">
        <v>36</v>
      </c>
      <c r="E191" s="119" t="s">
        <v>38</v>
      </c>
      <c r="F191" s="120" t="s">
        <v>39</v>
      </c>
      <c r="G191" s="118" t="s">
        <v>40</v>
      </c>
      <c r="H191" s="121" t="s">
        <v>41</v>
      </c>
      <c r="I191" s="120" t="s">
        <v>524</v>
      </c>
      <c r="J191" s="122" t="s">
        <v>525</v>
      </c>
      <c r="K191" s="123" t="s">
        <v>526</v>
      </c>
      <c r="L191" t="s">
        <v>150</v>
      </c>
      <c r="M191" s="124" t="s">
        <v>151</v>
      </c>
      <c r="N191" s="125" t="s">
        <v>152</v>
      </c>
      <c r="O191" s="126" t="s">
        <v>929</v>
      </c>
      <c r="P191" s="127"/>
      <c r="Q191" s="128"/>
      <c r="R191" s="128"/>
      <c r="S191" s="129">
        <v>1150</v>
      </c>
      <c r="T191" s="130" t="s">
        <v>1327</v>
      </c>
      <c r="U191" s="131">
        <v>45307</v>
      </c>
      <c r="V191" s="132"/>
      <c r="W191" s="133"/>
      <c r="X191" s="134" t="s">
        <v>1390</v>
      </c>
      <c r="Y191" s="135" t="s">
        <v>912</v>
      </c>
      <c r="Z191" s="128" t="s">
        <v>96</v>
      </c>
      <c r="AA191" s="128" t="s">
        <v>1391</v>
      </c>
      <c r="AB191" s="136" t="s">
        <v>256</v>
      </c>
      <c r="AC191" s="137" t="s">
        <v>914</v>
      </c>
      <c r="AD191" s="136" t="s">
        <v>961</v>
      </c>
      <c r="AE191" s="136" t="s">
        <v>962</v>
      </c>
      <c r="AF191" s="136" t="s">
        <v>59</v>
      </c>
      <c r="AG191" s="136" t="s">
        <v>59</v>
      </c>
      <c r="AH191" s="138">
        <v>-1150</v>
      </c>
      <c r="AI191" s="139" t="s">
        <v>58</v>
      </c>
      <c r="AJ191" s="139" t="s">
        <v>157</v>
      </c>
    </row>
    <row r="192" spans="1:36" ht="15.75" x14ac:dyDescent="0.25">
      <c r="A192" s="115">
        <v>1658</v>
      </c>
      <c r="B192" s="116" t="s">
        <v>36</v>
      </c>
      <c r="C192" s="117" t="s">
        <v>37</v>
      </c>
      <c r="D192" s="118" t="s">
        <v>36</v>
      </c>
      <c r="E192" s="119" t="s">
        <v>38</v>
      </c>
      <c r="F192" s="120" t="s">
        <v>39</v>
      </c>
      <c r="G192" s="118" t="s">
        <v>40</v>
      </c>
      <c r="H192" s="121" t="s">
        <v>41</v>
      </c>
      <c r="I192" s="120" t="s">
        <v>524</v>
      </c>
      <c r="J192" s="122" t="s">
        <v>525</v>
      </c>
      <c r="K192" s="123" t="s">
        <v>526</v>
      </c>
      <c r="L192" t="s">
        <v>150</v>
      </c>
      <c r="M192" s="124" t="s">
        <v>151</v>
      </c>
      <c r="N192" s="125" t="s">
        <v>152</v>
      </c>
      <c r="O192" s="126" t="s">
        <v>929</v>
      </c>
      <c r="P192" s="127"/>
      <c r="Q192" s="128"/>
      <c r="R192" s="128"/>
      <c r="S192" s="129">
        <v>1150</v>
      </c>
      <c r="T192" s="130" t="s">
        <v>1327</v>
      </c>
      <c r="U192" s="131">
        <v>45307</v>
      </c>
      <c r="V192" s="132"/>
      <c r="W192" s="133"/>
      <c r="X192" s="134" t="s">
        <v>1390</v>
      </c>
      <c r="Y192" s="135" t="s">
        <v>912</v>
      </c>
      <c r="Z192" s="128" t="s">
        <v>96</v>
      </c>
      <c r="AA192" s="128" t="s">
        <v>1391</v>
      </c>
      <c r="AB192" s="136" t="s">
        <v>256</v>
      </c>
      <c r="AC192" s="137" t="s">
        <v>914</v>
      </c>
      <c r="AD192" s="136" t="s">
        <v>961</v>
      </c>
      <c r="AE192" s="136" t="s">
        <v>962</v>
      </c>
      <c r="AF192" s="136" t="s">
        <v>59</v>
      </c>
      <c r="AG192" s="136" t="s">
        <v>59</v>
      </c>
      <c r="AH192" s="138">
        <v>-1150</v>
      </c>
      <c r="AI192" s="139" t="s">
        <v>58</v>
      </c>
      <c r="AJ192" s="139" t="s">
        <v>157</v>
      </c>
    </row>
    <row r="193" spans="1:36" ht="15.75" x14ac:dyDescent="0.25">
      <c r="A193" s="115">
        <v>1659</v>
      </c>
      <c r="B193" s="116" t="s">
        <v>36</v>
      </c>
      <c r="C193" s="117" t="s">
        <v>37</v>
      </c>
      <c r="D193" s="118" t="s">
        <v>36</v>
      </c>
      <c r="E193" s="119" t="s">
        <v>38</v>
      </c>
      <c r="F193" s="120" t="s">
        <v>39</v>
      </c>
      <c r="G193" s="118" t="s">
        <v>40</v>
      </c>
      <c r="H193" s="121" t="s">
        <v>41</v>
      </c>
      <c r="I193" s="120" t="s">
        <v>524</v>
      </c>
      <c r="J193" s="122" t="s">
        <v>525</v>
      </c>
      <c r="K193" s="123" t="s">
        <v>526</v>
      </c>
      <c r="L193" t="s">
        <v>150</v>
      </c>
      <c r="M193" s="124" t="s">
        <v>151</v>
      </c>
      <c r="N193" s="125" t="s">
        <v>152</v>
      </c>
      <c r="O193" s="126" t="s">
        <v>929</v>
      </c>
      <c r="P193" s="127"/>
      <c r="Q193" s="128"/>
      <c r="R193" s="128"/>
      <c r="S193" s="129">
        <v>1150</v>
      </c>
      <c r="T193" s="130" t="s">
        <v>1327</v>
      </c>
      <c r="U193" s="131">
        <v>45307</v>
      </c>
      <c r="V193" s="132"/>
      <c r="W193" s="133"/>
      <c r="X193" s="134" t="s">
        <v>1390</v>
      </c>
      <c r="Y193" s="135" t="s">
        <v>912</v>
      </c>
      <c r="Z193" s="128" t="s">
        <v>96</v>
      </c>
      <c r="AA193" s="128" t="s">
        <v>1391</v>
      </c>
      <c r="AB193" s="136" t="s">
        <v>256</v>
      </c>
      <c r="AC193" s="137" t="s">
        <v>914</v>
      </c>
      <c r="AD193" s="136" t="s">
        <v>961</v>
      </c>
      <c r="AE193" s="136" t="s">
        <v>962</v>
      </c>
      <c r="AF193" s="136" t="s">
        <v>59</v>
      </c>
      <c r="AG193" s="136" t="s">
        <v>59</v>
      </c>
      <c r="AH193" s="138">
        <v>-1150</v>
      </c>
      <c r="AI193" s="139" t="s">
        <v>58</v>
      </c>
      <c r="AJ193" s="139" t="s">
        <v>157</v>
      </c>
    </row>
    <row r="194" spans="1:36" ht="15.75" x14ac:dyDescent="0.25">
      <c r="A194" s="115">
        <v>1660</v>
      </c>
      <c r="B194" s="116" t="s">
        <v>36</v>
      </c>
      <c r="C194" s="117" t="s">
        <v>37</v>
      </c>
      <c r="D194" s="118" t="s">
        <v>36</v>
      </c>
      <c r="E194" s="119" t="s">
        <v>38</v>
      </c>
      <c r="F194" s="120" t="s">
        <v>39</v>
      </c>
      <c r="G194" s="118" t="s">
        <v>40</v>
      </c>
      <c r="H194" s="121" t="s">
        <v>41</v>
      </c>
      <c r="I194" s="120" t="s">
        <v>524</v>
      </c>
      <c r="J194" s="122" t="s">
        <v>525</v>
      </c>
      <c r="K194" s="123" t="s">
        <v>526</v>
      </c>
      <c r="L194" t="s">
        <v>150</v>
      </c>
      <c r="M194" s="124" t="s">
        <v>151</v>
      </c>
      <c r="N194" s="125" t="s">
        <v>152</v>
      </c>
      <c r="O194" s="126" t="s">
        <v>929</v>
      </c>
      <c r="P194" s="127"/>
      <c r="Q194" s="128"/>
      <c r="R194" s="128"/>
      <c r="S194" s="129">
        <v>1150</v>
      </c>
      <c r="T194" s="130" t="s">
        <v>1327</v>
      </c>
      <c r="U194" s="131">
        <v>45307</v>
      </c>
      <c r="V194" s="132"/>
      <c r="W194" s="133"/>
      <c r="X194" s="134" t="s">
        <v>1390</v>
      </c>
      <c r="Y194" s="135" t="s">
        <v>912</v>
      </c>
      <c r="Z194" s="128" t="s">
        <v>96</v>
      </c>
      <c r="AA194" s="128" t="s">
        <v>1391</v>
      </c>
      <c r="AB194" s="136" t="s">
        <v>256</v>
      </c>
      <c r="AC194" s="137" t="s">
        <v>914</v>
      </c>
      <c r="AD194" s="136" t="s">
        <v>961</v>
      </c>
      <c r="AE194" s="136" t="s">
        <v>962</v>
      </c>
      <c r="AF194" s="136" t="s">
        <v>59</v>
      </c>
      <c r="AG194" s="136" t="s">
        <v>59</v>
      </c>
      <c r="AH194" s="138">
        <v>-1150</v>
      </c>
      <c r="AI194" s="139" t="s">
        <v>58</v>
      </c>
      <c r="AJ194" s="139" t="s">
        <v>157</v>
      </c>
    </row>
    <row r="195" spans="1:36" ht="15.75" x14ac:dyDescent="0.25">
      <c r="A195" s="115">
        <v>4132</v>
      </c>
      <c r="B195" s="116" t="s">
        <v>36</v>
      </c>
      <c r="C195" s="117" t="s">
        <v>37</v>
      </c>
      <c r="D195" s="118" t="s">
        <v>36</v>
      </c>
      <c r="E195" s="119" t="s">
        <v>38</v>
      </c>
      <c r="F195" s="120" t="s">
        <v>39</v>
      </c>
      <c r="G195" s="118" t="s">
        <v>40</v>
      </c>
      <c r="H195" s="121" t="s">
        <v>41</v>
      </c>
      <c r="I195" s="120" t="s">
        <v>301</v>
      </c>
      <c r="J195" s="122" t="s">
        <v>302</v>
      </c>
      <c r="K195" s="123" t="s">
        <v>303</v>
      </c>
      <c r="L195" t="s">
        <v>150</v>
      </c>
      <c r="M195" s="124" t="s">
        <v>151</v>
      </c>
      <c r="N195" s="125" t="s">
        <v>152</v>
      </c>
      <c r="O195" s="126" t="s">
        <v>121</v>
      </c>
      <c r="P195" s="127" t="s">
        <v>1392</v>
      </c>
      <c r="Q195" s="128">
        <v>1750</v>
      </c>
      <c r="R195" s="128">
        <v>1750</v>
      </c>
      <c r="S195" s="129">
        <v>1750</v>
      </c>
      <c r="T195" s="130" t="s">
        <v>1393</v>
      </c>
      <c r="U195" s="131">
        <v>45327</v>
      </c>
      <c r="V195" s="132">
        <v>45327</v>
      </c>
      <c r="W195" s="133">
        <v>9331</v>
      </c>
      <c r="X195" s="134" t="s">
        <v>312</v>
      </c>
      <c r="Y195" s="135" t="s">
        <v>912</v>
      </c>
      <c r="Z195" s="128" t="s">
        <v>57</v>
      </c>
      <c r="AA195" s="128"/>
      <c r="AB195" s="136" t="s">
        <v>256</v>
      </c>
      <c r="AC195" s="137" t="s">
        <v>914</v>
      </c>
      <c r="AD195" s="136" t="s">
        <v>961</v>
      </c>
      <c r="AE195" s="136" t="s">
        <v>962</v>
      </c>
      <c r="AF195" s="136" t="s">
        <v>59</v>
      </c>
      <c r="AG195" s="136" t="s">
        <v>59</v>
      </c>
      <c r="AH195" s="138">
        <v>-1750</v>
      </c>
      <c r="AI195" s="139" t="s">
        <v>58</v>
      </c>
      <c r="AJ195" s="139" t="s">
        <v>157</v>
      </c>
    </row>
    <row r="196" spans="1:36" ht="15.75" x14ac:dyDescent="0.25">
      <c r="A196" s="115">
        <v>5307</v>
      </c>
      <c r="B196" s="116" t="s">
        <v>36</v>
      </c>
      <c r="C196" s="117" t="s">
        <v>37</v>
      </c>
      <c r="D196" s="118" t="s">
        <v>36</v>
      </c>
      <c r="E196" s="119" t="s">
        <v>38</v>
      </c>
      <c r="F196" s="120" t="s">
        <v>39</v>
      </c>
      <c r="G196" s="118" t="s">
        <v>40</v>
      </c>
      <c r="H196" s="121" t="s">
        <v>41</v>
      </c>
      <c r="I196" s="120" t="s">
        <v>524</v>
      </c>
      <c r="J196" s="122" t="s">
        <v>525</v>
      </c>
      <c r="K196" s="123" t="s">
        <v>526</v>
      </c>
      <c r="L196" t="s">
        <v>150</v>
      </c>
      <c r="M196" s="124" t="s">
        <v>151</v>
      </c>
      <c r="N196" s="125" t="s">
        <v>152</v>
      </c>
      <c r="O196" s="126" t="s">
        <v>929</v>
      </c>
      <c r="P196" s="127"/>
      <c r="Q196" s="128"/>
      <c r="R196" s="128"/>
      <c r="S196" s="129">
        <v>1100</v>
      </c>
      <c r="T196" s="130" t="s">
        <v>1327</v>
      </c>
      <c r="U196" s="131">
        <v>45338</v>
      </c>
      <c r="V196" s="132"/>
      <c r="W196" s="133"/>
      <c r="X196" s="134" t="s">
        <v>1390</v>
      </c>
      <c r="Y196" s="135" t="s">
        <v>912</v>
      </c>
      <c r="Z196" s="128" t="s">
        <v>96</v>
      </c>
      <c r="AA196" s="128" t="s">
        <v>1391</v>
      </c>
      <c r="AB196" s="136" t="s">
        <v>256</v>
      </c>
      <c r="AC196" s="137" t="s">
        <v>914</v>
      </c>
      <c r="AD196" s="136" t="s">
        <v>961</v>
      </c>
      <c r="AE196" s="136" t="s">
        <v>962</v>
      </c>
      <c r="AF196" s="136" t="s">
        <v>59</v>
      </c>
      <c r="AG196" s="136" t="s">
        <v>59</v>
      </c>
      <c r="AH196" s="138">
        <v>-1100</v>
      </c>
      <c r="AI196" s="139" t="s">
        <v>58</v>
      </c>
      <c r="AJ196" s="139" t="s">
        <v>157</v>
      </c>
    </row>
    <row r="197" spans="1:36" ht="15.75" x14ac:dyDescent="0.25">
      <c r="A197" s="115">
        <v>6988</v>
      </c>
      <c r="B197" s="116" t="s">
        <v>36</v>
      </c>
      <c r="C197" s="117" t="s">
        <v>37</v>
      </c>
      <c r="D197" s="118" t="s">
        <v>36</v>
      </c>
      <c r="E197" s="119" t="s">
        <v>38</v>
      </c>
      <c r="F197" s="120" t="s">
        <v>39</v>
      </c>
      <c r="G197" s="118" t="s">
        <v>40</v>
      </c>
      <c r="H197" s="121" t="s">
        <v>41</v>
      </c>
      <c r="I197" s="120" t="s">
        <v>301</v>
      </c>
      <c r="J197" s="122" t="s">
        <v>302</v>
      </c>
      <c r="K197" s="123" t="s">
        <v>303</v>
      </c>
      <c r="L197" t="s">
        <v>150</v>
      </c>
      <c r="M197" s="124" t="s">
        <v>151</v>
      </c>
      <c r="N197" s="125" t="s">
        <v>152</v>
      </c>
      <c r="O197" s="126" t="s">
        <v>121</v>
      </c>
      <c r="P197" s="127" t="s">
        <v>1394</v>
      </c>
      <c r="Q197" s="128">
        <v>1750</v>
      </c>
      <c r="R197" s="128">
        <v>1750</v>
      </c>
      <c r="S197" s="129">
        <v>1750</v>
      </c>
      <c r="T197" s="130" t="s">
        <v>1395</v>
      </c>
      <c r="U197" s="131">
        <v>45352</v>
      </c>
      <c r="V197" s="132">
        <v>45356</v>
      </c>
      <c r="W197" s="133">
        <v>9331</v>
      </c>
      <c r="X197" s="134" t="s">
        <v>312</v>
      </c>
      <c r="Y197" s="135" t="s">
        <v>912</v>
      </c>
      <c r="Z197" s="128" t="s">
        <v>57</v>
      </c>
      <c r="AA197" s="128"/>
      <c r="AB197" s="136" t="s">
        <v>256</v>
      </c>
      <c r="AC197" s="137" t="s">
        <v>914</v>
      </c>
      <c r="AD197" s="136" t="s">
        <v>961</v>
      </c>
      <c r="AE197" s="136" t="s">
        <v>962</v>
      </c>
      <c r="AF197" s="136" t="s">
        <v>59</v>
      </c>
      <c r="AG197" s="136" t="s">
        <v>59</v>
      </c>
      <c r="AH197" s="138">
        <v>-1750</v>
      </c>
      <c r="AI197" s="139" t="s">
        <v>58</v>
      </c>
      <c r="AJ197" s="139" t="s">
        <v>157</v>
      </c>
    </row>
    <row r="198" spans="1:36" ht="15.75" x14ac:dyDescent="0.25">
      <c r="A198" s="115">
        <v>8642</v>
      </c>
      <c r="B198" s="116" t="s">
        <v>36</v>
      </c>
      <c r="C198" s="117" t="s">
        <v>37</v>
      </c>
      <c r="D198" s="118" t="s">
        <v>36</v>
      </c>
      <c r="E198" s="119" t="s">
        <v>38</v>
      </c>
      <c r="F198" s="120" t="s">
        <v>39</v>
      </c>
      <c r="G198" s="118" t="s">
        <v>40</v>
      </c>
      <c r="H198" s="121" t="s">
        <v>41</v>
      </c>
      <c r="I198" s="120" t="s">
        <v>524</v>
      </c>
      <c r="J198" s="122" t="s">
        <v>525</v>
      </c>
      <c r="K198" s="123" t="s">
        <v>526</v>
      </c>
      <c r="L198" t="s">
        <v>150</v>
      </c>
      <c r="M198" s="124" t="s">
        <v>151</v>
      </c>
      <c r="N198" s="125" t="s">
        <v>152</v>
      </c>
      <c r="O198" s="126" t="s">
        <v>929</v>
      </c>
      <c r="P198" s="127"/>
      <c r="Q198" s="128"/>
      <c r="R198" s="128"/>
      <c r="S198" s="129">
        <v>1100</v>
      </c>
      <c r="T198" s="130" t="s">
        <v>1327</v>
      </c>
      <c r="U198" s="131">
        <v>45367</v>
      </c>
      <c r="V198" s="132"/>
      <c r="W198" s="133"/>
      <c r="X198" s="134" t="s">
        <v>1390</v>
      </c>
      <c r="Y198" s="135" t="s">
        <v>912</v>
      </c>
      <c r="Z198" s="128" t="s">
        <v>96</v>
      </c>
      <c r="AA198" s="128" t="s">
        <v>1391</v>
      </c>
      <c r="AB198" s="136" t="s">
        <v>256</v>
      </c>
      <c r="AC198" s="137" t="s">
        <v>914</v>
      </c>
      <c r="AD198" s="136" t="s">
        <v>961</v>
      </c>
      <c r="AE198" s="136" t="s">
        <v>962</v>
      </c>
      <c r="AF198" s="136" t="s">
        <v>59</v>
      </c>
      <c r="AG198" s="136" t="s">
        <v>59</v>
      </c>
      <c r="AH198" s="138">
        <v>-1100</v>
      </c>
      <c r="AI198" s="139" t="s">
        <v>58</v>
      </c>
      <c r="AJ198" s="139" t="s">
        <v>157</v>
      </c>
    </row>
    <row r="199" spans="1:36" ht="15.75" x14ac:dyDescent="0.25">
      <c r="A199" s="115">
        <v>10436</v>
      </c>
      <c r="B199" s="116" t="s">
        <v>36</v>
      </c>
      <c r="C199" s="117" t="s">
        <v>37</v>
      </c>
      <c r="D199" s="118" t="s">
        <v>36</v>
      </c>
      <c r="E199" s="119" t="s">
        <v>38</v>
      </c>
      <c r="F199" s="120" t="s">
        <v>39</v>
      </c>
      <c r="G199" s="118" t="s">
        <v>40</v>
      </c>
      <c r="H199" s="121" t="s">
        <v>41</v>
      </c>
      <c r="I199" s="120" t="s">
        <v>301</v>
      </c>
      <c r="J199" s="122" t="s">
        <v>302</v>
      </c>
      <c r="K199" s="123" t="s">
        <v>303</v>
      </c>
      <c r="L199" t="s">
        <v>63</v>
      </c>
      <c r="M199" s="124" t="s">
        <v>64</v>
      </c>
      <c r="N199" s="125" t="s">
        <v>65</v>
      </c>
      <c r="O199" s="126" t="s">
        <v>909</v>
      </c>
      <c r="P199" s="127">
        <v>60</v>
      </c>
      <c r="Q199" s="128"/>
      <c r="R199" s="128"/>
      <c r="S199" s="129">
        <v>300</v>
      </c>
      <c r="T199" s="130" t="s">
        <v>910</v>
      </c>
      <c r="U199" s="131">
        <v>45385</v>
      </c>
      <c r="V199" s="132"/>
      <c r="W199" s="133">
        <v>9078</v>
      </c>
      <c r="X199" s="134" t="s">
        <v>911</v>
      </c>
      <c r="Y199" s="135" t="s">
        <v>912</v>
      </c>
      <c r="Z199" s="128" t="s">
        <v>96</v>
      </c>
      <c r="AA199" s="128" t="s">
        <v>913</v>
      </c>
      <c r="AB199" s="136" t="s">
        <v>256</v>
      </c>
      <c r="AC199" s="137" t="s">
        <v>914</v>
      </c>
      <c r="AD199" s="136" t="s">
        <v>915</v>
      </c>
      <c r="AE199" s="136" t="s">
        <v>916</v>
      </c>
      <c r="AF199" s="136" t="s">
        <v>59</v>
      </c>
      <c r="AG199" s="136" t="s">
        <v>59</v>
      </c>
      <c r="AH199" s="138">
        <v>-300</v>
      </c>
      <c r="AI199" s="139" t="s">
        <v>58</v>
      </c>
      <c r="AJ199" s="139" t="s">
        <v>59</v>
      </c>
    </row>
    <row r="200" spans="1:36" ht="15.75" x14ac:dyDescent="0.25">
      <c r="A200" s="115">
        <v>109</v>
      </c>
      <c r="B200" s="116" t="s">
        <v>36</v>
      </c>
      <c r="C200" s="117" t="s">
        <v>37</v>
      </c>
      <c r="D200" s="118" t="s">
        <v>36</v>
      </c>
      <c r="E200" s="119" t="s">
        <v>38</v>
      </c>
      <c r="F200" s="120" t="s">
        <v>39</v>
      </c>
      <c r="G200" s="118" t="s">
        <v>40</v>
      </c>
      <c r="H200" s="121" t="s">
        <v>41</v>
      </c>
      <c r="I200" s="120" t="s">
        <v>301</v>
      </c>
      <c r="J200" s="122" t="s">
        <v>302</v>
      </c>
      <c r="K200" s="123" t="s">
        <v>303</v>
      </c>
      <c r="L200" t="s">
        <v>192</v>
      </c>
      <c r="M200" s="124" t="s">
        <v>193</v>
      </c>
      <c r="N200" s="125" t="s">
        <v>194</v>
      </c>
      <c r="O200" s="126" t="s">
        <v>121</v>
      </c>
      <c r="P200" s="127" t="s">
        <v>1415</v>
      </c>
      <c r="Q200" s="128">
        <v>442</v>
      </c>
      <c r="R200" s="128">
        <v>442</v>
      </c>
      <c r="S200" s="129">
        <v>442</v>
      </c>
      <c r="T200" s="130" t="s">
        <v>1416</v>
      </c>
      <c r="U200" s="131">
        <v>45292</v>
      </c>
      <c r="V200" s="132">
        <v>45292</v>
      </c>
      <c r="W200" s="133">
        <v>9352</v>
      </c>
      <c r="X200" s="134" t="s">
        <v>1417</v>
      </c>
      <c r="Y200" s="135" t="s">
        <v>912</v>
      </c>
      <c r="Z200" s="128" t="s">
        <v>57</v>
      </c>
      <c r="AA200" s="128"/>
      <c r="AB200" s="136" t="s">
        <v>256</v>
      </c>
      <c r="AC200" s="137" t="s">
        <v>952</v>
      </c>
      <c r="AD200" s="136" t="s">
        <v>915</v>
      </c>
      <c r="AE200" s="136" t="s">
        <v>916</v>
      </c>
      <c r="AF200" s="136" t="s">
        <v>157</v>
      </c>
      <c r="AG200" s="136" t="s">
        <v>59</v>
      </c>
      <c r="AH200" s="138">
        <v>-442</v>
      </c>
      <c r="AI200" s="139" t="s">
        <v>58</v>
      </c>
      <c r="AJ200" s="139" t="s">
        <v>157</v>
      </c>
    </row>
    <row r="201" spans="1:36" ht="15.75" x14ac:dyDescent="0.25">
      <c r="A201" s="115">
        <v>768</v>
      </c>
      <c r="B201" s="116" t="s">
        <v>36</v>
      </c>
      <c r="C201" s="117" t="s">
        <v>37</v>
      </c>
      <c r="D201" s="118" t="s">
        <v>36</v>
      </c>
      <c r="E201" s="119" t="s">
        <v>38</v>
      </c>
      <c r="F201" s="120" t="s">
        <v>39</v>
      </c>
      <c r="G201" s="118" t="s">
        <v>40</v>
      </c>
      <c r="H201" s="121" t="s">
        <v>41</v>
      </c>
      <c r="I201" s="120" t="s">
        <v>301</v>
      </c>
      <c r="J201" s="122" t="s">
        <v>302</v>
      </c>
      <c r="K201" s="123" t="s">
        <v>303</v>
      </c>
      <c r="L201" t="s">
        <v>192</v>
      </c>
      <c r="M201" s="124" t="s">
        <v>193</v>
      </c>
      <c r="N201" s="125" t="s">
        <v>194</v>
      </c>
      <c r="O201" s="126" t="s">
        <v>929</v>
      </c>
      <c r="P201" s="127"/>
      <c r="Q201" s="128"/>
      <c r="R201" s="128"/>
      <c r="S201" s="129">
        <v>1321.1</v>
      </c>
      <c r="T201" s="130" t="s">
        <v>1327</v>
      </c>
      <c r="U201" s="131">
        <v>45296</v>
      </c>
      <c r="V201" s="132"/>
      <c r="W201" s="133"/>
      <c r="X201" s="134" t="s">
        <v>1046</v>
      </c>
      <c r="Y201" s="135" t="s">
        <v>912</v>
      </c>
      <c r="Z201" s="128" t="s">
        <v>96</v>
      </c>
      <c r="AA201" s="128" t="s">
        <v>1418</v>
      </c>
      <c r="AB201" s="136" t="s">
        <v>256</v>
      </c>
      <c r="AC201" s="137" t="s">
        <v>952</v>
      </c>
      <c r="AD201" s="136" t="s">
        <v>915</v>
      </c>
      <c r="AE201" s="136" t="s">
        <v>916</v>
      </c>
      <c r="AF201" s="136" t="s">
        <v>157</v>
      </c>
      <c r="AG201" s="136" t="s">
        <v>59</v>
      </c>
      <c r="AH201" s="138">
        <v>-1321.1</v>
      </c>
      <c r="AI201" s="139" t="s">
        <v>58</v>
      </c>
      <c r="AJ201" s="139" t="s">
        <v>157</v>
      </c>
    </row>
    <row r="202" spans="1:36" ht="15.75" x14ac:dyDescent="0.25">
      <c r="A202" s="115">
        <v>952</v>
      </c>
      <c r="B202" s="116" t="s">
        <v>36</v>
      </c>
      <c r="C202" s="117" t="s">
        <v>37</v>
      </c>
      <c r="D202" s="118" t="s">
        <v>36</v>
      </c>
      <c r="E202" s="119" t="s">
        <v>38</v>
      </c>
      <c r="F202" s="120" t="s">
        <v>39</v>
      </c>
      <c r="G202" s="118" t="s">
        <v>40</v>
      </c>
      <c r="H202" s="121" t="s">
        <v>41</v>
      </c>
      <c r="I202" s="120" t="s">
        <v>42</v>
      </c>
      <c r="J202" s="122" t="s">
        <v>43</v>
      </c>
      <c r="K202" s="123" t="s">
        <v>44</v>
      </c>
      <c r="L202" t="s">
        <v>192</v>
      </c>
      <c r="M202" s="124" t="s">
        <v>193</v>
      </c>
      <c r="N202" s="125" t="s">
        <v>194</v>
      </c>
      <c r="O202" s="126" t="s">
        <v>207</v>
      </c>
      <c r="P202" s="127" t="s">
        <v>1419</v>
      </c>
      <c r="Q202" s="128">
        <v>130</v>
      </c>
      <c r="R202" s="128">
        <v>130</v>
      </c>
      <c r="S202" s="129">
        <v>130</v>
      </c>
      <c r="T202" s="130" t="s">
        <v>1420</v>
      </c>
      <c r="U202" s="131">
        <v>45298</v>
      </c>
      <c r="V202" s="132">
        <v>45298</v>
      </c>
      <c r="W202" s="133">
        <v>5486</v>
      </c>
      <c r="X202" s="134" t="s">
        <v>1421</v>
      </c>
      <c r="Y202" s="135" t="s">
        <v>912</v>
      </c>
      <c r="Z202" s="128" t="s">
        <v>57</v>
      </c>
      <c r="AA202" s="128"/>
      <c r="AB202" s="136" t="s">
        <v>256</v>
      </c>
      <c r="AC202" s="137" t="s">
        <v>952</v>
      </c>
      <c r="AD202" s="136" t="s">
        <v>915</v>
      </c>
      <c r="AE202" s="136" t="s">
        <v>916</v>
      </c>
      <c r="AF202" s="136" t="s">
        <v>157</v>
      </c>
      <c r="AG202" s="136" t="s">
        <v>59</v>
      </c>
      <c r="AH202" s="138">
        <v>-130</v>
      </c>
      <c r="AI202" s="139" t="s">
        <v>58</v>
      </c>
      <c r="AJ202" s="139" t="s">
        <v>157</v>
      </c>
    </row>
    <row r="203" spans="1:36" ht="15.75" x14ac:dyDescent="0.25">
      <c r="A203" s="115">
        <v>1039</v>
      </c>
      <c r="B203" s="116" t="s">
        <v>36</v>
      </c>
      <c r="C203" s="117" t="s">
        <v>37</v>
      </c>
      <c r="D203" s="118" t="s">
        <v>36</v>
      </c>
      <c r="E203" s="119" t="s">
        <v>38</v>
      </c>
      <c r="F203" s="120" t="s">
        <v>39</v>
      </c>
      <c r="G203" s="118" t="s">
        <v>40</v>
      </c>
      <c r="H203" s="121" t="s">
        <v>41</v>
      </c>
      <c r="I203" s="120" t="s">
        <v>524</v>
      </c>
      <c r="J203" s="122" t="s">
        <v>525</v>
      </c>
      <c r="K203" s="123" t="s">
        <v>526</v>
      </c>
      <c r="L203" t="s">
        <v>192</v>
      </c>
      <c r="M203" s="124" t="s">
        <v>193</v>
      </c>
      <c r="N203" s="125" t="s">
        <v>194</v>
      </c>
      <c r="O203" s="126" t="s">
        <v>207</v>
      </c>
      <c r="P203" s="127" t="s">
        <v>1422</v>
      </c>
      <c r="Q203" s="128">
        <v>28.1</v>
      </c>
      <c r="R203" s="128">
        <v>28.1</v>
      </c>
      <c r="S203" s="129">
        <v>28.1</v>
      </c>
      <c r="T203" s="130" t="s">
        <v>1423</v>
      </c>
      <c r="U203" s="131">
        <v>45299</v>
      </c>
      <c r="V203" s="132">
        <v>45299</v>
      </c>
      <c r="W203" s="133">
        <v>5486</v>
      </c>
      <c r="X203" s="134" t="s">
        <v>1421</v>
      </c>
      <c r="Y203" s="135" t="s">
        <v>912</v>
      </c>
      <c r="Z203" s="128" t="s">
        <v>57</v>
      </c>
      <c r="AA203" s="128"/>
      <c r="AB203" s="136" t="s">
        <v>256</v>
      </c>
      <c r="AC203" s="137" t="s">
        <v>952</v>
      </c>
      <c r="AD203" s="136" t="s">
        <v>915</v>
      </c>
      <c r="AE203" s="136" t="s">
        <v>916</v>
      </c>
      <c r="AF203" s="136" t="s">
        <v>157</v>
      </c>
      <c r="AG203" s="136" t="s">
        <v>59</v>
      </c>
      <c r="AH203" s="138">
        <v>-28.1</v>
      </c>
      <c r="AI203" s="139" t="s">
        <v>58</v>
      </c>
      <c r="AJ203" s="139" t="s">
        <v>157</v>
      </c>
    </row>
    <row r="204" spans="1:36" ht="15.75" x14ac:dyDescent="0.25">
      <c r="A204" s="115">
        <v>1201</v>
      </c>
      <c r="B204" s="116" t="s">
        <v>36</v>
      </c>
      <c r="C204" s="117" t="s">
        <v>37</v>
      </c>
      <c r="D204" s="118" t="s">
        <v>36</v>
      </c>
      <c r="E204" s="119" t="s">
        <v>38</v>
      </c>
      <c r="F204" s="120" t="s">
        <v>39</v>
      </c>
      <c r="G204" s="118" t="s">
        <v>40</v>
      </c>
      <c r="H204" s="121" t="s">
        <v>41</v>
      </c>
      <c r="I204" s="120" t="s">
        <v>301</v>
      </c>
      <c r="J204" s="122" t="s">
        <v>302</v>
      </c>
      <c r="K204" s="123" t="s">
        <v>303</v>
      </c>
      <c r="L204" t="s">
        <v>192</v>
      </c>
      <c r="M204" s="124" t="s">
        <v>193</v>
      </c>
      <c r="N204" s="125" t="s">
        <v>194</v>
      </c>
      <c r="O204" s="126" t="s">
        <v>121</v>
      </c>
      <c r="P204" s="127" t="s">
        <v>1424</v>
      </c>
      <c r="Q204" s="128">
        <v>9.9</v>
      </c>
      <c r="R204" s="128">
        <v>9.9</v>
      </c>
      <c r="S204" s="129">
        <v>9.9</v>
      </c>
      <c r="T204" s="130" t="s">
        <v>1425</v>
      </c>
      <c r="U204" s="131">
        <v>45301</v>
      </c>
      <c r="V204" s="132">
        <v>45301</v>
      </c>
      <c r="W204" s="133">
        <v>9871</v>
      </c>
      <c r="X204" s="134" t="s">
        <v>1426</v>
      </c>
      <c r="Y204" s="135" t="s">
        <v>912</v>
      </c>
      <c r="Z204" s="128" t="s">
        <v>57</v>
      </c>
      <c r="AA204" s="128"/>
      <c r="AB204" s="136" t="s">
        <v>256</v>
      </c>
      <c r="AC204" s="137" t="s">
        <v>952</v>
      </c>
      <c r="AD204" s="136" t="s">
        <v>915</v>
      </c>
      <c r="AE204" s="136" t="s">
        <v>916</v>
      </c>
      <c r="AF204" s="136" t="s">
        <v>157</v>
      </c>
      <c r="AG204" s="136" t="s">
        <v>59</v>
      </c>
      <c r="AH204" s="138">
        <v>-9.9</v>
      </c>
      <c r="AI204" s="139" t="s">
        <v>58</v>
      </c>
      <c r="AJ204" s="139" t="s">
        <v>157</v>
      </c>
    </row>
    <row r="205" spans="1:36" ht="15.75" x14ac:dyDescent="0.25">
      <c r="A205" s="115">
        <v>1286</v>
      </c>
      <c r="B205" s="116" t="s">
        <v>36</v>
      </c>
      <c r="C205" s="117" t="s">
        <v>37</v>
      </c>
      <c r="D205" s="118" t="s">
        <v>36</v>
      </c>
      <c r="E205" s="119" t="s">
        <v>38</v>
      </c>
      <c r="F205" s="120" t="s">
        <v>39</v>
      </c>
      <c r="G205" s="118" t="s">
        <v>40</v>
      </c>
      <c r="H205" s="121" t="s">
        <v>41</v>
      </c>
      <c r="I205" s="120" t="s">
        <v>946</v>
      </c>
      <c r="J205" s="122" t="s">
        <v>947</v>
      </c>
      <c r="K205" s="123" t="s">
        <v>948</v>
      </c>
      <c r="L205" t="s">
        <v>192</v>
      </c>
      <c r="M205" s="124" t="s">
        <v>193</v>
      </c>
      <c r="N205" s="125" t="s">
        <v>194</v>
      </c>
      <c r="O205" s="126" t="s">
        <v>207</v>
      </c>
      <c r="P205" s="127" t="s">
        <v>1427</v>
      </c>
      <c r="Q205" s="128">
        <v>1308.18</v>
      </c>
      <c r="R205" s="128">
        <v>1308.18</v>
      </c>
      <c r="S205" s="129">
        <v>1308.18</v>
      </c>
      <c r="T205" s="130" t="s">
        <v>1428</v>
      </c>
      <c r="U205" s="131">
        <v>45301</v>
      </c>
      <c r="V205" s="132">
        <v>45301</v>
      </c>
      <c r="W205" s="133">
        <v>3085</v>
      </c>
      <c r="X205" s="134" t="s">
        <v>951</v>
      </c>
      <c r="Y205" s="135" t="s">
        <v>912</v>
      </c>
      <c r="Z205" s="128" t="s">
        <v>57</v>
      </c>
      <c r="AA205" s="128"/>
      <c r="AB205" s="136" t="s">
        <v>256</v>
      </c>
      <c r="AC205" s="137" t="s">
        <v>952</v>
      </c>
      <c r="AD205" s="136" t="s">
        <v>915</v>
      </c>
      <c r="AE205" s="136" t="s">
        <v>916</v>
      </c>
      <c r="AF205" s="136" t="s">
        <v>157</v>
      </c>
      <c r="AG205" s="136" t="s">
        <v>59</v>
      </c>
      <c r="AH205" s="138">
        <v>-1308.18</v>
      </c>
      <c r="AI205" s="139" t="s">
        <v>58</v>
      </c>
      <c r="AJ205" s="139" t="s">
        <v>157</v>
      </c>
    </row>
    <row r="206" spans="1:36" ht="15.75" x14ac:dyDescent="0.25">
      <c r="A206" s="115">
        <v>1287</v>
      </c>
      <c r="B206" s="116" t="s">
        <v>36</v>
      </c>
      <c r="C206" s="117" t="s">
        <v>37</v>
      </c>
      <c r="D206" s="118" t="s">
        <v>36</v>
      </c>
      <c r="E206" s="119" t="s">
        <v>38</v>
      </c>
      <c r="F206" s="120" t="s">
        <v>39</v>
      </c>
      <c r="G206" s="118" t="s">
        <v>40</v>
      </c>
      <c r="H206" s="121" t="s">
        <v>41</v>
      </c>
      <c r="I206" s="120" t="s">
        <v>524</v>
      </c>
      <c r="J206" s="122" t="s">
        <v>525</v>
      </c>
      <c r="K206" s="123" t="s">
        <v>526</v>
      </c>
      <c r="L206" t="s">
        <v>192</v>
      </c>
      <c r="M206" s="124" t="s">
        <v>193</v>
      </c>
      <c r="N206" s="125" t="s">
        <v>194</v>
      </c>
      <c r="O206" s="126" t="s">
        <v>207</v>
      </c>
      <c r="P206" s="127" t="s">
        <v>1429</v>
      </c>
      <c r="Q206" s="128">
        <v>8.3000000000000007</v>
      </c>
      <c r="R206" s="128">
        <v>8.3000000000000007</v>
      </c>
      <c r="S206" s="129">
        <v>8.3000000000000007</v>
      </c>
      <c r="T206" s="130" t="s">
        <v>1430</v>
      </c>
      <c r="U206" s="131">
        <v>45301</v>
      </c>
      <c r="V206" s="132">
        <v>45301</v>
      </c>
      <c r="W206" s="133">
        <v>5486</v>
      </c>
      <c r="X206" s="134" t="s">
        <v>1421</v>
      </c>
      <c r="Y206" s="135" t="s">
        <v>912</v>
      </c>
      <c r="Z206" s="128" t="s">
        <v>57</v>
      </c>
      <c r="AA206" s="128"/>
      <c r="AB206" s="136" t="s">
        <v>256</v>
      </c>
      <c r="AC206" s="137" t="s">
        <v>952</v>
      </c>
      <c r="AD206" s="136" t="s">
        <v>915</v>
      </c>
      <c r="AE206" s="136" t="s">
        <v>916</v>
      </c>
      <c r="AF206" s="136" t="s">
        <v>157</v>
      </c>
      <c r="AG206" s="136" t="s">
        <v>59</v>
      </c>
      <c r="AH206" s="138">
        <v>-8.3000000000000007</v>
      </c>
      <c r="AI206" s="139" t="s">
        <v>58</v>
      </c>
      <c r="AJ206" s="139" t="s">
        <v>157</v>
      </c>
    </row>
    <row r="207" spans="1:36" ht="15.75" x14ac:dyDescent="0.25">
      <c r="A207" s="115">
        <v>1357</v>
      </c>
      <c r="B207" s="116" t="s">
        <v>36</v>
      </c>
      <c r="C207" s="117" t="s">
        <v>37</v>
      </c>
      <c r="D207" s="118" t="s">
        <v>36</v>
      </c>
      <c r="E207" s="119" t="s">
        <v>38</v>
      </c>
      <c r="F207" s="140" t="s">
        <v>39</v>
      </c>
      <c r="G207" s="118" t="s">
        <v>40</v>
      </c>
      <c r="H207" s="121" t="s">
        <v>41</v>
      </c>
      <c r="I207" s="120" t="s">
        <v>301</v>
      </c>
      <c r="J207" s="122" t="s">
        <v>302</v>
      </c>
      <c r="K207" s="123" t="s">
        <v>303</v>
      </c>
      <c r="L207" t="s">
        <v>192</v>
      </c>
      <c r="M207" s="124" t="s">
        <v>193</v>
      </c>
      <c r="N207" s="125" t="s">
        <v>194</v>
      </c>
      <c r="O207" s="126" t="s">
        <v>1329</v>
      </c>
      <c r="P207" s="127" t="s">
        <v>1330</v>
      </c>
      <c r="Q207" s="128">
        <v>1980.6</v>
      </c>
      <c r="R207" s="128">
        <v>1980.6</v>
      </c>
      <c r="S207" s="129">
        <v>1980.6</v>
      </c>
      <c r="T207" s="130" t="s">
        <v>1431</v>
      </c>
      <c r="U207" s="131">
        <v>45302</v>
      </c>
      <c r="V207" s="132">
        <v>45302</v>
      </c>
      <c r="W207" s="133">
        <v>186</v>
      </c>
      <c r="X207" s="134" t="s">
        <v>258</v>
      </c>
      <c r="Y207" s="135" t="s">
        <v>912</v>
      </c>
      <c r="Z207" s="128" t="s">
        <v>57</v>
      </c>
      <c r="AA207" s="128"/>
      <c r="AB207" s="136" t="s">
        <v>256</v>
      </c>
      <c r="AC207" s="137" t="s">
        <v>952</v>
      </c>
      <c r="AD207" s="136" t="s">
        <v>915</v>
      </c>
      <c r="AE207" s="136" t="s">
        <v>916</v>
      </c>
      <c r="AF207" s="136" t="s">
        <v>157</v>
      </c>
      <c r="AG207" s="136" t="s">
        <v>59</v>
      </c>
      <c r="AH207" s="138">
        <v>-1980.6</v>
      </c>
      <c r="AI207" s="139" t="s">
        <v>58</v>
      </c>
      <c r="AJ207" s="139" t="s">
        <v>157</v>
      </c>
    </row>
    <row r="208" spans="1:36" ht="15.75" x14ac:dyDescent="0.25">
      <c r="A208" s="115">
        <v>1449</v>
      </c>
      <c r="B208" s="116" t="s">
        <v>36</v>
      </c>
      <c r="C208" s="117" t="s">
        <v>37</v>
      </c>
      <c r="D208" s="118" t="s">
        <v>36</v>
      </c>
      <c r="E208" s="119" t="s">
        <v>38</v>
      </c>
      <c r="F208" s="140" t="s">
        <v>39</v>
      </c>
      <c r="G208" s="118" t="s">
        <v>40</v>
      </c>
      <c r="H208" s="121" t="s">
        <v>41</v>
      </c>
      <c r="I208" s="120" t="s">
        <v>301</v>
      </c>
      <c r="J208" s="122" t="s">
        <v>302</v>
      </c>
      <c r="K208" s="123" t="s">
        <v>303</v>
      </c>
      <c r="L208" t="s">
        <v>192</v>
      </c>
      <c r="M208" s="124" t="s">
        <v>193</v>
      </c>
      <c r="N208" s="125" t="s">
        <v>194</v>
      </c>
      <c r="O208" s="126" t="s">
        <v>1329</v>
      </c>
      <c r="P208" s="127" t="s">
        <v>1330</v>
      </c>
      <c r="Q208" s="128">
        <v>1671</v>
      </c>
      <c r="R208" s="128">
        <v>1671</v>
      </c>
      <c r="S208" s="129">
        <v>1671</v>
      </c>
      <c r="T208" s="130" t="s">
        <v>1432</v>
      </c>
      <c r="U208" s="131">
        <v>45303</v>
      </c>
      <c r="V208" s="132">
        <v>45303</v>
      </c>
      <c r="W208" s="133">
        <v>186</v>
      </c>
      <c r="X208" s="134" t="s">
        <v>258</v>
      </c>
      <c r="Y208" s="135" t="s">
        <v>912</v>
      </c>
      <c r="Z208" s="128" t="s">
        <v>57</v>
      </c>
      <c r="AA208" s="128"/>
      <c r="AB208" s="136" t="s">
        <v>256</v>
      </c>
      <c r="AC208" s="137" t="s">
        <v>952</v>
      </c>
      <c r="AD208" s="136" t="s">
        <v>915</v>
      </c>
      <c r="AE208" s="136" t="s">
        <v>916</v>
      </c>
      <c r="AF208" s="136" t="s">
        <v>157</v>
      </c>
      <c r="AG208" s="136" t="s">
        <v>59</v>
      </c>
      <c r="AH208" s="138">
        <v>-1671</v>
      </c>
      <c r="AI208" s="139" t="s">
        <v>58</v>
      </c>
      <c r="AJ208" s="139" t="s">
        <v>157</v>
      </c>
    </row>
    <row r="209" spans="1:36" ht="15.75" x14ac:dyDescent="0.25">
      <c r="A209" s="115">
        <v>1492</v>
      </c>
      <c r="B209" s="116" t="s">
        <v>36</v>
      </c>
      <c r="C209" s="117" t="s">
        <v>37</v>
      </c>
      <c r="D209" s="118" t="s">
        <v>36</v>
      </c>
      <c r="E209" s="119" t="s">
        <v>38</v>
      </c>
      <c r="F209" s="140" t="s">
        <v>39</v>
      </c>
      <c r="G209" s="118" t="s">
        <v>40</v>
      </c>
      <c r="H209" s="121" t="s">
        <v>41</v>
      </c>
      <c r="I209" s="120" t="s">
        <v>524</v>
      </c>
      <c r="J209" s="122" t="s">
        <v>525</v>
      </c>
      <c r="K209" s="123" t="s">
        <v>526</v>
      </c>
      <c r="L209" t="s">
        <v>192</v>
      </c>
      <c r="M209" s="124" t="s">
        <v>193</v>
      </c>
      <c r="N209" s="125" t="s">
        <v>194</v>
      </c>
      <c r="O209" s="126" t="s">
        <v>207</v>
      </c>
      <c r="P209" s="127" t="s">
        <v>1433</v>
      </c>
      <c r="Q209" s="128">
        <v>250.83</v>
      </c>
      <c r="R209" s="128">
        <v>250.83</v>
      </c>
      <c r="S209" s="129">
        <v>250.83</v>
      </c>
      <c r="T209" s="130" t="s">
        <v>1434</v>
      </c>
      <c r="U209" s="131">
        <v>45305</v>
      </c>
      <c r="V209" s="132">
        <v>45305</v>
      </c>
      <c r="W209" s="133">
        <v>9464</v>
      </c>
      <c r="X209" s="134" t="s">
        <v>1435</v>
      </c>
      <c r="Y209" s="135" t="s">
        <v>912</v>
      </c>
      <c r="Z209" s="128" t="s">
        <v>57</v>
      </c>
      <c r="AA209" s="128"/>
      <c r="AB209" s="136" t="s">
        <v>256</v>
      </c>
      <c r="AC209" s="137" t="s">
        <v>952</v>
      </c>
      <c r="AD209" s="136" t="s">
        <v>915</v>
      </c>
      <c r="AE209" s="136" t="s">
        <v>916</v>
      </c>
      <c r="AF209" s="136" t="s">
        <v>157</v>
      </c>
      <c r="AG209" s="136" t="s">
        <v>59</v>
      </c>
      <c r="AH209" s="138">
        <v>-250.83</v>
      </c>
      <c r="AI209" s="139" t="s">
        <v>58</v>
      </c>
      <c r="AJ209" s="139" t="s">
        <v>157</v>
      </c>
    </row>
    <row r="210" spans="1:36" ht="15.75" x14ac:dyDescent="0.25">
      <c r="A210" s="115">
        <v>1498</v>
      </c>
      <c r="B210" s="116" t="s">
        <v>36</v>
      </c>
      <c r="C210" s="117" t="s">
        <v>37</v>
      </c>
      <c r="D210" s="118" t="s">
        <v>36</v>
      </c>
      <c r="E210" s="119" t="s">
        <v>38</v>
      </c>
      <c r="F210" s="120" t="s">
        <v>39</v>
      </c>
      <c r="G210" s="118" t="s">
        <v>40</v>
      </c>
      <c r="H210" s="121" t="s">
        <v>41</v>
      </c>
      <c r="I210" s="120" t="s">
        <v>524</v>
      </c>
      <c r="J210" s="122" t="s">
        <v>525</v>
      </c>
      <c r="K210" s="123" t="s">
        <v>526</v>
      </c>
      <c r="L210" t="s">
        <v>192</v>
      </c>
      <c r="M210" s="124" t="s">
        <v>193</v>
      </c>
      <c r="N210" s="125" t="s">
        <v>194</v>
      </c>
      <c r="O210" s="126" t="s">
        <v>207</v>
      </c>
      <c r="P210" s="127" t="s">
        <v>1436</v>
      </c>
      <c r="Q210" s="128">
        <v>13.5</v>
      </c>
      <c r="R210" s="128">
        <v>13.5</v>
      </c>
      <c r="S210" s="129">
        <v>13.5</v>
      </c>
      <c r="T210" s="130" t="s">
        <v>1437</v>
      </c>
      <c r="U210" s="131">
        <v>45305</v>
      </c>
      <c r="V210" s="132">
        <v>45305</v>
      </c>
      <c r="W210" s="133">
        <v>5486</v>
      </c>
      <c r="X210" s="134" t="s">
        <v>1421</v>
      </c>
      <c r="Y210" s="135" t="s">
        <v>912</v>
      </c>
      <c r="Z210" s="128" t="s">
        <v>57</v>
      </c>
      <c r="AA210" s="128"/>
      <c r="AB210" s="136" t="s">
        <v>256</v>
      </c>
      <c r="AC210" s="137" t="s">
        <v>952</v>
      </c>
      <c r="AD210" s="136" t="s">
        <v>915</v>
      </c>
      <c r="AE210" s="136" t="s">
        <v>916</v>
      </c>
      <c r="AF210" s="136" t="s">
        <v>157</v>
      </c>
      <c r="AG210" s="136" t="s">
        <v>59</v>
      </c>
      <c r="AH210" s="138">
        <v>-13.5</v>
      </c>
      <c r="AI210" s="139" t="s">
        <v>58</v>
      </c>
      <c r="AJ210" s="139" t="s">
        <v>157</v>
      </c>
    </row>
    <row r="211" spans="1:36" ht="15.75" x14ac:dyDescent="0.25">
      <c r="A211" s="115">
        <v>1499</v>
      </c>
      <c r="B211" s="116" t="s">
        <v>36</v>
      </c>
      <c r="C211" s="117" t="s">
        <v>37</v>
      </c>
      <c r="D211" s="118" t="s">
        <v>36</v>
      </c>
      <c r="E211" s="119" t="s">
        <v>38</v>
      </c>
      <c r="F211" s="120" t="s">
        <v>39</v>
      </c>
      <c r="G211" s="118" t="s">
        <v>40</v>
      </c>
      <c r="H211" s="121" t="s">
        <v>41</v>
      </c>
      <c r="I211" s="120" t="s">
        <v>524</v>
      </c>
      <c r="J211" s="122" t="s">
        <v>525</v>
      </c>
      <c r="K211" s="123" t="s">
        <v>526</v>
      </c>
      <c r="L211" t="s">
        <v>192</v>
      </c>
      <c r="M211" s="124" t="s">
        <v>193</v>
      </c>
      <c r="N211" s="125" t="s">
        <v>194</v>
      </c>
      <c r="O211" s="126" t="s">
        <v>207</v>
      </c>
      <c r="P211" s="127" t="s">
        <v>1438</v>
      </c>
      <c r="Q211" s="128">
        <v>14.8</v>
      </c>
      <c r="R211" s="128">
        <v>14.8</v>
      </c>
      <c r="S211" s="129">
        <v>14.8</v>
      </c>
      <c r="T211" s="130" t="s">
        <v>1439</v>
      </c>
      <c r="U211" s="131">
        <v>45305</v>
      </c>
      <c r="V211" s="132">
        <v>45305</v>
      </c>
      <c r="W211" s="133">
        <v>5486</v>
      </c>
      <c r="X211" s="134" t="s">
        <v>1421</v>
      </c>
      <c r="Y211" s="135" t="s">
        <v>912</v>
      </c>
      <c r="Z211" s="128" t="s">
        <v>57</v>
      </c>
      <c r="AA211" s="128"/>
      <c r="AB211" s="136" t="s">
        <v>256</v>
      </c>
      <c r="AC211" s="137" t="s">
        <v>952</v>
      </c>
      <c r="AD211" s="136" t="s">
        <v>915</v>
      </c>
      <c r="AE211" s="136" t="s">
        <v>916</v>
      </c>
      <c r="AF211" s="136" t="s">
        <v>157</v>
      </c>
      <c r="AG211" s="136" t="s">
        <v>59</v>
      </c>
      <c r="AH211" s="138">
        <v>-14.8</v>
      </c>
      <c r="AI211" s="139" t="s">
        <v>58</v>
      </c>
      <c r="AJ211" s="139" t="s">
        <v>157</v>
      </c>
    </row>
    <row r="212" spans="1:36" ht="15.75" x14ac:dyDescent="0.25">
      <c r="A212" s="115">
        <v>1524</v>
      </c>
      <c r="B212" s="116" t="s">
        <v>36</v>
      </c>
      <c r="C212" s="117" t="s">
        <v>37</v>
      </c>
      <c r="D212" s="118" t="s">
        <v>36</v>
      </c>
      <c r="E212" s="119" t="s">
        <v>38</v>
      </c>
      <c r="F212" s="120" t="s">
        <v>39</v>
      </c>
      <c r="G212" s="118" t="s">
        <v>40</v>
      </c>
      <c r="H212" s="121" t="s">
        <v>41</v>
      </c>
      <c r="I212" s="120" t="s">
        <v>301</v>
      </c>
      <c r="J212" s="122" t="s">
        <v>302</v>
      </c>
      <c r="K212" s="123" t="s">
        <v>303</v>
      </c>
      <c r="L212" t="s">
        <v>192</v>
      </c>
      <c r="M212" s="124" t="s">
        <v>193</v>
      </c>
      <c r="N212" s="125" t="s">
        <v>194</v>
      </c>
      <c r="O212" s="126" t="s">
        <v>1440</v>
      </c>
      <c r="P212" s="127" t="s">
        <v>1330</v>
      </c>
      <c r="Q212" s="128">
        <v>1021.35</v>
      </c>
      <c r="R212" s="128">
        <v>1021.35</v>
      </c>
      <c r="S212" s="129">
        <v>1021.35</v>
      </c>
      <c r="T212" s="130" t="s">
        <v>1441</v>
      </c>
      <c r="U212" s="131">
        <v>45306</v>
      </c>
      <c r="V212" s="132">
        <v>45306</v>
      </c>
      <c r="W212" s="133">
        <v>204</v>
      </c>
      <c r="X212" s="134" t="s">
        <v>1442</v>
      </c>
      <c r="Y212" s="135" t="s">
        <v>912</v>
      </c>
      <c r="Z212" s="128" t="s">
        <v>57</v>
      </c>
      <c r="AA212" s="128"/>
      <c r="AB212" s="136" t="s">
        <v>256</v>
      </c>
      <c r="AC212" s="137" t="s">
        <v>952</v>
      </c>
      <c r="AD212" s="136" t="s">
        <v>915</v>
      </c>
      <c r="AE212" s="136" t="s">
        <v>916</v>
      </c>
      <c r="AF212" s="136" t="s">
        <v>157</v>
      </c>
      <c r="AG212" s="136" t="s">
        <v>59</v>
      </c>
      <c r="AH212" s="138">
        <v>-1021.35</v>
      </c>
      <c r="AI212" s="139" t="s">
        <v>58</v>
      </c>
      <c r="AJ212" s="139" t="s">
        <v>157</v>
      </c>
    </row>
    <row r="213" spans="1:36" ht="15.75" x14ac:dyDescent="0.25">
      <c r="A213" s="115">
        <v>1570</v>
      </c>
      <c r="B213" s="116" t="s">
        <v>36</v>
      </c>
      <c r="C213" s="117" t="s">
        <v>37</v>
      </c>
      <c r="D213" s="118" t="s">
        <v>36</v>
      </c>
      <c r="E213" s="119" t="s">
        <v>38</v>
      </c>
      <c r="F213" s="140" t="s">
        <v>39</v>
      </c>
      <c r="G213" s="118" t="s">
        <v>40</v>
      </c>
      <c r="H213" s="121" t="s">
        <v>41</v>
      </c>
      <c r="I213" s="120" t="s">
        <v>524</v>
      </c>
      <c r="J213" s="122" t="s">
        <v>525</v>
      </c>
      <c r="K213" s="123" t="s">
        <v>526</v>
      </c>
      <c r="L213" t="s">
        <v>192</v>
      </c>
      <c r="M213" s="124" t="s">
        <v>193</v>
      </c>
      <c r="N213" s="125" t="s">
        <v>194</v>
      </c>
      <c r="O213" s="126" t="s">
        <v>207</v>
      </c>
      <c r="P213" s="127" t="s">
        <v>1443</v>
      </c>
      <c r="Q213" s="128">
        <v>139.43</v>
      </c>
      <c r="R213" s="128">
        <v>139.43</v>
      </c>
      <c r="S213" s="129">
        <v>139.43</v>
      </c>
      <c r="T213" s="130" t="s">
        <v>1444</v>
      </c>
      <c r="U213" s="131">
        <v>45306</v>
      </c>
      <c r="V213" s="132">
        <v>45306</v>
      </c>
      <c r="W213" s="133">
        <v>9971</v>
      </c>
      <c r="X213" s="134" t="s">
        <v>1445</v>
      </c>
      <c r="Y213" s="135" t="s">
        <v>912</v>
      </c>
      <c r="Z213" s="128" t="s">
        <v>57</v>
      </c>
      <c r="AA213" s="128"/>
      <c r="AB213" s="136" t="s">
        <v>256</v>
      </c>
      <c r="AC213" s="137" t="s">
        <v>952</v>
      </c>
      <c r="AD213" s="136" t="s">
        <v>915</v>
      </c>
      <c r="AE213" s="136" t="s">
        <v>916</v>
      </c>
      <c r="AF213" s="136" t="s">
        <v>157</v>
      </c>
      <c r="AG213" s="136" t="s">
        <v>59</v>
      </c>
      <c r="AH213" s="138">
        <v>-139.43</v>
      </c>
      <c r="AI213" s="139" t="s">
        <v>58</v>
      </c>
      <c r="AJ213" s="139" t="s">
        <v>157</v>
      </c>
    </row>
    <row r="214" spans="1:36" ht="15.75" x14ac:dyDescent="0.25">
      <c r="A214" s="115">
        <v>2078</v>
      </c>
      <c r="B214" s="116" t="s">
        <v>36</v>
      </c>
      <c r="C214" s="117" t="s">
        <v>37</v>
      </c>
      <c r="D214" s="118" t="s">
        <v>36</v>
      </c>
      <c r="E214" s="119" t="s">
        <v>38</v>
      </c>
      <c r="F214" s="140" t="s">
        <v>39</v>
      </c>
      <c r="G214" s="118" t="s">
        <v>40</v>
      </c>
      <c r="H214" s="121" t="s">
        <v>41</v>
      </c>
      <c r="I214" s="120" t="s">
        <v>524</v>
      </c>
      <c r="J214" s="122" t="s">
        <v>525</v>
      </c>
      <c r="K214" s="123" t="s">
        <v>526</v>
      </c>
      <c r="L214" t="s">
        <v>192</v>
      </c>
      <c r="M214" s="124" t="s">
        <v>193</v>
      </c>
      <c r="N214" s="125" t="s">
        <v>194</v>
      </c>
      <c r="O214" s="126" t="s">
        <v>207</v>
      </c>
      <c r="P214" s="127" t="s">
        <v>1446</v>
      </c>
      <c r="Q214" s="128">
        <v>266</v>
      </c>
      <c r="R214" s="128">
        <v>266</v>
      </c>
      <c r="S214" s="129">
        <v>266</v>
      </c>
      <c r="T214" s="130" t="s">
        <v>1447</v>
      </c>
      <c r="U214" s="131">
        <v>45310</v>
      </c>
      <c r="V214" s="132">
        <v>45310</v>
      </c>
      <c r="W214" s="133">
        <v>9464</v>
      </c>
      <c r="X214" s="134" t="s">
        <v>1435</v>
      </c>
      <c r="Y214" s="135" t="s">
        <v>912</v>
      </c>
      <c r="Z214" s="128" t="s">
        <v>57</v>
      </c>
      <c r="AA214" s="128"/>
      <c r="AB214" s="136" t="s">
        <v>256</v>
      </c>
      <c r="AC214" s="137" t="s">
        <v>952</v>
      </c>
      <c r="AD214" s="136" t="s">
        <v>915</v>
      </c>
      <c r="AE214" s="136" t="s">
        <v>916</v>
      </c>
      <c r="AF214" s="136" t="s">
        <v>157</v>
      </c>
      <c r="AG214" s="136" t="s">
        <v>59</v>
      </c>
      <c r="AH214" s="138">
        <v>-266</v>
      </c>
      <c r="AI214" s="139" t="s">
        <v>58</v>
      </c>
      <c r="AJ214" s="139" t="s">
        <v>157</v>
      </c>
    </row>
    <row r="215" spans="1:36" ht="15.75" x14ac:dyDescent="0.25">
      <c r="A215" s="115">
        <v>2079</v>
      </c>
      <c r="B215" s="116" t="s">
        <v>36</v>
      </c>
      <c r="C215" s="117" t="s">
        <v>37</v>
      </c>
      <c r="D215" s="118" t="s">
        <v>36</v>
      </c>
      <c r="E215" s="119" t="s">
        <v>38</v>
      </c>
      <c r="F215" s="140" t="s">
        <v>39</v>
      </c>
      <c r="G215" s="118" t="s">
        <v>40</v>
      </c>
      <c r="H215" s="121" t="s">
        <v>41</v>
      </c>
      <c r="I215" s="120" t="s">
        <v>524</v>
      </c>
      <c r="J215" s="122" t="s">
        <v>525</v>
      </c>
      <c r="K215" s="123" t="s">
        <v>526</v>
      </c>
      <c r="L215" t="s">
        <v>192</v>
      </c>
      <c r="M215" s="124" t="s">
        <v>193</v>
      </c>
      <c r="N215" s="125" t="s">
        <v>194</v>
      </c>
      <c r="O215" s="126" t="s">
        <v>207</v>
      </c>
      <c r="P215" s="127" t="s">
        <v>1448</v>
      </c>
      <c r="Q215" s="128">
        <v>268.11</v>
      </c>
      <c r="R215" s="128">
        <v>268.11</v>
      </c>
      <c r="S215" s="129">
        <v>268.11</v>
      </c>
      <c r="T215" s="130" t="s">
        <v>1449</v>
      </c>
      <c r="U215" s="131">
        <v>45310</v>
      </c>
      <c r="V215" s="132">
        <v>45310</v>
      </c>
      <c r="W215" s="133">
        <v>9464</v>
      </c>
      <c r="X215" s="134" t="s">
        <v>1435</v>
      </c>
      <c r="Y215" s="135" t="s">
        <v>912</v>
      </c>
      <c r="Z215" s="128" t="s">
        <v>57</v>
      </c>
      <c r="AA215" s="128"/>
      <c r="AB215" s="136" t="s">
        <v>256</v>
      </c>
      <c r="AC215" s="137" t="s">
        <v>952</v>
      </c>
      <c r="AD215" s="136" t="s">
        <v>915</v>
      </c>
      <c r="AE215" s="136" t="s">
        <v>916</v>
      </c>
      <c r="AF215" s="136" t="s">
        <v>157</v>
      </c>
      <c r="AG215" s="136" t="s">
        <v>59</v>
      </c>
      <c r="AH215" s="138">
        <v>-268.11</v>
      </c>
      <c r="AI215" s="139" t="s">
        <v>58</v>
      </c>
      <c r="AJ215" s="139" t="s">
        <v>157</v>
      </c>
    </row>
    <row r="216" spans="1:36" ht="15.75" x14ac:dyDescent="0.25">
      <c r="A216" s="115">
        <v>2103</v>
      </c>
      <c r="B216" s="116" t="s">
        <v>36</v>
      </c>
      <c r="C216" s="117" t="s">
        <v>37</v>
      </c>
      <c r="D216" s="118" t="s">
        <v>36</v>
      </c>
      <c r="E216" s="119" t="s">
        <v>38</v>
      </c>
      <c r="F216" s="120" t="s">
        <v>39</v>
      </c>
      <c r="G216" s="118" t="s">
        <v>40</v>
      </c>
      <c r="H216" s="121" t="s">
        <v>41</v>
      </c>
      <c r="I216" s="120" t="s">
        <v>524</v>
      </c>
      <c r="J216" s="122" t="s">
        <v>525</v>
      </c>
      <c r="K216" s="123" t="s">
        <v>526</v>
      </c>
      <c r="L216" t="s">
        <v>192</v>
      </c>
      <c r="M216" s="124" t="s">
        <v>193</v>
      </c>
      <c r="N216" s="125" t="s">
        <v>194</v>
      </c>
      <c r="O216" s="126" t="s">
        <v>207</v>
      </c>
      <c r="P216" s="127" t="s">
        <v>1450</v>
      </c>
      <c r="Q216" s="128">
        <v>14</v>
      </c>
      <c r="R216" s="128">
        <v>14</v>
      </c>
      <c r="S216" s="129">
        <v>14</v>
      </c>
      <c r="T216" s="130" t="s">
        <v>1451</v>
      </c>
      <c r="U216" s="131">
        <v>45310</v>
      </c>
      <c r="V216" s="132">
        <v>45310</v>
      </c>
      <c r="W216" s="133">
        <v>5486</v>
      </c>
      <c r="X216" s="134" t="s">
        <v>1421</v>
      </c>
      <c r="Y216" s="135" t="s">
        <v>912</v>
      </c>
      <c r="Z216" s="128" t="s">
        <v>57</v>
      </c>
      <c r="AA216" s="128"/>
      <c r="AB216" s="136" t="s">
        <v>256</v>
      </c>
      <c r="AC216" s="137" t="s">
        <v>952</v>
      </c>
      <c r="AD216" s="136" t="s">
        <v>915</v>
      </c>
      <c r="AE216" s="136" t="s">
        <v>916</v>
      </c>
      <c r="AF216" s="136" t="s">
        <v>157</v>
      </c>
      <c r="AG216" s="136" t="s">
        <v>59</v>
      </c>
      <c r="AH216" s="138">
        <v>-14</v>
      </c>
      <c r="AI216" s="139" t="s">
        <v>58</v>
      </c>
      <c r="AJ216" s="139" t="s">
        <v>157</v>
      </c>
    </row>
    <row r="217" spans="1:36" ht="15.75" x14ac:dyDescent="0.25">
      <c r="A217" s="115">
        <v>2151</v>
      </c>
      <c r="B217" s="116" t="s">
        <v>36</v>
      </c>
      <c r="C217" s="117" t="s">
        <v>37</v>
      </c>
      <c r="D217" s="118" t="s">
        <v>36</v>
      </c>
      <c r="E217" s="119" t="s">
        <v>38</v>
      </c>
      <c r="F217" s="120" t="s">
        <v>39</v>
      </c>
      <c r="G217" s="118" t="s">
        <v>40</v>
      </c>
      <c r="H217" s="121" t="s">
        <v>41</v>
      </c>
      <c r="I217" s="120" t="s">
        <v>42</v>
      </c>
      <c r="J217" s="122" t="s">
        <v>43</v>
      </c>
      <c r="K217" s="123" t="s">
        <v>44</v>
      </c>
      <c r="L217" t="s">
        <v>192</v>
      </c>
      <c r="M217" s="124" t="s">
        <v>193</v>
      </c>
      <c r="N217" s="125" t="s">
        <v>194</v>
      </c>
      <c r="O217" s="126" t="s">
        <v>207</v>
      </c>
      <c r="P217" s="127" t="s">
        <v>1452</v>
      </c>
      <c r="Q217" s="128">
        <v>260</v>
      </c>
      <c r="R217" s="128">
        <v>260</v>
      </c>
      <c r="S217" s="129">
        <v>260</v>
      </c>
      <c r="T217" s="130" t="s">
        <v>1453</v>
      </c>
      <c r="U217" s="131">
        <v>45311</v>
      </c>
      <c r="V217" s="132">
        <v>45311</v>
      </c>
      <c r="W217" s="133">
        <v>5486</v>
      </c>
      <c r="X217" s="134" t="s">
        <v>1421</v>
      </c>
      <c r="Y217" s="135" t="s">
        <v>912</v>
      </c>
      <c r="Z217" s="128" t="s">
        <v>57</v>
      </c>
      <c r="AA217" s="128"/>
      <c r="AB217" s="136" t="s">
        <v>256</v>
      </c>
      <c r="AC217" s="137" t="s">
        <v>952</v>
      </c>
      <c r="AD217" s="136" t="s">
        <v>915</v>
      </c>
      <c r="AE217" s="136" t="s">
        <v>916</v>
      </c>
      <c r="AF217" s="136" t="s">
        <v>157</v>
      </c>
      <c r="AG217" s="136" t="s">
        <v>59</v>
      </c>
      <c r="AH217" s="138">
        <v>-260</v>
      </c>
      <c r="AI217" s="139" t="s">
        <v>58</v>
      </c>
      <c r="AJ217" s="139" t="s">
        <v>157</v>
      </c>
    </row>
    <row r="218" spans="1:36" ht="15.75" x14ac:dyDescent="0.25">
      <c r="A218" s="115">
        <v>2161</v>
      </c>
      <c r="B218" s="116" t="s">
        <v>36</v>
      </c>
      <c r="C218" s="117" t="s">
        <v>37</v>
      </c>
      <c r="D218" s="118" t="s">
        <v>36</v>
      </c>
      <c r="E218" s="119" t="s">
        <v>38</v>
      </c>
      <c r="F218" s="120" t="s">
        <v>39</v>
      </c>
      <c r="G218" s="118" t="s">
        <v>40</v>
      </c>
      <c r="H218" s="121" t="s">
        <v>41</v>
      </c>
      <c r="I218" s="120" t="s">
        <v>301</v>
      </c>
      <c r="J218" s="122" t="s">
        <v>302</v>
      </c>
      <c r="K218" s="123" t="s">
        <v>303</v>
      </c>
      <c r="L218" t="s">
        <v>192</v>
      </c>
      <c r="M218" s="124" t="s">
        <v>193</v>
      </c>
      <c r="N218" s="125" t="s">
        <v>194</v>
      </c>
      <c r="O218" s="126" t="s">
        <v>929</v>
      </c>
      <c r="P218" s="127"/>
      <c r="Q218" s="128"/>
      <c r="R218" s="128"/>
      <c r="S218" s="129">
        <v>2287.38</v>
      </c>
      <c r="T218" s="130" t="s">
        <v>1327</v>
      </c>
      <c r="U218" s="131">
        <v>45313</v>
      </c>
      <c r="V218" s="132"/>
      <c r="W218" s="133"/>
      <c r="X218" s="134" t="s">
        <v>1046</v>
      </c>
      <c r="Y218" s="135" t="s">
        <v>912</v>
      </c>
      <c r="Z218" s="128" t="s">
        <v>96</v>
      </c>
      <c r="AA218" s="128" t="s">
        <v>1418</v>
      </c>
      <c r="AB218" s="136" t="s">
        <v>256</v>
      </c>
      <c r="AC218" s="137" t="s">
        <v>952</v>
      </c>
      <c r="AD218" s="136" t="s">
        <v>915</v>
      </c>
      <c r="AE218" s="136" t="s">
        <v>916</v>
      </c>
      <c r="AF218" s="136" t="s">
        <v>157</v>
      </c>
      <c r="AG218" s="136" t="s">
        <v>59</v>
      </c>
      <c r="AH218" s="138">
        <v>-2287.38</v>
      </c>
      <c r="AI218" s="139" t="s">
        <v>58</v>
      </c>
      <c r="AJ218" s="139" t="s">
        <v>157</v>
      </c>
    </row>
    <row r="219" spans="1:36" ht="15.75" x14ac:dyDescent="0.25">
      <c r="A219" s="115">
        <v>2249</v>
      </c>
      <c r="B219" s="116" t="s">
        <v>36</v>
      </c>
      <c r="C219" s="117" t="s">
        <v>37</v>
      </c>
      <c r="D219" s="118" t="s">
        <v>36</v>
      </c>
      <c r="E219" s="119" t="s">
        <v>38</v>
      </c>
      <c r="F219" s="120" t="s">
        <v>39</v>
      </c>
      <c r="G219" s="118" t="s">
        <v>40</v>
      </c>
      <c r="H219" s="121" t="s">
        <v>41</v>
      </c>
      <c r="I219" s="120" t="s">
        <v>524</v>
      </c>
      <c r="J219" s="122" t="s">
        <v>525</v>
      </c>
      <c r="K219" s="123" t="s">
        <v>526</v>
      </c>
      <c r="L219" t="s">
        <v>192</v>
      </c>
      <c r="M219" s="124" t="s">
        <v>193</v>
      </c>
      <c r="N219" s="125" t="s">
        <v>194</v>
      </c>
      <c r="O219" s="126" t="s">
        <v>207</v>
      </c>
      <c r="P219" s="127" t="s">
        <v>1454</v>
      </c>
      <c r="Q219" s="128">
        <v>12.6</v>
      </c>
      <c r="R219" s="128">
        <v>12.6</v>
      </c>
      <c r="S219" s="129">
        <v>12.6</v>
      </c>
      <c r="T219" s="130" t="s">
        <v>1455</v>
      </c>
      <c r="U219" s="131">
        <v>45313</v>
      </c>
      <c r="V219" s="132">
        <v>45313</v>
      </c>
      <c r="W219" s="133">
        <v>5486</v>
      </c>
      <c r="X219" s="134" t="s">
        <v>1421</v>
      </c>
      <c r="Y219" s="135" t="s">
        <v>912</v>
      </c>
      <c r="Z219" s="128" t="s">
        <v>57</v>
      </c>
      <c r="AA219" s="128"/>
      <c r="AB219" s="136" t="s">
        <v>256</v>
      </c>
      <c r="AC219" s="137" t="s">
        <v>952</v>
      </c>
      <c r="AD219" s="136" t="s">
        <v>915</v>
      </c>
      <c r="AE219" s="136" t="s">
        <v>916</v>
      </c>
      <c r="AF219" s="136" t="s">
        <v>157</v>
      </c>
      <c r="AG219" s="136" t="s">
        <v>59</v>
      </c>
      <c r="AH219" s="138">
        <v>-12.6</v>
      </c>
      <c r="AI219" s="139" t="s">
        <v>58</v>
      </c>
      <c r="AJ219" s="139" t="s">
        <v>157</v>
      </c>
    </row>
    <row r="220" spans="1:36" ht="15.75" x14ac:dyDescent="0.25">
      <c r="A220" s="115">
        <v>2531</v>
      </c>
      <c r="B220" s="116" t="s">
        <v>36</v>
      </c>
      <c r="C220" s="117" t="s">
        <v>37</v>
      </c>
      <c r="D220" s="118" t="s">
        <v>36</v>
      </c>
      <c r="E220" s="119" t="s">
        <v>38</v>
      </c>
      <c r="F220" s="120" t="s">
        <v>39</v>
      </c>
      <c r="G220" s="118" t="s">
        <v>40</v>
      </c>
      <c r="H220" s="121" t="s">
        <v>41</v>
      </c>
      <c r="I220" s="120" t="s">
        <v>524</v>
      </c>
      <c r="J220" s="122" t="s">
        <v>525</v>
      </c>
      <c r="K220" s="123" t="s">
        <v>526</v>
      </c>
      <c r="L220" t="s">
        <v>192</v>
      </c>
      <c r="M220" s="124" t="s">
        <v>193</v>
      </c>
      <c r="N220" s="125" t="s">
        <v>194</v>
      </c>
      <c r="O220" s="126" t="s">
        <v>207</v>
      </c>
      <c r="P220" s="127" t="s">
        <v>1456</v>
      </c>
      <c r="Q220" s="128">
        <v>9</v>
      </c>
      <c r="R220" s="128">
        <v>9</v>
      </c>
      <c r="S220" s="129">
        <v>9</v>
      </c>
      <c r="T220" s="130" t="s">
        <v>1457</v>
      </c>
      <c r="U220" s="131">
        <v>45315</v>
      </c>
      <c r="V220" s="132">
        <v>45315</v>
      </c>
      <c r="W220" s="133">
        <v>5486</v>
      </c>
      <c r="X220" s="134" t="s">
        <v>1421</v>
      </c>
      <c r="Y220" s="135" t="s">
        <v>912</v>
      </c>
      <c r="Z220" s="128" t="s">
        <v>57</v>
      </c>
      <c r="AA220" s="128"/>
      <c r="AB220" s="136" t="s">
        <v>256</v>
      </c>
      <c r="AC220" s="137" t="s">
        <v>952</v>
      </c>
      <c r="AD220" s="136" t="s">
        <v>915</v>
      </c>
      <c r="AE220" s="136" t="s">
        <v>916</v>
      </c>
      <c r="AF220" s="136" t="s">
        <v>157</v>
      </c>
      <c r="AG220" s="136" t="s">
        <v>59</v>
      </c>
      <c r="AH220" s="138">
        <v>-9</v>
      </c>
      <c r="AI220" s="139" t="s">
        <v>58</v>
      </c>
      <c r="AJ220" s="139" t="s">
        <v>157</v>
      </c>
    </row>
    <row r="221" spans="1:36" ht="15.75" x14ac:dyDescent="0.25">
      <c r="A221" s="115">
        <v>2532</v>
      </c>
      <c r="B221" s="116" t="s">
        <v>36</v>
      </c>
      <c r="C221" s="117" t="s">
        <v>37</v>
      </c>
      <c r="D221" s="118" t="s">
        <v>36</v>
      </c>
      <c r="E221" s="119" t="s">
        <v>38</v>
      </c>
      <c r="F221" s="120" t="s">
        <v>39</v>
      </c>
      <c r="G221" s="118" t="s">
        <v>40</v>
      </c>
      <c r="H221" s="121" t="s">
        <v>41</v>
      </c>
      <c r="I221" s="120" t="s">
        <v>524</v>
      </c>
      <c r="J221" s="122" t="s">
        <v>525</v>
      </c>
      <c r="K221" s="123" t="s">
        <v>526</v>
      </c>
      <c r="L221" t="s">
        <v>192</v>
      </c>
      <c r="M221" s="124" t="s">
        <v>193</v>
      </c>
      <c r="N221" s="125" t="s">
        <v>194</v>
      </c>
      <c r="O221" s="126" t="s">
        <v>207</v>
      </c>
      <c r="P221" s="127" t="s">
        <v>1458</v>
      </c>
      <c r="Q221" s="128">
        <v>9.3000000000000007</v>
      </c>
      <c r="R221" s="128">
        <v>9.3000000000000007</v>
      </c>
      <c r="S221" s="129">
        <v>9.3000000000000007</v>
      </c>
      <c r="T221" s="130" t="s">
        <v>1459</v>
      </c>
      <c r="U221" s="131">
        <v>45315</v>
      </c>
      <c r="V221" s="132">
        <v>45315</v>
      </c>
      <c r="W221" s="133">
        <v>5486</v>
      </c>
      <c r="X221" s="134" t="s">
        <v>1421</v>
      </c>
      <c r="Y221" s="135" t="s">
        <v>912</v>
      </c>
      <c r="Z221" s="128" t="s">
        <v>57</v>
      </c>
      <c r="AA221" s="128"/>
      <c r="AB221" s="136" t="s">
        <v>256</v>
      </c>
      <c r="AC221" s="137" t="s">
        <v>952</v>
      </c>
      <c r="AD221" s="136" t="s">
        <v>915</v>
      </c>
      <c r="AE221" s="136" t="s">
        <v>916</v>
      </c>
      <c r="AF221" s="136" t="s">
        <v>157</v>
      </c>
      <c r="AG221" s="136" t="s">
        <v>59</v>
      </c>
      <c r="AH221" s="138">
        <v>-9.3000000000000007</v>
      </c>
      <c r="AI221" s="139" t="s">
        <v>58</v>
      </c>
      <c r="AJ221" s="139" t="s">
        <v>157</v>
      </c>
    </row>
    <row r="222" spans="1:36" ht="15.75" x14ac:dyDescent="0.25">
      <c r="A222" s="115">
        <v>2535</v>
      </c>
      <c r="B222" s="116" t="s">
        <v>36</v>
      </c>
      <c r="C222" s="117" t="s">
        <v>37</v>
      </c>
      <c r="D222" s="118" t="s">
        <v>36</v>
      </c>
      <c r="E222" s="119" t="s">
        <v>38</v>
      </c>
      <c r="F222" s="120" t="s">
        <v>39</v>
      </c>
      <c r="G222" s="118" t="s">
        <v>40</v>
      </c>
      <c r="H222" s="121" t="s">
        <v>41</v>
      </c>
      <c r="I222" s="120" t="s">
        <v>301</v>
      </c>
      <c r="J222" s="122" t="s">
        <v>302</v>
      </c>
      <c r="K222" s="123" t="s">
        <v>303</v>
      </c>
      <c r="L222" t="s">
        <v>192</v>
      </c>
      <c r="M222" s="124" t="s">
        <v>193</v>
      </c>
      <c r="N222" s="125" t="s">
        <v>194</v>
      </c>
      <c r="O222" s="126" t="s">
        <v>929</v>
      </c>
      <c r="P222" s="127"/>
      <c r="Q222" s="128"/>
      <c r="R222" s="128"/>
      <c r="S222" s="129">
        <v>23.89</v>
      </c>
      <c r="T222" s="130" t="s">
        <v>1327</v>
      </c>
      <c r="U222" s="131">
        <v>45316</v>
      </c>
      <c r="V222" s="132"/>
      <c r="W222" s="133"/>
      <c r="X222" s="134" t="s">
        <v>1046</v>
      </c>
      <c r="Y222" s="135" t="s">
        <v>912</v>
      </c>
      <c r="Z222" s="128" t="s">
        <v>96</v>
      </c>
      <c r="AA222" s="128" t="s">
        <v>1418</v>
      </c>
      <c r="AB222" s="136" t="s">
        <v>256</v>
      </c>
      <c r="AC222" s="137" t="s">
        <v>952</v>
      </c>
      <c r="AD222" s="136" t="s">
        <v>915</v>
      </c>
      <c r="AE222" s="136" t="s">
        <v>916</v>
      </c>
      <c r="AF222" s="136" t="s">
        <v>157</v>
      </c>
      <c r="AG222" s="136" t="s">
        <v>59</v>
      </c>
      <c r="AH222" s="138">
        <v>-23.89</v>
      </c>
      <c r="AI222" s="139" t="s">
        <v>58</v>
      </c>
      <c r="AJ222" s="139" t="s">
        <v>157</v>
      </c>
    </row>
    <row r="223" spans="1:36" ht="15.75" x14ac:dyDescent="0.25">
      <c r="A223" s="115">
        <v>2536</v>
      </c>
      <c r="B223" s="116" t="s">
        <v>36</v>
      </c>
      <c r="C223" s="117" t="s">
        <v>37</v>
      </c>
      <c r="D223" s="118" t="s">
        <v>36</v>
      </c>
      <c r="E223" s="119" t="s">
        <v>38</v>
      </c>
      <c r="F223" s="120" t="s">
        <v>39</v>
      </c>
      <c r="G223" s="118" t="s">
        <v>40</v>
      </c>
      <c r="H223" s="121" t="s">
        <v>41</v>
      </c>
      <c r="I223" s="120" t="s">
        <v>301</v>
      </c>
      <c r="J223" s="122" t="s">
        <v>302</v>
      </c>
      <c r="K223" s="123" t="s">
        <v>303</v>
      </c>
      <c r="L223" t="s">
        <v>192</v>
      </c>
      <c r="M223" s="124" t="s">
        <v>193</v>
      </c>
      <c r="N223" s="125" t="s">
        <v>194</v>
      </c>
      <c r="O223" s="126" t="s">
        <v>929</v>
      </c>
      <c r="P223" s="127"/>
      <c r="Q223" s="128"/>
      <c r="R223" s="128"/>
      <c r="S223" s="129">
        <v>88.68</v>
      </c>
      <c r="T223" s="130" t="s">
        <v>1327</v>
      </c>
      <c r="U223" s="131">
        <v>45316</v>
      </c>
      <c r="V223" s="132"/>
      <c r="W223" s="133"/>
      <c r="X223" s="134" t="s">
        <v>1046</v>
      </c>
      <c r="Y223" s="135" t="s">
        <v>912</v>
      </c>
      <c r="Z223" s="128" t="s">
        <v>96</v>
      </c>
      <c r="AA223" s="128" t="s">
        <v>1418</v>
      </c>
      <c r="AB223" s="136" t="s">
        <v>256</v>
      </c>
      <c r="AC223" s="137" t="s">
        <v>952</v>
      </c>
      <c r="AD223" s="136" t="s">
        <v>915</v>
      </c>
      <c r="AE223" s="136" t="s">
        <v>916</v>
      </c>
      <c r="AF223" s="136" t="s">
        <v>157</v>
      </c>
      <c r="AG223" s="136" t="s">
        <v>59</v>
      </c>
      <c r="AH223" s="138">
        <v>-88.68</v>
      </c>
      <c r="AI223" s="139" t="s">
        <v>58</v>
      </c>
      <c r="AJ223" s="139" t="s">
        <v>157</v>
      </c>
    </row>
    <row r="224" spans="1:36" ht="15.75" x14ac:dyDescent="0.25">
      <c r="A224" s="115">
        <v>2568</v>
      </c>
      <c r="B224" s="116" t="s">
        <v>36</v>
      </c>
      <c r="C224" s="117" t="s">
        <v>37</v>
      </c>
      <c r="D224" s="118" t="s">
        <v>36</v>
      </c>
      <c r="E224" s="119" t="s">
        <v>38</v>
      </c>
      <c r="F224" s="120" t="s">
        <v>39</v>
      </c>
      <c r="G224" s="118" t="s">
        <v>40</v>
      </c>
      <c r="H224" s="121" t="s">
        <v>41</v>
      </c>
      <c r="I224" s="120" t="s">
        <v>301</v>
      </c>
      <c r="J224" s="122" t="s">
        <v>302</v>
      </c>
      <c r="K224" s="123" t="s">
        <v>303</v>
      </c>
      <c r="L224" t="s">
        <v>192</v>
      </c>
      <c r="M224" s="124" t="s">
        <v>193</v>
      </c>
      <c r="N224" s="125" t="s">
        <v>194</v>
      </c>
      <c r="O224" s="126" t="s">
        <v>1440</v>
      </c>
      <c r="P224" s="127" t="s">
        <v>1330</v>
      </c>
      <c r="Q224" s="128">
        <v>19.600000000000001</v>
      </c>
      <c r="R224" s="128">
        <v>19.600000000000001</v>
      </c>
      <c r="S224" s="129">
        <v>19.600000000000001</v>
      </c>
      <c r="T224" s="130" t="s">
        <v>1460</v>
      </c>
      <c r="U224" s="131">
        <v>45316</v>
      </c>
      <c r="V224" s="132">
        <v>45316</v>
      </c>
      <c r="W224" s="133">
        <v>204</v>
      </c>
      <c r="X224" s="134" t="s">
        <v>1442</v>
      </c>
      <c r="Y224" s="135" t="s">
        <v>912</v>
      </c>
      <c r="Z224" s="128" t="s">
        <v>57</v>
      </c>
      <c r="AA224" s="128"/>
      <c r="AB224" s="136" t="s">
        <v>256</v>
      </c>
      <c r="AC224" s="137" t="s">
        <v>952</v>
      </c>
      <c r="AD224" s="136" t="s">
        <v>915</v>
      </c>
      <c r="AE224" s="136" t="s">
        <v>916</v>
      </c>
      <c r="AF224" s="136" t="s">
        <v>157</v>
      </c>
      <c r="AG224" s="136" t="s">
        <v>59</v>
      </c>
      <c r="AH224" s="138">
        <v>-19.600000000000001</v>
      </c>
      <c r="AI224" s="139" t="s">
        <v>58</v>
      </c>
      <c r="AJ224" s="139" t="s">
        <v>157</v>
      </c>
    </row>
    <row r="225" spans="1:36" ht="15.75" x14ac:dyDescent="0.25">
      <c r="A225" s="115">
        <v>2616</v>
      </c>
      <c r="B225" s="116" t="s">
        <v>36</v>
      </c>
      <c r="C225" s="117" t="s">
        <v>37</v>
      </c>
      <c r="D225" s="118" t="s">
        <v>36</v>
      </c>
      <c r="E225" s="119" t="s">
        <v>38</v>
      </c>
      <c r="F225" s="140" t="s">
        <v>39</v>
      </c>
      <c r="G225" s="118" t="s">
        <v>40</v>
      </c>
      <c r="H225" s="121" t="s">
        <v>41</v>
      </c>
      <c r="I225" s="120" t="s">
        <v>301</v>
      </c>
      <c r="J225" s="122" t="s">
        <v>302</v>
      </c>
      <c r="K225" s="123" t="s">
        <v>303</v>
      </c>
      <c r="L225" t="s">
        <v>192</v>
      </c>
      <c r="M225" s="124" t="s">
        <v>193</v>
      </c>
      <c r="N225" s="125" t="s">
        <v>194</v>
      </c>
      <c r="O225" s="126" t="s">
        <v>1329</v>
      </c>
      <c r="P225" s="127" t="s">
        <v>1330</v>
      </c>
      <c r="Q225" s="128">
        <v>175.25</v>
      </c>
      <c r="R225" s="128">
        <v>175.25</v>
      </c>
      <c r="S225" s="129">
        <v>175.25</v>
      </c>
      <c r="T225" s="130" t="s">
        <v>1461</v>
      </c>
      <c r="U225" s="131">
        <v>45316</v>
      </c>
      <c r="V225" s="132">
        <v>45316</v>
      </c>
      <c r="W225" s="133">
        <v>186</v>
      </c>
      <c r="X225" s="134" t="s">
        <v>258</v>
      </c>
      <c r="Y225" s="135" t="s">
        <v>912</v>
      </c>
      <c r="Z225" s="128" t="s">
        <v>57</v>
      </c>
      <c r="AA225" s="128"/>
      <c r="AB225" s="136" t="s">
        <v>256</v>
      </c>
      <c r="AC225" s="137" t="s">
        <v>952</v>
      </c>
      <c r="AD225" s="136" t="s">
        <v>915</v>
      </c>
      <c r="AE225" s="136" t="s">
        <v>916</v>
      </c>
      <c r="AF225" s="136" t="s">
        <v>157</v>
      </c>
      <c r="AG225" s="136" t="s">
        <v>59</v>
      </c>
      <c r="AH225" s="138">
        <v>-175.25</v>
      </c>
      <c r="AI225" s="139" t="s">
        <v>58</v>
      </c>
      <c r="AJ225" s="139" t="s">
        <v>157</v>
      </c>
    </row>
    <row r="226" spans="1:36" ht="15.75" x14ac:dyDescent="0.25">
      <c r="A226" s="115">
        <v>2991</v>
      </c>
      <c r="B226" s="116" t="s">
        <v>36</v>
      </c>
      <c r="C226" s="117" t="s">
        <v>37</v>
      </c>
      <c r="D226" s="118" t="s">
        <v>36</v>
      </c>
      <c r="E226" s="119" t="s">
        <v>38</v>
      </c>
      <c r="F226" s="120" t="s">
        <v>39</v>
      </c>
      <c r="G226" s="118" t="s">
        <v>40</v>
      </c>
      <c r="H226" s="121" t="s">
        <v>41</v>
      </c>
      <c r="I226" s="120" t="s">
        <v>301</v>
      </c>
      <c r="J226" s="122" t="s">
        <v>302</v>
      </c>
      <c r="K226" s="123" t="s">
        <v>303</v>
      </c>
      <c r="L226" t="s">
        <v>192</v>
      </c>
      <c r="M226" s="124" t="s">
        <v>193</v>
      </c>
      <c r="N226" s="125" t="s">
        <v>194</v>
      </c>
      <c r="O226" s="126" t="s">
        <v>929</v>
      </c>
      <c r="P226" s="127"/>
      <c r="Q226" s="128"/>
      <c r="R226" s="128"/>
      <c r="S226" s="129">
        <v>932.14</v>
      </c>
      <c r="T226" s="130" t="s">
        <v>1327</v>
      </c>
      <c r="U226" s="131">
        <v>45321</v>
      </c>
      <c r="V226" s="132"/>
      <c r="W226" s="133"/>
      <c r="X226" s="134" t="s">
        <v>1046</v>
      </c>
      <c r="Y226" s="135" t="s">
        <v>912</v>
      </c>
      <c r="Z226" s="128" t="s">
        <v>96</v>
      </c>
      <c r="AA226" s="128" t="s">
        <v>1418</v>
      </c>
      <c r="AB226" s="136" t="s">
        <v>256</v>
      </c>
      <c r="AC226" s="137" t="s">
        <v>952</v>
      </c>
      <c r="AD226" s="136" t="s">
        <v>915</v>
      </c>
      <c r="AE226" s="136" t="s">
        <v>916</v>
      </c>
      <c r="AF226" s="136" t="s">
        <v>157</v>
      </c>
      <c r="AG226" s="136" t="s">
        <v>59</v>
      </c>
      <c r="AH226" s="138">
        <v>-932.14</v>
      </c>
      <c r="AI226" s="139" t="s">
        <v>58</v>
      </c>
      <c r="AJ226" s="139" t="s">
        <v>157</v>
      </c>
    </row>
    <row r="227" spans="1:36" ht="15.75" x14ac:dyDescent="0.25">
      <c r="A227" s="115">
        <v>3922</v>
      </c>
      <c r="B227" s="116" t="s">
        <v>36</v>
      </c>
      <c r="C227" s="117" t="s">
        <v>37</v>
      </c>
      <c r="D227" s="118" t="s">
        <v>36</v>
      </c>
      <c r="E227" s="119" t="s">
        <v>38</v>
      </c>
      <c r="F227" s="120" t="s">
        <v>39</v>
      </c>
      <c r="G227" s="118" t="s">
        <v>40</v>
      </c>
      <c r="H227" s="121" t="s">
        <v>41</v>
      </c>
      <c r="I227" s="120" t="s">
        <v>301</v>
      </c>
      <c r="J227" s="122" t="s">
        <v>302</v>
      </c>
      <c r="K227" s="123" t="s">
        <v>303</v>
      </c>
      <c r="L227" t="s">
        <v>192</v>
      </c>
      <c r="M227" s="124" t="s">
        <v>193</v>
      </c>
      <c r="N227" s="125" t="s">
        <v>194</v>
      </c>
      <c r="O227" s="126" t="s">
        <v>929</v>
      </c>
      <c r="P227" s="127"/>
      <c r="Q227" s="128"/>
      <c r="R227" s="128"/>
      <c r="S227" s="129">
        <v>792.43</v>
      </c>
      <c r="T227" s="130" t="s">
        <v>1327</v>
      </c>
      <c r="U227" s="131">
        <v>45324</v>
      </c>
      <c r="V227" s="132"/>
      <c r="W227" s="133"/>
      <c r="X227" s="134" t="s">
        <v>1046</v>
      </c>
      <c r="Y227" s="135" t="s">
        <v>912</v>
      </c>
      <c r="Z227" s="128" t="s">
        <v>96</v>
      </c>
      <c r="AA227" s="128" t="s">
        <v>1418</v>
      </c>
      <c r="AB227" s="136" t="s">
        <v>256</v>
      </c>
      <c r="AC227" s="137" t="s">
        <v>952</v>
      </c>
      <c r="AD227" s="136" t="s">
        <v>915</v>
      </c>
      <c r="AE227" s="136" t="s">
        <v>916</v>
      </c>
      <c r="AF227" s="136" t="s">
        <v>157</v>
      </c>
      <c r="AG227" s="136" t="s">
        <v>59</v>
      </c>
      <c r="AH227" s="138">
        <v>-792.43</v>
      </c>
      <c r="AI227" s="139" t="s">
        <v>58</v>
      </c>
      <c r="AJ227" s="139" t="s">
        <v>157</v>
      </c>
    </row>
    <row r="228" spans="1:36" ht="15.75" x14ac:dyDescent="0.25">
      <c r="A228" s="115">
        <v>4093</v>
      </c>
      <c r="B228" s="116" t="s">
        <v>36</v>
      </c>
      <c r="C228" s="117" t="s">
        <v>37</v>
      </c>
      <c r="D228" s="118" t="s">
        <v>36</v>
      </c>
      <c r="E228" s="119" t="s">
        <v>38</v>
      </c>
      <c r="F228" s="120" t="s">
        <v>39</v>
      </c>
      <c r="G228" s="118" t="s">
        <v>40</v>
      </c>
      <c r="H228" s="121" t="s">
        <v>41</v>
      </c>
      <c r="I228" s="120" t="s">
        <v>42</v>
      </c>
      <c r="J228" s="122" t="s">
        <v>43</v>
      </c>
      <c r="K228" s="123" t="s">
        <v>44</v>
      </c>
      <c r="L228" t="s">
        <v>192</v>
      </c>
      <c r="M228" s="124" t="s">
        <v>193</v>
      </c>
      <c r="N228" s="125" t="s">
        <v>194</v>
      </c>
      <c r="O228" s="126" t="s">
        <v>207</v>
      </c>
      <c r="P228" s="127" t="s">
        <v>1462</v>
      </c>
      <c r="Q228" s="128">
        <v>130</v>
      </c>
      <c r="R228" s="128">
        <v>130</v>
      </c>
      <c r="S228" s="129">
        <v>130</v>
      </c>
      <c r="T228" s="130" t="s">
        <v>1463</v>
      </c>
      <c r="U228" s="131">
        <v>45326</v>
      </c>
      <c r="V228" s="132">
        <v>45326</v>
      </c>
      <c r="W228" s="133">
        <v>5486</v>
      </c>
      <c r="X228" s="134" t="s">
        <v>1421</v>
      </c>
      <c r="Y228" s="135" t="s">
        <v>912</v>
      </c>
      <c r="Z228" s="128" t="s">
        <v>57</v>
      </c>
      <c r="AA228" s="128"/>
      <c r="AB228" s="136" t="s">
        <v>256</v>
      </c>
      <c r="AC228" s="137" t="s">
        <v>952</v>
      </c>
      <c r="AD228" s="136" t="s">
        <v>915</v>
      </c>
      <c r="AE228" s="136" t="s">
        <v>916</v>
      </c>
      <c r="AF228" s="136" t="s">
        <v>157</v>
      </c>
      <c r="AG228" s="136" t="s">
        <v>59</v>
      </c>
      <c r="AH228" s="138">
        <v>-130</v>
      </c>
      <c r="AI228" s="139" t="s">
        <v>58</v>
      </c>
      <c r="AJ228" s="139" t="s">
        <v>157</v>
      </c>
    </row>
    <row r="229" spans="1:36" ht="15.75" x14ac:dyDescent="0.25">
      <c r="A229" s="115">
        <v>4252</v>
      </c>
      <c r="B229" s="116" t="s">
        <v>36</v>
      </c>
      <c r="C229" s="117" t="s">
        <v>37</v>
      </c>
      <c r="D229" s="118" t="s">
        <v>36</v>
      </c>
      <c r="E229" s="119" t="s">
        <v>38</v>
      </c>
      <c r="F229" s="120" t="s">
        <v>39</v>
      </c>
      <c r="G229" s="118" t="s">
        <v>40</v>
      </c>
      <c r="H229" s="121" t="s">
        <v>41</v>
      </c>
      <c r="I229" s="120" t="s">
        <v>524</v>
      </c>
      <c r="J229" s="122" t="s">
        <v>525</v>
      </c>
      <c r="K229" s="123" t="s">
        <v>526</v>
      </c>
      <c r="L229" t="s">
        <v>192</v>
      </c>
      <c r="M229" s="124" t="s">
        <v>193</v>
      </c>
      <c r="N229" s="125" t="s">
        <v>194</v>
      </c>
      <c r="O229" s="126" t="s">
        <v>207</v>
      </c>
      <c r="P229" s="127" t="s">
        <v>1464</v>
      </c>
      <c r="Q229" s="128">
        <v>25.4</v>
      </c>
      <c r="R229" s="128">
        <v>25.4</v>
      </c>
      <c r="S229" s="129">
        <v>25.4</v>
      </c>
      <c r="T229" s="130" t="s">
        <v>1465</v>
      </c>
      <c r="U229" s="131">
        <v>45327</v>
      </c>
      <c r="V229" s="132">
        <v>45327</v>
      </c>
      <c r="W229" s="133">
        <v>5486</v>
      </c>
      <c r="X229" s="134" t="s">
        <v>1421</v>
      </c>
      <c r="Y229" s="135" t="s">
        <v>912</v>
      </c>
      <c r="Z229" s="128" t="s">
        <v>57</v>
      </c>
      <c r="AA229" s="128"/>
      <c r="AB229" s="136" t="s">
        <v>256</v>
      </c>
      <c r="AC229" s="137" t="s">
        <v>952</v>
      </c>
      <c r="AD229" s="136" t="s">
        <v>915</v>
      </c>
      <c r="AE229" s="136" t="s">
        <v>916</v>
      </c>
      <c r="AF229" s="136" t="s">
        <v>157</v>
      </c>
      <c r="AG229" s="136" t="s">
        <v>59</v>
      </c>
      <c r="AH229" s="138">
        <v>-25.4</v>
      </c>
      <c r="AI229" s="139" t="s">
        <v>58</v>
      </c>
      <c r="AJ229" s="139" t="s">
        <v>157</v>
      </c>
    </row>
    <row r="230" spans="1:36" ht="15.75" x14ac:dyDescent="0.25">
      <c r="A230" s="115">
        <v>4269</v>
      </c>
      <c r="B230" s="116" t="s">
        <v>36</v>
      </c>
      <c r="C230" s="117" t="s">
        <v>37</v>
      </c>
      <c r="D230" s="118" t="s">
        <v>36</v>
      </c>
      <c r="E230" s="119" t="s">
        <v>38</v>
      </c>
      <c r="F230" s="120" t="s">
        <v>39</v>
      </c>
      <c r="G230" s="118" t="s">
        <v>40</v>
      </c>
      <c r="H230" s="121" t="s">
        <v>41</v>
      </c>
      <c r="I230" s="120" t="s">
        <v>524</v>
      </c>
      <c r="J230" s="122" t="s">
        <v>525</v>
      </c>
      <c r="K230" s="123" t="s">
        <v>526</v>
      </c>
      <c r="L230" t="s">
        <v>192</v>
      </c>
      <c r="M230" s="124" t="s">
        <v>193</v>
      </c>
      <c r="N230" s="125" t="s">
        <v>194</v>
      </c>
      <c r="O230" s="126" t="s">
        <v>207</v>
      </c>
      <c r="P230" s="127" t="s">
        <v>1466</v>
      </c>
      <c r="Q230" s="128">
        <v>89</v>
      </c>
      <c r="R230" s="128">
        <v>89</v>
      </c>
      <c r="S230" s="129">
        <v>89</v>
      </c>
      <c r="T230" s="130" t="s">
        <v>1467</v>
      </c>
      <c r="U230" s="131">
        <v>45328</v>
      </c>
      <c r="V230" s="132">
        <v>45328</v>
      </c>
      <c r="W230" s="133">
        <v>10536</v>
      </c>
      <c r="X230" s="134" t="s">
        <v>1468</v>
      </c>
      <c r="Y230" s="135" t="s">
        <v>912</v>
      </c>
      <c r="Z230" s="128" t="s">
        <v>57</v>
      </c>
      <c r="AA230" s="128"/>
      <c r="AB230" s="136" t="s">
        <v>256</v>
      </c>
      <c r="AC230" s="137" t="s">
        <v>952</v>
      </c>
      <c r="AD230" s="136" t="s">
        <v>915</v>
      </c>
      <c r="AE230" s="136" t="s">
        <v>916</v>
      </c>
      <c r="AF230" s="136" t="s">
        <v>157</v>
      </c>
      <c r="AG230" s="136" t="s">
        <v>59</v>
      </c>
      <c r="AH230" s="138">
        <v>-89</v>
      </c>
      <c r="AI230" s="139" t="s">
        <v>58</v>
      </c>
      <c r="AJ230" s="139" t="s">
        <v>157</v>
      </c>
    </row>
    <row r="231" spans="1:36" ht="15.75" x14ac:dyDescent="0.25">
      <c r="A231" s="115">
        <v>4310</v>
      </c>
      <c r="B231" s="116" t="s">
        <v>36</v>
      </c>
      <c r="C231" s="117" t="s">
        <v>37</v>
      </c>
      <c r="D231" s="118" t="s">
        <v>36</v>
      </c>
      <c r="E231" s="119" t="s">
        <v>38</v>
      </c>
      <c r="F231" s="120" t="s">
        <v>39</v>
      </c>
      <c r="G231" s="118" t="s">
        <v>40</v>
      </c>
      <c r="H231" s="121" t="s">
        <v>41</v>
      </c>
      <c r="I231" s="120" t="s">
        <v>524</v>
      </c>
      <c r="J231" s="122" t="s">
        <v>525</v>
      </c>
      <c r="K231" s="123" t="s">
        <v>526</v>
      </c>
      <c r="L231" t="s">
        <v>192</v>
      </c>
      <c r="M231" s="124" t="s">
        <v>193</v>
      </c>
      <c r="N231" s="125" t="s">
        <v>194</v>
      </c>
      <c r="O231" s="126" t="s">
        <v>207</v>
      </c>
      <c r="P231" s="127" t="s">
        <v>1469</v>
      </c>
      <c r="Q231" s="128">
        <v>13</v>
      </c>
      <c r="R231" s="128">
        <v>13</v>
      </c>
      <c r="S231" s="129">
        <v>13</v>
      </c>
      <c r="T231" s="130" t="s">
        <v>1470</v>
      </c>
      <c r="U231" s="131">
        <v>45328</v>
      </c>
      <c r="V231" s="132">
        <v>45328</v>
      </c>
      <c r="W231" s="133">
        <v>3003</v>
      </c>
      <c r="X231" s="134" t="s">
        <v>1334</v>
      </c>
      <c r="Y231" s="135" t="s">
        <v>912</v>
      </c>
      <c r="Z231" s="128" t="s">
        <v>57</v>
      </c>
      <c r="AA231" s="128"/>
      <c r="AB231" s="136" t="s">
        <v>256</v>
      </c>
      <c r="AC231" s="137" t="s">
        <v>952</v>
      </c>
      <c r="AD231" s="136" t="s">
        <v>915</v>
      </c>
      <c r="AE231" s="136" t="s">
        <v>916</v>
      </c>
      <c r="AF231" s="136" t="s">
        <v>157</v>
      </c>
      <c r="AG231" s="136" t="s">
        <v>59</v>
      </c>
      <c r="AH231" s="138">
        <v>-13</v>
      </c>
      <c r="AI231" s="139" t="s">
        <v>58</v>
      </c>
      <c r="AJ231" s="139" t="s">
        <v>157</v>
      </c>
    </row>
    <row r="232" spans="1:36" ht="15.75" x14ac:dyDescent="0.25">
      <c r="A232" s="115">
        <v>4400</v>
      </c>
      <c r="B232" s="116" t="s">
        <v>36</v>
      </c>
      <c r="C232" s="117" t="s">
        <v>37</v>
      </c>
      <c r="D232" s="118" t="s">
        <v>36</v>
      </c>
      <c r="E232" s="119" t="s">
        <v>38</v>
      </c>
      <c r="F232" s="120" t="s">
        <v>39</v>
      </c>
      <c r="G232" s="118" t="s">
        <v>40</v>
      </c>
      <c r="H232" s="121" t="s">
        <v>41</v>
      </c>
      <c r="I232" s="120" t="s">
        <v>301</v>
      </c>
      <c r="J232" s="122" t="s">
        <v>302</v>
      </c>
      <c r="K232" s="123" t="s">
        <v>303</v>
      </c>
      <c r="L232" t="s">
        <v>192</v>
      </c>
      <c r="M232" s="124" t="s">
        <v>193</v>
      </c>
      <c r="N232" s="125" t="s">
        <v>194</v>
      </c>
      <c r="O232" s="126" t="s">
        <v>929</v>
      </c>
      <c r="P232" s="127"/>
      <c r="Q232" s="128"/>
      <c r="R232" s="128"/>
      <c r="S232" s="129">
        <v>1805.07</v>
      </c>
      <c r="T232" s="130" t="s">
        <v>1327</v>
      </c>
      <c r="U232" s="131">
        <v>45329</v>
      </c>
      <c r="V232" s="132"/>
      <c r="W232" s="133"/>
      <c r="X232" s="134" t="s">
        <v>1046</v>
      </c>
      <c r="Y232" s="135" t="s">
        <v>912</v>
      </c>
      <c r="Z232" s="128" t="s">
        <v>96</v>
      </c>
      <c r="AA232" s="128" t="s">
        <v>1418</v>
      </c>
      <c r="AB232" s="136" t="s">
        <v>256</v>
      </c>
      <c r="AC232" s="137" t="s">
        <v>952</v>
      </c>
      <c r="AD232" s="136" t="s">
        <v>915</v>
      </c>
      <c r="AE232" s="136" t="s">
        <v>916</v>
      </c>
      <c r="AF232" s="136" t="s">
        <v>157</v>
      </c>
      <c r="AG232" s="136" t="s">
        <v>59</v>
      </c>
      <c r="AH232" s="138">
        <v>-1805.07</v>
      </c>
      <c r="AI232" s="139" t="s">
        <v>58</v>
      </c>
      <c r="AJ232" s="139" t="s">
        <v>157</v>
      </c>
    </row>
    <row r="233" spans="1:36" ht="15.75" x14ac:dyDescent="0.25">
      <c r="A233" s="115">
        <v>4415</v>
      </c>
      <c r="B233" s="116" t="s">
        <v>36</v>
      </c>
      <c r="C233" s="117" t="s">
        <v>37</v>
      </c>
      <c r="D233" s="118" t="s">
        <v>36</v>
      </c>
      <c r="E233" s="119" t="s">
        <v>38</v>
      </c>
      <c r="F233" s="120" t="s">
        <v>39</v>
      </c>
      <c r="G233" s="118" t="s">
        <v>40</v>
      </c>
      <c r="H233" s="121" t="s">
        <v>41</v>
      </c>
      <c r="I233" s="120" t="s">
        <v>1319</v>
      </c>
      <c r="J233" s="122" t="s">
        <v>1320</v>
      </c>
      <c r="K233" s="123" t="s">
        <v>1321</v>
      </c>
      <c r="L233" t="s">
        <v>192</v>
      </c>
      <c r="M233" s="124" t="s">
        <v>193</v>
      </c>
      <c r="N233" s="125" t="s">
        <v>194</v>
      </c>
      <c r="O233" s="126" t="s">
        <v>207</v>
      </c>
      <c r="P233" s="127" t="s">
        <v>1471</v>
      </c>
      <c r="Q233" s="128">
        <v>50</v>
      </c>
      <c r="R233" s="128">
        <v>50</v>
      </c>
      <c r="S233" s="129">
        <v>50</v>
      </c>
      <c r="T233" s="130" t="s">
        <v>1472</v>
      </c>
      <c r="U233" s="131">
        <v>45329</v>
      </c>
      <c r="V233" s="132">
        <v>45329</v>
      </c>
      <c r="W233" s="133">
        <v>8252</v>
      </c>
      <c r="X233" s="134" t="s">
        <v>1473</v>
      </c>
      <c r="Y233" s="135" t="s">
        <v>912</v>
      </c>
      <c r="Z233" s="128" t="s">
        <v>57</v>
      </c>
      <c r="AA233" s="128"/>
      <c r="AB233" s="136" t="s">
        <v>256</v>
      </c>
      <c r="AC233" s="137" t="s">
        <v>952</v>
      </c>
      <c r="AD233" s="136" t="s">
        <v>915</v>
      </c>
      <c r="AE233" s="136" t="s">
        <v>916</v>
      </c>
      <c r="AF233" s="136" t="s">
        <v>157</v>
      </c>
      <c r="AG233" s="136" t="s">
        <v>59</v>
      </c>
      <c r="AH233" s="138">
        <v>-50</v>
      </c>
      <c r="AI233" s="139" t="s">
        <v>58</v>
      </c>
      <c r="AJ233" s="139" t="s">
        <v>157</v>
      </c>
    </row>
    <row r="234" spans="1:36" ht="15.75" x14ac:dyDescent="0.25">
      <c r="A234" s="115">
        <v>4826</v>
      </c>
      <c r="B234" s="116" t="s">
        <v>36</v>
      </c>
      <c r="C234" s="117" t="s">
        <v>37</v>
      </c>
      <c r="D234" s="118" t="s">
        <v>36</v>
      </c>
      <c r="E234" s="119" t="s">
        <v>38</v>
      </c>
      <c r="F234" s="120" t="s">
        <v>39</v>
      </c>
      <c r="G234" s="118" t="s">
        <v>40</v>
      </c>
      <c r="H234" s="121" t="s">
        <v>41</v>
      </c>
      <c r="I234" s="120" t="s">
        <v>946</v>
      </c>
      <c r="J234" s="122" t="s">
        <v>947</v>
      </c>
      <c r="K234" s="123" t="s">
        <v>948</v>
      </c>
      <c r="L234" t="s">
        <v>192</v>
      </c>
      <c r="M234" s="124" t="s">
        <v>193</v>
      </c>
      <c r="N234" s="125" t="s">
        <v>194</v>
      </c>
      <c r="O234" s="126" t="s">
        <v>207</v>
      </c>
      <c r="P234" s="127" t="s">
        <v>1474</v>
      </c>
      <c r="Q234" s="128">
        <v>1392.91</v>
      </c>
      <c r="R234" s="128">
        <v>1392.91</v>
      </c>
      <c r="S234" s="129">
        <v>1392.91</v>
      </c>
      <c r="T234" s="130" t="s">
        <v>1475</v>
      </c>
      <c r="U234" s="131">
        <v>45332</v>
      </c>
      <c r="V234" s="132">
        <v>45336</v>
      </c>
      <c r="W234" s="133">
        <v>3085</v>
      </c>
      <c r="X234" s="134" t="s">
        <v>951</v>
      </c>
      <c r="Y234" s="135" t="s">
        <v>912</v>
      </c>
      <c r="Z234" s="128" t="s">
        <v>57</v>
      </c>
      <c r="AA234" s="128"/>
      <c r="AB234" s="136" t="s">
        <v>256</v>
      </c>
      <c r="AC234" s="137" t="s">
        <v>952</v>
      </c>
      <c r="AD234" s="136" t="s">
        <v>915</v>
      </c>
      <c r="AE234" s="136" t="s">
        <v>916</v>
      </c>
      <c r="AF234" s="136" t="s">
        <v>157</v>
      </c>
      <c r="AG234" s="136" t="s">
        <v>59</v>
      </c>
      <c r="AH234" s="138">
        <v>-1392.91</v>
      </c>
      <c r="AI234" s="139" t="s">
        <v>58</v>
      </c>
      <c r="AJ234" s="139" t="s">
        <v>157</v>
      </c>
    </row>
    <row r="235" spans="1:36" ht="15.75" x14ac:dyDescent="0.25">
      <c r="A235" s="115">
        <v>4829</v>
      </c>
      <c r="B235" s="116" t="s">
        <v>36</v>
      </c>
      <c r="C235" s="117" t="s">
        <v>37</v>
      </c>
      <c r="D235" s="118" t="s">
        <v>36</v>
      </c>
      <c r="E235" s="119" t="s">
        <v>38</v>
      </c>
      <c r="F235" s="120" t="s">
        <v>39</v>
      </c>
      <c r="G235" s="118" t="s">
        <v>40</v>
      </c>
      <c r="H235" s="121" t="s">
        <v>41</v>
      </c>
      <c r="I235" s="120" t="s">
        <v>524</v>
      </c>
      <c r="J235" s="122" t="s">
        <v>525</v>
      </c>
      <c r="K235" s="123" t="s">
        <v>526</v>
      </c>
      <c r="L235" t="s">
        <v>192</v>
      </c>
      <c r="M235" s="124" t="s">
        <v>193</v>
      </c>
      <c r="N235" s="125" t="s">
        <v>194</v>
      </c>
      <c r="O235" s="126" t="s">
        <v>207</v>
      </c>
      <c r="P235" s="127" t="s">
        <v>1476</v>
      </c>
      <c r="Q235" s="128">
        <v>253.66</v>
      </c>
      <c r="R235" s="128">
        <v>253.66</v>
      </c>
      <c r="S235" s="129">
        <v>253.66</v>
      </c>
      <c r="T235" s="130" t="s">
        <v>1434</v>
      </c>
      <c r="U235" s="131">
        <v>45333</v>
      </c>
      <c r="V235" s="132">
        <v>45333</v>
      </c>
      <c r="W235" s="133">
        <v>5486</v>
      </c>
      <c r="X235" s="134" t="s">
        <v>1421</v>
      </c>
      <c r="Y235" s="135" t="s">
        <v>912</v>
      </c>
      <c r="Z235" s="128" t="s">
        <v>57</v>
      </c>
      <c r="AA235" s="128"/>
      <c r="AB235" s="136" t="s">
        <v>256</v>
      </c>
      <c r="AC235" s="137" t="s">
        <v>952</v>
      </c>
      <c r="AD235" s="136" t="s">
        <v>915</v>
      </c>
      <c r="AE235" s="136" t="s">
        <v>916</v>
      </c>
      <c r="AF235" s="136" t="s">
        <v>157</v>
      </c>
      <c r="AG235" s="136" t="s">
        <v>59</v>
      </c>
      <c r="AH235" s="138">
        <v>-253.66</v>
      </c>
      <c r="AI235" s="139" t="s">
        <v>58</v>
      </c>
      <c r="AJ235" s="139" t="s">
        <v>157</v>
      </c>
    </row>
    <row r="236" spans="1:36" ht="15.75" x14ac:dyDescent="0.25">
      <c r="A236" s="115">
        <v>4830</v>
      </c>
      <c r="B236" s="116" t="s">
        <v>36</v>
      </c>
      <c r="C236" s="117" t="s">
        <v>37</v>
      </c>
      <c r="D236" s="118" t="s">
        <v>36</v>
      </c>
      <c r="E236" s="119" t="s">
        <v>38</v>
      </c>
      <c r="F236" s="120" t="s">
        <v>39</v>
      </c>
      <c r="G236" s="118" t="s">
        <v>40</v>
      </c>
      <c r="H236" s="121" t="s">
        <v>41</v>
      </c>
      <c r="I236" s="120" t="s">
        <v>524</v>
      </c>
      <c r="J236" s="122" t="s">
        <v>525</v>
      </c>
      <c r="K236" s="123" t="s">
        <v>526</v>
      </c>
      <c r="L236" t="s">
        <v>192</v>
      </c>
      <c r="M236" s="124" t="s">
        <v>193</v>
      </c>
      <c r="N236" s="125" t="s">
        <v>194</v>
      </c>
      <c r="O236" s="126" t="s">
        <v>207</v>
      </c>
      <c r="P236" s="127" t="s">
        <v>1477</v>
      </c>
      <c r="Q236" s="128">
        <v>15.3</v>
      </c>
      <c r="R236" s="128">
        <v>15.3</v>
      </c>
      <c r="S236" s="129">
        <v>15.3</v>
      </c>
      <c r="T236" s="130" t="s">
        <v>1478</v>
      </c>
      <c r="U236" s="131">
        <v>45333</v>
      </c>
      <c r="V236" s="132">
        <v>45333</v>
      </c>
      <c r="W236" s="133">
        <v>5486</v>
      </c>
      <c r="X236" s="134" t="s">
        <v>1421</v>
      </c>
      <c r="Y236" s="135" t="s">
        <v>912</v>
      </c>
      <c r="Z236" s="128" t="s">
        <v>57</v>
      </c>
      <c r="AA236" s="128"/>
      <c r="AB236" s="136" t="s">
        <v>256</v>
      </c>
      <c r="AC236" s="137" t="s">
        <v>952</v>
      </c>
      <c r="AD236" s="136" t="s">
        <v>915</v>
      </c>
      <c r="AE236" s="136" t="s">
        <v>916</v>
      </c>
      <c r="AF236" s="136" t="s">
        <v>157</v>
      </c>
      <c r="AG236" s="136" t="s">
        <v>59</v>
      </c>
      <c r="AH236" s="138">
        <v>-15.3</v>
      </c>
      <c r="AI236" s="139" t="s">
        <v>58</v>
      </c>
      <c r="AJ236" s="139" t="s">
        <v>157</v>
      </c>
    </row>
    <row r="237" spans="1:36" ht="15.75" x14ac:dyDescent="0.25">
      <c r="A237" s="115">
        <v>4979</v>
      </c>
      <c r="B237" s="116" t="s">
        <v>36</v>
      </c>
      <c r="C237" s="117" t="s">
        <v>37</v>
      </c>
      <c r="D237" s="118" t="s">
        <v>36</v>
      </c>
      <c r="E237" s="119" t="s">
        <v>38</v>
      </c>
      <c r="F237" s="120" t="s">
        <v>39</v>
      </c>
      <c r="G237" s="118" t="s">
        <v>40</v>
      </c>
      <c r="H237" s="121" t="s">
        <v>41</v>
      </c>
      <c r="I237" s="120" t="s">
        <v>524</v>
      </c>
      <c r="J237" s="122" t="s">
        <v>525</v>
      </c>
      <c r="K237" s="123" t="s">
        <v>526</v>
      </c>
      <c r="L237" t="s">
        <v>192</v>
      </c>
      <c r="M237" s="124" t="s">
        <v>193</v>
      </c>
      <c r="N237" s="125" t="s">
        <v>194</v>
      </c>
      <c r="O237" s="126" t="s">
        <v>207</v>
      </c>
      <c r="P237" s="127" t="s">
        <v>1479</v>
      </c>
      <c r="Q237" s="128">
        <v>18.100000000000001</v>
      </c>
      <c r="R237" s="128">
        <v>18.100000000000001</v>
      </c>
      <c r="S237" s="129">
        <v>18.100000000000001</v>
      </c>
      <c r="T237" s="130" t="s">
        <v>1480</v>
      </c>
      <c r="U237" s="131">
        <v>45336</v>
      </c>
      <c r="V237" s="132">
        <v>45336</v>
      </c>
      <c r="W237" s="133">
        <v>5486</v>
      </c>
      <c r="X237" s="134" t="s">
        <v>1421</v>
      </c>
      <c r="Y237" s="135" t="s">
        <v>912</v>
      </c>
      <c r="Z237" s="128" t="s">
        <v>57</v>
      </c>
      <c r="AA237" s="128"/>
      <c r="AB237" s="136" t="s">
        <v>256</v>
      </c>
      <c r="AC237" s="137" t="s">
        <v>952</v>
      </c>
      <c r="AD237" s="136" t="s">
        <v>915</v>
      </c>
      <c r="AE237" s="136" t="s">
        <v>916</v>
      </c>
      <c r="AF237" s="136" t="s">
        <v>157</v>
      </c>
      <c r="AG237" s="136" t="s">
        <v>59</v>
      </c>
      <c r="AH237" s="138">
        <v>-18.100000000000001</v>
      </c>
      <c r="AI237" s="139" t="s">
        <v>58</v>
      </c>
      <c r="AJ237" s="139" t="s">
        <v>157</v>
      </c>
    </row>
    <row r="238" spans="1:36" ht="15.75" x14ac:dyDescent="0.25">
      <c r="A238" s="115">
        <v>4980</v>
      </c>
      <c r="B238" s="116" t="s">
        <v>36</v>
      </c>
      <c r="C238" s="117" t="s">
        <v>37</v>
      </c>
      <c r="D238" s="118" t="s">
        <v>36</v>
      </c>
      <c r="E238" s="119" t="s">
        <v>38</v>
      </c>
      <c r="F238" s="120" t="s">
        <v>39</v>
      </c>
      <c r="G238" s="118" t="s">
        <v>40</v>
      </c>
      <c r="H238" s="121" t="s">
        <v>41</v>
      </c>
      <c r="I238" s="120" t="s">
        <v>524</v>
      </c>
      <c r="J238" s="122" t="s">
        <v>525</v>
      </c>
      <c r="K238" s="123" t="s">
        <v>526</v>
      </c>
      <c r="L238" t="s">
        <v>192</v>
      </c>
      <c r="M238" s="124" t="s">
        <v>193</v>
      </c>
      <c r="N238" s="125" t="s">
        <v>194</v>
      </c>
      <c r="O238" s="126" t="s">
        <v>207</v>
      </c>
      <c r="P238" s="127" t="s">
        <v>1481</v>
      </c>
      <c r="Q238" s="128">
        <v>17.3</v>
      </c>
      <c r="R238" s="128">
        <v>17.3</v>
      </c>
      <c r="S238" s="129">
        <v>17.3</v>
      </c>
      <c r="T238" s="130" t="s">
        <v>1482</v>
      </c>
      <c r="U238" s="131">
        <v>45336</v>
      </c>
      <c r="V238" s="132">
        <v>45336</v>
      </c>
      <c r="W238" s="133">
        <v>5486</v>
      </c>
      <c r="X238" s="134" t="s">
        <v>1421</v>
      </c>
      <c r="Y238" s="135" t="s">
        <v>912</v>
      </c>
      <c r="Z238" s="128" t="s">
        <v>57</v>
      </c>
      <c r="AA238" s="128"/>
      <c r="AB238" s="136" t="s">
        <v>256</v>
      </c>
      <c r="AC238" s="137" t="s">
        <v>952</v>
      </c>
      <c r="AD238" s="136" t="s">
        <v>915</v>
      </c>
      <c r="AE238" s="136" t="s">
        <v>916</v>
      </c>
      <c r="AF238" s="136" t="s">
        <v>157</v>
      </c>
      <c r="AG238" s="136" t="s">
        <v>59</v>
      </c>
      <c r="AH238" s="138">
        <v>-17.3</v>
      </c>
      <c r="AI238" s="139" t="s">
        <v>58</v>
      </c>
      <c r="AJ238" s="139" t="s">
        <v>157</v>
      </c>
    </row>
    <row r="239" spans="1:36" ht="15.75" x14ac:dyDescent="0.25">
      <c r="A239" s="115">
        <v>5243</v>
      </c>
      <c r="B239" s="116" t="s">
        <v>36</v>
      </c>
      <c r="C239" s="117" t="s">
        <v>37</v>
      </c>
      <c r="D239" s="118" t="s">
        <v>36</v>
      </c>
      <c r="E239" s="119" t="s">
        <v>38</v>
      </c>
      <c r="F239" s="120" t="s">
        <v>39</v>
      </c>
      <c r="G239" s="118" t="s">
        <v>40</v>
      </c>
      <c r="H239" s="121" t="s">
        <v>41</v>
      </c>
      <c r="I239" s="120" t="s">
        <v>301</v>
      </c>
      <c r="J239" s="122" t="s">
        <v>302</v>
      </c>
      <c r="K239" s="123" t="s">
        <v>303</v>
      </c>
      <c r="L239" t="s">
        <v>192</v>
      </c>
      <c r="M239" s="124" t="s">
        <v>193</v>
      </c>
      <c r="N239" s="125" t="s">
        <v>194</v>
      </c>
      <c r="O239" s="126" t="s">
        <v>929</v>
      </c>
      <c r="P239" s="127"/>
      <c r="Q239" s="128"/>
      <c r="R239" s="128"/>
      <c r="S239" s="129">
        <v>812.51</v>
      </c>
      <c r="T239" s="130" t="s">
        <v>1327</v>
      </c>
      <c r="U239" s="131">
        <v>45338</v>
      </c>
      <c r="V239" s="132"/>
      <c r="W239" s="133"/>
      <c r="X239" s="134" t="s">
        <v>1046</v>
      </c>
      <c r="Y239" s="135" t="s">
        <v>912</v>
      </c>
      <c r="Z239" s="128" t="s">
        <v>96</v>
      </c>
      <c r="AA239" s="128" t="s">
        <v>1418</v>
      </c>
      <c r="AB239" s="136" t="s">
        <v>256</v>
      </c>
      <c r="AC239" s="137" t="s">
        <v>952</v>
      </c>
      <c r="AD239" s="136" t="s">
        <v>915</v>
      </c>
      <c r="AE239" s="136" t="s">
        <v>916</v>
      </c>
      <c r="AF239" s="136" t="s">
        <v>157</v>
      </c>
      <c r="AG239" s="136" t="s">
        <v>59</v>
      </c>
      <c r="AH239" s="138">
        <v>-812.51</v>
      </c>
      <c r="AI239" s="139" t="s">
        <v>58</v>
      </c>
      <c r="AJ239" s="139" t="s">
        <v>157</v>
      </c>
    </row>
    <row r="240" spans="1:36" ht="15.75" x14ac:dyDescent="0.25">
      <c r="A240" s="115">
        <v>5357</v>
      </c>
      <c r="B240" s="116" t="s">
        <v>36</v>
      </c>
      <c r="C240" s="117" t="s">
        <v>37</v>
      </c>
      <c r="D240" s="118" t="s">
        <v>36</v>
      </c>
      <c r="E240" s="119" t="s">
        <v>38</v>
      </c>
      <c r="F240" s="140" t="s">
        <v>39</v>
      </c>
      <c r="G240" s="118" t="s">
        <v>40</v>
      </c>
      <c r="H240" s="121" t="s">
        <v>41</v>
      </c>
      <c r="I240" s="120" t="s">
        <v>524</v>
      </c>
      <c r="J240" s="122" t="s">
        <v>525</v>
      </c>
      <c r="K240" s="123" t="s">
        <v>526</v>
      </c>
      <c r="L240" t="s">
        <v>192</v>
      </c>
      <c r="M240" s="124" t="s">
        <v>193</v>
      </c>
      <c r="N240" s="125" t="s">
        <v>194</v>
      </c>
      <c r="O240" s="126" t="s">
        <v>207</v>
      </c>
      <c r="P240" s="127" t="s">
        <v>1483</v>
      </c>
      <c r="Q240" s="128">
        <v>251.97</v>
      </c>
      <c r="R240" s="128">
        <v>251.97</v>
      </c>
      <c r="S240" s="129">
        <v>251.97</v>
      </c>
      <c r="T240" s="130" t="s">
        <v>1447</v>
      </c>
      <c r="U240" s="131">
        <v>45338</v>
      </c>
      <c r="V240" s="132">
        <v>45338</v>
      </c>
      <c r="W240" s="133">
        <v>9464</v>
      </c>
      <c r="X240" s="134" t="s">
        <v>1435</v>
      </c>
      <c r="Y240" s="135" t="s">
        <v>912</v>
      </c>
      <c r="Z240" s="128" t="s">
        <v>57</v>
      </c>
      <c r="AA240" s="128"/>
      <c r="AB240" s="136" t="s">
        <v>256</v>
      </c>
      <c r="AC240" s="137" t="s">
        <v>952</v>
      </c>
      <c r="AD240" s="136" t="s">
        <v>915</v>
      </c>
      <c r="AE240" s="136" t="s">
        <v>916</v>
      </c>
      <c r="AF240" s="136" t="s">
        <v>157</v>
      </c>
      <c r="AG240" s="136" t="s">
        <v>59</v>
      </c>
      <c r="AH240" s="138">
        <v>-251.97</v>
      </c>
      <c r="AI240" s="139" t="s">
        <v>58</v>
      </c>
      <c r="AJ240" s="139" t="s">
        <v>157</v>
      </c>
    </row>
    <row r="241" spans="1:36" ht="15.75" x14ac:dyDescent="0.25">
      <c r="A241" s="115">
        <v>5358</v>
      </c>
      <c r="B241" s="116" t="s">
        <v>36</v>
      </c>
      <c r="C241" s="117" t="s">
        <v>37</v>
      </c>
      <c r="D241" s="118" t="s">
        <v>36</v>
      </c>
      <c r="E241" s="119" t="s">
        <v>38</v>
      </c>
      <c r="F241" s="140" t="s">
        <v>39</v>
      </c>
      <c r="G241" s="118" t="s">
        <v>40</v>
      </c>
      <c r="H241" s="121" t="s">
        <v>41</v>
      </c>
      <c r="I241" s="120" t="s">
        <v>524</v>
      </c>
      <c r="J241" s="122" t="s">
        <v>525</v>
      </c>
      <c r="K241" s="123" t="s">
        <v>526</v>
      </c>
      <c r="L241" t="s">
        <v>192</v>
      </c>
      <c r="M241" s="124" t="s">
        <v>193</v>
      </c>
      <c r="N241" s="125" t="s">
        <v>194</v>
      </c>
      <c r="O241" s="126" t="s">
        <v>207</v>
      </c>
      <c r="P241" s="127" t="s">
        <v>1484</v>
      </c>
      <c r="Q241" s="128">
        <v>309.70999999999998</v>
      </c>
      <c r="R241" s="128">
        <v>309.70999999999998</v>
      </c>
      <c r="S241" s="129">
        <v>309.70999999999998</v>
      </c>
      <c r="T241" s="130" t="s">
        <v>1434</v>
      </c>
      <c r="U241" s="131">
        <v>45338</v>
      </c>
      <c r="V241" s="132">
        <v>45338</v>
      </c>
      <c r="W241" s="133">
        <v>9464</v>
      </c>
      <c r="X241" s="134" t="s">
        <v>1435</v>
      </c>
      <c r="Y241" s="135" t="s">
        <v>912</v>
      </c>
      <c r="Z241" s="128" t="s">
        <v>57</v>
      </c>
      <c r="AA241" s="128"/>
      <c r="AB241" s="136" t="s">
        <v>256</v>
      </c>
      <c r="AC241" s="137" t="s">
        <v>952</v>
      </c>
      <c r="AD241" s="136" t="s">
        <v>915</v>
      </c>
      <c r="AE241" s="136" t="s">
        <v>916</v>
      </c>
      <c r="AF241" s="136" t="s">
        <v>157</v>
      </c>
      <c r="AG241" s="136" t="s">
        <v>59</v>
      </c>
      <c r="AH241" s="138">
        <v>-309.70999999999998</v>
      </c>
      <c r="AI241" s="139" t="s">
        <v>58</v>
      </c>
      <c r="AJ241" s="139" t="s">
        <v>157</v>
      </c>
    </row>
    <row r="242" spans="1:36" ht="15.75" x14ac:dyDescent="0.25">
      <c r="A242" s="115">
        <v>5396</v>
      </c>
      <c r="B242" s="116" t="s">
        <v>36</v>
      </c>
      <c r="C242" s="117" t="s">
        <v>37</v>
      </c>
      <c r="D242" s="118" t="s">
        <v>36</v>
      </c>
      <c r="E242" s="119" t="s">
        <v>38</v>
      </c>
      <c r="F242" s="120" t="s">
        <v>39</v>
      </c>
      <c r="G242" s="118" t="s">
        <v>40</v>
      </c>
      <c r="H242" s="121" t="s">
        <v>41</v>
      </c>
      <c r="I242" s="120" t="s">
        <v>524</v>
      </c>
      <c r="J242" s="122" t="s">
        <v>525</v>
      </c>
      <c r="K242" s="123" t="s">
        <v>526</v>
      </c>
      <c r="L242" t="s">
        <v>192</v>
      </c>
      <c r="M242" s="124" t="s">
        <v>193</v>
      </c>
      <c r="N242" s="125" t="s">
        <v>194</v>
      </c>
      <c r="O242" s="126" t="s">
        <v>207</v>
      </c>
      <c r="P242" s="127" t="s">
        <v>1485</v>
      </c>
      <c r="Q242" s="128">
        <v>15.4</v>
      </c>
      <c r="R242" s="128">
        <v>15.4</v>
      </c>
      <c r="S242" s="129">
        <v>15.4</v>
      </c>
      <c r="T242" s="130" t="s">
        <v>1486</v>
      </c>
      <c r="U242" s="131">
        <v>45338</v>
      </c>
      <c r="V242" s="132">
        <v>45338</v>
      </c>
      <c r="W242" s="133">
        <v>5486</v>
      </c>
      <c r="X242" s="134" t="s">
        <v>1421</v>
      </c>
      <c r="Y242" s="135" t="s">
        <v>912</v>
      </c>
      <c r="Z242" s="128" t="s">
        <v>57</v>
      </c>
      <c r="AA242" s="128"/>
      <c r="AB242" s="136" t="s">
        <v>256</v>
      </c>
      <c r="AC242" s="137" t="s">
        <v>952</v>
      </c>
      <c r="AD242" s="136" t="s">
        <v>915</v>
      </c>
      <c r="AE242" s="136" t="s">
        <v>916</v>
      </c>
      <c r="AF242" s="136" t="s">
        <v>157</v>
      </c>
      <c r="AG242" s="136" t="s">
        <v>59</v>
      </c>
      <c r="AH242" s="138">
        <v>-15.4</v>
      </c>
      <c r="AI242" s="139" t="s">
        <v>58</v>
      </c>
      <c r="AJ242" s="139" t="s">
        <v>157</v>
      </c>
    </row>
    <row r="243" spans="1:36" ht="15.75" x14ac:dyDescent="0.25">
      <c r="A243" s="115">
        <v>5445</v>
      </c>
      <c r="B243" s="116" t="s">
        <v>36</v>
      </c>
      <c r="C243" s="117" t="s">
        <v>37</v>
      </c>
      <c r="D243" s="118" t="s">
        <v>36</v>
      </c>
      <c r="E243" s="119" t="s">
        <v>38</v>
      </c>
      <c r="F243" s="120" t="s">
        <v>39</v>
      </c>
      <c r="G243" s="118" t="s">
        <v>40</v>
      </c>
      <c r="H243" s="121" t="s">
        <v>41</v>
      </c>
      <c r="I243" s="120" t="s">
        <v>42</v>
      </c>
      <c r="J243" s="122" t="s">
        <v>43</v>
      </c>
      <c r="K243" s="123" t="s">
        <v>44</v>
      </c>
      <c r="L243" t="s">
        <v>192</v>
      </c>
      <c r="M243" s="124" t="s">
        <v>193</v>
      </c>
      <c r="N243" s="125" t="s">
        <v>194</v>
      </c>
      <c r="O243" s="126" t="s">
        <v>207</v>
      </c>
      <c r="P243" s="127" t="s">
        <v>1487</v>
      </c>
      <c r="Q243" s="128">
        <v>260</v>
      </c>
      <c r="R243" s="128">
        <v>260</v>
      </c>
      <c r="S243" s="129">
        <v>260</v>
      </c>
      <c r="T243" s="130" t="s">
        <v>1488</v>
      </c>
      <c r="U243" s="131">
        <v>45339</v>
      </c>
      <c r="V243" s="132">
        <v>45339</v>
      </c>
      <c r="W243" s="133">
        <v>5486</v>
      </c>
      <c r="X243" s="134" t="s">
        <v>1421</v>
      </c>
      <c r="Y243" s="135" t="s">
        <v>912</v>
      </c>
      <c r="Z243" s="128" t="s">
        <v>57</v>
      </c>
      <c r="AA243" s="128"/>
      <c r="AB243" s="136" t="s">
        <v>256</v>
      </c>
      <c r="AC243" s="137" t="s">
        <v>952</v>
      </c>
      <c r="AD243" s="136" t="s">
        <v>915</v>
      </c>
      <c r="AE243" s="136" t="s">
        <v>916</v>
      </c>
      <c r="AF243" s="136" t="s">
        <v>157</v>
      </c>
      <c r="AG243" s="136" t="s">
        <v>59</v>
      </c>
      <c r="AH243" s="138">
        <v>-260</v>
      </c>
      <c r="AI243" s="139" t="s">
        <v>58</v>
      </c>
      <c r="AJ243" s="139" t="s">
        <v>157</v>
      </c>
    </row>
    <row r="244" spans="1:36" ht="15.75" x14ac:dyDescent="0.25">
      <c r="A244" s="115">
        <v>5626</v>
      </c>
      <c r="B244" s="116" t="s">
        <v>36</v>
      </c>
      <c r="C244" s="117" t="s">
        <v>37</v>
      </c>
      <c r="D244" s="118" t="s">
        <v>36</v>
      </c>
      <c r="E244" s="119" t="s">
        <v>38</v>
      </c>
      <c r="F244" s="120" t="s">
        <v>39</v>
      </c>
      <c r="G244" s="118" t="s">
        <v>40</v>
      </c>
      <c r="H244" s="121" t="s">
        <v>41</v>
      </c>
      <c r="I244" s="120" t="s">
        <v>524</v>
      </c>
      <c r="J244" s="122" t="s">
        <v>525</v>
      </c>
      <c r="K244" s="123" t="s">
        <v>526</v>
      </c>
      <c r="L244" t="s">
        <v>192</v>
      </c>
      <c r="M244" s="124" t="s">
        <v>193</v>
      </c>
      <c r="N244" s="125" t="s">
        <v>194</v>
      </c>
      <c r="O244" s="126" t="s">
        <v>207</v>
      </c>
      <c r="P244" s="127" t="s">
        <v>1489</v>
      </c>
      <c r="Q244" s="128">
        <v>24</v>
      </c>
      <c r="R244" s="128">
        <v>24</v>
      </c>
      <c r="S244" s="129">
        <v>24</v>
      </c>
      <c r="T244" s="130" t="s">
        <v>1490</v>
      </c>
      <c r="U244" s="131">
        <v>45341</v>
      </c>
      <c r="V244" s="132">
        <v>45341</v>
      </c>
      <c r="W244" s="133">
        <v>5486</v>
      </c>
      <c r="X244" s="134" t="s">
        <v>1421</v>
      </c>
      <c r="Y244" s="135" t="s">
        <v>912</v>
      </c>
      <c r="Z244" s="128" t="s">
        <v>57</v>
      </c>
      <c r="AA244" s="128"/>
      <c r="AB244" s="136" t="s">
        <v>256</v>
      </c>
      <c r="AC244" s="137" t="s">
        <v>952</v>
      </c>
      <c r="AD244" s="136" t="s">
        <v>915</v>
      </c>
      <c r="AE244" s="136" t="s">
        <v>916</v>
      </c>
      <c r="AF244" s="136" t="s">
        <v>157</v>
      </c>
      <c r="AG244" s="136" t="s">
        <v>59</v>
      </c>
      <c r="AH244" s="138">
        <v>-24</v>
      </c>
      <c r="AI244" s="139" t="s">
        <v>58</v>
      </c>
      <c r="AJ244" s="139" t="s">
        <v>157</v>
      </c>
    </row>
    <row r="245" spans="1:36" ht="15.75" x14ac:dyDescent="0.25">
      <c r="A245" s="115">
        <v>5867</v>
      </c>
      <c r="B245" s="116" t="s">
        <v>36</v>
      </c>
      <c r="C245" s="117" t="s">
        <v>37</v>
      </c>
      <c r="D245" s="118" t="s">
        <v>36</v>
      </c>
      <c r="E245" s="119" t="s">
        <v>38</v>
      </c>
      <c r="F245" s="140" t="s">
        <v>39</v>
      </c>
      <c r="G245" s="118" t="s">
        <v>40</v>
      </c>
      <c r="H245" s="121" t="s">
        <v>41</v>
      </c>
      <c r="I245" s="120" t="s">
        <v>42</v>
      </c>
      <c r="J245" s="122" t="s">
        <v>43</v>
      </c>
      <c r="K245" s="123" t="s">
        <v>44</v>
      </c>
      <c r="L245" t="s">
        <v>192</v>
      </c>
      <c r="M245" s="124" t="s">
        <v>193</v>
      </c>
      <c r="N245" s="125" t="s">
        <v>194</v>
      </c>
      <c r="O245" s="126" t="s">
        <v>929</v>
      </c>
      <c r="P245" s="127"/>
      <c r="Q245" s="128"/>
      <c r="R245" s="128"/>
      <c r="S245" s="129">
        <v>794</v>
      </c>
      <c r="T245" s="130" t="s">
        <v>1327</v>
      </c>
      <c r="U245" s="131">
        <v>45343</v>
      </c>
      <c r="V245" s="132"/>
      <c r="W245" s="133"/>
      <c r="X245" s="134" t="s">
        <v>1491</v>
      </c>
      <c r="Y245" s="135" t="s">
        <v>912</v>
      </c>
      <c r="Z245" s="128" t="s">
        <v>96</v>
      </c>
      <c r="AA245" s="128" t="s">
        <v>1492</v>
      </c>
      <c r="AB245" s="136" t="s">
        <v>256</v>
      </c>
      <c r="AC245" s="137" t="s">
        <v>952</v>
      </c>
      <c r="AD245" s="136" t="s">
        <v>915</v>
      </c>
      <c r="AE245" s="136" t="s">
        <v>916</v>
      </c>
      <c r="AF245" s="136" t="s">
        <v>157</v>
      </c>
      <c r="AG245" s="136" t="s">
        <v>59</v>
      </c>
      <c r="AH245" s="138">
        <v>-794</v>
      </c>
      <c r="AI245" s="139" t="s">
        <v>58</v>
      </c>
      <c r="AJ245" s="139" t="s">
        <v>157</v>
      </c>
    </row>
    <row r="246" spans="1:36" ht="15.75" x14ac:dyDescent="0.25">
      <c r="A246" s="115">
        <v>6406</v>
      </c>
      <c r="B246" s="116" t="s">
        <v>36</v>
      </c>
      <c r="C246" s="117" t="s">
        <v>37</v>
      </c>
      <c r="D246" s="118" t="s">
        <v>36</v>
      </c>
      <c r="E246" s="119" t="s">
        <v>38</v>
      </c>
      <c r="F246" s="140" t="s">
        <v>39</v>
      </c>
      <c r="G246" s="118" t="s">
        <v>40</v>
      </c>
      <c r="H246" s="121" t="s">
        <v>41</v>
      </c>
      <c r="I246" s="120" t="s">
        <v>301</v>
      </c>
      <c r="J246" s="122" t="s">
        <v>302</v>
      </c>
      <c r="K246" s="123" t="s">
        <v>303</v>
      </c>
      <c r="L246" t="s">
        <v>192</v>
      </c>
      <c r="M246" s="124" t="s">
        <v>193</v>
      </c>
      <c r="N246" s="125" t="s">
        <v>194</v>
      </c>
      <c r="O246" s="126" t="s">
        <v>1329</v>
      </c>
      <c r="P246" s="127" t="s">
        <v>1330</v>
      </c>
      <c r="Q246" s="128">
        <v>9.2200000000000006</v>
      </c>
      <c r="R246" s="128">
        <v>9.2200000000000006</v>
      </c>
      <c r="S246" s="129">
        <v>9.2200000000000006</v>
      </c>
      <c r="T246" s="130" t="s">
        <v>1493</v>
      </c>
      <c r="U246" s="131">
        <v>45349</v>
      </c>
      <c r="V246" s="132">
        <v>45349</v>
      </c>
      <c r="W246" s="133">
        <v>186</v>
      </c>
      <c r="X246" s="134" t="s">
        <v>258</v>
      </c>
      <c r="Y246" s="135" t="s">
        <v>912</v>
      </c>
      <c r="Z246" s="128" t="s">
        <v>57</v>
      </c>
      <c r="AA246" s="128"/>
      <c r="AB246" s="136" t="s">
        <v>256</v>
      </c>
      <c r="AC246" s="137" t="s">
        <v>952</v>
      </c>
      <c r="AD246" s="136" t="s">
        <v>915</v>
      </c>
      <c r="AE246" s="136" t="s">
        <v>916</v>
      </c>
      <c r="AF246" s="136" t="s">
        <v>157</v>
      </c>
      <c r="AG246" s="136" t="s">
        <v>59</v>
      </c>
      <c r="AH246" s="138">
        <v>-9.2200000000000006</v>
      </c>
      <c r="AI246" s="139" t="s">
        <v>58</v>
      </c>
      <c r="AJ246" s="139" t="s">
        <v>157</v>
      </c>
    </row>
    <row r="247" spans="1:36" ht="15.75" x14ac:dyDescent="0.25">
      <c r="A247" s="115">
        <v>6454</v>
      </c>
      <c r="B247" s="116" t="s">
        <v>36</v>
      </c>
      <c r="C247" s="117" t="s">
        <v>37</v>
      </c>
      <c r="D247" s="118" t="s">
        <v>36</v>
      </c>
      <c r="E247" s="119" t="s">
        <v>38</v>
      </c>
      <c r="F247" s="120" t="s">
        <v>39</v>
      </c>
      <c r="G247" s="118" t="s">
        <v>40</v>
      </c>
      <c r="H247" s="121" t="s">
        <v>41</v>
      </c>
      <c r="I247" s="120" t="s">
        <v>301</v>
      </c>
      <c r="J247" s="122" t="s">
        <v>302</v>
      </c>
      <c r="K247" s="123" t="s">
        <v>303</v>
      </c>
      <c r="L247" t="s">
        <v>192</v>
      </c>
      <c r="M247" s="124" t="s">
        <v>193</v>
      </c>
      <c r="N247" s="125" t="s">
        <v>194</v>
      </c>
      <c r="O247" s="126" t="s">
        <v>929</v>
      </c>
      <c r="P247" s="127"/>
      <c r="Q247" s="128"/>
      <c r="R247" s="128"/>
      <c r="S247" s="129">
        <v>822.97</v>
      </c>
      <c r="T247" s="130" t="s">
        <v>1327</v>
      </c>
      <c r="U247" s="131">
        <v>45350</v>
      </c>
      <c r="V247" s="132"/>
      <c r="W247" s="133"/>
      <c r="X247" s="134" t="s">
        <v>1046</v>
      </c>
      <c r="Y247" s="135" t="s">
        <v>912</v>
      </c>
      <c r="Z247" s="128" t="s">
        <v>96</v>
      </c>
      <c r="AA247" s="128" t="s">
        <v>1418</v>
      </c>
      <c r="AB247" s="136" t="s">
        <v>256</v>
      </c>
      <c r="AC247" s="137" t="s">
        <v>952</v>
      </c>
      <c r="AD247" s="136" t="s">
        <v>915</v>
      </c>
      <c r="AE247" s="136" t="s">
        <v>916</v>
      </c>
      <c r="AF247" s="136" t="s">
        <v>157</v>
      </c>
      <c r="AG247" s="136" t="s">
        <v>59</v>
      </c>
      <c r="AH247" s="138">
        <v>-822.97</v>
      </c>
      <c r="AI247" s="139" t="s">
        <v>58</v>
      </c>
      <c r="AJ247" s="139" t="s">
        <v>157</v>
      </c>
    </row>
    <row r="248" spans="1:36" ht="15.75" x14ac:dyDescent="0.25">
      <c r="A248" s="115">
        <v>6501</v>
      </c>
      <c r="B248" s="116" t="s">
        <v>36</v>
      </c>
      <c r="C248" s="117" t="s">
        <v>37</v>
      </c>
      <c r="D248" s="118" t="s">
        <v>36</v>
      </c>
      <c r="E248" s="119" t="s">
        <v>38</v>
      </c>
      <c r="F248" s="120" t="s">
        <v>39</v>
      </c>
      <c r="G248" s="118" t="s">
        <v>40</v>
      </c>
      <c r="H248" s="121" t="s">
        <v>41</v>
      </c>
      <c r="I248" s="120" t="s">
        <v>301</v>
      </c>
      <c r="J248" s="122" t="s">
        <v>302</v>
      </c>
      <c r="K248" s="123" t="s">
        <v>303</v>
      </c>
      <c r="L248" t="s">
        <v>192</v>
      </c>
      <c r="M248" s="124" t="s">
        <v>193</v>
      </c>
      <c r="N248" s="125" t="s">
        <v>194</v>
      </c>
      <c r="O248" s="126" t="s">
        <v>1440</v>
      </c>
      <c r="P248" s="127" t="s">
        <v>1330</v>
      </c>
      <c r="Q248" s="128">
        <v>569.65</v>
      </c>
      <c r="R248" s="128">
        <v>569.65</v>
      </c>
      <c r="S248" s="129">
        <v>569.65</v>
      </c>
      <c r="T248" s="130" t="s">
        <v>1494</v>
      </c>
      <c r="U248" s="131">
        <v>45350</v>
      </c>
      <c r="V248" s="132">
        <v>45350</v>
      </c>
      <c r="W248" s="133">
        <v>204</v>
      </c>
      <c r="X248" s="134" t="s">
        <v>1442</v>
      </c>
      <c r="Y248" s="135" t="s">
        <v>912</v>
      </c>
      <c r="Z248" s="128" t="s">
        <v>57</v>
      </c>
      <c r="AA248" s="128"/>
      <c r="AB248" s="136" t="s">
        <v>256</v>
      </c>
      <c r="AC248" s="137" t="s">
        <v>952</v>
      </c>
      <c r="AD248" s="136" t="s">
        <v>915</v>
      </c>
      <c r="AE248" s="136" t="s">
        <v>916</v>
      </c>
      <c r="AF248" s="136" t="s">
        <v>157</v>
      </c>
      <c r="AG248" s="136" t="s">
        <v>59</v>
      </c>
      <c r="AH248" s="138">
        <v>-569.65</v>
      </c>
      <c r="AI248" s="139" t="s">
        <v>58</v>
      </c>
      <c r="AJ248" s="139" t="s">
        <v>157</v>
      </c>
    </row>
    <row r="249" spans="1:36" ht="15.75" x14ac:dyDescent="0.25">
      <c r="A249" s="115">
        <v>6687</v>
      </c>
      <c r="B249" s="116" t="s">
        <v>36</v>
      </c>
      <c r="C249" s="117" t="s">
        <v>37</v>
      </c>
      <c r="D249" s="118" t="s">
        <v>36</v>
      </c>
      <c r="E249" s="119" t="s">
        <v>38</v>
      </c>
      <c r="F249" s="120" t="s">
        <v>39</v>
      </c>
      <c r="G249" s="118" t="s">
        <v>40</v>
      </c>
      <c r="H249" s="121" t="s">
        <v>41</v>
      </c>
      <c r="I249" s="120" t="s">
        <v>301</v>
      </c>
      <c r="J249" s="122" t="s">
        <v>302</v>
      </c>
      <c r="K249" s="123" t="s">
        <v>303</v>
      </c>
      <c r="L249" t="s">
        <v>192</v>
      </c>
      <c r="M249" s="124" t="s">
        <v>193</v>
      </c>
      <c r="N249" s="125" t="s">
        <v>194</v>
      </c>
      <c r="O249" s="126" t="s">
        <v>1440</v>
      </c>
      <c r="P249" s="127" t="s">
        <v>1330</v>
      </c>
      <c r="Q249" s="128">
        <v>35</v>
      </c>
      <c r="R249" s="128">
        <v>35</v>
      </c>
      <c r="S249" s="129">
        <v>35</v>
      </c>
      <c r="T249" s="130" t="s">
        <v>1495</v>
      </c>
      <c r="U249" s="131">
        <v>45351</v>
      </c>
      <c r="V249" s="132">
        <v>45351</v>
      </c>
      <c r="W249" s="133">
        <v>204</v>
      </c>
      <c r="X249" s="134" t="s">
        <v>1442</v>
      </c>
      <c r="Y249" s="135" t="s">
        <v>912</v>
      </c>
      <c r="Z249" s="128" t="s">
        <v>57</v>
      </c>
      <c r="AA249" s="128"/>
      <c r="AB249" s="136" t="s">
        <v>256</v>
      </c>
      <c r="AC249" s="137" t="s">
        <v>952</v>
      </c>
      <c r="AD249" s="136" t="s">
        <v>915</v>
      </c>
      <c r="AE249" s="136" t="s">
        <v>916</v>
      </c>
      <c r="AF249" s="136" t="s">
        <v>157</v>
      </c>
      <c r="AG249" s="136" t="s">
        <v>59</v>
      </c>
      <c r="AH249" s="138">
        <v>-35</v>
      </c>
      <c r="AI249" s="139" t="s">
        <v>58</v>
      </c>
      <c r="AJ249" s="139" t="s">
        <v>157</v>
      </c>
    </row>
    <row r="250" spans="1:36" ht="15.75" x14ac:dyDescent="0.25">
      <c r="A250" s="115">
        <v>7131</v>
      </c>
      <c r="B250" s="116" t="s">
        <v>36</v>
      </c>
      <c r="C250" s="117" t="s">
        <v>37</v>
      </c>
      <c r="D250" s="118" t="s">
        <v>36</v>
      </c>
      <c r="E250" s="119" t="s">
        <v>38</v>
      </c>
      <c r="F250" s="140" t="s">
        <v>39</v>
      </c>
      <c r="G250" s="118" t="s">
        <v>40</v>
      </c>
      <c r="H250" s="121" t="s">
        <v>41</v>
      </c>
      <c r="I250" s="120" t="s">
        <v>524</v>
      </c>
      <c r="J250" s="122" t="s">
        <v>525</v>
      </c>
      <c r="K250" s="123" t="s">
        <v>526</v>
      </c>
      <c r="L250" t="s">
        <v>192</v>
      </c>
      <c r="M250" s="124" t="s">
        <v>193</v>
      </c>
      <c r="N250" s="125" t="s">
        <v>194</v>
      </c>
      <c r="O250" s="126" t="s">
        <v>207</v>
      </c>
      <c r="P250" s="127" t="s">
        <v>1496</v>
      </c>
      <c r="Q250" s="128">
        <v>561.64</v>
      </c>
      <c r="R250" s="128">
        <v>561.64</v>
      </c>
      <c r="S250" s="129">
        <v>561.64</v>
      </c>
      <c r="T250" s="130" t="s">
        <v>1497</v>
      </c>
      <c r="U250" s="131">
        <v>45352</v>
      </c>
      <c r="V250" s="132">
        <v>45352</v>
      </c>
      <c r="W250" s="133">
        <v>4118</v>
      </c>
      <c r="X250" s="134" t="s">
        <v>1498</v>
      </c>
      <c r="Y250" s="135" t="s">
        <v>912</v>
      </c>
      <c r="Z250" s="128" t="s">
        <v>57</v>
      </c>
      <c r="AA250" s="128"/>
      <c r="AB250" s="136" t="s">
        <v>256</v>
      </c>
      <c r="AC250" s="137" t="s">
        <v>952</v>
      </c>
      <c r="AD250" s="136" t="s">
        <v>915</v>
      </c>
      <c r="AE250" s="136" t="s">
        <v>916</v>
      </c>
      <c r="AF250" s="136" t="s">
        <v>157</v>
      </c>
      <c r="AG250" s="136" t="s">
        <v>59</v>
      </c>
      <c r="AH250" s="138">
        <v>-561.64</v>
      </c>
      <c r="AI250" s="139" t="s">
        <v>58</v>
      </c>
      <c r="AJ250" s="139" t="s">
        <v>157</v>
      </c>
    </row>
    <row r="251" spans="1:36" ht="15.75" x14ac:dyDescent="0.25">
      <c r="A251" s="115">
        <v>7275</v>
      </c>
      <c r="B251" s="116" t="s">
        <v>36</v>
      </c>
      <c r="C251" s="117" t="s">
        <v>37</v>
      </c>
      <c r="D251" s="118" t="s">
        <v>36</v>
      </c>
      <c r="E251" s="119" t="s">
        <v>38</v>
      </c>
      <c r="F251" s="120" t="s">
        <v>39</v>
      </c>
      <c r="G251" s="118" t="s">
        <v>40</v>
      </c>
      <c r="H251" s="121" t="s">
        <v>41</v>
      </c>
      <c r="I251" s="120" t="s">
        <v>524</v>
      </c>
      <c r="J251" s="122" t="s">
        <v>525</v>
      </c>
      <c r="K251" s="123" t="s">
        <v>526</v>
      </c>
      <c r="L251" t="s">
        <v>192</v>
      </c>
      <c r="M251" s="124" t="s">
        <v>193</v>
      </c>
      <c r="N251" s="125" t="s">
        <v>194</v>
      </c>
      <c r="O251" s="126" t="s">
        <v>207</v>
      </c>
      <c r="P251" s="127" t="s">
        <v>1499</v>
      </c>
      <c r="Q251" s="128">
        <v>16.100000000000001</v>
      </c>
      <c r="R251" s="128">
        <v>16.100000000000001</v>
      </c>
      <c r="S251" s="129">
        <v>16.100000000000001</v>
      </c>
      <c r="T251" s="130" t="s">
        <v>1500</v>
      </c>
      <c r="U251" s="131">
        <v>45352</v>
      </c>
      <c r="V251" s="132">
        <v>45352</v>
      </c>
      <c r="W251" s="133">
        <v>5486</v>
      </c>
      <c r="X251" s="134" t="s">
        <v>1421</v>
      </c>
      <c r="Y251" s="135" t="s">
        <v>912</v>
      </c>
      <c r="Z251" s="128" t="s">
        <v>57</v>
      </c>
      <c r="AA251" s="128"/>
      <c r="AB251" s="136" t="s">
        <v>256</v>
      </c>
      <c r="AC251" s="137" t="s">
        <v>952</v>
      </c>
      <c r="AD251" s="136" t="s">
        <v>915</v>
      </c>
      <c r="AE251" s="136" t="s">
        <v>916</v>
      </c>
      <c r="AF251" s="136" t="s">
        <v>157</v>
      </c>
      <c r="AG251" s="136" t="s">
        <v>59</v>
      </c>
      <c r="AH251" s="138">
        <v>-16.100000000000001</v>
      </c>
      <c r="AI251" s="139" t="s">
        <v>58</v>
      </c>
      <c r="AJ251" s="139" t="s">
        <v>157</v>
      </c>
    </row>
    <row r="252" spans="1:36" ht="15.75" x14ac:dyDescent="0.25">
      <c r="A252" s="115">
        <v>7348</v>
      </c>
      <c r="B252" s="116" t="s">
        <v>36</v>
      </c>
      <c r="C252" s="117" t="s">
        <v>37</v>
      </c>
      <c r="D252" s="118" t="s">
        <v>36</v>
      </c>
      <c r="E252" s="119" t="s">
        <v>38</v>
      </c>
      <c r="F252" s="120" t="s">
        <v>39</v>
      </c>
      <c r="G252" s="118" t="s">
        <v>40</v>
      </c>
      <c r="H252" s="121" t="s">
        <v>41</v>
      </c>
      <c r="I252" s="120" t="s">
        <v>42</v>
      </c>
      <c r="J252" s="122" t="s">
        <v>43</v>
      </c>
      <c r="K252" s="123" t="s">
        <v>44</v>
      </c>
      <c r="L252" t="s">
        <v>192</v>
      </c>
      <c r="M252" s="124" t="s">
        <v>193</v>
      </c>
      <c r="N252" s="125" t="s">
        <v>194</v>
      </c>
      <c r="O252" s="126" t="s">
        <v>207</v>
      </c>
      <c r="P252" s="127" t="s">
        <v>1501</v>
      </c>
      <c r="Q252" s="128">
        <v>260</v>
      </c>
      <c r="R252" s="128">
        <v>260</v>
      </c>
      <c r="S252" s="129">
        <v>260</v>
      </c>
      <c r="T252" s="130" t="s">
        <v>1502</v>
      </c>
      <c r="U252" s="131">
        <v>45353</v>
      </c>
      <c r="V252" s="132">
        <v>45353</v>
      </c>
      <c r="W252" s="133">
        <v>5486</v>
      </c>
      <c r="X252" s="134" t="s">
        <v>1421</v>
      </c>
      <c r="Y252" s="135" t="s">
        <v>912</v>
      </c>
      <c r="Z252" s="128" t="s">
        <v>57</v>
      </c>
      <c r="AA252" s="128"/>
      <c r="AB252" s="136" t="s">
        <v>256</v>
      </c>
      <c r="AC252" s="137" t="s">
        <v>952</v>
      </c>
      <c r="AD252" s="136" t="s">
        <v>915</v>
      </c>
      <c r="AE252" s="136" t="s">
        <v>916</v>
      </c>
      <c r="AF252" s="136" t="s">
        <v>157</v>
      </c>
      <c r="AG252" s="136" t="s">
        <v>59</v>
      </c>
      <c r="AH252" s="138">
        <v>-260</v>
      </c>
      <c r="AI252" s="139" t="s">
        <v>58</v>
      </c>
      <c r="AJ252" s="139" t="s">
        <v>157</v>
      </c>
    </row>
    <row r="253" spans="1:36" ht="15.75" x14ac:dyDescent="0.25">
      <c r="A253" s="115">
        <v>7477</v>
      </c>
      <c r="B253" s="116" t="s">
        <v>36</v>
      </c>
      <c r="C253" s="117" t="s">
        <v>37</v>
      </c>
      <c r="D253" s="118" t="s">
        <v>36</v>
      </c>
      <c r="E253" s="119" t="s">
        <v>38</v>
      </c>
      <c r="F253" s="120" t="s">
        <v>39</v>
      </c>
      <c r="G253" s="118" t="s">
        <v>40</v>
      </c>
      <c r="H253" s="121" t="s">
        <v>41</v>
      </c>
      <c r="I253" s="120" t="s">
        <v>524</v>
      </c>
      <c r="J253" s="122" t="s">
        <v>525</v>
      </c>
      <c r="K253" s="123" t="s">
        <v>526</v>
      </c>
      <c r="L253" t="s">
        <v>192</v>
      </c>
      <c r="M253" s="124" t="s">
        <v>193</v>
      </c>
      <c r="N253" s="125" t="s">
        <v>194</v>
      </c>
      <c r="O253" s="126" t="s">
        <v>207</v>
      </c>
      <c r="P253" s="127" t="s">
        <v>1503</v>
      </c>
      <c r="Q253" s="128">
        <v>19.899999999999999</v>
      </c>
      <c r="R253" s="128">
        <v>19.899999999999999</v>
      </c>
      <c r="S253" s="129">
        <v>19.899999999999999</v>
      </c>
      <c r="T253" s="130" t="s">
        <v>1504</v>
      </c>
      <c r="U253" s="131">
        <v>45355</v>
      </c>
      <c r="V253" s="132">
        <v>45355</v>
      </c>
      <c r="W253" s="133">
        <v>5486</v>
      </c>
      <c r="X253" s="134" t="s">
        <v>1421</v>
      </c>
      <c r="Y253" s="135" t="s">
        <v>912</v>
      </c>
      <c r="Z253" s="128" t="s">
        <v>57</v>
      </c>
      <c r="AA253" s="128"/>
      <c r="AB253" s="136" t="s">
        <v>256</v>
      </c>
      <c r="AC253" s="137" t="s">
        <v>952</v>
      </c>
      <c r="AD253" s="136" t="s">
        <v>915</v>
      </c>
      <c r="AE253" s="136" t="s">
        <v>916</v>
      </c>
      <c r="AF253" s="136" t="s">
        <v>157</v>
      </c>
      <c r="AG253" s="136" t="s">
        <v>59</v>
      </c>
      <c r="AH253" s="138">
        <v>-19.899999999999999</v>
      </c>
      <c r="AI253" s="139" t="s">
        <v>58</v>
      </c>
      <c r="AJ253" s="139" t="s">
        <v>157</v>
      </c>
    </row>
    <row r="254" spans="1:36" ht="15.75" x14ac:dyDescent="0.25">
      <c r="A254" s="115">
        <v>7500</v>
      </c>
      <c r="B254" s="116" t="s">
        <v>36</v>
      </c>
      <c r="C254" s="117" t="s">
        <v>37</v>
      </c>
      <c r="D254" s="118" t="s">
        <v>36</v>
      </c>
      <c r="E254" s="119" t="s">
        <v>38</v>
      </c>
      <c r="F254" s="120" t="s">
        <v>39</v>
      </c>
      <c r="G254" s="118" t="s">
        <v>40</v>
      </c>
      <c r="H254" s="121" t="s">
        <v>41</v>
      </c>
      <c r="I254" s="120" t="s">
        <v>1319</v>
      </c>
      <c r="J254" s="122" t="s">
        <v>1320</v>
      </c>
      <c r="K254" s="123" t="s">
        <v>1321</v>
      </c>
      <c r="L254" t="s">
        <v>192</v>
      </c>
      <c r="M254" s="124" t="s">
        <v>193</v>
      </c>
      <c r="N254" s="125" t="s">
        <v>194</v>
      </c>
      <c r="O254" s="126" t="s">
        <v>207</v>
      </c>
      <c r="P254" s="127" t="s">
        <v>1505</v>
      </c>
      <c r="Q254" s="128">
        <v>15.55</v>
      </c>
      <c r="R254" s="128">
        <v>15.55</v>
      </c>
      <c r="S254" s="129">
        <v>15.55</v>
      </c>
      <c r="T254" s="130" t="s">
        <v>1506</v>
      </c>
      <c r="U254" s="131">
        <v>45356</v>
      </c>
      <c r="V254" s="132">
        <v>45356</v>
      </c>
      <c r="W254" s="133">
        <v>10670</v>
      </c>
      <c r="X254" s="134" t="s">
        <v>1507</v>
      </c>
      <c r="Y254" s="135" t="s">
        <v>912</v>
      </c>
      <c r="Z254" s="128" t="s">
        <v>57</v>
      </c>
      <c r="AA254" s="128"/>
      <c r="AB254" s="136" t="s">
        <v>256</v>
      </c>
      <c r="AC254" s="137" t="s">
        <v>952</v>
      </c>
      <c r="AD254" s="136" t="s">
        <v>915</v>
      </c>
      <c r="AE254" s="136" t="s">
        <v>916</v>
      </c>
      <c r="AF254" s="136" t="s">
        <v>157</v>
      </c>
      <c r="AG254" s="136" t="s">
        <v>59</v>
      </c>
      <c r="AH254" s="138">
        <v>-15.55</v>
      </c>
      <c r="AI254" s="139" t="s">
        <v>58</v>
      </c>
      <c r="AJ254" s="139" t="s">
        <v>157</v>
      </c>
    </row>
    <row r="255" spans="1:36" ht="15.75" x14ac:dyDescent="0.25">
      <c r="A255" s="115">
        <v>7843</v>
      </c>
      <c r="B255" s="116" t="s">
        <v>36</v>
      </c>
      <c r="C255" s="117" t="s">
        <v>37</v>
      </c>
      <c r="D255" s="118" t="s">
        <v>36</v>
      </c>
      <c r="E255" s="119" t="s">
        <v>38</v>
      </c>
      <c r="F255" s="140" t="s">
        <v>39</v>
      </c>
      <c r="G255" s="118" t="s">
        <v>40</v>
      </c>
      <c r="H255" s="121" t="s">
        <v>41</v>
      </c>
      <c r="I255" s="120" t="s">
        <v>524</v>
      </c>
      <c r="J255" s="122" t="s">
        <v>525</v>
      </c>
      <c r="K255" s="123" t="s">
        <v>526</v>
      </c>
      <c r="L255" t="s">
        <v>192</v>
      </c>
      <c r="M255" s="124" t="s">
        <v>193</v>
      </c>
      <c r="N255" s="125" t="s">
        <v>194</v>
      </c>
      <c r="O255" s="126" t="s">
        <v>207</v>
      </c>
      <c r="P255" s="127" t="s">
        <v>1508</v>
      </c>
      <c r="Q255" s="128">
        <v>126.52</v>
      </c>
      <c r="R255" s="128">
        <v>126.52</v>
      </c>
      <c r="S255" s="129">
        <v>126.52</v>
      </c>
      <c r="T255" s="130" t="s">
        <v>1509</v>
      </c>
      <c r="U255" s="131">
        <v>45358</v>
      </c>
      <c r="V255" s="132">
        <v>45359</v>
      </c>
      <c r="W255" s="133">
        <v>9971</v>
      </c>
      <c r="X255" s="134" t="s">
        <v>1445</v>
      </c>
      <c r="Y255" s="135" t="s">
        <v>912</v>
      </c>
      <c r="Z255" s="128" t="s">
        <v>57</v>
      </c>
      <c r="AA255" s="128"/>
      <c r="AB255" s="136" t="s">
        <v>256</v>
      </c>
      <c r="AC255" s="137" t="s">
        <v>952</v>
      </c>
      <c r="AD255" s="136" t="s">
        <v>915</v>
      </c>
      <c r="AE255" s="136" t="s">
        <v>916</v>
      </c>
      <c r="AF255" s="136" t="s">
        <v>157</v>
      </c>
      <c r="AG255" s="136" t="s">
        <v>59</v>
      </c>
      <c r="AH255" s="138">
        <v>-126.52</v>
      </c>
      <c r="AI255" s="139" t="s">
        <v>58</v>
      </c>
      <c r="AJ255" s="139" t="s">
        <v>157</v>
      </c>
    </row>
    <row r="256" spans="1:36" ht="15.75" x14ac:dyDescent="0.25">
      <c r="A256" s="115">
        <v>7895</v>
      </c>
      <c r="B256" s="116" t="s">
        <v>36</v>
      </c>
      <c r="C256" s="117" t="s">
        <v>37</v>
      </c>
      <c r="D256" s="118" t="s">
        <v>36</v>
      </c>
      <c r="E256" s="119" t="s">
        <v>38</v>
      </c>
      <c r="F256" s="120" t="s">
        <v>39</v>
      </c>
      <c r="G256" s="118" t="s">
        <v>40</v>
      </c>
      <c r="H256" s="121" t="s">
        <v>41</v>
      </c>
      <c r="I256" s="120" t="s">
        <v>524</v>
      </c>
      <c r="J256" s="122" t="s">
        <v>525</v>
      </c>
      <c r="K256" s="123" t="s">
        <v>526</v>
      </c>
      <c r="L256" t="s">
        <v>192</v>
      </c>
      <c r="M256" s="124" t="s">
        <v>193</v>
      </c>
      <c r="N256" s="125" t="s">
        <v>194</v>
      </c>
      <c r="O256" s="126" t="s">
        <v>207</v>
      </c>
      <c r="P256" s="127" t="s">
        <v>1510</v>
      </c>
      <c r="Q256" s="128">
        <v>9.5</v>
      </c>
      <c r="R256" s="128">
        <v>9.5</v>
      </c>
      <c r="S256" s="129">
        <v>9.5</v>
      </c>
      <c r="T256" s="130" t="s">
        <v>1511</v>
      </c>
      <c r="U256" s="131">
        <v>45358</v>
      </c>
      <c r="V256" s="132">
        <v>45358</v>
      </c>
      <c r="W256" s="133">
        <v>5486</v>
      </c>
      <c r="X256" s="134" t="s">
        <v>1421</v>
      </c>
      <c r="Y256" s="135" t="s">
        <v>912</v>
      </c>
      <c r="Z256" s="128" t="s">
        <v>57</v>
      </c>
      <c r="AA256" s="128"/>
      <c r="AB256" s="136" t="s">
        <v>256</v>
      </c>
      <c r="AC256" s="137" t="s">
        <v>952</v>
      </c>
      <c r="AD256" s="136" t="s">
        <v>915</v>
      </c>
      <c r="AE256" s="136" t="s">
        <v>916</v>
      </c>
      <c r="AF256" s="136" t="s">
        <v>157</v>
      </c>
      <c r="AG256" s="136" t="s">
        <v>59</v>
      </c>
      <c r="AH256" s="138">
        <v>-9.5</v>
      </c>
      <c r="AI256" s="139" t="s">
        <v>58</v>
      </c>
      <c r="AJ256" s="139" t="s">
        <v>157</v>
      </c>
    </row>
    <row r="257" spans="1:36" ht="15.75" x14ac:dyDescent="0.25">
      <c r="A257" s="115">
        <v>7897</v>
      </c>
      <c r="B257" s="116" t="s">
        <v>36</v>
      </c>
      <c r="C257" s="117" t="s">
        <v>37</v>
      </c>
      <c r="D257" s="118" t="s">
        <v>36</v>
      </c>
      <c r="E257" s="119" t="s">
        <v>38</v>
      </c>
      <c r="F257" s="120" t="s">
        <v>39</v>
      </c>
      <c r="G257" s="118" t="s">
        <v>40</v>
      </c>
      <c r="H257" s="121" t="s">
        <v>41</v>
      </c>
      <c r="I257" s="120" t="s">
        <v>301</v>
      </c>
      <c r="J257" s="122" t="s">
        <v>302</v>
      </c>
      <c r="K257" s="123" t="s">
        <v>303</v>
      </c>
      <c r="L257" t="s">
        <v>192</v>
      </c>
      <c r="M257" s="124" t="s">
        <v>193</v>
      </c>
      <c r="N257" s="125" t="s">
        <v>194</v>
      </c>
      <c r="O257" s="126" t="s">
        <v>929</v>
      </c>
      <c r="P257" s="127">
        <v>63823</v>
      </c>
      <c r="Q257" s="128"/>
      <c r="R257" s="128"/>
      <c r="S257" s="129">
        <v>1375.31</v>
      </c>
      <c r="T257" s="130" t="s">
        <v>1327</v>
      </c>
      <c r="U257" s="131">
        <v>45359</v>
      </c>
      <c r="V257" s="132"/>
      <c r="W257" s="133"/>
      <c r="X257" s="134" t="s">
        <v>1046</v>
      </c>
      <c r="Y257" s="135" t="s">
        <v>912</v>
      </c>
      <c r="Z257" s="128" t="s">
        <v>96</v>
      </c>
      <c r="AA257" s="128" t="s">
        <v>1418</v>
      </c>
      <c r="AB257" s="136" t="s">
        <v>256</v>
      </c>
      <c r="AC257" s="137" t="s">
        <v>952</v>
      </c>
      <c r="AD257" s="136" t="s">
        <v>915</v>
      </c>
      <c r="AE257" s="136" t="s">
        <v>916</v>
      </c>
      <c r="AF257" s="136" t="s">
        <v>157</v>
      </c>
      <c r="AG257" s="136" t="s">
        <v>59</v>
      </c>
      <c r="AH257" s="138">
        <v>-1375.31</v>
      </c>
      <c r="AI257" s="139" t="s">
        <v>58</v>
      </c>
      <c r="AJ257" s="139" t="s">
        <v>157</v>
      </c>
    </row>
    <row r="258" spans="1:36" ht="15.75" x14ac:dyDescent="0.25">
      <c r="A258" s="115">
        <v>7943</v>
      </c>
      <c r="B258" s="116" t="s">
        <v>36</v>
      </c>
      <c r="C258" s="117" t="s">
        <v>37</v>
      </c>
      <c r="D258" s="118" t="s">
        <v>36</v>
      </c>
      <c r="E258" s="119" t="s">
        <v>38</v>
      </c>
      <c r="F258" s="120" t="s">
        <v>39</v>
      </c>
      <c r="G258" s="118" t="s">
        <v>40</v>
      </c>
      <c r="H258" s="121" t="s">
        <v>41</v>
      </c>
      <c r="I258" s="120" t="s">
        <v>524</v>
      </c>
      <c r="J258" s="122" t="s">
        <v>525</v>
      </c>
      <c r="K258" s="123" t="s">
        <v>526</v>
      </c>
      <c r="L258" t="s">
        <v>192</v>
      </c>
      <c r="M258" s="124" t="s">
        <v>193</v>
      </c>
      <c r="N258" s="125" t="s">
        <v>194</v>
      </c>
      <c r="O258" s="126" t="s">
        <v>207</v>
      </c>
      <c r="P258" s="127" t="s">
        <v>1512</v>
      </c>
      <c r="Q258" s="128">
        <v>26.9</v>
      </c>
      <c r="R258" s="128">
        <v>26.9</v>
      </c>
      <c r="S258" s="129">
        <v>26.9</v>
      </c>
      <c r="T258" s="130" t="s">
        <v>1513</v>
      </c>
      <c r="U258" s="131">
        <v>45359</v>
      </c>
      <c r="V258" s="132">
        <v>45359</v>
      </c>
      <c r="W258" s="133">
        <v>3003</v>
      </c>
      <c r="X258" s="134" t="s">
        <v>1334</v>
      </c>
      <c r="Y258" s="135" t="s">
        <v>912</v>
      </c>
      <c r="Z258" s="128" t="s">
        <v>57</v>
      </c>
      <c r="AA258" s="128"/>
      <c r="AB258" s="136" t="s">
        <v>256</v>
      </c>
      <c r="AC258" s="137" t="s">
        <v>952</v>
      </c>
      <c r="AD258" s="136" t="s">
        <v>915</v>
      </c>
      <c r="AE258" s="136" t="s">
        <v>916</v>
      </c>
      <c r="AF258" s="136" t="s">
        <v>157</v>
      </c>
      <c r="AG258" s="136" t="s">
        <v>59</v>
      </c>
      <c r="AH258" s="138">
        <v>-26.9</v>
      </c>
      <c r="AI258" s="139" t="s">
        <v>58</v>
      </c>
      <c r="AJ258" s="139" t="s">
        <v>157</v>
      </c>
    </row>
    <row r="259" spans="1:36" ht="15.75" x14ac:dyDescent="0.25">
      <c r="A259" s="115">
        <v>8059</v>
      </c>
      <c r="B259" s="116" t="s">
        <v>36</v>
      </c>
      <c r="C259" s="117" t="s">
        <v>37</v>
      </c>
      <c r="D259" s="118" t="s">
        <v>36</v>
      </c>
      <c r="E259" s="119" t="s">
        <v>38</v>
      </c>
      <c r="F259" s="120" t="s">
        <v>39</v>
      </c>
      <c r="G259" s="118" t="s">
        <v>40</v>
      </c>
      <c r="H259" s="121" t="s">
        <v>41</v>
      </c>
      <c r="I259" s="120" t="s">
        <v>301</v>
      </c>
      <c r="J259" s="122" t="s">
        <v>302</v>
      </c>
      <c r="K259" s="123" t="s">
        <v>303</v>
      </c>
      <c r="L259" t="s">
        <v>192</v>
      </c>
      <c r="M259" s="124" t="s">
        <v>193</v>
      </c>
      <c r="N259" s="125" t="s">
        <v>194</v>
      </c>
      <c r="O259" s="126" t="s">
        <v>929</v>
      </c>
      <c r="P259" s="127">
        <v>63875</v>
      </c>
      <c r="Q259" s="128"/>
      <c r="R259" s="128"/>
      <c r="S259" s="129">
        <v>10.97</v>
      </c>
      <c r="T259" s="130" t="s">
        <v>1327</v>
      </c>
      <c r="U259" s="131">
        <v>45362</v>
      </c>
      <c r="V259" s="132"/>
      <c r="W259" s="133"/>
      <c r="X259" s="134" t="s">
        <v>1046</v>
      </c>
      <c r="Y259" s="135" t="s">
        <v>912</v>
      </c>
      <c r="Z259" s="128" t="s">
        <v>96</v>
      </c>
      <c r="AA259" s="128" t="s">
        <v>1418</v>
      </c>
      <c r="AB259" s="136" t="s">
        <v>256</v>
      </c>
      <c r="AC259" s="137" t="s">
        <v>952</v>
      </c>
      <c r="AD259" s="136" t="s">
        <v>915</v>
      </c>
      <c r="AE259" s="136" t="s">
        <v>916</v>
      </c>
      <c r="AF259" s="136" t="s">
        <v>157</v>
      </c>
      <c r="AG259" s="136" t="s">
        <v>59</v>
      </c>
      <c r="AH259" s="138">
        <v>-10.97</v>
      </c>
      <c r="AI259" s="139" t="s">
        <v>58</v>
      </c>
      <c r="AJ259" s="139" t="s">
        <v>157</v>
      </c>
    </row>
    <row r="260" spans="1:36" ht="15.75" x14ac:dyDescent="0.25">
      <c r="A260" s="115">
        <v>8499</v>
      </c>
      <c r="B260" s="116" t="s">
        <v>36</v>
      </c>
      <c r="C260" s="117" t="s">
        <v>37</v>
      </c>
      <c r="D260" s="118" t="s">
        <v>36</v>
      </c>
      <c r="E260" s="119" t="s">
        <v>38</v>
      </c>
      <c r="F260" s="120" t="s">
        <v>39</v>
      </c>
      <c r="G260" s="118" t="s">
        <v>40</v>
      </c>
      <c r="H260" s="121" t="s">
        <v>41</v>
      </c>
      <c r="I260" s="120" t="s">
        <v>946</v>
      </c>
      <c r="J260" s="122" t="s">
        <v>947</v>
      </c>
      <c r="K260" s="123" t="s">
        <v>948</v>
      </c>
      <c r="L260" t="s">
        <v>192</v>
      </c>
      <c r="M260" s="124" t="s">
        <v>193</v>
      </c>
      <c r="N260" s="125" t="s">
        <v>194</v>
      </c>
      <c r="O260" s="126" t="s">
        <v>121</v>
      </c>
      <c r="P260" s="127" t="s">
        <v>949</v>
      </c>
      <c r="Q260" s="128">
        <v>5218.8900000000003</v>
      </c>
      <c r="R260" s="128">
        <v>5218.8900000000003</v>
      </c>
      <c r="S260" s="129">
        <v>5218.8900000000003</v>
      </c>
      <c r="T260" s="130" t="s">
        <v>950</v>
      </c>
      <c r="U260" s="131">
        <v>45365</v>
      </c>
      <c r="V260" s="132">
        <v>45366</v>
      </c>
      <c r="W260" s="133">
        <v>3085</v>
      </c>
      <c r="X260" s="134" t="s">
        <v>951</v>
      </c>
      <c r="Y260" s="135" t="s">
        <v>912</v>
      </c>
      <c r="Z260" s="128" t="s">
        <v>57</v>
      </c>
      <c r="AA260" s="128"/>
      <c r="AB260" s="136" t="s">
        <v>256</v>
      </c>
      <c r="AC260" s="137" t="s">
        <v>952</v>
      </c>
      <c r="AD260" s="136" t="s">
        <v>915</v>
      </c>
      <c r="AE260" s="136" t="s">
        <v>916</v>
      </c>
      <c r="AF260" s="136" t="s">
        <v>157</v>
      </c>
      <c r="AG260" s="136" t="s">
        <v>59</v>
      </c>
      <c r="AH260" s="138">
        <v>-5218.8900000000003</v>
      </c>
      <c r="AI260" s="139" t="s">
        <v>58</v>
      </c>
      <c r="AJ260" s="139" t="s">
        <v>157</v>
      </c>
    </row>
    <row r="261" spans="1:36" ht="15.75" x14ac:dyDescent="0.25">
      <c r="A261" s="115">
        <v>8587</v>
      </c>
      <c r="B261" s="116" t="s">
        <v>36</v>
      </c>
      <c r="C261" s="117" t="s">
        <v>37</v>
      </c>
      <c r="D261" s="118" t="s">
        <v>36</v>
      </c>
      <c r="E261" s="119" t="s">
        <v>38</v>
      </c>
      <c r="F261" s="140" t="s">
        <v>39</v>
      </c>
      <c r="G261" s="118" t="s">
        <v>40</v>
      </c>
      <c r="H261" s="121" t="s">
        <v>41</v>
      </c>
      <c r="I261" s="120" t="s">
        <v>524</v>
      </c>
      <c r="J261" s="122" t="s">
        <v>525</v>
      </c>
      <c r="K261" s="123" t="s">
        <v>526</v>
      </c>
      <c r="L261" t="s">
        <v>192</v>
      </c>
      <c r="M261" s="124" t="s">
        <v>193</v>
      </c>
      <c r="N261" s="125" t="s">
        <v>194</v>
      </c>
      <c r="O261" s="126" t="s">
        <v>207</v>
      </c>
      <c r="P261" s="127" t="s">
        <v>1514</v>
      </c>
      <c r="Q261" s="128">
        <v>561.67999999999995</v>
      </c>
      <c r="R261" s="128">
        <v>561.67999999999995</v>
      </c>
      <c r="S261" s="129">
        <v>561.67999999999995</v>
      </c>
      <c r="T261" s="130" t="s">
        <v>1515</v>
      </c>
      <c r="U261" s="131">
        <v>45366</v>
      </c>
      <c r="V261" s="132">
        <v>45366</v>
      </c>
      <c r="W261" s="133">
        <v>4118</v>
      </c>
      <c r="X261" s="134" t="s">
        <v>1498</v>
      </c>
      <c r="Y261" s="135" t="s">
        <v>912</v>
      </c>
      <c r="Z261" s="128" t="s">
        <v>57</v>
      </c>
      <c r="AA261" s="128"/>
      <c r="AB261" s="136" t="s">
        <v>256</v>
      </c>
      <c r="AC261" s="137" t="s">
        <v>952</v>
      </c>
      <c r="AD261" s="136" t="s">
        <v>915</v>
      </c>
      <c r="AE261" s="136" t="s">
        <v>916</v>
      </c>
      <c r="AF261" s="136" t="s">
        <v>157</v>
      </c>
      <c r="AG261" s="136" t="s">
        <v>59</v>
      </c>
      <c r="AH261" s="138">
        <v>-561.67999999999995</v>
      </c>
      <c r="AI261" s="139" t="s">
        <v>58</v>
      </c>
      <c r="AJ261" s="139" t="s">
        <v>157</v>
      </c>
    </row>
    <row r="262" spans="1:36" ht="15.75" x14ac:dyDescent="0.25">
      <c r="A262" s="115">
        <v>8651</v>
      </c>
      <c r="B262" s="116" t="s">
        <v>36</v>
      </c>
      <c r="C262" s="117" t="s">
        <v>37</v>
      </c>
      <c r="D262" s="118" t="s">
        <v>36</v>
      </c>
      <c r="E262" s="119" t="s">
        <v>38</v>
      </c>
      <c r="F262" s="120" t="s">
        <v>39</v>
      </c>
      <c r="G262" s="118" t="s">
        <v>40</v>
      </c>
      <c r="H262" s="121" t="s">
        <v>41</v>
      </c>
      <c r="I262" s="120" t="s">
        <v>42</v>
      </c>
      <c r="J262" s="122" t="s">
        <v>43</v>
      </c>
      <c r="K262" s="123" t="s">
        <v>44</v>
      </c>
      <c r="L262" t="s">
        <v>192</v>
      </c>
      <c r="M262" s="124" t="s">
        <v>193</v>
      </c>
      <c r="N262" s="125" t="s">
        <v>194</v>
      </c>
      <c r="O262" s="126" t="s">
        <v>207</v>
      </c>
      <c r="P262" s="127" t="s">
        <v>1516</v>
      </c>
      <c r="Q262" s="128">
        <v>260</v>
      </c>
      <c r="R262" s="128">
        <v>260</v>
      </c>
      <c r="S262" s="129">
        <v>260</v>
      </c>
      <c r="T262" s="130" t="s">
        <v>1517</v>
      </c>
      <c r="U262" s="131">
        <v>45367</v>
      </c>
      <c r="V262" s="132">
        <v>45367</v>
      </c>
      <c r="W262" s="133">
        <v>5486</v>
      </c>
      <c r="X262" s="134" t="s">
        <v>1421</v>
      </c>
      <c r="Y262" s="135" t="s">
        <v>912</v>
      </c>
      <c r="Z262" s="128" t="s">
        <v>57</v>
      </c>
      <c r="AA262" s="128"/>
      <c r="AB262" s="136" t="s">
        <v>256</v>
      </c>
      <c r="AC262" s="137" t="s">
        <v>952</v>
      </c>
      <c r="AD262" s="136" t="s">
        <v>915</v>
      </c>
      <c r="AE262" s="136" t="s">
        <v>916</v>
      </c>
      <c r="AF262" s="136" t="s">
        <v>157</v>
      </c>
      <c r="AG262" s="136" t="s">
        <v>59</v>
      </c>
      <c r="AH262" s="138">
        <v>-260</v>
      </c>
      <c r="AI262" s="139" t="s">
        <v>58</v>
      </c>
      <c r="AJ262" s="139" t="s">
        <v>157</v>
      </c>
    </row>
    <row r="263" spans="1:36" ht="15.75" x14ac:dyDescent="0.25">
      <c r="A263" s="115">
        <v>8746</v>
      </c>
      <c r="B263" s="116" t="s">
        <v>36</v>
      </c>
      <c r="C263" s="117" t="s">
        <v>37</v>
      </c>
      <c r="D263" s="118" t="s">
        <v>36</v>
      </c>
      <c r="E263" s="119" t="s">
        <v>38</v>
      </c>
      <c r="F263" s="120" t="s">
        <v>39</v>
      </c>
      <c r="G263" s="118" t="s">
        <v>40</v>
      </c>
      <c r="H263" s="121" t="s">
        <v>41</v>
      </c>
      <c r="I263" s="120" t="s">
        <v>524</v>
      </c>
      <c r="J263" s="122" t="s">
        <v>525</v>
      </c>
      <c r="K263" s="123" t="s">
        <v>526</v>
      </c>
      <c r="L263" t="s">
        <v>192</v>
      </c>
      <c r="M263" s="124" t="s">
        <v>193</v>
      </c>
      <c r="N263" s="125" t="s">
        <v>194</v>
      </c>
      <c r="O263" s="126" t="s">
        <v>207</v>
      </c>
      <c r="P263" s="127" t="s">
        <v>1518</v>
      </c>
      <c r="Q263" s="128">
        <v>20.6</v>
      </c>
      <c r="R263" s="128">
        <v>20.6</v>
      </c>
      <c r="S263" s="129">
        <v>20.6</v>
      </c>
      <c r="T263" s="130" t="s">
        <v>1519</v>
      </c>
      <c r="U263" s="131">
        <v>45369</v>
      </c>
      <c r="V263" s="132">
        <v>45369</v>
      </c>
      <c r="W263" s="133">
        <v>5486</v>
      </c>
      <c r="X263" s="134" t="s">
        <v>1421</v>
      </c>
      <c r="Y263" s="135" t="s">
        <v>912</v>
      </c>
      <c r="Z263" s="128" t="s">
        <v>57</v>
      </c>
      <c r="AA263" s="128"/>
      <c r="AB263" s="136" t="s">
        <v>256</v>
      </c>
      <c r="AC263" s="137" t="s">
        <v>952</v>
      </c>
      <c r="AD263" s="136" t="s">
        <v>915</v>
      </c>
      <c r="AE263" s="136" t="s">
        <v>916</v>
      </c>
      <c r="AF263" s="136" t="s">
        <v>157</v>
      </c>
      <c r="AG263" s="136" t="s">
        <v>59</v>
      </c>
      <c r="AH263" s="138">
        <v>-20.6</v>
      </c>
      <c r="AI263" s="139" t="s">
        <v>58</v>
      </c>
      <c r="AJ263" s="139" t="s">
        <v>157</v>
      </c>
    </row>
    <row r="264" spans="1:36" ht="15.75" x14ac:dyDescent="0.25">
      <c r="A264" s="115">
        <v>8750</v>
      </c>
      <c r="B264" s="116" t="s">
        <v>36</v>
      </c>
      <c r="C264" s="117" t="s">
        <v>37</v>
      </c>
      <c r="D264" s="118" t="s">
        <v>36</v>
      </c>
      <c r="E264" s="119" t="s">
        <v>38</v>
      </c>
      <c r="F264" s="120" t="s">
        <v>39</v>
      </c>
      <c r="G264" s="118" t="s">
        <v>40</v>
      </c>
      <c r="H264" s="121" t="s">
        <v>41</v>
      </c>
      <c r="I264" s="120" t="s">
        <v>301</v>
      </c>
      <c r="J264" s="122" t="s">
        <v>302</v>
      </c>
      <c r="K264" s="123" t="s">
        <v>303</v>
      </c>
      <c r="L264" t="s">
        <v>192</v>
      </c>
      <c r="M264" s="124" t="s">
        <v>193</v>
      </c>
      <c r="N264" s="125" t="s">
        <v>194</v>
      </c>
      <c r="O264" s="126" t="s">
        <v>929</v>
      </c>
      <c r="P264" s="127">
        <v>64107</v>
      </c>
      <c r="Q264" s="128"/>
      <c r="R264" s="128"/>
      <c r="S264" s="129">
        <v>720</v>
      </c>
      <c r="T264" s="130" t="s">
        <v>1327</v>
      </c>
      <c r="U264" s="131">
        <v>45370</v>
      </c>
      <c r="V264" s="132"/>
      <c r="W264" s="133"/>
      <c r="X264" s="134" t="s">
        <v>1046</v>
      </c>
      <c r="Y264" s="135" t="s">
        <v>912</v>
      </c>
      <c r="Z264" s="128" t="s">
        <v>96</v>
      </c>
      <c r="AA264" s="128" t="s">
        <v>1418</v>
      </c>
      <c r="AB264" s="136" t="s">
        <v>256</v>
      </c>
      <c r="AC264" s="137" t="s">
        <v>952</v>
      </c>
      <c r="AD264" s="136" t="s">
        <v>915</v>
      </c>
      <c r="AE264" s="136" t="s">
        <v>916</v>
      </c>
      <c r="AF264" s="136" t="s">
        <v>157</v>
      </c>
      <c r="AG264" s="136" t="s">
        <v>59</v>
      </c>
      <c r="AH264" s="138">
        <v>-720</v>
      </c>
      <c r="AI264" s="139" t="s">
        <v>58</v>
      </c>
      <c r="AJ264" s="139" t="s">
        <v>157</v>
      </c>
    </row>
    <row r="265" spans="1:36" ht="15.75" x14ac:dyDescent="0.25">
      <c r="A265" s="115">
        <v>9004</v>
      </c>
      <c r="B265" s="116" t="s">
        <v>36</v>
      </c>
      <c r="C265" s="117" t="s">
        <v>37</v>
      </c>
      <c r="D265" s="118" t="s">
        <v>36</v>
      </c>
      <c r="E265" s="119" t="s">
        <v>38</v>
      </c>
      <c r="F265" s="120" t="s">
        <v>39</v>
      </c>
      <c r="G265" s="118" t="s">
        <v>40</v>
      </c>
      <c r="H265" s="121" t="s">
        <v>41</v>
      </c>
      <c r="I265" s="120" t="s">
        <v>301</v>
      </c>
      <c r="J265" s="122" t="s">
        <v>302</v>
      </c>
      <c r="K265" s="123" t="s">
        <v>303</v>
      </c>
      <c r="L265" t="s">
        <v>192</v>
      </c>
      <c r="M265" s="124" t="s">
        <v>193</v>
      </c>
      <c r="N265" s="125" t="s">
        <v>194</v>
      </c>
      <c r="O265" s="126" t="s">
        <v>929</v>
      </c>
      <c r="P265" s="127">
        <v>64217</v>
      </c>
      <c r="Q265" s="128"/>
      <c r="R265" s="128"/>
      <c r="S265" s="129">
        <v>1122.06</v>
      </c>
      <c r="T265" s="130" t="s">
        <v>1327</v>
      </c>
      <c r="U265" s="131">
        <v>45372</v>
      </c>
      <c r="V265" s="132"/>
      <c r="W265" s="133"/>
      <c r="X265" s="134" t="s">
        <v>1046</v>
      </c>
      <c r="Y265" s="135" t="s">
        <v>912</v>
      </c>
      <c r="Z265" s="128" t="s">
        <v>96</v>
      </c>
      <c r="AA265" s="128" t="s">
        <v>1418</v>
      </c>
      <c r="AB265" s="136" t="s">
        <v>256</v>
      </c>
      <c r="AC265" s="137" t="s">
        <v>952</v>
      </c>
      <c r="AD265" s="136" t="s">
        <v>915</v>
      </c>
      <c r="AE265" s="136" t="s">
        <v>916</v>
      </c>
      <c r="AF265" s="136" t="s">
        <v>157</v>
      </c>
      <c r="AG265" s="136" t="s">
        <v>59</v>
      </c>
      <c r="AH265" s="138">
        <v>-1122.06</v>
      </c>
      <c r="AI265" s="139" t="s">
        <v>58</v>
      </c>
      <c r="AJ265" s="139" t="s">
        <v>157</v>
      </c>
    </row>
    <row r="266" spans="1:36" ht="15.75" x14ac:dyDescent="0.25">
      <c r="A266" s="115">
        <v>9064</v>
      </c>
      <c r="B266" s="116" t="s">
        <v>36</v>
      </c>
      <c r="C266" s="117" t="s">
        <v>37</v>
      </c>
      <c r="D266" s="118" t="s">
        <v>36</v>
      </c>
      <c r="E266" s="119" t="s">
        <v>38</v>
      </c>
      <c r="F266" s="120" t="s">
        <v>39</v>
      </c>
      <c r="G266" s="118" t="s">
        <v>40</v>
      </c>
      <c r="H266" s="121" t="s">
        <v>41</v>
      </c>
      <c r="I266" s="120" t="s">
        <v>301</v>
      </c>
      <c r="J266" s="122" t="s">
        <v>302</v>
      </c>
      <c r="K266" s="123" t="s">
        <v>303</v>
      </c>
      <c r="L266" t="s">
        <v>192</v>
      </c>
      <c r="M266" s="124" t="s">
        <v>193</v>
      </c>
      <c r="N266" s="125" t="s">
        <v>194</v>
      </c>
      <c r="O266" s="126" t="s">
        <v>929</v>
      </c>
      <c r="P266" s="127">
        <v>64227</v>
      </c>
      <c r="Q266" s="128"/>
      <c r="R266" s="128"/>
      <c r="S266" s="129">
        <v>2493.09</v>
      </c>
      <c r="T266" s="130" t="s">
        <v>1327</v>
      </c>
      <c r="U266" s="131">
        <v>45373</v>
      </c>
      <c r="V266" s="132"/>
      <c r="W266" s="133"/>
      <c r="X266" s="134" t="s">
        <v>1046</v>
      </c>
      <c r="Y266" s="135" t="s">
        <v>912</v>
      </c>
      <c r="Z266" s="128" t="s">
        <v>96</v>
      </c>
      <c r="AA266" s="128" t="s">
        <v>1418</v>
      </c>
      <c r="AB266" s="136" t="s">
        <v>256</v>
      </c>
      <c r="AC266" s="137" t="s">
        <v>952</v>
      </c>
      <c r="AD266" s="136" t="s">
        <v>915</v>
      </c>
      <c r="AE266" s="136" t="s">
        <v>916</v>
      </c>
      <c r="AF266" s="136" t="s">
        <v>157</v>
      </c>
      <c r="AG266" s="136" t="s">
        <v>59</v>
      </c>
      <c r="AH266" s="138">
        <v>-2493.09</v>
      </c>
      <c r="AI266" s="139" t="s">
        <v>58</v>
      </c>
      <c r="AJ266" s="139" t="s">
        <v>157</v>
      </c>
    </row>
    <row r="267" spans="1:36" ht="15.75" x14ac:dyDescent="0.25">
      <c r="A267" s="115">
        <v>9437</v>
      </c>
      <c r="B267" s="116" t="s">
        <v>36</v>
      </c>
      <c r="C267" s="117" t="s">
        <v>37</v>
      </c>
      <c r="D267" s="118" t="s">
        <v>36</v>
      </c>
      <c r="E267" s="119" t="s">
        <v>38</v>
      </c>
      <c r="F267" s="120" t="s">
        <v>39</v>
      </c>
      <c r="G267" s="118" t="s">
        <v>40</v>
      </c>
      <c r="H267" s="121" t="s">
        <v>41</v>
      </c>
      <c r="I267" s="120" t="s">
        <v>301</v>
      </c>
      <c r="J267" s="122" t="s">
        <v>302</v>
      </c>
      <c r="K267" s="123" t="s">
        <v>303</v>
      </c>
      <c r="L267" t="s">
        <v>192</v>
      </c>
      <c r="M267" s="124" t="s">
        <v>193</v>
      </c>
      <c r="N267" s="125" t="s">
        <v>194</v>
      </c>
      <c r="O267" s="126" t="s">
        <v>929</v>
      </c>
      <c r="P267" s="127">
        <v>64818</v>
      </c>
      <c r="Q267" s="128"/>
      <c r="R267" s="128"/>
      <c r="S267" s="129">
        <v>54.76</v>
      </c>
      <c r="T267" s="130" t="s">
        <v>1327</v>
      </c>
      <c r="U267" s="131">
        <v>45378</v>
      </c>
      <c r="V267" s="132"/>
      <c r="W267" s="133"/>
      <c r="X267" s="134" t="s">
        <v>1046</v>
      </c>
      <c r="Y267" s="135" t="s">
        <v>912</v>
      </c>
      <c r="Z267" s="128" t="s">
        <v>96</v>
      </c>
      <c r="AA267" s="128" t="s">
        <v>1418</v>
      </c>
      <c r="AB267" s="136" t="s">
        <v>256</v>
      </c>
      <c r="AC267" s="137" t="s">
        <v>952</v>
      </c>
      <c r="AD267" s="136" t="s">
        <v>915</v>
      </c>
      <c r="AE267" s="136" t="s">
        <v>916</v>
      </c>
      <c r="AF267" s="136" t="s">
        <v>157</v>
      </c>
      <c r="AG267" s="136" t="s">
        <v>59</v>
      </c>
      <c r="AH267" s="138">
        <v>-54.76</v>
      </c>
      <c r="AI267" s="139" t="s">
        <v>58</v>
      </c>
      <c r="AJ267" s="139" t="s">
        <v>157</v>
      </c>
    </row>
    <row r="268" spans="1:36" ht="15.75" x14ac:dyDescent="0.25">
      <c r="A268" s="115">
        <v>9529</v>
      </c>
      <c r="B268" s="116" t="s">
        <v>36</v>
      </c>
      <c r="C268" s="117" t="s">
        <v>37</v>
      </c>
      <c r="D268" s="118" t="s">
        <v>36</v>
      </c>
      <c r="E268" s="119" t="s">
        <v>38</v>
      </c>
      <c r="F268" s="120" t="s">
        <v>39</v>
      </c>
      <c r="G268" s="118" t="s">
        <v>40</v>
      </c>
      <c r="H268" s="121" t="s">
        <v>41</v>
      </c>
      <c r="I268" s="120" t="s">
        <v>301</v>
      </c>
      <c r="J268" s="122" t="s">
        <v>302</v>
      </c>
      <c r="K268" s="123" t="s">
        <v>303</v>
      </c>
      <c r="L268" t="s">
        <v>192</v>
      </c>
      <c r="M268" s="124" t="s">
        <v>193</v>
      </c>
      <c r="N268" s="125" t="s">
        <v>194</v>
      </c>
      <c r="O268" s="126" t="s">
        <v>929</v>
      </c>
      <c r="P268" s="127">
        <v>65008</v>
      </c>
      <c r="Q268" s="128"/>
      <c r="R268" s="128"/>
      <c r="S268" s="129">
        <v>971.63</v>
      </c>
      <c r="T268" s="130" t="s">
        <v>1327</v>
      </c>
      <c r="U268" s="131">
        <v>45379</v>
      </c>
      <c r="V268" s="132"/>
      <c r="W268" s="133"/>
      <c r="X268" s="134" t="s">
        <v>1046</v>
      </c>
      <c r="Y268" s="135" t="s">
        <v>912</v>
      </c>
      <c r="Z268" s="128" t="s">
        <v>96</v>
      </c>
      <c r="AA268" s="128" t="s">
        <v>1418</v>
      </c>
      <c r="AB268" s="136" t="s">
        <v>256</v>
      </c>
      <c r="AC268" s="137" t="s">
        <v>952</v>
      </c>
      <c r="AD268" s="136" t="s">
        <v>915</v>
      </c>
      <c r="AE268" s="136" t="s">
        <v>916</v>
      </c>
      <c r="AF268" s="136" t="s">
        <v>157</v>
      </c>
      <c r="AG268" s="136" t="s">
        <v>59</v>
      </c>
      <c r="AH268" s="138">
        <v>-971.63</v>
      </c>
      <c r="AI268" s="139" t="s">
        <v>58</v>
      </c>
      <c r="AJ268" s="139" t="s">
        <v>157</v>
      </c>
    </row>
    <row r="269" spans="1:36" ht="15.75" x14ac:dyDescent="0.25">
      <c r="A269" s="115">
        <v>9602</v>
      </c>
      <c r="B269" s="116" t="s">
        <v>36</v>
      </c>
      <c r="C269" s="117" t="s">
        <v>37</v>
      </c>
      <c r="D269" s="118" t="s">
        <v>36</v>
      </c>
      <c r="E269" s="119" t="s">
        <v>38</v>
      </c>
      <c r="F269" s="140" t="s">
        <v>39</v>
      </c>
      <c r="G269" s="118" t="s">
        <v>40</v>
      </c>
      <c r="H269" s="121" t="s">
        <v>41</v>
      </c>
      <c r="I269" s="120" t="s">
        <v>524</v>
      </c>
      <c r="J269" s="122" t="s">
        <v>525</v>
      </c>
      <c r="K269" s="123" t="s">
        <v>526</v>
      </c>
      <c r="L269" t="s">
        <v>192</v>
      </c>
      <c r="M269" s="124" t="s">
        <v>193</v>
      </c>
      <c r="N269" s="125" t="s">
        <v>194</v>
      </c>
      <c r="O269" s="126" t="s">
        <v>207</v>
      </c>
      <c r="P269" s="127" t="s">
        <v>1520</v>
      </c>
      <c r="Q269" s="128">
        <v>613.63</v>
      </c>
      <c r="R269" s="128">
        <v>613.63</v>
      </c>
      <c r="S269" s="129">
        <v>613.63</v>
      </c>
      <c r="T269" s="130" t="s">
        <v>1521</v>
      </c>
      <c r="U269" s="131">
        <v>45379</v>
      </c>
      <c r="V269" s="132">
        <v>45379</v>
      </c>
      <c r="W269" s="133">
        <v>9464</v>
      </c>
      <c r="X269" s="134" t="s">
        <v>1435</v>
      </c>
      <c r="Y269" s="135" t="s">
        <v>912</v>
      </c>
      <c r="Z269" s="128" t="s">
        <v>57</v>
      </c>
      <c r="AA269" s="128"/>
      <c r="AB269" s="136" t="s">
        <v>256</v>
      </c>
      <c r="AC269" s="137" t="s">
        <v>952</v>
      </c>
      <c r="AD269" s="136" t="s">
        <v>915</v>
      </c>
      <c r="AE269" s="136" t="s">
        <v>916</v>
      </c>
      <c r="AF269" s="136" t="s">
        <v>157</v>
      </c>
      <c r="AG269" s="136" t="s">
        <v>59</v>
      </c>
      <c r="AH269" s="138">
        <v>-613.63</v>
      </c>
      <c r="AI269" s="139" t="s">
        <v>58</v>
      </c>
      <c r="AJ269" s="139" t="s">
        <v>157</v>
      </c>
    </row>
    <row r="270" spans="1:36" ht="15.75" x14ac:dyDescent="0.25">
      <c r="A270" s="115">
        <v>9624</v>
      </c>
      <c r="B270" s="116" t="s">
        <v>36</v>
      </c>
      <c r="C270" s="117" t="s">
        <v>37</v>
      </c>
      <c r="D270" s="118" t="s">
        <v>36</v>
      </c>
      <c r="E270" s="119" t="s">
        <v>38</v>
      </c>
      <c r="F270" s="120" t="s">
        <v>39</v>
      </c>
      <c r="G270" s="118" t="s">
        <v>40</v>
      </c>
      <c r="H270" s="121" t="s">
        <v>41</v>
      </c>
      <c r="I270" s="120" t="s">
        <v>524</v>
      </c>
      <c r="J270" s="122" t="s">
        <v>525</v>
      </c>
      <c r="K270" s="123" t="s">
        <v>526</v>
      </c>
      <c r="L270" t="s">
        <v>192</v>
      </c>
      <c r="M270" s="124" t="s">
        <v>193</v>
      </c>
      <c r="N270" s="125" t="s">
        <v>194</v>
      </c>
      <c r="O270" s="126" t="s">
        <v>207</v>
      </c>
      <c r="P270" s="127" t="s">
        <v>1522</v>
      </c>
      <c r="Q270" s="128">
        <v>25.9</v>
      </c>
      <c r="R270" s="128">
        <v>25.9</v>
      </c>
      <c r="S270" s="129">
        <v>25.9</v>
      </c>
      <c r="T270" s="130" t="s">
        <v>1523</v>
      </c>
      <c r="U270" s="131">
        <v>45379</v>
      </c>
      <c r="V270" s="132">
        <v>45379</v>
      </c>
      <c r="W270" s="133">
        <v>5486</v>
      </c>
      <c r="X270" s="134" t="s">
        <v>1421</v>
      </c>
      <c r="Y270" s="135" t="s">
        <v>912</v>
      </c>
      <c r="Z270" s="128" t="s">
        <v>57</v>
      </c>
      <c r="AA270" s="128"/>
      <c r="AB270" s="136" t="s">
        <v>256</v>
      </c>
      <c r="AC270" s="137" t="s">
        <v>952</v>
      </c>
      <c r="AD270" s="136" t="s">
        <v>915</v>
      </c>
      <c r="AE270" s="136" t="s">
        <v>916</v>
      </c>
      <c r="AF270" s="136" t="s">
        <v>157</v>
      </c>
      <c r="AG270" s="136" t="s">
        <v>59</v>
      </c>
      <c r="AH270" s="138">
        <v>-25.9</v>
      </c>
      <c r="AI270" s="139" t="s">
        <v>58</v>
      </c>
      <c r="AJ270" s="139" t="s">
        <v>157</v>
      </c>
    </row>
    <row r="271" spans="1:36" ht="15.75" x14ac:dyDescent="0.25">
      <c r="A271" s="115">
        <v>9625</v>
      </c>
      <c r="B271" s="116" t="s">
        <v>36</v>
      </c>
      <c r="C271" s="117" t="s">
        <v>37</v>
      </c>
      <c r="D271" s="118" t="s">
        <v>36</v>
      </c>
      <c r="E271" s="119" t="s">
        <v>38</v>
      </c>
      <c r="F271" s="120" t="s">
        <v>39</v>
      </c>
      <c r="G271" s="118" t="s">
        <v>40</v>
      </c>
      <c r="H271" s="121" t="s">
        <v>41</v>
      </c>
      <c r="I271" s="120" t="s">
        <v>42</v>
      </c>
      <c r="J271" s="122" t="s">
        <v>43</v>
      </c>
      <c r="K271" s="123" t="s">
        <v>44</v>
      </c>
      <c r="L271" t="s">
        <v>192</v>
      </c>
      <c r="M271" s="124" t="s">
        <v>193</v>
      </c>
      <c r="N271" s="125" t="s">
        <v>194</v>
      </c>
      <c r="O271" s="126" t="s">
        <v>207</v>
      </c>
      <c r="P271" s="127" t="s">
        <v>1524</v>
      </c>
      <c r="Q271" s="128">
        <v>260</v>
      </c>
      <c r="R271" s="128">
        <v>260</v>
      </c>
      <c r="S271" s="129">
        <v>260</v>
      </c>
      <c r="T271" s="130" t="s">
        <v>1525</v>
      </c>
      <c r="U271" s="131">
        <v>45380</v>
      </c>
      <c r="V271" s="132">
        <v>45380</v>
      </c>
      <c r="W271" s="133">
        <v>5486</v>
      </c>
      <c r="X271" s="134" t="s">
        <v>1421</v>
      </c>
      <c r="Y271" s="135" t="s">
        <v>912</v>
      </c>
      <c r="Z271" s="128" t="s">
        <v>57</v>
      </c>
      <c r="AA271" s="128"/>
      <c r="AB271" s="136" t="s">
        <v>256</v>
      </c>
      <c r="AC271" s="137" t="s">
        <v>952</v>
      </c>
      <c r="AD271" s="136" t="s">
        <v>915</v>
      </c>
      <c r="AE271" s="136" t="s">
        <v>916</v>
      </c>
      <c r="AF271" s="136" t="s">
        <v>157</v>
      </c>
      <c r="AG271" s="136" t="s">
        <v>59</v>
      </c>
      <c r="AH271" s="138">
        <v>-260</v>
      </c>
      <c r="AI271" s="139" t="s">
        <v>58</v>
      </c>
      <c r="AJ271" s="139" t="s">
        <v>157</v>
      </c>
    </row>
    <row r="272" spans="1:36" ht="15.75" x14ac:dyDescent="0.25">
      <c r="A272" s="115">
        <v>9980</v>
      </c>
      <c r="B272" s="116" t="s">
        <v>36</v>
      </c>
      <c r="C272" s="117" t="s">
        <v>37</v>
      </c>
      <c r="D272" s="118" t="s">
        <v>36</v>
      </c>
      <c r="E272" s="119" t="s">
        <v>38</v>
      </c>
      <c r="F272" s="120" t="s">
        <v>39</v>
      </c>
      <c r="G272" s="118" t="s">
        <v>40</v>
      </c>
      <c r="H272" s="121" t="s">
        <v>41</v>
      </c>
      <c r="I272" s="120" t="s">
        <v>301</v>
      </c>
      <c r="J272" s="122" t="s">
        <v>302</v>
      </c>
      <c r="K272" s="123" t="s">
        <v>303</v>
      </c>
      <c r="L272" t="s">
        <v>192</v>
      </c>
      <c r="M272" s="124" t="s">
        <v>193</v>
      </c>
      <c r="N272" s="125" t="s">
        <v>194</v>
      </c>
      <c r="O272" s="126" t="s">
        <v>121</v>
      </c>
      <c r="P272" s="127" t="s">
        <v>1526</v>
      </c>
      <c r="Q272" s="128">
        <v>843</v>
      </c>
      <c r="R272" s="128">
        <v>843</v>
      </c>
      <c r="S272" s="129">
        <v>843</v>
      </c>
      <c r="T272" s="130" t="s">
        <v>1527</v>
      </c>
      <c r="U272" s="131">
        <v>45383</v>
      </c>
      <c r="V272" s="132">
        <v>45397</v>
      </c>
      <c r="W272" s="133">
        <v>9352</v>
      </c>
      <c r="X272" s="134" t="s">
        <v>1417</v>
      </c>
      <c r="Y272" s="135" t="s">
        <v>912</v>
      </c>
      <c r="Z272" s="128" t="s">
        <v>57</v>
      </c>
      <c r="AA272" s="128"/>
      <c r="AB272" s="136" t="s">
        <v>256</v>
      </c>
      <c r="AC272" s="137" t="s">
        <v>952</v>
      </c>
      <c r="AD272" s="136" t="s">
        <v>915</v>
      </c>
      <c r="AE272" s="136" t="s">
        <v>916</v>
      </c>
      <c r="AF272" s="136" t="s">
        <v>157</v>
      </c>
      <c r="AG272" s="136" t="s">
        <v>59</v>
      </c>
      <c r="AH272" s="138">
        <v>-843</v>
      </c>
      <c r="AI272" s="139" t="s">
        <v>58</v>
      </c>
      <c r="AJ272" s="139" t="s">
        <v>157</v>
      </c>
    </row>
    <row r="273" spans="1:36" ht="15.75" x14ac:dyDescent="0.25">
      <c r="A273" s="115">
        <v>9981</v>
      </c>
      <c r="B273" s="116" t="s">
        <v>36</v>
      </c>
      <c r="C273" s="117" t="s">
        <v>37</v>
      </c>
      <c r="D273" s="118" t="s">
        <v>36</v>
      </c>
      <c r="E273" s="119" t="s">
        <v>38</v>
      </c>
      <c r="F273" s="120" t="s">
        <v>39</v>
      </c>
      <c r="G273" s="118" t="s">
        <v>40</v>
      </c>
      <c r="H273" s="121" t="s">
        <v>41</v>
      </c>
      <c r="I273" s="120" t="s">
        <v>301</v>
      </c>
      <c r="J273" s="122" t="s">
        <v>302</v>
      </c>
      <c r="K273" s="123" t="s">
        <v>303</v>
      </c>
      <c r="L273" t="s">
        <v>192</v>
      </c>
      <c r="M273" s="124" t="s">
        <v>193</v>
      </c>
      <c r="N273" s="125" t="s">
        <v>194</v>
      </c>
      <c r="O273" s="126" t="s">
        <v>121</v>
      </c>
      <c r="P273" s="127" t="s">
        <v>1528</v>
      </c>
      <c r="Q273" s="128">
        <v>288</v>
      </c>
      <c r="R273" s="128">
        <v>288</v>
      </c>
      <c r="S273" s="129">
        <v>288</v>
      </c>
      <c r="T273" s="130" t="s">
        <v>1529</v>
      </c>
      <c r="U273" s="131">
        <v>45383</v>
      </c>
      <c r="V273" s="132">
        <v>45397</v>
      </c>
      <c r="W273" s="133">
        <v>9352</v>
      </c>
      <c r="X273" s="134" t="s">
        <v>1417</v>
      </c>
      <c r="Y273" s="135" t="s">
        <v>912</v>
      </c>
      <c r="Z273" s="128" t="s">
        <v>57</v>
      </c>
      <c r="AA273" s="128"/>
      <c r="AB273" s="136" t="s">
        <v>256</v>
      </c>
      <c r="AC273" s="137" t="s">
        <v>952</v>
      </c>
      <c r="AD273" s="136" t="s">
        <v>915</v>
      </c>
      <c r="AE273" s="136" t="s">
        <v>916</v>
      </c>
      <c r="AF273" s="136" t="s">
        <v>157</v>
      </c>
      <c r="AG273" s="136" t="s">
        <v>59</v>
      </c>
      <c r="AH273" s="138">
        <v>-288</v>
      </c>
      <c r="AI273" s="139" t="s">
        <v>58</v>
      </c>
      <c r="AJ273" s="139" t="s">
        <v>157</v>
      </c>
    </row>
    <row r="274" spans="1:36" ht="15.75" x14ac:dyDescent="0.25">
      <c r="A274" s="115">
        <v>10029</v>
      </c>
      <c r="B274" s="116" t="s">
        <v>36</v>
      </c>
      <c r="C274" s="117" t="s">
        <v>37</v>
      </c>
      <c r="D274" s="118" t="s">
        <v>36</v>
      </c>
      <c r="E274" s="119" t="s">
        <v>38</v>
      </c>
      <c r="F274" s="140" t="s">
        <v>39</v>
      </c>
      <c r="G274" s="118" t="s">
        <v>40</v>
      </c>
      <c r="H274" s="121" t="s">
        <v>41</v>
      </c>
      <c r="I274" s="120" t="s">
        <v>301</v>
      </c>
      <c r="J274" s="122" t="s">
        <v>302</v>
      </c>
      <c r="K274" s="123" t="s">
        <v>303</v>
      </c>
      <c r="L274" t="s">
        <v>192</v>
      </c>
      <c r="M274" s="124" t="s">
        <v>193</v>
      </c>
      <c r="N274" s="125" t="s">
        <v>194</v>
      </c>
      <c r="O274" s="126" t="s">
        <v>1329</v>
      </c>
      <c r="P274" s="127" t="s">
        <v>1330</v>
      </c>
      <c r="Q274" s="128">
        <v>204.79</v>
      </c>
      <c r="R274" s="128">
        <v>204.79</v>
      </c>
      <c r="S274" s="129">
        <v>204.79</v>
      </c>
      <c r="T274" s="130" t="s">
        <v>1530</v>
      </c>
      <c r="U274" s="131">
        <v>45383</v>
      </c>
      <c r="V274" s="132">
        <v>45383</v>
      </c>
      <c r="W274" s="133">
        <v>186</v>
      </c>
      <c r="X274" s="134" t="s">
        <v>258</v>
      </c>
      <c r="Y274" s="135" t="s">
        <v>912</v>
      </c>
      <c r="Z274" s="128" t="s">
        <v>57</v>
      </c>
      <c r="AA274" s="128"/>
      <c r="AB274" s="136" t="s">
        <v>256</v>
      </c>
      <c r="AC274" s="137" t="s">
        <v>952</v>
      </c>
      <c r="AD274" s="136" t="s">
        <v>915</v>
      </c>
      <c r="AE274" s="136" t="s">
        <v>916</v>
      </c>
      <c r="AF274" s="136" t="s">
        <v>157</v>
      </c>
      <c r="AG274" s="136" t="s">
        <v>59</v>
      </c>
      <c r="AH274" s="138">
        <v>-204.79</v>
      </c>
      <c r="AI274" s="139" t="s">
        <v>58</v>
      </c>
      <c r="AJ274" s="139" t="s">
        <v>157</v>
      </c>
    </row>
    <row r="275" spans="1:36" ht="15.75" x14ac:dyDescent="0.25">
      <c r="A275" s="115">
        <v>10339</v>
      </c>
      <c r="B275" s="116" t="s">
        <v>36</v>
      </c>
      <c r="C275" s="117" t="s">
        <v>37</v>
      </c>
      <c r="D275" s="118" t="s">
        <v>36</v>
      </c>
      <c r="E275" s="119" t="s">
        <v>38</v>
      </c>
      <c r="F275" s="140" t="s">
        <v>39</v>
      </c>
      <c r="G275" s="118" t="s">
        <v>40</v>
      </c>
      <c r="H275" s="121" t="s">
        <v>41</v>
      </c>
      <c r="I275" s="120" t="s">
        <v>42</v>
      </c>
      <c r="J275" s="122" t="s">
        <v>43</v>
      </c>
      <c r="K275" s="123" t="s">
        <v>44</v>
      </c>
      <c r="L275" t="s">
        <v>192</v>
      </c>
      <c r="M275" s="124" t="s">
        <v>193</v>
      </c>
      <c r="N275" s="125" t="s">
        <v>194</v>
      </c>
      <c r="O275" s="126" t="s">
        <v>207</v>
      </c>
      <c r="P275" s="127" t="s">
        <v>1531</v>
      </c>
      <c r="Q275" s="128">
        <v>40</v>
      </c>
      <c r="R275" s="128">
        <v>40</v>
      </c>
      <c r="S275" s="129">
        <v>40</v>
      </c>
      <c r="T275" s="130" t="s">
        <v>1532</v>
      </c>
      <c r="U275" s="131">
        <v>45384</v>
      </c>
      <c r="V275" s="132">
        <v>45384</v>
      </c>
      <c r="W275" s="133">
        <v>9986</v>
      </c>
      <c r="X275" s="134" t="s">
        <v>1533</v>
      </c>
      <c r="Y275" s="135" t="s">
        <v>912</v>
      </c>
      <c r="Z275" s="128" t="s">
        <v>57</v>
      </c>
      <c r="AA275" s="128"/>
      <c r="AB275" s="136" t="s">
        <v>256</v>
      </c>
      <c r="AC275" s="137" t="s">
        <v>952</v>
      </c>
      <c r="AD275" s="136" t="s">
        <v>915</v>
      </c>
      <c r="AE275" s="136" t="s">
        <v>916</v>
      </c>
      <c r="AF275" s="136" t="s">
        <v>157</v>
      </c>
      <c r="AG275" s="136" t="s">
        <v>59</v>
      </c>
      <c r="AH275" s="138">
        <v>-40</v>
      </c>
      <c r="AI275" s="139" t="s">
        <v>58</v>
      </c>
      <c r="AJ275" s="139" t="s">
        <v>157</v>
      </c>
    </row>
    <row r="276" spans="1:36" ht="15.75" x14ac:dyDescent="0.25">
      <c r="A276" s="115">
        <v>10391</v>
      </c>
      <c r="B276" s="116" t="s">
        <v>36</v>
      </c>
      <c r="C276" s="117" t="s">
        <v>37</v>
      </c>
      <c r="D276" s="118" t="s">
        <v>36</v>
      </c>
      <c r="E276" s="119" t="s">
        <v>38</v>
      </c>
      <c r="F276" s="120" t="s">
        <v>39</v>
      </c>
      <c r="G276" s="118" t="s">
        <v>40</v>
      </c>
      <c r="H276" s="121" t="s">
        <v>41</v>
      </c>
      <c r="I276" s="120" t="s">
        <v>524</v>
      </c>
      <c r="J276" s="122" t="s">
        <v>525</v>
      </c>
      <c r="K276" s="123" t="s">
        <v>526</v>
      </c>
      <c r="L276" t="s">
        <v>192</v>
      </c>
      <c r="M276" s="124" t="s">
        <v>193</v>
      </c>
      <c r="N276" s="125" t="s">
        <v>194</v>
      </c>
      <c r="O276" s="126" t="s">
        <v>207</v>
      </c>
      <c r="P276" s="127" t="s">
        <v>1534</v>
      </c>
      <c r="Q276" s="128">
        <v>12.8</v>
      </c>
      <c r="R276" s="128">
        <v>12.8</v>
      </c>
      <c r="S276" s="129">
        <v>12.8</v>
      </c>
      <c r="T276" s="130" t="s">
        <v>1535</v>
      </c>
      <c r="U276" s="131">
        <v>45384</v>
      </c>
      <c r="V276" s="132">
        <v>45384</v>
      </c>
      <c r="W276" s="133">
        <v>5486</v>
      </c>
      <c r="X276" s="134" t="s">
        <v>1421</v>
      </c>
      <c r="Y276" s="135" t="s">
        <v>912</v>
      </c>
      <c r="Z276" s="128" t="s">
        <v>57</v>
      </c>
      <c r="AA276" s="128"/>
      <c r="AB276" s="136" t="s">
        <v>256</v>
      </c>
      <c r="AC276" s="137" t="s">
        <v>952</v>
      </c>
      <c r="AD276" s="136" t="s">
        <v>915</v>
      </c>
      <c r="AE276" s="136" t="s">
        <v>916</v>
      </c>
      <c r="AF276" s="136" t="s">
        <v>157</v>
      </c>
      <c r="AG276" s="136" t="s">
        <v>59</v>
      </c>
      <c r="AH276" s="138">
        <v>-12.8</v>
      </c>
      <c r="AI276" s="139" t="s">
        <v>58</v>
      </c>
      <c r="AJ276" s="139" t="s">
        <v>157</v>
      </c>
    </row>
    <row r="277" spans="1:36" ht="15.75" x14ac:dyDescent="0.25">
      <c r="A277" s="115">
        <v>11000</v>
      </c>
      <c r="B277" s="116" t="s">
        <v>36</v>
      </c>
      <c r="C277" s="117" t="s">
        <v>37</v>
      </c>
      <c r="D277" s="118" t="s">
        <v>36</v>
      </c>
      <c r="E277" s="119" t="s">
        <v>38</v>
      </c>
      <c r="F277" s="140" t="s">
        <v>39</v>
      </c>
      <c r="G277" s="118" t="s">
        <v>40</v>
      </c>
      <c r="H277" s="121" t="s">
        <v>41</v>
      </c>
      <c r="I277" s="120" t="s">
        <v>301</v>
      </c>
      <c r="J277" s="122" t="s">
        <v>302</v>
      </c>
      <c r="K277" s="123" t="s">
        <v>303</v>
      </c>
      <c r="L277" t="s">
        <v>192</v>
      </c>
      <c r="M277" s="124" t="s">
        <v>193</v>
      </c>
      <c r="N277" s="125" t="s">
        <v>194</v>
      </c>
      <c r="O277" s="126" t="s">
        <v>1329</v>
      </c>
      <c r="P277" s="127" t="s">
        <v>1330</v>
      </c>
      <c r="Q277" s="128">
        <v>1080</v>
      </c>
      <c r="R277" s="128">
        <v>1080</v>
      </c>
      <c r="S277" s="129">
        <v>1080</v>
      </c>
      <c r="T277" s="130" t="s">
        <v>1536</v>
      </c>
      <c r="U277" s="131">
        <v>45390</v>
      </c>
      <c r="V277" s="132">
        <v>45390</v>
      </c>
      <c r="W277" s="133">
        <v>186</v>
      </c>
      <c r="X277" s="134" t="s">
        <v>258</v>
      </c>
      <c r="Y277" s="135" t="s">
        <v>912</v>
      </c>
      <c r="Z277" s="128" t="s">
        <v>57</v>
      </c>
      <c r="AA277" s="128"/>
      <c r="AB277" s="136" t="s">
        <v>256</v>
      </c>
      <c r="AC277" s="137" t="s">
        <v>952</v>
      </c>
      <c r="AD277" s="136" t="s">
        <v>915</v>
      </c>
      <c r="AE277" s="136" t="s">
        <v>916</v>
      </c>
      <c r="AF277" s="136" t="s">
        <v>157</v>
      </c>
      <c r="AG277" s="136" t="s">
        <v>59</v>
      </c>
      <c r="AH277" s="138">
        <v>-1080</v>
      </c>
      <c r="AI277" s="139" t="s">
        <v>58</v>
      </c>
      <c r="AJ277" s="139" t="s">
        <v>157</v>
      </c>
    </row>
    <row r="278" spans="1:36" ht="15.75" x14ac:dyDescent="0.25">
      <c r="A278" s="115">
        <v>11256</v>
      </c>
      <c r="B278" s="116" t="s">
        <v>36</v>
      </c>
      <c r="C278" s="117" t="s">
        <v>37</v>
      </c>
      <c r="D278" s="118" t="s">
        <v>36</v>
      </c>
      <c r="E278" s="119" t="s">
        <v>38</v>
      </c>
      <c r="F278" s="120" t="s">
        <v>39</v>
      </c>
      <c r="G278" s="118" t="s">
        <v>40</v>
      </c>
      <c r="H278" s="121" t="s">
        <v>41</v>
      </c>
      <c r="I278" s="120" t="s">
        <v>1319</v>
      </c>
      <c r="J278" s="122" t="s">
        <v>1320</v>
      </c>
      <c r="K278" s="123" t="s">
        <v>1321</v>
      </c>
      <c r="L278" t="s">
        <v>192</v>
      </c>
      <c r="M278" s="124" t="s">
        <v>193</v>
      </c>
      <c r="N278" s="125" t="s">
        <v>194</v>
      </c>
      <c r="O278" s="126" t="s">
        <v>207</v>
      </c>
      <c r="P278" s="127" t="s">
        <v>1537</v>
      </c>
      <c r="Q278" s="128">
        <v>70</v>
      </c>
      <c r="R278" s="128">
        <v>70</v>
      </c>
      <c r="S278" s="129">
        <v>70</v>
      </c>
      <c r="T278" s="130" t="s">
        <v>1538</v>
      </c>
      <c r="U278" s="131">
        <v>45392</v>
      </c>
      <c r="V278" s="132">
        <v>45392</v>
      </c>
      <c r="W278" s="133">
        <v>10753</v>
      </c>
      <c r="X278" s="134" t="s">
        <v>1539</v>
      </c>
      <c r="Y278" s="135" t="s">
        <v>912</v>
      </c>
      <c r="Z278" s="128" t="s">
        <v>57</v>
      </c>
      <c r="AA278" s="128"/>
      <c r="AB278" s="136" t="s">
        <v>256</v>
      </c>
      <c r="AC278" s="137" t="s">
        <v>952</v>
      </c>
      <c r="AD278" s="136" t="s">
        <v>915</v>
      </c>
      <c r="AE278" s="136" t="s">
        <v>916</v>
      </c>
      <c r="AF278" s="136" t="s">
        <v>157</v>
      </c>
      <c r="AG278" s="136" t="s">
        <v>59</v>
      </c>
      <c r="AH278" s="138">
        <v>-70</v>
      </c>
      <c r="AI278" s="139" t="s">
        <v>58</v>
      </c>
      <c r="AJ278" s="139" t="s">
        <v>157</v>
      </c>
    </row>
    <row r="279" spans="1:36" ht="15.75" x14ac:dyDescent="0.25">
      <c r="A279" s="115">
        <v>11367</v>
      </c>
      <c r="B279" s="116" t="s">
        <v>36</v>
      </c>
      <c r="C279" s="117" t="s">
        <v>37</v>
      </c>
      <c r="D279" s="118" t="s">
        <v>36</v>
      </c>
      <c r="E279" s="119" t="s">
        <v>38</v>
      </c>
      <c r="F279" s="140" t="s">
        <v>39</v>
      </c>
      <c r="G279" s="118" t="s">
        <v>40</v>
      </c>
      <c r="H279" s="121" t="s">
        <v>41</v>
      </c>
      <c r="I279" s="120" t="s">
        <v>301</v>
      </c>
      <c r="J279" s="122" t="s">
        <v>302</v>
      </c>
      <c r="K279" s="123" t="s">
        <v>303</v>
      </c>
      <c r="L279" t="s">
        <v>192</v>
      </c>
      <c r="M279" s="124" t="s">
        <v>193</v>
      </c>
      <c r="N279" s="125" t="s">
        <v>194</v>
      </c>
      <c r="O279" s="126" t="s">
        <v>1329</v>
      </c>
      <c r="P279" s="127" t="s">
        <v>1330</v>
      </c>
      <c r="Q279" s="128">
        <v>46.52</v>
      </c>
      <c r="R279" s="128">
        <v>46.52</v>
      </c>
      <c r="S279" s="129">
        <v>46.52</v>
      </c>
      <c r="T279" s="130" t="s">
        <v>1540</v>
      </c>
      <c r="U279" s="131">
        <v>45392</v>
      </c>
      <c r="V279" s="132">
        <v>45393</v>
      </c>
      <c r="W279" s="133">
        <v>186</v>
      </c>
      <c r="X279" s="134" t="s">
        <v>258</v>
      </c>
      <c r="Y279" s="135" t="s">
        <v>912</v>
      </c>
      <c r="Z279" s="128" t="s">
        <v>57</v>
      </c>
      <c r="AA279" s="128"/>
      <c r="AB279" s="136" t="s">
        <v>256</v>
      </c>
      <c r="AC279" s="137" t="s">
        <v>952</v>
      </c>
      <c r="AD279" s="136" t="s">
        <v>915</v>
      </c>
      <c r="AE279" s="136" t="s">
        <v>916</v>
      </c>
      <c r="AF279" s="136" t="s">
        <v>157</v>
      </c>
      <c r="AG279" s="136" t="s">
        <v>59</v>
      </c>
      <c r="AH279" s="138">
        <v>-46.52</v>
      </c>
      <c r="AI279" s="139" t="s">
        <v>58</v>
      </c>
      <c r="AJ279" s="139" t="s">
        <v>157</v>
      </c>
    </row>
    <row r="280" spans="1:36" ht="15.75" x14ac:dyDescent="0.25">
      <c r="A280" s="115">
        <v>11665</v>
      </c>
      <c r="B280" s="116" t="s">
        <v>36</v>
      </c>
      <c r="C280" s="117" t="s">
        <v>37</v>
      </c>
      <c r="D280" s="118" t="s">
        <v>36</v>
      </c>
      <c r="E280" s="119" t="s">
        <v>38</v>
      </c>
      <c r="F280" s="140" t="s">
        <v>39</v>
      </c>
      <c r="G280" s="118" t="s">
        <v>40</v>
      </c>
      <c r="H280" s="121" t="s">
        <v>41</v>
      </c>
      <c r="I280" s="120" t="s">
        <v>524</v>
      </c>
      <c r="J280" s="122" t="s">
        <v>525</v>
      </c>
      <c r="K280" s="123" t="s">
        <v>526</v>
      </c>
      <c r="L280" t="s">
        <v>192</v>
      </c>
      <c r="M280" s="124" t="s">
        <v>193</v>
      </c>
      <c r="N280" s="125" t="s">
        <v>194</v>
      </c>
      <c r="O280" s="126" t="s">
        <v>207</v>
      </c>
      <c r="P280" s="127" t="s">
        <v>1541</v>
      </c>
      <c r="Q280" s="128">
        <v>561.67999999999995</v>
      </c>
      <c r="R280" s="128">
        <v>561.67999999999995</v>
      </c>
      <c r="S280" s="129">
        <v>561.67999999999995</v>
      </c>
      <c r="T280" s="130" t="s">
        <v>1542</v>
      </c>
      <c r="U280" s="131">
        <v>45394</v>
      </c>
      <c r="V280" s="132">
        <v>45394</v>
      </c>
      <c r="W280" s="133">
        <v>4118</v>
      </c>
      <c r="X280" s="134" t="s">
        <v>1498</v>
      </c>
      <c r="Y280" s="135" t="s">
        <v>912</v>
      </c>
      <c r="Z280" s="128" t="s">
        <v>57</v>
      </c>
      <c r="AA280" s="128"/>
      <c r="AB280" s="136" t="s">
        <v>256</v>
      </c>
      <c r="AC280" s="137" t="s">
        <v>952</v>
      </c>
      <c r="AD280" s="136" t="s">
        <v>915</v>
      </c>
      <c r="AE280" s="136" t="s">
        <v>916</v>
      </c>
      <c r="AF280" s="136" t="s">
        <v>157</v>
      </c>
      <c r="AG280" s="136" t="s">
        <v>59</v>
      </c>
      <c r="AH280" s="138">
        <v>-561.67999999999995</v>
      </c>
      <c r="AI280" s="139" t="s">
        <v>58</v>
      </c>
      <c r="AJ280" s="139" t="s">
        <v>157</v>
      </c>
    </row>
    <row r="281" spans="1:36" ht="15.75" x14ac:dyDescent="0.25">
      <c r="A281" s="115">
        <v>11733</v>
      </c>
      <c r="B281" s="116" t="s">
        <v>36</v>
      </c>
      <c r="C281" s="117" t="s">
        <v>37</v>
      </c>
      <c r="D281" s="118" t="s">
        <v>36</v>
      </c>
      <c r="E281" s="119" t="s">
        <v>38</v>
      </c>
      <c r="F281" s="120" t="s">
        <v>39</v>
      </c>
      <c r="G281" s="118" t="s">
        <v>40</v>
      </c>
      <c r="H281" s="121" t="s">
        <v>41</v>
      </c>
      <c r="I281" s="120" t="s">
        <v>524</v>
      </c>
      <c r="J281" s="122" t="s">
        <v>525</v>
      </c>
      <c r="K281" s="123" t="s">
        <v>526</v>
      </c>
      <c r="L281" t="s">
        <v>192</v>
      </c>
      <c r="M281" s="124" t="s">
        <v>193</v>
      </c>
      <c r="N281" s="125" t="s">
        <v>194</v>
      </c>
      <c r="O281" s="126" t="s">
        <v>207</v>
      </c>
      <c r="P281" s="127" t="s">
        <v>1543</v>
      </c>
      <c r="Q281" s="128">
        <v>260</v>
      </c>
      <c r="R281" s="128">
        <v>260</v>
      </c>
      <c r="S281" s="129">
        <v>260</v>
      </c>
      <c r="T281" s="130" t="s">
        <v>1544</v>
      </c>
      <c r="U281" s="131">
        <v>45395</v>
      </c>
      <c r="V281" s="132">
        <v>45395</v>
      </c>
      <c r="W281" s="133">
        <v>5486</v>
      </c>
      <c r="X281" s="134" t="s">
        <v>1421</v>
      </c>
      <c r="Y281" s="135" t="s">
        <v>912</v>
      </c>
      <c r="Z281" s="128" t="s">
        <v>57</v>
      </c>
      <c r="AA281" s="128"/>
      <c r="AB281" s="136" t="s">
        <v>256</v>
      </c>
      <c r="AC281" s="137" t="s">
        <v>952</v>
      </c>
      <c r="AD281" s="136" t="s">
        <v>915</v>
      </c>
      <c r="AE281" s="136" t="s">
        <v>916</v>
      </c>
      <c r="AF281" s="136" t="s">
        <v>157</v>
      </c>
      <c r="AG281" s="136" t="s">
        <v>59</v>
      </c>
      <c r="AH281" s="138">
        <v>-260</v>
      </c>
      <c r="AI281" s="139" t="s">
        <v>58</v>
      </c>
      <c r="AJ281" s="139" t="s">
        <v>157</v>
      </c>
    </row>
    <row r="282" spans="1:36" ht="15.75" x14ac:dyDescent="0.25">
      <c r="A282" s="115">
        <v>11920</v>
      </c>
      <c r="B282" s="116" t="s">
        <v>36</v>
      </c>
      <c r="C282" s="117" t="s">
        <v>37</v>
      </c>
      <c r="D282" s="118" t="s">
        <v>36</v>
      </c>
      <c r="E282" s="119" t="s">
        <v>38</v>
      </c>
      <c r="F282" s="120" t="s">
        <v>39</v>
      </c>
      <c r="G282" s="118" t="s">
        <v>40</v>
      </c>
      <c r="H282" s="121" t="s">
        <v>41</v>
      </c>
      <c r="I282" s="120" t="s">
        <v>946</v>
      </c>
      <c r="J282" s="122" t="s">
        <v>947</v>
      </c>
      <c r="K282" s="123" t="s">
        <v>948</v>
      </c>
      <c r="L282" t="s">
        <v>192</v>
      </c>
      <c r="M282" s="124" t="s">
        <v>193</v>
      </c>
      <c r="N282" s="125" t="s">
        <v>194</v>
      </c>
      <c r="O282" s="126" t="s">
        <v>207</v>
      </c>
      <c r="P282" s="127" t="s">
        <v>956</v>
      </c>
      <c r="Q282" s="128">
        <v>3094.18</v>
      </c>
      <c r="R282" s="128">
        <v>3094.18</v>
      </c>
      <c r="S282" s="129">
        <v>3094.18</v>
      </c>
      <c r="T282" s="130" t="s">
        <v>957</v>
      </c>
      <c r="U282" s="131">
        <v>45397</v>
      </c>
      <c r="V282" s="132">
        <v>45397</v>
      </c>
      <c r="W282" s="133">
        <v>3085</v>
      </c>
      <c r="X282" s="134" t="s">
        <v>951</v>
      </c>
      <c r="Y282" s="135" t="s">
        <v>912</v>
      </c>
      <c r="Z282" s="128" t="s">
        <v>57</v>
      </c>
      <c r="AA282" s="128"/>
      <c r="AB282" s="136" t="s">
        <v>256</v>
      </c>
      <c r="AC282" s="137" t="s">
        <v>952</v>
      </c>
      <c r="AD282" s="136" t="s">
        <v>915</v>
      </c>
      <c r="AE282" s="136" t="s">
        <v>916</v>
      </c>
      <c r="AF282" s="136" t="s">
        <v>157</v>
      </c>
      <c r="AG282" s="136" t="s">
        <v>59</v>
      </c>
      <c r="AH282" s="138">
        <v>-3094.18</v>
      </c>
      <c r="AI282" s="139" t="s">
        <v>58</v>
      </c>
      <c r="AJ282" s="139" t="s">
        <v>157</v>
      </c>
    </row>
    <row r="283" spans="1:36" ht="15.75" x14ac:dyDescent="0.25">
      <c r="A283" s="115">
        <v>11921</v>
      </c>
      <c r="B283" s="116" t="s">
        <v>36</v>
      </c>
      <c r="C283" s="117" t="s">
        <v>37</v>
      </c>
      <c r="D283" s="118" t="s">
        <v>36</v>
      </c>
      <c r="E283" s="119" t="s">
        <v>38</v>
      </c>
      <c r="F283" s="120" t="s">
        <v>39</v>
      </c>
      <c r="G283" s="118" t="s">
        <v>40</v>
      </c>
      <c r="H283" s="121" t="s">
        <v>41</v>
      </c>
      <c r="I283" s="120" t="s">
        <v>524</v>
      </c>
      <c r="J283" s="122" t="s">
        <v>525</v>
      </c>
      <c r="K283" s="123" t="s">
        <v>526</v>
      </c>
      <c r="L283" t="s">
        <v>192</v>
      </c>
      <c r="M283" s="124" t="s">
        <v>193</v>
      </c>
      <c r="N283" s="125" t="s">
        <v>194</v>
      </c>
      <c r="O283" s="126" t="s">
        <v>207</v>
      </c>
      <c r="P283" s="127" t="s">
        <v>1545</v>
      </c>
      <c r="Q283" s="128">
        <v>17.600000000000001</v>
      </c>
      <c r="R283" s="128">
        <v>17.600000000000001</v>
      </c>
      <c r="S283" s="129">
        <v>17.600000000000001</v>
      </c>
      <c r="T283" s="130" t="s">
        <v>1546</v>
      </c>
      <c r="U283" s="131">
        <v>45397</v>
      </c>
      <c r="V283" s="132">
        <v>45397</v>
      </c>
      <c r="W283" s="133">
        <v>5486</v>
      </c>
      <c r="X283" s="134" t="s">
        <v>1421</v>
      </c>
      <c r="Y283" s="135" t="s">
        <v>912</v>
      </c>
      <c r="Z283" s="128" t="s">
        <v>57</v>
      </c>
      <c r="AA283" s="128"/>
      <c r="AB283" s="136" t="s">
        <v>256</v>
      </c>
      <c r="AC283" s="137" t="s">
        <v>952</v>
      </c>
      <c r="AD283" s="136" t="s">
        <v>915</v>
      </c>
      <c r="AE283" s="136" t="s">
        <v>916</v>
      </c>
      <c r="AF283" s="136" t="s">
        <v>157</v>
      </c>
      <c r="AG283" s="136" t="s">
        <v>59</v>
      </c>
      <c r="AH283" s="138">
        <v>-17.600000000000001</v>
      </c>
      <c r="AI283" s="139" t="s">
        <v>58</v>
      </c>
      <c r="AJ283" s="139" t="s">
        <v>157</v>
      </c>
    </row>
    <row r="284" spans="1:36" ht="15.75" x14ac:dyDescent="0.25">
      <c r="A284" s="115">
        <v>11931</v>
      </c>
      <c r="B284" s="116" t="s">
        <v>36</v>
      </c>
      <c r="C284" s="117" t="s">
        <v>37</v>
      </c>
      <c r="D284" s="118" t="s">
        <v>36</v>
      </c>
      <c r="E284" s="119" t="s">
        <v>38</v>
      </c>
      <c r="F284" s="120" t="s">
        <v>39</v>
      </c>
      <c r="G284" s="118" t="s">
        <v>40</v>
      </c>
      <c r="H284" s="121" t="s">
        <v>41</v>
      </c>
      <c r="I284" s="120" t="s">
        <v>301</v>
      </c>
      <c r="J284" s="122" t="s">
        <v>302</v>
      </c>
      <c r="K284" s="123" t="s">
        <v>303</v>
      </c>
      <c r="L284" t="s">
        <v>192</v>
      </c>
      <c r="M284" s="124" t="s">
        <v>193</v>
      </c>
      <c r="N284" s="125" t="s">
        <v>194</v>
      </c>
      <c r="O284" s="126" t="s">
        <v>929</v>
      </c>
      <c r="P284" s="127" t="s">
        <v>1547</v>
      </c>
      <c r="Q284" s="128"/>
      <c r="R284" s="128"/>
      <c r="S284" s="129">
        <v>1890.04</v>
      </c>
      <c r="T284" s="130" t="s">
        <v>1327</v>
      </c>
      <c r="U284" s="131">
        <v>45398</v>
      </c>
      <c r="V284" s="132"/>
      <c r="W284" s="133">
        <v>5470</v>
      </c>
      <c r="X284" s="134" t="s">
        <v>1046</v>
      </c>
      <c r="Y284" s="135" t="s">
        <v>912</v>
      </c>
      <c r="Z284" s="128" t="s">
        <v>96</v>
      </c>
      <c r="AA284" s="128" t="s">
        <v>1418</v>
      </c>
      <c r="AB284" s="136" t="s">
        <v>256</v>
      </c>
      <c r="AC284" s="137" t="s">
        <v>952</v>
      </c>
      <c r="AD284" s="136" t="s">
        <v>915</v>
      </c>
      <c r="AE284" s="136" t="s">
        <v>916</v>
      </c>
      <c r="AF284" s="136" t="s">
        <v>157</v>
      </c>
      <c r="AG284" s="136" t="s">
        <v>59</v>
      </c>
      <c r="AH284" s="138">
        <v>-1890.04</v>
      </c>
      <c r="AI284" s="139" t="s">
        <v>58</v>
      </c>
      <c r="AJ284" s="139" t="s">
        <v>157</v>
      </c>
    </row>
    <row r="285" spans="1:36" ht="15.75" x14ac:dyDescent="0.25">
      <c r="A285" s="115">
        <v>11932</v>
      </c>
      <c r="B285" s="116" t="s">
        <v>36</v>
      </c>
      <c r="C285" s="117" t="s">
        <v>37</v>
      </c>
      <c r="D285" s="118" t="s">
        <v>36</v>
      </c>
      <c r="E285" s="119" t="s">
        <v>38</v>
      </c>
      <c r="F285" s="120" t="s">
        <v>39</v>
      </c>
      <c r="G285" s="118" t="s">
        <v>40</v>
      </c>
      <c r="H285" s="121" t="s">
        <v>41</v>
      </c>
      <c r="I285" s="120" t="s">
        <v>301</v>
      </c>
      <c r="J285" s="122" t="s">
        <v>302</v>
      </c>
      <c r="K285" s="123" t="s">
        <v>303</v>
      </c>
      <c r="L285" t="s">
        <v>192</v>
      </c>
      <c r="M285" s="124" t="s">
        <v>193</v>
      </c>
      <c r="N285" s="125" t="s">
        <v>194</v>
      </c>
      <c r="O285" s="126" t="s">
        <v>929</v>
      </c>
      <c r="P285" s="127" t="s">
        <v>1548</v>
      </c>
      <c r="Q285" s="128"/>
      <c r="R285" s="128"/>
      <c r="S285" s="129">
        <v>19.920000000000002</v>
      </c>
      <c r="T285" s="130" t="s">
        <v>1327</v>
      </c>
      <c r="U285" s="131">
        <v>45398</v>
      </c>
      <c r="V285" s="132"/>
      <c r="W285" s="133">
        <v>5470</v>
      </c>
      <c r="X285" s="134" t="s">
        <v>1046</v>
      </c>
      <c r="Y285" s="135" t="s">
        <v>912</v>
      </c>
      <c r="Z285" s="128" t="s">
        <v>96</v>
      </c>
      <c r="AA285" s="128" t="s">
        <v>1418</v>
      </c>
      <c r="AB285" s="136" t="s">
        <v>256</v>
      </c>
      <c r="AC285" s="137" t="s">
        <v>952</v>
      </c>
      <c r="AD285" s="136" t="s">
        <v>915</v>
      </c>
      <c r="AE285" s="136" t="s">
        <v>916</v>
      </c>
      <c r="AF285" s="136" t="s">
        <v>157</v>
      </c>
      <c r="AG285" s="136" t="s">
        <v>59</v>
      </c>
      <c r="AH285" s="138">
        <v>-19.920000000000002</v>
      </c>
      <c r="AI285" s="139" t="s">
        <v>58</v>
      </c>
      <c r="AJ285" s="139" t="s">
        <v>157</v>
      </c>
    </row>
    <row r="286" spans="1:36" ht="15.75" x14ac:dyDescent="0.25">
      <c r="A286" s="115">
        <v>11940</v>
      </c>
      <c r="B286" s="116" t="s">
        <v>36</v>
      </c>
      <c r="C286" s="117" t="s">
        <v>37</v>
      </c>
      <c r="D286" s="118" t="s">
        <v>36</v>
      </c>
      <c r="E286" s="119" t="s">
        <v>38</v>
      </c>
      <c r="F286" s="120" t="s">
        <v>39</v>
      </c>
      <c r="G286" s="118" t="s">
        <v>40</v>
      </c>
      <c r="H286" s="121" t="s">
        <v>41</v>
      </c>
      <c r="I286" s="120" t="s">
        <v>524</v>
      </c>
      <c r="J286" s="122" t="s">
        <v>525</v>
      </c>
      <c r="K286" s="123" t="s">
        <v>526</v>
      </c>
      <c r="L286" t="s">
        <v>192</v>
      </c>
      <c r="M286" s="124" t="s">
        <v>193</v>
      </c>
      <c r="N286" s="125" t="s">
        <v>194</v>
      </c>
      <c r="O286" s="126" t="s">
        <v>929</v>
      </c>
      <c r="P286" s="127" t="s">
        <v>1549</v>
      </c>
      <c r="Q286" s="128"/>
      <c r="R286" s="128"/>
      <c r="S286" s="129">
        <v>80</v>
      </c>
      <c r="T286" s="130" t="s">
        <v>1550</v>
      </c>
      <c r="U286" s="131">
        <v>45398</v>
      </c>
      <c r="V286" s="132"/>
      <c r="W286" s="133">
        <v>5548</v>
      </c>
      <c r="X286" s="134" t="s">
        <v>874</v>
      </c>
      <c r="Y286" s="135" t="s">
        <v>912</v>
      </c>
      <c r="Z286" s="128" t="s">
        <v>96</v>
      </c>
      <c r="AA286" s="128" t="s">
        <v>1418</v>
      </c>
      <c r="AB286" s="136" t="s">
        <v>256</v>
      </c>
      <c r="AC286" s="137" t="s">
        <v>952</v>
      </c>
      <c r="AD286" s="136" t="s">
        <v>915</v>
      </c>
      <c r="AE286" s="136" t="s">
        <v>916</v>
      </c>
      <c r="AF286" s="136" t="s">
        <v>157</v>
      </c>
      <c r="AG286" s="136" t="s">
        <v>59</v>
      </c>
      <c r="AH286" s="138">
        <v>-80</v>
      </c>
      <c r="AI286" s="139" t="s">
        <v>58</v>
      </c>
      <c r="AJ286" s="139" t="s">
        <v>157</v>
      </c>
    </row>
    <row r="287" spans="1:36" ht="15.75" x14ac:dyDescent="0.25">
      <c r="A287" s="115">
        <v>12427</v>
      </c>
      <c r="B287" s="116" t="s">
        <v>36</v>
      </c>
      <c r="C287" s="117" t="s">
        <v>37</v>
      </c>
      <c r="D287" s="118" t="s">
        <v>36</v>
      </c>
      <c r="E287" s="119" t="s">
        <v>38</v>
      </c>
      <c r="F287" s="140" t="s">
        <v>39</v>
      </c>
      <c r="G287" s="118" t="s">
        <v>40</v>
      </c>
      <c r="H287" s="121" t="s">
        <v>41</v>
      </c>
      <c r="I287" s="120" t="s">
        <v>42</v>
      </c>
      <c r="J287" s="122" t="s">
        <v>43</v>
      </c>
      <c r="K287" s="123" t="s">
        <v>44</v>
      </c>
      <c r="L287" t="s">
        <v>192</v>
      </c>
      <c r="M287" s="124" t="s">
        <v>193</v>
      </c>
      <c r="N287" s="125" t="s">
        <v>194</v>
      </c>
      <c r="O287" s="126" t="s">
        <v>929</v>
      </c>
      <c r="P287" s="127">
        <v>3282</v>
      </c>
      <c r="Q287" s="128"/>
      <c r="R287" s="128"/>
      <c r="S287" s="129">
        <v>397</v>
      </c>
      <c r="T287" s="130" t="s">
        <v>1327</v>
      </c>
      <c r="U287" s="131">
        <v>45401</v>
      </c>
      <c r="V287" s="132"/>
      <c r="W287" s="133">
        <v>6636</v>
      </c>
      <c r="X287" s="134" t="s">
        <v>1491</v>
      </c>
      <c r="Y287" s="135" t="s">
        <v>912</v>
      </c>
      <c r="Z287" s="128" t="s">
        <v>96</v>
      </c>
      <c r="AA287" s="128" t="s">
        <v>1492</v>
      </c>
      <c r="AB287" s="136" t="s">
        <v>256</v>
      </c>
      <c r="AC287" s="137" t="s">
        <v>952</v>
      </c>
      <c r="AD287" s="136" t="s">
        <v>915</v>
      </c>
      <c r="AE287" s="136" t="s">
        <v>916</v>
      </c>
      <c r="AF287" s="136" t="s">
        <v>157</v>
      </c>
      <c r="AG287" s="136" t="s">
        <v>59</v>
      </c>
      <c r="AH287" s="138">
        <v>-397</v>
      </c>
      <c r="AI287" s="139" t="s">
        <v>58</v>
      </c>
      <c r="AJ287" s="139" t="s">
        <v>157</v>
      </c>
    </row>
    <row r="288" spans="1:36" ht="15.75" x14ac:dyDescent="0.25">
      <c r="A288" s="115">
        <v>12720</v>
      </c>
      <c r="B288" s="116" t="s">
        <v>36</v>
      </c>
      <c r="C288" s="117" t="s">
        <v>37</v>
      </c>
      <c r="D288" s="118" t="s">
        <v>36</v>
      </c>
      <c r="E288" s="119" t="s">
        <v>38</v>
      </c>
      <c r="F288" s="120" t="s">
        <v>39</v>
      </c>
      <c r="G288" s="118" t="s">
        <v>40</v>
      </c>
      <c r="H288" s="121" t="s">
        <v>41</v>
      </c>
      <c r="I288" s="120" t="s">
        <v>524</v>
      </c>
      <c r="J288" s="122" t="s">
        <v>525</v>
      </c>
      <c r="K288" s="123" t="s">
        <v>526</v>
      </c>
      <c r="L288" t="s">
        <v>192</v>
      </c>
      <c r="M288" s="124" t="s">
        <v>193</v>
      </c>
      <c r="N288" s="125" t="s">
        <v>194</v>
      </c>
      <c r="O288" s="126" t="s">
        <v>207</v>
      </c>
      <c r="P288" s="127" t="s">
        <v>1551</v>
      </c>
      <c r="Q288" s="128">
        <v>30.22</v>
      </c>
      <c r="R288" s="128">
        <v>30.22</v>
      </c>
      <c r="S288" s="129">
        <v>30.22</v>
      </c>
      <c r="T288" s="130" t="s">
        <v>1552</v>
      </c>
      <c r="U288" s="131">
        <v>45405</v>
      </c>
      <c r="V288" s="132">
        <v>45405</v>
      </c>
      <c r="W288" s="133">
        <v>5486</v>
      </c>
      <c r="X288" s="134" t="s">
        <v>1421</v>
      </c>
      <c r="Y288" s="135" t="s">
        <v>912</v>
      </c>
      <c r="Z288" s="128" t="s">
        <v>57</v>
      </c>
      <c r="AA288" s="128"/>
      <c r="AB288" s="136" t="s">
        <v>256</v>
      </c>
      <c r="AC288" s="137" t="s">
        <v>952</v>
      </c>
      <c r="AD288" s="136" t="s">
        <v>915</v>
      </c>
      <c r="AE288" s="136" t="s">
        <v>916</v>
      </c>
      <c r="AF288" s="136" t="s">
        <v>157</v>
      </c>
      <c r="AG288" s="136" t="s">
        <v>59</v>
      </c>
      <c r="AH288" s="138">
        <v>-30.22</v>
      </c>
      <c r="AI288" s="139" t="s">
        <v>58</v>
      </c>
      <c r="AJ288" s="139" t="s">
        <v>157</v>
      </c>
    </row>
    <row r="289" spans="1:36" ht="15.75" x14ac:dyDescent="0.25">
      <c r="A289" s="115">
        <v>12724</v>
      </c>
      <c r="B289" s="116" t="s">
        <v>36</v>
      </c>
      <c r="C289" s="117" t="s">
        <v>37</v>
      </c>
      <c r="D289" s="118" t="s">
        <v>36</v>
      </c>
      <c r="E289" s="119" t="s">
        <v>38</v>
      </c>
      <c r="F289" s="120" t="s">
        <v>39</v>
      </c>
      <c r="G289" s="118" t="s">
        <v>40</v>
      </c>
      <c r="H289" s="121" t="s">
        <v>41</v>
      </c>
      <c r="I289" s="120" t="s">
        <v>301</v>
      </c>
      <c r="J289" s="122" t="s">
        <v>302</v>
      </c>
      <c r="K289" s="123" t="s">
        <v>303</v>
      </c>
      <c r="L289" t="s">
        <v>192</v>
      </c>
      <c r="M289" s="124" t="s">
        <v>193</v>
      </c>
      <c r="N289" s="125" t="s">
        <v>194</v>
      </c>
      <c r="O289" s="126" t="s">
        <v>929</v>
      </c>
      <c r="P289" s="127" t="s">
        <v>1553</v>
      </c>
      <c r="Q289" s="128"/>
      <c r="R289" s="128"/>
      <c r="S289" s="129">
        <v>461.5</v>
      </c>
      <c r="T289" s="130" t="s">
        <v>1327</v>
      </c>
      <c r="U289" s="131">
        <v>45406</v>
      </c>
      <c r="V289" s="132"/>
      <c r="W289" s="133">
        <v>5470</v>
      </c>
      <c r="X289" s="134" t="s">
        <v>1046</v>
      </c>
      <c r="Y289" s="135" t="s">
        <v>912</v>
      </c>
      <c r="Z289" s="128" t="s">
        <v>96</v>
      </c>
      <c r="AA289" s="128" t="s">
        <v>1350</v>
      </c>
      <c r="AB289" s="136" t="s">
        <v>256</v>
      </c>
      <c r="AC289" s="137" t="s">
        <v>952</v>
      </c>
      <c r="AD289" s="136" t="s">
        <v>915</v>
      </c>
      <c r="AE289" s="136" t="s">
        <v>916</v>
      </c>
      <c r="AF289" s="136" t="s">
        <v>157</v>
      </c>
      <c r="AG289" s="136" t="s">
        <v>59</v>
      </c>
      <c r="AH289" s="138">
        <v>-461.5</v>
      </c>
      <c r="AI289" s="139" t="s">
        <v>58</v>
      </c>
      <c r="AJ289" s="139" t="s">
        <v>157</v>
      </c>
    </row>
    <row r="290" spans="1:36" ht="15.75" x14ac:dyDescent="0.25">
      <c r="A290" s="115">
        <v>13003</v>
      </c>
      <c r="B290" s="116" t="s">
        <v>36</v>
      </c>
      <c r="C290" s="117" t="s">
        <v>37</v>
      </c>
      <c r="D290" s="118" t="s">
        <v>36</v>
      </c>
      <c r="E290" s="119" t="s">
        <v>38</v>
      </c>
      <c r="F290" s="140" t="s">
        <v>39</v>
      </c>
      <c r="G290" s="118" t="s">
        <v>40</v>
      </c>
      <c r="H290" s="121" t="s">
        <v>41</v>
      </c>
      <c r="I290" s="120" t="s">
        <v>301</v>
      </c>
      <c r="J290" s="122" t="s">
        <v>302</v>
      </c>
      <c r="K290" s="123" t="s">
        <v>303</v>
      </c>
      <c r="L290" t="s">
        <v>192</v>
      </c>
      <c r="M290" s="124" t="s">
        <v>193</v>
      </c>
      <c r="N290" s="125" t="s">
        <v>194</v>
      </c>
      <c r="O290" s="126" t="s">
        <v>1329</v>
      </c>
      <c r="P290" s="127" t="s">
        <v>1330</v>
      </c>
      <c r="Q290" s="128">
        <v>1324.84</v>
      </c>
      <c r="R290" s="128">
        <v>1324.84</v>
      </c>
      <c r="S290" s="129">
        <v>1324.84</v>
      </c>
      <c r="T290" s="130" t="s">
        <v>1554</v>
      </c>
      <c r="U290" s="131">
        <v>45408</v>
      </c>
      <c r="V290" s="132">
        <v>45408</v>
      </c>
      <c r="W290" s="133">
        <v>186</v>
      </c>
      <c r="X290" s="134" t="s">
        <v>258</v>
      </c>
      <c r="Y290" s="135" t="s">
        <v>912</v>
      </c>
      <c r="Z290" s="128" t="s">
        <v>57</v>
      </c>
      <c r="AA290" s="128"/>
      <c r="AB290" s="136" t="s">
        <v>256</v>
      </c>
      <c r="AC290" s="137" t="s">
        <v>952</v>
      </c>
      <c r="AD290" s="136" t="s">
        <v>915</v>
      </c>
      <c r="AE290" s="136" t="s">
        <v>916</v>
      </c>
      <c r="AF290" s="136" t="s">
        <v>157</v>
      </c>
      <c r="AG290" s="136" t="s">
        <v>59</v>
      </c>
      <c r="AH290" s="138">
        <v>-1324.84</v>
      </c>
      <c r="AI290" s="139" t="s">
        <v>58</v>
      </c>
      <c r="AJ290" s="139" t="s">
        <v>157</v>
      </c>
    </row>
    <row r="291" spans="1:36" ht="15.75" x14ac:dyDescent="0.25">
      <c r="A291" s="115">
        <v>13424</v>
      </c>
      <c r="B291" s="116" t="s">
        <v>36</v>
      </c>
      <c r="C291" s="117" t="s">
        <v>37</v>
      </c>
      <c r="D291" s="118" t="s">
        <v>36</v>
      </c>
      <c r="E291" s="119" t="s">
        <v>38</v>
      </c>
      <c r="F291" s="120" t="s">
        <v>39</v>
      </c>
      <c r="G291" s="118" t="s">
        <v>40</v>
      </c>
      <c r="H291" s="121" t="s">
        <v>41</v>
      </c>
      <c r="I291" s="120" t="s">
        <v>946</v>
      </c>
      <c r="J291" s="122" t="s">
        <v>947</v>
      </c>
      <c r="K291" s="123" t="s">
        <v>948</v>
      </c>
      <c r="L291" t="s">
        <v>192</v>
      </c>
      <c r="M291" s="124" t="s">
        <v>193</v>
      </c>
      <c r="N291" s="125" t="s">
        <v>194</v>
      </c>
      <c r="O291" s="126" t="s">
        <v>207</v>
      </c>
      <c r="P291" s="127" t="s">
        <v>1555</v>
      </c>
      <c r="Q291" s="128">
        <v>1520.58</v>
      </c>
      <c r="R291" s="128">
        <v>1520.58</v>
      </c>
      <c r="S291" s="129">
        <v>1520.58</v>
      </c>
      <c r="T291" s="130" t="s">
        <v>1556</v>
      </c>
      <c r="U291" s="131">
        <v>45412</v>
      </c>
      <c r="V291" s="132">
        <v>45412</v>
      </c>
      <c r="W291" s="133">
        <v>3085</v>
      </c>
      <c r="X291" s="134" t="s">
        <v>951</v>
      </c>
      <c r="Y291" s="135" t="s">
        <v>912</v>
      </c>
      <c r="Z291" s="128" t="s">
        <v>57</v>
      </c>
      <c r="AA291" s="128"/>
      <c r="AB291" s="136" t="s">
        <v>256</v>
      </c>
      <c r="AC291" s="137" t="s">
        <v>952</v>
      </c>
      <c r="AD291" s="136" t="s">
        <v>915</v>
      </c>
      <c r="AE291" s="136" t="s">
        <v>916</v>
      </c>
      <c r="AF291" s="136" t="s">
        <v>157</v>
      </c>
      <c r="AG291" s="136" t="s">
        <v>59</v>
      </c>
      <c r="AH291" s="138">
        <v>-1520.58</v>
      </c>
      <c r="AI291" s="139" t="s">
        <v>58</v>
      </c>
      <c r="AJ291" s="139" t="s">
        <v>157</v>
      </c>
    </row>
    <row r="292" spans="1:36" ht="15.75" x14ac:dyDescent="0.25">
      <c r="A292" s="115">
        <v>14442</v>
      </c>
      <c r="B292" s="116" t="s">
        <v>36</v>
      </c>
      <c r="C292" s="117" t="s">
        <v>37</v>
      </c>
      <c r="D292" s="118" t="s">
        <v>36</v>
      </c>
      <c r="E292" s="119" t="s">
        <v>38</v>
      </c>
      <c r="F292" s="120" t="s">
        <v>39</v>
      </c>
      <c r="G292" s="118" t="s">
        <v>40</v>
      </c>
      <c r="H292" s="121" t="s">
        <v>41</v>
      </c>
      <c r="I292" s="120" t="s">
        <v>301</v>
      </c>
      <c r="J292" s="122" t="s">
        <v>302</v>
      </c>
      <c r="K292" s="123" t="s">
        <v>303</v>
      </c>
      <c r="L292" t="s">
        <v>192</v>
      </c>
      <c r="M292" s="124" t="s">
        <v>193</v>
      </c>
      <c r="N292" s="125" t="s">
        <v>194</v>
      </c>
      <c r="O292" s="126" t="s">
        <v>929</v>
      </c>
      <c r="P292" s="127" t="s">
        <v>1557</v>
      </c>
      <c r="Q292" s="128"/>
      <c r="R292" s="128"/>
      <c r="S292" s="129">
        <v>218.25</v>
      </c>
      <c r="T292" s="130" t="s">
        <v>1327</v>
      </c>
      <c r="U292" s="131">
        <v>45421</v>
      </c>
      <c r="V292" s="132"/>
      <c r="W292" s="133"/>
      <c r="X292" s="134" t="s">
        <v>1333</v>
      </c>
      <c r="Y292" s="135" t="s">
        <v>912</v>
      </c>
      <c r="Z292" s="128" t="s">
        <v>96</v>
      </c>
      <c r="AA292" s="128" t="s">
        <v>1350</v>
      </c>
      <c r="AB292" s="136" t="e">
        <v>#N/A</v>
      </c>
      <c r="AC292" s="137" t="e">
        <v>#N/A</v>
      </c>
      <c r="AD292" s="136" t="e">
        <v>#N/A</v>
      </c>
      <c r="AE292" s="136" t="e">
        <v>#N/A</v>
      </c>
      <c r="AF292" s="136" t="e">
        <v>#N/A</v>
      </c>
      <c r="AG292" s="136" t="e">
        <v>#N/A</v>
      </c>
      <c r="AH292" s="138">
        <v>-218.25</v>
      </c>
      <c r="AI292" s="139" t="s">
        <v>58</v>
      </c>
      <c r="AJ292" s="139" t="s">
        <v>157</v>
      </c>
    </row>
    <row r="293" spans="1:36" ht="15.75" x14ac:dyDescent="0.25">
      <c r="A293" s="115">
        <v>14487</v>
      </c>
      <c r="B293" s="116" t="s">
        <v>36</v>
      </c>
      <c r="C293" s="117" t="s">
        <v>37</v>
      </c>
      <c r="D293" s="118" t="s">
        <v>36</v>
      </c>
      <c r="E293" s="119" t="s">
        <v>38</v>
      </c>
      <c r="F293" s="120" t="s">
        <v>39</v>
      </c>
      <c r="G293" s="118" t="s">
        <v>40</v>
      </c>
      <c r="H293" s="121" t="s">
        <v>41</v>
      </c>
      <c r="I293" s="120" t="s">
        <v>301</v>
      </c>
      <c r="J293" s="122" t="s">
        <v>302</v>
      </c>
      <c r="K293" s="123" t="s">
        <v>303</v>
      </c>
      <c r="L293" t="s">
        <v>192</v>
      </c>
      <c r="M293" s="124" t="s">
        <v>193</v>
      </c>
      <c r="N293" s="125" t="s">
        <v>194</v>
      </c>
      <c r="O293" s="126" t="s">
        <v>929</v>
      </c>
      <c r="P293" s="127" t="s">
        <v>1558</v>
      </c>
      <c r="Q293" s="128"/>
      <c r="R293" s="128"/>
      <c r="S293" s="129">
        <v>218.25</v>
      </c>
      <c r="T293" s="130" t="s">
        <v>1327</v>
      </c>
      <c r="U293" s="131">
        <v>45421</v>
      </c>
      <c r="V293" s="132"/>
      <c r="W293" s="133"/>
      <c r="X293" s="134" t="s">
        <v>1323</v>
      </c>
      <c r="Y293" s="135" t="s">
        <v>912</v>
      </c>
      <c r="Z293" s="128" t="s">
        <v>96</v>
      </c>
      <c r="AA293" s="128" t="s">
        <v>1350</v>
      </c>
      <c r="AB293" s="136" t="e">
        <v>#N/A</v>
      </c>
      <c r="AC293" s="137" t="e">
        <v>#N/A</v>
      </c>
      <c r="AD293" s="136" t="e">
        <v>#N/A</v>
      </c>
      <c r="AE293" s="136" t="e">
        <v>#N/A</v>
      </c>
      <c r="AF293" s="136" t="e">
        <v>#N/A</v>
      </c>
      <c r="AG293" s="136" t="e">
        <v>#N/A</v>
      </c>
      <c r="AH293" s="138">
        <v>-218.25</v>
      </c>
      <c r="AI293" s="139" t="s">
        <v>58</v>
      </c>
      <c r="AJ293" s="139" t="s">
        <v>157</v>
      </c>
    </row>
    <row r="294" spans="1:36" ht="15.75" x14ac:dyDescent="0.25">
      <c r="A294" s="115">
        <v>14530</v>
      </c>
      <c r="B294" s="116" t="s">
        <v>36</v>
      </c>
      <c r="C294" s="117" t="s">
        <v>37</v>
      </c>
      <c r="D294" s="118" t="s">
        <v>36</v>
      </c>
      <c r="E294" s="119" t="s">
        <v>38</v>
      </c>
      <c r="F294" s="120" t="s">
        <v>39</v>
      </c>
      <c r="G294" s="118" t="s">
        <v>40</v>
      </c>
      <c r="H294" s="121" t="s">
        <v>41</v>
      </c>
      <c r="I294" s="120" t="s">
        <v>301</v>
      </c>
      <c r="J294" s="122" t="s">
        <v>302</v>
      </c>
      <c r="K294" s="123" t="s">
        <v>303</v>
      </c>
      <c r="L294" t="s">
        <v>192</v>
      </c>
      <c r="M294" s="124" t="s">
        <v>193</v>
      </c>
      <c r="N294" s="125" t="s">
        <v>194</v>
      </c>
      <c r="O294" s="126" t="s">
        <v>929</v>
      </c>
      <c r="P294" s="127" t="s">
        <v>1557</v>
      </c>
      <c r="Q294" s="128"/>
      <c r="R294" s="128"/>
      <c r="S294" s="129">
        <v>2246.25</v>
      </c>
      <c r="T294" s="130" t="s">
        <v>1327</v>
      </c>
      <c r="U294" s="131">
        <v>45422</v>
      </c>
      <c r="V294" s="132"/>
      <c r="W294" s="133"/>
      <c r="X294" s="134" t="s">
        <v>1046</v>
      </c>
      <c r="Y294" s="135" t="s">
        <v>912</v>
      </c>
      <c r="Z294" s="128" t="s">
        <v>96</v>
      </c>
      <c r="AA294" s="128" t="s">
        <v>1350</v>
      </c>
      <c r="AB294" s="136" t="s">
        <v>256</v>
      </c>
      <c r="AC294" s="137" t="s">
        <v>952</v>
      </c>
      <c r="AD294" s="136" t="s">
        <v>915</v>
      </c>
      <c r="AE294" s="136" t="s">
        <v>916</v>
      </c>
      <c r="AF294" s="136" t="s">
        <v>157</v>
      </c>
      <c r="AG294" s="136" t="s">
        <v>59</v>
      </c>
      <c r="AH294" s="138">
        <v>-2246.25</v>
      </c>
      <c r="AI294" s="139" t="s">
        <v>58</v>
      </c>
      <c r="AJ294" s="139" t="s">
        <v>157</v>
      </c>
    </row>
    <row r="295" spans="1:36" ht="15.75" x14ac:dyDescent="0.25">
      <c r="A295" s="115">
        <v>14643</v>
      </c>
      <c r="B295" s="116" t="s">
        <v>36</v>
      </c>
      <c r="C295" s="117" t="s">
        <v>37</v>
      </c>
      <c r="D295" s="118" t="s">
        <v>36</v>
      </c>
      <c r="E295" s="119" t="s">
        <v>38</v>
      </c>
      <c r="F295" s="120" t="s">
        <v>39</v>
      </c>
      <c r="G295" s="118" t="s">
        <v>40</v>
      </c>
      <c r="H295" s="121" t="s">
        <v>41</v>
      </c>
      <c r="I295" s="120" t="s">
        <v>524</v>
      </c>
      <c r="J295" s="122" t="s">
        <v>525</v>
      </c>
      <c r="K295" s="123" t="s">
        <v>526</v>
      </c>
      <c r="L295" t="s">
        <v>192</v>
      </c>
      <c r="M295" s="124" t="s">
        <v>193</v>
      </c>
      <c r="N295" s="125" t="s">
        <v>194</v>
      </c>
      <c r="O295" s="126" t="s">
        <v>207</v>
      </c>
      <c r="P295" s="127" t="s">
        <v>1559</v>
      </c>
      <c r="Q295" s="128"/>
      <c r="R295" s="128"/>
      <c r="S295" s="129">
        <v>507.27</v>
      </c>
      <c r="T295" s="130" t="s">
        <v>1560</v>
      </c>
      <c r="U295" s="131">
        <v>45422</v>
      </c>
      <c r="V295" s="132"/>
      <c r="W295" s="133"/>
      <c r="X295" s="134" t="s">
        <v>1334</v>
      </c>
      <c r="Y295" s="135" t="s">
        <v>912</v>
      </c>
      <c r="Z295" s="128" t="s">
        <v>57</v>
      </c>
      <c r="AA295" s="128"/>
      <c r="AB295" s="136" t="s">
        <v>256</v>
      </c>
      <c r="AC295" s="137" t="s">
        <v>952</v>
      </c>
      <c r="AD295" s="136" t="s">
        <v>915</v>
      </c>
      <c r="AE295" s="136" t="s">
        <v>916</v>
      </c>
      <c r="AF295" s="136" t="s">
        <v>157</v>
      </c>
      <c r="AG295" s="136" t="s">
        <v>59</v>
      </c>
      <c r="AH295" s="138">
        <v>-507.27</v>
      </c>
      <c r="AI295" s="139" t="s">
        <v>58</v>
      </c>
      <c r="AJ295" s="139" t="s">
        <v>157</v>
      </c>
    </row>
    <row r="296" spans="1:36" ht="15.75" x14ac:dyDescent="0.25">
      <c r="A296" s="115">
        <v>14678</v>
      </c>
      <c r="B296" s="116" t="s">
        <v>36</v>
      </c>
      <c r="C296" s="117" t="s">
        <v>37</v>
      </c>
      <c r="D296" s="118" t="s">
        <v>36</v>
      </c>
      <c r="E296" s="119" t="s">
        <v>38</v>
      </c>
      <c r="F296" s="140" t="s">
        <v>39</v>
      </c>
      <c r="G296" s="118" t="s">
        <v>40</v>
      </c>
      <c r="H296" s="121" t="s">
        <v>41</v>
      </c>
      <c r="I296" s="120" t="s">
        <v>42</v>
      </c>
      <c r="J296" s="122" t="s">
        <v>43</v>
      </c>
      <c r="K296" s="123" t="s">
        <v>44</v>
      </c>
      <c r="L296" t="s">
        <v>192</v>
      </c>
      <c r="M296" s="124" t="s">
        <v>193</v>
      </c>
      <c r="N296" s="125" t="s">
        <v>194</v>
      </c>
      <c r="O296" s="126" t="s">
        <v>929</v>
      </c>
      <c r="P296" s="127" t="s">
        <v>1558</v>
      </c>
      <c r="Q296" s="128"/>
      <c r="R296" s="128"/>
      <c r="S296" s="129">
        <v>262.25</v>
      </c>
      <c r="T296" s="130" t="s">
        <v>1327</v>
      </c>
      <c r="U296" s="131">
        <v>45422</v>
      </c>
      <c r="V296" s="132"/>
      <c r="W296" s="133"/>
      <c r="X296" s="134" t="s">
        <v>1345</v>
      </c>
      <c r="Y296" s="135" t="s">
        <v>912</v>
      </c>
      <c r="Z296" s="128" t="s">
        <v>96</v>
      </c>
      <c r="AA296" s="128" t="s">
        <v>1350</v>
      </c>
      <c r="AB296" s="136" t="s">
        <v>256</v>
      </c>
      <c r="AC296" s="137" t="s">
        <v>914</v>
      </c>
      <c r="AD296" s="136" t="s">
        <v>961</v>
      </c>
      <c r="AE296" s="136" t="s">
        <v>962</v>
      </c>
      <c r="AF296" s="136" t="s">
        <v>59</v>
      </c>
      <c r="AG296" s="136" t="s">
        <v>59</v>
      </c>
      <c r="AH296" s="138">
        <v>-262.25</v>
      </c>
      <c r="AI296" s="139" t="s">
        <v>58</v>
      </c>
      <c r="AJ296" s="139" t="s">
        <v>157</v>
      </c>
    </row>
    <row r="297" spans="1:36" ht="15.75" x14ac:dyDescent="0.25">
      <c r="A297" s="115">
        <v>14703</v>
      </c>
      <c r="B297" s="116" t="s">
        <v>36</v>
      </c>
      <c r="C297" s="117" t="s">
        <v>37</v>
      </c>
      <c r="D297" s="118" t="s">
        <v>36</v>
      </c>
      <c r="E297" s="119" t="s">
        <v>38</v>
      </c>
      <c r="F297" s="140" t="s">
        <v>39</v>
      </c>
      <c r="G297" s="118" t="s">
        <v>40</v>
      </c>
      <c r="H297" s="121" t="s">
        <v>41</v>
      </c>
      <c r="I297" s="120" t="s">
        <v>524</v>
      </c>
      <c r="J297" s="122" t="s">
        <v>525</v>
      </c>
      <c r="K297" s="123" t="s">
        <v>526</v>
      </c>
      <c r="L297" t="s">
        <v>192</v>
      </c>
      <c r="M297" s="124" t="s">
        <v>193</v>
      </c>
      <c r="N297" s="125" t="s">
        <v>194</v>
      </c>
      <c r="O297" s="126" t="s">
        <v>121</v>
      </c>
      <c r="P297" s="127" t="s">
        <v>1561</v>
      </c>
      <c r="Q297" s="128"/>
      <c r="R297" s="128"/>
      <c r="S297" s="129">
        <v>0.01</v>
      </c>
      <c r="T297" s="130" t="s">
        <v>1562</v>
      </c>
      <c r="U297" s="131">
        <v>45422</v>
      </c>
      <c r="V297" s="132"/>
      <c r="W297" s="133">
        <v>9464</v>
      </c>
      <c r="X297" s="134" t="s">
        <v>1435</v>
      </c>
      <c r="Y297" s="135" t="s">
        <v>912</v>
      </c>
      <c r="Z297" s="128" t="s">
        <v>57</v>
      </c>
      <c r="AA297" s="128"/>
      <c r="AB297" s="136"/>
      <c r="AC297" s="137"/>
      <c r="AD297" s="136"/>
      <c r="AE297" s="136"/>
      <c r="AF297" s="136"/>
      <c r="AG297" s="136"/>
      <c r="AH297" s="138">
        <v>-0.01</v>
      </c>
      <c r="AI297" s="139" t="s">
        <v>58</v>
      </c>
      <c r="AJ297" s="139" t="s">
        <v>157</v>
      </c>
    </row>
    <row r="298" spans="1:36" ht="15.75" x14ac:dyDescent="0.25">
      <c r="A298" s="115">
        <v>14752</v>
      </c>
      <c r="B298" s="116" t="s">
        <v>36</v>
      </c>
      <c r="C298" s="117" t="s">
        <v>37</v>
      </c>
      <c r="D298" s="118" t="s">
        <v>36</v>
      </c>
      <c r="E298" s="119" t="s">
        <v>38</v>
      </c>
      <c r="F298" s="120" t="s">
        <v>39</v>
      </c>
      <c r="G298" s="118" t="s">
        <v>40</v>
      </c>
      <c r="H298" s="121" t="s">
        <v>41</v>
      </c>
      <c r="I298" s="120" t="s">
        <v>946</v>
      </c>
      <c r="J298" s="122" t="s">
        <v>947</v>
      </c>
      <c r="K298" s="123" t="s">
        <v>948</v>
      </c>
      <c r="L298" t="s">
        <v>192</v>
      </c>
      <c r="M298" s="124" t="s">
        <v>193</v>
      </c>
      <c r="N298" s="125" t="s">
        <v>194</v>
      </c>
      <c r="O298" s="126" t="s">
        <v>121</v>
      </c>
      <c r="P298" s="127" t="s">
        <v>1563</v>
      </c>
      <c r="Q298" s="128"/>
      <c r="R298" s="128"/>
      <c r="S298" s="129">
        <v>362.94</v>
      </c>
      <c r="T298" s="130" t="s">
        <v>1564</v>
      </c>
      <c r="U298" s="131">
        <v>45422</v>
      </c>
      <c r="V298" s="132"/>
      <c r="W298" s="133"/>
      <c r="X298" s="134" t="s">
        <v>951</v>
      </c>
      <c r="Y298" s="135" t="s">
        <v>912</v>
      </c>
      <c r="Z298" s="128" t="s">
        <v>57</v>
      </c>
      <c r="AA298" s="128"/>
      <c r="AB298" s="136" t="s">
        <v>256</v>
      </c>
      <c r="AC298" s="137" t="s">
        <v>952</v>
      </c>
      <c r="AD298" s="136" t="s">
        <v>915</v>
      </c>
      <c r="AE298" s="136" t="s">
        <v>916</v>
      </c>
      <c r="AF298" s="136" t="s">
        <v>157</v>
      </c>
      <c r="AG298" s="136" t="s">
        <v>59</v>
      </c>
      <c r="AH298" s="138">
        <v>-362.94</v>
      </c>
      <c r="AI298" s="139" t="s">
        <v>58</v>
      </c>
      <c r="AJ298" s="139" t="s">
        <v>157</v>
      </c>
    </row>
    <row r="299" spans="1:36" ht="15.75" x14ac:dyDescent="0.25">
      <c r="A299" s="115">
        <v>14913</v>
      </c>
      <c r="B299" s="116" t="s">
        <v>36</v>
      </c>
      <c r="C299" s="117" t="s">
        <v>37</v>
      </c>
      <c r="D299" s="118" t="s">
        <v>36</v>
      </c>
      <c r="E299" s="119" t="s">
        <v>38</v>
      </c>
      <c r="F299" s="120" t="s">
        <v>39</v>
      </c>
      <c r="G299" s="118" t="s">
        <v>40</v>
      </c>
      <c r="H299" s="121" t="s">
        <v>41</v>
      </c>
      <c r="I299" s="120" t="s">
        <v>301</v>
      </c>
      <c r="J299" s="122" t="s">
        <v>302</v>
      </c>
      <c r="K299" s="123" t="s">
        <v>303</v>
      </c>
      <c r="L299" t="s">
        <v>192</v>
      </c>
      <c r="M299" s="124" t="s">
        <v>193</v>
      </c>
      <c r="N299" s="125" t="s">
        <v>194</v>
      </c>
      <c r="O299" s="126" t="s">
        <v>929</v>
      </c>
      <c r="P299" s="127" t="s">
        <v>1565</v>
      </c>
      <c r="Q299" s="128"/>
      <c r="R299" s="128"/>
      <c r="S299" s="129">
        <v>432.04</v>
      </c>
      <c r="T299" s="130" t="s">
        <v>1327</v>
      </c>
      <c r="U299" s="131">
        <v>45426</v>
      </c>
      <c r="V299" s="132"/>
      <c r="W299" s="133"/>
      <c r="X299" s="134" t="s">
        <v>1046</v>
      </c>
      <c r="Y299" s="135" t="s">
        <v>912</v>
      </c>
      <c r="Z299" s="128" t="s">
        <v>96</v>
      </c>
      <c r="AA299" s="128" t="s">
        <v>1418</v>
      </c>
      <c r="AB299" s="136" t="s">
        <v>256</v>
      </c>
      <c r="AC299" s="137" t="s">
        <v>952</v>
      </c>
      <c r="AD299" s="136" t="s">
        <v>915</v>
      </c>
      <c r="AE299" s="136" t="s">
        <v>916</v>
      </c>
      <c r="AF299" s="136" t="s">
        <v>157</v>
      </c>
      <c r="AG299" s="136" t="s">
        <v>59</v>
      </c>
      <c r="AH299" s="138">
        <v>-432.04</v>
      </c>
      <c r="AI299" s="139" t="s">
        <v>58</v>
      </c>
      <c r="AJ299" s="139" t="s">
        <v>157</v>
      </c>
    </row>
    <row r="300" spans="1:36" ht="15.75" x14ac:dyDescent="0.25">
      <c r="A300" s="115">
        <v>14950</v>
      </c>
      <c r="B300" s="116" t="s">
        <v>36</v>
      </c>
      <c r="C300" s="117" t="s">
        <v>37</v>
      </c>
      <c r="D300" s="118" t="s">
        <v>36</v>
      </c>
      <c r="E300" s="119" t="s">
        <v>38</v>
      </c>
      <c r="F300" s="120" t="s">
        <v>39</v>
      </c>
      <c r="G300" s="118" t="s">
        <v>40</v>
      </c>
      <c r="H300" s="121" t="s">
        <v>41</v>
      </c>
      <c r="I300" s="120" t="s">
        <v>301</v>
      </c>
      <c r="J300" s="122" t="s">
        <v>302</v>
      </c>
      <c r="K300" s="123" t="s">
        <v>303</v>
      </c>
      <c r="L300" t="s">
        <v>192</v>
      </c>
      <c r="M300" s="124" t="s">
        <v>193</v>
      </c>
      <c r="N300" s="125" t="s">
        <v>194</v>
      </c>
      <c r="O300" s="126" t="s">
        <v>121</v>
      </c>
      <c r="P300" s="127" t="s">
        <v>1566</v>
      </c>
      <c r="Q300" s="128"/>
      <c r="R300" s="128"/>
      <c r="S300" s="129">
        <v>195</v>
      </c>
      <c r="T300" s="130" t="s">
        <v>1567</v>
      </c>
      <c r="U300" s="131">
        <v>45426</v>
      </c>
      <c r="V300" s="132"/>
      <c r="W300" s="133"/>
      <c r="X300" s="134" t="s">
        <v>1568</v>
      </c>
      <c r="Y300" s="135" t="s">
        <v>912</v>
      </c>
      <c r="Z300" s="128" t="s">
        <v>57</v>
      </c>
      <c r="AA300" s="128"/>
      <c r="AB300" s="136"/>
      <c r="AC300" s="137"/>
      <c r="AD300" s="136"/>
      <c r="AE300" s="136"/>
      <c r="AF300" s="136"/>
      <c r="AG300" s="136"/>
      <c r="AH300" s="138">
        <v>-195</v>
      </c>
      <c r="AI300" s="139" t="s">
        <v>58</v>
      </c>
      <c r="AJ300" s="139" t="s">
        <v>157</v>
      </c>
    </row>
    <row r="301" spans="1:36" ht="15.75" x14ac:dyDescent="0.25">
      <c r="A301" s="115">
        <v>15257</v>
      </c>
      <c r="B301" s="116" t="s">
        <v>36</v>
      </c>
      <c r="C301" s="117" t="s">
        <v>37</v>
      </c>
      <c r="D301" s="118" t="s">
        <v>36</v>
      </c>
      <c r="E301" s="119" t="s">
        <v>38</v>
      </c>
      <c r="F301" s="120" t="s">
        <v>39</v>
      </c>
      <c r="G301" s="118" t="s">
        <v>40</v>
      </c>
      <c r="H301" s="121" t="s">
        <v>41</v>
      </c>
      <c r="I301" s="120" t="s">
        <v>946</v>
      </c>
      <c r="J301" s="122" t="s">
        <v>947</v>
      </c>
      <c r="K301" s="123" t="s">
        <v>948</v>
      </c>
      <c r="L301" t="s">
        <v>192</v>
      </c>
      <c r="M301" s="124" t="s">
        <v>193</v>
      </c>
      <c r="N301" s="125" t="s">
        <v>194</v>
      </c>
      <c r="O301" s="126" t="s">
        <v>207</v>
      </c>
      <c r="P301" s="127" t="s">
        <v>1569</v>
      </c>
      <c r="Q301" s="128"/>
      <c r="R301" s="128"/>
      <c r="S301" s="129">
        <v>1716.45</v>
      </c>
      <c r="T301" s="130" t="s">
        <v>1570</v>
      </c>
      <c r="U301" s="131">
        <v>45427</v>
      </c>
      <c r="V301" s="132"/>
      <c r="W301" s="133"/>
      <c r="X301" s="134" t="s">
        <v>951</v>
      </c>
      <c r="Y301" s="135" t="s">
        <v>912</v>
      </c>
      <c r="Z301" s="128" t="s">
        <v>57</v>
      </c>
      <c r="AA301" s="128"/>
      <c r="AB301" s="136" t="s">
        <v>256</v>
      </c>
      <c r="AC301" s="137" t="s">
        <v>952</v>
      </c>
      <c r="AD301" s="136" t="s">
        <v>915</v>
      </c>
      <c r="AE301" s="136" t="s">
        <v>916</v>
      </c>
      <c r="AF301" s="136" t="s">
        <v>157</v>
      </c>
      <c r="AG301" s="136" t="s">
        <v>59</v>
      </c>
      <c r="AH301" s="138">
        <v>-1716.45</v>
      </c>
      <c r="AI301" s="139" t="s">
        <v>58</v>
      </c>
      <c r="AJ301" s="139" t="s">
        <v>157</v>
      </c>
    </row>
    <row r="302" spans="1:36" ht="15.75" x14ac:dyDescent="0.25">
      <c r="A302" s="115">
        <v>15441</v>
      </c>
      <c r="B302" s="116" t="s">
        <v>36</v>
      </c>
      <c r="C302" s="117" t="s">
        <v>37</v>
      </c>
      <c r="D302" s="118" t="s">
        <v>36</v>
      </c>
      <c r="E302" s="119" t="s">
        <v>38</v>
      </c>
      <c r="F302" s="120" t="s">
        <v>39</v>
      </c>
      <c r="G302" s="118" t="s">
        <v>40</v>
      </c>
      <c r="H302" s="121" t="s">
        <v>41</v>
      </c>
      <c r="I302" s="120" t="s">
        <v>524</v>
      </c>
      <c r="J302" s="122" t="s">
        <v>525</v>
      </c>
      <c r="K302" s="123" t="s">
        <v>526</v>
      </c>
      <c r="L302" t="s">
        <v>192</v>
      </c>
      <c r="M302" s="124" t="s">
        <v>193</v>
      </c>
      <c r="N302" s="125" t="s">
        <v>194</v>
      </c>
      <c r="O302" s="126" t="s">
        <v>207</v>
      </c>
      <c r="P302" s="127" t="s">
        <v>1571</v>
      </c>
      <c r="Q302" s="128"/>
      <c r="R302" s="128"/>
      <c r="S302" s="129">
        <v>284.89999999999998</v>
      </c>
      <c r="T302" s="130" t="s">
        <v>1572</v>
      </c>
      <c r="U302" s="131">
        <v>45429</v>
      </c>
      <c r="V302" s="132"/>
      <c r="W302" s="133"/>
      <c r="X302" s="134" t="s">
        <v>1334</v>
      </c>
      <c r="Y302" s="135" t="s">
        <v>912</v>
      </c>
      <c r="Z302" s="128" t="s">
        <v>57</v>
      </c>
      <c r="AA302" s="128"/>
      <c r="AB302" s="136" t="s">
        <v>256</v>
      </c>
      <c r="AC302" s="137" t="s">
        <v>952</v>
      </c>
      <c r="AD302" s="136" t="s">
        <v>915</v>
      </c>
      <c r="AE302" s="136" t="s">
        <v>916</v>
      </c>
      <c r="AF302" s="136" t="s">
        <v>157</v>
      </c>
      <c r="AG302" s="136" t="s">
        <v>59</v>
      </c>
      <c r="AH302" s="138">
        <v>-284.89999999999998</v>
      </c>
      <c r="AI302" s="139" t="s">
        <v>58</v>
      </c>
      <c r="AJ302" s="139" t="s">
        <v>157</v>
      </c>
    </row>
    <row r="303" spans="1:36" ht="15.75" x14ac:dyDescent="0.25">
      <c r="A303" s="115">
        <v>15538</v>
      </c>
      <c r="B303" s="116" t="s">
        <v>36</v>
      </c>
      <c r="C303" s="117" t="s">
        <v>37</v>
      </c>
      <c r="D303" s="118" t="s">
        <v>36</v>
      </c>
      <c r="E303" s="119" t="s">
        <v>38</v>
      </c>
      <c r="F303" s="120" t="s">
        <v>39</v>
      </c>
      <c r="G303" s="118" t="s">
        <v>40</v>
      </c>
      <c r="H303" s="121" t="s">
        <v>41</v>
      </c>
      <c r="I303" s="120" t="s">
        <v>1319</v>
      </c>
      <c r="J303" s="122" t="s">
        <v>1320</v>
      </c>
      <c r="K303" s="123" t="s">
        <v>1321</v>
      </c>
      <c r="L303" t="s">
        <v>192</v>
      </c>
      <c r="M303" s="124" t="s">
        <v>193</v>
      </c>
      <c r="N303" s="125" t="s">
        <v>194</v>
      </c>
      <c r="O303" s="126" t="s">
        <v>207</v>
      </c>
      <c r="P303" s="127" t="s">
        <v>1573</v>
      </c>
      <c r="Q303" s="128"/>
      <c r="R303" s="128"/>
      <c r="S303" s="129">
        <v>47.75</v>
      </c>
      <c r="T303" s="130" t="s">
        <v>1574</v>
      </c>
      <c r="U303" s="131">
        <v>45429</v>
      </c>
      <c r="V303" s="132"/>
      <c r="W303" s="133"/>
      <c r="X303" s="134" t="s">
        <v>1326</v>
      </c>
      <c r="Y303" s="135" t="s">
        <v>912</v>
      </c>
      <c r="Z303" s="128" t="s">
        <v>57</v>
      </c>
      <c r="AA303" s="128"/>
      <c r="AB303" s="136" t="s">
        <v>256</v>
      </c>
      <c r="AC303" s="137" t="s">
        <v>952</v>
      </c>
      <c r="AD303" s="136" t="s">
        <v>915</v>
      </c>
      <c r="AE303" s="136" t="s">
        <v>916</v>
      </c>
      <c r="AF303" s="136" t="s">
        <v>157</v>
      </c>
      <c r="AG303" s="136" t="s">
        <v>59</v>
      </c>
      <c r="AH303" s="138">
        <v>-47.75</v>
      </c>
      <c r="AI303" s="139" t="s">
        <v>58</v>
      </c>
      <c r="AJ303" s="139" t="s">
        <v>157</v>
      </c>
    </row>
    <row r="304" spans="1:36" ht="15.75" x14ac:dyDescent="0.25">
      <c r="A304" s="115">
        <v>15540</v>
      </c>
      <c r="B304" s="116" t="s">
        <v>36</v>
      </c>
      <c r="C304" s="117" t="s">
        <v>37</v>
      </c>
      <c r="D304" s="118" t="s">
        <v>36</v>
      </c>
      <c r="E304" s="119" t="s">
        <v>38</v>
      </c>
      <c r="F304" s="120" t="s">
        <v>39</v>
      </c>
      <c r="G304" s="118" t="s">
        <v>40</v>
      </c>
      <c r="H304" s="121" t="s">
        <v>41</v>
      </c>
      <c r="I304" s="120" t="s">
        <v>946</v>
      </c>
      <c r="J304" s="122" t="s">
        <v>947</v>
      </c>
      <c r="K304" s="123" t="s">
        <v>948</v>
      </c>
      <c r="L304" t="s">
        <v>192</v>
      </c>
      <c r="M304" s="124" t="s">
        <v>193</v>
      </c>
      <c r="N304" s="125" t="s">
        <v>194</v>
      </c>
      <c r="O304" s="126" t="s">
        <v>207</v>
      </c>
      <c r="P304" s="127" t="s">
        <v>1575</v>
      </c>
      <c r="Q304" s="128"/>
      <c r="R304" s="128"/>
      <c r="S304" s="129">
        <v>1213.6400000000001</v>
      </c>
      <c r="T304" s="130" t="s">
        <v>1576</v>
      </c>
      <c r="U304" s="131">
        <v>45429</v>
      </c>
      <c r="V304" s="132"/>
      <c r="W304" s="133"/>
      <c r="X304" s="134" t="s">
        <v>951</v>
      </c>
      <c r="Y304" s="135" t="s">
        <v>912</v>
      </c>
      <c r="Z304" s="128" t="s">
        <v>57</v>
      </c>
      <c r="AA304" s="128"/>
      <c r="AB304" s="136" t="s">
        <v>256</v>
      </c>
      <c r="AC304" s="137" t="s">
        <v>952</v>
      </c>
      <c r="AD304" s="136" t="s">
        <v>915</v>
      </c>
      <c r="AE304" s="136" t="s">
        <v>916</v>
      </c>
      <c r="AF304" s="136" t="s">
        <v>157</v>
      </c>
      <c r="AG304" s="136" t="s">
        <v>59</v>
      </c>
      <c r="AH304" s="138">
        <v>-1213.6400000000001</v>
      </c>
      <c r="AI304" s="139" t="s">
        <v>58</v>
      </c>
      <c r="AJ304" s="139" t="s">
        <v>157</v>
      </c>
    </row>
    <row r="305" spans="1:36" ht="15.75" x14ac:dyDescent="0.25">
      <c r="A305" s="115">
        <v>15784</v>
      </c>
      <c r="B305" s="116" t="s">
        <v>36</v>
      </c>
      <c r="C305" s="117" t="s">
        <v>37</v>
      </c>
      <c r="D305" s="118" t="s">
        <v>36</v>
      </c>
      <c r="E305" s="119" t="s">
        <v>38</v>
      </c>
      <c r="F305" s="120" t="s">
        <v>39</v>
      </c>
      <c r="G305" s="118" t="s">
        <v>40</v>
      </c>
      <c r="H305" s="121" t="s">
        <v>41</v>
      </c>
      <c r="I305" s="120" t="s">
        <v>301</v>
      </c>
      <c r="J305" s="122" t="s">
        <v>302</v>
      </c>
      <c r="K305" s="123" t="s">
        <v>303</v>
      </c>
      <c r="L305" t="s">
        <v>192</v>
      </c>
      <c r="M305" s="124" t="s">
        <v>193</v>
      </c>
      <c r="N305" s="125" t="s">
        <v>194</v>
      </c>
      <c r="O305" s="126" t="s">
        <v>929</v>
      </c>
      <c r="P305" s="127" t="s">
        <v>1577</v>
      </c>
      <c r="Q305" s="128"/>
      <c r="R305" s="128"/>
      <c r="S305" s="129">
        <v>49.91</v>
      </c>
      <c r="T305" s="130" t="s">
        <v>1327</v>
      </c>
      <c r="U305" s="131">
        <v>45434</v>
      </c>
      <c r="V305" s="132"/>
      <c r="W305" s="133"/>
      <c r="X305" s="134" t="s">
        <v>1046</v>
      </c>
      <c r="Y305" s="135" t="s">
        <v>912</v>
      </c>
      <c r="Z305" s="128" t="s">
        <v>96</v>
      </c>
      <c r="AA305" s="128" t="s">
        <v>1418</v>
      </c>
      <c r="AB305" s="136"/>
      <c r="AC305" s="137"/>
      <c r="AD305" s="136"/>
      <c r="AE305" s="136"/>
      <c r="AF305" s="136"/>
      <c r="AG305" s="136"/>
      <c r="AH305" s="138">
        <v>-49.91</v>
      </c>
      <c r="AI305" s="139" t="s">
        <v>58</v>
      </c>
      <c r="AJ305" s="139" t="s">
        <v>157</v>
      </c>
    </row>
    <row r="306" spans="1:36" ht="15.75" x14ac:dyDescent="0.25">
      <c r="A306" s="115">
        <v>15803</v>
      </c>
      <c r="B306" s="116" t="s">
        <v>36</v>
      </c>
      <c r="C306" s="117" t="s">
        <v>37</v>
      </c>
      <c r="D306" s="118" t="s">
        <v>36</v>
      </c>
      <c r="E306" s="119" t="s">
        <v>38</v>
      </c>
      <c r="F306" s="120" t="s">
        <v>39</v>
      </c>
      <c r="G306" s="118" t="s">
        <v>40</v>
      </c>
      <c r="H306" s="121" t="s">
        <v>41</v>
      </c>
      <c r="I306" s="120" t="s">
        <v>42</v>
      </c>
      <c r="J306" s="122" t="s">
        <v>43</v>
      </c>
      <c r="K306" s="123" t="s">
        <v>44</v>
      </c>
      <c r="L306" t="s">
        <v>192</v>
      </c>
      <c r="M306" s="124" t="s">
        <v>193</v>
      </c>
      <c r="N306" s="125" t="s">
        <v>194</v>
      </c>
      <c r="O306" s="126" t="s">
        <v>929</v>
      </c>
      <c r="P306" s="127">
        <v>6121</v>
      </c>
      <c r="Q306" s="128"/>
      <c r="R306" s="128"/>
      <c r="S306" s="129">
        <v>360</v>
      </c>
      <c r="T306" s="130" t="s">
        <v>1578</v>
      </c>
      <c r="U306" s="131">
        <v>45434</v>
      </c>
      <c r="V306" s="132"/>
      <c r="W306" s="133"/>
      <c r="X306" s="134" t="s">
        <v>1579</v>
      </c>
      <c r="Y306" s="135" t="s">
        <v>912</v>
      </c>
      <c r="Z306" s="128" t="s">
        <v>96</v>
      </c>
      <c r="AA306" s="128" t="s">
        <v>1492</v>
      </c>
      <c r="AB306" s="136"/>
      <c r="AC306" s="137"/>
      <c r="AD306" s="136"/>
      <c r="AE306" s="136"/>
      <c r="AF306" s="136"/>
      <c r="AG306" s="136"/>
      <c r="AH306" s="138">
        <v>-360</v>
      </c>
      <c r="AI306" s="139" t="s">
        <v>58</v>
      </c>
      <c r="AJ306" s="139" t="s">
        <v>157</v>
      </c>
    </row>
    <row r="307" spans="1:36" ht="15.75" x14ac:dyDescent="0.25">
      <c r="A307" s="115">
        <v>16077</v>
      </c>
      <c r="B307" s="116" t="s">
        <v>36</v>
      </c>
      <c r="C307" s="117" t="s">
        <v>37</v>
      </c>
      <c r="D307" s="118" t="s">
        <v>36</v>
      </c>
      <c r="E307" s="119" t="s">
        <v>38</v>
      </c>
      <c r="F307" s="120" t="s">
        <v>39</v>
      </c>
      <c r="G307" s="118" t="s">
        <v>40</v>
      </c>
      <c r="H307" s="121" t="s">
        <v>41</v>
      </c>
      <c r="I307" s="120" t="s">
        <v>524</v>
      </c>
      <c r="J307" s="122" t="s">
        <v>525</v>
      </c>
      <c r="K307" s="123" t="s">
        <v>526</v>
      </c>
      <c r="L307" t="s">
        <v>192</v>
      </c>
      <c r="M307" s="124" t="s">
        <v>193</v>
      </c>
      <c r="N307" s="125" t="s">
        <v>194</v>
      </c>
      <c r="O307" s="126" t="s">
        <v>207</v>
      </c>
      <c r="P307" s="127" t="s">
        <v>1580</v>
      </c>
      <c r="Q307" s="128"/>
      <c r="R307" s="128"/>
      <c r="S307" s="129">
        <v>444.58</v>
      </c>
      <c r="T307" s="130" t="s">
        <v>1581</v>
      </c>
      <c r="U307" s="131">
        <v>45436</v>
      </c>
      <c r="V307" s="132"/>
      <c r="W307" s="133"/>
      <c r="X307" s="134" t="s">
        <v>1334</v>
      </c>
      <c r="Y307" s="135" t="s">
        <v>912</v>
      </c>
      <c r="Z307" s="128" t="s">
        <v>57</v>
      </c>
      <c r="AA307" s="128"/>
      <c r="AB307" s="136" t="s">
        <v>256</v>
      </c>
      <c r="AC307" s="137" t="s">
        <v>952</v>
      </c>
      <c r="AD307" s="136" t="s">
        <v>915</v>
      </c>
      <c r="AE307" s="136" t="s">
        <v>916</v>
      </c>
      <c r="AF307" s="136" t="s">
        <v>157</v>
      </c>
      <c r="AG307" s="136" t="s">
        <v>59</v>
      </c>
      <c r="AH307" s="138">
        <v>-444.58</v>
      </c>
      <c r="AI307" s="139" t="s">
        <v>58</v>
      </c>
      <c r="AJ307" s="139" t="s">
        <v>157</v>
      </c>
    </row>
    <row r="308" spans="1:36" ht="15.75" x14ac:dyDescent="0.25">
      <c r="A308" s="115">
        <v>16152</v>
      </c>
      <c r="B308" s="116" t="s">
        <v>36</v>
      </c>
      <c r="C308" s="117" t="s">
        <v>37</v>
      </c>
      <c r="D308" s="118" t="s">
        <v>36</v>
      </c>
      <c r="E308" s="119" t="s">
        <v>38</v>
      </c>
      <c r="F308" s="120" t="s">
        <v>39</v>
      </c>
      <c r="G308" s="118" t="s">
        <v>40</v>
      </c>
      <c r="H308" s="121" t="s">
        <v>41</v>
      </c>
      <c r="I308" s="120" t="s">
        <v>946</v>
      </c>
      <c r="J308" s="122" t="s">
        <v>947</v>
      </c>
      <c r="K308" s="123" t="s">
        <v>948</v>
      </c>
      <c r="L308" t="s">
        <v>192</v>
      </c>
      <c r="M308" s="124" t="s">
        <v>193</v>
      </c>
      <c r="N308" s="125" t="s">
        <v>194</v>
      </c>
      <c r="O308" s="126" t="s">
        <v>207</v>
      </c>
      <c r="P308" s="127" t="s">
        <v>1582</v>
      </c>
      <c r="Q308" s="128"/>
      <c r="R308" s="128"/>
      <c r="S308" s="129">
        <v>481.32</v>
      </c>
      <c r="T308" s="130" t="s">
        <v>1583</v>
      </c>
      <c r="U308" s="131">
        <v>45436</v>
      </c>
      <c r="V308" s="132"/>
      <c r="W308" s="133"/>
      <c r="X308" s="134" t="s">
        <v>951</v>
      </c>
      <c r="Y308" s="135" t="s">
        <v>912</v>
      </c>
      <c r="Z308" s="128" t="s">
        <v>57</v>
      </c>
      <c r="AA308" s="128"/>
      <c r="AB308" s="136" t="s">
        <v>256</v>
      </c>
      <c r="AC308" s="137" t="s">
        <v>952</v>
      </c>
      <c r="AD308" s="136" t="s">
        <v>915</v>
      </c>
      <c r="AE308" s="136" t="s">
        <v>916</v>
      </c>
      <c r="AF308" s="136" t="s">
        <v>157</v>
      </c>
      <c r="AG308" s="136" t="s">
        <v>59</v>
      </c>
      <c r="AH308" s="138">
        <v>-481.32</v>
      </c>
      <c r="AI308" s="139" t="s">
        <v>58</v>
      </c>
      <c r="AJ308" s="139" t="s">
        <v>157</v>
      </c>
    </row>
    <row r="309" spans="1:36" ht="15.75" x14ac:dyDescent="0.25">
      <c r="A309" s="115">
        <v>16608</v>
      </c>
      <c r="B309" s="116" t="s">
        <v>36</v>
      </c>
      <c r="C309" s="117" t="s">
        <v>37</v>
      </c>
      <c r="D309" s="118" t="s">
        <v>36</v>
      </c>
      <c r="E309" s="119" t="s">
        <v>38</v>
      </c>
      <c r="F309" s="120" t="s">
        <v>39</v>
      </c>
      <c r="G309" s="118" t="s">
        <v>40</v>
      </c>
      <c r="H309" s="121" t="s">
        <v>41</v>
      </c>
      <c r="I309" s="120" t="s">
        <v>524</v>
      </c>
      <c r="J309" s="122" t="s">
        <v>525</v>
      </c>
      <c r="K309" s="123" t="s">
        <v>526</v>
      </c>
      <c r="L309" t="s">
        <v>192</v>
      </c>
      <c r="M309" s="124" t="s">
        <v>193</v>
      </c>
      <c r="N309" s="125" t="s">
        <v>194</v>
      </c>
      <c r="O309" s="126" t="s">
        <v>207</v>
      </c>
      <c r="P309" s="127" t="s">
        <v>1584</v>
      </c>
      <c r="Q309" s="128"/>
      <c r="R309" s="128"/>
      <c r="S309" s="129">
        <v>348.8</v>
      </c>
      <c r="T309" s="130" t="s">
        <v>1585</v>
      </c>
      <c r="U309" s="131">
        <v>45443</v>
      </c>
      <c r="V309" s="132"/>
      <c r="W309" s="133"/>
      <c r="X309" s="134" t="s">
        <v>1334</v>
      </c>
      <c r="Y309" s="135" t="s">
        <v>912</v>
      </c>
      <c r="Z309" s="128" t="s">
        <v>57</v>
      </c>
      <c r="AA309" s="128"/>
      <c r="AB309" s="136" t="s">
        <v>256</v>
      </c>
      <c r="AC309" s="137" t="s">
        <v>952</v>
      </c>
      <c r="AD309" s="136" t="s">
        <v>915</v>
      </c>
      <c r="AE309" s="136" t="s">
        <v>916</v>
      </c>
      <c r="AF309" s="136" t="s">
        <v>157</v>
      </c>
      <c r="AG309" s="136" t="s">
        <v>59</v>
      </c>
      <c r="AH309" s="138">
        <v>-348.8</v>
      </c>
      <c r="AI309" s="139" t="s">
        <v>58</v>
      </c>
      <c r="AJ309" s="139" t="s">
        <v>157</v>
      </c>
    </row>
    <row r="310" spans="1:36" ht="15.75" x14ac:dyDescent="0.25">
      <c r="A310" s="115">
        <v>16675</v>
      </c>
      <c r="B310" s="116" t="s">
        <v>36</v>
      </c>
      <c r="C310" s="117" t="s">
        <v>37</v>
      </c>
      <c r="D310" s="118" t="s">
        <v>36</v>
      </c>
      <c r="E310" s="119" t="s">
        <v>38</v>
      </c>
      <c r="F310" s="120" t="s">
        <v>39</v>
      </c>
      <c r="G310" s="118" t="s">
        <v>40</v>
      </c>
      <c r="H310" s="121" t="s">
        <v>41</v>
      </c>
      <c r="I310" s="120" t="s">
        <v>946</v>
      </c>
      <c r="J310" s="122" t="s">
        <v>947</v>
      </c>
      <c r="K310" s="123" t="s">
        <v>948</v>
      </c>
      <c r="L310" t="s">
        <v>192</v>
      </c>
      <c r="M310" s="124" t="s">
        <v>193</v>
      </c>
      <c r="N310" s="125" t="s">
        <v>194</v>
      </c>
      <c r="O310" s="126" t="s">
        <v>207</v>
      </c>
      <c r="P310" s="127" t="s">
        <v>1586</v>
      </c>
      <c r="Q310" s="128"/>
      <c r="R310" s="128"/>
      <c r="S310" s="129">
        <v>195.35</v>
      </c>
      <c r="T310" s="130" t="s">
        <v>1587</v>
      </c>
      <c r="U310" s="131">
        <v>45443</v>
      </c>
      <c r="V310" s="132"/>
      <c r="W310" s="133"/>
      <c r="X310" s="134" t="s">
        <v>951</v>
      </c>
      <c r="Y310" s="135" t="s">
        <v>912</v>
      </c>
      <c r="Z310" s="128" t="s">
        <v>57</v>
      </c>
      <c r="AA310" s="128"/>
      <c r="AB310" s="136" t="s">
        <v>256</v>
      </c>
      <c r="AC310" s="137" t="s">
        <v>952</v>
      </c>
      <c r="AD310" s="136" t="s">
        <v>915</v>
      </c>
      <c r="AE310" s="136" t="s">
        <v>916</v>
      </c>
      <c r="AF310" s="136" t="s">
        <v>157</v>
      </c>
      <c r="AG310" s="136" t="s">
        <v>59</v>
      </c>
      <c r="AH310" s="138">
        <v>-195.35</v>
      </c>
      <c r="AI310" s="139" t="s">
        <v>58</v>
      </c>
      <c r="AJ310" s="139" t="s">
        <v>157</v>
      </c>
    </row>
    <row r="311" spans="1:36" ht="15.75" x14ac:dyDescent="0.25">
      <c r="A311" s="115">
        <v>17515</v>
      </c>
      <c r="B311" s="116" t="s">
        <v>36</v>
      </c>
      <c r="C311" s="117" t="s">
        <v>37</v>
      </c>
      <c r="D311" s="118" t="s">
        <v>36</v>
      </c>
      <c r="E311" s="119" t="s">
        <v>38</v>
      </c>
      <c r="F311" s="120" t="s">
        <v>39</v>
      </c>
      <c r="G311" s="118" t="s">
        <v>40</v>
      </c>
      <c r="H311" s="121" t="s">
        <v>41</v>
      </c>
      <c r="I311" s="120" t="s">
        <v>524</v>
      </c>
      <c r="J311" s="122" t="s">
        <v>525</v>
      </c>
      <c r="K311" s="123" t="s">
        <v>526</v>
      </c>
      <c r="L311" t="s">
        <v>192</v>
      </c>
      <c r="M311" s="124" t="s">
        <v>193</v>
      </c>
      <c r="N311" s="125" t="s">
        <v>194</v>
      </c>
      <c r="O311" s="126" t="s">
        <v>207</v>
      </c>
      <c r="P311" s="127" t="s">
        <v>1588</v>
      </c>
      <c r="Q311" s="128">
        <v>506.1</v>
      </c>
      <c r="R311" s="128">
        <v>506.1</v>
      </c>
      <c r="S311" s="129">
        <v>506.1</v>
      </c>
      <c r="T311" s="130" t="s">
        <v>1589</v>
      </c>
      <c r="U311" s="131">
        <v>45450</v>
      </c>
      <c r="V311" s="132">
        <v>45450</v>
      </c>
      <c r="W311" s="133">
        <v>3003</v>
      </c>
      <c r="X311" s="134" t="s">
        <v>1334</v>
      </c>
      <c r="Y311" s="135" t="s">
        <v>912</v>
      </c>
      <c r="Z311" s="128" t="s">
        <v>57</v>
      </c>
      <c r="AA311" s="128"/>
      <c r="AB311" s="136"/>
      <c r="AC311" s="137"/>
      <c r="AD311" s="136"/>
      <c r="AE311" s="136"/>
      <c r="AF311" s="136"/>
      <c r="AG311" s="136"/>
      <c r="AH311" s="138">
        <v>-506.1</v>
      </c>
      <c r="AI311" s="139" t="s">
        <v>58</v>
      </c>
      <c r="AJ311" s="139" t="s">
        <v>157</v>
      </c>
    </row>
    <row r="312" spans="1:36" ht="15.75" x14ac:dyDescent="0.25">
      <c r="A312" s="115">
        <v>17542</v>
      </c>
      <c r="B312" s="116" t="s">
        <v>36</v>
      </c>
      <c r="C312" s="117" t="s">
        <v>37</v>
      </c>
      <c r="D312" s="118" t="s">
        <v>36</v>
      </c>
      <c r="E312" s="119" t="s">
        <v>38</v>
      </c>
      <c r="F312" s="140" t="s">
        <v>39</v>
      </c>
      <c r="G312" s="118" t="s">
        <v>40</v>
      </c>
      <c r="H312" s="121" t="s">
        <v>41</v>
      </c>
      <c r="I312" s="120" t="s">
        <v>301</v>
      </c>
      <c r="J312" s="122" t="s">
        <v>302</v>
      </c>
      <c r="K312" s="123" t="s">
        <v>303</v>
      </c>
      <c r="L312" t="s">
        <v>192</v>
      </c>
      <c r="M312" s="124" t="s">
        <v>193</v>
      </c>
      <c r="N312" s="125" t="s">
        <v>194</v>
      </c>
      <c r="O312" s="126" t="s">
        <v>207</v>
      </c>
      <c r="P312" s="127" t="s">
        <v>1590</v>
      </c>
      <c r="Q312" s="128">
        <v>1071.01</v>
      </c>
      <c r="R312" s="128">
        <v>1071.01</v>
      </c>
      <c r="S312" s="129">
        <v>267.7525</v>
      </c>
      <c r="T312" s="130" t="s">
        <v>1591</v>
      </c>
      <c r="U312" s="131">
        <v>45450</v>
      </c>
      <c r="V312" s="132">
        <v>45450</v>
      </c>
      <c r="W312" s="133">
        <v>9150</v>
      </c>
      <c r="X312" s="134" t="s">
        <v>1592</v>
      </c>
      <c r="Y312" s="135" t="s">
        <v>912</v>
      </c>
      <c r="Z312" s="128" t="s">
        <v>57</v>
      </c>
      <c r="AA312" s="128"/>
      <c r="AB312" s="136"/>
      <c r="AC312" s="137"/>
      <c r="AD312" s="136"/>
      <c r="AE312" s="136"/>
      <c r="AF312" s="136"/>
      <c r="AG312" s="136"/>
      <c r="AH312" s="138">
        <v>-267.7525</v>
      </c>
      <c r="AI312" s="139" t="s">
        <v>58</v>
      </c>
      <c r="AJ312" s="139" t="s">
        <v>157</v>
      </c>
    </row>
    <row r="313" spans="1:36" ht="15.75" x14ac:dyDescent="0.25">
      <c r="A313" s="115">
        <v>17574</v>
      </c>
      <c r="B313" s="116" t="s">
        <v>36</v>
      </c>
      <c r="C313" s="117" t="s">
        <v>37</v>
      </c>
      <c r="D313" s="118" t="s">
        <v>36</v>
      </c>
      <c r="E313" s="119" t="s">
        <v>38</v>
      </c>
      <c r="F313" s="120" t="s">
        <v>39</v>
      </c>
      <c r="G313" s="118" t="s">
        <v>40</v>
      </c>
      <c r="H313" s="121" t="s">
        <v>41</v>
      </c>
      <c r="I313" s="120" t="s">
        <v>946</v>
      </c>
      <c r="J313" s="122" t="s">
        <v>947</v>
      </c>
      <c r="K313" s="123" t="s">
        <v>948</v>
      </c>
      <c r="L313" t="s">
        <v>192</v>
      </c>
      <c r="M313" s="124" t="s">
        <v>193</v>
      </c>
      <c r="N313" s="125" t="s">
        <v>194</v>
      </c>
      <c r="O313" s="126" t="s">
        <v>207</v>
      </c>
      <c r="P313" s="127" t="s">
        <v>1593</v>
      </c>
      <c r="Q313" s="128">
        <v>719.19</v>
      </c>
      <c r="R313" s="128">
        <v>719.19</v>
      </c>
      <c r="S313" s="129">
        <v>719.19</v>
      </c>
      <c r="T313" s="130" t="s">
        <v>1594</v>
      </c>
      <c r="U313" s="131">
        <v>45450</v>
      </c>
      <c r="V313" s="132">
        <v>45450</v>
      </c>
      <c r="W313" s="133">
        <v>3085</v>
      </c>
      <c r="X313" s="134" t="s">
        <v>951</v>
      </c>
      <c r="Y313" s="135" t="s">
        <v>912</v>
      </c>
      <c r="Z313" s="128" t="s">
        <v>57</v>
      </c>
      <c r="AA313" s="128"/>
      <c r="AB313" s="136"/>
      <c r="AC313" s="137"/>
      <c r="AD313" s="136"/>
      <c r="AE313" s="136"/>
      <c r="AF313" s="136"/>
      <c r="AG313" s="136"/>
      <c r="AH313" s="138">
        <v>-719.19</v>
      </c>
      <c r="AI313" s="139" t="s">
        <v>58</v>
      </c>
      <c r="AJ313" s="139" t="s">
        <v>157</v>
      </c>
    </row>
    <row r="314" spans="1:36" ht="15.75" x14ac:dyDescent="0.25">
      <c r="A314" s="115">
        <v>17634</v>
      </c>
      <c r="B314" s="116" t="s">
        <v>36</v>
      </c>
      <c r="C314" s="117" t="s">
        <v>37</v>
      </c>
      <c r="D314" s="118" t="s">
        <v>36</v>
      </c>
      <c r="E314" s="119" t="s">
        <v>38</v>
      </c>
      <c r="F314" s="120" t="s">
        <v>39</v>
      </c>
      <c r="G314" s="118" t="s">
        <v>40</v>
      </c>
      <c r="H314" s="121" t="s">
        <v>41</v>
      </c>
      <c r="I314" s="120" t="s">
        <v>42</v>
      </c>
      <c r="J314" s="122" t="s">
        <v>43</v>
      </c>
      <c r="K314" s="123" t="s">
        <v>44</v>
      </c>
      <c r="L314" t="s">
        <v>192</v>
      </c>
      <c r="M314" s="124" t="s">
        <v>193</v>
      </c>
      <c r="N314" s="125" t="s">
        <v>194</v>
      </c>
      <c r="O314" s="126" t="s">
        <v>929</v>
      </c>
      <c r="P314" s="127"/>
      <c r="Q314" s="128"/>
      <c r="R314" s="128"/>
      <c r="S314" s="129">
        <v>1560</v>
      </c>
      <c r="T314" s="130" t="s">
        <v>1327</v>
      </c>
      <c r="U314" s="131">
        <v>45453</v>
      </c>
      <c r="V314" s="132"/>
      <c r="W314" s="133"/>
      <c r="X314" s="134" t="s">
        <v>1579</v>
      </c>
      <c r="Y314" s="135" t="s">
        <v>912</v>
      </c>
      <c r="Z314" s="128" t="s">
        <v>96</v>
      </c>
      <c r="AA314" s="128" t="s">
        <v>1492</v>
      </c>
      <c r="AB314" s="136"/>
      <c r="AC314" s="137"/>
      <c r="AD314" s="136"/>
      <c r="AE314" s="136"/>
      <c r="AF314" s="136"/>
      <c r="AG314" s="136"/>
      <c r="AH314" s="138">
        <v>-1560</v>
      </c>
      <c r="AI314" s="139" t="s">
        <v>58</v>
      </c>
      <c r="AJ314" s="139" t="s">
        <v>157</v>
      </c>
    </row>
    <row r="315" spans="1:36" ht="15.75" x14ac:dyDescent="0.25">
      <c r="A315" s="115">
        <v>17938</v>
      </c>
      <c r="B315" s="116" t="s">
        <v>36</v>
      </c>
      <c r="C315" s="117" t="s">
        <v>37</v>
      </c>
      <c r="D315" s="118" t="s">
        <v>36</v>
      </c>
      <c r="E315" s="119" t="s">
        <v>38</v>
      </c>
      <c r="F315" s="120" t="s">
        <v>39</v>
      </c>
      <c r="G315" s="118" t="s">
        <v>40</v>
      </c>
      <c r="H315" s="121" t="s">
        <v>41</v>
      </c>
      <c r="I315" s="120" t="s">
        <v>1360</v>
      </c>
      <c r="J315" s="122" t="s">
        <v>1361</v>
      </c>
      <c r="K315" s="123" t="s">
        <v>1362</v>
      </c>
      <c r="L315" t="s">
        <v>192</v>
      </c>
      <c r="M315" s="124" t="s">
        <v>193</v>
      </c>
      <c r="N315" s="125" t="s">
        <v>194</v>
      </c>
      <c r="O315" s="126" t="s">
        <v>929</v>
      </c>
      <c r="P315" s="127"/>
      <c r="Q315" s="128"/>
      <c r="R315" s="128"/>
      <c r="S315" s="129">
        <v>300</v>
      </c>
      <c r="T315" s="130" t="s">
        <v>1595</v>
      </c>
      <c r="U315" s="131">
        <v>45455</v>
      </c>
      <c r="V315" s="132"/>
      <c r="W315" s="133"/>
      <c r="X315" s="134" t="s">
        <v>1596</v>
      </c>
      <c r="Y315" s="135" t="s">
        <v>912</v>
      </c>
      <c r="Z315" s="128" t="s">
        <v>96</v>
      </c>
      <c r="AA315" s="128" t="s">
        <v>1418</v>
      </c>
      <c r="AB315" s="136"/>
      <c r="AC315" s="137"/>
      <c r="AD315" s="136"/>
      <c r="AE315" s="136"/>
      <c r="AF315" s="136"/>
      <c r="AG315" s="136"/>
      <c r="AH315" s="138">
        <v>-300</v>
      </c>
      <c r="AI315" s="139" t="s">
        <v>58</v>
      </c>
      <c r="AJ315" s="139" t="s">
        <v>157</v>
      </c>
    </row>
    <row r="316" spans="1:36" ht="15.75" x14ac:dyDescent="0.25">
      <c r="A316" s="115">
        <v>18223</v>
      </c>
      <c r="B316" s="116" t="s">
        <v>36</v>
      </c>
      <c r="C316" s="117" t="s">
        <v>37</v>
      </c>
      <c r="D316" s="118" t="s">
        <v>36</v>
      </c>
      <c r="E316" s="119" t="s">
        <v>38</v>
      </c>
      <c r="F316" s="120" t="s">
        <v>39</v>
      </c>
      <c r="G316" s="118" t="s">
        <v>40</v>
      </c>
      <c r="H316" s="121" t="s">
        <v>41</v>
      </c>
      <c r="I316" s="120" t="s">
        <v>524</v>
      </c>
      <c r="J316" s="122" t="s">
        <v>525</v>
      </c>
      <c r="K316" s="123" t="s">
        <v>526</v>
      </c>
      <c r="L316" t="s">
        <v>192</v>
      </c>
      <c r="M316" s="124" t="s">
        <v>193</v>
      </c>
      <c r="N316" s="125" t="s">
        <v>194</v>
      </c>
      <c r="O316" s="126" t="s">
        <v>207</v>
      </c>
      <c r="P316" s="127" t="s">
        <v>1597</v>
      </c>
      <c r="Q316" s="128">
        <v>272.7</v>
      </c>
      <c r="R316" s="128">
        <v>272.7</v>
      </c>
      <c r="S316" s="129">
        <v>272.7</v>
      </c>
      <c r="T316" s="130" t="s">
        <v>1598</v>
      </c>
      <c r="U316" s="131">
        <v>45457</v>
      </c>
      <c r="V316" s="132">
        <v>45457</v>
      </c>
      <c r="W316" s="133">
        <v>3003</v>
      </c>
      <c r="X316" s="134" t="s">
        <v>1334</v>
      </c>
      <c r="Y316" s="135" t="s">
        <v>912</v>
      </c>
      <c r="Z316" s="128" t="s">
        <v>57</v>
      </c>
      <c r="AA316" s="128"/>
      <c r="AB316" s="136"/>
      <c r="AC316" s="137"/>
      <c r="AD316" s="136"/>
      <c r="AE316" s="136"/>
      <c r="AF316" s="136"/>
      <c r="AG316" s="136"/>
      <c r="AH316" s="138">
        <v>-272.7</v>
      </c>
      <c r="AI316" s="139" t="s">
        <v>58</v>
      </c>
      <c r="AJ316" s="139" t="s">
        <v>157</v>
      </c>
    </row>
    <row r="317" spans="1:36" ht="15.75" x14ac:dyDescent="0.25">
      <c r="A317" s="115">
        <v>18287</v>
      </c>
      <c r="B317" s="116" t="s">
        <v>36</v>
      </c>
      <c r="C317" s="117" t="s">
        <v>37</v>
      </c>
      <c r="D317" s="118" t="s">
        <v>36</v>
      </c>
      <c r="E317" s="119" t="s">
        <v>38</v>
      </c>
      <c r="F317" s="140" t="s">
        <v>39</v>
      </c>
      <c r="G317" s="118" t="s">
        <v>40</v>
      </c>
      <c r="H317" s="121" t="s">
        <v>41</v>
      </c>
      <c r="I317" s="120" t="s">
        <v>301</v>
      </c>
      <c r="J317" s="122" t="s">
        <v>302</v>
      </c>
      <c r="K317" s="123" t="s">
        <v>303</v>
      </c>
      <c r="L317" t="s">
        <v>192</v>
      </c>
      <c r="M317" s="124" t="s">
        <v>193</v>
      </c>
      <c r="N317" s="125" t="s">
        <v>194</v>
      </c>
      <c r="O317" s="126" t="s">
        <v>207</v>
      </c>
      <c r="P317" s="127" t="s">
        <v>1599</v>
      </c>
      <c r="Q317" s="128">
        <v>541.04</v>
      </c>
      <c r="R317" s="128">
        <v>541.04</v>
      </c>
      <c r="S317" s="129">
        <v>541.04</v>
      </c>
      <c r="T317" s="130" t="s">
        <v>1600</v>
      </c>
      <c r="U317" s="131">
        <v>45457</v>
      </c>
      <c r="V317" s="132">
        <v>45457</v>
      </c>
      <c r="W317" s="133">
        <v>9150</v>
      </c>
      <c r="X317" s="134" t="s">
        <v>1592</v>
      </c>
      <c r="Y317" s="135" t="s">
        <v>912</v>
      </c>
      <c r="Z317" s="128" t="s">
        <v>57</v>
      </c>
      <c r="AA317" s="128"/>
      <c r="AB317" s="136"/>
      <c r="AC317" s="137"/>
      <c r="AD317" s="136"/>
      <c r="AE317" s="136"/>
      <c r="AF317" s="136"/>
      <c r="AG317" s="136"/>
      <c r="AH317" s="138">
        <v>-541.04</v>
      </c>
      <c r="AI317" s="139" t="s">
        <v>58</v>
      </c>
      <c r="AJ317" s="139" t="s">
        <v>157</v>
      </c>
    </row>
    <row r="318" spans="1:36" ht="15.75" x14ac:dyDescent="0.25">
      <c r="A318" s="115">
        <v>18365</v>
      </c>
      <c r="B318" s="116" t="s">
        <v>36</v>
      </c>
      <c r="C318" s="117" t="s">
        <v>37</v>
      </c>
      <c r="D318" s="118" t="s">
        <v>36</v>
      </c>
      <c r="E318" s="119" t="s">
        <v>38</v>
      </c>
      <c r="F318" s="120" t="s">
        <v>39</v>
      </c>
      <c r="G318" s="118" t="s">
        <v>40</v>
      </c>
      <c r="H318" s="121" t="s">
        <v>41</v>
      </c>
      <c r="I318" s="120" t="s">
        <v>946</v>
      </c>
      <c r="J318" s="122" t="s">
        <v>947</v>
      </c>
      <c r="K318" s="123" t="s">
        <v>948</v>
      </c>
      <c r="L318" t="s">
        <v>192</v>
      </c>
      <c r="M318" s="124" t="s">
        <v>193</v>
      </c>
      <c r="N318" s="125" t="s">
        <v>194</v>
      </c>
      <c r="O318" s="126" t="s">
        <v>207</v>
      </c>
      <c r="P318" s="127" t="s">
        <v>1601</v>
      </c>
      <c r="Q318" s="128">
        <v>831.53</v>
      </c>
      <c r="R318" s="128">
        <v>831.53</v>
      </c>
      <c r="S318" s="129">
        <v>831.53</v>
      </c>
      <c r="T318" s="130" t="s">
        <v>1602</v>
      </c>
      <c r="U318" s="131">
        <v>45457</v>
      </c>
      <c r="V318" s="132">
        <v>45457</v>
      </c>
      <c r="W318" s="133">
        <v>3085</v>
      </c>
      <c r="X318" s="134" t="s">
        <v>951</v>
      </c>
      <c r="Y318" s="135" t="s">
        <v>912</v>
      </c>
      <c r="Z318" s="128" t="s">
        <v>57</v>
      </c>
      <c r="AA318" s="128"/>
      <c r="AB318" s="136"/>
      <c r="AC318" s="137"/>
      <c r="AD318" s="136"/>
      <c r="AE318" s="136"/>
      <c r="AF318" s="136"/>
      <c r="AG318" s="136"/>
      <c r="AH318" s="138">
        <v>-831.53</v>
      </c>
      <c r="AI318" s="139" t="s">
        <v>58</v>
      </c>
      <c r="AJ318" s="139" t="s">
        <v>157</v>
      </c>
    </row>
    <row r="319" spans="1:36" ht="15.75" x14ac:dyDescent="0.25">
      <c r="A319" s="115">
        <v>18844</v>
      </c>
      <c r="B319" s="116" t="s">
        <v>36</v>
      </c>
      <c r="C319" s="117" t="s">
        <v>37</v>
      </c>
      <c r="D319" s="118" t="s">
        <v>36</v>
      </c>
      <c r="E319" s="119" t="s">
        <v>38</v>
      </c>
      <c r="F319" s="120" t="s">
        <v>39</v>
      </c>
      <c r="G319" s="118" t="s">
        <v>40</v>
      </c>
      <c r="H319" s="121" t="s">
        <v>41</v>
      </c>
      <c r="I319" s="120" t="s">
        <v>42</v>
      </c>
      <c r="J319" s="122" t="s">
        <v>43</v>
      </c>
      <c r="K319" s="123" t="s">
        <v>44</v>
      </c>
      <c r="L319" t="s">
        <v>192</v>
      </c>
      <c r="M319" s="124" t="s">
        <v>193</v>
      </c>
      <c r="N319" s="125" t="s">
        <v>194</v>
      </c>
      <c r="O319" s="126" t="s">
        <v>929</v>
      </c>
      <c r="P319" s="127"/>
      <c r="Q319" s="128"/>
      <c r="R319" s="128"/>
      <c r="S319" s="129">
        <v>1800</v>
      </c>
      <c r="T319" s="130" t="s">
        <v>1327</v>
      </c>
      <c r="U319" s="131">
        <v>45463</v>
      </c>
      <c r="V319" s="132"/>
      <c r="W319" s="133"/>
      <c r="X319" s="134" t="s">
        <v>1579</v>
      </c>
      <c r="Y319" s="135" t="s">
        <v>912</v>
      </c>
      <c r="Z319" s="128" t="s">
        <v>96</v>
      </c>
      <c r="AA319" s="128" t="s">
        <v>1492</v>
      </c>
      <c r="AB319" s="136"/>
      <c r="AC319" s="137"/>
      <c r="AD319" s="136"/>
      <c r="AE319" s="136"/>
      <c r="AF319" s="136"/>
      <c r="AG319" s="136"/>
      <c r="AH319" s="138">
        <v>-1800</v>
      </c>
      <c r="AI319" s="139" t="s">
        <v>58</v>
      </c>
      <c r="AJ319" s="139" t="s">
        <v>157</v>
      </c>
    </row>
    <row r="320" spans="1:36" ht="15.75" x14ac:dyDescent="0.25">
      <c r="A320" s="115">
        <v>18855</v>
      </c>
      <c r="B320" s="116" t="s">
        <v>36</v>
      </c>
      <c r="C320" s="117" t="s">
        <v>37</v>
      </c>
      <c r="D320" s="118" t="s">
        <v>36</v>
      </c>
      <c r="E320" s="119" t="s">
        <v>38</v>
      </c>
      <c r="F320" s="120" t="s">
        <v>39</v>
      </c>
      <c r="G320" s="118" t="s">
        <v>40</v>
      </c>
      <c r="H320" s="121" t="s">
        <v>41</v>
      </c>
      <c r="I320" s="120" t="s">
        <v>1360</v>
      </c>
      <c r="J320" s="122" t="s">
        <v>1361</v>
      </c>
      <c r="K320" s="123" t="s">
        <v>1362</v>
      </c>
      <c r="L320" t="s">
        <v>192</v>
      </c>
      <c r="M320" s="124" t="s">
        <v>193</v>
      </c>
      <c r="N320" s="125" t="s">
        <v>194</v>
      </c>
      <c r="O320" s="126" t="s">
        <v>929</v>
      </c>
      <c r="P320" s="127"/>
      <c r="Q320" s="128"/>
      <c r="R320" s="128"/>
      <c r="S320" s="129">
        <v>275</v>
      </c>
      <c r="T320" s="130" t="s">
        <v>1595</v>
      </c>
      <c r="U320" s="131">
        <v>45463</v>
      </c>
      <c r="V320" s="132"/>
      <c r="W320" s="133"/>
      <c r="X320" s="134" t="s">
        <v>1596</v>
      </c>
      <c r="Y320" s="135" t="s">
        <v>912</v>
      </c>
      <c r="Z320" s="128" t="s">
        <v>96</v>
      </c>
      <c r="AA320" s="128" t="s">
        <v>1418</v>
      </c>
      <c r="AB320" s="136"/>
      <c r="AC320" s="137"/>
      <c r="AD320" s="136"/>
      <c r="AE320" s="136"/>
      <c r="AF320" s="136"/>
      <c r="AG320" s="136"/>
      <c r="AH320" s="138">
        <v>-275</v>
      </c>
      <c r="AI320" s="139" t="s">
        <v>58</v>
      </c>
      <c r="AJ320" s="139" t="s">
        <v>157</v>
      </c>
    </row>
    <row r="321" spans="1:36" ht="15.75" x14ac:dyDescent="0.25">
      <c r="A321" s="115">
        <v>18923</v>
      </c>
      <c r="B321" s="116" t="s">
        <v>36</v>
      </c>
      <c r="C321" s="117" t="s">
        <v>37</v>
      </c>
      <c r="D321" s="118" t="s">
        <v>36</v>
      </c>
      <c r="E321" s="119" t="s">
        <v>38</v>
      </c>
      <c r="F321" s="120" t="s">
        <v>39</v>
      </c>
      <c r="G321" s="118" t="s">
        <v>40</v>
      </c>
      <c r="H321" s="121" t="s">
        <v>41</v>
      </c>
      <c r="I321" s="120" t="s">
        <v>42</v>
      </c>
      <c r="J321" s="122" t="s">
        <v>43</v>
      </c>
      <c r="K321" s="123" t="s">
        <v>44</v>
      </c>
      <c r="L321" t="s">
        <v>192</v>
      </c>
      <c r="M321" s="124" t="s">
        <v>193</v>
      </c>
      <c r="N321" s="125" t="s">
        <v>194</v>
      </c>
      <c r="O321" s="126" t="s">
        <v>207</v>
      </c>
      <c r="P321" s="127" t="s">
        <v>1603</v>
      </c>
      <c r="Q321" s="128">
        <v>50</v>
      </c>
      <c r="R321" s="128">
        <v>50</v>
      </c>
      <c r="S321" s="129">
        <v>50</v>
      </c>
      <c r="T321" s="130" t="s">
        <v>1604</v>
      </c>
      <c r="U321" s="131">
        <v>45464</v>
      </c>
      <c r="V321" s="132">
        <v>45464</v>
      </c>
      <c r="W321" s="133">
        <v>10742</v>
      </c>
      <c r="X321" s="134" t="s">
        <v>1314</v>
      </c>
      <c r="Y321" s="135" t="s">
        <v>912</v>
      </c>
      <c r="Z321" s="128" t="s">
        <v>57</v>
      </c>
      <c r="AA321" s="128"/>
      <c r="AB321" s="136"/>
      <c r="AC321" s="137"/>
      <c r="AD321" s="136"/>
      <c r="AE321" s="136"/>
      <c r="AF321" s="136"/>
      <c r="AG321" s="136"/>
      <c r="AH321" s="138">
        <v>-50</v>
      </c>
      <c r="AI321" s="139" t="s">
        <v>58</v>
      </c>
      <c r="AJ321" s="139" t="s">
        <v>157</v>
      </c>
    </row>
    <row r="322" spans="1:36" ht="15.75" x14ac:dyDescent="0.25">
      <c r="A322" s="115">
        <v>18973</v>
      </c>
      <c r="B322" s="116" t="s">
        <v>36</v>
      </c>
      <c r="C322" s="117" t="s">
        <v>37</v>
      </c>
      <c r="D322" s="118" t="s">
        <v>36</v>
      </c>
      <c r="E322" s="119" t="s">
        <v>38</v>
      </c>
      <c r="F322" s="120" t="s">
        <v>39</v>
      </c>
      <c r="G322" s="118" t="s">
        <v>40</v>
      </c>
      <c r="H322" s="121" t="s">
        <v>41</v>
      </c>
      <c r="I322" s="120" t="s">
        <v>524</v>
      </c>
      <c r="J322" s="122" t="s">
        <v>525</v>
      </c>
      <c r="K322" s="123" t="s">
        <v>526</v>
      </c>
      <c r="L322" t="s">
        <v>192</v>
      </c>
      <c r="M322" s="124" t="s">
        <v>193</v>
      </c>
      <c r="N322" s="125" t="s">
        <v>194</v>
      </c>
      <c r="O322" s="126" t="s">
        <v>121</v>
      </c>
      <c r="P322" s="127" t="s">
        <v>1605</v>
      </c>
      <c r="Q322" s="128">
        <v>488.9</v>
      </c>
      <c r="R322" s="128">
        <v>488.9</v>
      </c>
      <c r="S322" s="129">
        <v>488.9</v>
      </c>
      <c r="T322" s="130" t="s">
        <v>1606</v>
      </c>
      <c r="U322" s="131">
        <v>45464</v>
      </c>
      <c r="V322" s="132">
        <v>45464</v>
      </c>
      <c r="W322" s="133">
        <v>3003</v>
      </c>
      <c r="X322" s="134" t="s">
        <v>1334</v>
      </c>
      <c r="Y322" s="135" t="s">
        <v>912</v>
      </c>
      <c r="Z322" s="128" t="s">
        <v>57</v>
      </c>
      <c r="AA322" s="128"/>
      <c r="AB322" s="136"/>
      <c r="AC322" s="137"/>
      <c r="AD322" s="136"/>
      <c r="AE322" s="136"/>
      <c r="AF322" s="136"/>
      <c r="AG322" s="136"/>
      <c r="AH322" s="138">
        <v>-488.9</v>
      </c>
      <c r="AI322" s="139" t="s">
        <v>58</v>
      </c>
      <c r="AJ322" s="139" t="s">
        <v>157</v>
      </c>
    </row>
    <row r="323" spans="1:36" ht="15.75" x14ac:dyDescent="0.25">
      <c r="A323" s="115">
        <v>19058</v>
      </c>
      <c r="B323" s="116" t="s">
        <v>36</v>
      </c>
      <c r="C323" s="117" t="s">
        <v>37</v>
      </c>
      <c r="D323" s="118" t="s">
        <v>36</v>
      </c>
      <c r="E323" s="119" t="s">
        <v>38</v>
      </c>
      <c r="F323" s="120" t="s">
        <v>39</v>
      </c>
      <c r="G323" s="118" t="s">
        <v>40</v>
      </c>
      <c r="H323" s="121" t="s">
        <v>41</v>
      </c>
      <c r="I323" s="120" t="s">
        <v>1319</v>
      </c>
      <c r="J323" s="122" t="s">
        <v>1320</v>
      </c>
      <c r="K323" s="123" t="s">
        <v>1321</v>
      </c>
      <c r="L323" t="s">
        <v>192</v>
      </c>
      <c r="M323" s="124" t="s">
        <v>193</v>
      </c>
      <c r="N323" s="125" t="s">
        <v>194</v>
      </c>
      <c r="O323" s="126" t="s">
        <v>207</v>
      </c>
      <c r="P323" s="127" t="s">
        <v>1607</v>
      </c>
      <c r="Q323" s="128">
        <v>104</v>
      </c>
      <c r="R323" s="128">
        <v>104</v>
      </c>
      <c r="S323" s="129">
        <v>52</v>
      </c>
      <c r="T323" s="130" t="s">
        <v>1608</v>
      </c>
      <c r="U323" s="131">
        <v>45464</v>
      </c>
      <c r="V323" s="132">
        <v>45464</v>
      </c>
      <c r="W323" s="133">
        <v>10485</v>
      </c>
      <c r="X323" s="134" t="s">
        <v>1326</v>
      </c>
      <c r="Y323" s="135" t="s">
        <v>912</v>
      </c>
      <c r="Z323" s="128" t="s">
        <v>57</v>
      </c>
      <c r="AA323" s="128"/>
      <c r="AB323" s="136"/>
      <c r="AC323" s="137"/>
      <c r="AD323" s="136"/>
      <c r="AE323" s="136"/>
      <c r="AF323" s="136"/>
      <c r="AG323" s="136"/>
      <c r="AH323" s="138">
        <v>-52</v>
      </c>
      <c r="AI323" s="139" t="s">
        <v>58</v>
      </c>
      <c r="AJ323" s="139" t="s">
        <v>157</v>
      </c>
    </row>
    <row r="324" spans="1:36" ht="15.75" x14ac:dyDescent="0.25">
      <c r="A324" s="115">
        <v>19060</v>
      </c>
      <c r="B324" s="116" t="s">
        <v>36</v>
      </c>
      <c r="C324" s="117" t="s">
        <v>37</v>
      </c>
      <c r="D324" s="118" t="s">
        <v>36</v>
      </c>
      <c r="E324" s="119" t="s">
        <v>38</v>
      </c>
      <c r="F324" s="120" t="s">
        <v>39</v>
      </c>
      <c r="G324" s="118" t="s">
        <v>40</v>
      </c>
      <c r="H324" s="121" t="s">
        <v>41</v>
      </c>
      <c r="I324" s="120" t="s">
        <v>946</v>
      </c>
      <c r="J324" s="122" t="s">
        <v>947</v>
      </c>
      <c r="K324" s="123" t="s">
        <v>948</v>
      </c>
      <c r="L324" t="s">
        <v>192</v>
      </c>
      <c r="M324" s="124" t="s">
        <v>193</v>
      </c>
      <c r="N324" s="125" t="s">
        <v>194</v>
      </c>
      <c r="O324" s="126" t="s">
        <v>207</v>
      </c>
      <c r="P324" s="127" t="s">
        <v>1609</v>
      </c>
      <c r="Q324" s="128">
        <v>265.05</v>
      </c>
      <c r="R324" s="128">
        <v>265.05</v>
      </c>
      <c r="S324" s="129">
        <v>265.05</v>
      </c>
      <c r="T324" s="130" t="s">
        <v>1610</v>
      </c>
      <c r="U324" s="131">
        <v>45464</v>
      </c>
      <c r="V324" s="132">
        <v>45464</v>
      </c>
      <c r="W324" s="133">
        <v>3085</v>
      </c>
      <c r="X324" s="134" t="s">
        <v>951</v>
      </c>
      <c r="Y324" s="135" t="s">
        <v>912</v>
      </c>
      <c r="Z324" s="128" t="s">
        <v>57</v>
      </c>
      <c r="AA324" s="128"/>
      <c r="AB324" s="136"/>
      <c r="AC324" s="137"/>
      <c r="AD324" s="136"/>
      <c r="AE324" s="136"/>
      <c r="AF324" s="136"/>
      <c r="AG324" s="136"/>
      <c r="AH324" s="138">
        <v>-265.05</v>
      </c>
      <c r="AI324" s="139" t="s">
        <v>58</v>
      </c>
      <c r="AJ324" s="139" t="s">
        <v>157</v>
      </c>
    </row>
    <row r="325" spans="1:36" ht="15.75" x14ac:dyDescent="0.25">
      <c r="A325" s="115">
        <v>19218</v>
      </c>
      <c r="B325" s="116" t="s">
        <v>36</v>
      </c>
      <c r="C325" s="117" t="s">
        <v>37</v>
      </c>
      <c r="D325" s="118" t="s">
        <v>36</v>
      </c>
      <c r="E325" s="119" t="s">
        <v>38</v>
      </c>
      <c r="F325" s="120" t="s">
        <v>39</v>
      </c>
      <c r="G325" s="118" t="s">
        <v>40</v>
      </c>
      <c r="H325" s="121" t="s">
        <v>41</v>
      </c>
      <c r="I325" s="120" t="s">
        <v>42</v>
      </c>
      <c r="J325" s="122" t="s">
        <v>43</v>
      </c>
      <c r="K325" s="123" t="s">
        <v>44</v>
      </c>
      <c r="L325" t="s">
        <v>192</v>
      </c>
      <c r="M325" s="124" t="s">
        <v>193</v>
      </c>
      <c r="N325" s="125" t="s">
        <v>194</v>
      </c>
      <c r="O325" s="126" t="s">
        <v>929</v>
      </c>
      <c r="P325" s="127"/>
      <c r="Q325" s="128"/>
      <c r="R325" s="128"/>
      <c r="S325" s="129">
        <v>720</v>
      </c>
      <c r="T325" s="130" t="s">
        <v>1327</v>
      </c>
      <c r="U325" s="131">
        <v>45468</v>
      </c>
      <c r="V325" s="132"/>
      <c r="W325" s="133"/>
      <c r="X325" s="134" t="s">
        <v>1611</v>
      </c>
      <c r="Y325" s="135" t="s">
        <v>912</v>
      </c>
      <c r="Z325" s="128" t="s">
        <v>96</v>
      </c>
      <c r="AA325" s="128" t="s">
        <v>1492</v>
      </c>
      <c r="AB325" s="136"/>
      <c r="AC325" s="137"/>
      <c r="AD325" s="136"/>
      <c r="AE325" s="136"/>
      <c r="AF325" s="136"/>
      <c r="AG325" s="136"/>
      <c r="AH325" s="138">
        <v>-720</v>
      </c>
      <c r="AI325" s="139" t="s">
        <v>58</v>
      </c>
      <c r="AJ325" s="139" t="s">
        <v>157</v>
      </c>
    </row>
    <row r="326" spans="1:36" ht="15.75" x14ac:dyDescent="0.25">
      <c r="A326" s="115">
        <v>19478</v>
      </c>
      <c r="B326" s="116" t="s">
        <v>36</v>
      </c>
      <c r="C326" s="117" t="s">
        <v>37</v>
      </c>
      <c r="D326" s="118" t="s">
        <v>36</v>
      </c>
      <c r="E326" s="119" t="s">
        <v>38</v>
      </c>
      <c r="F326" s="120" t="s">
        <v>39</v>
      </c>
      <c r="G326" s="118" t="s">
        <v>40</v>
      </c>
      <c r="H326" s="121" t="s">
        <v>41</v>
      </c>
      <c r="I326" s="120" t="s">
        <v>524</v>
      </c>
      <c r="J326" s="122" t="s">
        <v>525</v>
      </c>
      <c r="K326" s="123" t="s">
        <v>526</v>
      </c>
      <c r="L326" t="s">
        <v>192</v>
      </c>
      <c r="M326" s="124" t="s">
        <v>193</v>
      </c>
      <c r="N326" s="125" t="s">
        <v>194</v>
      </c>
      <c r="O326" s="126" t="s">
        <v>207</v>
      </c>
      <c r="P326" s="127" t="s">
        <v>1612</v>
      </c>
      <c r="Q326" s="128">
        <v>260</v>
      </c>
      <c r="R326" s="128">
        <v>260</v>
      </c>
      <c r="S326" s="129">
        <v>260</v>
      </c>
      <c r="T326" s="130" t="s">
        <v>1613</v>
      </c>
      <c r="U326" s="131">
        <v>45471</v>
      </c>
      <c r="V326" s="132">
        <v>45471</v>
      </c>
      <c r="W326" s="133">
        <v>3003</v>
      </c>
      <c r="X326" s="134" t="s">
        <v>1334</v>
      </c>
      <c r="Y326" s="135" t="s">
        <v>912</v>
      </c>
      <c r="Z326" s="128" t="s">
        <v>57</v>
      </c>
      <c r="AA326" s="128"/>
      <c r="AB326" s="136"/>
      <c r="AC326" s="137"/>
      <c r="AD326" s="136"/>
      <c r="AE326" s="136"/>
      <c r="AF326" s="136"/>
      <c r="AG326" s="136"/>
      <c r="AH326" s="138">
        <v>-260</v>
      </c>
      <c r="AI326" s="139" t="s">
        <v>58</v>
      </c>
      <c r="AJ326" s="139" t="s">
        <v>157</v>
      </c>
    </row>
    <row r="327" spans="1:36" ht="15.75" x14ac:dyDescent="0.25">
      <c r="A327" s="115">
        <v>19812</v>
      </c>
      <c r="B327" s="116" t="s">
        <v>36</v>
      </c>
      <c r="C327" s="117" t="s">
        <v>37</v>
      </c>
      <c r="D327" s="118" t="s">
        <v>36</v>
      </c>
      <c r="E327" s="119" t="s">
        <v>38</v>
      </c>
      <c r="F327" s="120" t="s">
        <v>39</v>
      </c>
      <c r="G327" s="118" t="s">
        <v>40</v>
      </c>
      <c r="H327" s="121" t="s">
        <v>41</v>
      </c>
      <c r="I327" s="120" t="s">
        <v>42</v>
      </c>
      <c r="J327" s="122" t="s">
        <v>43</v>
      </c>
      <c r="K327" s="123" t="s">
        <v>44</v>
      </c>
      <c r="L327" t="s">
        <v>192</v>
      </c>
      <c r="M327" s="124" t="s">
        <v>193</v>
      </c>
      <c r="N327" s="125" t="s">
        <v>194</v>
      </c>
      <c r="O327" s="126" t="s">
        <v>929</v>
      </c>
      <c r="P327" s="127"/>
      <c r="Q327" s="128"/>
      <c r="R327" s="128"/>
      <c r="S327" s="129">
        <v>843</v>
      </c>
      <c r="T327" s="130" t="s">
        <v>1327</v>
      </c>
      <c r="U327" s="131">
        <v>45474</v>
      </c>
      <c r="V327" s="132"/>
      <c r="W327" s="133"/>
      <c r="X327" s="134" t="s">
        <v>1611</v>
      </c>
      <c r="Y327" s="135" t="s">
        <v>912</v>
      </c>
      <c r="Z327" s="128" t="s">
        <v>96</v>
      </c>
      <c r="AA327" s="128" t="s">
        <v>1492</v>
      </c>
      <c r="AB327" s="136" t="s">
        <v>256</v>
      </c>
      <c r="AC327" s="137" t="s">
        <v>914</v>
      </c>
      <c r="AD327" s="136" t="s">
        <v>961</v>
      </c>
      <c r="AE327" s="136" t="s">
        <v>962</v>
      </c>
      <c r="AF327" s="136" t="s">
        <v>59</v>
      </c>
      <c r="AG327" s="136" t="s">
        <v>59</v>
      </c>
      <c r="AH327" s="138">
        <v>-843</v>
      </c>
      <c r="AI327" s="139" t="s">
        <v>58</v>
      </c>
      <c r="AJ327" s="139" t="s">
        <v>157</v>
      </c>
    </row>
    <row r="328" spans="1:36" ht="15.75" x14ac:dyDescent="0.25">
      <c r="A328" s="115">
        <v>19865</v>
      </c>
      <c r="B328" s="116" t="s">
        <v>36</v>
      </c>
      <c r="C328" s="117" t="s">
        <v>37</v>
      </c>
      <c r="D328" s="118" t="s">
        <v>36</v>
      </c>
      <c r="E328" s="119" t="s">
        <v>38</v>
      </c>
      <c r="F328" s="140" t="s">
        <v>39</v>
      </c>
      <c r="G328" s="118" t="s">
        <v>40</v>
      </c>
      <c r="H328" s="121" t="s">
        <v>41</v>
      </c>
      <c r="I328" s="120" t="s">
        <v>42</v>
      </c>
      <c r="J328" s="122" t="s">
        <v>43</v>
      </c>
      <c r="K328" s="123" t="s">
        <v>44</v>
      </c>
      <c r="L328" t="s">
        <v>192</v>
      </c>
      <c r="M328" s="124" t="s">
        <v>193</v>
      </c>
      <c r="N328" s="125" t="s">
        <v>194</v>
      </c>
      <c r="O328" s="126" t="s">
        <v>929</v>
      </c>
      <c r="P328" s="127"/>
      <c r="Q328" s="128"/>
      <c r="R328" s="128"/>
      <c r="S328" s="129">
        <v>2190</v>
      </c>
      <c r="T328" s="130" t="s">
        <v>1595</v>
      </c>
      <c r="U328" s="131">
        <v>45474</v>
      </c>
      <c r="V328" s="132"/>
      <c r="W328" s="133"/>
      <c r="X328" s="134" t="s">
        <v>1345</v>
      </c>
      <c r="Y328" s="135" t="s">
        <v>912</v>
      </c>
      <c r="Z328" s="128" t="s">
        <v>96</v>
      </c>
      <c r="AA328" s="128" t="s">
        <v>1418</v>
      </c>
      <c r="AB328" s="136" t="s">
        <v>256</v>
      </c>
      <c r="AC328" s="137" t="s">
        <v>914</v>
      </c>
      <c r="AD328" s="136" t="s">
        <v>961</v>
      </c>
      <c r="AE328" s="136" t="s">
        <v>962</v>
      </c>
      <c r="AF328" s="136" t="s">
        <v>59</v>
      </c>
      <c r="AG328" s="136" t="s">
        <v>59</v>
      </c>
      <c r="AH328" s="138">
        <v>-2190</v>
      </c>
      <c r="AI328" s="139" t="s">
        <v>58</v>
      </c>
      <c r="AJ328" s="139" t="s">
        <v>157</v>
      </c>
    </row>
    <row r="329" spans="1:36" ht="15.75" x14ac:dyDescent="0.25">
      <c r="A329" s="115">
        <v>20405</v>
      </c>
      <c r="B329" s="116" t="s">
        <v>36</v>
      </c>
      <c r="C329" s="117" t="s">
        <v>37</v>
      </c>
      <c r="D329" s="118" t="s">
        <v>36</v>
      </c>
      <c r="E329" s="119" t="s">
        <v>38</v>
      </c>
      <c r="F329" s="120" t="s">
        <v>39</v>
      </c>
      <c r="G329" s="118" t="s">
        <v>40</v>
      </c>
      <c r="H329" s="121" t="s">
        <v>41</v>
      </c>
      <c r="I329" s="120" t="s">
        <v>1360</v>
      </c>
      <c r="J329" s="122" t="s">
        <v>1361</v>
      </c>
      <c r="K329" s="123" t="s">
        <v>1362</v>
      </c>
      <c r="L329" t="s">
        <v>192</v>
      </c>
      <c r="M329" s="124" t="s">
        <v>193</v>
      </c>
      <c r="N329" s="125" t="s">
        <v>194</v>
      </c>
      <c r="O329" s="126" t="s">
        <v>929</v>
      </c>
      <c r="P329" s="127"/>
      <c r="Q329" s="128"/>
      <c r="R329" s="128"/>
      <c r="S329" s="129">
        <v>275</v>
      </c>
      <c r="T329" s="130" t="s">
        <v>1327</v>
      </c>
      <c r="U329" s="131">
        <v>45478</v>
      </c>
      <c r="V329" s="132"/>
      <c r="W329" s="133"/>
      <c r="X329" s="134" t="s">
        <v>1596</v>
      </c>
      <c r="Y329" s="135" t="s">
        <v>912</v>
      </c>
      <c r="Z329" s="128" t="s">
        <v>96</v>
      </c>
      <c r="AA329" s="128" t="s">
        <v>1418</v>
      </c>
      <c r="AB329" s="136" t="s">
        <v>256</v>
      </c>
      <c r="AC329" s="137" t="s">
        <v>914</v>
      </c>
      <c r="AD329" s="136" t="s">
        <v>961</v>
      </c>
      <c r="AE329" s="136" t="s">
        <v>962</v>
      </c>
      <c r="AF329" s="136" t="s">
        <v>59</v>
      </c>
      <c r="AG329" s="136" t="s">
        <v>59</v>
      </c>
      <c r="AH329" s="138">
        <v>-275</v>
      </c>
      <c r="AI329" s="139" t="s">
        <v>58</v>
      </c>
      <c r="AJ329" s="139" t="s">
        <v>157</v>
      </c>
    </row>
    <row r="330" spans="1:36" ht="15.75" x14ac:dyDescent="0.25">
      <c r="A330" s="115">
        <v>20755</v>
      </c>
      <c r="B330" s="116" t="s">
        <v>36</v>
      </c>
      <c r="C330" s="117" t="s">
        <v>37</v>
      </c>
      <c r="D330" s="118" t="s">
        <v>36</v>
      </c>
      <c r="E330" s="119" t="s">
        <v>38</v>
      </c>
      <c r="F330" s="120" t="s">
        <v>39</v>
      </c>
      <c r="G330" s="118" t="s">
        <v>40</v>
      </c>
      <c r="H330" s="121" t="s">
        <v>41</v>
      </c>
      <c r="I330" s="120" t="s">
        <v>42</v>
      </c>
      <c r="J330" s="122" t="s">
        <v>43</v>
      </c>
      <c r="K330" s="123" t="s">
        <v>44</v>
      </c>
      <c r="L330" t="s">
        <v>192</v>
      </c>
      <c r="M330" s="124" t="s">
        <v>193</v>
      </c>
      <c r="N330" s="125" t="s">
        <v>194</v>
      </c>
      <c r="O330" s="126" t="s">
        <v>929</v>
      </c>
      <c r="P330" s="127"/>
      <c r="Q330" s="128"/>
      <c r="R330" s="128"/>
      <c r="S330" s="129">
        <v>1800</v>
      </c>
      <c r="T330" s="130" t="s">
        <v>1327</v>
      </c>
      <c r="U330" s="131">
        <v>45484</v>
      </c>
      <c r="V330" s="132"/>
      <c r="W330" s="133"/>
      <c r="X330" s="134" t="s">
        <v>1579</v>
      </c>
      <c r="Y330" s="135" t="s">
        <v>912</v>
      </c>
      <c r="Z330" s="128" t="s">
        <v>96</v>
      </c>
      <c r="AA330" s="128" t="s">
        <v>1492</v>
      </c>
      <c r="AB330" s="136" t="s">
        <v>256</v>
      </c>
      <c r="AC330" s="137" t="s">
        <v>914</v>
      </c>
      <c r="AD330" s="136" t="s">
        <v>961</v>
      </c>
      <c r="AE330" s="136" t="s">
        <v>962</v>
      </c>
      <c r="AF330" s="136" t="s">
        <v>59</v>
      </c>
      <c r="AG330" s="136" t="s">
        <v>59</v>
      </c>
      <c r="AH330" s="138">
        <v>-1800</v>
      </c>
      <c r="AI330" s="139" t="s">
        <v>58</v>
      </c>
      <c r="AJ330" s="139" t="s">
        <v>157</v>
      </c>
    </row>
    <row r="331" spans="1:36" ht="15.75" x14ac:dyDescent="0.25">
      <c r="A331" s="115">
        <v>20769</v>
      </c>
      <c r="B331" s="116" t="s">
        <v>36</v>
      </c>
      <c r="C331" s="117" t="s">
        <v>37</v>
      </c>
      <c r="D331" s="118" t="s">
        <v>36</v>
      </c>
      <c r="E331" s="119" t="s">
        <v>38</v>
      </c>
      <c r="F331" s="120" t="s">
        <v>39</v>
      </c>
      <c r="G331" s="118" t="s">
        <v>40</v>
      </c>
      <c r="H331" s="121" t="s">
        <v>41</v>
      </c>
      <c r="I331" s="120" t="s">
        <v>1360</v>
      </c>
      <c r="J331" s="122" t="s">
        <v>1361</v>
      </c>
      <c r="K331" s="123" t="s">
        <v>1362</v>
      </c>
      <c r="L331" t="s">
        <v>192</v>
      </c>
      <c r="M331" s="124" t="s">
        <v>193</v>
      </c>
      <c r="N331" s="125" t="s">
        <v>194</v>
      </c>
      <c r="O331" s="126" t="s">
        <v>929</v>
      </c>
      <c r="P331" s="127"/>
      <c r="Q331" s="128"/>
      <c r="R331" s="128"/>
      <c r="S331" s="129">
        <v>300</v>
      </c>
      <c r="T331" s="130" t="s">
        <v>1327</v>
      </c>
      <c r="U331" s="131">
        <v>45484</v>
      </c>
      <c r="V331" s="132"/>
      <c r="W331" s="133"/>
      <c r="X331" s="134" t="s">
        <v>1596</v>
      </c>
      <c r="Y331" s="135" t="s">
        <v>912</v>
      </c>
      <c r="Z331" s="128" t="s">
        <v>96</v>
      </c>
      <c r="AA331" s="128" t="s">
        <v>1418</v>
      </c>
      <c r="AB331" s="136" t="s">
        <v>256</v>
      </c>
      <c r="AC331" s="137" t="s">
        <v>914</v>
      </c>
      <c r="AD331" s="136" t="s">
        <v>961</v>
      </c>
      <c r="AE331" s="136" t="s">
        <v>962</v>
      </c>
      <c r="AF331" s="136" t="s">
        <v>59</v>
      </c>
      <c r="AG331" s="136" t="s">
        <v>59</v>
      </c>
      <c r="AH331" s="138">
        <v>-300</v>
      </c>
      <c r="AI331" s="139" t="s">
        <v>58</v>
      </c>
      <c r="AJ331" s="139" t="s">
        <v>157</v>
      </c>
    </row>
    <row r="332" spans="1:36" ht="15.75" x14ac:dyDescent="0.25">
      <c r="A332" s="115">
        <v>20937</v>
      </c>
      <c r="B332" s="116" t="s">
        <v>36</v>
      </c>
      <c r="C332" s="117" t="s">
        <v>37</v>
      </c>
      <c r="D332" s="118" t="s">
        <v>36</v>
      </c>
      <c r="E332" s="119" t="s">
        <v>38</v>
      </c>
      <c r="F332" s="120" t="s">
        <v>39</v>
      </c>
      <c r="G332" s="118" t="s">
        <v>40</v>
      </c>
      <c r="H332" s="121" t="s">
        <v>41</v>
      </c>
      <c r="I332" s="120" t="s">
        <v>42</v>
      </c>
      <c r="J332" s="122" t="s">
        <v>43</v>
      </c>
      <c r="K332" s="123" t="s">
        <v>44</v>
      </c>
      <c r="L332" t="s">
        <v>192</v>
      </c>
      <c r="M332" s="124" t="s">
        <v>193</v>
      </c>
      <c r="N332" s="125" t="s">
        <v>194</v>
      </c>
      <c r="O332" s="126" t="s">
        <v>929</v>
      </c>
      <c r="P332" s="127"/>
      <c r="Q332" s="128"/>
      <c r="R332" s="128"/>
      <c r="S332" s="129">
        <v>1560</v>
      </c>
      <c r="T332" s="130" t="s">
        <v>1327</v>
      </c>
      <c r="U332" s="131">
        <v>45485</v>
      </c>
      <c r="V332" s="132"/>
      <c r="W332" s="133"/>
      <c r="X332" s="134" t="s">
        <v>1611</v>
      </c>
      <c r="Y332" s="135" t="s">
        <v>912</v>
      </c>
      <c r="Z332" s="128" t="s">
        <v>96</v>
      </c>
      <c r="AA332" s="128" t="s">
        <v>1492</v>
      </c>
      <c r="AB332" s="136" t="s">
        <v>256</v>
      </c>
      <c r="AC332" s="137" t="s">
        <v>914</v>
      </c>
      <c r="AD332" s="136" t="s">
        <v>961</v>
      </c>
      <c r="AE332" s="136" t="s">
        <v>962</v>
      </c>
      <c r="AF332" s="136" t="s">
        <v>59</v>
      </c>
      <c r="AG332" s="136" t="s">
        <v>59</v>
      </c>
      <c r="AH332" s="138">
        <v>-1560</v>
      </c>
      <c r="AI332" s="139" t="s">
        <v>58</v>
      </c>
      <c r="AJ332" s="139" t="s">
        <v>157</v>
      </c>
    </row>
    <row r="333" spans="1:36" ht="15.75" x14ac:dyDescent="0.25">
      <c r="A333" s="115">
        <v>21216</v>
      </c>
      <c r="B333" s="116" t="s">
        <v>36</v>
      </c>
      <c r="C333" s="117" t="s">
        <v>37</v>
      </c>
      <c r="D333" s="118" t="s">
        <v>36</v>
      </c>
      <c r="E333" s="119" t="s">
        <v>38</v>
      </c>
      <c r="F333" s="120" t="s">
        <v>39</v>
      </c>
      <c r="G333" s="118" t="s">
        <v>40</v>
      </c>
      <c r="H333" s="121" t="s">
        <v>41</v>
      </c>
      <c r="I333" s="120" t="s">
        <v>42</v>
      </c>
      <c r="J333" s="122" t="s">
        <v>43</v>
      </c>
      <c r="K333" s="123" t="s">
        <v>44</v>
      </c>
      <c r="L333" t="s">
        <v>192</v>
      </c>
      <c r="M333" s="124" t="s">
        <v>193</v>
      </c>
      <c r="N333" s="125" t="s">
        <v>194</v>
      </c>
      <c r="O333" s="126" t="s">
        <v>929</v>
      </c>
      <c r="P333" s="127"/>
      <c r="Q333" s="128"/>
      <c r="R333" s="128"/>
      <c r="S333" s="129">
        <v>1800</v>
      </c>
      <c r="T333" s="130" t="s">
        <v>1327</v>
      </c>
      <c r="U333" s="131">
        <v>45490</v>
      </c>
      <c r="V333" s="132"/>
      <c r="W333" s="133"/>
      <c r="X333" s="134" t="s">
        <v>1579</v>
      </c>
      <c r="Y333" s="135" t="s">
        <v>912</v>
      </c>
      <c r="Z333" s="128" t="s">
        <v>96</v>
      </c>
      <c r="AA333" s="128" t="s">
        <v>1492</v>
      </c>
      <c r="AB333" s="136" t="s">
        <v>256</v>
      </c>
      <c r="AC333" s="137" t="s">
        <v>914</v>
      </c>
      <c r="AD333" s="136" t="s">
        <v>961</v>
      </c>
      <c r="AE333" s="136" t="s">
        <v>962</v>
      </c>
      <c r="AF333" s="136" t="s">
        <v>59</v>
      </c>
      <c r="AG333" s="136" t="s">
        <v>59</v>
      </c>
      <c r="AH333" s="138">
        <v>-1800</v>
      </c>
      <c r="AI333" s="139" t="s">
        <v>58</v>
      </c>
      <c r="AJ333" s="139" t="s">
        <v>157</v>
      </c>
    </row>
    <row r="334" spans="1:36" ht="15.75" x14ac:dyDescent="0.25">
      <c r="A334" s="115">
        <v>21552</v>
      </c>
      <c r="B334" s="116" t="s">
        <v>36</v>
      </c>
      <c r="C334" s="117" t="s">
        <v>37</v>
      </c>
      <c r="D334" s="118" t="s">
        <v>36</v>
      </c>
      <c r="E334" s="119" t="s">
        <v>38</v>
      </c>
      <c r="F334" s="120" t="s">
        <v>39</v>
      </c>
      <c r="G334" s="118" t="s">
        <v>40</v>
      </c>
      <c r="H334" s="121" t="s">
        <v>41</v>
      </c>
      <c r="I334" s="120" t="s">
        <v>1360</v>
      </c>
      <c r="J334" s="122" t="s">
        <v>1361</v>
      </c>
      <c r="K334" s="123" t="s">
        <v>1362</v>
      </c>
      <c r="L334" t="s">
        <v>192</v>
      </c>
      <c r="M334" s="124" t="s">
        <v>193</v>
      </c>
      <c r="N334" s="125" t="s">
        <v>194</v>
      </c>
      <c r="O334" s="126" t="s">
        <v>929</v>
      </c>
      <c r="P334" s="127"/>
      <c r="Q334" s="128"/>
      <c r="R334" s="128"/>
      <c r="S334" s="129">
        <v>725</v>
      </c>
      <c r="T334" s="130" t="s">
        <v>1327</v>
      </c>
      <c r="U334" s="131">
        <v>45496</v>
      </c>
      <c r="V334" s="132"/>
      <c r="W334" s="133"/>
      <c r="X334" s="134" t="s">
        <v>1596</v>
      </c>
      <c r="Y334" s="135" t="s">
        <v>912</v>
      </c>
      <c r="Z334" s="128" t="s">
        <v>96</v>
      </c>
      <c r="AA334" s="128" t="s">
        <v>1418</v>
      </c>
      <c r="AB334" s="136" t="s">
        <v>256</v>
      </c>
      <c r="AC334" s="137" t="s">
        <v>914</v>
      </c>
      <c r="AD334" s="136" t="s">
        <v>961</v>
      </c>
      <c r="AE334" s="136" t="s">
        <v>962</v>
      </c>
      <c r="AF334" s="136" t="s">
        <v>59</v>
      </c>
      <c r="AG334" s="136" t="s">
        <v>59</v>
      </c>
      <c r="AH334" s="138">
        <v>-725</v>
      </c>
      <c r="AI334" s="139" t="s">
        <v>58</v>
      </c>
      <c r="AJ334" s="139" t="s">
        <v>157</v>
      </c>
    </row>
    <row r="335" spans="1:36" ht="15.75" x14ac:dyDescent="0.25">
      <c r="A335" s="115">
        <v>21735</v>
      </c>
      <c r="B335" s="116" t="s">
        <v>36</v>
      </c>
      <c r="C335" s="117" t="s">
        <v>37</v>
      </c>
      <c r="D335" s="118" t="s">
        <v>36</v>
      </c>
      <c r="E335" s="119" t="s">
        <v>38</v>
      </c>
      <c r="F335" s="120" t="s">
        <v>39</v>
      </c>
      <c r="G335" s="118" t="s">
        <v>40</v>
      </c>
      <c r="H335" s="121" t="s">
        <v>41</v>
      </c>
      <c r="I335" s="120" t="s">
        <v>42</v>
      </c>
      <c r="J335" s="122" t="s">
        <v>43</v>
      </c>
      <c r="K335" s="123" t="s">
        <v>44</v>
      </c>
      <c r="L335" t="s">
        <v>192</v>
      </c>
      <c r="M335" s="124" t="s">
        <v>193</v>
      </c>
      <c r="N335" s="125" t="s">
        <v>194</v>
      </c>
      <c r="O335" s="126" t="s">
        <v>929</v>
      </c>
      <c r="P335" s="127"/>
      <c r="Q335" s="128"/>
      <c r="R335" s="128"/>
      <c r="S335" s="129">
        <v>1560</v>
      </c>
      <c r="T335" s="130" t="s">
        <v>1327</v>
      </c>
      <c r="U335" s="131">
        <v>45498</v>
      </c>
      <c r="V335" s="132"/>
      <c r="W335" s="133"/>
      <c r="X335" s="134" t="s">
        <v>1611</v>
      </c>
      <c r="Y335" s="135" t="s">
        <v>912</v>
      </c>
      <c r="Z335" s="128" t="s">
        <v>96</v>
      </c>
      <c r="AA335" s="128" t="s">
        <v>1492</v>
      </c>
      <c r="AB335" s="136" t="s">
        <v>256</v>
      </c>
      <c r="AC335" s="137" t="s">
        <v>914</v>
      </c>
      <c r="AD335" s="136" t="s">
        <v>961</v>
      </c>
      <c r="AE335" s="136" t="s">
        <v>962</v>
      </c>
      <c r="AF335" s="136" t="s">
        <v>59</v>
      </c>
      <c r="AG335" s="136" t="s">
        <v>59</v>
      </c>
      <c r="AH335" s="138">
        <v>-1560</v>
      </c>
      <c r="AI335" s="139" t="s">
        <v>58</v>
      </c>
      <c r="AJ335" s="139" t="s">
        <v>157</v>
      </c>
    </row>
    <row r="336" spans="1:36" ht="15.75" x14ac:dyDescent="0.25">
      <c r="A336" s="115">
        <v>22025</v>
      </c>
      <c r="B336" s="116" t="s">
        <v>36</v>
      </c>
      <c r="C336" s="117" t="s">
        <v>37</v>
      </c>
      <c r="D336" s="118" t="s">
        <v>36</v>
      </c>
      <c r="E336" s="119" t="s">
        <v>38</v>
      </c>
      <c r="F336" s="140" t="s">
        <v>39</v>
      </c>
      <c r="G336" s="118" t="s">
        <v>40</v>
      </c>
      <c r="H336" s="121" t="s">
        <v>41</v>
      </c>
      <c r="I336" s="120" t="s">
        <v>42</v>
      </c>
      <c r="J336" s="122" t="s">
        <v>43</v>
      </c>
      <c r="K336" s="123" t="s">
        <v>44</v>
      </c>
      <c r="L336" t="s">
        <v>192</v>
      </c>
      <c r="M336" s="124" t="s">
        <v>193</v>
      </c>
      <c r="N336" s="125" t="s">
        <v>194</v>
      </c>
      <c r="O336" s="126" t="s">
        <v>929</v>
      </c>
      <c r="P336" s="127"/>
      <c r="Q336" s="128"/>
      <c r="R336" s="128"/>
      <c r="S336" s="129">
        <v>814</v>
      </c>
      <c r="T336" s="130" t="s">
        <v>1327</v>
      </c>
      <c r="U336" s="131">
        <v>45503</v>
      </c>
      <c r="V336" s="132"/>
      <c r="W336" s="133"/>
      <c r="X336" s="134" t="s">
        <v>1491</v>
      </c>
      <c r="Y336" s="135" t="s">
        <v>912</v>
      </c>
      <c r="Z336" s="128" t="s">
        <v>96</v>
      </c>
      <c r="AA336" s="128" t="s">
        <v>1492</v>
      </c>
      <c r="AB336" s="136" t="s">
        <v>256</v>
      </c>
      <c r="AC336" s="137" t="s">
        <v>914</v>
      </c>
      <c r="AD336" s="136" t="s">
        <v>961</v>
      </c>
      <c r="AE336" s="136" t="s">
        <v>962</v>
      </c>
      <c r="AF336" s="136" t="s">
        <v>59</v>
      </c>
      <c r="AG336" s="136" t="s">
        <v>59</v>
      </c>
      <c r="AH336" s="138">
        <v>-814</v>
      </c>
      <c r="AI336" s="139" t="s">
        <v>58</v>
      </c>
      <c r="AJ336" s="139" t="s">
        <v>157</v>
      </c>
    </row>
    <row r="337" spans="1:36" ht="15.75" x14ac:dyDescent="0.25">
      <c r="A337" s="115">
        <v>22026</v>
      </c>
      <c r="B337" s="116" t="s">
        <v>36</v>
      </c>
      <c r="C337" s="117" t="s">
        <v>37</v>
      </c>
      <c r="D337" s="118" t="s">
        <v>36</v>
      </c>
      <c r="E337" s="119" t="s">
        <v>38</v>
      </c>
      <c r="F337" s="140" t="s">
        <v>39</v>
      </c>
      <c r="G337" s="118" t="s">
        <v>40</v>
      </c>
      <c r="H337" s="121" t="s">
        <v>41</v>
      </c>
      <c r="I337" s="120" t="s">
        <v>42</v>
      </c>
      <c r="J337" s="122" t="s">
        <v>43</v>
      </c>
      <c r="K337" s="123" t="s">
        <v>44</v>
      </c>
      <c r="L337" t="s">
        <v>192</v>
      </c>
      <c r="M337" s="124" t="s">
        <v>193</v>
      </c>
      <c r="N337" s="125" t="s">
        <v>194</v>
      </c>
      <c r="O337" s="126" t="s">
        <v>929</v>
      </c>
      <c r="P337" s="127"/>
      <c r="Q337" s="128"/>
      <c r="R337" s="128"/>
      <c r="S337" s="129">
        <v>130</v>
      </c>
      <c r="T337" s="130" t="s">
        <v>1327</v>
      </c>
      <c r="U337" s="131">
        <v>45503</v>
      </c>
      <c r="V337" s="132"/>
      <c r="W337" s="133"/>
      <c r="X337" s="134" t="s">
        <v>1491</v>
      </c>
      <c r="Y337" s="135" t="s">
        <v>912</v>
      </c>
      <c r="Z337" s="128" t="s">
        <v>96</v>
      </c>
      <c r="AA337" s="128" t="s">
        <v>1492</v>
      </c>
      <c r="AB337" s="136" t="s">
        <v>256</v>
      </c>
      <c r="AC337" s="137" t="s">
        <v>914</v>
      </c>
      <c r="AD337" s="136" t="s">
        <v>961</v>
      </c>
      <c r="AE337" s="136" t="s">
        <v>962</v>
      </c>
      <c r="AF337" s="136" t="s">
        <v>59</v>
      </c>
      <c r="AG337" s="136" t="s">
        <v>59</v>
      </c>
      <c r="AH337" s="138">
        <v>-130</v>
      </c>
      <c r="AI337" s="139" t="s">
        <v>58</v>
      </c>
      <c r="AJ337" s="139" t="s">
        <v>157</v>
      </c>
    </row>
    <row r="338" spans="1:36" ht="15.75" x14ac:dyDescent="0.25">
      <c r="A338" s="115">
        <v>22234</v>
      </c>
      <c r="B338" s="116" t="s">
        <v>36</v>
      </c>
      <c r="C338" s="117" t="s">
        <v>37</v>
      </c>
      <c r="D338" s="118" t="s">
        <v>36</v>
      </c>
      <c r="E338" s="119" t="s">
        <v>38</v>
      </c>
      <c r="F338" s="120" t="s">
        <v>39</v>
      </c>
      <c r="G338" s="118" t="s">
        <v>40</v>
      </c>
      <c r="H338" s="121" t="s">
        <v>41</v>
      </c>
      <c r="I338" s="120" t="s">
        <v>42</v>
      </c>
      <c r="J338" s="122" t="s">
        <v>43</v>
      </c>
      <c r="K338" s="123" t="s">
        <v>44</v>
      </c>
      <c r="L338" t="s">
        <v>192</v>
      </c>
      <c r="M338" s="124" t="s">
        <v>193</v>
      </c>
      <c r="N338" s="125" t="s">
        <v>194</v>
      </c>
      <c r="O338" s="126" t="s">
        <v>121</v>
      </c>
      <c r="P338" s="127" t="s">
        <v>1614</v>
      </c>
      <c r="Q338" s="128">
        <v>1177.1600000000001</v>
      </c>
      <c r="R338" s="128">
        <v>1177.1600000000001</v>
      </c>
      <c r="S338" s="129">
        <v>1177.1600000000001</v>
      </c>
      <c r="T338" s="130" t="s">
        <v>1615</v>
      </c>
      <c r="U338" s="131">
        <v>45505</v>
      </c>
      <c r="V338" s="132">
        <v>45519</v>
      </c>
      <c r="W338" s="133">
        <v>8247</v>
      </c>
      <c r="X338" s="134" t="s">
        <v>1616</v>
      </c>
      <c r="Y338" s="135" t="s">
        <v>912</v>
      </c>
      <c r="Z338" s="128" t="s">
        <v>57</v>
      </c>
      <c r="AA338" s="128"/>
      <c r="AB338" s="136"/>
      <c r="AC338" s="137"/>
      <c r="AD338" s="136"/>
      <c r="AE338" s="136"/>
      <c r="AF338" s="136"/>
      <c r="AG338" s="136"/>
      <c r="AH338" s="138">
        <v>-1177.1600000000001</v>
      </c>
      <c r="AI338" s="139" t="s">
        <v>58</v>
      </c>
      <c r="AJ338" s="139" t="s">
        <v>157</v>
      </c>
    </row>
    <row r="339" spans="1:36" ht="15.75" x14ac:dyDescent="0.25">
      <c r="A339" s="115">
        <v>22235</v>
      </c>
      <c r="B339" s="116" t="s">
        <v>36</v>
      </c>
      <c r="C339" s="117" t="s">
        <v>37</v>
      </c>
      <c r="D339" s="118" t="s">
        <v>36</v>
      </c>
      <c r="E339" s="119" t="s">
        <v>38</v>
      </c>
      <c r="F339" s="120" t="s">
        <v>39</v>
      </c>
      <c r="G339" s="118" t="s">
        <v>40</v>
      </c>
      <c r="H339" s="121" t="s">
        <v>41</v>
      </c>
      <c r="I339" s="120" t="s">
        <v>42</v>
      </c>
      <c r="J339" s="122" t="s">
        <v>43</v>
      </c>
      <c r="K339" s="123" t="s">
        <v>44</v>
      </c>
      <c r="L339" t="s">
        <v>192</v>
      </c>
      <c r="M339" s="124" t="s">
        <v>193</v>
      </c>
      <c r="N339" s="125" t="s">
        <v>194</v>
      </c>
      <c r="O339" s="126" t="s">
        <v>121</v>
      </c>
      <c r="P339" s="127" t="s">
        <v>1617</v>
      </c>
      <c r="Q339" s="128">
        <v>1118.1600000000001</v>
      </c>
      <c r="R339" s="128">
        <v>1118.1600000000001</v>
      </c>
      <c r="S339" s="129">
        <v>1118.1600000000001</v>
      </c>
      <c r="T339" s="130" t="s">
        <v>1618</v>
      </c>
      <c r="U339" s="131">
        <v>45505</v>
      </c>
      <c r="V339" s="132">
        <v>45519</v>
      </c>
      <c r="W339" s="133">
        <v>8247</v>
      </c>
      <c r="X339" s="134" t="s">
        <v>1616</v>
      </c>
      <c r="Y339" s="135" t="s">
        <v>912</v>
      </c>
      <c r="Z339" s="128" t="s">
        <v>57</v>
      </c>
      <c r="AA339" s="128"/>
      <c r="AB339" s="136"/>
      <c r="AC339" s="137"/>
      <c r="AD339" s="136"/>
      <c r="AE339" s="136"/>
      <c r="AF339" s="136"/>
      <c r="AG339" s="136"/>
      <c r="AH339" s="138">
        <v>-1118.1600000000001</v>
      </c>
      <c r="AI339" s="139" t="s">
        <v>58</v>
      </c>
      <c r="AJ339" s="139" t="s">
        <v>157</v>
      </c>
    </row>
    <row r="340" spans="1:36" ht="15.75" x14ac:dyDescent="0.25">
      <c r="A340" s="115">
        <v>22365</v>
      </c>
      <c r="B340" s="116" t="s">
        <v>36</v>
      </c>
      <c r="C340" s="117" t="s">
        <v>37</v>
      </c>
      <c r="D340" s="118" t="s">
        <v>36</v>
      </c>
      <c r="E340" s="119" t="s">
        <v>38</v>
      </c>
      <c r="F340" s="120" t="s">
        <v>39</v>
      </c>
      <c r="G340" s="118" t="s">
        <v>40</v>
      </c>
      <c r="H340" s="121" t="s">
        <v>41</v>
      </c>
      <c r="I340" s="120" t="s">
        <v>42</v>
      </c>
      <c r="J340" s="122" t="s">
        <v>43</v>
      </c>
      <c r="K340" s="123" t="s">
        <v>44</v>
      </c>
      <c r="L340" t="s">
        <v>192</v>
      </c>
      <c r="M340" s="124" t="s">
        <v>193</v>
      </c>
      <c r="N340" s="125" t="s">
        <v>194</v>
      </c>
      <c r="O340" s="126" t="s">
        <v>929</v>
      </c>
      <c r="P340" s="127"/>
      <c r="Q340" s="128"/>
      <c r="R340" s="128"/>
      <c r="S340" s="129">
        <v>4320</v>
      </c>
      <c r="T340" s="130" t="s">
        <v>1327</v>
      </c>
      <c r="U340" s="131">
        <v>45505</v>
      </c>
      <c r="V340" s="132"/>
      <c r="W340" s="133"/>
      <c r="X340" s="134" t="s">
        <v>1611</v>
      </c>
      <c r="Y340" s="135" t="s">
        <v>912</v>
      </c>
      <c r="Z340" s="128" t="s">
        <v>96</v>
      </c>
      <c r="AA340" s="128" t="s">
        <v>1492</v>
      </c>
      <c r="AB340" s="136" t="s">
        <v>256</v>
      </c>
      <c r="AC340" s="137" t="s">
        <v>914</v>
      </c>
      <c r="AD340" s="136" t="s">
        <v>961</v>
      </c>
      <c r="AE340" s="136" t="s">
        <v>962</v>
      </c>
      <c r="AF340" s="136" t="s">
        <v>59</v>
      </c>
      <c r="AG340" s="136" t="s">
        <v>59</v>
      </c>
      <c r="AH340" s="138">
        <v>-4320</v>
      </c>
      <c r="AI340" s="139" t="s">
        <v>58</v>
      </c>
      <c r="AJ340" s="139" t="s">
        <v>157</v>
      </c>
    </row>
    <row r="341" spans="1:36" ht="15.75" x14ac:dyDescent="0.25">
      <c r="A341" s="115">
        <v>22628</v>
      </c>
      <c r="B341" s="116" t="s">
        <v>36</v>
      </c>
      <c r="C341" s="117" t="s">
        <v>37</v>
      </c>
      <c r="D341" s="118" t="s">
        <v>36</v>
      </c>
      <c r="E341" s="119" t="s">
        <v>38</v>
      </c>
      <c r="F341" s="140" t="s">
        <v>39</v>
      </c>
      <c r="G341" s="118" t="s">
        <v>40</v>
      </c>
      <c r="H341" s="121" t="s">
        <v>41</v>
      </c>
      <c r="I341" s="120" t="s">
        <v>42</v>
      </c>
      <c r="J341" s="122" t="s">
        <v>43</v>
      </c>
      <c r="K341" s="123" t="s">
        <v>44</v>
      </c>
      <c r="L341" t="s">
        <v>192</v>
      </c>
      <c r="M341" s="124" t="s">
        <v>193</v>
      </c>
      <c r="N341" s="125" t="s">
        <v>194</v>
      </c>
      <c r="O341" s="126" t="s">
        <v>929</v>
      </c>
      <c r="P341" s="127"/>
      <c r="Q341" s="128"/>
      <c r="R341" s="128"/>
      <c r="S341" s="129">
        <v>2280</v>
      </c>
      <c r="T341" s="130" t="s">
        <v>1327</v>
      </c>
      <c r="U341" s="131">
        <v>45506</v>
      </c>
      <c r="V341" s="132"/>
      <c r="W341" s="133"/>
      <c r="X341" s="134" t="s">
        <v>1345</v>
      </c>
      <c r="Y341" s="135" t="s">
        <v>912</v>
      </c>
      <c r="Z341" s="128" t="s">
        <v>96</v>
      </c>
      <c r="AA341" s="128" t="s">
        <v>1418</v>
      </c>
      <c r="AB341" s="136"/>
      <c r="AC341" s="137"/>
      <c r="AD341" s="136"/>
      <c r="AE341" s="136"/>
      <c r="AF341" s="136"/>
      <c r="AG341" s="136"/>
      <c r="AH341" s="138">
        <v>-2280</v>
      </c>
      <c r="AI341" s="139" t="s">
        <v>58</v>
      </c>
      <c r="AJ341" s="139" t="s">
        <v>157</v>
      </c>
    </row>
    <row r="342" spans="1:36" ht="15.75" x14ac:dyDescent="0.25">
      <c r="A342" s="115">
        <v>22859</v>
      </c>
      <c r="B342" s="116" t="s">
        <v>36</v>
      </c>
      <c r="C342" s="117" t="s">
        <v>37</v>
      </c>
      <c r="D342" s="118" t="s">
        <v>36</v>
      </c>
      <c r="E342" s="119" t="s">
        <v>38</v>
      </c>
      <c r="F342" s="120" t="s">
        <v>39</v>
      </c>
      <c r="G342" s="118" t="s">
        <v>40</v>
      </c>
      <c r="H342" s="121" t="s">
        <v>41</v>
      </c>
      <c r="I342" s="120" t="s">
        <v>42</v>
      </c>
      <c r="J342" s="122" t="s">
        <v>43</v>
      </c>
      <c r="K342" s="123" t="s">
        <v>44</v>
      </c>
      <c r="L342" t="s">
        <v>192</v>
      </c>
      <c r="M342" s="124" t="s">
        <v>193</v>
      </c>
      <c r="N342" s="125" t="s">
        <v>194</v>
      </c>
      <c r="O342" s="126" t="s">
        <v>929</v>
      </c>
      <c r="P342" s="127"/>
      <c r="Q342" s="128"/>
      <c r="R342" s="128"/>
      <c r="S342" s="129">
        <v>1920</v>
      </c>
      <c r="T342" s="130" t="s">
        <v>1327</v>
      </c>
      <c r="U342" s="131">
        <v>45510</v>
      </c>
      <c r="V342" s="132"/>
      <c r="W342" s="133"/>
      <c r="X342" s="134" t="s">
        <v>1579</v>
      </c>
      <c r="Y342" s="135" t="s">
        <v>912</v>
      </c>
      <c r="Z342" s="128" t="s">
        <v>96</v>
      </c>
      <c r="AA342" s="128" t="s">
        <v>1492</v>
      </c>
      <c r="AB342" s="136"/>
      <c r="AC342" s="137"/>
      <c r="AD342" s="136"/>
      <c r="AE342" s="136"/>
      <c r="AF342" s="136"/>
      <c r="AG342" s="136"/>
      <c r="AH342" s="138">
        <v>-1920</v>
      </c>
      <c r="AI342" s="139" t="s">
        <v>58</v>
      </c>
      <c r="AJ342" s="139" t="s">
        <v>157</v>
      </c>
    </row>
    <row r="343" spans="1:36" ht="15.75" x14ac:dyDescent="0.25">
      <c r="A343" s="115">
        <v>23131</v>
      </c>
      <c r="B343" s="116" t="s">
        <v>36</v>
      </c>
      <c r="C343" s="117" t="s">
        <v>37</v>
      </c>
      <c r="D343" s="118" t="s">
        <v>36</v>
      </c>
      <c r="E343" s="119" t="s">
        <v>38</v>
      </c>
      <c r="F343" s="120" t="s">
        <v>39</v>
      </c>
      <c r="G343" s="118" t="s">
        <v>40</v>
      </c>
      <c r="H343" s="121" t="s">
        <v>41</v>
      </c>
      <c r="I343" s="120" t="s">
        <v>1360</v>
      </c>
      <c r="J343" s="122" t="s">
        <v>1361</v>
      </c>
      <c r="K343" s="123" t="s">
        <v>1362</v>
      </c>
      <c r="L343" t="s">
        <v>192</v>
      </c>
      <c r="M343" s="124" t="s">
        <v>193</v>
      </c>
      <c r="N343" s="125" t="s">
        <v>194</v>
      </c>
      <c r="O343" s="126" t="s">
        <v>929</v>
      </c>
      <c r="P343" s="127"/>
      <c r="Q343" s="128"/>
      <c r="R343" s="128"/>
      <c r="S343" s="129">
        <v>600</v>
      </c>
      <c r="T343" s="130" t="s">
        <v>1327</v>
      </c>
      <c r="U343" s="131">
        <v>45513</v>
      </c>
      <c r="V343" s="132"/>
      <c r="W343" s="133"/>
      <c r="X343" s="134" t="s">
        <v>1596</v>
      </c>
      <c r="Y343" s="135" t="s">
        <v>912</v>
      </c>
      <c r="Z343" s="128" t="s">
        <v>96</v>
      </c>
      <c r="AA343" s="128" t="s">
        <v>1418</v>
      </c>
      <c r="AB343" s="136"/>
      <c r="AC343" s="137"/>
      <c r="AD343" s="136"/>
      <c r="AE343" s="136"/>
      <c r="AF343" s="136"/>
      <c r="AG343" s="136"/>
      <c r="AH343" s="138">
        <v>-600</v>
      </c>
      <c r="AI343" s="139" t="s">
        <v>58</v>
      </c>
      <c r="AJ343" s="139" t="s">
        <v>157</v>
      </c>
    </row>
    <row r="344" spans="1:36" ht="15.75" x14ac:dyDescent="0.25">
      <c r="A344" s="115">
        <v>23132</v>
      </c>
      <c r="B344" s="116" t="s">
        <v>36</v>
      </c>
      <c r="C344" s="117" t="s">
        <v>37</v>
      </c>
      <c r="D344" s="118" t="s">
        <v>36</v>
      </c>
      <c r="E344" s="119" t="s">
        <v>38</v>
      </c>
      <c r="F344" s="120" t="s">
        <v>39</v>
      </c>
      <c r="G344" s="118" t="s">
        <v>40</v>
      </c>
      <c r="H344" s="121" t="s">
        <v>41</v>
      </c>
      <c r="I344" s="120" t="s">
        <v>524</v>
      </c>
      <c r="J344" s="122" t="s">
        <v>525</v>
      </c>
      <c r="K344" s="123" t="s">
        <v>526</v>
      </c>
      <c r="L344" t="s">
        <v>192</v>
      </c>
      <c r="M344" s="124" t="s">
        <v>193</v>
      </c>
      <c r="N344" s="125" t="s">
        <v>194</v>
      </c>
      <c r="O344" s="126" t="s">
        <v>207</v>
      </c>
      <c r="P344" s="127" t="s">
        <v>1619</v>
      </c>
      <c r="Q344" s="128">
        <v>476.71</v>
      </c>
      <c r="R344" s="128">
        <v>0</v>
      </c>
      <c r="S344" s="129">
        <v>238.35499999999999</v>
      </c>
      <c r="T344" s="130" t="s">
        <v>1620</v>
      </c>
      <c r="U344" s="131">
        <v>45513</v>
      </c>
      <c r="V344" s="132"/>
      <c r="W344" s="133">
        <v>3003</v>
      </c>
      <c r="X344" s="134" t="s">
        <v>1334</v>
      </c>
      <c r="Y344" s="135" t="s">
        <v>912</v>
      </c>
      <c r="Z344" s="128" t="s">
        <v>57</v>
      </c>
      <c r="AA344" s="128"/>
      <c r="AB344" s="136"/>
      <c r="AC344" s="137"/>
      <c r="AD344" s="136"/>
      <c r="AE344" s="136"/>
      <c r="AF344" s="136"/>
      <c r="AG344" s="136"/>
      <c r="AH344" s="138">
        <v>-238.35499999999999</v>
      </c>
      <c r="AI344" s="139" t="s">
        <v>58</v>
      </c>
      <c r="AJ344" s="139" t="s">
        <v>157</v>
      </c>
    </row>
    <row r="345" spans="1:36" ht="15.75" x14ac:dyDescent="0.25">
      <c r="A345" s="115">
        <v>24333</v>
      </c>
      <c r="B345" s="116" t="s">
        <v>36</v>
      </c>
      <c r="C345" s="117" t="s">
        <v>37</v>
      </c>
      <c r="D345" s="118" t="s">
        <v>36</v>
      </c>
      <c r="E345" s="119" t="s">
        <v>38</v>
      </c>
      <c r="F345" s="120" t="s">
        <v>39</v>
      </c>
      <c r="G345" s="118" t="s">
        <v>40</v>
      </c>
      <c r="H345" s="121" t="s">
        <v>41</v>
      </c>
      <c r="I345" s="120" t="s">
        <v>301</v>
      </c>
      <c r="J345" s="122" t="s">
        <v>302</v>
      </c>
      <c r="K345" s="123" t="s">
        <v>303</v>
      </c>
      <c r="L345" t="s">
        <v>192</v>
      </c>
      <c r="M345" s="124" t="s">
        <v>193</v>
      </c>
      <c r="N345" s="125" t="s">
        <v>194</v>
      </c>
      <c r="O345" s="126" t="s">
        <v>929</v>
      </c>
      <c r="P345" s="127"/>
      <c r="Q345" s="128"/>
      <c r="R345" s="128"/>
      <c r="S345" s="129">
        <v>6960.81</v>
      </c>
      <c r="T345" s="130" t="s">
        <v>1327</v>
      </c>
      <c r="U345" s="131">
        <v>45530</v>
      </c>
      <c r="V345" s="132"/>
      <c r="W345" s="133"/>
      <c r="X345" s="134" t="s">
        <v>1046</v>
      </c>
      <c r="Y345" s="135" t="s">
        <v>912</v>
      </c>
      <c r="Z345" s="128" t="s">
        <v>96</v>
      </c>
      <c r="AA345" s="128" t="s">
        <v>1418</v>
      </c>
      <c r="AB345" s="136"/>
      <c r="AC345" s="137"/>
      <c r="AD345" s="136"/>
      <c r="AE345" s="136"/>
      <c r="AF345" s="136"/>
      <c r="AG345" s="136"/>
      <c r="AH345" s="138">
        <v>-6960.81</v>
      </c>
      <c r="AI345" s="139" t="s">
        <v>58</v>
      </c>
      <c r="AJ345" s="139" t="s">
        <v>157</v>
      </c>
    </row>
    <row r="346" spans="1:36" ht="15.75" x14ac:dyDescent="0.25">
      <c r="A346" s="115">
        <v>25965</v>
      </c>
      <c r="B346" s="116" t="s">
        <v>36</v>
      </c>
      <c r="C346" s="117" t="s">
        <v>37</v>
      </c>
      <c r="D346" s="118" t="s">
        <v>36</v>
      </c>
      <c r="E346" s="119" t="s">
        <v>38</v>
      </c>
      <c r="F346" s="140" t="s">
        <v>39</v>
      </c>
      <c r="G346" s="118" t="s">
        <v>40</v>
      </c>
      <c r="H346" s="121" t="s">
        <v>41</v>
      </c>
      <c r="I346" s="120" t="s">
        <v>42</v>
      </c>
      <c r="J346" s="122" t="s">
        <v>43</v>
      </c>
      <c r="K346" s="123" t="s">
        <v>44</v>
      </c>
      <c r="L346" t="s">
        <v>192</v>
      </c>
      <c r="M346" s="124" t="s">
        <v>193</v>
      </c>
      <c r="N346" s="125" t="s">
        <v>194</v>
      </c>
      <c r="O346" s="126" t="s">
        <v>929</v>
      </c>
      <c r="P346" s="127"/>
      <c r="Q346" s="128"/>
      <c r="R346" s="128"/>
      <c r="S346" s="129">
        <v>267</v>
      </c>
      <c r="T346" s="130" t="s">
        <v>1327</v>
      </c>
      <c r="U346" s="131">
        <v>45545</v>
      </c>
      <c r="V346" s="132"/>
      <c r="W346" s="133"/>
      <c r="X346" s="134" t="s">
        <v>1491</v>
      </c>
      <c r="Y346" s="135" t="s">
        <v>912</v>
      </c>
      <c r="Z346" s="128" t="s">
        <v>96</v>
      </c>
      <c r="AA346" s="128" t="s">
        <v>1492</v>
      </c>
      <c r="AB346" s="136"/>
      <c r="AC346" s="137"/>
      <c r="AD346" s="136"/>
      <c r="AE346" s="136"/>
      <c r="AF346" s="136"/>
      <c r="AG346" s="136"/>
      <c r="AH346" s="138">
        <v>-267</v>
      </c>
      <c r="AI346" s="139" t="s">
        <v>58</v>
      </c>
      <c r="AJ346" s="139" t="s">
        <v>157</v>
      </c>
    </row>
    <row r="347" spans="1:36" ht="15.75" x14ac:dyDescent="0.25">
      <c r="A347" s="115">
        <v>26548</v>
      </c>
      <c r="B347" s="116" t="s">
        <v>36</v>
      </c>
      <c r="C347" s="117" t="s">
        <v>37</v>
      </c>
      <c r="D347" s="118" t="s">
        <v>36</v>
      </c>
      <c r="E347" s="119" t="s">
        <v>38</v>
      </c>
      <c r="F347" s="120" t="s">
        <v>39</v>
      </c>
      <c r="G347" s="118" t="s">
        <v>40</v>
      </c>
      <c r="H347" s="121" t="s">
        <v>41</v>
      </c>
      <c r="I347" s="120" t="s">
        <v>1360</v>
      </c>
      <c r="J347" s="122" t="s">
        <v>1361</v>
      </c>
      <c r="K347" s="123" t="s">
        <v>1362</v>
      </c>
      <c r="L347" t="s">
        <v>192</v>
      </c>
      <c r="M347" s="124" t="s">
        <v>193</v>
      </c>
      <c r="N347" s="125" t="s">
        <v>194</v>
      </c>
      <c r="O347" s="126" t="s">
        <v>929</v>
      </c>
      <c r="P347" s="127"/>
      <c r="Q347" s="128"/>
      <c r="R347" s="128"/>
      <c r="S347" s="129">
        <v>1150</v>
      </c>
      <c r="T347" s="130" t="s">
        <v>1327</v>
      </c>
      <c r="U347" s="131">
        <v>45551</v>
      </c>
      <c r="V347" s="132"/>
      <c r="W347" s="133"/>
      <c r="X347" s="134" t="s">
        <v>1596</v>
      </c>
      <c r="Y347" s="135" t="s">
        <v>912</v>
      </c>
      <c r="Z347" s="128" t="s">
        <v>96</v>
      </c>
      <c r="AA347" s="128" t="s">
        <v>1418</v>
      </c>
      <c r="AB347" s="136"/>
      <c r="AC347" s="137"/>
      <c r="AD347" s="136"/>
      <c r="AE347" s="136"/>
      <c r="AF347" s="136"/>
      <c r="AG347" s="136"/>
      <c r="AH347" s="138">
        <v>-1150</v>
      </c>
      <c r="AI347" s="139" t="s">
        <v>58</v>
      </c>
      <c r="AJ347" s="139" t="s">
        <v>157</v>
      </c>
    </row>
    <row r="348" spans="1:36" ht="15.75" x14ac:dyDescent="0.25">
      <c r="A348" s="115">
        <v>26803</v>
      </c>
      <c r="B348" s="116" t="s">
        <v>36</v>
      </c>
      <c r="C348" s="117" t="s">
        <v>37</v>
      </c>
      <c r="D348" s="118" t="s">
        <v>36</v>
      </c>
      <c r="E348" s="119" t="s">
        <v>38</v>
      </c>
      <c r="F348" s="120" t="s">
        <v>39</v>
      </c>
      <c r="G348" s="118" t="s">
        <v>40</v>
      </c>
      <c r="H348" s="121" t="s">
        <v>41</v>
      </c>
      <c r="I348" s="120" t="s">
        <v>301</v>
      </c>
      <c r="J348" s="122" t="s">
        <v>302</v>
      </c>
      <c r="K348" s="123" t="s">
        <v>303</v>
      </c>
      <c r="L348" t="s">
        <v>192</v>
      </c>
      <c r="M348" s="124" t="s">
        <v>193</v>
      </c>
      <c r="N348" s="125" t="s">
        <v>194</v>
      </c>
      <c r="O348" s="126" t="s">
        <v>929</v>
      </c>
      <c r="P348" s="127"/>
      <c r="Q348" s="128"/>
      <c r="R348" s="128"/>
      <c r="S348" s="129">
        <v>2880</v>
      </c>
      <c r="T348" s="130" t="s">
        <v>1621</v>
      </c>
      <c r="U348" s="131">
        <v>45553</v>
      </c>
      <c r="V348" s="132"/>
      <c r="W348" s="133"/>
      <c r="X348" s="134" t="s">
        <v>1611</v>
      </c>
      <c r="Y348" s="135" t="s">
        <v>912</v>
      </c>
      <c r="Z348" s="128" t="s">
        <v>96</v>
      </c>
      <c r="AA348" s="128" t="s">
        <v>1492</v>
      </c>
      <c r="AB348" s="136"/>
      <c r="AC348" s="137"/>
      <c r="AD348" s="136"/>
      <c r="AE348" s="136"/>
      <c r="AF348" s="136"/>
      <c r="AG348" s="136"/>
      <c r="AH348" s="138">
        <v>-2880</v>
      </c>
      <c r="AI348" s="139" t="s">
        <v>58</v>
      </c>
      <c r="AJ348" s="139" t="s">
        <v>157</v>
      </c>
    </row>
    <row r="349" spans="1:36" ht="15.75" x14ac:dyDescent="0.25">
      <c r="A349" s="115">
        <v>27778</v>
      </c>
      <c r="B349" s="116" t="s">
        <v>36</v>
      </c>
      <c r="C349" s="117" t="s">
        <v>37</v>
      </c>
      <c r="D349" s="118" t="s">
        <v>36</v>
      </c>
      <c r="E349" s="119" t="s">
        <v>38</v>
      </c>
      <c r="F349" s="120" t="s">
        <v>39</v>
      </c>
      <c r="G349" s="118" t="s">
        <v>40</v>
      </c>
      <c r="H349" s="121" t="s">
        <v>41</v>
      </c>
      <c r="I349" s="120" t="s">
        <v>524</v>
      </c>
      <c r="J349" s="122" t="s">
        <v>525</v>
      </c>
      <c r="K349" s="123" t="s">
        <v>526</v>
      </c>
      <c r="L349" t="s">
        <v>192</v>
      </c>
      <c r="M349" s="124" t="s">
        <v>193</v>
      </c>
      <c r="N349" s="125" t="s">
        <v>194</v>
      </c>
      <c r="O349" s="126" t="s">
        <v>207</v>
      </c>
      <c r="P349" s="127" t="s">
        <v>1622</v>
      </c>
      <c r="Q349" s="128">
        <v>1270.2</v>
      </c>
      <c r="R349" s="128">
        <v>1270.2</v>
      </c>
      <c r="S349" s="129">
        <v>1270.2</v>
      </c>
      <c r="T349" s="130" t="s">
        <v>1623</v>
      </c>
      <c r="U349" s="131">
        <v>45565</v>
      </c>
      <c r="V349" s="132">
        <v>45565</v>
      </c>
      <c r="W349" s="133">
        <v>3003</v>
      </c>
      <c r="X349" s="134" t="s">
        <v>1334</v>
      </c>
      <c r="Y349" s="135" t="s">
        <v>912</v>
      </c>
      <c r="Z349" s="128" t="s">
        <v>57</v>
      </c>
      <c r="AA349" s="128"/>
      <c r="AB349" s="136"/>
      <c r="AC349" s="137"/>
      <c r="AD349" s="136"/>
      <c r="AE349" s="136"/>
      <c r="AF349" s="136"/>
      <c r="AG349" s="136"/>
      <c r="AH349" s="138">
        <v>-1270.2</v>
      </c>
      <c r="AI349" s="139" t="s">
        <v>58</v>
      </c>
      <c r="AJ349" s="139" t="s">
        <v>157</v>
      </c>
    </row>
    <row r="350" spans="1:36" ht="15.75" x14ac:dyDescent="0.25">
      <c r="A350" s="115">
        <v>29291</v>
      </c>
      <c r="B350" s="116" t="s">
        <v>36</v>
      </c>
      <c r="C350" s="117" t="s">
        <v>37</v>
      </c>
      <c r="D350" s="118" t="s">
        <v>36</v>
      </c>
      <c r="E350" s="119" t="s">
        <v>38</v>
      </c>
      <c r="F350" s="140" t="s">
        <v>39</v>
      </c>
      <c r="G350" s="118" t="s">
        <v>40</v>
      </c>
      <c r="H350" s="121" t="s">
        <v>41</v>
      </c>
      <c r="I350" s="120" t="s">
        <v>1360</v>
      </c>
      <c r="J350" s="122" t="s">
        <v>1361</v>
      </c>
      <c r="K350" s="123" t="s">
        <v>1362</v>
      </c>
      <c r="L350" t="s">
        <v>192</v>
      </c>
      <c r="M350" s="124" t="s">
        <v>193</v>
      </c>
      <c r="N350" s="125" t="s">
        <v>194</v>
      </c>
      <c r="O350" s="126" t="s">
        <v>929</v>
      </c>
      <c r="P350" s="127"/>
      <c r="Q350" s="128"/>
      <c r="R350" s="128"/>
      <c r="S350" s="129">
        <v>450</v>
      </c>
      <c r="T350" s="130" t="s">
        <v>1327</v>
      </c>
      <c r="U350" s="131">
        <v>45580</v>
      </c>
      <c r="V350" s="132"/>
      <c r="W350" s="133"/>
      <c r="X350" s="134" t="s">
        <v>1596</v>
      </c>
      <c r="Y350" s="135" t="s">
        <v>912</v>
      </c>
      <c r="Z350" s="128" t="s">
        <v>96</v>
      </c>
      <c r="AA350" s="128" t="s">
        <v>1418</v>
      </c>
      <c r="AB350" s="136"/>
      <c r="AC350" s="137"/>
      <c r="AD350" s="136"/>
      <c r="AE350" s="136"/>
      <c r="AF350" s="136"/>
      <c r="AG350" s="136"/>
      <c r="AH350" s="138">
        <v>-450</v>
      </c>
      <c r="AI350" s="139" t="s">
        <v>58</v>
      </c>
      <c r="AJ350" s="139" t="s">
        <v>157</v>
      </c>
    </row>
    <row r="351" spans="1:36" ht="15.75" x14ac:dyDescent="0.25">
      <c r="A351" s="115">
        <v>29292</v>
      </c>
      <c r="B351" s="116" t="s">
        <v>36</v>
      </c>
      <c r="C351" s="117" t="s">
        <v>37</v>
      </c>
      <c r="D351" s="118" t="s">
        <v>36</v>
      </c>
      <c r="E351" s="119" t="s">
        <v>38</v>
      </c>
      <c r="F351" s="140" t="s">
        <v>39</v>
      </c>
      <c r="G351" s="118" t="s">
        <v>40</v>
      </c>
      <c r="H351" s="121" t="s">
        <v>41</v>
      </c>
      <c r="I351" s="120" t="s">
        <v>42</v>
      </c>
      <c r="J351" s="122" t="s">
        <v>43</v>
      </c>
      <c r="K351" s="123" t="s">
        <v>44</v>
      </c>
      <c r="L351" t="s">
        <v>192</v>
      </c>
      <c r="M351" s="124" t="s">
        <v>193</v>
      </c>
      <c r="N351" s="125" t="s">
        <v>194</v>
      </c>
      <c r="O351" s="126" t="s">
        <v>929</v>
      </c>
      <c r="P351" s="127"/>
      <c r="Q351" s="128"/>
      <c r="R351" s="128"/>
      <c r="S351" s="129">
        <v>428</v>
      </c>
      <c r="T351" s="130" t="s">
        <v>1327</v>
      </c>
      <c r="U351" s="131">
        <v>45580</v>
      </c>
      <c r="V351" s="132"/>
      <c r="W351" s="133"/>
      <c r="X351" s="134" t="s">
        <v>1491</v>
      </c>
      <c r="Y351" s="135" t="s">
        <v>912</v>
      </c>
      <c r="Z351" s="128" t="s">
        <v>96</v>
      </c>
      <c r="AA351" s="128" t="s">
        <v>1492</v>
      </c>
      <c r="AB351" s="136"/>
      <c r="AC351" s="137"/>
      <c r="AD351" s="136"/>
      <c r="AE351" s="136"/>
      <c r="AF351" s="136"/>
      <c r="AG351" s="136"/>
      <c r="AH351" s="138">
        <v>-428</v>
      </c>
      <c r="AI351" s="139" t="s">
        <v>58</v>
      </c>
      <c r="AJ351" s="139" t="s">
        <v>157</v>
      </c>
    </row>
    <row r="352" spans="1:36" ht="15.75" x14ac:dyDescent="0.25">
      <c r="A352" s="115">
        <v>29522</v>
      </c>
      <c r="B352" s="116" t="s">
        <v>36</v>
      </c>
      <c r="C352" s="117" t="s">
        <v>37</v>
      </c>
      <c r="D352" s="118" t="s">
        <v>36</v>
      </c>
      <c r="E352" s="119" t="s">
        <v>38</v>
      </c>
      <c r="F352" s="140" t="s">
        <v>39</v>
      </c>
      <c r="G352" s="118" t="s">
        <v>40</v>
      </c>
      <c r="H352" s="121" t="s">
        <v>41</v>
      </c>
      <c r="I352" s="120" t="s">
        <v>301</v>
      </c>
      <c r="J352" s="122" t="s">
        <v>302</v>
      </c>
      <c r="K352" s="123" t="s">
        <v>303</v>
      </c>
      <c r="L352" t="s">
        <v>192</v>
      </c>
      <c r="M352" s="124" t="s">
        <v>193</v>
      </c>
      <c r="N352" s="125" t="s">
        <v>194</v>
      </c>
      <c r="O352" s="126" t="s">
        <v>929</v>
      </c>
      <c r="P352" s="127"/>
      <c r="Q352" s="128"/>
      <c r="R352" s="128"/>
      <c r="S352" s="129">
        <v>1200</v>
      </c>
      <c r="T352" s="130" t="s">
        <v>1621</v>
      </c>
      <c r="U352" s="131">
        <v>45582</v>
      </c>
      <c r="V352" s="132"/>
      <c r="W352" s="133"/>
      <c r="X352" s="134" t="s">
        <v>1611</v>
      </c>
      <c r="Y352" s="135" t="s">
        <v>912</v>
      </c>
      <c r="Z352" s="128" t="s">
        <v>96</v>
      </c>
      <c r="AA352" s="128" t="s">
        <v>969</v>
      </c>
      <c r="AB352" s="136"/>
      <c r="AC352" s="137"/>
      <c r="AD352" s="136"/>
      <c r="AE352" s="136"/>
      <c r="AF352" s="136"/>
      <c r="AG352" s="136"/>
      <c r="AH352" s="138">
        <v>-1200</v>
      </c>
      <c r="AI352" s="139" t="s">
        <v>58</v>
      </c>
      <c r="AJ352" s="139" t="s">
        <v>157</v>
      </c>
    </row>
    <row r="353" spans="1:36" ht="15.75" x14ac:dyDescent="0.25">
      <c r="A353" s="115">
        <v>30339</v>
      </c>
      <c r="B353" s="116" t="s">
        <v>36</v>
      </c>
      <c r="C353" s="117" t="s">
        <v>37</v>
      </c>
      <c r="D353" s="118" t="s">
        <v>36</v>
      </c>
      <c r="E353" s="119" t="s">
        <v>38</v>
      </c>
      <c r="F353" s="120" t="s">
        <v>39</v>
      </c>
      <c r="G353" s="118" t="s">
        <v>40</v>
      </c>
      <c r="H353" s="121" t="s">
        <v>41</v>
      </c>
      <c r="I353" s="120" t="s">
        <v>301</v>
      </c>
      <c r="J353" s="122" t="s">
        <v>302</v>
      </c>
      <c r="K353" s="123" t="s">
        <v>303</v>
      </c>
      <c r="L353" t="s">
        <v>192</v>
      </c>
      <c r="M353" s="124" t="s">
        <v>193</v>
      </c>
      <c r="N353" s="125" t="s">
        <v>194</v>
      </c>
      <c r="O353" s="126" t="s">
        <v>207</v>
      </c>
      <c r="P353" s="127" t="s">
        <v>1624</v>
      </c>
      <c r="Q353" s="128">
        <v>598.03</v>
      </c>
      <c r="R353" s="128">
        <v>598.03</v>
      </c>
      <c r="S353" s="129">
        <v>598.03</v>
      </c>
      <c r="T353" s="130" t="s">
        <v>1625</v>
      </c>
      <c r="U353" s="131">
        <v>45593</v>
      </c>
      <c r="V353" s="132">
        <v>45593</v>
      </c>
      <c r="W353" s="133">
        <v>9150</v>
      </c>
      <c r="X353" s="134" t="s">
        <v>1592</v>
      </c>
      <c r="Y353" s="135" t="s">
        <v>912</v>
      </c>
      <c r="Z353" s="128" t="s">
        <v>57</v>
      </c>
      <c r="AA353" s="128"/>
      <c r="AB353" s="136"/>
      <c r="AC353" s="137"/>
      <c r="AD353" s="136"/>
      <c r="AE353" s="136"/>
      <c r="AF353" s="136"/>
      <c r="AG353" s="136"/>
      <c r="AH353" s="138">
        <v>-598.03</v>
      </c>
      <c r="AI353" s="139" t="s">
        <v>58</v>
      </c>
      <c r="AJ353" s="139" t="s">
        <v>157</v>
      </c>
    </row>
    <row r="354" spans="1:36" ht="15.75" x14ac:dyDescent="0.25">
      <c r="A354" s="115">
        <v>30667</v>
      </c>
      <c r="B354" s="116" t="s">
        <v>36</v>
      </c>
      <c r="C354" s="117" t="s">
        <v>37</v>
      </c>
      <c r="D354" s="118" t="s">
        <v>36</v>
      </c>
      <c r="E354" s="119" t="s">
        <v>38</v>
      </c>
      <c r="F354" s="120" t="s">
        <v>39</v>
      </c>
      <c r="G354" s="118" t="s">
        <v>40</v>
      </c>
      <c r="H354" s="121" t="s">
        <v>41</v>
      </c>
      <c r="I354" s="120" t="s">
        <v>524</v>
      </c>
      <c r="J354" s="122" t="s">
        <v>525</v>
      </c>
      <c r="K354" s="123" t="s">
        <v>526</v>
      </c>
      <c r="L354" t="s">
        <v>192</v>
      </c>
      <c r="M354" s="124" t="s">
        <v>193</v>
      </c>
      <c r="N354" s="125" t="s">
        <v>194</v>
      </c>
      <c r="O354" s="126" t="s">
        <v>207</v>
      </c>
      <c r="P354" s="127" t="s">
        <v>1626</v>
      </c>
      <c r="Q354" s="128">
        <v>2020.03</v>
      </c>
      <c r="R354" s="128">
        <v>2020.03</v>
      </c>
      <c r="S354" s="129">
        <v>1010.015</v>
      </c>
      <c r="T354" s="130" t="s">
        <v>1627</v>
      </c>
      <c r="U354" s="131">
        <v>45596</v>
      </c>
      <c r="V354" s="132">
        <v>45596</v>
      </c>
      <c r="W354" s="133">
        <v>3003</v>
      </c>
      <c r="X354" s="134" t="s">
        <v>1334</v>
      </c>
      <c r="Y354" s="135" t="s">
        <v>912</v>
      </c>
      <c r="Z354" s="128" t="s">
        <v>57</v>
      </c>
      <c r="AA354" s="128"/>
      <c r="AB354" s="136"/>
      <c r="AC354" s="137"/>
      <c r="AD354" s="136"/>
      <c r="AE354" s="136"/>
      <c r="AF354" s="136"/>
      <c r="AG354" s="136"/>
      <c r="AH354" s="138">
        <v>-1010.015</v>
      </c>
      <c r="AI354" s="139" t="s">
        <v>58</v>
      </c>
      <c r="AJ354" s="139" t="s">
        <v>157</v>
      </c>
    </row>
    <row r="355" spans="1:36" ht="15.75" x14ac:dyDescent="0.25">
      <c r="A355" s="115">
        <v>31439</v>
      </c>
      <c r="B355" s="116" t="s">
        <v>36</v>
      </c>
      <c r="C355" s="117" t="s">
        <v>37</v>
      </c>
      <c r="D355" s="118" t="s">
        <v>36</v>
      </c>
      <c r="E355" s="119" t="s">
        <v>38</v>
      </c>
      <c r="F355" s="120" t="s">
        <v>39</v>
      </c>
      <c r="G355" s="118" t="s">
        <v>40</v>
      </c>
      <c r="H355" s="121" t="s">
        <v>41</v>
      </c>
      <c r="I355" s="120" t="s">
        <v>301</v>
      </c>
      <c r="J355" s="122" t="s">
        <v>1384</v>
      </c>
      <c r="K355" s="191" t="s">
        <v>1385</v>
      </c>
      <c r="L355" t="s">
        <v>192</v>
      </c>
      <c r="M355" s="124" t="s">
        <v>193</v>
      </c>
      <c r="N355" s="125" t="s">
        <v>194</v>
      </c>
      <c r="O355" t="s">
        <v>929</v>
      </c>
      <c r="P355" s="127"/>
      <c r="S355" s="141">
        <v>1249.31</v>
      </c>
      <c r="T355" s="142" t="s">
        <v>1327</v>
      </c>
      <c r="U355" s="143">
        <v>45603.567835648151</v>
      </c>
      <c r="X355" s="144" t="s">
        <v>1046</v>
      </c>
      <c r="Y355" s="135" t="s">
        <v>912</v>
      </c>
      <c r="Z355" t="s">
        <v>96</v>
      </c>
      <c r="AA355" t="s">
        <v>1418</v>
      </c>
      <c r="AB355" s="125"/>
      <c r="AC355" s="145"/>
      <c r="AD355" s="125"/>
      <c r="AE355" s="125"/>
      <c r="AF355" s="125"/>
      <c r="AG355" s="125"/>
      <c r="AH355" s="138">
        <v>-1249.31</v>
      </c>
      <c r="AI355" s="139" t="s">
        <v>58</v>
      </c>
      <c r="AJ355" s="139" t="s">
        <v>157</v>
      </c>
    </row>
    <row r="356" spans="1:36" ht="15.75" x14ac:dyDescent="0.25">
      <c r="A356" s="115">
        <v>33068</v>
      </c>
      <c r="B356" s="116" t="s">
        <v>36</v>
      </c>
      <c r="C356" s="117" t="s">
        <v>37</v>
      </c>
      <c r="D356" s="118" t="s">
        <v>36</v>
      </c>
      <c r="E356" s="119" t="s">
        <v>38</v>
      </c>
      <c r="F356" s="140" t="s">
        <v>39</v>
      </c>
      <c r="G356" s="118" t="s">
        <v>40</v>
      </c>
      <c r="H356" s="121" t="s">
        <v>41</v>
      </c>
      <c r="I356" s="120" t="s">
        <v>301</v>
      </c>
      <c r="J356" s="122" t="s">
        <v>1384</v>
      </c>
      <c r="K356" s="123" t="s">
        <v>1385</v>
      </c>
      <c r="L356" t="s">
        <v>192</v>
      </c>
      <c r="M356" s="124" t="s">
        <v>193</v>
      </c>
      <c r="N356" s="125" t="s">
        <v>194</v>
      </c>
      <c r="O356" s="126" t="s">
        <v>207</v>
      </c>
      <c r="P356" s="127" t="s">
        <v>1628</v>
      </c>
      <c r="Q356" s="128">
        <v>685.94</v>
      </c>
      <c r="R356" s="128">
        <v>685.94</v>
      </c>
      <c r="S356" s="129">
        <v>228.646672</v>
      </c>
      <c r="T356" s="130" t="s">
        <v>1629</v>
      </c>
      <c r="U356" s="131">
        <v>45625</v>
      </c>
      <c r="V356" s="132">
        <v>45626</v>
      </c>
      <c r="W356" s="133">
        <v>9150</v>
      </c>
      <c r="X356" s="134" t="s">
        <v>1592</v>
      </c>
      <c r="Y356" s="135" t="s">
        <v>912</v>
      </c>
      <c r="Z356" s="128" t="s">
        <v>57</v>
      </c>
      <c r="AA356" s="128"/>
      <c r="AB356" s="136"/>
      <c r="AC356" s="137"/>
      <c r="AD356" s="136"/>
      <c r="AE356" s="136"/>
      <c r="AF356" s="136"/>
      <c r="AG356" s="136"/>
      <c r="AH356" s="138">
        <v>-228.646672</v>
      </c>
      <c r="AI356" s="139" t="s">
        <v>58</v>
      </c>
      <c r="AJ356" s="139" t="s">
        <v>157</v>
      </c>
    </row>
    <row r="357" spans="1:36" ht="15.75" x14ac:dyDescent="0.25">
      <c r="A357" s="115">
        <v>33587</v>
      </c>
      <c r="B357" s="116" t="s">
        <v>36</v>
      </c>
      <c r="C357" s="117" t="s">
        <v>37</v>
      </c>
      <c r="D357" s="118" t="s">
        <v>36</v>
      </c>
      <c r="E357" s="119" t="s">
        <v>38</v>
      </c>
      <c r="F357" s="120" t="s">
        <v>39</v>
      </c>
      <c r="G357" s="118" t="s">
        <v>40</v>
      </c>
      <c r="H357" s="121" t="s">
        <v>41</v>
      </c>
      <c r="I357" s="120" t="s">
        <v>301</v>
      </c>
      <c r="J357" s="122" t="s">
        <v>1384</v>
      </c>
      <c r="K357" s="123" t="s">
        <v>1385</v>
      </c>
      <c r="L357" t="s">
        <v>192</v>
      </c>
      <c r="M357" s="124" t="s">
        <v>193</v>
      </c>
      <c r="N357" s="125" t="s">
        <v>194</v>
      </c>
      <c r="O357" s="126" t="s">
        <v>929</v>
      </c>
      <c r="P357" s="127"/>
      <c r="Q357" s="128"/>
      <c r="R357" s="128"/>
      <c r="S357" s="129">
        <v>401.65</v>
      </c>
      <c r="T357" s="130" t="s">
        <v>1327</v>
      </c>
      <c r="U357" s="131">
        <v>45629.510821759257</v>
      </c>
      <c r="V357" s="132"/>
      <c r="W357" s="133"/>
      <c r="X357" s="134" t="s">
        <v>1046</v>
      </c>
      <c r="Y357" s="135" t="s">
        <v>912</v>
      </c>
      <c r="Z357" s="128" t="s">
        <v>96</v>
      </c>
      <c r="AA357" s="128" t="s">
        <v>1418</v>
      </c>
      <c r="AB357" s="136"/>
      <c r="AC357" s="137"/>
      <c r="AD357" s="136"/>
      <c r="AE357" s="136"/>
      <c r="AF357" s="136"/>
      <c r="AG357" s="136"/>
      <c r="AH357" s="138">
        <v>-401.65</v>
      </c>
      <c r="AI357" s="139" t="s">
        <v>58</v>
      </c>
      <c r="AJ357" s="139" t="s">
        <v>157</v>
      </c>
    </row>
    <row r="358" spans="1:36" ht="15.75" x14ac:dyDescent="0.25">
      <c r="A358" s="115">
        <v>33588</v>
      </c>
      <c r="B358" s="116" t="s">
        <v>36</v>
      </c>
      <c r="C358" s="117" t="s">
        <v>37</v>
      </c>
      <c r="D358" s="118" t="s">
        <v>36</v>
      </c>
      <c r="E358" s="119" t="s">
        <v>38</v>
      </c>
      <c r="F358" s="120" t="s">
        <v>39</v>
      </c>
      <c r="G358" s="118" t="s">
        <v>40</v>
      </c>
      <c r="H358" s="121" t="s">
        <v>41</v>
      </c>
      <c r="I358" s="120" t="s">
        <v>946</v>
      </c>
      <c r="J358" s="122" t="s">
        <v>947</v>
      </c>
      <c r="K358" s="123" t="s">
        <v>948</v>
      </c>
      <c r="L358" t="s">
        <v>192</v>
      </c>
      <c r="M358" s="124" t="s">
        <v>193</v>
      </c>
      <c r="N358" s="125" t="s">
        <v>194</v>
      </c>
      <c r="O358" s="126" t="s">
        <v>929</v>
      </c>
      <c r="P358" s="127"/>
      <c r="Q358" s="128"/>
      <c r="R358" s="128"/>
      <c r="S358" s="129">
        <v>1521.95</v>
      </c>
      <c r="T358" s="130" t="s">
        <v>1327</v>
      </c>
      <c r="U358" s="131">
        <v>45629.510821759257</v>
      </c>
      <c r="V358" s="132"/>
      <c r="W358" s="133"/>
      <c r="X358" s="134" t="s">
        <v>198</v>
      </c>
      <c r="Y358" s="135" t="s">
        <v>912</v>
      </c>
      <c r="Z358" s="128" t="s">
        <v>96</v>
      </c>
      <c r="AA358" s="128" t="s">
        <v>1418</v>
      </c>
      <c r="AB358" s="136"/>
      <c r="AC358" s="137"/>
      <c r="AD358" s="136"/>
      <c r="AE358" s="136"/>
      <c r="AF358" s="136"/>
      <c r="AG358" s="136"/>
      <c r="AH358" s="138">
        <v>-1521.95</v>
      </c>
      <c r="AI358" s="139" t="s">
        <v>58</v>
      </c>
      <c r="AJ358" s="139" t="s">
        <v>157</v>
      </c>
    </row>
    <row r="359" spans="1:36" ht="15.75" x14ac:dyDescent="0.25">
      <c r="A359" s="115">
        <v>33885</v>
      </c>
      <c r="B359" s="116" t="s">
        <v>36</v>
      </c>
      <c r="C359" s="117" t="s">
        <v>37</v>
      </c>
      <c r="D359" s="118" t="s">
        <v>36</v>
      </c>
      <c r="E359" s="119" t="s">
        <v>38</v>
      </c>
      <c r="F359" s="120" t="s">
        <v>39</v>
      </c>
      <c r="G359" s="118" t="s">
        <v>40</v>
      </c>
      <c r="H359" s="121" t="s">
        <v>41</v>
      </c>
      <c r="I359" s="120" t="s">
        <v>946</v>
      </c>
      <c r="J359" s="122" t="s">
        <v>947</v>
      </c>
      <c r="K359" s="123" t="s">
        <v>948</v>
      </c>
      <c r="L359" t="s">
        <v>192</v>
      </c>
      <c r="M359" s="124" t="s">
        <v>193</v>
      </c>
      <c r="N359" s="125" t="s">
        <v>194</v>
      </c>
      <c r="O359" s="126" t="s">
        <v>1369</v>
      </c>
      <c r="P359" s="127" t="s">
        <v>1330</v>
      </c>
      <c r="Q359" s="128">
        <v>141.30000000000001</v>
      </c>
      <c r="R359" s="128">
        <v>141.30000000000001</v>
      </c>
      <c r="S359" s="129">
        <v>141.30000000000001</v>
      </c>
      <c r="T359" s="130" t="s">
        <v>1630</v>
      </c>
      <c r="U359" s="131">
        <v>45632</v>
      </c>
      <c r="V359" s="132">
        <v>45632</v>
      </c>
      <c r="W359" s="133">
        <v>50</v>
      </c>
      <c r="X359" s="134" t="s">
        <v>198</v>
      </c>
      <c r="Y359" s="135" t="s">
        <v>912</v>
      </c>
      <c r="Z359" s="128" t="s">
        <v>57</v>
      </c>
      <c r="AA359" s="128"/>
      <c r="AB359" s="136"/>
      <c r="AC359" s="137"/>
      <c r="AD359" s="136"/>
      <c r="AE359" s="136"/>
      <c r="AF359" s="136"/>
      <c r="AG359" s="136"/>
      <c r="AH359" s="138">
        <v>-141.30000000000001</v>
      </c>
      <c r="AI359" s="139" t="s">
        <v>58</v>
      </c>
      <c r="AJ359" s="139" t="s">
        <v>157</v>
      </c>
    </row>
    <row r="360" spans="1:36" ht="15.75" x14ac:dyDescent="0.25">
      <c r="A360" s="115">
        <v>34655</v>
      </c>
      <c r="B360" s="116" t="s">
        <v>36</v>
      </c>
      <c r="C360" s="117" t="s">
        <v>37</v>
      </c>
      <c r="D360" s="118" t="s">
        <v>36</v>
      </c>
      <c r="E360" s="119" t="s">
        <v>38</v>
      </c>
      <c r="F360" s="120" t="s">
        <v>39</v>
      </c>
      <c r="G360" s="118" t="s">
        <v>40</v>
      </c>
      <c r="H360" s="121" t="s">
        <v>41</v>
      </c>
      <c r="I360" s="120" t="s">
        <v>301</v>
      </c>
      <c r="J360" s="122" t="s">
        <v>1384</v>
      </c>
      <c r="K360" s="123" t="s">
        <v>1385</v>
      </c>
      <c r="L360" t="s">
        <v>192</v>
      </c>
      <c r="M360" s="124" t="s">
        <v>193</v>
      </c>
      <c r="N360" s="125" t="s">
        <v>194</v>
      </c>
      <c r="O360" s="126" t="s">
        <v>929</v>
      </c>
      <c r="P360" s="127"/>
      <c r="Q360" s="128"/>
      <c r="R360" s="128"/>
      <c r="S360" s="129">
        <v>152.54</v>
      </c>
      <c r="T360" s="130" t="s">
        <v>1327</v>
      </c>
      <c r="U360" s="131">
        <v>45642.510833333326</v>
      </c>
      <c r="V360" s="132"/>
      <c r="W360" s="133"/>
      <c r="X360" s="134" t="s">
        <v>258</v>
      </c>
      <c r="Y360" s="135" t="s">
        <v>912</v>
      </c>
      <c r="Z360" s="128" t="s">
        <v>96</v>
      </c>
      <c r="AA360" s="128" t="s">
        <v>1418</v>
      </c>
      <c r="AB360" s="136"/>
      <c r="AC360" s="137"/>
      <c r="AD360" s="136"/>
      <c r="AE360" s="136"/>
      <c r="AF360" s="136"/>
      <c r="AG360" s="136"/>
      <c r="AH360" s="138">
        <v>-152.54</v>
      </c>
      <c r="AI360" s="139" t="s">
        <v>58</v>
      </c>
      <c r="AJ360" s="139" t="s">
        <v>157</v>
      </c>
    </row>
    <row r="361" spans="1:36" ht="15.75" x14ac:dyDescent="0.25">
      <c r="A361" s="115">
        <v>34912</v>
      </c>
      <c r="B361" s="116" t="s">
        <v>36</v>
      </c>
      <c r="C361" s="117" t="s">
        <v>37</v>
      </c>
      <c r="D361" s="118" t="s">
        <v>36</v>
      </c>
      <c r="E361" s="119" t="s">
        <v>38</v>
      </c>
      <c r="F361" s="120" t="s">
        <v>39</v>
      </c>
      <c r="G361" s="118" t="s">
        <v>40</v>
      </c>
      <c r="H361" s="121" t="s">
        <v>41</v>
      </c>
      <c r="I361" s="120" t="s">
        <v>42</v>
      </c>
      <c r="J361" s="122" t="s">
        <v>43</v>
      </c>
      <c r="K361" s="123" t="s">
        <v>44</v>
      </c>
      <c r="L361" t="s">
        <v>192</v>
      </c>
      <c r="M361" s="124" t="s">
        <v>193</v>
      </c>
      <c r="N361" s="125" t="s">
        <v>194</v>
      </c>
      <c r="O361" s="126" t="s">
        <v>929</v>
      </c>
      <c r="P361" s="127"/>
      <c r="Q361" s="128"/>
      <c r="R361" s="128"/>
      <c r="S361" s="129">
        <v>291</v>
      </c>
      <c r="T361" s="130" t="s">
        <v>1327</v>
      </c>
      <c r="U361" s="131">
        <v>45644.510833333326</v>
      </c>
      <c r="V361" s="132"/>
      <c r="W361" s="133"/>
      <c r="X361" s="134" t="s">
        <v>1491</v>
      </c>
      <c r="Y361" s="135" t="s">
        <v>912</v>
      </c>
      <c r="Z361" s="128" t="s">
        <v>96</v>
      </c>
      <c r="AA361" s="128" t="s">
        <v>1492</v>
      </c>
      <c r="AB361" s="136"/>
      <c r="AC361" s="137"/>
      <c r="AD361" s="136"/>
      <c r="AE361" s="136"/>
      <c r="AF361" s="136"/>
      <c r="AG361" s="136"/>
      <c r="AH361" s="138">
        <v>-291</v>
      </c>
      <c r="AI361" s="139" t="s">
        <v>58</v>
      </c>
      <c r="AJ361" s="139" t="s">
        <v>157</v>
      </c>
    </row>
    <row r="362" spans="1:36" ht="15.75" x14ac:dyDescent="0.25">
      <c r="A362" s="115">
        <v>35155</v>
      </c>
      <c r="B362" s="116" t="s">
        <v>36</v>
      </c>
      <c r="C362" s="117" t="s">
        <v>37</v>
      </c>
      <c r="D362" s="118" t="s">
        <v>36</v>
      </c>
      <c r="E362" s="119" t="s">
        <v>38</v>
      </c>
      <c r="F362" s="120" t="s">
        <v>39</v>
      </c>
      <c r="G362" s="118" t="s">
        <v>40</v>
      </c>
      <c r="H362" s="121" t="s">
        <v>41</v>
      </c>
      <c r="I362" s="120" t="s">
        <v>301</v>
      </c>
      <c r="J362" s="122" t="s">
        <v>1384</v>
      </c>
      <c r="K362" s="123" t="s">
        <v>1385</v>
      </c>
      <c r="L362" t="s">
        <v>192</v>
      </c>
      <c r="M362" s="124" t="s">
        <v>193</v>
      </c>
      <c r="N362" s="125" t="s">
        <v>194</v>
      </c>
      <c r="O362" s="126" t="s">
        <v>207</v>
      </c>
      <c r="P362" s="127" t="s">
        <v>1631</v>
      </c>
      <c r="Q362" s="128">
        <v>1647.59</v>
      </c>
      <c r="R362" s="128">
        <v>1647.59</v>
      </c>
      <c r="S362" s="129">
        <v>549.19666099999995</v>
      </c>
      <c r="T362" s="130" t="s">
        <v>1632</v>
      </c>
      <c r="U362" s="131">
        <v>45652</v>
      </c>
      <c r="V362" s="132">
        <v>45652</v>
      </c>
      <c r="W362" s="133">
        <v>9150</v>
      </c>
      <c r="X362" s="134" t="s">
        <v>1592</v>
      </c>
      <c r="Y362" s="135" t="s">
        <v>912</v>
      </c>
      <c r="Z362" s="128" t="s">
        <v>57</v>
      </c>
      <c r="AA362" s="128"/>
      <c r="AB362" s="136"/>
      <c r="AC362" s="137"/>
      <c r="AD362" s="136"/>
      <c r="AE362" s="136"/>
      <c r="AF362" s="136"/>
      <c r="AG362" s="136"/>
      <c r="AH362" s="138">
        <v>-549.19666099999995</v>
      </c>
      <c r="AI362" s="139" t="s">
        <v>58</v>
      </c>
      <c r="AJ362" s="139" t="s">
        <v>157</v>
      </c>
    </row>
    <row r="363" spans="1:36" ht="15.75" x14ac:dyDescent="0.25">
      <c r="A363" s="115">
        <v>530</v>
      </c>
      <c r="B363" s="116" t="s">
        <v>36</v>
      </c>
      <c r="C363" s="117" t="s">
        <v>37</v>
      </c>
      <c r="D363" s="118" t="s">
        <v>36</v>
      </c>
      <c r="E363" s="119" t="s">
        <v>38</v>
      </c>
      <c r="F363" s="120" t="s">
        <v>39</v>
      </c>
      <c r="G363" s="118" t="s">
        <v>40</v>
      </c>
      <c r="H363" s="121" t="s">
        <v>41</v>
      </c>
      <c r="I363" s="120" t="s">
        <v>524</v>
      </c>
      <c r="J363" s="122" t="s">
        <v>525</v>
      </c>
      <c r="K363" s="123" t="s">
        <v>526</v>
      </c>
      <c r="L363" t="s">
        <v>1151</v>
      </c>
      <c r="M363" s="124" t="s">
        <v>1152</v>
      </c>
      <c r="N363" s="125" t="s">
        <v>1153</v>
      </c>
      <c r="O363" s="126" t="s">
        <v>929</v>
      </c>
      <c r="P363" s="127"/>
      <c r="Q363" s="128"/>
      <c r="R363" s="128"/>
      <c r="S363" s="129">
        <v>284</v>
      </c>
      <c r="T363" s="130" t="s">
        <v>1327</v>
      </c>
      <c r="U363" s="131">
        <v>45294</v>
      </c>
      <c r="V363" s="132"/>
      <c r="W363" s="133"/>
      <c r="X363" s="134" t="s">
        <v>1633</v>
      </c>
      <c r="Y363" s="135" t="s">
        <v>912</v>
      </c>
      <c r="Z363" s="128" t="s">
        <v>96</v>
      </c>
      <c r="AA363" s="128" t="s">
        <v>1634</v>
      </c>
      <c r="AB363" s="136" t="s">
        <v>256</v>
      </c>
      <c r="AC363" s="137" t="s">
        <v>914</v>
      </c>
      <c r="AD363" s="136" t="s">
        <v>961</v>
      </c>
      <c r="AE363" s="136" t="s">
        <v>962</v>
      </c>
      <c r="AF363" s="136" t="s">
        <v>59</v>
      </c>
      <c r="AG363" s="136" t="s">
        <v>59</v>
      </c>
      <c r="AH363" s="138">
        <v>-284</v>
      </c>
      <c r="AI363" s="139" t="s">
        <v>58</v>
      </c>
      <c r="AJ363" s="139" t="s">
        <v>157</v>
      </c>
    </row>
    <row r="364" spans="1:36" ht="15.75" x14ac:dyDescent="0.25">
      <c r="A364" s="115">
        <v>4120</v>
      </c>
      <c r="B364" s="116" t="s">
        <v>36</v>
      </c>
      <c r="C364" s="117" t="s">
        <v>37</v>
      </c>
      <c r="D364" s="118" t="s">
        <v>36</v>
      </c>
      <c r="E364" s="119" t="s">
        <v>38</v>
      </c>
      <c r="F364" s="120" t="s">
        <v>39</v>
      </c>
      <c r="G364" s="118" t="s">
        <v>40</v>
      </c>
      <c r="H364" s="121" t="s">
        <v>41</v>
      </c>
      <c r="I364" s="120" t="s">
        <v>524</v>
      </c>
      <c r="J364" s="122" t="s">
        <v>525</v>
      </c>
      <c r="K364" s="123" t="s">
        <v>526</v>
      </c>
      <c r="L364" t="s">
        <v>1151</v>
      </c>
      <c r="M364" s="124" t="s">
        <v>1152</v>
      </c>
      <c r="N364" s="125" t="s">
        <v>1153</v>
      </c>
      <c r="O364" s="126" t="s">
        <v>929</v>
      </c>
      <c r="P364" s="127"/>
      <c r="Q364" s="128"/>
      <c r="R364" s="128"/>
      <c r="S364" s="129">
        <v>593</v>
      </c>
      <c r="T364" s="130" t="s">
        <v>1327</v>
      </c>
      <c r="U364" s="131">
        <v>45327</v>
      </c>
      <c r="V364" s="132"/>
      <c r="W364" s="133"/>
      <c r="X364" s="134" t="s">
        <v>1633</v>
      </c>
      <c r="Y364" s="135" t="s">
        <v>912</v>
      </c>
      <c r="Z364" s="128" t="s">
        <v>96</v>
      </c>
      <c r="AA364" s="128" t="s">
        <v>1634</v>
      </c>
      <c r="AB364" s="136" t="s">
        <v>256</v>
      </c>
      <c r="AC364" s="137" t="s">
        <v>914</v>
      </c>
      <c r="AD364" s="136" t="s">
        <v>961</v>
      </c>
      <c r="AE364" s="136" t="s">
        <v>962</v>
      </c>
      <c r="AF364" s="136" t="s">
        <v>59</v>
      </c>
      <c r="AG364" s="136" t="s">
        <v>59</v>
      </c>
      <c r="AH364" s="138">
        <v>-593</v>
      </c>
      <c r="AI364" s="139" t="s">
        <v>58</v>
      </c>
      <c r="AJ364" s="139" t="s">
        <v>157</v>
      </c>
    </row>
    <row r="365" spans="1:36" ht="15.75" x14ac:dyDescent="0.25">
      <c r="A365" s="115">
        <v>4693</v>
      </c>
      <c r="B365" s="116" t="s">
        <v>36</v>
      </c>
      <c r="C365" s="117" t="s">
        <v>37</v>
      </c>
      <c r="D365" s="118" t="s">
        <v>36</v>
      </c>
      <c r="E365" s="119" t="s">
        <v>38</v>
      </c>
      <c r="F365" s="120" t="s">
        <v>39</v>
      </c>
      <c r="G365" s="118" t="s">
        <v>40</v>
      </c>
      <c r="H365" s="121" t="s">
        <v>41</v>
      </c>
      <c r="I365" s="120" t="s">
        <v>524</v>
      </c>
      <c r="J365" s="122" t="s">
        <v>525</v>
      </c>
      <c r="K365" s="123" t="s">
        <v>526</v>
      </c>
      <c r="L365" t="s">
        <v>1151</v>
      </c>
      <c r="M365" s="124" t="s">
        <v>1152</v>
      </c>
      <c r="N365" s="125" t="s">
        <v>1153</v>
      </c>
      <c r="O365" s="126" t="s">
        <v>929</v>
      </c>
      <c r="P365" s="127"/>
      <c r="Q365" s="128"/>
      <c r="R365" s="128"/>
      <c r="S365" s="129">
        <v>140</v>
      </c>
      <c r="T365" s="130" t="s">
        <v>1327</v>
      </c>
      <c r="U365" s="131">
        <v>45331</v>
      </c>
      <c r="V365" s="132"/>
      <c r="W365" s="133"/>
      <c r="X365" s="134" t="s">
        <v>1635</v>
      </c>
      <c r="Y365" s="135" t="s">
        <v>912</v>
      </c>
      <c r="Z365" s="128" t="s">
        <v>96</v>
      </c>
      <c r="AA365" s="128" t="s">
        <v>1634</v>
      </c>
      <c r="AB365" s="136" t="s">
        <v>256</v>
      </c>
      <c r="AC365" s="137" t="s">
        <v>914</v>
      </c>
      <c r="AD365" s="136" t="s">
        <v>961</v>
      </c>
      <c r="AE365" s="136" t="s">
        <v>962</v>
      </c>
      <c r="AF365" s="136" t="s">
        <v>59</v>
      </c>
      <c r="AG365" s="136" t="s">
        <v>59</v>
      </c>
      <c r="AH365" s="138">
        <v>-140</v>
      </c>
      <c r="AI365" s="139" t="s">
        <v>58</v>
      </c>
      <c r="AJ365" s="139" t="s">
        <v>157</v>
      </c>
    </row>
    <row r="366" spans="1:36" ht="15.75" x14ac:dyDescent="0.25">
      <c r="A366" s="115">
        <v>4694</v>
      </c>
      <c r="B366" s="116" t="s">
        <v>36</v>
      </c>
      <c r="C366" s="117" t="s">
        <v>37</v>
      </c>
      <c r="D366" s="118" t="s">
        <v>36</v>
      </c>
      <c r="E366" s="119" t="s">
        <v>38</v>
      </c>
      <c r="F366" s="120" t="s">
        <v>39</v>
      </c>
      <c r="G366" s="118" t="s">
        <v>40</v>
      </c>
      <c r="H366" s="121" t="s">
        <v>41</v>
      </c>
      <c r="I366" s="120" t="s">
        <v>524</v>
      </c>
      <c r="J366" s="122" t="s">
        <v>525</v>
      </c>
      <c r="K366" s="123" t="s">
        <v>526</v>
      </c>
      <c r="L366" t="s">
        <v>1151</v>
      </c>
      <c r="M366" s="124" t="s">
        <v>1152</v>
      </c>
      <c r="N366" s="125" t="s">
        <v>1153</v>
      </c>
      <c r="O366" s="126" t="s">
        <v>929</v>
      </c>
      <c r="P366" s="127"/>
      <c r="Q366" s="128"/>
      <c r="R366" s="128"/>
      <c r="S366" s="129">
        <v>140</v>
      </c>
      <c r="T366" s="130" t="s">
        <v>1327</v>
      </c>
      <c r="U366" s="131">
        <v>45331</v>
      </c>
      <c r="V366" s="132"/>
      <c r="W366" s="133"/>
      <c r="X366" s="134" t="s">
        <v>1635</v>
      </c>
      <c r="Y366" s="135" t="s">
        <v>912</v>
      </c>
      <c r="Z366" s="128" t="s">
        <v>96</v>
      </c>
      <c r="AA366" s="128" t="s">
        <v>1634</v>
      </c>
      <c r="AB366" s="136" t="s">
        <v>256</v>
      </c>
      <c r="AC366" s="137" t="s">
        <v>914</v>
      </c>
      <c r="AD366" s="136" t="s">
        <v>961</v>
      </c>
      <c r="AE366" s="136" t="s">
        <v>962</v>
      </c>
      <c r="AF366" s="136" t="s">
        <v>59</v>
      </c>
      <c r="AG366" s="136" t="s">
        <v>59</v>
      </c>
      <c r="AH366" s="138">
        <v>-140</v>
      </c>
      <c r="AI366" s="139" t="s">
        <v>58</v>
      </c>
      <c r="AJ366" s="139" t="s">
        <v>157</v>
      </c>
    </row>
    <row r="367" spans="1:36" ht="15.75" x14ac:dyDescent="0.25">
      <c r="A367" s="115">
        <v>5753</v>
      </c>
      <c r="B367" s="116" t="s">
        <v>36</v>
      </c>
      <c r="C367" s="117" t="s">
        <v>37</v>
      </c>
      <c r="D367" s="118" t="s">
        <v>36</v>
      </c>
      <c r="E367" s="119" t="s">
        <v>38</v>
      </c>
      <c r="F367" s="120" t="s">
        <v>39</v>
      </c>
      <c r="G367" s="118" t="s">
        <v>40</v>
      </c>
      <c r="H367" s="121" t="s">
        <v>41</v>
      </c>
      <c r="I367" s="120" t="s">
        <v>42</v>
      </c>
      <c r="J367" s="122" t="s">
        <v>43</v>
      </c>
      <c r="K367" s="123" t="s">
        <v>44</v>
      </c>
      <c r="L367" t="s">
        <v>1151</v>
      </c>
      <c r="M367" s="124" t="s">
        <v>1152</v>
      </c>
      <c r="N367" s="125" t="s">
        <v>1153</v>
      </c>
      <c r="O367" s="126" t="s">
        <v>929</v>
      </c>
      <c r="P367" s="127"/>
      <c r="Q367" s="128"/>
      <c r="R367" s="128"/>
      <c r="S367" s="129">
        <v>280</v>
      </c>
      <c r="T367" s="130" t="s">
        <v>1327</v>
      </c>
      <c r="U367" s="131">
        <v>45343</v>
      </c>
      <c r="V367" s="132"/>
      <c r="W367" s="133"/>
      <c r="X367" s="134" t="s">
        <v>1636</v>
      </c>
      <c r="Y367" s="135" t="s">
        <v>912</v>
      </c>
      <c r="Z367" s="128" t="s">
        <v>96</v>
      </c>
      <c r="AA367" s="128" t="s">
        <v>1634</v>
      </c>
      <c r="AB367" s="136" t="s">
        <v>256</v>
      </c>
      <c r="AC367" s="137" t="s">
        <v>914</v>
      </c>
      <c r="AD367" s="136" t="s">
        <v>961</v>
      </c>
      <c r="AE367" s="136" t="s">
        <v>962</v>
      </c>
      <c r="AF367" s="136" t="s">
        <v>59</v>
      </c>
      <c r="AG367" s="136" t="s">
        <v>59</v>
      </c>
      <c r="AH367" s="138">
        <v>-280</v>
      </c>
      <c r="AI367" s="139" t="s">
        <v>58</v>
      </c>
      <c r="AJ367" s="139" t="s">
        <v>157</v>
      </c>
    </row>
    <row r="368" spans="1:36" ht="15.75" x14ac:dyDescent="0.25">
      <c r="A368" s="115">
        <v>10422</v>
      </c>
      <c r="B368" s="116" t="s">
        <v>36</v>
      </c>
      <c r="C368" s="117" t="s">
        <v>37</v>
      </c>
      <c r="D368" s="118" t="s">
        <v>36</v>
      </c>
      <c r="E368" s="119" t="s">
        <v>38</v>
      </c>
      <c r="F368" s="120" t="s">
        <v>39</v>
      </c>
      <c r="G368" s="118" t="s">
        <v>40</v>
      </c>
      <c r="H368" s="121" t="s">
        <v>41</v>
      </c>
      <c r="I368" s="120" t="s">
        <v>524</v>
      </c>
      <c r="J368" s="122" t="s">
        <v>525</v>
      </c>
      <c r="K368" s="123" t="s">
        <v>526</v>
      </c>
      <c r="L368" t="s">
        <v>1151</v>
      </c>
      <c r="M368" s="124" t="s">
        <v>1152</v>
      </c>
      <c r="N368" s="125" t="s">
        <v>1153</v>
      </c>
      <c r="O368" s="126" t="s">
        <v>929</v>
      </c>
      <c r="P368" s="127">
        <v>924</v>
      </c>
      <c r="Q368" s="128"/>
      <c r="R368" s="128"/>
      <c r="S368" s="129">
        <v>568</v>
      </c>
      <c r="T368" s="130" t="s">
        <v>1327</v>
      </c>
      <c r="U368" s="131">
        <v>45385</v>
      </c>
      <c r="V368" s="132"/>
      <c r="W368" s="133">
        <v>8159</v>
      </c>
      <c r="X368" s="134" t="s">
        <v>1633</v>
      </c>
      <c r="Y368" s="135" t="s">
        <v>912</v>
      </c>
      <c r="Z368" s="128" t="s">
        <v>96</v>
      </c>
      <c r="AA368" s="128" t="s">
        <v>1634</v>
      </c>
      <c r="AB368" s="136" t="s">
        <v>256</v>
      </c>
      <c r="AC368" s="137" t="s">
        <v>914</v>
      </c>
      <c r="AD368" s="136" t="s">
        <v>961</v>
      </c>
      <c r="AE368" s="136" t="s">
        <v>962</v>
      </c>
      <c r="AF368" s="136" t="s">
        <v>59</v>
      </c>
      <c r="AG368" s="136" t="s">
        <v>59</v>
      </c>
      <c r="AH368" s="138">
        <v>-568</v>
      </c>
      <c r="AI368" s="139" t="s">
        <v>58</v>
      </c>
      <c r="AJ368" s="139" t="s">
        <v>157</v>
      </c>
    </row>
    <row r="369" spans="1:36" ht="15.75" x14ac:dyDescent="0.25">
      <c r="A369" s="115">
        <v>22770</v>
      </c>
      <c r="B369" s="116" t="s">
        <v>36</v>
      </c>
      <c r="C369" s="117" t="s">
        <v>37</v>
      </c>
      <c r="D369" s="118" t="s">
        <v>36</v>
      </c>
      <c r="E369" s="119" t="s">
        <v>38</v>
      </c>
      <c r="F369" s="120" t="s">
        <v>39</v>
      </c>
      <c r="G369" s="118" t="s">
        <v>40</v>
      </c>
      <c r="H369" s="121" t="s">
        <v>41</v>
      </c>
      <c r="I369" s="120" t="s">
        <v>301</v>
      </c>
      <c r="J369" s="122" t="s">
        <v>302</v>
      </c>
      <c r="K369" s="123" t="s">
        <v>303</v>
      </c>
      <c r="L369" t="s">
        <v>1151</v>
      </c>
      <c r="M369" s="124" t="s">
        <v>1152</v>
      </c>
      <c r="N369" s="125" t="s">
        <v>1153</v>
      </c>
      <c r="O369" s="126" t="s">
        <v>929</v>
      </c>
      <c r="P369" s="127"/>
      <c r="Q369" s="128"/>
      <c r="R369" s="128"/>
      <c r="S369" s="129">
        <v>70</v>
      </c>
      <c r="T369" s="130" t="s">
        <v>1327</v>
      </c>
      <c r="U369" s="131">
        <v>45509</v>
      </c>
      <c r="V369" s="132"/>
      <c r="W369" s="133"/>
      <c r="X369" s="134" t="s">
        <v>1637</v>
      </c>
      <c r="Y369" s="135" t="s">
        <v>912</v>
      </c>
      <c r="Z369" s="128" t="s">
        <v>96</v>
      </c>
      <c r="AA369" s="128" t="s">
        <v>1634</v>
      </c>
      <c r="AB369" s="136"/>
      <c r="AC369" s="137"/>
      <c r="AD369" s="136"/>
      <c r="AE369" s="136"/>
      <c r="AF369" s="136"/>
      <c r="AG369" s="136"/>
      <c r="AH369" s="138">
        <v>-70</v>
      </c>
      <c r="AI369" s="139" t="s">
        <v>58</v>
      </c>
      <c r="AJ369" s="139" t="s">
        <v>157</v>
      </c>
    </row>
    <row r="370" spans="1:36" ht="15.75" x14ac:dyDescent="0.25">
      <c r="A370" s="115">
        <v>23568</v>
      </c>
      <c r="B370" s="116" t="s">
        <v>36</v>
      </c>
      <c r="C370" s="117" t="s">
        <v>37</v>
      </c>
      <c r="D370" s="118" t="s">
        <v>36</v>
      </c>
      <c r="E370" s="119" t="s">
        <v>38</v>
      </c>
      <c r="F370" s="120" t="s">
        <v>39</v>
      </c>
      <c r="G370" s="118" t="s">
        <v>40</v>
      </c>
      <c r="H370" s="121" t="s">
        <v>41</v>
      </c>
      <c r="I370" s="120" t="s">
        <v>42</v>
      </c>
      <c r="J370" s="122" t="s">
        <v>43</v>
      </c>
      <c r="K370" s="123" t="s">
        <v>44</v>
      </c>
      <c r="L370" t="s">
        <v>1151</v>
      </c>
      <c r="M370" s="124" t="s">
        <v>1152</v>
      </c>
      <c r="N370" s="125" t="s">
        <v>1153</v>
      </c>
      <c r="O370" s="126" t="s">
        <v>929</v>
      </c>
      <c r="P370" s="127"/>
      <c r="Q370" s="128"/>
      <c r="R370" s="128"/>
      <c r="S370" s="129">
        <v>430</v>
      </c>
      <c r="T370" s="130" t="s">
        <v>1327</v>
      </c>
      <c r="U370" s="131">
        <v>45519</v>
      </c>
      <c r="V370" s="132"/>
      <c r="W370" s="133"/>
      <c r="X370" s="134" t="s">
        <v>1636</v>
      </c>
      <c r="Y370" s="135" t="s">
        <v>912</v>
      </c>
      <c r="Z370" s="128" t="s">
        <v>96</v>
      </c>
      <c r="AA370" s="128" t="s">
        <v>1634</v>
      </c>
      <c r="AB370" s="136"/>
      <c r="AC370" s="137"/>
      <c r="AD370" s="136"/>
      <c r="AE370" s="136"/>
      <c r="AF370" s="136"/>
      <c r="AG370" s="136"/>
      <c r="AH370" s="138">
        <v>-430</v>
      </c>
      <c r="AI370" s="139" t="s">
        <v>58</v>
      </c>
      <c r="AJ370" s="139" t="s">
        <v>157</v>
      </c>
    </row>
    <row r="371" spans="1:36" ht="15.75" x14ac:dyDescent="0.25">
      <c r="A371" s="115">
        <v>26501</v>
      </c>
      <c r="B371" s="116" t="s">
        <v>36</v>
      </c>
      <c r="C371" s="117" t="s">
        <v>37</v>
      </c>
      <c r="D371" s="118" t="s">
        <v>36</v>
      </c>
      <c r="E371" s="119" t="s">
        <v>38</v>
      </c>
      <c r="F371" s="120" t="s">
        <v>39</v>
      </c>
      <c r="G371" s="118" t="s">
        <v>40</v>
      </c>
      <c r="H371" s="121" t="s">
        <v>41</v>
      </c>
      <c r="I371" s="120" t="s">
        <v>42</v>
      </c>
      <c r="J371" s="122" t="s">
        <v>43</v>
      </c>
      <c r="K371" s="123" t="s">
        <v>44</v>
      </c>
      <c r="L371" t="s">
        <v>1151</v>
      </c>
      <c r="M371" s="124" t="s">
        <v>1152</v>
      </c>
      <c r="N371" s="125" t="s">
        <v>1153</v>
      </c>
      <c r="O371" s="126" t="s">
        <v>929</v>
      </c>
      <c r="P371" s="127"/>
      <c r="Q371" s="128"/>
      <c r="R371" s="128"/>
      <c r="S371" s="129">
        <v>570</v>
      </c>
      <c r="T371" s="130" t="s">
        <v>1327</v>
      </c>
      <c r="U371" s="131">
        <v>45551</v>
      </c>
      <c r="V371" s="132"/>
      <c r="W371" s="133"/>
      <c r="X371" s="134" t="s">
        <v>1636</v>
      </c>
      <c r="Y371" s="135" t="s">
        <v>912</v>
      </c>
      <c r="Z371" s="128" t="s">
        <v>96</v>
      </c>
      <c r="AA371" s="128" t="s">
        <v>1634</v>
      </c>
      <c r="AB371" s="136"/>
      <c r="AC371" s="137"/>
      <c r="AD371" s="136"/>
      <c r="AE371" s="136"/>
      <c r="AF371" s="136"/>
      <c r="AG371" s="136"/>
      <c r="AH371" s="138">
        <v>-570</v>
      </c>
      <c r="AI371" s="139" t="s">
        <v>58</v>
      </c>
      <c r="AJ371" s="139" t="s">
        <v>157</v>
      </c>
    </row>
    <row r="372" spans="1:36" ht="15.75" x14ac:dyDescent="0.25">
      <c r="A372" s="115">
        <v>32053</v>
      </c>
      <c r="B372" s="116" t="s">
        <v>36</v>
      </c>
      <c r="C372" s="117" t="s">
        <v>37</v>
      </c>
      <c r="D372" s="118" t="s">
        <v>36</v>
      </c>
      <c r="E372" s="119" t="s">
        <v>38</v>
      </c>
      <c r="F372" s="120" t="s">
        <v>39</v>
      </c>
      <c r="G372" s="118" t="s">
        <v>40</v>
      </c>
      <c r="H372" s="121" t="s">
        <v>41</v>
      </c>
      <c r="I372" s="120" t="s">
        <v>524</v>
      </c>
      <c r="J372" s="122" t="s">
        <v>525</v>
      </c>
      <c r="K372" s="123" t="s">
        <v>526</v>
      </c>
      <c r="L372" t="s">
        <v>1151</v>
      </c>
      <c r="M372" s="124" t="s">
        <v>1152</v>
      </c>
      <c r="N372" s="125" t="s">
        <v>1153</v>
      </c>
      <c r="O372" t="s">
        <v>929</v>
      </c>
      <c r="P372" s="127"/>
      <c r="S372" s="141">
        <v>284</v>
      </c>
      <c r="T372" s="142" t="s">
        <v>1327</v>
      </c>
      <c r="U372" s="143">
        <v>45613.567835648151</v>
      </c>
      <c r="X372" s="144" t="s">
        <v>1633</v>
      </c>
      <c r="Y372" s="135" t="s">
        <v>912</v>
      </c>
      <c r="Z372" t="s">
        <v>96</v>
      </c>
      <c r="AA372" t="s">
        <v>1638</v>
      </c>
      <c r="AB372" s="125"/>
      <c r="AC372" s="145"/>
      <c r="AD372" s="125"/>
      <c r="AE372" s="125"/>
      <c r="AF372" s="125"/>
      <c r="AG372" s="125"/>
      <c r="AH372" s="138">
        <v>-284</v>
      </c>
      <c r="AI372" s="139" t="s">
        <v>58</v>
      </c>
      <c r="AJ372" s="139" t="s">
        <v>157</v>
      </c>
    </row>
    <row r="373" spans="1:36" ht="15.75" x14ac:dyDescent="0.25">
      <c r="A373" s="115">
        <v>32541</v>
      </c>
      <c r="B373" s="116" t="s">
        <v>36</v>
      </c>
      <c r="C373" s="117" t="s">
        <v>37</v>
      </c>
      <c r="D373" s="118" t="s">
        <v>36</v>
      </c>
      <c r="E373" s="119" t="s">
        <v>38</v>
      </c>
      <c r="F373" s="120" t="s">
        <v>39</v>
      </c>
      <c r="G373" s="118" t="s">
        <v>40</v>
      </c>
      <c r="H373" s="121" t="s">
        <v>41</v>
      </c>
      <c r="I373" s="120" t="s">
        <v>42</v>
      </c>
      <c r="J373" s="122" t="s">
        <v>43</v>
      </c>
      <c r="K373" s="123" t="s">
        <v>44</v>
      </c>
      <c r="L373" t="s">
        <v>1151</v>
      </c>
      <c r="M373" s="124" t="s">
        <v>1152</v>
      </c>
      <c r="N373" s="125" t="s">
        <v>1153</v>
      </c>
      <c r="O373" t="s">
        <v>929</v>
      </c>
      <c r="P373" s="127"/>
      <c r="S373" s="141">
        <v>430</v>
      </c>
      <c r="T373" s="142" t="s">
        <v>1327</v>
      </c>
      <c r="U373" s="143">
        <v>45618.567835648151</v>
      </c>
      <c r="X373" s="144" t="s">
        <v>1636</v>
      </c>
      <c r="Y373" s="135" t="s">
        <v>912</v>
      </c>
      <c r="Z373" t="s">
        <v>96</v>
      </c>
      <c r="AA373" t="s">
        <v>1634</v>
      </c>
      <c r="AB373" s="125"/>
      <c r="AC373" s="145"/>
      <c r="AD373" s="125"/>
      <c r="AE373" s="125"/>
      <c r="AF373" s="125"/>
      <c r="AG373" s="125"/>
      <c r="AH373" s="138">
        <v>-430</v>
      </c>
      <c r="AI373" s="139" t="s">
        <v>58</v>
      </c>
      <c r="AJ373" s="139" t="s">
        <v>157</v>
      </c>
    </row>
    <row r="374" spans="1:36" ht="15.75" x14ac:dyDescent="0.25">
      <c r="A374" s="115">
        <v>353</v>
      </c>
      <c r="B374" s="116" t="s">
        <v>36</v>
      </c>
      <c r="C374" s="117" t="s">
        <v>37</v>
      </c>
      <c r="D374" s="118" t="s">
        <v>36</v>
      </c>
      <c r="E374" s="119" t="s">
        <v>38</v>
      </c>
      <c r="F374" s="140" t="s">
        <v>39</v>
      </c>
      <c r="G374" s="118" t="s">
        <v>40</v>
      </c>
      <c r="H374" s="121" t="s">
        <v>41</v>
      </c>
      <c r="I374" s="120" t="s">
        <v>946</v>
      </c>
      <c r="J374" s="122" t="s">
        <v>947</v>
      </c>
      <c r="K374" s="123" t="s">
        <v>948</v>
      </c>
      <c r="L374" t="s">
        <v>984</v>
      </c>
      <c r="M374" s="124" t="s">
        <v>985</v>
      </c>
      <c r="N374" s="125" t="s">
        <v>986</v>
      </c>
      <c r="O374" s="126" t="s">
        <v>121</v>
      </c>
      <c r="P374" s="127" t="s">
        <v>1639</v>
      </c>
      <c r="Q374" s="128">
        <v>5.36</v>
      </c>
      <c r="R374" s="128">
        <v>5.36</v>
      </c>
      <c r="S374" s="129">
        <v>5.36</v>
      </c>
      <c r="T374" s="130" t="s">
        <v>1640</v>
      </c>
      <c r="U374" s="131">
        <v>45292</v>
      </c>
      <c r="V374" s="132">
        <v>45292</v>
      </c>
      <c r="W374" s="133">
        <v>3509</v>
      </c>
      <c r="X374" s="134" t="s">
        <v>1641</v>
      </c>
      <c r="Y374" s="135" t="s">
        <v>912</v>
      </c>
      <c r="Z374" s="128" t="s">
        <v>57</v>
      </c>
      <c r="AA374" s="128"/>
      <c r="AB374" s="136" t="s">
        <v>256</v>
      </c>
      <c r="AC374" s="137" t="s">
        <v>952</v>
      </c>
      <c r="AD374" s="136" t="s">
        <v>915</v>
      </c>
      <c r="AE374" s="136" t="s">
        <v>916</v>
      </c>
      <c r="AF374" s="136" t="s">
        <v>157</v>
      </c>
      <c r="AG374" s="136" t="s">
        <v>59</v>
      </c>
      <c r="AH374" s="138">
        <v>-5.36</v>
      </c>
      <c r="AI374" s="139" t="s">
        <v>58</v>
      </c>
      <c r="AJ374" s="139" t="s">
        <v>157</v>
      </c>
    </row>
    <row r="375" spans="1:36" ht="15.75" x14ac:dyDescent="0.25">
      <c r="A375" s="115">
        <v>10438</v>
      </c>
      <c r="B375" s="116" t="s">
        <v>36</v>
      </c>
      <c r="C375" s="117" t="s">
        <v>37</v>
      </c>
      <c r="D375" s="118" t="s">
        <v>36</v>
      </c>
      <c r="E375" s="119" t="s">
        <v>38</v>
      </c>
      <c r="F375" s="120" t="s">
        <v>39</v>
      </c>
      <c r="G375" s="118" t="s">
        <v>40</v>
      </c>
      <c r="H375" s="121" t="s">
        <v>41</v>
      </c>
      <c r="I375" s="120" t="s">
        <v>301</v>
      </c>
      <c r="J375" s="122" t="s">
        <v>302</v>
      </c>
      <c r="K375" s="123" t="s">
        <v>303</v>
      </c>
      <c r="L375" t="s">
        <v>150</v>
      </c>
      <c r="M375" s="124" t="s">
        <v>151</v>
      </c>
      <c r="N375" s="125" t="s">
        <v>152</v>
      </c>
      <c r="O375" s="126" t="s">
        <v>121</v>
      </c>
      <c r="P375" s="127" t="s">
        <v>1396</v>
      </c>
      <c r="Q375" s="128">
        <v>1750</v>
      </c>
      <c r="R375" s="128">
        <v>1750</v>
      </c>
      <c r="S375" s="129">
        <v>1750</v>
      </c>
      <c r="T375" s="130" t="s">
        <v>1397</v>
      </c>
      <c r="U375" s="131">
        <v>45385</v>
      </c>
      <c r="V375" s="132">
        <v>45387</v>
      </c>
      <c r="W375" s="133">
        <v>9331</v>
      </c>
      <c r="X375" s="134" t="s">
        <v>312</v>
      </c>
      <c r="Y375" s="135" t="s">
        <v>912</v>
      </c>
      <c r="Z375" s="128" t="s">
        <v>57</v>
      </c>
      <c r="AA375" s="128"/>
      <c r="AB375" s="136" t="s">
        <v>256</v>
      </c>
      <c r="AC375" s="137" t="s">
        <v>914</v>
      </c>
      <c r="AD375" s="136" t="s">
        <v>961</v>
      </c>
      <c r="AE375" s="136" t="s">
        <v>962</v>
      </c>
      <c r="AF375" s="136" t="s">
        <v>59</v>
      </c>
      <c r="AG375" s="136" t="s">
        <v>59</v>
      </c>
      <c r="AH375" s="138">
        <v>-1750</v>
      </c>
      <c r="AI375" s="139" t="s">
        <v>58</v>
      </c>
      <c r="AJ375" s="139" t="s">
        <v>157</v>
      </c>
    </row>
    <row r="376" spans="1:36" ht="15.75" x14ac:dyDescent="0.25">
      <c r="A376" s="115">
        <v>1369</v>
      </c>
      <c r="B376" s="116" t="s">
        <v>36</v>
      </c>
      <c r="C376" s="117" t="s">
        <v>37</v>
      </c>
      <c r="D376" s="118" t="s">
        <v>36</v>
      </c>
      <c r="E376" s="119" t="s">
        <v>38</v>
      </c>
      <c r="F376" s="140" t="s">
        <v>39</v>
      </c>
      <c r="G376" s="118" t="s">
        <v>40</v>
      </c>
      <c r="H376" s="121" t="s">
        <v>41</v>
      </c>
      <c r="I376" s="120" t="s">
        <v>301</v>
      </c>
      <c r="J376" s="122" t="s">
        <v>302</v>
      </c>
      <c r="K376" s="123" t="s">
        <v>303</v>
      </c>
      <c r="L376" t="s">
        <v>204</v>
      </c>
      <c r="M376" s="124" t="s">
        <v>205</v>
      </c>
      <c r="N376" s="125" t="s">
        <v>206</v>
      </c>
      <c r="O376" s="126" t="s">
        <v>121</v>
      </c>
      <c r="P376" s="127" t="s">
        <v>1642</v>
      </c>
      <c r="Q376" s="128">
        <v>89</v>
      </c>
      <c r="R376" s="128">
        <v>89</v>
      </c>
      <c r="S376" s="129">
        <v>89</v>
      </c>
      <c r="T376" s="130" t="s">
        <v>1643</v>
      </c>
      <c r="U376" s="131">
        <v>45302</v>
      </c>
      <c r="V376" s="132">
        <v>45302</v>
      </c>
      <c r="W376" s="133">
        <v>10154</v>
      </c>
      <c r="X376" s="134" t="s">
        <v>1644</v>
      </c>
      <c r="Y376" s="135" t="s">
        <v>912</v>
      </c>
      <c r="Z376" s="128" t="s">
        <v>57</v>
      </c>
      <c r="AA376" s="128"/>
      <c r="AB376" s="136" t="s">
        <v>256</v>
      </c>
      <c r="AC376" s="137" t="s">
        <v>952</v>
      </c>
      <c r="AD376" s="136" t="s">
        <v>915</v>
      </c>
      <c r="AE376" s="136" t="s">
        <v>916</v>
      </c>
      <c r="AF376" s="136" t="s">
        <v>157</v>
      </c>
      <c r="AG376" s="136" t="s">
        <v>59</v>
      </c>
      <c r="AH376" s="138">
        <v>-89</v>
      </c>
      <c r="AI376" s="139" t="s">
        <v>58</v>
      </c>
      <c r="AJ376" s="139" t="s">
        <v>59</v>
      </c>
    </row>
    <row r="377" spans="1:36" ht="15.75" x14ac:dyDescent="0.25">
      <c r="A377" s="115">
        <v>11955</v>
      </c>
      <c r="B377" s="116" t="s">
        <v>36</v>
      </c>
      <c r="C377" s="117" t="s">
        <v>37</v>
      </c>
      <c r="D377" s="118" t="s">
        <v>36</v>
      </c>
      <c r="E377" s="119" t="s">
        <v>38</v>
      </c>
      <c r="F377" s="120" t="s">
        <v>39</v>
      </c>
      <c r="G377" s="118" t="s">
        <v>40</v>
      </c>
      <c r="H377" s="121" t="s">
        <v>41</v>
      </c>
      <c r="I377" s="120" t="s">
        <v>524</v>
      </c>
      <c r="J377" s="122" t="s">
        <v>525</v>
      </c>
      <c r="K377" s="123" t="s">
        <v>526</v>
      </c>
      <c r="L377" t="s">
        <v>150</v>
      </c>
      <c r="M377" s="124" t="s">
        <v>151</v>
      </c>
      <c r="N377" s="125" t="s">
        <v>152</v>
      </c>
      <c r="O377" s="126" t="s">
        <v>929</v>
      </c>
      <c r="P377" s="127"/>
      <c r="Q377" s="128"/>
      <c r="R377" s="128"/>
      <c r="S377" s="129">
        <v>1100</v>
      </c>
      <c r="T377" s="130" t="s">
        <v>1327</v>
      </c>
      <c r="U377" s="131">
        <v>45398</v>
      </c>
      <c r="V377" s="132"/>
      <c r="W377" s="133"/>
      <c r="X377" s="134" t="s">
        <v>1390</v>
      </c>
      <c r="Y377" s="135" t="s">
        <v>912</v>
      </c>
      <c r="Z377" s="128" t="s">
        <v>96</v>
      </c>
      <c r="AA377" s="128" t="s">
        <v>1391</v>
      </c>
      <c r="AB377" s="136" t="s">
        <v>256</v>
      </c>
      <c r="AC377" s="137" t="s">
        <v>914</v>
      </c>
      <c r="AD377" s="136" t="s">
        <v>961</v>
      </c>
      <c r="AE377" s="136" t="s">
        <v>962</v>
      </c>
      <c r="AF377" s="136" t="s">
        <v>59</v>
      </c>
      <c r="AG377" s="136" t="s">
        <v>59</v>
      </c>
      <c r="AH377" s="138">
        <v>-1100</v>
      </c>
      <c r="AI377" s="139" t="s">
        <v>58</v>
      </c>
      <c r="AJ377" s="139" t="s">
        <v>157</v>
      </c>
    </row>
    <row r="378" spans="1:36" ht="15.75" x14ac:dyDescent="0.25">
      <c r="A378" s="115">
        <v>12479</v>
      </c>
      <c r="B378" s="116" t="s">
        <v>36</v>
      </c>
      <c r="C378" s="117" t="s">
        <v>37</v>
      </c>
      <c r="D378" s="118" t="s">
        <v>36</v>
      </c>
      <c r="E378" s="119" t="s">
        <v>38</v>
      </c>
      <c r="F378" s="140" t="s">
        <v>39</v>
      </c>
      <c r="G378" s="118" t="s">
        <v>40</v>
      </c>
      <c r="H378" s="121" t="s">
        <v>41</v>
      </c>
      <c r="I378" s="120" t="s">
        <v>524</v>
      </c>
      <c r="J378" s="122" t="s">
        <v>525</v>
      </c>
      <c r="K378" s="123" t="s">
        <v>526</v>
      </c>
      <c r="L378" t="s">
        <v>923</v>
      </c>
      <c r="M378" s="124" t="s">
        <v>924</v>
      </c>
      <c r="N378" s="125" t="s">
        <v>925</v>
      </c>
      <c r="O378" s="126" t="s">
        <v>207</v>
      </c>
      <c r="P378" s="127" t="s">
        <v>979</v>
      </c>
      <c r="Q378" s="128">
        <v>90</v>
      </c>
      <c r="R378" s="128">
        <v>90</v>
      </c>
      <c r="S378" s="129">
        <v>90</v>
      </c>
      <c r="T378" s="130" t="s">
        <v>980</v>
      </c>
      <c r="U378" s="131">
        <v>45402</v>
      </c>
      <c r="V378" s="132">
        <v>45402</v>
      </c>
      <c r="W378" s="133">
        <v>10752</v>
      </c>
      <c r="X378" s="134" t="s">
        <v>981</v>
      </c>
      <c r="Y378" s="135" t="s">
        <v>912</v>
      </c>
      <c r="Z378" s="128" t="s">
        <v>57</v>
      </c>
      <c r="AA378" s="128"/>
      <c r="AB378" s="136" t="s">
        <v>256</v>
      </c>
      <c r="AC378" s="137" t="s">
        <v>952</v>
      </c>
      <c r="AD378" s="136" t="s">
        <v>915</v>
      </c>
      <c r="AE378" s="136" t="s">
        <v>916</v>
      </c>
      <c r="AF378" s="136" t="s">
        <v>157</v>
      </c>
      <c r="AG378" s="136" t="s">
        <v>59</v>
      </c>
      <c r="AH378" s="138">
        <v>-90</v>
      </c>
      <c r="AI378" s="139" t="s">
        <v>58</v>
      </c>
      <c r="AJ378" s="139" t="s">
        <v>157</v>
      </c>
    </row>
    <row r="379" spans="1:36" ht="15.75" x14ac:dyDescent="0.25">
      <c r="A379" s="115">
        <v>13833</v>
      </c>
      <c r="B379" s="116" t="s">
        <v>36</v>
      </c>
      <c r="C379" s="117" t="s">
        <v>37</v>
      </c>
      <c r="D379" s="118" t="s">
        <v>36</v>
      </c>
      <c r="E379" s="119" t="s">
        <v>38</v>
      </c>
      <c r="F379" s="120" t="s">
        <v>39</v>
      </c>
      <c r="G379" s="118" t="s">
        <v>40</v>
      </c>
      <c r="H379" s="121" t="s">
        <v>41</v>
      </c>
      <c r="I379" s="120" t="s">
        <v>301</v>
      </c>
      <c r="J379" s="122" t="s">
        <v>302</v>
      </c>
      <c r="K379" s="123" t="s">
        <v>303</v>
      </c>
      <c r="L379" t="s">
        <v>150</v>
      </c>
      <c r="M379" s="124" t="s">
        <v>151</v>
      </c>
      <c r="N379" s="125" t="s">
        <v>152</v>
      </c>
      <c r="O379" s="126" t="s">
        <v>121</v>
      </c>
      <c r="P379" s="127" t="s">
        <v>1398</v>
      </c>
      <c r="Q379" s="128"/>
      <c r="R379" s="128"/>
      <c r="S379" s="129">
        <v>1750</v>
      </c>
      <c r="T379" s="130" t="s">
        <v>1399</v>
      </c>
      <c r="U379" s="131">
        <v>45414</v>
      </c>
      <c r="V379" s="132"/>
      <c r="W379" s="133"/>
      <c r="X379" s="134" t="s">
        <v>312</v>
      </c>
      <c r="Y379" s="135" t="s">
        <v>912</v>
      </c>
      <c r="Z379" s="128" t="s">
        <v>57</v>
      </c>
      <c r="AA379" s="128"/>
      <c r="AB379" s="136" t="s">
        <v>256</v>
      </c>
      <c r="AC379" s="137" t="s">
        <v>914</v>
      </c>
      <c r="AD379" s="136" t="s">
        <v>961</v>
      </c>
      <c r="AE379" s="136" t="s">
        <v>962</v>
      </c>
      <c r="AF379" s="136" t="s">
        <v>59</v>
      </c>
      <c r="AG379" s="136" t="s">
        <v>59</v>
      </c>
      <c r="AH379" s="138">
        <v>-1750</v>
      </c>
      <c r="AI379" s="139" t="s">
        <v>58</v>
      </c>
      <c r="AJ379" s="139" t="s">
        <v>157</v>
      </c>
    </row>
    <row r="380" spans="1:36" ht="15.75" x14ac:dyDescent="0.25">
      <c r="A380" s="115">
        <v>2984</v>
      </c>
      <c r="B380" s="116" t="s">
        <v>36</v>
      </c>
      <c r="C380" s="117" t="s">
        <v>37</v>
      </c>
      <c r="D380" s="118" t="s">
        <v>36</v>
      </c>
      <c r="E380" s="119" t="s">
        <v>38</v>
      </c>
      <c r="F380" s="120" t="s">
        <v>39</v>
      </c>
      <c r="G380" s="118" t="s">
        <v>40</v>
      </c>
      <c r="H380" s="121" t="s">
        <v>41</v>
      </c>
      <c r="I380" s="120" t="s">
        <v>42</v>
      </c>
      <c r="J380" s="122" t="s">
        <v>43</v>
      </c>
      <c r="K380" s="123" t="s">
        <v>44</v>
      </c>
      <c r="L380" t="s">
        <v>63</v>
      </c>
      <c r="M380" s="124" t="s">
        <v>64</v>
      </c>
      <c r="N380" s="125" t="s">
        <v>65</v>
      </c>
      <c r="O380" s="126" t="s">
        <v>207</v>
      </c>
      <c r="P380" s="127" t="s">
        <v>1645</v>
      </c>
      <c r="Q380" s="128">
        <v>470</v>
      </c>
      <c r="R380" s="128">
        <v>470</v>
      </c>
      <c r="S380" s="129">
        <v>470</v>
      </c>
      <c r="T380" s="130" t="s">
        <v>1646</v>
      </c>
      <c r="U380" s="131">
        <v>45321</v>
      </c>
      <c r="V380" s="132">
        <v>45321</v>
      </c>
      <c r="W380" s="133">
        <v>10462</v>
      </c>
      <c r="X380" s="134" t="s">
        <v>1647</v>
      </c>
      <c r="Y380" s="135" t="s">
        <v>912</v>
      </c>
      <c r="Z380" s="128" t="s">
        <v>57</v>
      </c>
      <c r="AA380" s="128"/>
      <c r="AB380" s="136" t="s">
        <v>256</v>
      </c>
      <c r="AC380" s="137" t="s">
        <v>914</v>
      </c>
      <c r="AD380" s="136" t="s">
        <v>915</v>
      </c>
      <c r="AE380" s="136" t="s">
        <v>916</v>
      </c>
      <c r="AF380" s="136" t="s">
        <v>59</v>
      </c>
      <c r="AG380" s="136" t="s">
        <v>59</v>
      </c>
      <c r="AH380" s="138">
        <v>-470</v>
      </c>
      <c r="AI380" s="139" t="s">
        <v>58</v>
      </c>
      <c r="AJ380" s="139" t="s">
        <v>59</v>
      </c>
    </row>
    <row r="381" spans="1:36" ht="15.75" x14ac:dyDescent="0.25">
      <c r="A381" s="115">
        <v>2999</v>
      </c>
      <c r="B381" s="116" t="s">
        <v>36</v>
      </c>
      <c r="C381" s="117" t="s">
        <v>37</v>
      </c>
      <c r="D381" s="118" t="s">
        <v>36</v>
      </c>
      <c r="E381" s="119" t="s">
        <v>38</v>
      </c>
      <c r="F381" s="120" t="s">
        <v>39</v>
      </c>
      <c r="G381" s="118" t="s">
        <v>40</v>
      </c>
      <c r="H381" s="121" t="s">
        <v>41</v>
      </c>
      <c r="I381" s="120" t="s">
        <v>524</v>
      </c>
      <c r="J381" s="122" t="s">
        <v>525</v>
      </c>
      <c r="K381" s="123" t="s">
        <v>526</v>
      </c>
      <c r="L381" t="s">
        <v>204</v>
      </c>
      <c r="M381" s="124" t="s">
        <v>205</v>
      </c>
      <c r="N381" s="125" t="s">
        <v>206</v>
      </c>
      <c r="O381" s="126" t="s">
        <v>929</v>
      </c>
      <c r="P381" s="127"/>
      <c r="Q381" s="128"/>
      <c r="R381" s="128"/>
      <c r="S381" s="129">
        <v>80</v>
      </c>
      <c r="T381" s="130" t="s">
        <v>1327</v>
      </c>
      <c r="U381" s="131">
        <v>45321</v>
      </c>
      <c r="V381" s="132"/>
      <c r="W381" s="133"/>
      <c r="X381" s="134" t="s">
        <v>874</v>
      </c>
      <c r="Y381" s="135" t="s">
        <v>912</v>
      </c>
      <c r="Z381" s="128" t="s">
        <v>96</v>
      </c>
      <c r="AA381" s="128" t="s">
        <v>1648</v>
      </c>
      <c r="AB381" s="136" t="s">
        <v>256</v>
      </c>
      <c r="AC381" s="137" t="s">
        <v>952</v>
      </c>
      <c r="AD381" s="136" t="s">
        <v>915</v>
      </c>
      <c r="AE381" s="136" t="s">
        <v>916</v>
      </c>
      <c r="AF381" s="136" t="s">
        <v>157</v>
      </c>
      <c r="AG381" s="136" t="s">
        <v>59</v>
      </c>
      <c r="AH381" s="138">
        <v>-80</v>
      </c>
      <c r="AI381" s="139" t="s">
        <v>58</v>
      </c>
      <c r="AJ381" s="139" t="s">
        <v>59</v>
      </c>
    </row>
    <row r="382" spans="1:36" ht="15.75" x14ac:dyDescent="0.25">
      <c r="A382" s="115">
        <v>3435</v>
      </c>
      <c r="B382" s="116" t="s">
        <v>36</v>
      </c>
      <c r="C382" s="117" t="s">
        <v>37</v>
      </c>
      <c r="D382" s="118" t="s">
        <v>36</v>
      </c>
      <c r="E382" s="119" t="s">
        <v>38</v>
      </c>
      <c r="F382" s="120" t="s">
        <v>39</v>
      </c>
      <c r="G382" s="118" t="s">
        <v>40</v>
      </c>
      <c r="H382" s="121" t="s">
        <v>41</v>
      </c>
      <c r="I382" s="120" t="s">
        <v>42</v>
      </c>
      <c r="J382" s="122" t="s">
        <v>43</v>
      </c>
      <c r="K382" s="123" t="s">
        <v>44</v>
      </c>
      <c r="L382" t="s">
        <v>204</v>
      </c>
      <c r="M382" s="124" t="s">
        <v>205</v>
      </c>
      <c r="N382" s="125" t="s">
        <v>206</v>
      </c>
      <c r="O382" s="126" t="s">
        <v>929</v>
      </c>
      <c r="P382" s="127"/>
      <c r="Q382" s="128"/>
      <c r="R382" s="128"/>
      <c r="S382" s="129">
        <v>70</v>
      </c>
      <c r="T382" s="130" t="s">
        <v>1327</v>
      </c>
      <c r="U382" s="131">
        <v>45322</v>
      </c>
      <c r="V382" s="132"/>
      <c r="W382" s="133"/>
      <c r="X382" s="134" t="s">
        <v>1326</v>
      </c>
      <c r="Y382" s="135" t="s">
        <v>912</v>
      </c>
      <c r="Z382" s="128" t="s">
        <v>96</v>
      </c>
      <c r="AA382" s="128" t="s">
        <v>1648</v>
      </c>
      <c r="AB382" s="136" t="s">
        <v>256</v>
      </c>
      <c r="AC382" s="137" t="s">
        <v>952</v>
      </c>
      <c r="AD382" s="136" t="s">
        <v>915</v>
      </c>
      <c r="AE382" s="136" t="s">
        <v>916</v>
      </c>
      <c r="AF382" s="136" t="s">
        <v>157</v>
      </c>
      <c r="AG382" s="136" t="s">
        <v>59</v>
      </c>
      <c r="AH382" s="138">
        <v>-70</v>
      </c>
      <c r="AI382" s="139" t="s">
        <v>58</v>
      </c>
      <c r="AJ382" s="139" t="s">
        <v>59</v>
      </c>
    </row>
    <row r="383" spans="1:36" ht="15.75" x14ac:dyDescent="0.25">
      <c r="A383" s="115">
        <v>3801</v>
      </c>
      <c r="B383" s="116" t="s">
        <v>36</v>
      </c>
      <c r="C383" s="117" t="s">
        <v>37</v>
      </c>
      <c r="D383" s="118" t="s">
        <v>36</v>
      </c>
      <c r="E383" s="119" t="s">
        <v>38</v>
      </c>
      <c r="F383" s="140" t="s">
        <v>39</v>
      </c>
      <c r="G383" s="118" t="s">
        <v>40</v>
      </c>
      <c r="H383" s="121" t="s">
        <v>41</v>
      </c>
      <c r="I383" s="120" t="s">
        <v>946</v>
      </c>
      <c r="J383" s="122" t="s">
        <v>947</v>
      </c>
      <c r="K383" s="123" t="s">
        <v>948</v>
      </c>
      <c r="L383" t="s">
        <v>984</v>
      </c>
      <c r="M383" s="124" t="s">
        <v>985</v>
      </c>
      <c r="N383" s="125" t="s">
        <v>986</v>
      </c>
      <c r="O383" s="126" t="s">
        <v>121</v>
      </c>
      <c r="P383" s="127" t="s">
        <v>1649</v>
      </c>
      <c r="Q383" s="128">
        <v>5.36</v>
      </c>
      <c r="R383" s="128">
        <v>5.36</v>
      </c>
      <c r="S383" s="129">
        <v>5.36</v>
      </c>
      <c r="T383" s="130" t="s">
        <v>1640</v>
      </c>
      <c r="U383" s="131">
        <v>45323</v>
      </c>
      <c r="V383" s="132">
        <v>45323</v>
      </c>
      <c r="W383" s="133">
        <v>3509</v>
      </c>
      <c r="X383" s="134" t="s">
        <v>1641</v>
      </c>
      <c r="Y383" s="135" t="s">
        <v>912</v>
      </c>
      <c r="Z383" s="128" t="s">
        <v>57</v>
      </c>
      <c r="AA383" s="128"/>
      <c r="AB383" s="136" t="s">
        <v>256</v>
      </c>
      <c r="AC383" s="137" t="s">
        <v>952</v>
      </c>
      <c r="AD383" s="136" t="s">
        <v>915</v>
      </c>
      <c r="AE383" s="136" t="s">
        <v>916</v>
      </c>
      <c r="AF383" s="136" t="s">
        <v>157</v>
      </c>
      <c r="AG383" s="136" t="s">
        <v>59</v>
      </c>
      <c r="AH383" s="138">
        <v>-5.36</v>
      </c>
      <c r="AI383" s="139" t="s">
        <v>58</v>
      </c>
      <c r="AJ383" s="139" t="s">
        <v>157</v>
      </c>
    </row>
    <row r="384" spans="1:36" ht="15.75" x14ac:dyDescent="0.25">
      <c r="A384" s="115">
        <v>15295</v>
      </c>
      <c r="B384" s="116" t="s">
        <v>36</v>
      </c>
      <c r="C384" s="117" t="s">
        <v>37</v>
      </c>
      <c r="D384" s="118" t="s">
        <v>36</v>
      </c>
      <c r="E384" s="119" t="s">
        <v>38</v>
      </c>
      <c r="F384" s="120" t="s">
        <v>39</v>
      </c>
      <c r="G384" s="118" t="s">
        <v>40</v>
      </c>
      <c r="H384" s="121" t="s">
        <v>41</v>
      </c>
      <c r="I384" s="120" t="s">
        <v>524</v>
      </c>
      <c r="J384" s="122" t="s">
        <v>525</v>
      </c>
      <c r="K384" s="123" t="s">
        <v>526</v>
      </c>
      <c r="L384" t="s">
        <v>150</v>
      </c>
      <c r="M384" s="124" t="s">
        <v>151</v>
      </c>
      <c r="N384" s="125" t="s">
        <v>152</v>
      </c>
      <c r="O384" s="126" t="s">
        <v>929</v>
      </c>
      <c r="P384" s="127"/>
      <c r="Q384" s="128"/>
      <c r="R384" s="128"/>
      <c r="S384" s="129">
        <v>1100</v>
      </c>
      <c r="T384" s="130" t="s">
        <v>1327</v>
      </c>
      <c r="U384" s="131">
        <v>45428</v>
      </c>
      <c r="V384" s="132"/>
      <c r="W384" s="133"/>
      <c r="X384" s="134" t="s">
        <v>1390</v>
      </c>
      <c r="Y384" s="135" t="s">
        <v>912</v>
      </c>
      <c r="Z384" s="128" t="s">
        <v>96</v>
      </c>
      <c r="AA384" s="128" t="s">
        <v>1391</v>
      </c>
      <c r="AB384" s="136" t="s">
        <v>256</v>
      </c>
      <c r="AC384" s="137" t="s">
        <v>914</v>
      </c>
      <c r="AD384" s="136" t="s">
        <v>961</v>
      </c>
      <c r="AE384" s="136" t="s">
        <v>962</v>
      </c>
      <c r="AF384" s="136" t="s">
        <v>59</v>
      </c>
      <c r="AG384" s="136" t="s">
        <v>59</v>
      </c>
      <c r="AH384" s="138">
        <v>-1100</v>
      </c>
      <c r="AI384" s="139" t="s">
        <v>58</v>
      </c>
      <c r="AJ384" s="139" t="s">
        <v>157</v>
      </c>
    </row>
    <row r="385" spans="1:36" ht="15.75" x14ac:dyDescent="0.25">
      <c r="A385" s="115">
        <v>5353</v>
      </c>
      <c r="B385" s="116" t="s">
        <v>36</v>
      </c>
      <c r="C385" s="117" t="s">
        <v>37</v>
      </c>
      <c r="D385" s="118" t="s">
        <v>36</v>
      </c>
      <c r="E385" s="119" t="s">
        <v>38</v>
      </c>
      <c r="F385" s="140" t="s">
        <v>39</v>
      </c>
      <c r="G385" s="118" t="s">
        <v>40</v>
      </c>
      <c r="H385" s="121" t="s">
        <v>41</v>
      </c>
      <c r="I385" s="120" t="s">
        <v>301</v>
      </c>
      <c r="J385" s="122" t="s">
        <v>302</v>
      </c>
      <c r="K385" s="123" t="s">
        <v>303</v>
      </c>
      <c r="L385" t="s">
        <v>63</v>
      </c>
      <c r="M385" s="124" t="s">
        <v>64</v>
      </c>
      <c r="N385" s="125" t="s">
        <v>65</v>
      </c>
      <c r="O385" s="126" t="s">
        <v>121</v>
      </c>
      <c r="P385" s="127" t="s">
        <v>1650</v>
      </c>
      <c r="Q385" s="128">
        <v>99.64</v>
      </c>
      <c r="R385" s="128">
        <v>99.64</v>
      </c>
      <c r="S385" s="129">
        <v>99.64</v>
      </c>
      <c r="T385" s="130" t="s">
        <v>1651</v>
      </c>
      <c r="U385" s="131">
        <v>45338</v>
      </c>
      <c r="V385" s="132">
        <v>45338</v>
      </c>
      <c r="W385" s="133">
        <v>2992</v>
      </c>
      <c r="X385" s="134" t="s">
        <v>1652</v>
      </c>
      <c r="Y385" s="135" t="s">
        <v>912</v>
      </c>
      <c r="Z385" s="128" t="s">
        <v>57</v>
      </c>
      <c r="AA385" s="128"/>
      <c r="AB385" s="136" t="s">
        <v>256</v>
      </c>
      <c r="AC385" s="137" t="s">
        <v>914</v>
      </c>
      <c r="AD385" s="136" t="s">
        <v>915</v>
      </c>
      <c r="AE385" s="136" t="s">
        <v>916</v>
      </c>
      <c r="AF385" s="136" t="s">
        <v>59</v>
      </c>
      <c r="AG385" s="136" t="s">
        <v>59</v>
      </c>
      <c r="AH385" s="138">
        <v>-99.64</v>
      </c>
      <c r="AI385" s="139" t="s">
        <v>58</v>
      </c>
      <c r="AJ385" s="139" t="s">
        <v>59</v>
      </c>
    </row>
    <row r="386" spans="1:36" ht="15.75" x14ac:dyDescent="0.25">
      <c r="A386" s="115">
        <v>5709</v>
      </c>
      <c r="B386" s="116" t="s">
        <v>36</v>
      </c>
      <c r="C386" s="117" t="s">
        <v>37</v>
      </c>
      <c r="D386" s="118" t="s">
        <v>36</v>
      </c>
      <c r="E386" s="119" t="s">
        <v>38</v>
      </c>
      <c r="F386" s="140" t="s">
        <v>39</v>
      </c>
      <c r="G386" s="118" t="s">
        <v>40</v>
      </c>
      <c r="H386" s="121" t="s">
        <v>41</v>
      </c>
      <c r="I386" s="120" t="s">
        <v>301</v>
      </c>
      <c r="J386" s="122" t="s">
        <v>302</v>
      </c>
      <c r="K386" s="123" t="s">
        <v>303</v>
      </c>
      <c r="L386" t="s">
        <v>63</v>
      </c>
      <c r="M386" s="124" t="s">
        <v>64</v>
      </c>
      <c r="N386" s="125" t="s">
        <v>65</v>
      </c>
      <c r="O386" s="126" t="s">
        <v>121</v>
      </c>
      <c r="P386" s="127" t="s">
        <v>1653</v>
      </c>
      <c r="Q386" s="128">
        <v>99.64</v>
      </c>
      <c r="R386" s="128">
        <v>99.64</v>
      </c>
      <c r="S386" s="129">
        <v>99.64</v>
      </c>
      <c r="T386" s="130" t="s">
        <v>1654</v>
      </c>
      <c r="U386" s="131">
        <v>45342</v>
      </c>
      <c r="V386" s="132">
        <v>45342</v>
      </c>
      <c r="W386" s="133">
        <v>2992</v>
      </c>
      <c r="X386" s="134" t="s">
        <v>1652</v>
      </c>
      <c r="Y386" s="135" t="s">
        <v>912</v>
      </c>
      <c r="Z386" s="128" t="s">
        <v>57</v>
      </c>
      <c r="AA386" s="128"/>
      <c r="AB386" s="136" t="s">
        <v>256</v>
      </c>
      <c r="AC386" s="137" t="s">
        <v>914</v>
      </c>
      <c r="AD386" s="136" t="s">
        <v>915</v>
      </c>
      <c r="AE386" s="136" t="s">
        <v>916</v>
      </c>
      <c r="AF386" s="136" t="s">
        <v>59</v>
      </c>
      <c r="AG386" s="136" t="s">
        <v>59</v>
      </c>
      <c r="AH386" s="138">
        <v>-99.64</v>
      </c>
      <c r="AI386" s="139" t="s">
        <v>58</v>
      </c>
      <c r="AJ386" s="139" t="s">
        <v>59</v>
      </c>
    </row>
    <row r="387" spans="1:36" ht="15.75" x14ac:dyDescent="0.25">
      <c r="A387" s="115">
        <v>6022</v>
      </c>
      <c r="B387" s="116" t="s">
        <v>36</v>
      </c>
      <c r="C387" s="117" t="s">
        <v>37</v>
      </c>
      <c r="D387" s="118" t="s">
        <v>36</v>
      </c>
      <c r="E387" s="119" t="s">
        <v>38</v>
      </c>
      <c r="F387" s="120" t="s">
        <v>39</v>
      </c>
      <c r="G387" s="118" t="s">
        <v>40</v>
      </c>
      <c r="H387" s="121" t="s">
        <v>41</v>
      </c>
      <c r="I387" s="120" t="s">
        <v>301</v>
      </c>
      <c r="J387" s="122" t="s">
        <v>302</v>
      </c>
      <c r="K387" s="123" t="s">
        <v>303</v>
      </c>
      <c r="L387" t="s">
        <v>1209</v>
      </c>
      <c r="M387" s="124" t="s">
        <v>1210</v>
      </c>
      <c r="N387" s="125" t="s">
        <v>1211</v>
      </c>
      <c r="O387" s="126" t="s">
        <v>121</v>
      </c>
      <c r="P387" s="127" t="s">
        <v>1655</v>
      </c>
      <c r="Q387" s="128">
        <v>17.989999999999998</v>
      </c>
      <c r="R387" s="128">
        <v>17.989999999999998</v>
      </c>
      <c r="S387" s="129">
        <v>17.989999999999998</v>
      </c>
      <c r="T387" s="130" t="s">
        <v>1656</v>
      </c>
      <c r="U387" s="131">
        <v>45345</v>
      </c>
      <c r="V387" s="132">
        <v>45345</v>
      </c>
      <c r="W387" s="133">
        <v>10568</v>
      </c>
      <c r="X387" s="134" t="s">
        <v>1657</v>
      </c>
      <c r="Y387" s="135" t="s">
        <v>912</v>
      </c>
      <c r="Z387" s="128" t="s">
        <v>57</v>
      </c>
      <c r="AA387" s="128"/>
      <c r="AB387" s="136" t="s">
        <v>256</v>
      </c>
      <c r="AC387" s="137" t="s">
        <v>914</v>
      </c>
      <c r="AD387" s="136" t="s">
        <v>961</v>
      </c>
      <c r="AE387" s="136" t="s">
        <v>962</v>
      </c>
      <c r="AF387" s="136" t="s">
        <v>59</v>
      </c>
      <c r="AG387" s="136" t="s">
        <v>59</v>
      </c>
      <c r="AH387" s="138">
        <v>-17.989999999999998</v>
      </c>
      <c r="AI387" s="139" t="s">
        <v>58</v>
      </c>
      <c r="AJ387" s="139" t="s">
        <v>157</v>
      </c>
    </row>
    <row r="388" spans="1:36" ht="15.75" x14ac:dyDescent="0.25">
      <c r="A388" s="115">
        <v>6031</v>
      </c>
      <c r="B388" s="116" t="s">
        <v>36</v>
      </c>
      <c r="C388" s="117" t="s">
        <v>37</v>
      </c>
      <c r="D388" s="118" t="s">
        <v>36</v>
      </c>
      <c r="E388" s="119" t="s">
        <v>38</v>
      </c>
      <c r="F388" s="120" t="s">
        <v>39</v>
      </c>
      <c r="G388" s="118" t="s">
        <v>40</v>
      </c>
      <c r="H388" s="121" t="s">
        <v>41</v>
      </c>
      <c r="I388" s="120" t="s">
        <v>301</v>
      </c>
      <c r="J388" s="122" t="s">
        <v>302</v>
      </c>
      <c r="K388" s="123" t="s">
        <v>303</v>
      </c>
      <c r="L388" t="s">
        <v>1209</v>
      </c>
      <c r="M388" s="124" t="s">
        <v>1210</v>
      </c>
      <c r="N388" s="125" t="s">
        <v>1211</v>
      </c>
      <c r="O388" s="126" t="s">
        <v>121</v>
      </c>
      <c r="P388" s="127" t="s">
        <v>1658</v>
      </c>
      <c r="Q388" s="128">
        <v>93.67</v>
      </c>
      <c r="R388" s="128">
        <v>93.67</v>
      </c>
      <c r="S388" s="129">
        <v>93.67</v>
      </c>
      <c r="T388" s="130" t="s">
        <v>1656</v>
      </c>
      <c r="U388" s="131">
        <v>45345</v>
      </c>
      <c r="V388" s="132">
        <v>45345</v>
      </c>
      <c r="W388" s="133">
        <v>10567</v>
      </c>
      <c r="X388" s="134" t="s">
        <v>1659</v>
      </c>
      <c r="Y388" s="135" t="s">
        <v>912</v>
      </c>
      <c r="Z388" s="128" t="s">
        <v>57</v>
      </c>
      <c r="AA388" s="128"/>
      <c r="AB388" s="136" t="s">
        <v>256</v>
      </c>
      <c r="AC388" s="137" t="s">
        <v>914</v>
      </c>
      <c r="AD388" s="136" t="s">
        <v>961</v>
      </c>
      <c r="AE388" s="136" t="s">
        <v>962</v>
      </c>
      <c r="AF388" s="136" t="s">
        <v>59</v>
      </c>
      <c r="AG388" s="136" t="s">
        <v>59</v>
      </c>
      <c r="AH388" s="138">
        <v>-93.67</v>
      </c>
      <c r="AI388" s="139" t="s">
        <v>58</v>
      </c>
      <c r="AJ388" s="139" t="s">
        <v>157</v>
      </c>
    </row>
    <row r="389" spans="1:36" ht="15.75" x14ac:dyDescent="0.25">
      <c r="A389" s="115">
        <v>6032</v>
      </c>
      <c r="B389" s="116" t="s">
        <v>36</v>
      </c>
      <c r="C389" s="117" t="s">
        <v>37</v>
      </c>
      <c r="D389" s="118" t="s">
        <v>36</v>
      </c>
      <c r="E389" s="119" t="s">
        <v>38</v>
      </c>
      <c r="F389" s="120" t="s">
        <v>39</v>
      </c>
      <c r="G389" s="118" t="s">
        <v>40</v>
      </c>
      <c r="H389" s="121" t="s">
        <v>41</v>
      </c>
      <c r="I389" s="120" t="s">
        <v>301</v>
      </c>
      <c r="J389" s="122" t="s">
        <v>302</v>
      </c>
      <c r="K389" s="123" t="s">
        <v>303</v>
      </c>
      <c r="L389" t="s">
        <v>1209</v>
      </c>
      <c r="M389" s="124" t="s">
        <v>1210</v>
      </c>
      <c r="N389" s="125" t="s">
        <v>1211</v>
      </c>
      <c r="O389" s="126" t="s">
        <v>121</v>
      </c>
      <c r="P389" s="127" t="s">
        <v>1660</v>
      </c>
      <c r="Q389" s="128">
        <v>13.8</v>
      </c>
      <c r="R389" s="128">
        <v>13.8</v>
      </c>
      <c r="S389" s="129">
        <v>13.8</v>
      </c>
      <c r="T389" s="130" t="s">
        <v>1661</v>
      </c>
      <c r="U389" s="131">
        <v>45345</v>
      </c>
      <c r="V389" s="132">
        <v>45345</v>
      </c>
      <c r="W389" s="133">
        <v>10567</v>
      </c>
      <c r="X389" s="134" t="s">
        <v>1659</v>
      </c>
      <c r="Y389" s="135" t="s">
        <v>912</v>
      </c>
      <c r="Z389" s="128" t="s">
        <v>57</v>
      </c>
      <c r="AA389" s="128"/>
      <c r="AB389" s="136" t="s">
        <v>256</v>
      </c>
      <c r="AC389" s="137" t="s">
        <v>914</v>
      </c>
      <c r="AD389" s="136" t="s">
        <v>961</v>
      </c>
      <c r="AE389" s="136" t="s">
        <v>962</v>
      </c>
      <c r="AF389" s="136" t="s">
        <v>59</v>
      </c>
      <c r="AG389" s="136" t="s">
        <v>59</v>
      </c>
      <c r="AH389" s="138">
        <v>-13.8</v>
      </c>
      <c r="AI389" s="139" t="s">
        <v>58</v>
      </c>
      <c r="AJ389" s="139" t="s">
        <v>157</v>
      </c>
    </row>
    <row r="390" spans="1:36" ht="15.75" x14ac:dyDescent="0.25">
      <c r="A390" s="115">
        <v>6033</v>
      </c>
      <c r="B390" s="116" t="s">
        <v>36</v>
      </c>
      <c r="C390" s="117" t="s">
        <v>37</v>
      </c>
      <c r="D390" s="118" t="s">
        <v>36</v>
      </c>
      <c r="E390" s="119" t="s">
        <v>38</v>
      </c>
      <c r="F390" s="120" t="s">
        <v>39</v>
      </c>
      <c r="G390" s="118" t="s">
        <v>40</v>
      </c>
      <c r="H390" s="121" t="s">
        <v>41</v>
      </c>
      <c r="I390" s="120" t="s">
        <v>301</v>
      </c>
      <c r="J390" s="122" t="s">
        <v>302</v>
      </c>
      <c r="K390" s="123" t="s">
        <v>303</v>
      </c>
      <c r="L390" t="s">
        <v>204</v>
      </c>
      <c r="M390" s="124" t="s">
        <v>205</v>
      </c>
      <c r="N390" s="125" t="s">
        <v>206</v>
      </c>
      <c r="O390" s="126" t="s">
        <v>121</v>
      </c>
      <c r="P390" s="127" t="s">
        <v>1662</v>
      </c>
      <c r="Q390" s="128">
        <v>143.01</v>
      </c>
      <c r="R390" s="128">
        <v>143.01</v>
      </c>
      <c r="S390" s="129">
        <v>143.01</v>
      </c>
      <c r="T390" s="130" t="s">
        <v>1663</v>
      </c>
      <c r="U390" s="131">
        <v>45345</v>
      </c>
      <c r="V390" s="132">
        <v>45345</v>
      </c>
      <c r="W390" s="133">
        <v>10567</v>
      </c>
      <c r="X390" s="134" t="s">
        <v>1659</v>
      </c>
      <c r="Y390" s="135" t="s">
        <v>912</v>
      </c>
      <c r="Z390" s="128" t="s">
        <v>57</v>
      </c>
      <c r="AA390" s="128"/>
      <c r="AB390" s="136" t="s">
        <v>256</v>
      </c>
      <c r="AC390" s="137" t="s">
        <v>952</v>
      </c>
      <c r="AD390" s="136" t="s">
        <v>915</v>
      </c>
      <c r="AE390" s="136" t="s">
        <v>916</v>
      </c>
      <c r="AF390" s="136" t="s">
        <v>157</v>
      </c>
      <c r="AG390" s="136" t="s">
        <v>59</v>
      </c>
      <c r="AH390" s="138">
        <v>-143.01</v>
      </c>
      <c r="AI390" s="139" t="s">
        <v>58</v>
      </c>
      <c r="AJ390" s="139" t="s">
        <v>59</v>
      </c>
    </row>
    <row r="391" spans="1:36" ht="15.75" x14ac:dyDescent="0.25">
      <c r="A391" s="115">
        <v>6034</v>
      </c>
      <c r="B391" s="116" t="s">
        <v>36</v>
      </c>
      <c r="C391" s="117" t="s">
        <v>37</v>
      </c>
      <c r="D391" s="118" t="s">
        <v>36</v>
      </c>
      <c r="E391" s="119" t="s">
        <v>38</v>
      </c>
      <c r="F391" s="120" t="s">
        <v>39</v>
      </c>
      <c r="G391" s="118" t="s">
        <v>40</v>
      </c>
      <c r="H391" s="121" t="s">
        <v>41</v>
      </c>
      <c r="I391" s="120" t="s">
        <v>301</v>
      </c>
      <c r="J391" s="122" t="s">
        <v>302</v>
      </c>
      <c r="K391" s="123" t="s">
        <v>303</v>
      </c>
      <c r="L391" t="s">
        <v>204</v>
      </c>
      <c r="M391" s="124" t="s">
        <v>205</v>
      </c>
      <c r="N391" s="125" t="s">
        <v>206</v>
      </c>
      <c r="O391" s="126" t="s">
        <v>121</v>
      </c>
      <c r="P391" s="127" t="s">
        <v>1664</v>
      </c>
      <c r="Q391" s="128">
        <v>116.78</v>
      </c>
      <c r="R391" s="128">
        <v>116.78</v>
      </c>
      <c r="S391" s="129">
        <v>116.78</v>
      </c>
      <c r="T391" s="130" t="s">
        <v>1665</v>
      </c>
      <c r="U391" s="131">
        <v>45345</v>
      </c>
      <c r="V391" s="132">
        <v>45345</v>
      </c>
      <c r="W391" s="133">
        <v>10567</v>
      </c>
      <c r="X391" s="134" t="s">
        <v>1659</v>
      </c>
      <c r="Y391" s="135" t="s">
        <v>912</v>
      </c>
      <c r="Z391" s="128" t="s">
        <v>57</v>
      </c>
      <c r="AA391" s="128"/>
      <c r="AB391" s="136" t="s">
        <v>256</v>
      </c>
      <c r="AC391" s="137" t="s">
        <v>952</v>
      </c>
      <c r="AD391" s="136" t="s">
        <v>915</v>
      </c>
      <c r="AE391" s="136" t="s">
        <v>916</v>
      </c>
      <c r="AF391" s="136" t="s">
        <v>157</v>
      </c>
      <c r="AG391" s="136" t="s">
        <v>59</v>
      </c>
      <c r="AH391" s="138">
        <v>-116.78</v>
      </c>
      <c r="AI391" s="139" t="s">
        <v>58</v>
      </c>
      <c r="AJ391" s="139" t="s">
        <v>59</v>
      </c>
    </row>
    <row r="392" spans="1:36" ht="15.75" x14ac:dyDescent="0.25">
      <c r="A392" s="115">
        <v>6149</v>
      </c>
      <c r="B392" s="116" t="s">
        <v>36</v>
      </c>
      <c r="C392" s="117" t="s">
        <v>37</v>
      </c>
      <c r="D392" s="118" t="s">
        <v>36</v>
      </c>
      <c r="E392" s="119" t="s">
        <v>38</v>
      </c>
      <c r="F392" s="140" t="s">
        <v>39</v>
      </c>
      <c r="G392" s="118" t="s">
        <v>40</v>
      </c>
      <c r="H392" s="121" t="s">
        <v>41</v>
      </c>
      <c r="I392" s="120" t="s">
        <v>301</v>
      </c>
      <c r="J392" s="122" t="s">
        <v>302</v>
      </c>
      <c r="K392" s="123" t="s">
        <v>303</v>
      </c>
      <c r="L392" t="s">
        <v>1209</v>
      </c>
      <c r="M392" s="124" t="s">
        <v>1210</v>
      </c>
      <c r="N392" s="125" t="s">
        <v>1211</v>
      </c>
      <c r="O392" s="126" t="s">
        <v>121</v>
      </c>
      <c r="P392" s="127" t="s">
        <v>1666</v>
      </c>
      <c r="Q392" s="128">
        <v>74.180000000000007</v>
      </c>
      <c r="R392" s="128">
        <v>74.180000000000007</v>
      </c>
      <c r="S392" s="129">
        <v>74.180000000000007</v>
      </c>
      <c r="T392" s="130" t="s">
        <v>1656</v>
      </c>
      <c r="U392" s="131">
        <v>45345</v>
      </c>
      <c r="V392" s="132">
        <v>45345</v>
      </c>
      <c r="W392" s="133">
        <v>10311</v>
      </c>
      <c r="X392" s="134" t="s">
        <v>1667</v>
      </c>
      <c r="Y392" s="135" t="s">
        <v>912</v>
      </c>
      <c r="Z392" s="128" t="s">
        <v>57</v>
      </c>
      <c r="AA392" s="128"/>
      <c r="AB392" s="136" t="s">
        <v>256</v>
      </c>
      <c r="AC392" s="137" t="s">
        <v>914</v>
      </c>
      <c r="AD392" s="136" t="s">
        <v>961</v>
      </c>
      <c r="AE392" s="136" t="s">
        <v>962</v>
      </c>
      <c r="AF392" s="136" t="s">
        <v>59</v>
      </c>
      <c r="AG392" s="136" t="s">
        <v>59</v>
      </c>
      <c r="AH392" s="138">
        <v>-74.180000000000007</v>
      </c>
      <c r="AI392" s="139" t="s">
        <v>58</v>
      </c>
      <c r="AJ392" s="139" t="s">
        <v>157</v>
      </c>
    </row>
    <row r="393" spans="1:36" ht="15.75" x14ac:dyDescent="0.25">
      <c r="A393" s="115">
        <v>6181</v>
      </c>
      <c r="B393" s="116" t="s">
        <v>36</v>
      </c>
      <c r="C393" s="117" t="s">
        <v>37</v>
      </c>
      <c r="D393" s="118" t="s">
        <v>36</v>
      </c>
      <c r="E393" s="119" t="s">
        <v>38</v>
      </c>
      <c r="F393" s="120" t="s">
        <v>39</v>
      </c>
      <c r="G393" s="118" t="s">
        <v>40</v>
      </c>
      <c r="H393" s="121" t="s">
        <v>41</v>
      </c>
      <c r="I393" s="120" t="s">
        <v>301</v>
      </c>
      <c r="J393" s="122" t="s">
        <v>302</v>
      </c>
      <c r="K393" s="123" t="s">
        <v>303</v>
      </c>
      <c r="L393" t="s">
        <v>204</v>
      </c>
      <c r="M393" s="124" t="s">
        <v>205</v>
      </c>
      <c r="N393" s="125" t="s">
        <v>206</v>
      </c>
      <c r="O393" s="126" t="s">
        <v>121</v>
      </c>
      <c r="P393" s="127" t="s">
        <v>1668</v>
      </c>
      <c r="Q393" s="128">
        <v>123.46</v>
      </c>
      <c r="R393" s="128">
        <v>123.46</v>
      </c>
      <c r="S393" s="129">
        <v>123.46</v>
      </c>
      <c r="T393" s="130" t="s">
        <v>1669</v>
      </c>
      <c r="U393" s="131">
        <v>45346</v>
      </c>
      <c r="V393" s="132">
        <v>45346</v>
      </c>
      <c r="W393" s="133">
        <v>276</v>
      </c>
      <c r="X393" s="134" t="s">
        <v>1670</v>
      </c>
      <c r="Y393" s="135" t="s">
        <v>912</v>
      </c>
      <c r="Z393" s="128" t="s">
        <v>57</v>
      </c>
      <c r="AA393" s="128"/>
      <c r="AB393" s="136" t="s">
        <v>256</v>
      </c>
      <c r="AC393" s="137" t="s">
        <v>952</v>
      </c>
      <c r="AD393" s="136" t="s">
        <v>915</v>
      </c>
      <c r="AE393" s="136" t="s">
        <v>916</v>
      </c>
      <c r="AF393" s="136" t="s">
        <v>157</v>
      </c>
      <c r="AG393" s="136" t="s">
        <v>59</v>
      </c>
      <c r="AH393" s="138">
        <v>-123.46</v>
      </c>
      <c r="AI393" s="139" t="s">
        <v>58</v>
      </c>
      <c r="AJ393" s="139" t="s">
        <v>59</v>
      </c>
    </row>
    <row r="394" spans="1:36" ht="15.75" x14ac:dyDescent="0.25">
      <c r="A394" s="115">
        <v>6520</v>
      </c>
      <c r="B394" s="116" t="s">
        <v>36</v>
      </c>
      <c r="C394" s="117" t="s">
        <v>37</v>
      </c>
      <c r="D394" s="118" t="s">
        <v>36</v>
      </c>
      <c r="E394" s="119" t="s">
        <v>38</v>
      </c>
      <c r="F394" s="120" t="s">
        <v>39</v>
      </c>
      <c r="G394" s="118" t="s">
        <v>40</v>
      </c>
      <c r="H394" s="121" t="s">
        <v>41</v>
      </c>
      <c r="I394" s="120" t="s">
        <v>946</v>
      </c>
      <c r="J394" s="122" t="s">
        <v>947</v>
      </c>
      <c r="K394" s="123" t="s">
        <v>948</v>
      </c>
      <c r="L394" t="s">
        <v>262</v>
      </c>
      <c r="M394" s="124" t="s">
        <v>263</v>
      </c>
      <c r="N394" s="125" t="s">
        <v>264</v>
      </c>
      <c r="O394" s="126" t="s">
        <v>929</v>
      </c>
      <c r="P394" s="127"/>
      <c r="Q394" s="128"/>
      <c r="R394" s="128"/>
      <c r="S394" s="129">
        <v>535.79999999999995</v>
      </c>
      <c r="T394" s="130" t="s">
        <v>1327</v>
      </c>
      <c r="U394" s="131">
        <v>45350</v>
      </c>
      <c r="V394" s="132"/>
      <c r="W394" s="133"/>
      <c r="X394" s="134" t="s">
        <v>1671</v>
      </c>
      <c r="Y394" s="135" t="s">
        <v>912</v>
      </c>
      <c r="Z394" s="128" t="s">
        <v>96</v>
      </c>
      <c r="AA394" s="128" t="s">
        <v>913</v>
      </c>
      <c r="AB394" s="136" t="s">
        <v>256</v>
      </c>
      <c r="AC394" s="137" t="s">
        <v>914</v>
      </c>
      <c r="AD394" s="136" t="s">
        <v>915</v>
      </c>
      <c r="AE394" s="136" t="s">
        <v>916</v>
      </c>
      <c r="AF394" s="136" t="s">
        <v>59</v>
      </c>
      <c r="AG394" s="136" t="s">
        <v>59</v>
      </c>
      <c r="AH394" s="138">
        <v>-535.79999999999995</v>
      </c>
      <c r="AI394" s="139" t="s">
        <v>58</v>
      </c>
      <c r="AJ394" s="139" t="s">
        <v>59</v>
      </c>
    </row>
    <row r="395" spans="1:36" ht="15.75" x14ac:dyDescent="0.25">
      <c r="A395" s="115">
        <v>6526</v>
      </c>
      <c r="B395" s="116" t="s">
        <v>36</v>
      </c>
      <c r="C395" s="117" t="s">
        <v>37</v>
      </c>
      <c r="D395" s="118" t="s">
        <v>36</v>
      </c>
      <c r="E395" s="119" t="s">
        <v>38</v>
      </c>
      <c r="F395" s="120" t="s">
        <v>39</v>
      </c>
      <c r="G395" s="118" t="s">
        <v>40</v>
      </c>
      <c r="H395" s="121" t="s">
        <v>41</v>
      </c>
      <c r="I395" s="120" t="s">
        <v>524</v>
      </c>
      <c r="J395" s="122" t="s">
        <v>525</v>
      </c>
      <c r="K395" s="123" t="s">
        <v>526</v>
      </c>
      <c r="L395" t="s">
        <v>63</v>
      </c>
      <c r="M395" s="124" t="s">
        <v>64</v>
      </c>
      <c r="N395" s="125" t="s">
        <v>65</v>
      </c>
      <c r="O395" s="126" t="s">
        <v>207</v>
      </c>
      <c r="P395" s="127" t="s">
        <v>1672</v>
      </c>
      <c r="Q395" s="128">
        <v>39</v>
      </c>
      <c r="R395" s="128">
        <v>39</v>
      </c>
      <c r="S395" s="129">
        <v>39</v>
      </c>
      <c r="T395" s="130" t="s">
        <v>1673</v>
      </c>
      <c r="U395" s="131">
        <v>45350</v>
      </c>
      <c r="V395" s="132">
        <v>45350</v>
      </c>
      <c r="W395" s="133">
        <v>3003</v>
      </c>
      <c r="X395" s="134" t="s">
        <v>1334</v>
      </c>
      <c r="Y395" s="135" t="s">
        <v>912</v>
      </c>
      <c r="Z395" s="128" t="s">
        <v>57</v>
      </c>
      <c r="AA395" s="128"/>
      <c r="AB395" s="136" t="s">
        <v>256</v>
      </c>
      <c r="AC395" s="137" t="s">
        <v>914</v>
      </c>
      <c r="AD395" s="136" t="s">
        <v>915</v>
      </c>
      <c r="AE395" s="136" t="s">
        <v>916</v>
      </c>
      <c r="AF395" s="136" t="s">
        <v>59</v>
      </c>
      <c r="AG395" s="136" t="s">
        <v>59</v>
      </c>
      <c r="AH395" s="138">
        <v>-39</v>
      </c>
      <c r="AI395" s="139" t="s">
        <v>58</v>
      </c>
      <c r="AJ395" s="139" t="s">
        <v>59</v>
      </c>
    </row>
    <row r="396" spans="1:36" ht="15.75" x14ac:dyDescent="0.25">
      <c r="A396" s="115">
        <v>6584</v>
      </c>
      <c r="B396" s="116" t="s">
        <v>36</v>
      </c>
      <c r="C396" s="117" t="s">
        <v>37</v>
      </c>
      <c r="D396" s="118" t="s">
        <v>36</v>
      </c>
      <c r="E396" s="119" t="s">
        <v>38</v>
      </c>
      <c r="F396" s="140" t="s">
        <v>39</v>
      </c>
      <c r="G396" s="118" t="s">
        <v>40</v>
      </c>
      <c r="H396" s="121" t="s">
        <v>41</v>
      </c>
      <c r="I396" s="120" t="s">
        <v>524</v>
      </c>
      <c r="J396" s="122" t="s">
        <v>525</v>
      </c>
      <c r="K396" s="123" t="s">
        <v>526</v>
      </c>
      <c r="L396" t="s">
        <v>1674</v>
      </c>
      <c r="M396" s="124" t="s">
        <v>1675</v>
      </c>
      <c r="N396" s="125" t="s">
        <v>1676</v>
      </c>
      <c r="O396" s="126" t="s">
        <v>929</v>
      </c>
      <c r="P396" s="127"/>
      <c r="Q396" s="128"/>
      <c r="R396" s="128"/>
      <c r="S396" s="129">
        <v>391.87</v>
      </c>
      <c r="T396" s="130" t="s">
        <v>1327</v>
      </c>
      <c r="U396" s="131">
        <v>45350</v>
      </c>
      <c r="V396" s="132"/>
      <c r="W396" s="133"/>
      <c r="X396" s="134" t="s">
        <v>1215</v>
      </c>
      <c r="Y396" s="135" t="s">
        <v>912</v>
      </c>
      <c r="Z396" s="128" t="s">
        <v>96</v>
      </c>
      <c r="AA396" s="128" t="s">
        <v>1677</v>
      </c>
      <c r="AB396" s="136" t="s">
        <v>256</v>
      </c>
      <c r="AC396" s="137" t="s">
        <v>952</v>
      </c>
      <c r="AD396" s="136" t="s">
        <v>915</v>
      </c>
      <c r="AE396" s="136" t="s">
        <v>916</v>
      </c>
      <c r="AF396" s="136" t="s">
        <v>157</v>
      </c>
      <c r="AG396" s="136" t="s">
        <v>59</v>
      </c>
      <c r="AH396" s="138">
        <v>-391.87</v>
      </c>
      <c r="AI396" s="139" t="s">
        <v>58</v>
      </c>
      <c r="AJ396" s="139" t="s">
        <v>157</v>
      </c>
    </row>
    <row r="397" spans="1:36" ht="15.75" x14ac:dyDescent="0.25">
      <c r="A397" s="115">
        <v>17234</v>
      </c>
      <c r="B397" s="116" t="s">
        <v>36</v>
      </c>
      <c r="C397" s="117" t="s">
        <v>37</v>
      </c>
      <c r="D397" s="118" t="s">
        <v>36</v>
      </c>
      <c r="E397" s="119" t="s">
        <v>38</v>
      </c>
      <c r="F397" s="120" t="s">
        <v>39</v>
      </c>
      <c r="G397" s="118" t="s">
        <v>40</v>
      </c>
      <c r="H397" s="121" t="s">
        <v>41</v>
      </c>
      <c r="I397" s="120" t="s">
        <v>301</v>
      </c>
      <c r="J397" s="122" t="s">
        <v>302</v>
      </c>
      <c r="K397" s="123" t="s">
        <v>303</v>
      </c>
      <c r="L397" t="s">
        <v>150</v>
      </c>
      <c r="M397" s="124" t="s">
        <v>151</v>
      </c>
      <c r="N397" s="125" t="s">
        <v>152</v>
      </c>
      <c r="O397" s="126" t="s">
        <v>121</v>
      </c>
      <c r="P397" s="127" t="s">
        <v>1400</v>
      </c>
      <c r="Q397" s="128">
        <v>1750</v>
      </c>
      <c r="R397" s="128">
        <v>0</v>
      </c>
      <c r="S397" s="129">
        <v>1750</v>
      </c>
      <c r="T397" s="130" t="s">
        <v>1401</v>
      </c>
      <c r="U397" s="131">
        <v>45448</v>
      </c>
      <c r="V397" s="132"/>
      <c r="W397" s="133">
        <v>9331</v>
      </c>
      <c r="X397" s="134" t="s">
        <v>312</v>
      </c>
      <c r="Y397" s="135" t="s">
        <v>912</v>
      </c>
      <c r="Z397" s="128" t="s">
        <v>57</v>
      </c>
      <c r="AA397" s="128"/>
      <c r="AB397" s="136" t="s">
        <v>256</v>
      </c>
      <c r="AC397" s="137" t="s">
        <v>914</v>
      </c>
      <c r="AD397" s="136" t="s">
        <v>961</v>
      </c>
      <c r="AE397" s="136" t="s">
        <v>962</v>
      </c>
      <c r="AF397" s="136" t="s">
        <v>59</v>
      </c>
      <c r="AG397" s="136" t="s">
        <v>59</v>
      </c>
      <c r="AH397" s="138">
        <v>-1750</v>
      </c>
      <c r="AI397" s="139" t="s">
        <v>58</v>
      </c>
      <c r="AJ397" s="139" t="s">
        <v>157</v>
      </c>
    </row>
    <row r="398" spans="1:36" ht="15.75" x14ac:dyDescent="0.25">
      <c r="A398" s="115">
        <v>7188</v>
      </c>
      <c r="B398" s="116" t="s">
        <v>36</v>
      </c>
      <c r="C398" s="117" t="s">
        <v>37</v>
      </c>
      <c r="D398" s="118" t="s">
        <v>36</v>
      </c>
      <c r="E398" s="119" t="s">
        <v>38</v>
      </c>
      <c r="F398" s="140" t="s">
        <v>39</v>
      </c>
      <c r="G398" s="118" t="s">
        <v>40</v>
      </c>
      <c r="H398" s="121" t="s">
        <v>41</v>
      </c>
      <c r="I398" s="120" t="s">
        <v>946</v>
      </c>
      <c r="J398" s="122" t="s">
        <v>947</v>
      </c>
      <c r="K398" s="123" t="s">
        <v>948</v>
      </c>
      <c r="L398" t="s">
        <v>984</v>
      </c>
      <c r="M398" s="124" t="s">
        <v>985</v>
      </c>
      <c r="N398" s="125" t="s">
        <v>986</v>
      </c>
      <c r="O398" s="126" t="s">
        <v>121</v>
      </c>
      <c r="P398" s="127" t="s">
        <v>1678</v>
      </c>
      <c r="Q398" s="128">
        <v>5.36</v>
      </c>
      <c r="R398" s="128">
        <v>5.36</v>
      </c>
      <c r="S398" s="129">
        <v>5.36</v>
      </c>
      <c r="T398" s="130" t="s">
        <v>1640</v>
      </c>
      <c r="U398" s="131">
        <v>45352</v>
      </c>
      <c r="V398" s="132">
        <v>45352</v>
      </c>
      <c r="W398" s="133">
        <v>3509</v>
      </c>
      <c r="X398" s="134" t="s">
        <v>1641</v>
      </c>
      <c r="Y398" s="135" t="s">
        <v>912</v>
      </c>
      <c r="Z398" s="128" t="s">
        <v>57</v>
      </c>
      <c r="AA398" s="128"/>
      <c r="AB398" s="136" t="s">
        <v>256</v>
      </c>
      <c r="AC398" s="137" t="s">
        <v>952</v>
      </c>
      <c r="AD398" s="136" t="s">
        <v>915</v>
      </c>
      <c r="AE398" s="136" t="s">
        <v>916</v>
      </c>
      <c r="AF398" s="136" t="s">
        <v>157</v>
      </c>
      <c r="AG398" s="136" t="s">
        <v>59</v>
      </c>
      <c r="AH398" s="138">
        <v>-5.36</v>
      </c>
      <c r="AI398" s="139" t="s">
        <v>58</v>
      </c>
      <c r="AJ398" s="139" t="s">
        <v>157</v>
      </c>
    </row>
    <row r="399" spans="1:36" ht="15.75" x14ac:dyDescent="0.25">
      <c r="A399" s="115">
        <v>7322</v>
      </c>
      <c r="B399" s="116" t="s">
        <v>36</v>
      </c>
      <c r="C399" s="117" t="s">
        <v>37</v>
      </c>
      <c r="D399" s="118" t="s">
        <v>36</v>
      </c>
      <c r="E399" s="119" t="s">
        <v>38</v>
      </c>
      <c r="F399" s="120" t="s">
        <v>39</v>
      </c>
      <c r="G399" s="118" t="s">
        <v>40</v>
      </c>
      <c r="H399" s="121" t="s">
        <v>41</v>
      </c>
      <c r="I399" s="120" t="s">
        <v>524</v>
      </c>
      <c r="J399" s="122" t="s">
        <v>525</v>
      </c>
      <c r="K399" s="123" t="s">
        <v>526</v>
      </c>
      <c r="L399" t="s">
        <v>262</v>
      </c>
      <c r="M399" s="124" t="s">
        <v>263</v>
      </c>
      <c r="N399" s="125" t="s">
        <v>264</v>
      </c>
      <c r="O399" s="126" t="s">
        <v>929</v>
      </c>
      <c r="P399" s="127">
        <v>63529</v>
      </c>
      <c r="Q399" s="128"/>
      <c r="R399" s="128"/>
      <c r="S399" s="129">
        <v>388.6</v>
      </c>
      <c r="T399" s="130" t="s">
        <v>1327</v>
      </c>
      <c r="U399" s="131">
        <v>45353</v>
      </c>
      <c r="V399" s="132"/>
      <c r="W399" s="133"/>
      <c r="X399" s="134" t="s">
        <v>165</v>
      </c>
      <c r="Y399" s="135" t="s">
        <v>912</v>
      </c>
      <c r="Z399" s="128" t="s">
        <v>96</v>
      </c>
      <c r="AA399" s="128" t="s">
        <v>932</v>
      </c>
      <c r="AB399" s="136" t="s">
        <v>256</v>
      </c>
      <c r="AC399" s="137" t="s">
        <v>914</v>
      </c>
      <c r="AD399" s="136" t="s">
        <v>915</v>
      </c>
      <c r="AE399" s="136" t="s">
        <v>916</v>
      </c>
      <c r="AF399" s="136" t="s">
        <v>59</v>
      </c>
      <c r="AG399" s="136" t="s">
        <v>59</v>
      </c>
      <c r="AH399" s="138">
        <v>-388.6</v>
      </c>
      <c r="AI399" s="139" t="s">
        <v>58</v>
      </c>
      <c r="AJ399" s="139" t="s">
        <v>59</v>
      </c>
    </row>
    <row r="400" spans="1:36" ht="15.75" x14ac:dyDescent="0.25">
      <c r="A400" s="115">
        <v>7618</v>
      </c>
      <c r="B400" s="116" t="s">
        <v>36</v>
      </c>
      <c r="C400" s="117" t="s">
        <v>37</v>
      </c>
      <c r="D400" s="118" t="s">
        <v>36</v>
      </c>
      <c r="E400" s="119" t="s">
        <v>38</v>
      </c>
      <c r="F400" s="140" t="s">
        <v>39</v>
      </c>
      <c r="G400" s="118" t="s">
        <v>40</v>
      </c>
      <c r="H400" s="121" t="s">
        <v>41</v>
      </c>
      <c r="I400" s="120" t="s">
        <v>1319</v>
      </c>
      <c r="J400" s="122" t="s">
        <v>1320</v>
      </c>
      <c r="K400" s="123" t="s">
        <v>1321</v>
      </c>
      <c r="L400" t="s">
        <v>262</v>
      </c>
      <c r="M400" s="124" t="s">
        <v>263</v>
      </c>
      <c r="N400" s="125" t="s">
        <v>264</v>
      </c>
      <c r="O400" s="126" t="s">
        <v>207</v>
      </c>
      <c r="P400" s="127" t="s">
        <v>1679</v>
      </c>
      <c r="Q400" s="128">
        <v>119.7</v>
      </c>
      <c r="R400" s="128">
        <v>119.7</v>
      </c>
      <c r="S400" s="129">
        <v>119.7</v>
      </c>
      <c r="T400" s="130" t="s">
        <v>1680</v>
      </c>
      <c r="U400" s="131">
        <v>45356</v>
      </c>
      <c r="V400" s="132">
        <v>45356</v>
      </c>
      <c r="W400" s="133">
        <v>8980</v>
      </c>
      <c r="X400" s="134" t="s">
        <v>1681</v>
      </c>
      <c r="Y400" s="135" t="s">
        <v>912</v>
      </c>
      <c r="Z400" s="128" t="s">
        <v>57</v>
      </c>
      <c r="AA400" s="128"/>
      <c r="AB400" s="136" t="s">
        <v>256</v>
      </c>
      <c r="AC400" s="137" t="s">
        <v>914</v>
      </c>
      <c r="AD400" s="136" t="s">
        <v>915</v>
      </c>
      <c r="AE400" s="136" t="s">
        <v>916</v>
      </c>
      <c r="AF400" s="136" t="s">
        <v>59</v>
      </c>
      <c r="AG400" s="136" t="s">
        <v>59</v>
      </c>
      <c r="AH400" s="138">
        <v>-119.7</v>
      </c>
      <c r="AI400" s="139" t="s">
        <v>58</v>
      </c>
      <c r="AJ400" s="139" t="s">
        <v>59</v>
      </c>
    </row>
    <row r="401" spans="1:36" ht="15.75" x14ac:dyDescent="0.25">
      <c r="A401" s="115">
        <v>7705</v>
      </c>
      <c r="B401" s="116" t="s">
        <v>36</v>
      </c>
      <c r="C401" s="117" t="s">
        <v>37</v>
      </c>
      <c r="D401" s="118" t="s">
        <v>36</v>
      </c>
      <c r="E401" s="119" t="s">
        <v>38</v>
      </c>
      <c r="F401" s="120" t="s">
        <v>39</v>
      </c>
      <c r="G401" s="118" t="s">
        <v>40</v>
      </c>
      <c r="H401" s="121" t="s">
        <v>41</v>
      </c>
      <c r="I401" s="120" t="s">
        <v>1319</v>
      </c>
      <c r="J401" s="122" t="s">
        <v>1320</v>
      </c>
      <c r="K401" s="123" t="s">
        <v>1321</v>
      </c>
      <c r="L401" t="s">
        <v>262</v>
      </c>
      <c r="M401" s="124" t="s">
        <v>263</v>
      </c>
      <c r="N401" s="125" t="s">
        <v>264</v>
      </c>
      <c r="O401" s="126" t="s">
        <v>207</v>
      </c>
      <c r="P401" s="127" t="s">
        <v>1682</v>
      </c>
      <c r="Q401" s="128">
        <v>45</v>
      </c>
      <c r="R401" s="128">
        <v>45</v>
      </c>
      <c r="S401" s="129">
        <v>45</v>
      </c>
      <c r="T401" s="130" t="s">
        <v>1683</v>
      </c>
      <c r="U401" s="131">
        <v>45357</v>
      </c>
      <c r="V401" s="132">
        <v>45357</v>
      </c>
      <c r="W401" s="133">
        <v>10485</v>
      </c>
      <c r="X401" s="134" t="s">
        <v>1326</v>
      </c>
      <c r="Y401" s="135" t="s">
        <v>912</v>
      </c>
      <c r="Z401" s="128" t="s">
        <v>57</v>
      </c>
      <c r="AA401" s="128"/>
      <c r="AB401" s="136" t="s">
        <v>256</v>
      </c>
      <c r="AC401" s="137" t="s">
        <v>914</v>
      </c>
      <c r="AD401" s="136" t="s">
        <v>915</v>
      </c>
      <c r="AE401" s="136" t="s">
        <v>916</v>
      </c>
      <c r="AF401" s="136" t="s">
        <v>59</v>
      </c>
      <c r="AG401" s="136" t="s">
        <v>59</v>
      </c>
      <c r="AH401" s="138">
        <v>-45</v>
      </c>
      <c r="AI401" s="139" t="s">
        <v>58</v>
      </c>
      <c r="AJ401" s="139" t="s">
        <v>59</v>
      </c>
    </row>
    <row r="402" spans="1:36" ht="15.75" x14ac:dyDescent="0.25">
      <c r="A402" s="115">
        <v>8355</v>
      </c>
      <c r="B402" s="116" t="s">
        <v>36</v>
      </c>
      <c r="C402" s="117" t="s">
        <v>37</v>
      </c>
      <c r="D402" s="118" t="s">
        <v>36</v>
      </c>
      <c r="E402" s="119" t="s">
        <v>38</v>
      </c>
      <c r="F402" s="120" t="s">
        <v>39</v>
      </c>
      <c r="G402" s="118" t="s">
        <v>40</v>
      </c>
      <c r="H402" s="121" t="s">
        <v>41</v>
      </c>
      <c r="I402" s="120" t="s">
        <v>1319</v>
      </c>
      <c r="J402" s="122" t="s">
        <v>1320</v>
      </c>
      <c r="K402" s="123" t="s">
        <v>1321</v>
      </c>
      <c r="L402" t="s">
        <v>262</v>
      </c>
      <c r="M402" s="124" t="s">
        <v>263</v>
      </c>
      <c r="N402" s="125" t="s">
        <v>264</v>
      </c>
      <c r="O402" s="126" t="s">
        <v>207</v>
      </c>
      <c r="P402" s="127" t="s">
        <v>1684</v>
      </c>
      <c r="Q402" s="128">
        <v>20</v>
      </c>
      <c r="R402" s="128">
        <v>20</v>
      </c>
      <c r="S402" s="129">
        <v>20</v>
      </c>
      <c r="T402" s="130" t="s">
        <v>1685</v>
      </c>
      <c r="U402" s="131">
        <v>45365</v>
      </c>
      <c r="V402" s="132">
        <v>45365</v>
      </c>
      <c r="W402" s="133">
        <v>10488</v>
      </c>
      <c r="X402" s="134" t="s">
        <v>1686</v>
      </c>
      <c r="Y402" s="135" t="s">
        <v>912</v>
      </c>
      <c r="Z402" s="128" t="s">
        <v>57</v>
      </c>
      <c r="AA402" s="128"/>
      <c r="AB402" s="136" t="s">
        <v>256</v>
      </c>
      <c r="AC402" s="137" t="s">
        <v>914</v>
      </c>
      <c r="AD402" s="136" t="s">
        <v>915</v>
      </c>
      <c r="AE402" s="136" t="s">
        <v>916</v>
      </c>
      <c r="AF402" s="136" t="s">
        <v>59</v>
      </c>
      <c r="AG402" s="136" t="s">
        <v>59</v>
      </c>
      <c r="AH402" s="138">
        <v>-20</v>
      </c>
      <c r="AI402" s="139" t="s">
        <v>58</v>
      </c>
      <c r="AJ402" s="139" t="s">
        <v>59</v>
      </c>
    </row>
    <row r="403" spans="1:36" ht="15.75" x14ac:dyDescent="0.25">
      <c r="A403" s="115">
        <v>8768</v>
      </c>
      <c r="B403" s="116" t="s">
        <v>36</v>
      </c>
      <c r="C403" s="117" t="s">
        <v>37</v>
      </c>
      <c r="D403" s="118" t="s">
        <v>36</v>
      </c>
      <c r="E403" s="119" t="s">
        <v>38</v>
      </c>
      <c r="F403" s="120" t="s">
        <v>39</v>
      </c>
      <c r="G403" s="118" t="s">
        <v>40</v>
      </c>
      <c r="H403" s="121" t="s">
        <v>41</v>
      </c>
      <c r="I403" s="120" t="s">
        <v>301</v>
      </c>
      <c r="J403" s="122" t="s">
        <v>302</v>
      </c>
      <c r="K403" s="123" t="s">
        <v>303</v>
      </c>
      <c r="L403" t="s">
        <v>1209</v>
      </c>
      <c r="M403" s="124" t="s">
        <v>1210</v>
      </c>
      <c r="N403" s="125" t="s">
        <v>1211</v>
      </c>
      <c r="O403" s="126" t="s">
        <v>121</v>
      </c>
      <c r="P403" s="127" t="s">
        <v>1687</v>
      </c>
      <c r="Q403" s="128">
        <v>22.9</v>
      </c>
      <c r="R403" s="128">
        <v>22.9</v>
      </c>
      <c r="S403" s="129">
        <v>22.9</v>
      </c>
      <c r="T403" s="130" t="s">
        <v>1688</v>
      </c>
      <c r="U403" s="131">
        <v>45370</v>
      </c>
      <c r="V403" s="132">
        <v>45370</v>
      </c>
      <c r="W403" s="133">
        <v>10673</v>
      </c>
      <c r="X403" s="134" t="s">
        <v>1689</v>
      </c>
      <c r="Y403" s="135" t="s">
        <v>912</v>
      </c>
      <c r="Z403" s="128" t="s">
        <v>57</v>
      </c>
      <c r="AA403" s="128"/>
      <c r="AB403" s="136" t="s">
        <v>256</v>
      </c>
      <c r="AC403" s="137" t="s">
        <v>914</v>
      </c>
      <c r="AD403" s="136" t="s">
        <v>961</v>
      </c>
      <c r="AE403" s="136" t="s">
        <v>962</v>
      </c>
      <c r="AF403" s="136" t="s">
        <v>59</v>
      </c>
      <c r="AG403" s="136" t="s">
        <v>59</v>
      </c>
      <c r="AH403" s="138">
        <v>-22.9</v>
      </c>
      <c r="AI403" s="139" t="s">
        <v>58</v>
      </c>
      <c r="AJ403" s="139" t="s">
        <v>157</v>
      </c>
    </row>
    <row r="404" spans="1:36" ht="15.75" x14ac:dyDescent="0.25">
      <c r="A404" s="115">
        <v>8779</v>
      </c>
      <c r="B404" s="116" t="s">
        <v>36</v>
      </c>
      <c r="C404" s="117" t="s">
        <v>37</v>
      </c>
      <c r="D404" s="118" t="s">
        <v>36</v>
      </c>
      <c r="E404" s="119" t="s">
        <v>38</v>
      </c>
      <c r="F404" s="120" t="s">
        <v>39</v>
      </c>
      <c r="G404" s="118" t="s">
        <v>40</v>
      </c>
      <c r="H404" s="121" t="s">
        <v>41</v>
      </c>
      <c r="I404" s="120" t="s">
        <v>301</v>
      </c>
      <c r="J404" s="122" t="s">
        <v>302</v>
      </c>
      <c r="K404" s="123" t="s">
        <v>303</v>
      </c>
      <c r="L404" t="s">
        <v>1674</v>
      </c>
      <c r="M404" s="124" t="s">
        <v>1675</v>
      </c>
      <c r="N404" s="125" t="s">
        <v>1676</v>
      </c>
      <c r="O404" s="126" t="s">
        <v>121</v>
      </c>
      <c r="P404" s="127" t="s">
        <v>1690</v>
      </c>
      <c r="Q404" s="128">
        <v>20</v>
      </c>
      <c r="R404" s="128">
        <v>20</v>
      </c>
      <c r="S404" s="129">
        <v>20</v>
      </c>
      <c r="T404" s="130" t="s">
        <v>1691</v>
      </c>
      <c r="U404" s="131">
        <v>45370</v>
      </c>
      <c r="V404" s="132">
        <v>45370</v>
      </c>
      <c r="W404" s="133">
        <v>10041</v>
      </c>
      <c r="X404" s="134" t="s">
        <v>1692</v>
      </c>
      <c r="Y404" s="135" t="s">
        <v>912</v>
      </c>
      <c r="Z404" s="128" t="s">
        <v>57</v>
      </c>
      <c r="AA404" s="128"/>
      <c r="AB404" s="136" t="s">
        <v>256</v>
      </c>
      <c r="AC404" s="137" t="s">
        <v>952</v>
      </c>
      <c r="AD404" s="136" t="s">
        <v>915</v>
      </c>
      <c r="AE404" s="136" t="s">
        <v>916</v>
      </c>
      <c r="AF404" s="136" t="s">
        <v>157</v>
      </c>
      <c r="AG404" s="136" t="s">
        <v>59</v>
      </c>
      <c r="AH404" s="138">
        <v>-20</v>
      </c>
      <c r="AI404" s="139" t="s">
        <v>58</v>
      </c>
      <c r="AJ404" s="139" t="s">
        <v>157</v>
      </c>
    </row>
    <row r="405" spans="1:36" ht="15.75" x14ac:dyDescent="0.25">
      <c r="A405" s="115">
        <v>8898</v>
      </c>
      <c r="B405" s="116" t="s">
        <v>36</v>
      </c>
      <c r="C405" s="117" t="s">
        <v>37</v>
      </c>
      <c r="D405" s="118" t="s">
        <v>36</v>
      </c>
      <c r="E405" s="119" t="s">
        <v>38</v>
      </c>
      <c r="F405" s="120" t="s">
        <v>39</v>
      </c>
      <c r="G405" s="118" t="s">
        <v>40</v>
      </c>
      <c r="H405" s="121" t="s">
        <v>41</v>
      </c>
      <c r="I405" s="120" t="s">
        <v>1319</v>
      </c>
      <c r="J405" s="122" t="s">
        <v>1320</v>
      </c>
      <c r="K405" s="123" t="s">
        <v>1321</v>
      </c>
      <c r="L405" t="s">
        <v>262</v>
      </c>
      <c r="M405" s="124" t="s">
        <v>263</v>
      </c>
      <c r="N405" s="125" t="s">
        <v>264</v>
      </c>
      <c r="O405" s="126" t="s">
        <v>207</v>
      </c>
      <c r="P405" s="127" t="s">
        <v>1693</v>
      </c>
      <c r="Q405" s="128">
        <v>15</v>
      </c>
      <c r="R405" s="128">
        <v>15</v>
      </c>
      <c r="S405" s="129">
        <v>15</v>
      </c>
      <c r="T405" s="130" t="s">
        <v>1694</v>
      </c>
      <c r="U405" s="131">
        <v>45371</v>
      </c>
      <c r="V405" s="132">
        <v>45371</v>
      </c>
      <c r="W405" s="133">
        <v>10670</v>
      </c>
      <c r="X405" s="134" t="s">
        <v>1507</v>
      </c>
      <c r="Y405" s="135" t="s">
        <v>912</v>
      </c>
      <c r="Z405" s="128" t="s">
        <v>57</v>
      </c>
      <c r="AA405" s="128"/>
      <c r="AB405" s="136" t="s">
        <v>256</v>
      </c>
      <c r="AC405" s="137" t="s">
        <v>914</v>
      </c>
      <c r="AD405" s="136" t="s">
        <v>915</v>
      </c>
      <c r="AE405" s="136" t="s">
        <v>916</v>
      </c>
      <c r="AF405" s="136" t="s">
        <v>59</v>
      </c>
      <c r="AG405" s="136" t="s">
        <v>59</v>
      </c>
      <c r="AH405" s="138">
        <v>-15</v>
      </c>
      <c r="AI405" s="139" t="s">
        <v>58</v>
      </c>
      <c r="AJ405" s="139" t="s">
        <v>59</v>
      </c>
    </row>
    <row r="406" spans="1:36" ht="15.75" x14ac:dyDescent="0.25">
      <c r="A406" s="115">
        <v>8955</v>
      </c>
      <c r="B406" s="116" t="s">
        <v>36</v>
      </c>
      <c r="C406" s="117" t="s">
        <v>37</v>
      </c>
      <c r="D406" s="118" t="s">
        <v>36</v>
      </c>
      <c r="E406" s="119" t="s">
        <v>38</v>
      </c>
      <c r="F406" s="120" t="s">
        <v>39</v>
      </c>
      <c r="G406" s="118" t="s">
        <v>40</v>
      </c>
      <c r="H406" s="121" t="s">
        <v>41</v>
      </c>
      <c r="I406" s="120" t="s">
        <v>1319</v>
      </c>
      <c r="J406" s="122" t="s">
        <v>1320</v>
      </c>
      <c r="K406" s="123" t="s">
        <v>1321</v>
      </c>
      <c r="L406" t="s">
        <v>262</v>
      </c>
      <c r="M406" s="124" t="s">
        <v>263</v>
      </c>
      <c r="N406" s="125" t="s">
        <v>264</v>
      </c>
      <c r="O406" s="126" t="s">
        <v>207</v>
      </c>
      <c r="P406" s="127" t="s">
        <v>1695</v>
      </c>
      <c r="Q406" s="128">
        <v>45</v>
      </c>
      <c r="R406" s="128">
        <v>45</v>
      </c>
      <c r="S406" s="129">
        <v>45</v>
      </c>
      <c r="T406" s="130" t="s">
        <v>1696</v>
      </c>
      <c r="U406" s="131">
        <v>45371</v>
      </c>
      <c r="V406" s="132">
        <v>45371</v>
      </c>
      <c r="W406" s="133">
        <v>10671</v>
      </c>
      <c r="X406" s="134" t="s">
        <v>1697</v>
      </c>
      <c r="Y406" s="135" t="s">
        <v>912</v>
      </c>
      <c r="Z406" s="128" t="s">
        <v>57</v>
      </c>
      <c r="AA406" s="128"/>
      <c r="AB406" s="136" t="s">
        <v>256</v>
      </c>
      <c r="AC406" s="137" t="s">
        <v>914</v>
      </c>
      <c r="AD406" s="136" t="s">
        <v>915</v>
      </c>
      <c r="AE406" s="136" t="s">
        <v>916</v>
      </c>
      <c r="AF406" s="136" t="s">
        <v>59</v>
      </c>
      <c r="AG406" s="136" t="s">
        <v>59</v>
      </c>
      <c r="AH406" s="138">
        <v>-45</v>
      </c>
      <c r="AI406" s="139" t="s">
        <v>58</v>
      </c>
      <c r="AJ406" s="139" t="s">
        <v>59</v>
      </c>
    </row>
    <row r="407" spans="1:36" ht="15.75" x14ac:dyDescent="0.25">
      <c r="A407" s="115">
        <v>9046</v>
      </c>
      <c r="B407" s="116" t="s">
        <v>36</v>
      </c>
      <c r="C407" s="117" t="s">
        <v>37</v>
      </c>
      <c r="D407" s="118" t="s">
        <v>36</v>
      </c>
      <c r="E407" s="119" t="s">
        <v>38</v>
      </c>
      <c r="F407" s="140" t="s">
        <v>39</v>
      </c>
      <c r="G407" s="118" t="s">
        <v>40</v>
      </c>
      <c r="H407" s="121" t="s">
        <v>41</v>
      </c>
      <c r="I407" s="120" t="s">
        <v>1319</v>
      </c>
      <c r="J407" s="122" t="s">
        <v>1320</v>
      </c>
      <c r="K407" s="123" t="s">
        <v>1321</v>
      </c>
      <c r="L407" t="s">
        <v>262</v>
      </c>
      <c r="M407" s="124" t="s">
        <v>263</v>
      </c>
      <c r="N407" s="125" t="s">
        <v>264</v>
      </c>
      <c r="O407" s="126" t="s">
        <v>207</v>
      </c>
      <c r="P407" s="127" t="s">
        <v>1698</v>
      </c>
      <c r="Q407" s="128">
        <v>30</v>
      </c>
      <c r="R407" s="128">
        <v>30</v>
      </c>
      <c r="S407" s="129">
        <v>30</v>
      </c>
      <c r="T407" s="130" t="s">
        <v>1699</v>
      </c>
      <c r="U407" s="131">
        <v>45372</v>
      </c>
      <c r="V407" s="132">
        <v>45372</v>
      </c>
      <c r="W407" s="133">
        <v>10672</v>
      </c>
      <c r="X407" s="134" t="s">
        <v>1700</v>
      </c>
      <c r="Y407" s="135" t="s">
        <v>912</v>
      </c>
      <c r="Z407" s="128" t="s">
        <v>57</v>
      </c>
      <c r="AA407" s="128"/>
      <c r="AB407" s="136" t="s">
        <v>256</v>
      </c>
      <c r="AC407" s="137" t="s">
        <v>914</v>
      </c>
      <c r="AD407" s="136" t="s">
        <v>915</v>
      </c>
      <c r="AE407" s="136" t="s">
        <v>916</v>
      </c>
      <c r="AF407" s="136" t="s">
        <v>59</v>
      </c>
      <c r="AG407" s="136" t="s">
        <v>59</v>
      </c>
      <c r="AH407" s="138">
        <v>-30</v>
      </c>
      <c r="AI407" s="139" t="s">
        <v>58</v>
      </c>
      <c r="AJ407" s="139" t="s">
        <v>59</v>
      </c>
    </row>
    <row r="408" spans="1:36" ht="15.75" x14ac:dyDescent="0.25">
      <c r="A408" s="115">
        <v>9062</v>
      </c>
      <c r="B408" s="116" t="s">
        <v>36</v>
      </c>
      <c r="C408" s="117" t="s">
        <v>37</v>
      </c>
      <c r="D408" s="118" t="s">
        <v>36</v>
      </c>
      <c r="E408" s="119" t="s">
        <v>38</v>
      </c>
      <c r="F408" s="120" t="s">
        <v>39</v>
      </c>
      <c r="G408" s="118" t="s">
        <v>40</v>
      </c>
      <c r="H408" s="121" t="s">
        <v>41</v>
      </c>
      <c r="I408" s="120" t="s">
        <v>1319</v>
      </c>
      <c r="J408" s="122" t="s">
        <v>1320</v>
      </c>
      <c r="K408" s="123" t="s">
        <v>1321</v>
      </c>
      <c r="L408" t="s">
        <v>63</v>
      </c>
      <c r="M408" s="124" t="s">
        <v>64</v>
      </c>
      <c r="N408" s="125" t="s">
        <v>65</v>
      </c>
      <c r="O408" s="126" t="s">
        <v>929</v>
      </c>
      <c r="P408" s="127">
        <v>64216</v>
      </c>
      <c r="Q408" s="128"/>
      <c r="R408" s="128"/>
      <c r="S408" s="129">
        <v>60</v>
      </c>
      <c r="T408" s="130" t="s">
        <v>1327</v>
      </c>
      <c r="U408" s="131">
        <v>45372</v>
      </c>
      <c r="V408" s="132"/>
      <c r="W408" s="133"/>
      <c r="X408" s="134" t="s">
        <v>1326</v>
      </c>
      <c r="Y408" s="135" t="s">
        <v>912</v>
      </c>
      <c r="Z408" s="128" t="s">
        <v>96</v>
      </c>
      <c r="AA408" s="128" t="s">
        <v>913</v>
      </c>
      <c r="AB408" s="136" t="s">
        <v>256</v>
      </c>
      <c r="AC408" s="137" t="s">
        <v>914</v>
      </c>
      <c r="AD408" s="136" t="s">
        <v>915</v>
      </c>
      <c r="AE408" s="136" t="s">
        <v>916</v>
      </c>
      <c r="AF408" s="136" t="s">
        <v>59</v>
      </c>
      <c r="AG408" s="136" t="s">
        <v>59</v>
      </c>
      <c r="AH408" s="138">
        <v>-60</v>
      </c>
      <c r="AI408" s="139" t="s">
        <v>58</v>
      </c>
      <c r="AJ408" s="139" t="s">
        <v>59</v>
      </c>
    </row>
    <row r="409" spans="1:36" ht="15.75" x14ac:dyDescent="0.25">
      <c r="A409" s="115">
        <v>9080</v>
      </c>
      <c r="B409" s="116" t="s">
        <v>36</v>
      </c>
      <c r="C409" s="117" t="s">
        <v>37</v>
      </c>
      <c r="D409" s="118" t="s">
        <v>36</v>
      </c>
      <c r="E409" s="119" t="s">
        <v>38</v>
      </c>
      <c r="F409" s="120" t="s">
        <v>39</v>
      </c>
      <c r="G409" s="118" t="s">
        <v>40</v>
      </c>
      <c r="H409" s="121" t="s">
        <v>41</v>
      </c>
      <c r="I409" s="120" t="s">
        <v>1319</v>
      </c>
      <c r="J409" s="122" t="s">
        <v>1320</v>
      </c>
      <c r="K409" s="123" t="s">
        <v>1321</v>
      </c>
      <c r="L409" t="s">
        <v>313</v>
      </c>
      <c r="M409" s="124" t="s">
        <v>314</v>
      </c>
      <c r="N409" s="125" t="s">
        <v>315</v>
      </c>
      <c r="O409" s="126" t="s">
        <v>121</v>
      </c>
      <c r="P409" s="127" t="s">
        <v>1701</v>
      </c>
      <c r="Q409" s="128">
        <v>664.68</v>
      </c>
      <c r="R409" s="128">
        <v>664.68</v>
      </c>
      <c r="S409" s="129">
        <v>664.68</v>
      </c>
      <c r="T409" s="130" t="s">
        <v>1702</v>
      </c>
      <c r="U409" s="131">
        <v>45373</v>
      </c>
      <c r="V409" s="132">
        <v>45376</v>
      </c>
      <c r="W409" s="133">
        <v>2538</v>
      </c>
      <c r="X409" s="134" t="s">
        <v>1703</v>
      </c>
      <c r="Y409" s="135" t="s">
        <v>912</v>
      </c>
      <c r="Z409" s="128" t="s">
        <v>57</v>
      </c>
      <c r="AA409" s="128"/>
      <c r="AB409" s="136" t="s">
        <v>256</v>
      </c>
      <c r="AC409" s="137" t="s">
        <v>914</v>
      </c>
      <c r="AD409" s="136" t="s">
        <v>915</v>
      </c>
      <c r="AE409" s="136" t="s">
        <v>916</v>
      </c>
      <c r="AF409" s="136" t="s">
        <v>59</v>
      </c>
      <c r="AG409" s="136" t="s">
        <v>59</v>
      </c>
      <c r="AH409" s="138">
        <v>-664.68</v>
      </c>
      <c r="AI409" s="139" t="s">
        <v>58</v>
      </c>
      <c r="AJ409" s="139" t="s">
        <v>59</v>
      </c>
    </row>
    <row r="410" spans="1:36" ht="15.75" x14ac:dyDescent="0.25">
      <c r="A410" s="115">
        <v>9216</v>
      </c>
      <c r="B410" s="116" t="s">
        <v>36</v>
      </c>
      <c r="C410" s="117" t="s">
        <v>37</v>
      </c>
      <c r="D410" s="118" t="s">
        <v>36</v>
      </c>
      <c r="E410" s="119" t="s">
        <v>38</v>
      </c>
      <c r="F410" s="120" t="s">
        <v>39</v>
      </c>
      <c r="G410" s="118" t="s">
        <v>40</v>
      </c>
      <c r="H410" s="121" t="s">
        <v>41</v>
      </c>
      <c r="I410" s="120" t="s">
        <v>301</v>
      </c>
      <c r="J410" s="122" t="s">
        <v>302</v>
      </c>
      <c r="K410" s="123" t="s">
        <v>303</v>
      </c>
      <c r="L410" t="s">
        <v>1209</v>
      </c>
      <c r="M410" s="124" t="s">
        <v>1210</v>
      </c>
      <c r="N410" s="125" t="s">
        <v>1211</v>
      </c>
      <c r="O410" s="126" t="s">
        <v>121</v>
      </c>
      <c r="P410" s="127" t="s">
        <v>1704</v>
      </c>
      <c r="Q410" s="128">
        <v>5.9</v>
      </c>
      <c r="R410" s="128">
        <v>5.9</v>
      </c>
      <c r="S410" s="129">
        <v>5.9</v>
      </c>
      <c r="T410" s="130" t="s">
        <v>256</v>
      </c>
      <c r="U410" s="131">
        <v>45376</v>
      </c>
      <c r="V410" s="132">
        <v>45376</v>
      </c>
      <c r="W410" s="133">
        <v>9401</v>
      </c>
      <c r="X410" s="134" t="s">
        <v>1705</v>
      </c>
      <c r="Y410" s="135" t="s">
        <v>912</v>
      </c>
      <c r="Z410" s="128" t="s">
        <v>57</v>
      </c>
      <c r="AA410" s="128"/>
      <c r="AB410" s="136" t="s">
        <v>256</v>
      </c>
      <c r="AC410" s="137" t="s">
        <v>914</v>
      </c>
      <c r="AD410" s="136" t="s">
        <v>961</v>
      </c>
      <c r="AE410" s="136" t="s">
        <v>962</v>
      </c>
      <c r="AF410" s="136" t="s">
        <v>59</v>
      </c>
      <c r="AG410" s="136" t="s">
        <v>59</v>
      </c>
      <c r="AH410" s="138">
        <v>-5.9</v>
      </c>
      <c r="AI410" s="139" t="s">
        <v>58</v>
      </c>
      <c r="AJ410" s="139" t="s">
        <v>157</v>
      </c>
    </row>
    <row r="411" spans="1:36" ht="15.75" x14ac:dyDescent="0.25">
      <c r="A411" s="115">
        <v>9276</v>
      </c>
      <c r="B411" s="116" t="s">
        <v>36</v>
      </c>
      <c r="C411" s="117" t="s">
        <v>37</v>
      </c>
      <c r="D411" s="118" t="s">
        <v>36</v>
      </c>
      <c r="E411" s="119" t="s">
        <v>38</v>
      </c>
      <c r="F411" s="140" t="s">
        <v>39</v>
      </c>
      <c r="G411" s="118" t="s">
        <v>40</v>
      </c>
      <c r="H411" s="121" t="s">
        <v>41</v>
      </c>
      <c r="I411" s="120" t="s">
        <v>301</v>
      </c>
      <c r="J411" s="122" t="s">
        <v>302</v>
      </c>
      <c r="K411" s="123" t="s">
        <v>303</v>
      </c>
      <c r="L411" t="s">
        <v>1209</v>
      </c>
      <c r="M411" s="124" t="s">
        <v>1210</v>
      </c>
      <c r="N411" s="125" t="s">
        <v>1211</v>
      </c>
      <c r="O411" s="126" t="s">
        <v>121</v>
      </c>
      <c r="P411" s="127" t="s">
        <v>1706</v>
      </c>
      <c r="Q411" s="128">
        <v>77</v>
      </c>
      <c r="R411" s="128">
        <v>77</v>
      </c>
      <c r="S411" s="129">
        <v>77</v>
      </c>
      <c r="T411" s="130" t="s">
        <v>1707</v>
      </c>
      <c r="U411" s="131">
        <v>45376</v>
      </c>
      <c r="V411" s="132">
        <v>45378</v>
      </c>
      <c r="W411" s="133">
        <v>10146</v>
      </c>
      <c r="X411" s="134" t="s">
        <v>1708</v>
      </c>
      <c r="Y411" s="135" t="s">
        <v>912</v>
      </c>
      <c r="Z411" s="128" t="s">
        <v>57</v>
      </c>
      <c r="AA411" s="128"/>
      <c r="AB411" s="136" t="s">
        <v>256</v>
      </c>
      <c r="AC411" s="137" t="s">
        <v>914</v>
      </c>
      <c r="AD411" s="136" t="s">
        <v>961</v>
      </c>
      <c r="AE411" s="136" t="s">
        <v>962</v>
      </c>
      <c r="AF411" s="136" t="s">
        <v>59</v>
      </c>
      <c r="AG411" s="136" t="s">
        <v>59</v>
      </c>
      <c r="AH411" s="138">
        <v>-77</v>
      </c>
      <c r="AI411" s="139" t="s">
        <v>58</v>
      </c>
      <c r="AJ411" s="139" t="s">
        <v>157</v>
      </c>
    </row>
    <row r="412" spans="1:36" ht="15.75" x14ac:dyDescent="0.25">
      <c r="A412" s="115">
        <v>9315</v>
      </c>
      <c r="B412" s="116" t="s">
        <v>36</v>
      </c>
      <c r="C412" s="117" t="s">
        <v>37</v>
      </c>
      <c r="D412" s="118" t="s">
        <v>36</v>
      </c>
      <c r="E412" s="119" t="s">
        <v>38</v>
      </c>
      <c r="F412" s="140" t="s">
        <v>39</v>
      </c>
      <c r="G412" s="118" t="s">
        <v>40</v>
      </c>
      <c r="H412" s="121" t="s">
        <v>41</v>
      </c>
      <c r="I412" s="120" t="s">
        <v>301</v>
      </c>
      <c r="J412" s="122" t="s">
        <v>302</v>
      </c>
      <c r="K412" s="123" t="s">
        <v>303</v>
      </c>
      <c r="L412" t="s">
        <v>1209</v>
      </c>
      <c r="M412" s="124" t="s">
        <v>1210</v>
      </c>
      <c r="N412" s="125" t="s">
        <v>1211</v>
      </c>
      <c r="O412" s="126" t="s">
        <v>121</v>
      </c>
      <c r="P412" s="127" t="s">
        <v>1709</v>
      </c>
      <c r="Q412" s="128">
        <v>4.9000000000000004</v>
      </c>
      <c r="R412" s="128">
        <v>4.9000000000000004</v>
      </c>
      <c r="S412" s="129">
        <v>4.9000000000000004</v>
      </c>
      <c r="T412" s="130" t="s">
        <v>1710</v>
      </c>
      <c r="U412" s="131">
        <v>45376</v>
      </c>
      <c r="V412" s="132">
        <v>45376</v>
      </c>
      <c r="W412" s="133">
        <v>8573</v>
      </c>
      <c r="X412" s="134" t="s">
        <v>1711</v>
      </c>
      <c r="Y412" s="135" t="s">
        <v>912</v>
      </c>
      <c r="Z412" s="128" t="s">
        <v>57</v>
      </c>
      <c r="AA412" s="128"/>
      <c r="AB412" s="136" t="s">
        <v>256</v>
      </c>
      <c r="AC412" s="137" t="s">
        <v>914</v>
      </c>
      <c r="AD412" s="136" t="s">
        <v>961</v>
      </c>
      <c r="AE412" s="136" t="s">
        <v>962</v>
      </c>
      <c r="AF412" s="136" t="s">
        <v>59</v>
      </c>
      <c r="AG412" s="136" t="s">
        <v>59</v>
      </c>
      <c r="AH412" s="138">
        <v>-4.9000000000000004</v>
      </c>
      <c r="AI412" s="139" t="s">
        <v>58</v>
      </c>
      <c r="AJ412" s="139" t="s">
        <v>157</v>
      </c>
    </row>
    <row r="413" spans="1:36" ht="15.75" x14ac:dyDescent="0.25">
      <c r="A413" s="115">
        <v>9333</v>
      </c>
      <c r="B413" s="116" t="s">
        <v>36</v>
      </c>
      <c r="C413" s="117" t="s">
        <v>37</v>
      </c>
      <c r="D413" s="118" t="s">
        <v>36</v>
      </c>
      <c r="E413" s="119" t="s">
        <v>38</v>
      </c>
      <c r="F413" s="120" t="s">
        <v>39</v>
      </c>
      <c r="G413" s="118" t="s">
        <v>40</v>
      </c>
      <c r="H413" s="121" t="s">
        <v>41</v>
      </c>
      <c r="I413" s="120" t="s">
        <v>524</v>
      </c>
      <c r="J413" s="122" t="s">
        <v>525</v>
      </c>
      <c r="K413" s="123" t="s">
        <v>526</v>
      </c>
      <c r="L413" t="s">
        <v>262</v>
      </c>
      <c r="M413" s="124" t="s">
        <v>263</v>
      </c>
      <c r="N413" s="125" t="s">
        <v>264</v>
      </c>
      <c r="O413" s="126" t="s">
        <v>207</v>
      </c>
      <c r="P413" s="127" t="s">
        <v>1712</v>
      </c>
      <c r="Q413" s="128">
        <v>133</v>
      </c>
      <c r="R413" s="128">
        <v>133</v>
      </c>
      <c r="S413" s="129">
        <v>133</v>
      </c>
      <c r="T413" s="130" t="s">
        <v>1713</v>
      </c>
      <c r="U413" s="131">
        <v>45377</v>
      </c>
      <c r="V413" s="132">
        <v>45377</v>
      </c>
      <c r="W413" s="133">
        <v>10536</v>
      </c>
      <c r="X413" s="134" t="s">
        <v>1468</v>
      </c>
      <c r="Y413" s="135" t="s">
        <v>912</v>
      </c>
      <c r="Z413" s="128" t="s">
        <v>57</v>
      </c>
      <c r="AA413" s="128"/>
      <c r="AB413" s="136" t="s">
        <v>256</v>
      </c>
      <c r="AC413" s="137" t="s">
        <v>914</v>
      </c>
      <c r="AD413" s="136" t="s">
        <v>915</v>
      </c>
      <c r="AE413" s="136" t="s">
        <v>916</v>
      </c>
      <c r="AF413" s="136" t="s">
        <v>59</v>
      </c>
      <c r="AG413" s="136" t="s">
        <v>59</v>
      </c>
      <c r="AH413" s="138">
        <v>-133</v>
      </c>
      <c r="AI413" s="139" t="s">
        <v>58</v>
      </c>
      <c r="AJ413" s="139" t="s">
        <v>59</v>
      </c>
    </row>
    <row r="414" spans="1:36" ht="15.75" x14ac:dyDescent="0.25">
      <c r="A414" s="115">
        <v>10321</v>
      </c>
      <c r="B414" s="116" t="s">
        <v>36</v>
      </c>
      <c r="C414" s="117" t="s">
        <v>37</v>
      </c>
      <c r="D414" s="118" t="s">
        <v>36</v>
      </c>
      <c r="E414" s="119" t="s">
        <v>38</v>
      </c>
      <c r="F414" s="120" t="s">
        <v>39</v>
      </c>
      <c r="G414" s="118" t="s">
        <v>40</v>
      </c>
      <c r="H414" s="121" t="s">
        <v>41</v>
      </c>
      <c r="I414" s="120" t="s">
        <v>42</v>
      </c>
      <c r="J414" s="122" t="s">
        <v>43</v>
      </c>
      <c r="K414" s="123" t="s">
        <v>44</v>
      </c>
      <c r="L414" t="s">
        <v>262</v>
      </c>
      <c r="M414" s="124" t="s">
        <v>263</v>
      </c>
      <c r="N414" s="125" t="s">
        <v>264</v>
      </c>
      <c r="O414" s="126" t="s">
        <v>207</v>
      </c>
      <c r="P414" s="127" t="s">
        <v>1714</v>
      </c>
      <c r="Q414" s="128">
        <v>47.2</v>
      </c>
      <c r="R414" s="128">
        <v>47.2</v>
      </c>
      <c r="S414" s="129">
        <v>47.2</v>
      </c>
      <c r="T414" s="130" t="s">
        <v>1715</v>
      </c>
      <c r="U414" s="131">
        <v>45384</v>
      </c>
      <c r="V414" s="132">
        <v>45384</v>
      </c>
      <c r="W414" s="133">
        <v>8259</v>
      </c>
      <c r="X414" s="134" t="s">
        <v>1716</v>
      </c>
      <c r="Y414" s="135" t="s">
        <v>912</v>
      </c>
      <c r="Z414" s="128" t="s">
        <v>57</v>
      </c>
      <c r="AA414" s="128"/>
      <c r="AB414" s="136" t="s">
        <v>256</v>
      </c>
      <c r="AC414" s="137" t="s">
        <v>914</v>
      </c>
      <c r="AD414" s="136" t="s">
        <v>915</v>
      </c>
      <c r="AE414" s="136" t="s">
        <v>916</v>
      </c>
      <c r="AF414" s="136" t="s">
        <v>59</v>
      </c>
      <c r="AG414" s="136" t="s">
        <v>59</v>
      </c>
      <c r="AH414" s="138">
        <v>-47.2</v>
      </c>
      <c r="AI414" s="139" t="s">
        <v>58</v>
      </c>
      <c r="AJ414" s="139" t="s">
        <v>59</v>
      </c>
    </row>
    <row r="415" spans="1:36" ht="15.75" x14ac:dyDescent="0.25">
      <c r="A415" s="115">
        <v>10322</v>
      </c>
      <c r="B415" s="116" t="s">
        <v>36</v>
      </c>
      <c r="C415" s="117" t="s">
        <v>37</v>
      </c>
      <c r="D415" s="118" t="s">
        <v>36</v>
      </c>
      <c r="E415" s="119" t="s">
        <v>38</v>
      </c>
      <c r="F415" s="120" t="s">
        <v>39</v>
      </c>
      <c r="G415" s="118" t="s">
        <v>40</v>
      </c>
      <c r="H415" s="121" t="s">
        <v>41</v>
      </c>
      <c r="I415" s="120" t="s">
        <v>524</v>
      </c>
      <c r="J415" s="122" t="s">
        <v>525</v>
      </c>
      <c r="K415" s="123" t="s">
        <v>526</v>
      </c>
      <c r="L415" t="s">
        <v>83</v>
      </c>
      <c r="M415" s="124" t="s">
        <v>84</v>
      </c>
      <c r="N415" s="125" t="s">
        <v>85</v>
      </c>
      <c r="O415" s="126" t="s">
        <v>929</v>
      </c>
      <c r="P415" s="127">
        <v>103524</v>
      </c>
      <c r="Q415" s="128"/>
      <c r="R415" s="128"/>
      <c r="S415" s="129">
        <v>71.5</v>
      </c>
      <c r="T415" s="130" t="s">
        <v>1327</v>
      </c>
      <c r="U415" s="131">
        <v>45384</v>
      </c>
      <c r="V415" s="132"/>
      <c r="W415" s="133">
        <v>3976</v>
      </c>
      <c r="X415" s="134" t="s">
        <v>803</v>
      </c>
      <c r="Y415" s="135" t="s">
        <v>912</v>
      </c>
      <c r="Z415" s="128" t="s">
        <v>96</v>
      </c>
      <c r="AA415" s="128" t="s">
        <v>939</v>
      </c>
      <c r="AB415" s="136" t="s">
        <v>256</v>
      </c>
      <c r="AC415" s="137" t="s">
        <v>914</v>
      </c>
      <c r="AD415" s="136" t="s">
        <v>915</v>
      </c>
      <c r="AE415" s="136" t="s">
        <v>916</v>
      </c>
      <c r="AF415" s="136" t="s">
        <v>59</v>
      </c>
      <c r="AG415" s="136" t="s">
        <v>59</v>
      </c>
      <c r="AH415" s="138">
        <v>-71.5</v>
      </c>
      <c r="AI415" s="139" t="s">
        <v>58</v>
      </c>
      <c r="AJ415" s="139" t="s">
        <v>59</v>
      </c>
    </row>
    <row r="416" spans="1:36" ht="15.75" x14ac:dyDescent="0.25">
      <c r="A416" s="115">
        <v>22863</v>
      </c>
      <c r="B416" s="116" t="s">
        <v>36</v>
      </c>
      <c r="C416" s="117" t="s">
        <v>37</v>
      </c>
      <c r="D416" s="118" t="s">
        <v>36</v>
      </c>
      <c r="E416" s="119" t="s">
        <v>38</v>
      </c>
      <c r="F416" s="120" t="s">
        <v>39</v>
      </c>
      <c r="G416" s="118" t="s">
        <v>40</v>
      </c>
      <c r="H416" s="121" t="s">
        <v>41</v>
      </c>
      <c r="I416" s="120" t="s">
        <v>301</v>
      </c>
      <c r="J416" s="122" t="s">
        <v>302</v>
      </c>
      <c r="K416" s="123" t="s">
        <v>303</v>
      </c>
      <c r="L416" t="s">
        <v>150</v>
      </c>
      <c r="M416" s="124" t="s">
        <v>151</v>
      </c>
      <c r="N416" s="125" t="s">
        <v>152</v>
      </c>
      <c r="O416" s="126" t="s">
        <v>121</v>
      </c>
      <c r="P416" s="127" t="s">
        <v>1402</v>
      </c>
      <c r="Q416" s="128">
        <v>1750</v>
      </c>
      <c r="R416" s="128">
        <v>1750</v>
      </c>
      <c r="S416" s="129">
        <v>1750</v>
      </c>
      <c r="T416" s="130" t="s">
        <v>1403</v>
      </c>
      <c r="U416" s="131">
        <v>45510</v>
      </c>
      <c r="V416" s="132">
        <v>45510</v>
      </c>
      <c r="W416" s="133">
        <v>9331</v>
      </c>
      <c r="X416" s="134" t="s">
        <v>312</v>
      </c>
      <c r="Y416" s="135" t="s">
        <v>912</v>
      </c>
      <c r="Z416" s="128" t="s">
        <v>57</v>
      </c>
      <c r="AA416" s="128"/>
      <c r="AB416" s="136" t="s">
        <v>256</v>
      </c>
      <c r="AC416" s="137" t="s">
        <v>914</v>
      </c>
      <c r="AD416" s="136" t="s">
        <v>961</v>
      </c>
      <c r="AE416" s="136" t="s">
        <v>962</v>
      </c>
      <c r="AF416" s="136" t="s">
        <v>59</v>
      </c>
      <c r="AG416" s="136" t="s">
        <v>59</v>
      </c>
      <c r="AH416" s="138">
        <v>-1750</v>
      </c>
      <c r="AI416" s="139" t="s">
        <v>58</v>
      </c>
      <c r="AJ416" s="139" t="s">
        <v>157</v>
      </c>
    </row>
    <row r="417" spans="1:36" ht="15.75" x14ac:dyDescent="0.25">
      <c r="A417" s="115">
        <v>10576</v>
      </c>
      <c r="B417" s="116" t="s">
        <v>36</v>
      </c>
      <c r="C417" s="117" t="s">
        <v>37</v>
      </c>
      <c r="D417" s="118" t="s">
        <v>36</v>
      </c>
      <c r="E417" s="119" t="s">
        <v>38</v>
      </c>
      <c r="F417" s="120" t="s">
        <v>39</v>
      </c>
      <c r="G417" s="118" t="s">
        <v>40</v>
      </c>
      <c r="H417" s="121" t="s">
        <v>41</v>
      </c>
      <c r="I417" s="120" t="s">
        <v>42</v>
      </c>
      <c r="J417" s="122" t="s">
        <v>43</v>
      </c>
      <c r="K417" s="123" t="s">
        <v>44</v>
      </c>
      <c r="L417" t="s">
        <v>262</v>
      </c>
      <c r="M417" s="124" t="s">
        <v>263</v>
      </c>
      <c r="N417" s="125" t="s">
        <v>264</v>
      </c>
      <c r="O417" s="126" t="s">
        <v>207</v>
      </c>
      <c r="P417" s="127" t="s">
        <v>1717</v>
      </c>
      <c r="Q417" s="128">
        <v>54</v>
      </c>
      <c r="R417" s="128">
        <v>54</v>
      </c>
      <c r="S417" s="129">
        <v>54</v>
      </c>
      <c r="T417" s="130" t="s">
        <v>1718</v>
      </c>
      <c r="U417" s="131">
        <v>45386</v>
      </c>
      <c r="V417" s="132">
        <v>45386</v>
      </c>
      <c r="W417" s="133">
        <v>10742</v>
      </c>
      <c r="X417" s="134" t="s">
        <v>1314</v>
      </c>
      <c r="Y417" s="135" t="s">
        <v>912</v>
      </c>
      <c r="Z417" s="128" t="s">
        <v>57</v>
      </c>
      <c r="AA417" s="128"/>
      <c r="AB417" s="136" t="s">
        <v>256</v>
      </c>
      <c r="AC417" s="137" t="s">
        <v>914</v>
      </c>
      <c r="AD417" s="136" t="s">
        <v>915</v>
      </c>
      <c r="AE417" s="136" t="s">
        <v>916</v>
      </c>
      <c r="AF417" s="136" t="s">
        <v>59</v>
      </c>
      <c r="AG417" s="136" t="s">
        <v>59</v>
      </c>
      <c r="AH417" s="138">
        <v>-54</v>
      </c>
      <c r="AI417" s="139" t="s">
        <v>58</v>
      </c>
      <c r="AJ417" s="139" t="s">
        <v>59</v>
      </c>
    </row>
    <row r="418" spans="1:36" ht="15.75" x14ac:dyDescent="0.25">
      <c r="A418" s="115">
        <v>10622</v>
      </c>
      <c r="B418" s="116" t="s">
        <v>36</v>
      </c>
      <c r="C418" s="117" t="s">
        <v>37</v>
      </c>
      <c r="D418" s="118" t="s">
        <v>36</v>
      </c>
      <c r="E418" s="119" t="s">
        <v>38</v>
      </c>
      <c r="F418" s="120" t="s">
        <v>39</v>
      </c>
      <c r="G418" s="118" t="s">
        <v>40</v>
      </c>
      <c r="H418" s="121" t="s">
        <v>41</v>
      </c>
      <c r="I418" s="120" t="s">
        <v>1319</v>
      </c>
      <c r="J418" s="122" t="s">
        <v>1320</v>
      </c>
      <c r="K418" s="123" t="s">
        <v>1321</v>
      </c>
      <c r="L418" t="s">
        <v>262</v>
      </c>
      <c r="M418" s="124" t="s">
        <v>263</v>
      </c>
      <c r="N418" s="125" t="s">
        <v>264</v>
      </c>
      <c r="O418" s="126" t="s">
        <v>207</v>
      </c>
      <c r="P418" s="127" t="s">
        <v>1719</v>
      </c>
      <c r="Q418" s="128">
        <v>64</v>
      </c>
      <c r="R418" s="128">
        <v>64</v>
      </c>
      <c r="S418" s="129">
        <v>64</v>
      </c>
      <c r="T418" s="130" t="s">
        <v>1720</v>
      </c>
      <c r="U418" s="131">
        <v>45386</v>
      </c>
      <c r="V418" s="132">
        <v>45386</v>
      </c>
      <c r="W418" s="133">
        <v>10191</v>
      </c>
      <c r="X418" s="134" t="s">
        <v>1721</v>
      </c>
      <c r="Y418" s="135" t="s">
        <v>912</v>
      </c>
      <c r="Z418" s="128" t="s">
        <v>57</v>
      </c>
      <c r="AA418" s="128"/>
      <c r="AB418" s="136" t="s">
        <v>256</v>
      </c>
      <c r="AC418" s="137" t="s">
        <v>914</v>
      </c>
      <c r="AD418" s="136" t="s">
        <v>915</v>
      </c>
      <c r="AE418" s="136" t="s">
        <v>916</v>
      </c>
      <c r="AF418" s="136" t="s">
        <v>59</v>
      </c>
      <c r="AG418" s="136" t="s">
        <v>59</v>
      </c>
      <c r="AH418" s="138">
        <v>-64</v>
      </c>
      <c r="AI418" s="139" t="s">
        <v>58</v>
      </c>
      <c r="AJ418" s="139" t="s">
        <v>59</v>
      </c>
    </row>
    <row r="419" spans="1:36" ht="15.75" x14ac:dyDescent="0.25">
      <c r="A419" s="115">
        <v>32417</v>
      </c>
      <c r="B419" s="116" t="s">
        <v>36</v>
      </c>
      <c r="C419" s="117" t="s">
        <v>37</v>
      </c>
      <c r="D419" s="118" t="s">
        <v>36</v>
      </c>
      <c r="E419" s="119" t="s">
        <v>38</v>
      </c>
      <c r="F419" s="120" t="s">
        <v>39</v>
      </c>
      <c r="G419" s="118" t="s">
        <v>40</v>
      </c>
      <c r="H419" s="121" t="s">
        <v>41</v>
      </c>
      <c r="I419" s="120" t="s">
        <v>301</v>
      </c>
      <c r="J419" s="122" t="s">
        <v>302</v>
      </c>
      <c r="K419" s="123" t="s">
        <v>303</v>
      </c>
      <c r="L419" t="s">
        <v>552</v>
      </c>
      <c r="M419" s="124" t="s">
        <v>553</v>
      </c>
      <c r="N419" s="125" t="s">
        <v>554</v>
      </c>
      <c r="O419" t="s">
        <v>929</v>
      </c>
      <c r="P419" s="127"/>
      <c r="S419" s="141">
        <v>1000</v>
      </c>
      <c r="T419" s="142" t="s">
        <v>1327</v>
      </c>
      <c r="U419" s="143">
        <v>45617.567835648151</v>
      </c>
      <c r="X419" s="144" t="s">
        <v>1722</v>
      </c>
      <c r="Y419" s="135" t="s">
        <v>912</v>
      </c>
      <c r="Z419" t="s">
        <v>96</v>
      </c>
      <c r="AA419" t="s">
        <v>969</v>
      </c>
      <c r="AB419" s="125"/>
      <c r="AC419" s="145"/>
      <c r="AD419" s="125"/>
      <c r="AE419" s="125"/>
      <c r="AF419" s="125"/>
      <c r="AG419" s="125"/>
      <c r="AH419" s="138">
        <v>-1000</v>
      </c>
      <c r="AI419" s="139" t="s">
        <v>58</v>
      </c>
      <c r="AJ419" s="139" t="s">
        <v>157</v>
      </c>
    </row>
    <row r="420" spans="1:36" ht="15.75" x14ac:dyDescent="0.25">
      <c r="A420" s="115">
        <v>11697</v>
      </c>
      <c r="B420" s="116" t="s">
        <v>36</v>
      </c>
      <c r="C420" s="117" t="s">
        <v>37</v>
      </c>
      <c r="D420" s="118" t="s">
        <v>36</v>
      </c>
      <c r="E420" s="119" t="s">
        <v>38</v>
      </c>
      <c r="F420" s="120" t="s">
        <v>39</v>
      </c>
      <c r="G420" s="118" t="s">
        <v>40</v>
      </c>
      <c r="H420" s="121" t="s">
        <v>41</v>
      </c>
      <c r="I420" s="120" t="s">
        <v>301</v>
      </c>
      <c r="J420" s="122" t="s">
        <v>302</v>
      </c>
      <c r="K420" s="123" t="s">
        <v>303</v>
      </c>
      <c r="L420" t="s">
        <v>63</v>
      </c>
      <c r="M420" s="124" t="s">
        <v>64</v>
      </c>
      <c r="N420" s="125" t="s">
        <v>65</v>
      </c>
      <c r="O420" s="126" t="s">
        <v>929</v>
      </c>
      <c r="P420" s="127">
        <v>4194</v>
      </c>
      <c r="Q420" s="128"/>
      <c r="R420" s="128"/>
      <c r="S420" s="129">
        <v>115</v>
      </c>
      <c r="T420" s="130" t="s">
        <v>1327</v>
      </c>
      <c r="U420" s="131">
        <v>45395</v>
      </c>
      <c r="V420" s="132"/>
      <c r="W420" s="133">
        <v>9095</v>
      </c>
      <c r="X420" s="134" t="s">
        <v>1723</v>
      </c>
      <c r="Y420" s="135" t="s">
        <v>912</v>
      </c>
      <c r="Z420" s="128" t="s">
        <v>96</v>
      </c>
      <c r="AA420" s="128" t="s">
        <v>913</v>
      </c>
      <c r="AB420" s="136" t="s">
        <v>256</v>
      </c>
      <c r="AC420" s="137" t="s">
        <v>914</v>
      </c>
      <c r="AD420" s="136" t="s">
        <v>915</v>
      </c>
      <c r="AE420" s="136" t="s">
        <v>916</v>
      </c>
      <c r="AF420" s="136" t="s">
        <v>59</v>
      </c>
      <c r="AG420" s="136" t="s">
        <v>59</v>
      </c>
      <c r="AH420" s="138">
        <v>-115</v>
      </c>
      <c r="AI420" s="139" t="s">
        <v>58</v>
      </c>
      <c r="AJ420" s="139" t="s">
        <v>59</v>
      </c>
    </row>
    <row r="421" spans="1:36" ht="15.75" x14ac:dyDescent="0.25">
      <c r="A421" s="115">
        <v>25291</v>
      </c>
      <c r="B421" s="116" t="s">
        <v>36</v>
      </c>
      <c r="C421" s="117" t="s">
        <v>37</v>
      </c>
      <c r="D421" s="118" t="s">
        <v>36</v>
      </c>
      <c r="E421" s="119" t="s">
        <v>38</v>
      </c>
      <c r="F421" s="120" t="s">
        <v>39</v>
      </c>
      <c r="G421" s="118" t="s">
        <v>40</v>
      </c>
      <c r="H421" s="121" t="s">
        <v>41</v>
      </c>
      <c r="I421" s="120" t="s">
        <v>301</v>
      </c>
      <c r="J421" s="122" t="s">
        <v>302</v>
      </c>
      <c r="K421" s="123" t="s">
        <v>303</v>
      </c>
      <c r="L421" t="s">
        <v>150</v>
      </c>
      <c r="M421" s="124" t="s">
        <v>151</v>
      </c>
      <c r="N421" s="125" t="s">
        <v>152</v>
      </c>
      <c r="O421" s="126" t="s">
        <v>121</v>
      </c>
      <c r="P421" s="127" t="s">
        <v>1404</v>
      </c>
      <c r="Q421" s="128">
        <v>1750</v>
      </c>
      <c r="R421" s="128">
        <v>1750</v>
      </c>
      <c r="S421" s="129">
        <v>1750</v>
      </c>
      <c r="T421" s="130" t="s">
        <v>1405</v>
      </c>
      <c r="U421" s="131">
        <v>45538</v>
      </c>
      <c r="V421" s="132">
        <v>45540</v>
      </c>
      <c r="W421" s="133">
        <v>9331</v>
      </c>
      <c r="X421" s="134" t="s">
        <v>312</v>
      </c>
      <c r="Y421" s="135" t="s">
        <v>912</v>
      </c>
      <c r="Z421" s="128" t="s">
        <v>57</v>
      </c>
      <c r="AA421" s="128"/>
      <c r="AB421" s="136" t="s">
        <v>256</v>
      </c>
      <c r="AC421" s="137" t="s">
        <v>914</v>
      </c>
      <c r="AD421" s="136" t="s">
        <v>961</v>
      </c>
      <c r="AE421" s="136" t="s">
        <v>962</v>
      </c>
      <c r="AF421" s="136" t="s">
        <v>59</v>
      </c>
      <c r="AG421" s="136" t="s">
        <v>59</v>
      </c>
      <c r="AH421" s="138">
        <v>-1750</v>
      </c>
      <c r="AI421" s="139" t="s">
        <v>58</v>
      </c>
      <c r="AJ421" s="139" t="s">
        <v>157</v>
      </c>
    </row>
    <row r="422" spans="1:36" ht="15.75" x14ac:dyDescent="0.25">
      <c r="A422" s="115">
        <v>12917</v>
      </c>
      <c r="B422" s="116" t="s">
        <v>36</v>
      </c>
      <c r="C422" s="117" t="s">
        <v>37</v>
      </c>
      <c r="D422" s="118" t="s">
        <v>36</v>
      </c>
      <c r="E422" s="119" t="s">
        <v>38</v>
      </c>
      <c r="F422" s="140" t="s">
        <v>39</v>
      </c>
      <c r="G422" s="118" t="s">
        <v>40</v>
      </c>
      <c r="H422" s="121" t="s">
        <v>41</v>
      </c>
      <c r="I422" s="120" t="s">
        <v>524</v>
      </c>
      <c r="J422" s="122" t="s">
        <v>525</v>
      </c>
      <c r="K422" s="123" t="s">
        <v>526</v>
      </c>
      <c r="L422" t="s">
        <v>1724</v>
      </c>
      <c r="M422" s="124" t="s">
        <v>1725</v>
      </c>
      <c r="N422" s="125" t="s">
        <v>1726</v>
      </c>
      <c r="O422" s="126" t="s">
        <v>121</v>
      </c>
      <c r="P422" s="127" t="s">
        <v>1727</v>
      </c>
      <c r="Q422" s="128">
        <v>26</v>
      </c>
      <c r="R422" s="128">
        <v>26</v>
      </c>
      <c r="S422" s="129">
        <v>26</v>
      </c>
      <c r="T422" s="130" t="s">
        <v>1728</v>
      </c>
      <c r="U422" s="131">
        <v>45407</v>
      </c>
      <c r="V422" s="132">
        <v>45407</v>
      </c>
      <c r="W422" s="133">
        <v>10773</v>
      </c>
      <c r="X422" s="134" t="s">
        <v>1729</v>
      </c>
      <c r="Y422" s="135" t="s">
        <v>912</v>
      </c>
      <c r="Z422" s="128" t="s">
        <v>57</v>
      </c>
      <c r="AA422" s="128"/>
      <c r="AB422" s="136" t="s">
        <v>256</v>
      </c>
      <c r="AC422" s="137" t="s">
        <v>952</v>
      </c>
      <c r="AD422" s="136" t="s">
        <v>915</v>
      </c>
      <c r="AE422" s="136" t="s">
        <v>916</v>
      </c>
      <c r="AF422" s="136" t="s">
        <v>157</v>
      </c>
      <c r="AG422" s="136" t="s">
        <v>59</v>
      </c>
      <c r="AH422" s="138">
        <v>-26</v>
      </c>
      <c r="AI422" s="139" t="s">
        <v>58</v>
      </c>
      <c r="AJ422" s="139" t="s">
        <v>59</v>
      </c>
    </row>
    <row r="423" spans="1:36" ht="15.75" x14ac:dyDescent="0.25">
      <c r="A423" s="115">
        <v>13194</v>
      </c>
      <c r="B423" s="116" t="s">
        <v>36</v>
      </c>
      <c r="C423" s="117" t="s">
        <v>37</v>
      </c>
      <c r="D423" s="118" t="s">
        <v>36</v>
      </c>
      <c r="E423" s="119" t="s">
        <v>38</v>
      </c>
      <c r="F423" s="120" t="s">
        <v>39</v>
      </c>
      <c r="G423" s="118" t="s">
        <v>40</v>
      </c>
      <c r="H423" s="121" t="s">
        <v>41</v>
      </c>
      <c r="I423" s="120" t="s">
        <v>524</v>
      </c>
      <c r="J423" s="122" t="s">
        <v>525</v>
      </c>
      <c r="K423" s="123" t="s">
        <v>526</v>
      </c>
      <c r="L423" t="s">
        <v>1730</v>
      </c>
      <c r="M423" s="124" t="s">
        <v>1731</v>
      </c>
      <c r="N423" s="125" t="s">
        <v>1732</v>
      </c>
      <c r="O423" s="126" t="s">
        <v>121</v>
      </c>
      <c r="P423" s="127" t="s">
        <v>1733</v>
      </c>
      <c r="Q423" s="128">
        <v>30.74</v>
      </c>
      <c r="R423" s="128">
        <v>30.74</v>
      </c>
      <c r="S423" s="129">
        <v>30.74</v>
      </c>
      <c r="T423" s="130" t="s">
        <v>1734</v>
      </c>
      <c r="U423" s="131">
        <v>45412</v>
      </c>
      <c r="V423" s="132">
        <v>45412</v>
      </c>
      <c r="W423" s="133">
        <v>9602</v>
      </c>
      <c r="X423" s="134" t="s">
        <v>1735</v>
      </c>
      <c r="Y423" s="135" t="s">
        <v>912</v>
      </c>
      <c r="Z423" s="128" t="s">
        <v>57</v>
      </c>
      <c r="AA423" s="128"/>
      <c r="AB423" s="136" t="s">
        <v>256</v>
      </c>
      <c r="AC423" s="137" t="s">
        <v>952</v>
      </c>
      <c r="AD423" s="136" t="s">
        <v>915</v>
      </c>
      <c r="AE423" s="136" t="s">
        <v>916</v>
      </c>
      <c r="AF423" s="136" t="s">
        <v>157</v>
      </c>
      <c r="AG423" s="136" t="s">
        <v>59</v>
      </c>
      <c r="AH423" s="138">
        <v>-30.74</v>
      </c>
      <c r="AI423" s="139" t="s">
        <v>58</v>
      </c>
      <c r="AJ423" s="139" t="s">
        <v>157</v>
      </c>
    </row>
    <row r="424" spans="1:36" ht="15.75" x14ac:dyDescent="0.25">
      <c r="A424" s="115">
        <v>13421</v>
      </c>
      <c r="B424" s="116" t="s">
        <v>36</v>
      </c>
      <c r="C424" s="117" t="s">
        <v>37</v>
      </c>
      <c r="D424" s="118" t="s">
        <v>36</v>
      </c>
      <c r="E424" s="119" t="s">
        <v>38</v>
      </c>
      <c r="F424" s="120" t="s">
        <v>39</v>
      </c>
      <c r="G424" s="118" t="s">
        <v>40</v>
      </c>
      <c r="H424" s="121" t="s">
        <v>41</v>
      </c>
      <c r="I424" s="120" t="s">
        <v>1319</v>
      </c>
      <c r="J424" s="122" t="s">
        <v>1320</v>
      </c>
      <c r="K424" s="123" t="s">
        <v>1321</v>
      </c>
      <c r="L424" t="s">
        <v>204</v>
      </c>
      <c r="M424" s="124" t="s">
        <v>205</v>
      </c>
      <c r="N424" s="125" t="s">
        <v>206</v>
      </c>
      <c r="O424" s="126" t="s">
        <v>207</v>
      </c>
      <c r="P424" s="127" t="s">
        <v>1736</v>
      </c>
      <c r="Q424" s="128">
        <v>734.41</v>
      </c>
      <c r="R424" s="128">
        <v>734.41</v>
      </c>
      <c r="S424" s="129">
        <v>367.20499999999998</v>
      </c>
      <c r="T424" s="130" t="s">
        <v>1737</v>
      </c>
      <c r="U424" s="131">
        <v>45412</v>
      </c>
      <c r="V424" s="132">
        <v>45412</v>
      </c>
      <c r="W424" s="133">
        <v>10485</v>
      </c>
      <c r="X424" s="134" t="s">
        <v>1326</v>
      </c>
      <c r="Y424" s="135" t="s">
        <v>912</v>
      </c>
      <c r="Z424" s="128" t="s">
        <v>57</v>
      </c>
      <c r="AA424" s="128"/>
      <c r="AB424" s="136" t="s">
        <v>256</v>
      </c>
      <c r="AC424" s="137" t="s">
        <v>952</v>
      </c>
      <c r="AD424" s="136" t="s">
        <v>915</v>
      </c>
      <c r="AE424" s="136" t="s">
        <v>916</v>
      </c>
      <c r="AF424" s="136" t="s">
        <v>157</v>
      </c>
      <c r="AG424" s="136" t="s">
        <v>59</v>
      </c>
      <c r="AH424" s="138">
        <v>-367.20499999999998</v>
      </c>
      <c r="AI424" s="139" t="s">
        <v>58</v>
      </c>
      <c r="AJ424" s="139" t="s">
        <v>59</v>
      </c>
    </row>
    <row r="425" spans="1:36" ht="15.75" x14ac:dyDescent="0.25">
      <c r="A425" s="115">
        <v>13422</v>
      </c>
      <c r="B425" s="116" t="s">
        <v>36</v>
      </c>
      <c r="C425" s="117" t="s">
        <v>37</v>
      </c>
      <c r="D425" s="118" t="s">
        <v>36</v>
      </c>
      <c r="E425" s="119" t="s">
        <v>38</v>
      </c>
      <c r="F425" s="120" t="s">
        <v>39</v>
      </c>
      <c r="G425" s="118" t="s">
        <v>40</v>
      </c>
      <c r="H425" s="121" t="s">
        <v>41</v>
      </c>
      <c r="I425" s="120" t="s">
        <v>1319</v>
      </c>
      <c r="J425" s="122" t="s">
        <v>1320</v>
      </c>
      <c r="K425" s="123" t="s">
        <v>1321</v>
      </c>
      <c r="L425" t="s">
        <v>262</v>
      </c>
      <c r="M425" s="124" t="s">
        <v>263</v>
      </c>
      <c r="N425" s="125" t="s">
        <v>264</v>
      </c>
      <c r="O425" s="126" t="s">
        <v>207</v>
      </c>
      <c r="P425" s="127" t="s">
        <v>1736</v>
      </c>
      <c r="Q425" s="128">
        <v>734.41</v>
      </c>
      <c r="R425" s="128">
        <v>734.41</v>
      </c>
      <c r="S425" s="129">
        <v>367.20499999999998</v>
      </c>
      <c r="T425" s="130" t="s">
        <v>1737</v>
      </c>
      <c r="U425" s="131">
        <v>45412</v>
      </c>
      <c r="V425" s="132">
        <v>45412</v>
      </c>
      <c r="W425" s="133">
        <v>10485</v>
      </c>
      <c r="X425" s="134" t="s">
        <v>1326</v>
      </c>
      <c r="Y425" s="135" t="s">
        <v>912</v>
      </c>
      <c r="Z425" s="128" t="s">
        <v>57</v>
      </c>
      <c r="AA425" s="128"/>
      <c r="AB425" s="136" t="s">
        <v>256</v>
      </c>
      <c r="AC425" s="137" t="s">
        <v>914</v>
      </c>
      <c r="AD425" s="136" t="s">
        <v>915</v>
      </c>
      <c r="AE425" s="136" t="s">
        <v>916</v>
      </c>
      <c r="AF425" s="136" t="s">
        <v>59</v>
      </c>
      <c r="AG425" s="136" t="s">
        <v>59</v>
      </c>
      <c r="AH425" s="138">
        <v>-367.20499999999998</v>
      </c>
      <c r="AI425" s="139" t="s">
        <v>58</v>
      </c>
      <c r="AJ425" s="139" t="s">
        <v>59</v>
      </c>
    </row>
    <row r="426" spans="1:36" ht="15.75" x14ac:dyDescent="0.25">
      <c r="A426" s="115">
        <v>28306</v>
      </c>
      <c r="B426" s="116" t="s">
        <v>36</v>
      </c>
      <c r="C426" s="117" t="s">
        <v>37</v>
      </c>
      <c r="D426" s="118" t="s">
        <v>36</v>
      </c>
      <c r="E426" s="119" t="s">
        <v>38</v>
      </c>
      <c r="F426" s="120" t="s">
        <v>39</v>
      </c>
      <c r="G426" s="118" t="s">
        <v>40</v>
      </c>
      <c r="H426" s="121" t="s">
        <v>41</v>
      </c>
      <c r="I426" s="120" t="s">
        <v>301</v>
      </c>
      <c r="J426" s="122" t="s">
        <v>302</v>
      </c>
      <c r="K426" s="123" t="s">
        <v>303</v>
      </c>
      <c r="L426" t="s">
        <v>150</v>
      </c>
      <c r="M426" s="124" t="s">
        <v>151</v>
      </c>
      <c r="N426" s="125" t="s">
        <v>152</v>
      </c>
      <c r="O426" s="126" t="s">
        <v>121</v>
      </c>
      <c r="P426" s="127" t="s">
        <v>1406</v>
      </c>
      <c r="Q426" s="128">
        <v>1750</v>
      </c>
      <c r="R426" s="128">
        <v>1750</v>
      </c>
      <c r="S426" s="129">
        <v>1750</v>
      </c>
      <c r="T426" s="130" t="s">
        <v>1407</v>
      </c>
      <c r="U426" s="131">
        <v>45567</v>
      </c>
      <c r="V426" s="132">
        <v>45572</v>
      </c>
      <c r="W426" s="133">
        <v>9331</v>
      </c>
      <c r="X426" s="134" t="s">
        <v>312</v>
      </c>
      <c r="Y426" s="135" t="s">
        <v>912</v>
      </c>
      <c r="Z426" s="128" t="s">
        <v>57</v>
      </c>
      <c r="AA426" s="128"/>
      <c r="AB426" s="136" t="s">
        <v>256</v>
      </c>
      <c r="AC426" s="137" t="s">
        <v>914</v>
      </c>
      <c r="AD426" s="136" t="s">
        <v>961</v>
      </c>
      <c r="AE426" s="136" t="s">
        <v>962</v>
      </c>
      <c r="AF426" s="136" t="s">
        <v>59</v>
      </c>
      <c r="AG426" s="136" t="s">
        <v>59</v>
      </c>
      <c r="AH426" s="138">
        <v>-1750</v>
      </c>
      <c r="AI426" s="139" t="s">
        <v>58</v>
      </c>
      <c r="AJ426" s="139" t="s">
        <v>157</v>
      </c>
    </row>
    <row r="427" spans="1:36" ht="15.75" x14ac:dyDescent="0.25">
      <c r="A427" s="115">
        <v>14296</v>
      </c>
      <c r="B427" s="116" t="s">
        <v>36</v>
      </c>
      <c r="C427" s="117" t="s">
        <v>37</v>
      </c>
      <c r="D427" s="118" t="s">
        <v>36</v>
      </c>
      <c r="E427" s="119" t="s">
        <v>38</v>
      </c>
      <c r="F427" s="120" t="s">
        <v>39</v>
      </c>
      <c r="G427" s="118" t="s">
        <v>40</v>
      </c>
      <c r="H427" s="121" t="s">
        <v>41</v>
      </c>
      <c r="I427" s="120" t="s">
        <v>301</v>
      </c>
      <c r="J427" s="122" t="s">
        <v>302</v>
      </c>
      <c r="K427" s="123" t="s">
        <v>303</v>
      </c>
      <c r="L427" t="s">
        <v>63</v>
      </c>
      <c r="M427" s="124" t="s">
        <v>64</v>
      </c>
      <c r="N427" s="125" t="s">
        <v>65</v>
      </c>
      <c r="O427" s="126" t="s">
        <v>929</v>
      </c>
      <c r="P427" s="127">
        <v>178</v>
      </c>
      <c r="Q427" s="128"/>
      <c r="R427" s="128"/>
      <c r="S427" s="129">
        <v>2500</v>
      </c>
      <c r="T427" s="130" t="s">
        <v>1327</v>
      </c>
      <c r="U427" s="131">
        <v>45419</v>
      </c>
      <c r="V427" s="132"/>
      <c r="W427" s="133"/>
      <c r="X427" s="134" t="s">
        <v>1738</v>
      </c>
      <c r="Y427" s="135" t="s">
        <v>912</v>
      </c>
      <c r="Z427" s="128" t="s">
        <v>96</v>
      </c>
      <c r="AA427" s="128" t="s">
        <v>913</v>
      </c>
      <c r="AB427" s="136" t="e">
        <v>#N/A</v>
      </c>
      <c r="AC427" s="137" t="e">
        <v>#N/A</v>
      </c>
      <c r="AD427" s="136" t="e">
        <v>#N/A</v>
      </c>
      <c r="AE427" s="136" t="e">
        <v>#N/A</v>
      </c>
      <c r="AF427" s="136" t="e">
        <v>#N/A</v>
      </c>
      <c r="AG427" s="136" t="e">
        <v>#N/A</v>
      </c>
      <c r="AH427" s="138">
        <v>-2500</v>
      </c>
      <c r="AI427" s="139" t="s">
        <v>58</v>
      </c>
      <c r="AJ427" s="139" t="s">
        <v>59</v>
      </c>
    </row>
    <row r="428" spans="1:36" ht="15.75" x14ac:dyDescent="0.25">
      <c r="A428" s="115">
        <v>14298</v>
      </c>
      <c r="B428" s="116" t="s">
        <v>36</v>
      </c>
      <c r="C428" s="117" t="s">
        <v>37</v>
      </c>
      <c r="D428" s="118" t="s">
        <v>36</v>
      </c>
      <c r="E428" s="119" t="s">
        <v>38</v>
      </c>
      <c r="F428" s="120" t="s">
        <v>39</v>
      </c>
      <c r="G428" s="118" t="s">
        <v>40</v>
      </c>
      <c r="H428" s="121" t="s">
        <v>41</v>
      </c>
      <c r="I428" s="120" t="s">
        <v>524</v>
      </c>
      <c r="J428" s="122" t="s">
        <v>525</v>
      </c>
      <c r="K428" s="123" t="s">
        <v>526</v>
      </c>
      <c r="L428" t="s">
        <v>1209</v>
      </c>
      <c r="M428" s="124" t="s">
        <v>1210</v>
      </c>
      <c r="N428" s="125" t="s">
        <v>1211</v>
      </c>
      <c r="O428" s="126" t="s">
        <v>121</v>
      </c>
      <c r="P428" s="127" t="s">
        <v>1739</v>
      </c>
      <c r="Q428" s="128"/>
      <c r="R428" s="128"/>
      <c r="S428" s="129">
        <v>1.3</v>
      </c>
      <c r="T428" s="130" t="s">
        <v>1740</v>
      </c>
      <c r="U428" s="131">
        <v>45420</v>
      </c>
      <c r="V428" s="132"/>
      <c r="W428" s="133"/>
      <c r="X428" s="134" t="s">
        <v>1735</v>
      </c>
      <c r="Y428" s="135" t="s">
        <v>912</v>
      </c>
      <c r="Z428" s="128" t="s">
        <v>57</v>
      </c>
      <c r="AA428" s="128"/>
      <c r="AB428" s="136"/>
      <c r="AC428" s="137"/>
      <c r="AD428" s="136"/>
      <c r="AE428" s="136"/>
      <c r="AF428" s="136"/>
      <c r="AG428" s="136"/>
      <c r="AH428" s="138">
        <v>-1.3</v>
      </c>
      <c r="AI428" s="139" t="s">
        <v>58</v>
      </c>
      <c r="AJ428" s="139" t="s">
        <v>157</v>
      </c>
    </row>
    <row r="429" spans="1:36" ht="15.75" x14ac:dyDescent="0.25">
      <c r="A429" s="115">
        <v>14353</v>
      </c>
      <c r="B429" s="116" t="s">
        <v>36</v>
      </c>
      <c r="C429" s="117" t="s">
        <v>37</v>
      </c>
      <c r="D429" s="118" t="s">
        <v>36</v>
      </c>
      <c r="E429" s="119" t="s">
        <v>38</v>
      </c>
      <c r="F429" s="120" t="s">
        <v>39</v>
      </c>
      <c r="G429" s="118" t="s">
        <v>40</v>
      </c>
      <c r="H429" s="121" t="s">
        <v>41</v>
      </c>
      <c r="I429" s="120" t="s">
        <v>946</v>
      </c>
      <c r="J429" s="122" t="s">
        <v>947</v>
      </c>
      <c r="K429" s="123" t="s">
        <v>948</v>
      </c>
      <c r="L429" t="s">
        <v>262</v>
      </c>
      <c r="M429" s="124" t="s">
        <v>263</v>
      </c>
      <c r="N429" s="125" t="s">
        <v>264</v>
      </c>
      <c r="O429" s="126" t="s">
        <v>929</v>
      </c>
      <c r="P429" s="127">
        <v>213359</v>
      </c>
      <c r="Q429" s="128"/>
      <c r="R429" s="128"/>
      <c r="S429" s="129">
        <v>631.29999999999995</v>
      </c>
      <c r="T429" s="130" t="s">
        <v>1327</v>
      </c>
      <c r="U429" s="131">
        <v>45420</v>
      </c>
      <c r="V429" s="132"/>
      <c r="W429" s="133"/>
      <c r="X429" s="134" t="s">
        <v>1671</v>
      </c>
      <c r="Y429" s="135" t="s">
        <v>912</v>
      </c>
      <c r="Z429" s="128" t="s">
        <v>96</v>
      </c>
      <c r="AA429" s="128" t="s">
        <v>931</v>
      </c>
      <c r="AB429" s="136" t="s">
        <v>256</v>
      </c>
      <c r="AC429" s="137" t="s">
        <v>914</v>
      </c>
      <c r="AD429" s="136" t="s">
        <v>915</v>
      </c>
      <c r="AE429" s="136" t="s">
        <v>916</v>
      </c>
      <c r="AF429" s="136" t="s">
        <v>59</v>
      </c>
      <c r="AG429" s="136" t="s">
        <v>59</v>
      </c>
      <c r="AH429" s="138">
        <v>-631.29999999999995</v>
      </c>
      <c r="AI429" s="139" t="s">
        <v>58</v>
      </c>
      <c r="AJ429" s="139" t="s">
        <v>59</v>
      </c>
    </row>
    <row r="430" spans="1:36" ht="15.75" x14ac:dyDescent="0.25">
      <c r="A430" s="115">
        <v>14528</v>
      </c>
      <c r="B430" s="116" t="s">
        <v>36</v>
      </c>
      <c r="C430" s="117" t="s">
        <v>37</v>
      </c>
      <c r="D430" s="118" t="s">
        <v>36</v>
      </c>
      <c r="E430" s="119" t="s">
        <v>38</v>
      </c>
      <c r="F430" s="120" t="s">
        <v>39</v>
      </c>
      <c r="G430" s="118" t="s">
        <v>40</v>
      </c>
      <c r="H430" s="121" t="s">
        <v>41</v>
      </c>
      <c r="I430" s="120" t="s">
        <v>42</v>
      </c>
      <c r="J430" s="122" t="s">
        <v>43</v>
      </c>
      <c r="K430" s="123" t="s">
        <v>44</v>
      </c>
      <c r="L430" t="s">
        <v>262</v>
      </c>
      <c r="M430" s="124" t="s">
        <v>263</v>
      </c>
      <c r="N430" s="125" t="s">
        <v>264</v>
      </c>
      <c r="O430" s="126" t="s">
        <v>121</v>
      </c>
      <c r="P430" s="127" t="s">
        <v>1741</v>
      </c>
      <c r="Q430" s="128"/>
      <c r="R430" s="128"/>
      <c r="S430" s="129">
        <v>3.5</v>
      </c>
      <c r="T430" s="130" t="s">
        <v>1742</v>
      </c>
      <c r="U430" s="131">
        <v>45422</v>
      </c>
      <c r="V430" s="132"/>
      <c r="W430" s="133"/>
      <c r="X430" s="134" t="s">
        <v>1743</v>
      </c>
      <c r="Y430" s="135" t="s">
        <v>912</v>
      </c>
      <c r="Z430" s="128" t="s">
        <v>57</v>
      </c>
      <c r="AA430" s="128"/>
      <c r="AB430" s="136"/>
      <c r="AC430" s="137"/>
      <c r="AD430" s="136"/>
      <c r="AE430" s="136"/>
      <c r="AF430" s="136"/>
      <c r="AG430" s="136"/>
      <c r="AH430" s="138">
        <v>-3.5</v>
      </c>
      <c r="AI430" s="139" t="s">
        <v>58</v>
      </c>
      <c r="AJ430" s="139" t="s">
        <v>59</v>
      </c>
    </row>
    <row r="431" spans="1:36" ht="15.75" x14ac:dyDescent="0.25">
      <c r="A431" s="115">
        <v>14753</v>
      </c>
      <c r="B431" s="116" t="s">
        <v>36</v>
      </c>
      <c r="C431" s="117" t="s">
        <v>37</v>
      </c>
      <c r="D431" s="118" t="s">
        <v>36</v>
      </c>
      <c r="E431" s="119" t="s">
        <v>38</v>
      </c>
      <c r="F431" s="120" t="s">
        <v>39</v>
      </c>
      <c r="G431" s="118" t="s">
        <v>40</v>
      </c>
      <c r="H431" s="121" t="s">
        <v>41</v>
      </c>
      <c r="I431" s="120" t="s">
        <v>946</v>
      </c>
      <c r="J431" s="122" t="s">
        <v>947</v>
      </c>
      <c r="K431" s="123" t="s">
        <v>948</v>
      </c>
      <c r="L431" t="s">
        <v>262</v>
      </c>
      <c r="M431" s="124" t="s">
        <v>263</v>
      </c>
      <c r="N431" s="125" t="s">
        <v>264</v>
      </c>
      <c r="O431" s="126" t="s">
        <v>121</v>
      </c>
      <c r="P431" s="127" t="s">
        <v>1563</v>
      </c>
      <c r="Q431" s="128"/>
      <c r="R431" s="128"/>
      <c r="S431" s="129">
        <v>362.94</v>
      </c>
      <c r="T431" s="130" t="s">
        <v>1564</v>
      </c>
      <c r="U431" s="131">
        <v>45422</v>
      </c>
      <c r="V431" s="132"/>
      <c r="W431" s="133"/>
      <c r="X431" s="134" t="s">
        <v>951</v>
      </c>
      <c r="Y431" s="135" t="s">
        <v>912</v>
      </c>
      <c r="Z431" s="128" t="s">
        <v>57</v>
      </c>
      <c r="AA431" s="128"/>
      <c r="AB431" s="136" t="s">
        <v>256</v>
      </c>
      <c r="AC431" s="137" t="s">
        <v>914</v>
      </c>
      <c r="AD431" s="136" t="s">
        <v>915</v>
      </c>
      <c r="AE431" s="136" t="s">
        <v>916</v>
      </c>
      <c r="AF431" s="136" t="s">
        <v>59</v>
      </c>
      <c r="AG431" s="136" t="s">
        <v>59</v>
      </c>
      <c r="AH431" s="138">
        <v>-362.94</v>
      </c>
      <c r="AI431" s="139" t="s">
        <v>58</v>
      </c>
      <c r="AJ431" s="139" t="s">
        <v>59</v>
      </c>
    </row>
    <row r="432" spans="1:36" ht="15.75" x14ac:dyDescent="0.25">
      <c r="A432" s="115">
        <v>15083</v>
      </c>
      <c r="B432" s="116" t="s">
        <v>36</v>
      </c>
      <c r="C432" s="117" t="s">
        <v>37</v>
      </c>
      <c r="D432" s="118" t="s">
        <v>36</v>
      </c>
      <c r="E432" s="119" t="s">
        <v>38</v>
      </c>
      <c r="F432" s="120" t="s">
        <v>39</v>
      </c>
      <c r="G432" s="118" t="s">
        <v>40</v>
      </c>
      <c r="H432" s="121" t="s">
        <v>41</v>
      </c>
      <c r="I432" s="120" t="s">
        <v>946</v>
      </c>
      <c r="J432" s="122" t="s">
        <v>947</v>
      </c>
      <c r="K432" s="123" t="s">
        <v>948</v>
      </c>
      <c r="L432" t="s">
        <v>262</v>
      </c>
      <c r="M432" s="124" t="s">
        <v>263</v>
      </c>
      <c r="N432" s="125" t="s">
        <v>264</v>
      </c>
      <c r="O432" s="126" t="s">
        <v>929</v>
      </c>
      <c r="P432" s="127">
        <v>213653</v>
      </c>
      <c r="Q432" s="128"/>
      <c r="R432" s="128"/>
      <c r="S432" s="129">
        <v>820</v>
      </c>
      <c r="T432" s="130" t="s">
        <v>1327</v>
      </c>
      <c r="U432" s="131">
        <v>45427</v>
      </c>
      <c r="V432" s="132"/>
      <c r="W432" s="133"/>
      <c r="X432" s="134" t="s">
        <v>1671</v>
      </c>
      <c r="Y432" s="135" t="s">
        <v>912</v>
      </c>
      <c r="Z432" s="128" t="s">
        <v>96</v>
      </c>
      <c r="AA432" s="128" t="s">
        <v>931</v>
      </c>
      <c r="AB432" s="136" t="s">
        <v>256</v>
      </c>
      <c r="AC432" s="137" t="s">
        <v>914</v>
      </c>
      <c r="AD432" s="136" t="s">
        <v>915</v>
      </c>
      <c r="AE432" s="136" t="s">
        <v>916</v>
      </c>
      <c r="AF432" s="136" t="s">
        <v>59</v>
      </c>
      <c r="AG432" s="136" t="s">
        <v>59</v>
      </c>
      <c r="AH432" s="138">
        <v>-820</v>
      </c>
      <c r="AI432" s="139" t="s">
        <v>58</v>
      </c>
      <c r="AJ432" s="139" t="s">
        <v>59</v>
      </c>
    </row>
    <row r="433" spans="1:36" ht="15.75" x14ac:dyDescent="0.25">
      <c r="A433" s="115">
        <v>15084</v>
      </c>
      <c r="B433" s="116" t="s">
        <v>36</v>
      </c>
      <c r="C433" s="117" t="s">
        <v>37</v>
      </c>
      <c r="D433" s="118" t="s">
        <v>36</v>
      </c>
      <c r="E433" s="119" t="s">
        <v>38</v>
      </c>
      <c r="F433" s="120" t="s">
        <v>39</v>
      </c>
      <c r="G433" s="118" t="s">
        <v>40</v>
      </c>
      <c r="H433" s="121" t="s">
        <v>41</v>
      </c>
      <c r="I433" s="120" t="s">
        <v>946</v>
      </c>
      <c r="J433" s="122" t="s">
        <v>947</v>
      </c>
      <c r="K433" s="123" t="s">
        <v>948</v>
      </c>
      <c r="L433" t="s">
        <v>262</v>
      </c>
      <c r="M433" s="124" t="s">
        <v>263</v>
      </c>
      <c r="N433" s="125" t="s">
        <v>264</v>
      </c>
      <c r="O433" s="126" t="s">
        <v>929</v>
      </c>
      <c r="P433" s="127">
        <v>75897</v>
      </c>
      <c r="Q433" s="128"/>
      <c r="R433" s="128"/>
      <c r="S433" s="129">
        <v>270</v>
      </c>
      <c r="T433" s="130" t="s">
        <v>1327</v>
      </c>
      <c r="U433" s="131">
        <v>45427</v>
      </c>
      <c r="V433" s="132"/>
      <c r="W433" s="133"/>
      <c r="X433" s="134" t="s">
        <v>1671</v>
      </c>
      <c r="Y433" s="135" t="s">
        <v>912</v>
      </c>
      <c r="Z433" s="128" t="s">
        <v>96</v>
      </c>
      <c r="AA433" s="128" t="s">
        <v>913</v>
      </c>
      <c r="AB433" s="136" t="s">
        <v>256</v>
      </c>
      <c r="AC433" s="137" t="s">
        <v>914</v>
      </c>
      <c r="AD433" s="136" t="s">
        <v>915</v>
      </c>
      <c r="AE433" s="136" t="s">
        <v>916</v>
      </c>
      <c r="AF433" s="136" t="s">
        <v>59</v>
      </c>
      <c r="AG433" s="136" t="s">
        <v>59</v>
      </c>
      <c r="AH433" s="138">
        <v>-270</v>
      </c>
      <c r="AI433" s="139" t="s">
        <v>58</v>
      </c>
      <c r="AJ433" s="139" t="s">
        <v>59</v>
      </c>
    </row>
    <row r="434" spans="1:36" ht="15.75" x14ac:dyDescent="0.25">
      <c r="A434" s="115">
        <v>15227</v>
      </c>
      <c r="B434" s="116" t="s">
        <v>36</v>
      </c>
      <c r="C434" s="117" t="s">
        <v>37</v>
      </c>
      <c r="D434" s="118" t="s">
        <v>36</v>
      </c>
      <c r="E434" s="119" t="s">
        <v>38</v>
      </c>
      <c r="F434" s="140" t="s">
        <v>39</v>
      </c>
      <c r="G434" s="118" t="s">
        <v>40</v>
      </c>
      <c r="H434" s="121" t="s">
        <v>41</v>
      </c>
      <c r="I434" s="120" t="s">
        <v>946</v>
      </c>
      <c r="J434" s="122" t="s">
        <v>947</v>
      </c>
      <c r="K434" s="123" t="s">
        <v>948</v>
      </c>
      <c r="L434" t="s">
        <v>984</v>
      </c>
      <c r="M434" s="124" t="s">
        <v>985</v>
      </c>
      <c r="N434" s="125" t="s">
        <v>986</v>
      </c>
      <c r="O434" s="126" t="s">
        <v>207</v>
      </c>
      <c r="P434" s="127" t="s">
        <v>1744</v>
      </c>
      <c r="Q434" s="128"/>
      <c r="R434" s="128"/>
      <c r="S434" s="129">
        <v>38.659999999999997</v>
      </c>
      <c r="T434" s="130" t="s">
        <v>1745</v>
      </c>
      <c r="U434" s="131">
        <v>45427</v>
      </c>
      <c r="V434" s="132"/>
      <c r="W434" s="133">
        <v>7</v>
      </c>
      <c r="X434" s="134" t="s">
        <v>1746</v>
      </c>
      <c r="Y434" s="135" t="s">
        <v>912</v>
      </c>
      <c r="Z434" s="128" t="s">
        <v>57</v>
      </c>
      <c r="AA434" s="128"/>
      <c r="AB434" s="136" t="s">
        <v>256</v>
      </c>
      <c r="AC434" s="137" t="s">
        <v>952</v>
      </c>
      <c r="AD434" s="136" t="s">
        <v>915</v>
      </c>
      <c r="AE434" s="136" t="s">
        <v>916</v>
      </c>
      <c r="AF434" s="136" t="s">
        <v>157</v>
      </c>
      <c r="AG434" s="136" t="s">
        <v>59</v>
      </c>
      <c r="AH434" s="138">
        <v>-38.659999999999997</v>
      </c>
      <c r="AI434" s="139" t="s">
        <v>58</v>
      </c>
      <c r="AJ434" s="139" t="s">
        <v>157</v>
      </c>
    </row>
    <row r="435" spans="1:36" ht="15.75" x14ac:dyDescent="0.25">
      <c r="A435" s="115">
        <v>15258</v>
      </c>
      <c r="B435" s="116" t="s">
        <v>36</v>
      </c>
      <c r="C435" s="117" t="s">
        <v>37</v>
      </c>
      <c r="D435" s="118" t="s">
        <v>36</v>
      </c>
      <c r="E435" s="119" t="s">
        <v>38</v>
      </c>
      <c r="F435" s="120" t="s">
        <v>39</v>
      </c>
      <c r="G435" s="118" t="s">
        <v>40</v>
      </c>
      <c r="H435" s="121" t="s">
        <v>41</v>
      </c>
      <c r="I435" s="120" t="s">
        <v>946</v>
      </c>
      <c r="J435" s="122" t="s">
        <v>947</v>
      </c>
      <c r="K435" s="123" t="s">
        <v>948</v>
      </c>
      <c r="L435" t="s">
        <v>262</v>
      </c>
      <c r="M435" s="124" t="s">
        <v>263</v>
      </c>
      <c r="N435" s="125" t="s">
        <v>264</v>
      </c>
      <c r="O435" s="126" t="s">
        <v>207</v>
      </c>
      <c r="P435" s="127" t="s">
        <v>1569</v>
      </c>
      <c r="Q435" s="128"/>
      <c r="R435" s="128"/>
      <c r="S435" s="129">
        <v>1716.45</v>
      </c>
      <c r="T435" s="130" t="s">
        <v>1570</v>
      </c>
      <c r="U435" s="131">
        <v>45427</v>
      </c>
      <c r="V435" s="132"/>
      <c r="W435" s="133"/>
      <c r="X435" s="134" t="s">
        <v>951</v>
      </c>
      <c r="Y435" s="135" t="s">
        <v>912</v>
      </c>
      <c r="Z435" s="128" t="s">
        <v>57</v>
      </c>
      <c r="AA435" s="128"/>
      <c r="AB435" s="136" t="s">
        <v>256</v>
      </c>
      <c r="AC435" s="137" t="s">
        <v>914</v>
      </c>
      <c r="AD435" s="136" t="s">
        <v>915</v>
      </c>
      <c r="AE435" s="136" t="s">
        <v>916</v>
      </c>
      <c r="AF435" s="136" t="s">
        <v>59</v>
      </c>
      <c r="AG435" s="136" t="s">
        <v>59</v>
      </c>
      <c r="AH435" s="138">
        <v>-1716.45</v>
      </c>
      <c r="AI435" s="139" t="s">
        <v>58</v>
      </c>
      <c r="AJ435" s="139" t="s">
        <v>59</v>
      </c>
    </row>
    <row r="436" spans="1:36" ht="15.75" x14ac:dyDescent="0.25">
      <c r="A436" s="115">
        <v>15505</v>
      </c>
      <c r="B436" s="116" t="s">
        <v>36</v>
      </c>
      <c r="C436" s="117" t="s">
        <v>37</v>
      </c>
      <c r="D436" s="118" t="s">
        <v>36</v>
      </c>
      <c r="E436" s="119" t="s">
        <v>38</v>
      </c>
      <c r="F436" s="140" t="s">
        <v>39</v>
      </c>
      <c r="G436" s="118" t="s">
        <v>40</v>
      </c>
      <c r="H436" s="121" t="s">
        <v>41</v>
      </c>
      <c r="I436" s="120" t="s">
        <v>946</v>
      </c>
      <c r="J436" s="122" t="s">
        <v>43</v>
      </c>
      <c r="K436" s="123" t="s">
        <v>1747</v>
      </c>
      <c r="L436" t="s">
        <v>1173</v>
      </c>
      <c r="M436" s="124" t="s">
        <v>1174</v>
      </c>
      <c r="N436" s="125" t="s">
        <v>1175</v>
      </c>
      <c r="O436" s="126" t="s">
        <v>929</v>
      </c>
      <c r="P436" s="127">
        <v>3697</v>
      </c>
      <c r="Q436" s="128"/>
      <c r="R436" s="128"/>
      <c r="S436" s="129">
        <v>50</v>
      </c>
      <c r="T436" s="130" t="s">
        <v>1327</v>
      </c>
      <c r="U436" s="131">
        <v>45429</v>
      </c>
      <c r="V436" s="132"/>
      <c r="W436" s="133"/>
      <c r="X436" s="134" t="s">
        <v>404</v>
      </c>
      <c r="Y436" s="135" t="s">
        <v>912</v>
      </c>
      <c r="Z436" s="128" t="s">
        <v>96</v>
      </c>
      <c r="AA436" s="128" t="s">
        <v>913</v>
      </c>
      <c r="AB436" s="136"/>
      <c r="AC436" s="137"/>
      <c r="AD436" s="136"/>
      <c r="AE436" s="136"/>
      <c r="AF436" s="136"/>
      <c r="AG436" s="136"/>
      <c r="AH436" s="138">
        <v>-50</v>
      </c>
      <c r="AI436" s="139" t="s">
        <v>58</v>
      </c>
      <c r="AJ436" s="139" t="s">
        <v>157</v>
      </c>
    </row>
    <row r="437" spans="1:36" ht="15.75" x14ac:dyDescent="0.25">
      <c r="A437" s="115">
        <v>15539</v>
      </c>
      <c r="B437" s="116" t="s">
        <v>36</v>
      </c>
      <c r="C437" s="117" t="s">
        <v>37</v>
      </c>
      <c r="D437" s="118" t="s">
        <v>36</v>
      </c>
      <c r="E437" s="119" t="s">
        <v>38</v>
      </c>
      <c r="F437" s="120" t="s">
        <v>39</v>
      </c>
      <c r="G437" s="118" t="s">
        <v>40</v>
      </c>
      <c r="H437" s="121" t="s">
        <v>41</v>
      </c>
      <c r="I437" s="120" t="s">
        <v>1319</v>
      </c>
      <c r="J437" s="122" t="s">
        <v>1320</v>
      </c>
      <c r="K437" s="123" t="s">
        <v>1321</v>
      </c>
      <c r="L437" t="s">
        <v>63</v>
      </c>
      <c r="M437" s="124" t="s">
        <v>64</v>
      </c>
      <c r="N437" s="125" t="s">
        <v>65</v>
      </c>
      <c r="O437" s="126" t="s">
        <v>207</v>
      </c>
      <c r="P437" s="127" t="s">
        <v>1573</v>
      </c>
      <c r="Q437" s="128"/>
      <c r="R437" s="128"/>
      <c r="S437" s="129">
        <v>47.75</v>
      </c>
      <c r="T437" s="130" t="s">
        <v>1574</v>
      </c>
      <c r="U437" s="131">
        <v>45429</v>
      </c>
      <c r="V437" s="132"/>
      <c r="W437" s="133"/>
      <c r="X437" s="134" t="s">
        <v>1326</v>
      </c>
      <c r="Y437" s="135" t="s">
        <v>912</v>
      </c>
      <c r="Z437" s="128" t="s">
        <v>57</v>
      </c>
      <c r="AA437" s="128"/>
      <c r="AB437" s="136" t="s">
        <v>256</v>
      </c>
      <c r="AC437" s="137" t="s">
        <v>914</v>
      </c>
      <c r="AD437" s="136" t="s">
        <v>915</v>
      </c>
      <c r="AE437" s="136" t="s">
        <v>916</v>
      </c>
      <c r="AF437" s="136" t="s">
        <v>59</v>
      </c>
      <c r="AG437" s="136" t="s">
        <v>59</v>
      </c>
      <c r="AH437" s="138">
        <v>-47.75</v>
      </c>
      <c r="AI437" s="139" t="s">
        <v>58</v>
      </c>
      <c r="AJ437" s="139" t="s">
        <v>59</v>
      </c>
    </row>
    <row r="438" spans="1:36" ht="15.75" x14ac:dyDescent="0.25">
      <c r="A438" s="115">
        <v>15607</v>
      </c>
      <c r="B438" s="116" t="s">
        <v>36</v>
      </c>
      <c r="C438" s="117" t="s">
        <v>37</v>
      </c>
      <c r="D438" s="118" t="s">
        <v>36</v>
      </c>
      <c r="E438" s="119" t="s">
        <v>38</v>
      </c>
      <c r="F438" s="120" t="s">
        <v>39</v>
      </c>
      <c r="G438" s="118" t="s">
        <v>40</v>
      </c>
      <c r="H438" s="121" t="s">
        <v>41</v>
      </c>
      <c r="I438" s="120" t="s">
        <v>301</v>
      </c>
      <c r="J438" s="122" t="s">
        <v>302</v>
      </c>
      <c r="K438" s="123" t="s">
        <v>303</v>
      </c>
      <c r="L438" t="s">
        <v>63</v>
      </c>
      <c r="M438" s="124" t="s">
        <v>64</v>
      </c>
      <c r="N438" s="125" t="s">
        <v>65</v>
      </c>
      <c r="O438" s="126" t="s">
        <v>1369</v>
      </c>
      <c r="P438" s="127" t="s">
        <v>1330</v>
      </c>
      <c r="Q438" s="128"/>
      <c r="R438" s="128"/>
      <c r="S438" s="129">
        <v>1150</v>
      </c>
      <c r="T438" s="130" t="s">
        <v>1748</v>
      </c>
      <c r="U438" s="131">
        <v>45432</v>
      </c>
      <c r="V438" s="132"/>
      <c r="W438" s="133"/>
      <c r="X438" s="134" t="s">
        <v>198</v>
      </c>
      <c r="Y438" s="135" t="s">
        <v>912</v>
      </c>
      <c r="Z438" s="128" t="s">
        <v>57</v>
      </c>
      <c r="AA438" s="128"/>
      <c r="AB438" s="136"/>
      <c r="AC438" s="137"/>
      <c r="AD438" s="136"/>
      <c r="AE438" s="136"/>
      <c r="AF438" s="136"/>
      <c r="AG438" s="136"/>
      <c r="AH438" s="138">
        <v>-1150</v>
      </c>
      <c r="AI438" s="139" t="s">
        <v>58</v>
      </c>
      <c r="AJ438" s="139" t="s">
        <v>59</v>
      </c>
    </row>
    <row r="439" spans="1:36" ht="15.75" x14ac:dyDescent="0.25">
      <c r="A439" s="115">
        <v>16153</v>
      </c>
      <c r="B439" s="116" t="s">
        <v>36</v>
      </c>
      <c r="C439" s="117" t="s">
        <v>37</v>
      </c>
      <c r="D439" s="118" t="s">
        <v>36</v>
      </c>
      <c r="E439" s="119" t="s">
        <v>38</v>
      </c>
      <c r="F439" s="120" t="s">
        <v>39</v>
      </c>
      <c r="G439" s="118" t="s">
        <v>40</v>
      </c>
      <c r="H439" s="121" t="s">
        <v>41</v>
      </c>
      <c r="I439" s="120" t="s">
        <v>946</v>
      </c>
      <c r="J439" s="122" t="s">
        <v>947</v>
      </c>
      <c r="K439" s="123" t="s">
        <v>948</v>
      </c>
      <c r="L439" t="s">
        <v>63</v>
      </c>
      <c r="M439" s="124" t="s">
        <v>64</v>
      </c>
      <c r="N439" s="125" t="s">
        <v>65</v>
      </c>
      <c r="O439" s="126" t="s">
        <v>207</v>
      </c>
      <c r="P439" s="127" t="s">
        <v>1582</v>
      </c>
      <c r="Q439" s="128"/>
      <c r="R439" s="128"/>
      <c r="S439" s="129">
        <v>481.32</v>
      </c>
      <c r="T439" s="130" t="s">
        <v>1583</v>
      </c>
      <c r="U439" s="131">
        <v>45436</v>
      </c>
      <c r="V439" s="132"/>
      <c r="W439" s="133"/>
      <c r="X439" s="134" t="s">
        <v>951</v>
      </c>
      <c r="Y439" s="135" t="s">
        <v>912</v>
      </c>
      <c r="Z439" s="128" t="s">
        <v>57</v>
      </c>
      <c r="AA439" s="128"/>
      <c r="AB439" s="136" t="s">
        <v>256</v>
      </c>
      <c r="AC439" s="137" t="s">
        <v>914</v>
      </c>
      <c r="AD439" s="136" t="s">
        <v>915</v>
      </c>
      <c r="AE439" s="136" t="s">
        <v>916</v>
      </c>
      <c r="AF439" s="136" t="s">
        <v>59</v>
      </c>
      <c r="AG439" s="136" t="s">
        <v>59</v>
      </c>
      <c r="AH439" s="138">
        <v>-481.32</v>
      </c>
      <c r="AI439" s="139" t="s">
        <v>58</v>
      </c>
      <c r="AJ439" s="139" t="s">
        <v>59</v>
      </c>
    </row>
    <row r="440" spans="1:36" ht="15.75" x14ac:dyDescent="0.25">
      <c r="A440" s="115">
        <v>16640</v>
      </c>
      <c r="B440" s="116" t="s">
        <v>36</v>
      </c>
      <c r="C440" s="117" t="s">
        <v>37</v>
      </c>
      <c r="D440" s="118" t="s">
        <v>36</v>
      </c>
      <c r="E440" s="119" t="s">
        <v>38</v>
      </c>
      <c r="F440" s="140" t="s">
        <v>39</v>
      </c>
      <c r="G440" s="118" t="s">
        <v>40</v>
      </c>
      <c r="H440" s="121" t="s">
        <v>41</v>
      </c>
      <c r="I440" s="120" t="s">
        <v>301</v>
      </c>
      <c r="J440" s="122" t="s">
        <v>302</v>
      </c>
      <c r="K440" s="123" t="s">
        <v>303</v>
      </c>
      <c r="L440" t="s">
        <v>262</v>
      </c>
      <c r="M440" s="124" t="s">
        <v>263</v>
      </c>
      <c r="N440" s="125" t="s">
        <v>264</v>
      </c>
      <c r="O440" s="126" t="s">
        <v>207</v>
      </c>
      <c r="P440" s="127" t="s">
        <v>1749</v>
      </c>
      <c r="Q440" s="128"/>
      <c r="R440" s="128"/>
      <c r="S440" s="129">
        <v>98.805000000000007</v>
      </c>
      <c r="T440" s="130" t="s">
        <v>1750</v>
      </c>
      <c r="U440" s="131">
        <v>45443</v>
      </c>
      <c r="V440" s="132"/>
      <c r="W440" s="133"/>
      <c r="X440" s="134" t="s">
        <v>1592</v>
      </c>
      <c r="Y440" s="135" t="s">
        <v>912</v>
      </c>
      <c r="Z440" s="128" t="s">
        <v>57</v>
      </c>
      <c r="AA440" s="128"/>
      <c r="AB440" s="136" t="s">
        <v>256</v>
      </c>
      <c r="AC440" s="137" t="s">
        <v>914</v>
      </c>
      <c r="AD440" s="136" t="s">
        <v>915</v>
      </c>
      <c r="AE440" s="136" t="s">
        <v>916</v>
      </c>
      <c r="AF440" s="136" t="s">
        <v>59</v>
      </c>
      <c r="AG440" s="136" t="s">
        <v>59</v>
      </c>
      <c r="AH440" s="138">
        <v>-98.805000000000007</v>
      </c>
      <c r="AI440" s="139" t="s">
        <v>58</v>
      </c>
      <c r="AJ440" s="139" t="s">
        <v>59</v>
      </c>
    </row>
    <row r="441" spans="1:36" ht="15.75" x14ac:dyDescent="0.25">
      <c r="A441" s="115">
        <v>16641</v>
      </c>
      <c r="B441" s="116" t="s">
        <v>36</v>
      </c>
      <c r="C441" s="117" t="s">
        <v>37</v>
      </c>
      <c r="D441" s="118" t="s">
        <v>36</v>
      </c>
      <c r="E441" s="119" t="s">
        <v>38</v>
      </c>
      <c r="F441" s="140" t="s">
        <v>39</v>
      </c>
      <c r="G441" s="118" t="s">
        <v>40</v>
      </c>
      <c r="H441" s="121" t="s">
        <v>41</v>
      </c>
      <c r="I441" s="120" t="s">
        <v>301</v>
      </c>
      <c r="J441" s="122" t="s">
        <v>302</v>
      </c>
      <c r="K441" s="123" t="s">
        <v>303</v>
      </c>
      <c r="L441" t="s">
        <v>326</v>
      </c>
      <c r="M441" s="124" t="s">
        <v>327</v>
      </c>
      <c r="N441" s="125" t="s">
        <v>328</v>
      </c>
      <c r="O441" s="126" t="s">
        <v>207</v>
      </c>
      <c r="P441" s="127" t="s">
        <v>1749</v>
      </c>
      <c r="Q441" s="128"/>
      <c r="R441" s="128"/>
      <c r="S441" s="129">
        <v>98.805000000000007</v>
      </c>
      <c r="T441" s="130" t="s">
        <v>1750</v>
      </c>
      <c r="U441" s="131">
        <v>45443</v>
      </c>
      <c r="V441" s="132"/>
      <c r="W441" s="133"/>
      <c r="X441" s="134" t="s">
        <v>1592</v>
      </c>
      <c r="Y441" s="135" t="s">
        <v>912</v>
      </c>
      <c r="Z441" s="128" t="s">
        <v>57</v>
      </c>
      <c r="AA441" s="128"/>
      <c r="AB441" s="136" t="s">
        <v>256</v>
      </c>
      <c r="AC441" s="137" t="s">
        <v>914</v>
      </c>
      <c r="AD441" s="136" t="s">
        <v>961</v>
      </c>
      <c r="AE441" s="136" t="s">
        <v>962</v>
      </c>
      <c r="AF441" s="136" t="s">
        <v>59</v>
      </c>
      <c r="AG441" s="136" t="s">
        <v>59</v>
      </c>
      <c r="AH441" s="138">
        <v>-98.805000000000007</v>
      </c>
      <c r="AI441" s="139" t="s">
        <v>58</v>
      </c>
      <c r="AJ441" s="139" t="s">
        <v>157</v>
      </c>
    </row>
    <row r="442" spans="1:36" ht="15.75" x14ac:dyDescent="0.25">
      <c r="A442" s="115">
        <v>16674</v>
      </c>
      <c r="B442" s="116" t="s">
        <v>36</v>
      </c>
      <c r="C442" s="117" t="s">
        <v>37</v>
      </c>
      <c r="D442" s="118" t="s">
        <v>36</v>
      </c>
      <c r="E442" s="119" t="s">
        <v>38</v>
      </c>
      <c r="F442" s="120" t="s">
        <v>39</v>
      </c>
      <c r="G442" s="118" t="s">
        <v>40</v>
      </c>
      <c r="H442" s="121" t="s">
        <v>41</v>
      </c>
      <c r="I442" s="120" t="s">
        <v>1319</v>
      </c>
      <c r="J442" s="122" t="s">
        <v>1320</v>
      </c>
      <c r="K442" s="123" t="s">
        <v>1321</v>
      </c>
      <c r="L442" t="s">
        <v>204</v>
      </c>
      <c r="M442" s="124" t="s">
        <v>205</v>
      </c>
      <c r="N442" s="125" t="s">
        <v>206</v>
      </c>
      <c r="O442" s="126" t="s">
        <v>207</v>
      </c>
      <c r="P442" s="127" t="s">
        <v>1751</v>
      </c>
      <c r="Q442" s="128"/>
      <c r="R442" s="128"/>
      <c r="S442" s="129">
        <v>30</v>
      </c>
      <c r="T442" s="130" t="s">
        <v>1752</v>
      </c>
      <c r="U442" s="131">
        <v>45443</v>
      </c>
      <c r="V442" s="132"/>
      <c r="W442" s="133"/>
      <c r="X442" s="134" t="s">
        <v>1326</v>
      </c>
      <c r="Y442" s="135" t="s">
        <v>912</v>
      </c>
      <c r="Z442" s="128" t="s">
        <v>57</v>
      </c>
      <c r="AA442" s="128"/>
      <c r="AB442" s="136" t="s">
        <v>256</v>
      </c>
      <c r="AC442" s="137" t="s">
        <v>952</v>
      </c>
      <c r="AD442" s="136" t="s">
        <v>915</v>
      </c>
      <c r="AE442" s="136" t="s">
        <v>916</v>
      </c>
      <c r="AF442" s="136" t="s">
        <v>157</v>
      </c>
      <c r="AG442" s="136" t="s">
        <v>59</v>
      </c>
      <c r="AH442" s="138">
        <v>-30</v>
      </c>
      <c r="AI442" s="139" t="s">
        <v>58</v>
      </c>
      <c r="AJ442" s="139" t="s">
        <v>59</v>
      </c>
    </row>
    <row r="443" spans="1:36" ht="15.75" x14ac:dyDescent="0.25">
      <c r="A443" s="115">
        <v>16743</v>
      </c>
      <c r="B443" s="116" t="s">
        <v>36</v>
      </c>
      <c r="C443" s="117" t="s">
        <v>37</v>
      </c>
      <c r="D443" s="118" t="s">
        <v>36</v>
      </c>
      <c r="E443" s="119" t="s">
        <v>38</v>
      </c>
      <c r="F443" s="120" t="s">
        <v>39</v>
      </c>
      <c r="G443" s="118" t="s">
        <v>40</v>
      </c>
      <c r="H443" s="121" t="s">
        <v>41</v>
      </c>
      <c r="I443" s="120" t="s">
        <v>1319</v>
      </c>
      <c r="J443" s="122" t="s">
        <v>1320</v>
      </c>
      <c r="K443" s="123" t="s">
        <v>1321</v>
      </c>
      <c r="L443" t="s">
        <v>868</v>
      </c>
      <c r="M443" s="124" t="s">
        <v>869</v>
      </c>
      <c r="N443" s="125" t="s">
        <v>870</v>
      </c>
      <c r="O443" s="126" t="s">
        <v>207</v>
      </c>
      <c r="P443" s="127" t="s">
        <v>1753</v>
      </c>
      <c r="Q443" s="128">
        <v>27</v>
      </c>
      <c r="R443" s="128">
        <v>27</v>
      </c>
      <c r="S443" s="129">
        <v>27</v>
      </c>
      <c r="T443" s="130" t="s">
        <v>1754</v>
      </c>
      <c r="U443" s="131">
        <v>45444</v>
      </c>
      <c r="V443" s="132">
        <v>45444</v>
      </c>
      <c r="W443" s="133">
        <v>10839</v>
      </c>
      <c r="X443" s="134" t="s">
        <v>1755</v>
      </c>
      <c r="Y443" s="135" t="s">
        <v>912</v>
      </c>
      <c r="Z443" s="128" t="s">
        <v>57</v>
      </c>
      <c r="AA443" s="128"/>
      <c r="AB443" s="136"/>
      <c r="AC443" s="137"/>
      <c r="AD443" s="136"/>
      <c r="AE443" s="136"/>
      <c r="AF443" s="136"/>
      <c r="AG443" s="136"/>
      <c r="AH443" s="138">
        <v>-27</v>
      </c>
      <c r="AI443" s="139" t="s">
        <v>58</v>
      </c>
      <c r="AJ443" s="139" t="s">
        <v>157</v>
      </c>
    </row>
    <row r="444" spans="1:36" ht="15.75" x14ac:dyDescent="0.25">
      <c r="A444" s="115">
        <v>16880</v>
      </c>
      <c r="B444" s="116" t="s">
        <v>36</v>
      </c>
      <c r="C444" s="117" t="s">
        <v>37</v>
      </c>
      <c r="D444" s="118" t="s">
        <v>36</v>
      </c>
      <c r="E444" s="119" t="s">
        <v>38</v>
      </c>
      <c r="F444" s="120" t="s">
        <v>39</v>
      </c>
      <c r="G444" s="118" t="s">
        <v>40</v>
      </c>
      <c r="H444" s="121" t="s">
        <v>41</v>
      </c>
      <c r="I444" s="120" t="s">
        <v>1319</v>
      </c>
      <c r="J444" s="122" t="s">
        <v>1320</v>
      </c>
      <c r="K444" s="123" t="s">
        <v>1321</v>
      </c>
      <c r="L444" t="s">
        <v>1173</v>
      </c>
      <c r="M444" s="124" t="s">
        <v>1174</v>
      </c>
      <c r="N444" s="125" t="s">
        <v>1175</v>
      </c>
      <c r="O444" s="126" t="s">
        <v>207</v>
      </c>
      <c r="P444" s="127" t="s">
        <v>1756</v>
      </c>
      <c r="Q444" s="128">
        <v>27</v>
      </c>
      <c r="R444" s="128">
        <v>27</v>
      </c>
      <c r="S444" s="129">
        <v>27</v>
      </c>
      <c r="T444" s="130" t="s">
        <v>1754</v>
      </c>
      <c r="U444" s="131">
        <v>45444</v>
      </c>
      <c r="V444" s="132">
        <v>45444</v>
      </c>
      <c r="W444" s="133">
        <v>10838</v>
      </c>
      <c r="X444" s="134" t="s">
        <v>1757</v>
      </c>
      <c r="Y444" s="135" t="s">
        <v>912</v>
      </c>
      <c r="Z444" s="128" t="s">
        <v>57</v>
      </c>
      <c r="AA444" s="128"/>
      <c r="AB444" s="136"/>
      <c r="AC444" s="137"/>
      <c r="AD444" s="136"/>
      <c r="AE444" s="136"/>
      <c r="AF444" s="136"/>
      <c r="AG444" s="136"/>
      <c r="AH444" s="138">
        <v>-27</v>
      </c>
      <c r="AI444" s="139" t="s">
        <v>58</v>
      </c>
      <c r="AJ444" s="139" t="s">
        <v>157</v>
      </c>
    </row>
    <row r="445" spans="1:36" ht="15.75" x14ac:dyDescent="0.25">
      <c r="A445" s="115">
        <v>17229</v>
      </c>
      <c r="B445" s="116" t="s">
        <v>36</v>
      </c>
      <c r="C445" s="117" t="s">
        <v>37</v>
      </c>
      <c r="D445" s="118" t="s">
        <v>36</v>
      </c>
      <c r="E445" s="119" t="s">
        <v>38</v>
      </c>
      <c r="F445" s="120" t="s">
        <v>39</v>
      </c>
      <c r="G445" s="118" t="s">
        <v>40</v>
      </c>
      <c r="H445" s="121" t="s">
        <v>41</v>
      </c>
      <c r="I445" s="120" t="s">
        <v>524</v>
      </c>
      <c r="J445" s="122" t="s">
        <v>525</v>
      </c>
      <c r="K445" s="123" t="s">
        <v>526</v>
      </c>
      <c r="L445" t="s">
        <v>313</v>
      </c>
      <c r="M445" s="124" t="s">
        <v>314</v>
      </c>
      <c r="N445" s="125" t="s">
        <v>315</v>
      </c>
      <c r="O445" s="126" t="s">
        <v>121</v>
      </c>
      <c r="P445" s="127" t="s">
        <v>1758</v>
      </c>
      <c r="Q445" s="128">
        <v>317.5</v>
      </c>
      <c r="R445" s="128">
        <v>317.5</v>
      </c>
      <c r="S445" s="129">
        <v>317.5</v>
      </c>
      <c r="T445" s="130" t="s">
        <v>1759</v>
      </c>
      <c r="U445" s="131">
        <v>45448</v>
      </c>
      <c r="V445" s="132">
        <v>45478</v>
      </c>
      <c r="W445" s="133">
        <v>8438</v>
      </c>
      <c r="X445" s="134" t="s">
        <v>1760</v>
      </c>
      <c r="Y445" s="135" t="s">
        <v>912</v>
      </c>
      <c r="Z445" s="128" t="s">
        <v>57</v>
      </c>
      <c r="AA445" s="128"/>
      <c r="AB445" s="136"/>
      <c r="AC445" s="137"/>
      <c r="AD445" s="136"/>
      <c r="AE445" s="136"/>
      <c r="AF445" s="136"/>
      <c r="AG445" s="136"/>
      <c r="AH445" s="138">
        <v>-317.5</v>
      </c>
      <c r="AI445" s="139" t="s">
        <v>58</v>
      </c>
      <c r="AJ445" s="139" t="s">
        <v>59</v>
      </c>
    </row>
    <row r="446" spans="1:36" ht="15.75" x14ac:dyDescent="0.25">
      <c r="A446" s="115">
        <v>31026</v>
      </c>
      <c r="B446" s="116" t="s">
        <v>36</v>
      </c>
      <c r="C446" s="117" t="s">
        <v>37</v>
      </c>
      <c r="D446" s="118" t="s">
        <v>36</v>
      </c>
      <c r="E446" s="119" t="s">
        <v>38</v>
      </c>
      <c r="F446" s="140" t="s">
        <v>39</v>
      </c>
      <c r="G446" s="118" t="s">
        <v>40</v>
      </c>
      <c r="H446" s="121" t="s">
        <v>41</v>
      </c>
      <c r="I446" s="120" t="s">
        <v>301</v>
      </c>
      <c r="J446" s="122" t="s">
        <v>1384</v>
      </c>
      <c r="K446" s="123" t="s">
        <v>1385</v>
      </c>
      <c r="L446" t="s">
        <v>150</v>
      </c>
      <c r="M446" s="124" t="s">
        <v>151</v>
      </c>
      <c r="N446" s="125" t="s">
        <v>152</v>
      </c>
      <c r="O446" s="126" t="s">
        <v>121</v>
      </c>
      <c r="P446" s="127" t="s">
        <v>1408</v>
      </c>
      <c r="Q446" s="128">
        <v>1750</v>
      </c>
      <c r="R446" s="128">
        <v>1750</v>
      </c>
      <c r="S446" s="129">
        <v>1750</v>
      </c>
      <c r="T446" s="130" t="s">
        <v>1409</v>
      </c>
      <c r="U446" s="131">
        <v>45601</v>
      </c>
      <c r="V446" s="132">
        <v>45601</v>
      </c>
      <c r="W446" s="133">
        <v>9331</v>
      </c>
      <c r="X446" s="134" t="s">
        <v>312</v>
      </c>
      <c r="Y446" s="135" t="s">
        <v>912</v>
      </c>
      <c r="Z446" s="128" t="s">
        <v>57</v>
      </c>
      <c r="AA446" s="128"/>
      <c r="AB446" s="136"/>
      <c r="AC446" s="137"/>
      <c r="AD446" s="136"/>
      <c r="AE446" s="136"/>
      <c r="AF446" s="136"/>
      <c r="AG446" s="136"/>
      <c r="AH446" s="138">
        <v>-1750</v>
      </c>
      <c r="AI446" s="139" t="s">
        <v>58</v>
      </c>
      <c r="AJ446" s="139" t="s">
        <v>157</v>
      </c>
    </row>
    <row r="447" spans="1:36" ht="15.75" x14ac:dyDescent="0.25">
      <c r="A447" s="115">
        <v>17486</v>
      </c>
      <c r="B447" s="116" t="s">
        <v>36</v>
      </c>
      <c r="C447" s="117" t="s">
        <v>37</v>
      </c>
      <c r="D447" s="118" t="s">
        <v>36</v>
      </c>
      <c r="E447" s="119" t="s">
        <v>38</v>
      </c>
      <c r="F447" s="120" t="s">
        <v>39</v>
      </c>
      <c r="G447" s="118" t="s">
        <v>40</v>
      </c>
      <c r="H447" s="121" t="s">
        <v>41</v>
      </c>
      <c r="I447" s="120" t="s">
        <v>1319</v>
      </c>
      <c r="J447" s="122" t="s">
        <v>1320</v>
      </c>
      <c r="K447" s="123" t="s">
        <v>1321</v>
      </c>
      <c r="L447" t="s">
        <v>83</v>
      </c>
      <c r="M447" s="124" t="s">
        <v>84</v>
      </c>
      <c r="N447" s="125" t="s">
        <v>85</v>
      </c>
      <c r="O447" s="126" t="s">
        <v>909</v>
      </c>
      <c r="P447" s="127"/>
      <c r="Q447" s="128"/>
      <c r="R447" s="128"/>
      <c r="S447" s="129">
        <v>9000</v>
      </c>
      <c r="T447" s="130" t="s">
        <v>1595</v>
      </c>
      <c r="U447" s="131">
        <v>45450</v>
      </c>
      <c r="V447" s="132"/>
      <c r="W447" s="133"/>
      <c r="X447" s="134" t="s">
        <v>1761</v>
      </c>
      <c r="Y447" s="135" t="s">
        <v>912</v>
      </c>
      <c r="Z447" s="128" t="s">
        <v>96</v>
      </c>
      <c r="AA447" s="128" t="s">
        <v>939</v>
      </c>
      <c r="AB447" s="136"/>
      <c r="AC447" s="137"/>
      <c r="AD447" s="136"/>
      <c r="AE447" s="136"/>
      <c r="AF447" s="136"/>
      <c r="AG447" s="136"/>
      <c r="AH447" s="138">
        <v>-9000</v>
      </c>
      <c r="AI447" s="139" t="s">
        <v>58</v>
      </c>
      <c r="AJ447" s="139" t="s">
        <v>59</v>
      </c>
    </row>
    <row r="448" spans="1:36" ht="15.75" x14ac:dyDescent="0.25">
      <c r="A448" s="115">
        <v>17543</v>
      </c>
      <c r="B448" s="116" t="s">
        <v>36</v>
      </c>
      <c r="C448" s="117" t="s">
        <v>37</v>
      </c>
      <c r="D448" s="118" t="s">
        <v>36</v>
      </c>
      <c r="E448" s="119" t="s">
        <v>38</v>
      </c>
      <c r="F448" s="140" t="s">
        <v>39</v>
      </c>
      <c r="G448" s="118" t="s">
        <v>40</v>
      </c>
      <c r="H448" s="121" t="s">
        <v>41</v>
      </c>
      <c r="I448" s="120" t="s">
        <v>301</v>
      </c>
      <c r="J448" s="122" t="s">
        <v>302</v>
      </c>
      <c r="K448" s="123" t="s">
        <v>303</v>
      </c>
      <c r="L448" t="s">
        <v>63</v>
      </c>
      <c r="M448" s="124" t="s">
        <v>64</v>
      </c>
      <c r="N448" s="125" t="s">
        <v>65</v>
      </c>
      <c r="O448" s="126" t="s">
        <v>207</v>
      </c>
      <c r="P448" s="127" t="s">
        <v>1590</v>
      </c>
      <c r="Q448" s="128">
        <v>1071.01</v>
      </c>
      <c r="R448" s="128">
        <v>1071.01</v>
      </c>
      <c r="S448" s="129">
        <v>267.7525</v>
      </c>
      <c r="T448" s="130" t="s">
        <v>1591</v>
      </c>
      <c r="U448" s="131">
        <v>45450</v>
      </c>
      <c r="V448" s="132">
        <v>45450</v>
      </c>
      <c r="W448" s="133">
        <v>9150</v>
      </c>
      <c r="X448" s="134" t="s">
        <v>1592</v>
      </c>
      <c r="Y448" s="135" t="s">
        <v>912</v>
      </c>
      <c r="Z448" s="128" t="s">
        <v>57</v>
      </c>
      <c r="AA448" s="128"/>
      <c r="AB448" s="136"/>
      <c r="AC448" s="137"/>
      <c r="AD448" s="136"/>
      <c r="AE448" s="136"/>
      <c r="AF448" s="136"/>
      <c r="AG448" s="136"/>
      <c r="AH448" s="138">
        <v>-267.7525</v>
      </c>
      <c r="AI448" s="139" t="s">
        <v>58</v>
      </c>
      <c r="AJ448" s="139" t="s">
        <v>59</v>
      </c>
    </row>
    <row r="449" spans="1:36" ht="15.75" x14ac:dyDescent="0.25">
      <c r="A449" s="115">
        <v>17544</v>
      </c>
      <c r="B449" s="116" t="s">
        <v>36</v>
      </c>
      <c r="C449" s="117" t="s">
        <v>37</v>
      </c>
      <c r="D449" s="118" t="s">
        <v>36</v>
      </c>
      <c r="E449" s="119" t="s">
        <v>38</v>
      </c>
      <c r="F449" s="140" t="s">
        <v>39</v>
      </c>
      <c r="G449" s="118" t="s">
        <v>40</v>
      </c>
      <c r="H449" s="121" t="s">
        <v>41</v>
      </c>
      <c r="I449" s="120" t="s">
        <v>301</v>
      </c>
      <c r="J449" s="122" t="s">
        <v>302</v>
      </c>
      <c r="K449" s="123" t="s">
        <v>303</v>
      </c>
      <c r="L449" t="s">
        <v>262</v>
      </c>
      <c r="M449" s="124" t="s">
        <v>263</v>
      </c>
      <c r="N449" s="125" t="s">
        <v>264</v>
      </c>
      <c r="O449" s="126" t="s">
        <v>207</v>
      </c>
      <c r="P449" s="127" t="s">
        <v>1590</v>
      </c>
      <c r="Q449" s="128">
        <v>1071.01</v>
      </c>
      <c r="R449" s="128">
        <v>1071.01</v>
      </c>
      <c r="S449" s="129">
        <v>267.7525</v>
      </c>
      <c r="T449" s="130" t="s">
        <v>1591</v>
      </c>
      <c r="U449" s="131">
        <v>45450</v>
      </c>
      <c r="V449" s="132">
        <v>45450</v>
      </c>
      <c r="W449" s="133">
        <v>9150</v>
      </c>
      <c r="X449" s="134" t="s">
        <v>1592</v>
      </c>
      <c r="Y449" s="135" t="s">
        <v>912</v>
      </c>
      <c r="Z449" s="128" t="s">
        <v>57</v>
      </c>
      <c r="AA449" s="128"/>
      <c r="AB449" s="136"/>
      <c r="AC449" s="137"/>
      <c r="AD449" s="136"/>
      <c r="AE449" s="136"/>
      <c r="AF449" s="136"/>
      <c r="AG449" s="136"/>
      <c r="AH449" s="138">
        <v>-267.7525</v>
      </c>
      <c r="AI449" s="139" t="s">
        <v>58</v>
      </c>
      <c r="AJ449" s="139" t="s">
        <v>59</v>
      </c>
    </row>
    <row r="450" spans="1:36" ht="15.75" x14ac:dyDescent="0.25">
      <c r="A450" s="115">
        <v>17545</v>
      </c>
      <c r="B450" s="116" t="s">
        <v>36</v>
      </c>
      <c r="C450" s="117" t="s">
        <v>37</v>
      </c>
      <c r="D450" s="118" t="s">
        <v>36</v>
      </c>
      <c r="E450" s="119" t="s">
        <v>38</v>
      </c>
      <c r="F450" s="140" t="s">
        <v>39</v>
      </c>
      <c r="G450" s="118" t="s">
        <v>40</v>
      </c>
      <c r="H450" s="121" t="s">
        <v>41</v>
      </c>
      <c r="I450" s="120" t="s">
        <v>301</v>
      </c>
      <c r="J450" s="122" t="s">
        <v>302</v>
      </c>
      <c r="K450" s="123" t="s">
        <v>303</v>
      </c>
      <c r="L450" t="s">
        <v>326</v>
      </c>
      <c r="M450" s="124" t="s">
        <v>327</v>
      </c>
      <c r="N450" s="125" t="s">
        <v>328</v>
      </c>
      <c r="O450" s="126" t="s">
        <v>207</v>
      </c>
      <c r="P450" s="127" t="s">
        <v>1590</v>
      </c>
      <c r="Q450" s="128">
        <v>1071.01</v>
      </c>
      <c r="R450" s="128">
        <v>1071.01</v>
      </c>
      <c r="S450" s="129">
        <v>267.7525</v>
      </c>
      <c r="T450" s="130" t="s">
        <v>1591</v>
      </c>
      <c r="U450" s="131">
        <v>45450</v>
      </c>
      <c r="V450" s="132">
        <v>45450</v>
      </c>
      <c r="W450" s="133">
        <v>9150</v>
      </c>
      <c r="X450" s="134" t="s">
        <v>1592</v>
      </c>
      <c r="Y450" s="135" t="s">
        <v>912</v>
      </c>
      <c r="Z450" s="128" t="s">
        <v>57</v>
      </c>
      <c r="AA450" s="128"/>
      <c r="AB450" s="136"/>
      <c r="AC450" s="137"/>
      <c r="AD450" s="136"/>
      <c r="AE450" s="136"/>
      <c r="AF450" s="136"/>
      <c r="AG450" s="136"/>
      <c r="AH450" s="138">
        <v>-267.7525</v>
      </c>
      <c r="AI450" s="139" t="s">
        <v>58</v>
      </c>
      <c r="AJ450" s="139" t="s">
        <v>157</v>
      </c>
    </row>
    <row r="451" spans="1:36" ht="15.75" x14ac:dyDescent="0.25">
      <c r="A451" s="115">
        <v>17573</v>
      </c>
      <c r="B451" s="116" t="s">
        <v>36</v>
      </c>
      <c r="C451" s="117" t="s">
        <v>37</v>
      </c>
      <c r="D451" s="118" t="s">
        <v>36</v>
      </c>
      <c r="E451" s="119" t="s">
        <v>38</v>
      </c>
      <c r="F451" s="120" t="s">
        <v>39</v>
      </c>
      <c r="G451" s="118" t="s">
        <v>40</v>
      </c>
      <c r="H451" s="121" t="s">
        <v>41</v>
      </c>
      <c r="I451" s="120" t="s">
        <v>1319</v>
      </c>
      <c r="J451" s="122" t="s">
        <v>1320</v>
      </c>
      <c r="K451" s="123" t="s">
        <v>1321</v>
      </c>
      <c r="L451" t="s">
        <v>262</v>
      </c>
      <c r="M451" s="124" t="s">
        <v>263</v>
      </c>
      <c r="N451" s="125" t="s">
        <v>264</v>
      </c>
      <c r="O451" s="126" t="s">
        <v>207</v>
      </c>
      <c r="P451" s="127" t="s">
        <v>1762</v>
      </c>
      <c r="Q451" s="128">
        <v>122</v>
      </c>
      <c r="R451" s="128">
        <v>122</v>
      </c>
      <c r="S451" s="129">
        <v>122</v>
      </c>
      <c r="T451" s="130" t="s">
        <v>1763</v>
      </c>
      <c r="U451" s="131">
        <v>45450</v>
      </c>
      <c r="V451" s="132">
        <v>45450</v>
      </c>
      <c r="W451" s="133">
        <v>10485</v>
      </c>
      <c r="X451" s="134" t="s">
        <v>1326</v>
      </c>
      <c r="Y451" s="135" t="s">
        <v>912</v>
      </c>
      <c r="Z451" s="128" t="s">
        <v>57</v>
      </c>
      <c r="AA451" s="128"/>
      <c r="AB451" s="136"/>
      <c r="AC451" s="137"/>
      <c r="AD451" s="136"/>
      <c r="AE451" s="136"/>
      <c r="AF451" s="136"/>
      <c r="AG451" s="136"/>
      <c r="AH451" s="138">
        <v>-122</v>
      </c>
      <c r="AI451" s="139" t="s">
        <v>58</v>
      </c>
      <c r="AJ451" s="139" t="s">
        <v>59</v>
      </c>
    </row>
    <row r="452" spans="1:36" ht="15.75" x14ac:dyDescent="0.25">
      <c r="A452" s="115">
        <v>17638</v>
      </c>
      <c r="B452" s="116" t="s">
        <v>36</v>
      </c>
      <c r="C452" s="117" t="s">
        <v>37</v>
      </c>
      <c r="D452" s="118" t="s">
        <v>36</v>
      </c>
      <c r="E452" s="119" t="s">
        <v>38</v>
      </c>
      <c r="F452" s="120" t="s">
        <v>39</v>
      </c>
      <c r="G452" s="118" t="s">
        <v>40</v>
      </c>
      <c r="H452" s="121" t="s">
        <v>41</v>
      </c>
      <c r="I452" s="120" t="s">
        <v>301</v>
      </c>
      <c r="J452" s="122" t="s">
        <v>302</v>
      </c>
      <c r="K452" s="123" t="s">
        <v>303</v>
      </c>
      <c r="L452" t="s">
        <v>1764</v>
      </c>
      <c r="M452" s="124" t="s">
        <v>1765</v>
      </c>
      <c r="N452" s="125" t="s">
        <v>1766</v>
      </c>
      <c r="O452" s="126" t="s">
        <v>1767</v>
      </c>
      <c r="P452" s="127" t="s">
        <v>1768</v>
      </c>
      <c r="Q452" s="128">
        <v>90.09</v>
      </c>
      <c r="R452" s="128">
        <v>90.09</v>
      </c>
      <c r="S452" s="129">
        <v>90.09</v>
      </c>
      <c r="T452" s="130" t="s">
        <v>1769</v>
      </c>
      <c r="U452" s="131">
        <v>45453</v>
      </c>
      <c r="V452" s="132">
        <v>45460</v>
      </c>
      <c r="W452" s="133">
        <v>10213</v>
      </c>
      <c r="X452" s="134" t="s">
        <v>1770</v>
      </c>
      <c r="Y452" s="135" t="s">
        <v>912</v>
      </c>
      <c r="Z452" s="128" t="s">
        <v>57</v>
      </c>
      <c r="AA452" s="128"/>
      <c r="AB452" s="136"/>
      <c r="AC452" s="137"/>
      <c r="AD452" s="136"/>
      <c r="AE452" s="136"/>
      <c r="AF452" s="136"/>
      <c r="AG452" s="136"/>
      <c r="AH452" s="138">
        <v>-90.09</v>
      </c>
      <c r="AI452" s="139" t="s">
        <v>58</v>
      </c>
      <c r="AJ452" s="139" t="s">
        <v>59</v>
      </c>
    </row>
    <row r="453" spans="1:36" ht="15.75" x14ac:dyDescent="0.25">
      <c r="A453" s="115">
        <v>17639</v>
      </c>
      <c r="B453" s="116" t="s">
        <v>36</v>
      </c>
      <c r="C453" s="117" t="s">
        <v>37</v>
      </c>
      <c r="D453" s="118" t="s">
        <v>36</v>
      </c>
      <c r="E453" s="119" t="s">
        <v>38</v>
      </c>
      <c r="F453" s="120" t="s">
        <v>39</v>
      </c>
      <c r="G453" s="118" t="s">
        <v>40</v>
      </c>
      <c r="H453" s="121" t="s">
        <v>41</v>
      </c>
      <c r="I453" s="120" t="s">
        <v>301</v>
      </c>
      <c r="J453" s="122" t="s">
        <v>302</v>
      </c>
      <c r="K453" s="123" t="s">
        <v>303</v>
      </c>
      <c r="L453" t="s">
        <v>1764</v>
      </c>
      <c r="M453" s="124" t="s">
        <v>1765</v>
      </c>
      <c r="N453" s="125" t="s">
        <v>1766</v>
      </c>
      <c r="O453" s="126" t="s">
        <v>1767</v>
      </c>
      <c r="P453" s="127" t="s">
        <v>1771</v>
      </c>
      <c r="Q453" s="128">
        <v>90.09</v>
      </c>
      <c r="R453" s="128">
        <v>90.09</v>
      </c>
      <c r="S453" s="129">
        <v>90.09</v>
      </c>
      <c r="T453" s="130" t="s">
        <v>1772</v>
      </c>
      <c r="U453" s="131">
        <v>45453</v>
      </c>
      <c r="V453" s="132">
        <v>45460</v>
      </c>
      <c r="W453" s="133">
        <v>10213</v>
      </c>
      <c r="X453" s="134" t="s">
        <v>1770</v>
      </c>
      <c r="Y453" s="135" t="s">
        <v>912</v>
      </c>
      <c r="Z453" s="128" t="s">
        <v>57</v>
      </c>
      <c r="AA453" s="128"/>
      <c r="AB453" s="136"/>
      <c r="AC453" s="137"/>
      <c r="AD453" s="136"/>
      <c r="AE453" s="136"/>
      <c r="AF453" s="136"/>
      <c r="AG453" s="136"/>
      <c r="AH453" s="138">
        <v>-90.09</v>
      </c>
      <c r="AI453" s="139" t="s">
        <v>58</v>
      </c>
      <c r="AJ453" s="139" t="s">
        <v>59</v>
      </c>
    </row>
    <row r="454" spans="1:36" ht="15.75" x14ac:dyDescent="0.25">
      <c r="A454" s="115">
        <v>17722</v>
      </c>
      <c r="B454" s="116" t="s">
        <v>36</v>
      </c>
      <c r="C454" s="117" t="s">
        <v>37</v>
      </c>
      <c r="D454" s="118" t="s">
        <v>36</v>
      </c>
      <c r="E454" s="119" t="s">
        <v>38</v>
      </c>
      <c r="F454" s="140" t="s">
        <v>39</v>
      </c>
      <c r="G454" s="118" t="s">
        <v>40</v>
      </c>
      <c r="H454" s="121" t="s">
        <v>41</v>
      </c>
      <c r="I454" s="120" t="s">
        <v>524</v>
      </c>
      <c r="J454" s="122" t="s">
        <v>525</v>
      </c>
      <c r="K454" s="123" t="s">
        <v>526</v>
      </c>
      <c r="L454" t="s">
        <v>204</v>
      </c>
      <c r="M454" s="124" t="s">
        <v>205</v>
      </c>
      <c r="N454" s="125" t="s">
        <v>206</v>
      </c>
      <c r="O454" s="126" t="s">
        <v>929</v>
      </c>
      <c r="P454" s="127"/>
      <c r="Q454" s="128"/>
      <c r="R454" s="128"/>
      <c r="S454" s="129">
        <v>166.08</v>
      </c>
      <c r="T454" s="130" t="s">
        <v>1327</v>
      </c>
      <c r="U454" s="131">
        <v>45453</v>
      </c>
      <c r="V454" s="132"/>
      <c r="W454" s="133"/>
      <c r="X454" s="134" t="s">
        <v>1773</v>
      </c>
      <c r="Y454" s="135" t="s">
        <v>912</v>
      </c>
      <c r="Z454" s="128" t="s">
        <v>96</v>
      </c>
      <c r="AA454" s="128" t="s">
        <v>1648</v>
      </c>
      <c r="AB454" s="136"/>
      <c r="AC454" s="137"/>
      <c r="AD454" s="136"/>
      <c r="AE454" s="136"/>
      <c r="AF454" s="136"/>
      <c r="AG454" s="136"/>
      <c r="AH454" s="138">
        <v>-166.08</v>
      </c>
      <c r="AI454" s="139" t="s">
        <v>58</v>
      </c>
      <c r="AJ454" s="139" t="s">
        <v>59</v>
      </c>
    </row>
    <row r="455" spans="1:36" ht="15.75" x14ac:dyDescent="0.25">
      <c r="A455" s="115">
        <v>17742</v>
      </c>
      <c r="B455" s="116" t="s">
        <v>36</v>
      </c>
      <c r="C455" s="117" t="s">
        <v>37</v>
      </c>
      <c r="D455" s="118" t="s">
        <v>36</v>
      </c>
      <c r="E455" s="119" t="s">
        <v>38</v>
      </c>
      <c r="F455" s="120" t="s">
        <v>39</v>
      </c>
      <c r="G455" s="118" t="s">
        <v>40</v>
      </c>
      <c r="H455" s="121" t="s">
        <v>41</v>
      </c>
      <c r="I455" s="120" t="s">
        <v>524</v>
      </c>
      <c r="J455" s="122" t="s">
        <v>525</v>
      </c>
      <c r="K455" s="123" t="s">
        <v>526</v>
      </c>
      <c r="L455" t="s">
        <v>262</v>
      </c>
      <c r="M455" s="124" t="s">
        <v>263</v>
      </c>
      <c r="N455" s="125" t="s">
        <v>264</v>
      </c>
      <c r="O455" s="126" t="s">
        <v>929</v>
      </c>
      <c r="P455" s="127"/>
      <c r="Q455" s="128"/>
      <c r="R455" s="128"/>
      <c r="S455" s="129">
        <v>12400.13</v>
      </c>
      <c r="T455" s="130" t="s">
        <v>1327</v>
      </c>
      <c r="U455" s="131">
        <v>45453</v>
      </c>
      <c r="V455" s="132"/>
      <c r="W455" s="133"/>
      <c r="X455" s="134" t="s">
        <v>945</v>
      </c>
      <c r="Y455" s="135" t="s">
        <v>912</v>
      </c>
      <c r="Z455" s="128" t="s">
        <v>96</v>
      </c>
      <c r="AA455" s="128" t="s">
        <v>932</v>
      </c>
      <c r="AB455" s="136"/>
      <c r="AC455" s="137"/>
      <c r="AD455" s="136"/>
      <c r="AE455" s="136"/>
      <c r="AF455" s="136"/>
      <c r="AG455" s="136"/>
      <c r="AH455" s="138">
        <v>-12400.13</v>
      </c>
      <c r="AI455" s="139" t="s">
        <v>58</v>
      </c>
      <c r="AJ455" s="139" t="s">
        <v>59</v>
      </c>
    </row>
    <row r="456" spans="1:36" ht="15.75" x14ac:dyDescent="0.25">
      <c r="A456" s="115">
        <v>17847</v>
      </c>
      <c r="B456" s="116" t="s">
        <v>36</v>
      </c>
      <c r="C456" s="117" t="s">
        <v>37</v>
      </c>
      <c r="D456" s="118" t="s">
        <v>36</v>
      </c>
      <c r="E456" s="119" t="s">
        <v>38</v>
      </c>
      <c r="F456" s="120" t="s">
        <v>39</v>
      </c>
      <c r="G456" s="118" t="s">
        <v>40</v>
      </c>
      <c r="H456" s="121" t="s">
        <v>41</v>
      </c>
      <c r="I456" s="120" t="s">
        <v>1319</v>
      </c>
      <c r="J456" s="122" t="s">
        <v>1320</v>
      </c>
      <c r="K456" s="123" t="s">
        <v>1321</v>
      </c>
      <c r="L456" t="s">
        <v>63</v>
      </c>
      <c r="M456" s="124" t="s">
        <v>64</v>
      </c>
      <c r="N456" s="125" t="s">
        <v>65</v>
      </c>
      <c r="O456" s="126" t="s">
        <v>207</v>
      </c>
      <c r="P456" s="127" t="s">
        <v>1774</v>
      </c>
      <c r="Q456" s="128">
        <v>200</v>
      </c>
      <c r="R456" s="128">
        <v>0</v>
      </c>
      <c r="S456" s="129">
        <v>200</v>
      </c>
      <c r="T456" s="130" t="s">
        <v>256</v>
      </c>
      <c r="U456" s="131">
        <v>45454</v>
      </c>
      <c r="V456" s="132"/>
      <c r="W456" s="133">
        <v>9655</v>
      </c>
      <c r="X456" s="134" t="s">
        <v>1775</v>
      </c>
      <c r="Y456" s="135" t="s">
        <v>912</v>
      </c>
      <c r="Z456" s="128" t="s">
        <v>57</v>
      </c>
      <c r="AA456" s="128"/>
      <c r="AB456" s="136"/>
      <c r="AC456" s="137"/>
      <c r="AD456" s="136"/>
      <c r="AE456" s="136"/>
      <c r="AF456" s="136"/>
      <c r="AG456" s="136"/>
      <c r="AH456" s="138">
        <v>-200</v>
      </c>
      <c r="AI456" s="139" t="s">
        <v>58</v>
      </c>
      <c r="AJ456" s="139" t="s">
        <v>59</v>
      </c>
    </row>
    <row r="457" spans="1:36" ht="15.75" x14ac:dyDescent="0.25">
      <c r="A457" s="115">
        <v>18364</v>
      </c>
      <c r="B457" s="116" t="s">
        <v>36</v>
      </c>
      <c r="C457" s="117" t="s">
        <v>37</v>
      </c>
      <c r="D457" s="118" t="s">
        <v>36</v>
      </c>
      <c r="E457" s="119" t="s">
        <v>38</v>
      </c>
      <c r="F457" s="120" t="s">
        <v>39</v>
      </c>
      <c r="G457" s="118" t="s">
        <v>40</v>
      </c>
      <c r="H457" s="121" t="s">
        <v>41</v>
      </c>
      <c r="I457" s="120" t="s">
        <v>1319</v>
      </c>
      <c r="J457" s="122" t="s">
        <v>1320</v>
      </c>
      <c r="K457" s="123" t="s">
        <v>1321</v>
      </c>
      <c r="L457" t="s">
        <v>204</v>
      </c>
      <c r="M457" s="124" t="s">
        <v>205</v>
      </c>
      <c r="N457" s="125" t="s">
        <v>206</v>
      </c>
      <c r="O457" s="126" t="s">
        <v>207</v>
      </c>
      <c r="P457" s="127" t="s">
        <v>1776</v>
      </c>
      <c r="Q457" s="128">
        <v>30</v>
      </c>
      <c r="R457" s="128">
        <v>30</v>
      </c>
      <c r="S457" s="129">
        <v>30</v>
      </c>
      <c r="T457" s="130" t="s">
        <v>1777</v>
      </c>
      <c r="U457" s="131">
        <v>45457</v>
      </c>
      <c r="V457" s="132">
        <v>45457</v>
      </c>
      <c r="W457" s="133">
        <v>10485</v>
      </c>
      <c r="X457" s="134" t="s">
        <v>1326</v>
      </c>
      <c r="Y457" s="135" t="s">
        <v>912</v>
      </c>
      <c r="Z457" s="128" t="s">
        <v>57</v>
      </c>
      <c r="AA457" s="128"/>
      <c r="AB457" s="136"/>
      <c r="AC457" s="137"/>
      <c r="AD457" s="136"/>
      <c r="AE457" s="136"/>
      <c r="AF457" s="136"/>
      <c r="AG457" s="136"/>
      <c r="AH457" s="138">
        <v>-30</v>
      </c>
      <c r="AI457" s="139" t="s">
        <v>58</v>
      </c>
      <c r="AJ457" s="139" t="s">
        <v>59</v>
      </c>
    </row>
    <row r="458" spans="1:36" ht="15.75" x14ac:dyDescent="0.25">
      <c r="A458" s="115">
        <v>18888</v>
      </c>
      <c r="B458" s="116" t="s">
        <v>36</v>
      </c>
      <c r="C458" s="117" t="s">
        <v>37</v>
      </c>
      <c r="D458" s="118" t="s">
        <v>36</v>
      </c>
      <c r="E458" s="119" t="s">
        <v>38</v>
      </c>
      <c r="F458" s="140" t="s">
        <v>39</v>
      </c>
      <c r="G458" s="118" t="s">
        <v>40</v>
      </c>
      <c r="H458" s="121" t="s">
        <v>41</v>
      </c>
      <c r="I458" s="120" t="s">
        <v>301</v>
      </c>
      <c r="J458" s="122" t="s">
        <v>302</v>
      </c>
      <c r="K458" s="123" t="s">
        <v>303</v>
      </c>
      <c r="L458" t="s">
        <v>868</v>
      </c>
      <c r="M458" s="124" t="s">
        <v>869</v>
      </c>
      <c r="N458" s="125" t="s">
        <v>870</v>
      </c>
      <c r="O458" s="126" t="s">
        <v>1329</v>
      </c>
      <c r="P458" s="127" t="s">
        <v>1330</v>
      </c>
      <c r="Q458" s="128">
        <v>100</v>
      </c>
      <c r="R458" s="128">
        <v>100</v>
      </c>
      <c r="S458" s="129">
        <v>100</v>
      </c>
      <c r="T458" s="130" t="s">
        <v>1778</v>
      </c>
      <c r="U458" s="131">
        <v>45463</v>
      </c>
      <c r="V458" s="132">
        <v>45463</v>
      </c>
      <c r="W458" s="133">
        <v>186</v>
      </c>
      <c r="X458" s="134" t="s">
        <v>258</v>
      </c>
      <c r="Y458" s="135" t="s">
        <v>912</v>
      </c>
      <c r="Z458" s="128" t="s">
        <v>57</v>
      </c>
      <c r="AA458" s="128"/>
      <c r="AB458" s="136"/>
      <c r="AC458" s="137"/>
      <c r="AD458" s="136"/>
      <c r="AE458" s="136"/>
      <c r="AF458" s="136"/>
      <c r="AG458" s="136"/>
      <c r="AH458" s="138">
        <v>-100</v>
      </c>
      <c r="AI458" s="139" t="s">
        <v>58</v>
      </c>
      <c r="AJ458" s="139" t="s">
        <v>157</v>
      </c>
    </row>
    <row r="459" spans="1:36" ht="15.75" x14ac:dyDescent="0.25">
      <c r="A459" s="115">
        <v>18962</v>
      </c>
      <c r="B459" s="116" t="s">
        <v>36</v>
      </c>
      <c r="C459" s="117" t="s">
        <v>37</v>
      </c>
      <c r="D459" s="118" t="s">
        <v>36</v>
      </c>
      <c r="E459" s="119" t="s">
        <v>38</v>
      </c>
      <c r="F459" s="120" t="s">
        <v>39</v>
      </c>
      <c r="G459" s="118" t="s">
        <v>40</v>
      </c>
      <c r="H459" s="121" t="s">
        <v>41</v>
      </c>
      <c r="I459" s="120" t="s">
        <v>42</v>
      </c>
      <c r="J459" s="122" t="s">
        <v>43</v>
      </c>
      <c r="K459" s="123" t="s">
        <v>44</v>
      </c>
      <c r="L459" t="s">
        <v>262</v>
      </c>
      <c r="M459" s="124" t="s">
        <v>263</v>
      </c>
      <c r="N459" s="125" t="s">
        <v>264</v>
      </c>
      <c r="O459" s="126" t="s">
        <v>207</v>
      </c>
      <c r="P459" s="127" t="s">
        <v>1779</v>
      </c>
      <c r="Q459" s="128">
        <v>82.75</v>
      </c>
      <c r="R459" s="128">
        <v>82.75</v>
      </c>
      <c r="S459" s="129">
        <v>82.75</v>
      </c>
      <c r="T459" s="130" t="s">
        <v>1780</v>
      </c>
      <c r="U459" s="131">
        <v>45464</v>
      </c>
      <c r="V459" s="132">
        <v>45464</v>
      </c>
      <c r="W459" s="133">
        <v>10133</v>
      </c>
      <c r="X459" s="134" t="s">
        <v>76</v>
      </c>
      <c r="Y459" s="135" t="s">
        <v>912</v>
      </c>
      <c r="Z459" s="128" t="s">
        <v>57</v>
      </c>
      <c r="AA459" s="128"/>
      <c r="AB459" s="136"/>
      <c r="AC459" s="137"/>
      <c r="AD459" s="136"/>
      <c r="AE459" s="136"/>
      <c r="AF459" s="136"/>
      <c r="AG459" s="136"/>
      <c r="AH459" s="138">
        <v>-82.75</v>
      </c>
      <c r="AI459" s="139" t="s">
        <v>58</v>
      </c>
      <c r="AJ459" s="139" t="s">
        <v>59</v>
      </c>
    </row>
    <row r="460" spans="1:36" ht="15.75" x14ac:dyDescent="0.25">
      <c r="A460" s="115">
        <v>19025</v>
      </c>
      <c r="B460" s="116" t="s">
        <v>36</v>
      </c>
      <c r="C460" s="117" t="s">
        <v>37</v>
      </c>
      <c r="D460" s="118" t="s">
        <v>36</v>
      </c>
      <c r="E460" s="119" t="s">
        <v>38</v>
      </c>
      <c r="F460" s="140" t="s">
        <v>39</v>
      </c>
      <c r="G460" s="118" t="s">
        <v>40</v>
      </c>
      <c r="H460" s="121" t="s">
        <v>41</v>
      </c>
      <c r="I460" s="120" t="s">
        <v>301</v>
      </c>
      <c r="J460" s="122" t="s">
        <v>302</v>
      </c>
      <c r="K460" s="123" t="s">
        <v>303</v>
      </c>
      <c r="L460" t="s">
        <v>262</v>
      </c>
      <c r="M460" s="124" t="s">
        <v>263</v>
      </c>
      <c r="N460" s="125" t="s">
        <v>264</v>
      </c>
      <c r="O460" s="126" t="s">
        <v>121</v>
      </c>
      <c r="P460" s="127" t="s">
        <v>1781</v>
      </c>
      <c r="Q460" s="128">
        <v>128.61000000000001</v>
      </c>
      <c r="R460" s="128">
        <v>128.61000000000001</v>
      </c>
      <c r="S460" s="129">
        <v>64.305000000000007</v>
      </c>
      <c r="T460" s="130" t="s">
        <v>1782</v>
      </c>
      <c r="U460" s="131">
        <v>45464</v>
      </c>
      <c r="V460" s="132">
        <v>45464</v>
      </c>
      <c r="W460" s="133">
        <v>9150</v>
      </c>
      <c r="X460" s="134" t="s">
        <v>1592</v>
      </c>
      <c r="Y460" s="135" t="s">
        <v>912</v>
      </c>
      <c r="Z460" s="128" t="s">
        <v>57</v>
      </c>
      <c r="AA460" s="128"/>
      <c r="AB460" s="136"/>
      <c r="AC460" s="137"/>
      <c r="AD460" s="136"/>
      <c r="AE460" s="136"/>
      <c r="AF460" s="136"/>
      <c r="AG460" s="136"/>
      <c r="AH460" s="138">
        <v>-64.305000000000007</v>
      </c>
      <c r="AI460" s="139" t="s">
        <v>58</v>
      </c>
      <c r="AJ460" s="139" t="s">
        <v>59</v>
      </c>
    </row>
    <row r="461" spans="1:36" ht="15.75" x14ac:dyDescent="0.25">
      <c r="A461" s="115">
        <v>19026</v>
      </c>
      <c r="B461" s="116" t="s">
        <v>36</v>
      </c>
      <c r="C461" s="117" t="s">
        <v>37</v>
      </c>
      <c r="D461" s="118" t="s">
        <v>36</v>
      </c>
      <c r="E461" s="119" t="s">
        <v>38</v>
      </c>
      <c r="F461" s="140" t="s">
        <v>39</v>
      </c>
      <c r="G461" s="118" t="s">
        <v>40</v>
      </c>
      <c r="H461" s="121" t="s">
        <v>41</v>
      </c>
      <c r="I461" s="120" t="s">
        <v>301</v>
      </c>
      <c r="J461" s="122" t="s">
        <v>302</v>
      </c>
      <c r="K461" s="123" t="s">
        <v>303</v>
      </c>
      <c r="L461" t="s">
        <v>326</v>
      </c>
      <c r="M461" s="124" t="s">
        <v>327</v>
      </c>
      <c r="N461" s="125" t="s">
        <v>328</v>
      </c>
      <c r="O461" s="126" t="s">
        <v>121</v>
      </c>
      <c r="P461" s="127" t="s">
        <v>1781</v>
      </c>
      <c r="Q461" s="128">
        <v>128.61000000000001</v>
      </c>
      <c r="R461" s="128">
        <v>128.61000000000001</v>
      </c>
      <c r="S461" s="129">
        <v>64.305000000000007</v>
      </c>
      <c r="T461" s="130" t="s">
        <v>1782</v>
      </c>
      <c r="U461" s="131">
        <v>45464</v>
      </c>
      <c r="V461" s="132">
        <v>45464</v>
      </c>
      <c r="W461" s="133">
        <v>9150</v>
      </c>
      <c r="X461" s="134" t="s">
        <v>1592</v>
      </c>
      <c r="Y461" s="135" t="s">
        <v>912</v>
      </c>
      <c r="Z461" s="128" t="s">
        <v>57</v>
      </c>
      <c r="AA461" s="128"/>
      <c r="AB461" s="136"/>
      <c r="AC461" s="137"/>
      <c r="AD461" s="136"/>
      <c r="AE461" s="136"/>
      <c r="AF461" s="136"/>
      <c r="AG461" s="136"/>
      <c r="AH461" s="138">
        <v>-64.305000000000007</v>
      </c>
      <c r="AI461" s="139" t="s">
        <v>58</v>
      </c>
      <c r="AJ461" s="139" t="s">
        <v>157</v>
      </c>
    </row>
    <row r="462" spans="1:36" ht="15.75" x14ac:dyDescent="0.25">
      <c r="A462" s="115">
        <v>19059</v>
      </c>
      <c r="B462" s="116" t="s">
        <v>36</v>
      </c>
      <c r="C462" s="117" t="s">
        <v>37</v>
      </c>
      <c r="D462" s="118" t="s">
        <v>36</v>
      </c>
      <c r="E462" s="119" t="s">
        <v>38</v>
      </c>
      <c r="F462" s="120" t="s">
        <v>39</v>
      </c>
      <c r="G462" s="118" t="s">
        <v>40</v>
      </c>
      <c r="H462" s="121" t="s">
        <v>41</v>
      </c>
      <c r="I462" s="120" t="s">
        <v>1319</v>
      </c>
      <c r="J462" s="122" t="s">
        <v>1320</v>
      </c>
      <c r="K462" s="123" t="s">
        <v>1321</v>
      </c>
      <c r="L462" t="s">
        <v>262</v>
      </c>
      <c r="M462" s="124" t="s">
        <v>263</v>
      </c>
      <c r="N462" s="125" t="s">
        <v>264</v>
      </c>
      <c r="O462" s="126" t="s">
        <v>207</v>
      </c>
      <c r="P462" s="127" t="s">
        <v>1607</v>
      </c>
      <c r="Q462" s="128">
        <v>104</v>
      </c>
      <c r="R462" s="128">
        <v>104</v>
      </c>
      <c r="S462" s="129">
        <v>52</v>
      </c>
      <c r="T462" s="130" t="s">
        <v>1608</v>
      </c>
      <c r="U462" s="131">
        <v>45464</v>
      </c>
      <c r="V462" s="132">
        <v>45464</v>
      </c>
      <c r="W462" s="133">
        <v>10485</v>
      </c>
      <c r="X462" s="134" t="s">
        <v>1326</v>
      </c>
      <c r="Y462" s="135" t="s">
        <v>912</v>
      </c>
      <c r="Z462" s="128" t="s">
        <v>57</v>
      </c>
      <c r="AA462" s="128"/>
      <c r="AB462" s="136"/>
      <c r="AC462" s="137"/>
      <c r="AD462" s="136"/>
      <c r="AE462" s="136"/>
      <c r="AF462" s="136"/>
      <c r="AG462" s="136"/>
      <c r="AH462" s="138">
        <v>-52</v>
      </c>
      <c r="AI462" s="139" t="s">
        <v>58</v>
      </c>
      <c r="AJ462" s="139" t="s">
        <v>59</v>
      </c>
    </row>
    <row r="463" spans="1:36" ht="15.75" x14ac:dyDescent="0.25">
      <c r="A463" s="115">
        <v>34243</v>
      </c>
      <c r="B463" s="116" t="s">
        <v>36</v>
      </c>
      <c r="C463" s="117" t="s">
        <v>37</v>
      </c>
      <c r="D463" s="118" t="s">
        <v>36</v>
      </c>
      <c r="E463" s="119" t="s">
        <v>38</v>
      </c>
      <c r="F463" s="120" t="s">
        <v>39</v>
      </c>
      <c r="G463" s="118" t="s">
        <v>40</v>
      </c>
      <c r="H463" s="121" t="s">
        <v>41</v>
      </c>
      <c r="I463" s="120" t="s">
        <v>301</v>
      </c>
      <c r="J463" s="122" t="s">
        <v>302</v>
      </c>
      <c r="K463" s="123" t="s">
        <v>303</v>
      </c>
      <c r="L463" t="s">
        <v>552</v>
      </c>
      <c r="M463" s="124" t="s">
        <v>553</v>
      </c>
      <c r="N463" s="125" t="s">
        <v>554</v>
      </c>
      <c r="O463" s="126" t="s">
        <v>929</v>
      </c>
      <c r="P463" s="127"/>
      <c r="Q463" s="128"/>
      <c r="R463" s="128"/>
      <c r="S463" s="129">
        <v>300</v>
      </c>
      <c r="T463" s="130" t="s">
        <v>1327</v>
      </c>
      <c r="U463" s="131">
        <v>45637.510833333326</v>
      </c>
      <c r="V463" s="132"/>
      <c r="W463" s="133"/>
      <c r="X463" s="134" t="s">
        <v>340</v>
      </c>
      <c r="Y463" s="135" t="s">
        <v>912</v>
      </c>
      <c r="Z463" s="128" t="s">
        <v>96</v>
      </c>
      <c r="AA463" s="128" t="s">
        <v>969</v>
      </c>
      <c r="AB463" s="136"/>
      <c r="AC463" s="137"/>
      <c r="AD463" s="136"/>
      <c r="AE463" s="136"/>
      <c r="AF463" s="136"/>
      <c r="AG463" s="136"/>
      <c r="AH463" s="138">
        <v>-300</v>
      </c>
      <c r="AI463" s="139" t="s">
        <v>58</v>
      </c>
      <c r="AJ463" s="139" t="s">
        <v>157</v>
      </c>
    </row>
    <row r="464" spans="1:36" ht="15.75" x14ac:dyDescent="0.25">
      <c r="A464" s="115">
        <v>19397</v>
      </c>
      <c r="B464" s="116" t="s">
        <v>36</v>
      </c>
      <c r="C464" s="117" t="s">
        <v>37</v>
      </c>
      <c r="D464" s="118" t="s">
        <v>36</v>
      </c>
      <c r="E464" s="119" t="s">
        <v>38</v>
      </c>
      <c r="F464" s="140" t="s">
        <v>39</v>
      </c>
      <c r="G464" s="118" t="s">
        <v>40</v>
      </c>
      <c r="H464" s="121" t="s">
        <v>41</v>
      </c>
      <c r="I464" s="120" t="s">
        <v>1319</v>
      </c>
      <c r="J464" s="122" t="s">
        <v>1320</v>
      </c>
      <c r="K464" s="123" t="s">
        <v>1321</v>
      </c>
      <c r="L464" t="s">
        <v>1173</v>
      </c>
      <c r="M464" s="124" t="s">
        <v>1174</v>
      </c>
      <c r="N464" s="125" t="s">
        <v>1175</v>
      </c>
      <c r="O464" s="126" t="s">
        <v>929</v>
      </c>
      <c r="P464" s="127"/>
      <c r="Q464" s="128"/>
      <c r="R464" s="128"/>
      <c r="S464" s="129">
        <v>60</v>
      </c>
      <c r="T464" s="130" t="s">
        <v>1327</v>
      </c>
      <c r="U464" s="131">
        <v>45470</v>
      </c>
      <c r="V464" s="132"/>
      <c r="W464" s="133"/>
      <c r="X464" s="134" t="s">
        <v>404</v>
      </c>
      <c r="Y464" s="135" t="s">
        <v>912</v>
      </c>
      <c r="Z464" s="128" t="s">
        <v>96</v>
      </c>
      <c r="AA464" s="128" t="s">
        <v>913</v>
      </c>
      <c r="AB464" s="136"/>
      <c r="AC464" s="137"/>
      <c r="AD464" s="136"/>
      <c r="AE464" s="136"/>
      <c r="AF464" s="136"/>
      <c r="AG464" s="136"/>
      <c r="AH464" s="138">
        <v>-60</v>
      </c>
      <c r="AI464" s="139" t="s">
        <v>58</v>
      </c>
      <c r="AJ464" s="139" t="s">
        <v>157</v>
      </c>
    </row>
    <row r="465" spans="1:36" ht="15.75" x14ac:dyDescent="0.25">
      <c r="A465" s="115">
        <v>19530</v>
      </c>
      <c r="B465" s="116" t="s">
        <v>36</v>
      </c>
      <c r="C465" s="117" t="s">
        <v>37</v>
      </c>
      <c r="D465" s="118" t="s">
        <v>36</v>
      </c>
      <c r="E465" s="119" t="s">
        <v>38</v>
      </c>
      <c r="F465" s="140" t="s">
        <v>39</v>
      </c>
      <c r="G465" s="118" t="s">
        <v>40</v>
      </c>
      <c r="H465" s="121" t="s">
        <v>41</v>
      </c>
      <c r="I465" s="120" t="s">
        <v>301</v>
      </c>
      <c r="J465" s="122" t="s">
        <v>302</v>
      </c>
      <c r="K465" s="123" t="s">
        <v>303</v>
      </c>
      <c r="L465" t="s">
        <v>262</v>
      </c>
      <c r="M465" s="124" t="s">
        <v>263</v>
      </c>
      <c r="N465" s="125" t="s">
        <v>264</v>
      </c>
      <c r="O465" s="126" t="s">
        <v>207</v>
      </c>
      <c r="P465" s="127" t="s">
        <v>1783</v>
      </c>
      <c r="Q465" s="128">
        <v>181.34</v>
      </c>
      <c r="R465" s="128">
        <v>181.34</v>
      </c>
      <c r="S465" s="129">
        <v>90.67</v>
      </c>
      <c r="T465" s="130" t="s">
        <v>1784</v>
      </c>
      <c r="U465" s="131">
        <v>45471</v>
      </c>
      <c r="V465" s="132">
        <v>45471</v>
      </c>
      <c r="W465" s="133">
        <v>9150</v>
      </c>
      <c r="X465" s="134" t="s">
        <v>1592</v>
      </c>
      <c r="Y465" s="135" t="s">
        <v>912</v>
      </c>
      <c r="Z465" s="128" t="s">
        <v>57</v>
      </c>
      <c r="AA465" s="128"/>
      <c r="AB465" s="136"/>
      <c r="AC465" s="137"/>
      <c r="AD465" s="136"/>
      <c r="AE465" s="136"/>
      <c r="AF465" s="136"/>
      <c r="AG465" s="136"/>
      <c r="AH465" s="138">
        <v>-90.67</v>
      </c>
      <c r="AI465" s="139" t="s">
        <v>58</v>
      </c>
      <c r="AJ465" s="139" t="s">
        <v>59</v>
      </c>
    </row>
    <row r="466" spans="1:36" ht="15.75" x14ac:dyDescent="0.25">
      <c r="A466" s="115">
        <v>19531</v>
      </c>
      <c r="B466" s="116" t="s">
        <v>36</v>
      </c>
      <c r="C466" s="117" t="s">
        <v>37</v>
      </c>
      <c r="D466" s="118" t="s">
        <v>36</v>
      </c>
      <c r="E466" s="119" t="s">
        <v>38</v>
      </c>
      <c r="F466" s="140" t="s">
        <v>39</v>
      </c>
      <c r="G466" s="118" t="s">
        <v>40</v>
      </c>
      <c r="H466" s="121" t="s">
        <v>41</v>
      </c>
      <c r="I466" s="120" t="s">
        <v>301</v>
      </c>
      <c r="J466" s="122" t="s">
        <v>302</v>
      </c>
      <c r="K466" s="123" t="s">
        <v>303</v>
      </c>
      <c r="L466" t="s">
        <v>326</v>
      </c>
      <c r="M466" s="124" t="s">
        <v>327</v>
      </c>
      <c r="N466" s="125" t="s">
        <v>328</v>
      </c>
      <c r="O466" s="126" t="s">
        <v>207</v>
      </c>
      <c r="P466" s="127" t="s">
        <v>1783</v>
      </c>
      <c r="Q466" s="128">
        <v>181.34</v>
      </c>
      <c r="R466" s="128">
        <v>181.34</v>
      </c>
      <c r="S466" s="129">
        <v>90.67</v>
      </c>
      <c r="T466" s="130" t="s">
        <v>1784</v>
      </c>
      <c r="U466" s="131">
        <v>45471</v>
      </c>
      <c r="V466" s="132">
        <v>45471</v>
      </c>
      <c r="W466" s="133">
        <v>9150</v>
      </c>
      <c r="X466" s="134" t="s">
        <v>1592</v>
      </c>
      <c r="Y466" s="135" t="s">
        <v>912</v>
      </c>
      <c r="Z466" s="128" t="s">
        <v>57</v>
      </c>
      <c r="AA466" s="128"/>
      <c r="AB466" s="136"/>
      <c r="AC466" s="137"/>
      <c r="AD466" s="136"/>
      <c r="AE466" s="136"/>
      <c r="AF466" s="136"/>
      <c r="AG466" s="136"/>
      <c r="AH466" s="138">
        <v>-90.67</v>
      </c>
      <c r="AI466" s="139" t="s">
        <v>58</v>
      </c>
      <c r="AJ466" s="139" t="s">
        <v>157</v>
      </c>
    </row>
    <row r="467" spans="1:36" ht="15.75" x14ac:dyDescent="0.25">
      <c r="A467" s="115">
        <v>19774</v>
      </c>
      <c r="B467" s="116" t="s">
        <v>36</v>
      </c>
      <c r="C467" s="117" t="s">
        <v>37</v>
      </c>
      <c r="D467" s="118" t="s">
        <v>36</v>
      </c>
      <c r="E467" s="119" t="s">
        <v>38</v>
      </c>
      <c r="F467" s="120" t="s">
        <v>39</v>
      </c>
      <c r="G467" s="118" t="s">
        <v>40</v>
      </c>
      <c r="H467" s="121" t="s">
        <v>41</v>
      </c>
      <c r="I467" s="120" t="s">
        <v>946</v>
      </c>
      <c r="J467" s="122" t="s">
        <v>947</v>
      </c>
      <c r="K467" s="123" t="s">
        <v>948</v>
      </c>
      <c r="L467" t="s">
        <v>63</v>
      </c>
      <c r="M467" s="124" t="s">
        <v>64</v>
      </c>
      <c r="N467" s="125" t="s">
        <v>65</v>
      </c>
      <c r="O467" s="126" t="s">
        <v>929</v>
      </c>
      <c r="P467" s="127"/>
      <c r="Q467" s="128"/>
      <c r="R467" s="128"/>
      <c r="S467" s="129">
        <v>513.9</v>
      </c>
      <c r="T467" s="130" t="s">
        <v>1327</v>
      </c>
      <c r="U467" s="131">
        <v>45474</v>
      </c>
      <c r="V467" s="132"/>
      <c r="W467" s="133"/>
      <c r="X467" s="134" t="s">
        <v>1671</v>
      </c>
      <c r="Y467" s="135" t="s">
        <v>912</v>
      </c>
      <c r="Z467" s="128" t="s">
        <v>96</v>
      </c>
      <c r="AA467" s="128" t="s">
        <v>931</v>
      </c>
      <c r="AB467" s="136" t="s">
        <v>256</v>
      </c>
      <c r="AC467" s="137" t="s">
        <v>914</v>
      </c>
      <c r="AD467" s="136" t="s">
        <v>961</v>
      </c>
      <c r="AE467" s="136" t="s">
        <v>962</v>
      </c>
      <c r="AF467" s="136" t="s">
        <v>59</v>
      </c>
      <c r="AG467" s="136" t="s">
        <v>59</v>
      </c>
      <c r="AH467" s="138">
        <v>-513.9</v>
      </c>
      <c r="AI467" s="139" t="s">
        <v>58</v>
      </c>
      <c r="AJ467" s="139" t="s">
        <v>59</v>
      </c>
    </row>
    <row r="468" spans="1:36" ht="15.75" x14ac:dyDescent="0.25">
      <c r="A468" s="115">
        <v>19775</v>
      </c>
      <c r="B468" s="116" t="s">
        <v>36</v>
      </c>
      <c r="C468" s="117" t="s">
        <v>37</v>
      </c>
      <c r="D468" s="118" t="s">
        <v>36</v>
      </c>
      <c r="E468" s="119" t="s">
        <v>38</v>
      </c>
      <c r="F468" s="120" t="s">
        <v>39</v>
      </c>
      <c r="G468" s="118" t="s">
        <v>40</v>
      </c>
      <c r="H468" s="121" t="s">
        <v>41</v>
      </c>
      <c r="I468" s="120" t="s">
        <v>946</v>
      </c>
      <c r="J468" s="122" t="s">
        <v>947</v>
      </c>
      <c r="K468" s="123" t="s">
        <v>948</v>
      </c>
      <c r="L468" t="s">
        <v>63</v>
      </c>
      <c r="M468" s="124" t="s">
        <v>64</v>
      </c>
      <c r="N468" s="125" t="s">
        <v>65</v>
      </c>
      <c r="O468" s="126" t="s">
        <v>929</v>
      </c>
      <c r="P468" s="127"/>
      <c r="Q468" s="128"/>
      <c r="R468" s="128"/>
      <c r="S468" s="129">
        <v>346.1</v>
      </c>
      <c r="T468" s="130" t="s">
        <v>1327</v>
      </c>
      <c r="U468" s="131">
        <v>45474</v>
      </c>
      <c r="V468" s="132"/>
      <c r="W468" s="133"/>
      <c r="X468" s="134" t="s">
        <v>1671</v>
      </c>
      <c r="Y468" s="135" t="s">
        <v>912</v>
      </c>
      <c r="Z468" s="128" t="s">
        <v>96</v>
      </c>
      <c r="AA468" s="128" t="s">
        <v>913</v>
      </c>
      <c r="AB468" s="136" t="s">
        <v>256</v>
      </c>
      <c r="AC468" s="137" t="s">
        <v>914</v>
      </c>
      <c r="AD468" s="136" t="s">
        <v>961</v>
      </c>
      <c r="AE468" s="136" t="s">
        <v>962</v>
      </c>
      <c r="AF468" s="136" t="s">
        <v>59</v>
      </c>
      <c r="AG468" s="136" t="s">
        <v>59</v>
      </c>
      <c r="AH468" s="138">
        <v>-346.1</v>
      </c>
      <c r="AI468" s="139" t="s">
        <v>58</v>
      </c>
      <c r="AJ468" s="139" t="s">
        <v>59</v>
      </c>
    </row>
    <row r="469" spans="1:36" ht="15.75" x14ac:dyDescent="0.25">
      <c r="A469" s="115">
        <v>20511</v>
      </c>
      <c r="B469" s="116" t="s">
        <v>36</v>
      </c>
      <c r="C469" s="117" t="s">
        <v>37</v>
      </c>
      <c r="D469" s="118" t="s">
        <v>36</v>
      </c>
      <c r="E469" s="119" t="s">
        <v>38</v>
      </c>
      <c r="F469" s="120" t="s">
        <v>39</v>
      </c>
      <c r="G469" s="118" t="s">
        <v>40</v>
      </c>
      <c r="H469" s="121" t="s">
        <v>41</v>
      </c>
      <c r="I469" s="120" t="s">
        <v>301</v>
      </c>
      <c r="J469" s="122" t="s">
        <v>302</v>
      </c>
      <c r="K469" s="123" t="s">
        <v>303</v>
      </c>
      <c r="L469" t="s">
        <v>1785</v>
      </c>
      <c r="M469" s="124" t="s">
        <v>733</v>
      </c>
      <c r="N469" s="125" t="s">
        <v>1786</v>
      </c>
      <c r="O469" s="126" t="s">
        <v>1767</v>
      </c>
      <c r="P469" s="127" t="s">
        <v>1787</v>
      </c>
      <c r="Q469" s="128">
        <v>112658.02</v>
      </c>
      <c r="R469" s="128">
        <v>0</v>
      </c>
      <c r="S469" s="129">
        <v>112658.02</v>
      </c>
      <c r="T469" s="130" t="s">
        <v>1788</v>
      </c>
      <c r="U469" s="131">
        <v>45481</v>
      </c>
      <c r="V469" s="132"/>
      <c r="W469" s="133">
        <v>8530</v>
      </c>
      <c r="X469" s="134" t="s">
        <v>1789</v>
      </c>
      <c r="Y469" s="135" t="s">
        <v>912</v>
      </c>
      <c r="Z469" s="128" t="s">
        <v>57</v>
      </c>
      <c r="AA469" s="128"/>
      <c r="AB469" s="136"/>
      <c r="AC469" s="137"/>
      <c r="AD469" s="136"/>
      <c r="AE469" s="136"/>
      <c r="AF469" s="136"/>
      <c r="AG469" s="136"/>
      <c r="AH469" s="138">
        <v>-112658.02</v>
      </c>
      <c r="AI469" s="139" t="s">
        <v>58</v>
      </c>
      <c r="AJ469" s="139" t="s">
        <v>59</v>
      </c>
    </row>
    <row r="470" spans="1:36" ht="15.75" x14ac:dyDescent="0.25">
      <c r="A470" s="115">
        <v>20601</v>
      </c>
      <c r="B470" s="116" t="s">
        <v>36</v>
      </c>
      <c r="C470" s="117" t="s">
        <v>37</v>
      </c>
      <c r="D470" s="118" t="s">
        <v>36</v>
      </c>
      <c r="E470" s="119" t="s">
        <v>38</v>
      </c>
      <c r="F470" s="120" t="s">
        <v>39</v>
      </c>
      <c r="G470" s="118" t="s">
        <v>40</v>
      </c>
      <c r="H470" s="121" t="s">
        <v>41</v>
      </c>
      <c r="I470" s="120" t="s">
        <v>1319</v>
      </c>
      <c r="J470" s="122" t="s">
        <v>1320</v>
      </c>
      <c r="K470" s="123" t="s">
        <v>1321</v>
      </c>
      <c r="L470" t="s">
        <v>1790</v>
      </c>
      <c r="M470" s="124" t="s">
        <v>1791</v>
      </c>
      <c r="N470" s="125" t="s">
        <v>1792</v>
      </c>
      <c r="O470" s="126" t="s">
        <v>1767</v>
      </c>
      <c r="P470" s="127" t="s">
        <v>1793</v>
      </c>
      <c r="Q470" s="128">
        <v>198773.94</v>
      </c>
      <c r="R470" s="128">
        <v>198773.94</v>
      </c>
      <c r="S470" s="129">
        <v>198773.94</v>
      </c>
      <c r="T470" s="130" t="s">
        <v>1794</v>
      </c>
      <c r="U470" s="131">
        <v>45482</v>
      </c>
      <c r="V470" s="132">
        <v>45482</v>
      </c>
      <c r="W470" s="133">
        <v>155</v>
      </c>
      <c r="X470" s="134" t="s">
        <v>1770</v>
      </c>
      <c r="Y470" s="135" t="s">
        <v>912</v>
      </c>
      <c r="Z470" s="128" t="s">
        <v>57</v>
      </c>
      <c r="AA470" s="128"/>
      <c r="AB470" s="136"/>
      <c r="AC470" s="137"/>
      <c r="AD470" s="136"/>
      <c r="AE470" s="136"/>
      <c r="AF470" s="136"/>
      <c r="AG470" s="136"/>
      <c r="AH470" s="138">
        <v>-198773.94</v>
      </c>
      <c r="AI470" s="139" t="s">
        <v>58</v>
      </c>
      <c r="AJ470" s="139" t="s">
        <v>591</v>
      </c>
    </row>
    <row r="471" spans="1:36" ht="15.75" x14ac:dyDescent="0.25">
      <c r="A471" s="115">
        <v>20690</v>
      </c>
      <c r="B471" s="116" t="s">
        <v>36</v>
      </c>
      <c r="C471" s="117" t="s">
        <v>37</v>
      </c>
      <c r="D471" s="118" t="s">
        <v>36</v>
      </c>
      <c r="E471" s="119" t="s">
        <v>38</v>
      </c>
      <c r="F471" s="120" t="s">
        <v>39</v>
      </c>
      <c r="G471" s="118" t="s">
        <v>40</v>
      </c>
      <c r="H471" s="121" t="s">
        <v>41</v>
      </c>
      <c r="I471" s="120" t="s">
        <v>524</v>
      </c>
      <c r="J471" s="122" t="s">
        <v>525</v>
      </c>
      <c r="K471" s="123" t="s">
        <v>526</v>
      </c>
      <c r="L471" t="s">
        <v>262</v>
      </c>
      <c r="M471" s="124" t="s">
        <v>263</v>
      </c>
      <c r="N471" s="125" t="s">
        <v>264</v>
      </c>
      <c r="O471" s="126" t="s">
        <v>207</v>
      </c>
      <c r="P471" s="127" t="s">
        <v>1795</v>
      </c>
      <c r="Q471" s="128">
        <v>120.7</v>
      </c>
      <c r="R471" s="128">
        <v>120.7</v>
      </c>
      <c r="S471" s="129">
        <v>120.7</v>
      </c>
      <c r="T471" s="130" t="s">
        <v>1796</v>
      </c>
      <c r="U471" s="131">
        <v>45483</v>
      </c>
      <c r="V471" s="132">
        <v>45483</v>
      </c>
      <c r="W471" s="133">
        <v>10940</v>
      </c>
      <c r="X471" s="134" t="s">
        <v>1797</v>
      </c>
      <c r="Y471" s="135" t="s">
        <v>912</v>
      </c>
      <c r="Z471" s="128" t="s">
        <v>57</v>
      </c>
      <c r="AA471" s="128"/>
      <c r="AB471" s="136"/>
      <c r="AC471" s="137"/>
      <c r="AD471" s="136"/>
      <c r="AE471" s="136"/>
      <c r="AF471" s="136"/>
      <c r="AG471" s="136"/>
      <c r="AH471" s="138">
        <v>-120.7</v>
      </c>
      <c r="AI471" s="139" t="s">
        <v>58</v>
      </c>
      <c r="AJ471" s="139" t="s">
        <v>59</v>
      </c>
    </row>
    <row r="472" spans="1:36" ht="15.75" x14ac:dyDescent="0.25">
      <c r="A472" s="115">
        <v>20904</v>
      </c>
      <c r="B472" s="116" t="s">
        <v>36</v>
      </c>
      <c r="C472" s="117" t="s">
        <v>37</v>
      </c>
      <c r="D472" s="118" t="s">
        <v>36</v>
      </c>
      <c r="E472" s="119" t="s">
        <v>38</v>
      </c>
      <c r="F472" s="120" t="s">
        <v>39</v>
      </c>
      <c r="G472" s="118" t="s">
        <v>40</v>
      </c>
      <c r="H472" s="121" t="s">
        <v>41</v>
      </c>
      <c r="I472" s="120" t="s">
        <v>301</v>
      </c>
      <c r="J472" s="122" t="s">
        <v>302</v>
      </c>
      <c r="K472" s="123" t="s">
        <v>303</v>
      </c>
      <c r="L472" t="s">
        <v>1785</v>
      </c>
      <c r="M472" s="124" t="s">
        <v>733</v>
      </c>
      <c r="N472" s="125" t="s">
        <v>1786</v>
      </c>
      <c r="O472" s="126" t="s">
        <v>1767</v>
      </c>
      <c r="P472" s="127" t="s">
        <v>1798</v>
      </c>
      <c r="Q472" s="128">
        <v>9385</v>
      </c>
      <c r="R472" s="128">
        <v>0</v>
      </c>
      <c r="S472" s="129">
        <v>9385</v>
      </c>
      <c r="T472" s="130" t="s">
        <v>1788</v>
      </c>
      <c r="U472" s="131">
        <v>45485</v>
      </c>
      <c r="V472" s="132"/>
      <c r="W472" s="133">
        <v>7779</v>
      </c>
      <c r="X472" s="134" t="s">
        <v>1799</v>
      </c>
      <c r="Y472" s="135" t="s">
        <v>912</v>
      </c>
      <c r="Z472" s="128" t="s">
        <v>57</v>
      </c>
      <c r="AA472" s="128"/>
      <c r="AB472" s="136"/>
      <c r="AC472" s="137"/>
      <c r="AD472" s="136"/>
      <c r="AE472" s="136"/>
      <c r="AF472" s="136"/>
      <c r="AG472" s="136"/>
      <c r="AH472" s="138">
        <v>-9385</v>
      </c>
      <c r="AI472" s="139" t="s">
        <v>58</v>
      </c>
      <c r="AJ472" s="139" t="s">
        <v>59</v>
      </c>
    </row>
    <row r="473" spans="1:36" ht="15.75" x14ac:dyDescent="0.25">
      <c r="A473" s="115">
        <v>21007</v>
      </c>
      <c r="B473" s="116" t="s">
        <v>36</v>
      </c>
      <c r="C473" s="117" t="s">
        <v>37</v>
      </c>
      <c r="D473" s="118" t="s">
        <v>36</v>
      </c>
      <c r="E473" s="119" t="s">
        <v>38</v>
      </c>
      <c r="F473" s="120" t="s">
        <v>39</v>
      </c>
      <c r="G473" s="118" t="s">
        <v>40</v>
      </c>
      <c r="H473" s="121" t="s">
        <v>41</v>
      </c>
      <c r="I473" s="120" t="s">
        <v>301</v>
      </c>
      <c r="J473" s="122" t="s">
        <v>302</v>
      </c>
      <c r="K473" s="123" t="s">
        <v>303</v>
      </c>
      <c r="L473" t="s">
        <v>1785</v>
      </c>
      <c r="M473" s="124" t="s">
        <v>733</v>
      </c>
      <c r="N473" s="125" t="s">
        <v>1786</v>
      </c>
      <c r="O473" s="126" t="s">
        <v>1767</v>
      </c>
      <c r="P473" s="127" t="s">
        <v>1800</v>
      </c>
      <c r="Q473" s="128">
        <v>3066.53</v>
      </c>
      <c r="R473" s="128">
        <v>0</v>
      </c>
      <c r="S473" s="129">
        <v>3066.53</v>
      </c>
      <c r="T473" s="130" t="s">
        <v>1788</v>
      </c>
      <c r="U473" s="131">
        <v>45485</v>
      </c>
      <c r="V473" s="132"/>
      <c r="W473" s="133">
        <v>10929</v>
      </c>
      <c r="X473" s="134" t="s">
        <v>1801</v>
      </c>
      <c r="Y473" s="135" t="s">
        <v>912</v>
      </c>
      <c r="Z473" s="128" t="s">
        <v>57</v>
      </c>
      <c r="AA473" s="128"/>
      <c r="AB473" s="136"/>
      <c r="AC473" s="137"/>
      <c r="AD473" s="136"/>
      <c r="AE473" s="136"/>
      <c r="AF473" s="136"/>
      <c r="AG473" s="136"/>
      <c r="AH473" s="138">
        <v>-3066.53</v>
      </c>
      <c r="AI473" s="139" t="s">
        <v>58</v>
      </c>
      <c r="AJ473" s="139" t="s">
        <v>59</v>
      </c>
    </row>
    <row r="474" spans="1:36" ht="15.75" x14ac:dyDescent="0.25">
      <c r="A474" s="115">
        <v>21033</v>
      </c>
      <c r="B474" s="116" t="s">
        <v>36</v>
      </c>
      <c r="C474" s="117" t="s">
        <v>37</v>
      </c>
      <c r="D474" s="118" t="s">
        <v>36</v>
      </c>
      <c r="E474" s="119" t="s">
        <v>38</v>
      </c>
      <c r="F474" s="120" t="s">
        <v>39</v>
      </c>
      <c r="G474" s="118" t="s">
        <v>40</v>
      </c>
      <c r="H474" s="121" t="s">
        <v>41</v>
      </c>
      <c r="I474" s="120" t="s">
        <v>42</v>
      </c>
      <c r="J474" s="122" t="s">
        <v>43</v>
      </c>
      <c r="K474" s="123" t="s">
        <v>44</v>
      </c>
      <c r="L474" t="s">
        <v>63</v>
      </c>
      <c r="M474" s="124" t="s">
        <v>64</v>
      </c>
      <c r="N474" s="125" t="s">
        <v>65</v>
      </c>
      <c r="O474" s="126" t="s">
        <v>929</v>
      </c>
      <c r="P474" s="127"/>
      <c r="Q474" s="128"/>
      <c r="R474" s="128"/>
      <c r="S474" s="129">
        <v>876</v>
      </c>
      <c r="T474" s="130" t="s">
        <v>1327</v>
      </c>
      <c r="U474" s="131">
        <v>45488</v>
      </c>
      <c r="V474" s="132"/>
      <c r="W474" s="133"/>
      <c r="X474" s="134" t="s">
        <v>1636</v>
      </c>
      <c r="Y474" s="135" t="s">
        <v>912</v>
      </c>
      <c r="Z474" s="128" t="s">
        <v>96</v>
      </c>
      <c r="AA474" s="128" t="s">
        <v>1634</v>
      </c>
      <c r="AB474" s="136" t="s">
        <v>256</v>
      </c>
      <c r="AC474" s="137" t="s">
        <v>914</v>
      </c>
      <c r="AD474" s="136" t="s">
        <v>961</v>
      </c>
      <c r="AE474" s="136" t="s">
        <v>962</v>
      </c>
      <c r="AF474" s="136" t="s">
        <v>59</v>
      </c>
      <c r="AG474" s="136" t="s">
        <v>59</v>
      </c>
      <c r="AH474" s="138">
        <v>-876</v>
      </c>
      <c r="AI474" s="139" t="s">
        <v>58</v>
      </c>
      <c r="AJ474" s="139" t="s">
        <v>59</v>
      </c>
    </row>
    <row r="475" spans="1:36" ht="15.75" x14ac:dyDescent="0.25">
      <c r="A475" s="115">
        <v>21218</v>
      </c>
      <c r="B475" s="116" t="s">
        <v>36</v>
      </c>
      <c r="C475" s="117" t="s">
        <v>37</v>
      </c>
      <c r="D475" s="118" t="s">
        <v>36</v>
      </c>
      <c r="E475" s="119" t="s">
        <v>38</v>
      </c>
      <c r="F475" s="120" t="s">
        <v>39</v>
      </c>
      <c r="G475" s="118" t="s">
        <v>40</v>
      </c>
      <c r="H475" s="121" t="s">
        <v>41</v>
      </c>
      <c r="I475" s="120" t="s">
        <v>301</v>
      </c>
      <c r="J475" s="122" t="s">
        <v>302</v>
      </c>
      <c r="K475" s="123" t="s">
        <v>303</v>
      </c>
      <c r="L475" t="s">
        <v>1785</v>
      </c>
      <c r="M475" s="124" t="s">
        <v>733</v>
      </c>
      <c r="N475" s="125" t="s">
        <v>1786</v>
      </c>
      <c r="O475" s="126" t="s">
        <v>1767</v>
      </c>
      <c r="P475" s="127" t="s">
        <v>1802</v>
      </c>
      <c r="Q475" s="128">
        <v>11350</v>
      </c>
      <c r="R475" s="128">
        <v>0</v>
      </c>
      <c r="S475" s="129">
        <v>11350</v>
      </c>
      <c r="T475" s="130" t="s">
        <v>1788</v>
      </c>
      <c r="U475" s="131">
        <v>45490</v>
      </c>
      <c r="V475" s="132"/>
      <c r="W475" s="133">
        <v>10928</v>
      </c>
      <c r="X475" s="134" t="s">
        <v>1803</v>
      </c>
      <c r="Y475" s="135" t="s">
        <v>912</v>
      </c>
      <c r="Z475" s="128" t="s">
        <v>57</v>
      </c>
      <c r="AA475" s="128"/>
      <c r="AB475" s="136"/>
      <c r="AC475" s="137"/>
      <c r="AD475" s="136"/>
      <c r="AE475" s="136"/>
      <c r="AF475" s="136"/>
      <c r="AG475" s="136"/>
      <c r="AH475" s="138">
        <v>-11350</v>
      </c>
      <c r="AI475" s="139" t="s">
        <v>58</v>
      </c>
      <c r="AJ475" s="139" t="s">
        <v>59</v>
      </c>
    </row>
    <row r="476" spans="1:36" ht="15.75" x14ac:dyDescent="0.25">
      <c r="A476" s="115">
        <v>21309</v>
      </c>
      <c r="B476" s="116" t="s">
        <v>36</v>
      </c>
      <c r="C476" s="117" t="s">
        <v>37</v>
      </c>
      <c r="D476" s="118" t="s">
        <v>36</v>
      </c>
      <c r="E476" s="119" t="s">
        <v>38</v>
      </c>
      <c r="F476" s="120" t="s">
        <v>39</v>
      </c>
      <c r="G476" s="118" t="s">
        <v>40</v>
      </c>
      <c r="H476" s="121" t="s">
        <v>41</v>
      </c>
      <c r="I476" s="120" t="s">
        <v>524</v>
      </c>
      <c r="J476" s="122" t="s">
        <v>525</v>
      </c>
      <c r="K476" s="123" t="s">
        <v>526</v>
      </c>
      <c r="L476" t="s">
        <v>1785</v>
      </c>
      <c r="M476" s="124" t="s">
        <v>733</v>
      </c>
      <c r="N476" s="125" t="s">
        <v>1786</v>
      </c>
      <c r="O476" s="126" t="s">
        <v>1767</v>
      </c>
      <c r="P476" s="127" t="s">
        <v>1804</v>
      </c>
      <c r="Q476" s="128">
        <v>1620.78</v>
      </c>
      <c r="R476" s="128">
        <v>0</v>
      </c>
      <c r="S476" s="129">
        <v>1620.78</v>
      </c>
      <c r="T476" s="130" t="s">
        <v>1788</v>
      </c>
      <c r="U476" s="131">
        <v>45491</v>
      </c>
      <c r="V476" s="132"/>
      <c r="W476" s="133">
        <v>7852</v>
      </c>
      <c r="X476" s="134" t="s">
        <v>1805</v>
      </c>
      <c r="Y476" s="135" t="s">
        <v>912</v>
      </c>
      <c r="Z476" s="128" t="s">
        <v>57</v>
      </c>
      <c r="AA476" s="128"/>
      <c r="AB476" s="136"/>
      <c r="AC476" s="137"/>
      <c r="AD476" s="136"/>
      <c r="AE476" s="136"/>
      <c r="AF476" s="136"/>
      <c r="AG476" s="136"/>
      <c r="AH476" s="138">
        <v>-1620.78</v>
      </c>
      <c r="AI476" s="139" t="s">
        <v>58</v>
      </c>
      <c r="AJ476" s="139" t="s">
        <v>59</v>
      </c>
    </row>
    <row r="477" spans="1:36" ht="15.75" x14ac:dyDescent="0.25">
      <c r="A477" s="115">
        <v>21536</v>
      </c>
      <c r="B477" s="116" t="s">
        <v>36</v>
      </c>
      <c r="C477" s="117" t="s">
        <v>37</v>
      </c>
      <c r="D477" s="118" t="s">
        <v>36</v>
      </c>
      <c r="E477" s="119" t="s">
        <v>38</v>
      </c>
      <c r="F477" s="120" t="s">
        <v>39</v>
      </c>
      <c r="G477" s="118" t="s">
        <v>40</v>
      </c>
      <c r="H477" s="121" t="s">
        <v>41</v>
      </c>
      <c r="I477" s="120" t="s">
        <v>301</v>
      </c>
      <c r="J477" s="122" t="s">
        <v>302</v>
      </c>
      <c r="K477" s="123" t="s">
        <v>303</v>
      </c>
      <c r="L477" t="s">
        <v>1785</v>
      </c>
      <c r="M477" s="124" t="s">
        <v>733</v>
      </c>
      <c r="N477" s="125" t="s">
        <v>1786</v>
      </c>
      <c r="O477" s="126" t="s">
        <v>1767</v>
      </c>
      <c r="P477" s="127" t="s">
        <v>1806</v>
      </c>
      <c r="Q477" s="128">
        <v>2500</v>
      </c>
      <c r="R477" s="128">
        <v>0</v>
      </c>
      <c r="S477" s="129">
        <v>2500</v>
      </c>
      <c r="T477" s="130" t="s">
        <v>1788</v>
      </c>
      <c r="U477" s="131">
        <v>45496</v>
      </c>
      <c r="V477" s="132"/>
      <c r="W477" s="133">
        <v>7779</v>
      </c>
      <c r="X477" s="134" t="s">
        <v>1799</v>
      </c>
      <c r="Y477" s="135" t="s">
        <v>912</v>
      </c>
      <c r="Z477" s="128" t="s">
        <v>57</v>
      </c>
      <c r="AA477" s="128"/>
      <c r="AB477" s="136"/>
      <c r="AC477" s="137"/>
      <c r="AD477" s="136"/>
      <c r="AE477" s="136"/>
      <c r="AF477" s="136"/>
      <c r="AG477" s="136"/>
      <c r="AH477" s="138">
        <v>-2500</v>
      </c>
      <c r="AI477" s="139" t="s">
        <v>58</v>
      </c>
      <c r="AJ477" s="139" t="s">
        <v>59</v>
      </c>
    </row>
    <row r="478" spans="1:36" ht="15.75" x14ac:dyDescent="0.25">
      <c r="A478" s="115">
        <v>21573</v>
      </c>
      <c r="B478" s="116" t="s">
        <v>36</v>
      </c>
      <c r="C478" s="117" t="s">
        <v>37</v>
      </c>
      <c r="D478" s="118" t="s">
        <v>36</v>
      </c>
      <c r="E478" s="119" t="s">
        <v>38</v>
      </c>
      <c r="F478" s="140" t="s">
        <v>39</v>
      </c>
      <c r="G478" s="118" t="s">
        <v>40</v>
      </c>
      <c r="H478" s="121" t="s">
        <v>41</v>
      </c>
      <c r="I478" s="120" t="s">
        <v>946</v>
      </c>
      <c r="J478" s="122" t="s">
        <v>947</v>
      </c>
      <c r="K478" s="123" t="s">
        <v>948</v>
      </c>
      <c r="L478" t="s">
        <v>63</v>
      </c>
      <c r="M478" s="124" t="s">
        <v>64</v>
      </c>
      <c r="N478" s="125" t="s">
        <v>65</v>
      </c>
      <c r="O478" s="126" t="s">
        <v>929</v>
      </c>
      <c r="P478" s="127"/>
      <c r="Q478" s="128"/>
      <c r="R478" s="128"/>
      <c r="S478" s="129">
        <v>50</v>
      </c>
      <c r="T478" s="130" t="s">
        <v>1327</v>
      </c>
      <c r="U478" s="131">
        <v>45496</v>
      </c>
      <c r="V478" s="132"/>
      <c r="W478" s="133"/>
      <c r="X478" s="134" t="s">
        <v>1807</v>
      </c>
      <c r="Y478" s="135" t="s">
        <v>912</v>
      </c>
      <c r="Z478" s="128" t="s">
        <v>96</v>
      </c>
      <c r="AA478" s="128" t="s">
        <v>913</v>
      </c>
      <c r="AB478" s="136" t="s">
        <v>256</v>
      </c>
      <c r="AC478" s="137" t="s">
        <v>914</v>
      </c>
      <c r="AD478" s="136" t="s">
        <v>961</v>
      </c>
      <c r="AE478" s="136" t="s">
        <v>962</v>
      </c>
      <c r="AF478" s="136" t="s">
        <v>59</v>
      </c>
      <c r="AG478" s="136" t="s">
        <v>59</v>
      </c>
      <c r="AH478" s="138">
        <v>-50</v>
      </c>
      <c r="AI478" s="139" t="s">
        <v>58</v>
      </c>
      <c r="AJ478" s="139" t="s">
        <v>59</v>
      </c>
    </row>
    <row r="479" spans="1:36" ht="15.75" x14ac:dyDescent="0.25">
      <c r="A479" s="115">
        <v>21575</v>
      </c>
      <c r="B479" s="116" t="s">
        <v>36</v>
      </c>
      <c r="C479" s="117" t="s">
        <v>37</v>
      </c>
      <c r="D479" s="118" t="s">
        <v>36</v>
      </c>
      <c r="E479" s="119" t="s">
        <v>38</v>
      </c>
      <c r="F479" s="140" t="s">
        <v>39</v>
      </c>
      <c r="G479" s="118" t="s">
        <v>40</v>
      </c>
      <c r="H479" s="121" t="s">
        <v>41</v>
      </c>
      <c r="I479" s="120" t="s">
        <v>946</v>
      </c>
      <c r="J479" s="122" t="s">
        <v>947</v>
      </c>
      <c r="K479" s="123" t="s">
        <v>948</v>
      </c>
      <c r="L479" t="s">
        <v>63</v>
      </c>
      <c r="M479" s="124" t="s">
        <v>64</v>
      </c>
      <c r="N479" s="125" t="s">
        <v>65</v>
      </c>
      <c r="O479" s="126" t="s">
        <v>929</v>
      </c>
      <c r="P479" s="127"/>
      <c r="Q479" s="128"/>
      <c r="R479" s="128"/>
      <c r="S479" s="129">
        <v>60</v>
      </c>
      <c r="T479" s="130" t="s">
        <v>1327</v>
      </c>
      <c r="U479" s="131">
        <v>45496</v>
      </c>
      <c r="V479" s="132"/>
      <c r="W479" s="133"/>
      <c r="X479" s="134" t="s">
        <v>1807</v>
      </c>
      <c r="Y479" s="135" t="s">
        <v>912</v>
      </c>
      <c r="Z479" s="128" t="s">
        <v>96</v>
      </c>
      <c r="AA479" s="128" t="s">
        <v>913</v>
      </c>
      <c r="AB479" s="136" t="s">
        <v>256</v>
      </c>
      <c r="AC479" s="137" t="s">
        <v>914</v>
      </c>
      <c r="AD479" s="136" t="s">
        <v>961</v>
      </c>
      <c r="AE479" s="136" t="s">
        <v>962</v>
      </c>
      <c r="AF479" s="136" t="s">
        <v>59</v>
      </c>
      <c r="AG479" s="136" t="s">
        <v>59</v>
      </c>
      <c r="AH479" s="138">
        <v>-60</v>
      </c>
      <c r="AI479" s="139" t="s">
        <v>58</v>
      </c>
      <c r="AJ479" s="139" t="s">
        <v>59</v>
      </c>
    </row>
    <row r="480" spans="1:36" ht="15.75" x14ac:dyDescent="0.25">
      <c r="A480" s="115">
        <v>21636</v>
      </c>
      <c r="B480" s="116" t="s">
        <v>36</v>
      </c>
      <c r="C480" s="117" t="s">
        <v>37</v>
      </c>
      <c r="D480" s="118" t="s">
        <v>36</v>
      </c>
      <c r="E480" s="119" t="s">
        <v>38</v>
      </c>
      <c r="F480" s="120" t="s">
        <v>39</v>
      </c>
      <c r="G480" s="118" t="s">
        <v>40</v>
      </c>
      <c r="H480" s="121" t="s">
        <v>41</v>
      </c>
      <c r="I480" s="120" t="s">
        <v>301</v>
      </c>
      <c r="J480" s="122" t="s">
        <v>302</v>
      </c>
      <c r="K480" s="123" t="s">
        <v>303</v>
      </c>
      <c r="L480" t="s">
        <v>1785</v>
      </c>
      <c r="M480" s="124" t="s">
        <v>733</v>
      </c>
      <c r="N480" s="125" t="s">
        <v>1786</v>
      </c>
      <c r="O480" s="126" t="s">
        <v>1767</v>
      </c>
      <c r="P480" s="127" t="s">
        <v>1808</v>
      </c>
      <c r="Q480" s="128">
        <v>127000</v>
      </c>
      <c r="R480" s="128">
        <v>0</v>
      </c>
      <c r="S480" s="129">
        <v>127000</v>
      </c>
      <c r="T480" s="130" t="s">
        <v>1809</v>
      </c>
      <c r="U480" s="131">
        <v>45497</v>
      </c>
      <c r="V480" s="132"/>
      <c r="W480" s="133">
        <v>7209</v>
      </c>
      <c r="X480" s="134" t="s">
        <v>1810</v>
      </c>
      <c r="Y480" s="135" t="s">
        <v>912</v>
      </c>
      <c r="Z480" s="128" t="s">
        <v>57</v>
      </c>
      <c r="AA480" s="128"/>
      <c r="AB480" s="136"/>
      <c r="AC480" s="137"/>
      <c r="AD480" s="136"/>
      <c r="AE480" s="136"/>
      <c r="AF480" s="136"/>
      <c r="AG480" s="136"/>
      <c r="AH480" s="138">
        <v>-127000</v>
      </c>
      <c r="AI480" s="139" t="s">
        <v>58</v>
      </c>
      <c r="AJ480" s="139" t="s">
        <v>59</v>
      </c>
    </row>
    <row r="481" spans="1:36" ht="15.75" x14ac:dyDescent="0.25">
      <c r="A481" s="115">
        <v>21753</v>
      </c>
      <c r="B481" s="116" t="s">
        <v>36</v>
      </c>
      <c r="C481" s="117" t="s">
        <v>37</v>
      </c>
      <c r="D481" s="118" t="s">
        <v>36</v>
      </c>
      <c r="E481" s="119" t="s">
        <v>38</v>
      </c>
      <c r="F481" s="140" t="s">
        <v>39</v>
      </c>
      <c r="G481" s="118" t="s">
        <v>40</v>
      </c>
      <c r="H481" s="121" t="s">
        <v>41</v>
      </c>
      <c r="I481" s="120" t="s">
        <v>301</v>
      </c>
      <c r="J481" s="122" t="s">
        <v>302</v>
      </c>
      <c r="K481" s="123" t="s">
        <v>303</v>
      </c>
      <c r="L481" t="s">
        <v>584</v>
      </c>
      <c r="M481" s="124" t="s">
        <v>585</v>
      </c>
      <c r="N481" s="125" t="s">
        <v>586</v>
      </c>
      <c r="O481" s="126" t="s">
        <v>929</v>
      </c>
      <c r="P481" s="127"/>
      <c r="Q481" s="128"/>
      <c r="R481" s="128"/>
      <c r="S481" s="129">
        <v>1765.07</v>
      </c>
      <c r="T481" s="130" t="s">
        <v>1327</v>
      </c>
      <c r="U481" s="131">
        <v>45498</v>
      </c>
      <c r="V481" s="132"/>
      <c r="W481" s="133"/>
      <c r="X481" s="134" t="s">
        <v>590</v>
      </c>
      <c r="Y481" s="135" t="s">
        <v>912</v>
      </c>
      <c r="Z481" s="128" t="s">
        <v>96</v>
      </c>
      <c r="AA481" s="128" t="s">
        <v>1811</v>
      </c>
      <c r="AB481" s="136" t="s">
        <v>256</v>
      </c>
      <c r="AC481" s="137" t="s">
        <v>914</v>
      </c>
      <c r="AD481" s="136" t="s">
        <v>961</v>
      </c>
      <c r="AE481" s="136" t="s">
        <v>962</v>
      </c>
      <c r="AF481" s="136" t="s">
        <v>59</v>
      </c>
      <c r="AG481" s="136" t="s">
        <v>59</v>
      </c>
      <c r="AH481" s="138">
        <v>-1765.07</v>
      </c>
      <c r="AI481" s="139" t="s">
        <v>58</v>
      </c>
      <c r="AJ481" s="139" t="s">
        <v>591</v>
      </c>
    </row>
    <row r="482" spans="1:36" ht="15.75" x14ac:dyDescent="0.25">
      <c r="A482" s="115">
        <v>21998</v>
      </c>
      <c r="B482" s="116" t="s">
        <v>36</v>
      </c>
      <c r="C482" s="117" t="s">
        <v>37</v>
      </c>
      <c r="D482" s="118" t="s">
        <v>36</v>
      </c>
      <c r="E482" s="119" t="s">
        <v>38</v>
      </c>
      <c r="F482" s="120" t="s">
        <v>39</v>
      </c>
      <c r="G482" s="118" t="s">
        <v>40</v>
      </c>
      <c r="H482" s="121" t="s">
        <v>41</v>
      </c>
      <c r="I482" s="120" t="s">
        <v>301</v>
      </c>
      <c r="J482" s="122" t="s">
        <v>302</v>
      </c>
      <c r="K482" s="123" t="s">
        <v>303</v>
      </c>
      <c r="L482" t="s">
        <v>1812</v>
      </c>
      <c r="M482" s="124" t="s">
        <v>1813</v>
      </c>
      <c r="N482" s="125" t="s">
        <v>1814</v>
      </c>
      <c r="O482" s="126" t="s">
        <v>121</v>
      </c>
      <c r="P482" s="127" t="s">
        <v>1815</v>
      </c>
      <c r="Q482" s="128">
        <v>500</v>
      </c>
      <c r="R482" s="128">
        <v>0</v>
      </c>
      <c r="S482" s="129">
        <v>500</v>
      </c>
      <c r="T482" s="130" t="s">
        <v>1816</v>
      </c>
      <c r="U482" s="131">
        <v>45503</v>
      </c>
      <c r="V482" s="132"/>
      <c r="W482" s="133">
        <v>5840</v>
      </c>
      <c r="X482" s="134" t="s">
        <v>1817</v>
      </c>
      <c r="Y482" s="135" t="s">
        <v>912</v>
      </c>
      <c r="Z482" s="128" t="s">
        <v>57</v>
      </c>
      <c r="AA482" s="128"/>
      <c r="AB482" s="136"/>
      <c r="AC482" s="137"/>
      <c r="AD482" s="136"/>
      <c r="AE482" s="136"/>
      <c r="AF482" s="136"/>
      <c r="AG482" s="136"/>
      <c r="AH482" s="138">
        <v>-500</v>
      </c>
      <c r="AI482" s="139" t="s">
        <v>58</v>
      </c>
      <c r="AJ482" s="139" t="s">
        <v>157</v>
      </c>
    </row>
    <row r="483" spans="1:36" ht="15.75" x14ac:dyDescent="0.25">
      <c r="A483" s="115">
        <v>22179</v>
      </c>
      <c r="B483" s="116" t="s">
        <v>36</v>
      </c>
      <c r="C483" s="117" t="s">
        <v>37</v>
      </c>
      <c r="D483" s="118" t="s">
        <v>36</v>
      </c>
      <c r="E483" s="119" t="s">
        <v>38</v>
      </c>
      <c r="F483" s="120" t="s">
        <v>39</v>
      </c>
      <c r="G483" s="118" t="s">
        <v>40</v>
      </c>
      <c r="H483" s="121" t="s">
        <v>41</v>
      </c>
      <c r="I483" s="120" t="s">
        <v>524</v>
      </c>
      <c r="J483" s="122" t="s">
        <v>525</v>
      </c>
      <c r="K483" s="123" t="s">
        <v>526</v>
      </c>
      <c r="L483" t="s">
        <v>204</v>
      </c>
      <c r="M483" s="124" t="s">
        <v>205</v>
      </c>
      <c r="N483" s="125" t="s">
        <v>206</v>
      </c>
      <c r="O483" s="126" t="s">
        <v>207</v>
      </c>
      <c r="P483" s="127" t="s">
        <v>1818</v>
      </c>
      <c r="Q483" s="128">
        <v>260.04000000000002</v>
      </c>
      <c r="R483" s="128">
        <v>260.04000000000002</v>
      </c>
      <c r="S483" s="129">
        <v>130.02000000000001</v>
      </c>
      <c r="T483" s="130" t="s">
        <v>1819</v>
      </c>
      <c r="U483" s="131">
        <v>45504</v>
      </c>
      <c r="V483" s="132">
        <v>45504</v>
      </c>
      <c r="W483" s="133">
        <v>10485</v>
      </c>
      <c r="X483" s="134" t="s">
        <v>1326</v>
      </c>
      <c r="Y483" s="135" t="s">
        <v>912</v>
      </c>
      <c r="Z483" s="128" t="s">
        <v>57</v>
      </c>
      <c r="AA483" s="128"/>
      <c r="AB483" s="136"/>
      <c r="AC483" s="137"/>
      <c r="AD483" s="136"/>
      <c r="AE483" s="136"/>
      <c r="AF483" s="136"/>
      <c r="AG483" s="136"/>
      <c r="AH483" s="138">
        <v>-130.02000000000001</v>
      </c>
      <c r="AI483" s="139" t="s">
        <v>58</v>
      </c>
      <c r="AJ483" s="139" t="s">
        <v>59</v>
      </c>
    </row>
    <row r="484" spans="1:36" ht="15.75" x14ac:dyDescent="0.25">
      <c r="A484" s="115">
        <v>22180</v>
      </c>
      <c r="B484" s="116" t="s">
        <v>36</v>
      </c>
      <c r="C484" s="117" t="s">
        <v>37</v>
      </c>
      <c r="D484" s="118" t="s">
        <v>36</v>
      </c>
      <c r="E484" s="119" t="s">
        <v>38</v>
      </c>
      <c r="F484" s="120" t="s">
        <v>39</v>
      </c>
      <c r="G484" s="118" t="s">
        <v>40</v>
      </c>
      <c r="H484" s="121" t="s">
        <v>41</v>
      </c>
      <c r="I484" s="120" t="s">
        <v>524</v>
      </c>
      <c r="J484" s="122" t="s">
        <v>525</v>
      </c>
      <c r="K484" s="123" t="s">
        <v>526</v>
      </c>
      <c r="L484" t="s">
        <v>262</v>
      </c>
      <c r="M484" s="124" t="s">
        <v>263</v>
      </c>
      <c r="N484" s="125" t="s">
        <v>264</v>
      </c>
      <c r="O484" s="126" t="s">
        <v>207</v>
      </c>
      <c r="P484" s="127" t="s">
        <v>1818</v>
      </c>
      <c r="Q484" s="128">
        <v>260.04000000000002</v>
      </c>
      <c r="R484" s="128">
        <v>260.04000000000002</v>
      </c>
      <c r="S484" s="129">
        <v>130.02000000000001</v>
      </c>
      <c r="T484" s="130" t="s">
        <v>1819</v>
      </c>
      <c r="U484" s="131">
        <v>45504</v>
      </c>
      <c r="V484" s="132">
        <v>45504</v>
      </c>
      <c r="W484" s="133">
        <v>10485</v>
      </c>
      <c r="X484" s="134" t="s">
        <v>1326</v>
      </c>
      <c r="Y484" s="135" t="s">
        <v>912</v>
      </c>
      <c r="Z484" s="128" t="s">
        <v>57</v>
      </c>
      <c r="AA484" s="128"/>
      <c r="AB484" s="136"/>
      <c r="AC484" s="137"/>
      <c r="AD484" s="136"/>
      <c r="AE484" s="136"/>
      <c r="AF484" s="136"/>
      <c r="AG484" s="136"/>
      <c r="AH484" s="138">
        <v>-130.02000000000001</v>
      </c>
      <c r="AI484" s="139" t="s">
        <v>58</v>
      </c>
      <c r="AJ484" s="139" t="s">
        <v>59</v>
      </c>
    </row>
    <row r="485" spans="1:36" ht="15.75" x14ac:dyDescent="0.25">
      <c r="A485" s="115">
        <v>22761</v>
      </c>
      <c r="B485" s="116" t="s">
        <v>36</v>
      </c>
      <c r="C485" s="117" t="s">
        <v>37</v>
      </c>
      <c r="D485" s="118" t="s">
        <v>36</v>
      </c>
      <c r="E485" s="119" t="s">
        <v>38</v>
      </c>
      <c r="F485" s="140" t="s">
        <v>39</v>
      </c>
      <c r="G485" s="118" t="s">
        <v>40</v>
      </c>
      <c r="H485" s="121" t="s">
        <v>41</v>
      </c>
      <c r="I485" s="120" t="s">
        <v>301</v>
      </c>
      <c r="J485" s="122" t="s">
        <v>302</v>
      </c>
      <c r="K485" s="123" t="s">
        <v>303</v>
      </c>
      <c r="L485" t="s">
        <v>83</v>
      </c>
      <c r="M485" s="124" t="s">
        <v>84</v>
      </c>
      <c r="N485" s="125" t="s">
        <v>85</v>
      </c>
      <c r="O485" s="126" t="s">
        <v>929</v>
      </c>
      <c r="P485" s="127"/>
      <c r="Q485" s="128"/>
      <c r="R485" s="128"/>
      <c r="S485" s="129">
        <v>302.3</v>
      </c>
      <c r="T485" s="130" t="s">
        <v>1327</v>
      </c>
      <c r="U485" s="131">
        <v>45509</v>
      </c>
      <c r="V485" s="132"/>
      <c r="W485" s="133"/>
      <c r="X485" s="134" t="s">
        <v>55</v>
      </c>
      <c r="Y485" s="135" t="s">
        <v>912</v>
      </c>
      <c r="Z485" s="128" t="s">
        <v>96</v>
      </c>
      <c r="AA485" s="128" t="s">
        <v>939</v>
      </c>
      <c r="AB485" s="136"/>
      <c r="AC485" s="137"/>
      <c r="AD485" s="136"/>
      <c r="AE485" s="136"/>
      <c r="AF485" s="136"/>
      <c r="AG485" s="136"/>
      <c r="AH485" s="138">
        <v>-302.3</v>
      </c>
      <c r="AI485" s="139" t="s">
        <v>58</v>
      </c>
      <c r="AJ485" s="139" t="s">
        <v>59</v>
      </c>
    </row>
    <row r="486" spans="1:36" ht="15.75" x14ac:dyDescent="0.25">
      <c r="A486" s="115">
        <v>23116</v>
      </c>
      <c r="B486" s="116" t="s">
        <v>36</v>
      </c>
      <c r="C486" s="117" t="s">
        <v>37</v>
      </c>
      <c r="D486" s="118" t="s">
        <v>36</v>
      </c>
      <c r="E486" s="119" t="s">
        <v>38</v>
      </c>
      <c r="F486" s="120" t="s">
        <v>39</v>
      </c>
      <c r="G486" s="118" t="s">
        <v>40</v>
      </c>
      <c r="H486" s="121" t="s">
        <v>41</v>
      </c>
      <c r="I486" s="120" t="s">
        <v>301</v>
      </c>
      <c r="J486" s="122" t="s">
        <v>302</v>
      </c>
      <c r="K486" s="123" t="s">
        <v>303</v>
      </c>
      <c r="L486" t="s">
        <v>63</v>
      </c>
      <c r="M486" s="124" t="s">
        <v>64</v>
      </c>
      <c r="N486" s="125" t="s">
        <v>65</v>
      </c>
      <c r="O486" s="126" t="s">
        <v>929</v>
      </c>
      <c r="P486" s="127"/>
      <c r="Q486" s="128"/>
      <c r="R486" s="128"/>
      <c r="S486" s="129">
        <v>100</v>
      </c>
      <c r="T486" s="130" t="s">
        <v>1327</v>
      </c>
      <c r="U486" s="131">
        <v>45513</v>
      </c>
      <c r="V486" s="132"/>
      <c r="W486" s="133"/>
      <c r="X486" s="134" t="s">
        <v>1723</v>
      </c>
      <c r="Y486" s="135" t="s">
        <v>912</v>
      </c>
      <c r="Z486" s="128" t="s">
        <v>96</v>
      </c>
      <c r="AA486" s="128" t="s">
        <v>913</v>
      </c>
      <c r="AB486" s="136"/>
      <c r="AC486" s="137"/>
      <c r="AD486" s="136"/>
      <c r="AE486" s="136"/>
      <c r="AF486" s="136"/>
      <c r="AG486" s="136"/>
      <c r="AH486" s="138">
        <v>-100</v>
      </c>
      <c r="AI486" s="139" t="s">
        <v>58</v>
      </c>
      <c r="AJ486" s="139" t="s">
        <v>59</v>
      </c>
    </row>
    <row r="487" spans="1:36" ht="15.75" x14ac:dyDescent="0.25">
      <c r="A487" s="115">
        <v>23133</v>
      </c>
      <c r="B487" s="116" t="s">
        <v>36</v>
      </c>
      <c r="C487" s="117" t="s">
        <v>37</v>
      </c>
      <c r="D487" s="118" t="s">
        <v>36</v>
      </c>
      <c r="E487" s="119" t="s">
        <v>38</v>
      </c>
      <c r="F487" s="120" t="s">
        <v>39</v>
      </c>
      <c r="G487" s="118" t="s">
        <v>40</v>
      </c>
      <c r="H487" s="121" t="s">
        <v>41</v>
      </c>
      <c r="I487" s="120" t="s">
        <v>524</v>
      </c>
      <c r="J487" s="122" t="s">
        <v>525</v>
      </c>
      <c r="K487" s="123" t="s">
        <v>526</v>
      </c>
      <c r="L487" t="s">
        <v>262</v>
      </c>
      <c r="M487" s="124" t="s">
        <v>263</v>
      </c>
      <c r="N487" s="125" t="s">
        <v>264</v>
      </c>
      <c r="O487" s="126" t="s">
        <v>207</v>
      </c>
      <c r="P487" s="127" t="s">
        <v>1619</v>
      </c>
      <c r="Q487" s="128">
        <v>476.71</v>
      </c>
      <c r="R487" s="128">
        <v>0</v>
      </c>
      <c r="S487" s="129">
        <v>238.35499999999999</v>
      </c>
      <c r="T487" s="130" t="s">
        <v>1620</v>
      </c>
      <c r="U487" s="131">
        <v>45513</v>
      </c>
      <c r="V487" s="132"/>
      <c r="W487" s="133">
        <v>3003</v>
      </c>
      <c r="X487" s="134" t="s">
        <v>1334</v>
      </c>
      <c r="Y487" s="135" t="s">
        <v>912</v>
      </c>
      <c r="Z487" s="128" t="s">
        <v>57</v>
      </c>
      <c r="AA487" s="128"/>
      <c r="AB487" s="136"/>
      <c r="AC487" s="137"/>
      <c r="AD487" s="136"/>
      <c r="AE487" s="136"/>
      <c r="AF487" s="136"/>
      <c r="AG487" s="136"/>
      <c r="AH487" s="138">
        <v>-238.35499999999999</v>
      </c>
      <c r="AI487" s="139" t="s">
        <v>58</v>
      </c>
      <c r="AJ487" s="139" t="s">
        <v>59</v>
      </c>
    </row>
    <row r="488" spans="1:36" ht="15.75" x14ac:dyDescent="0.25">
      <c r="A488" s="115">
        <v>23161</v>
      </c>
      <c r="B488" s="116" t="s">
        <v>36</v>
      </c>
      <c r="C488" s="117" t="s">
        <v>37</v>
      </c>
      <c r="D488" s="118" t="s">
        <v>36</v>
      </c>
      <c r="E488" s="119" t="s">
        <v>38</v>
      </c>
      <c r="F488" s="120" t="s">
        <v>39</v>
      </c>
      <c r="G488" s="118" t="s">
        <v>40</v>
      </c>
      <c r="H488" s="121" t="s">
        <v>41</v>
      </c>
      <c r="I488" s="120" t="s">
        <v>1319</v>
      </c>
      <c r="J488" s="122" t="s">
        <v>1320</v>
      </c>
      <c r="K488" s="123" t="s">
        <v>1321</v>
      </c>
      <c r="L488" t="s">
        <v>63</v>
      </c>
      <c r="M488" s="124" t="s">
        <v>64</v>
      </c>
      <c r="N488" s="125" t="s">
        <v>65</v>
      </c>
      <c r="O488" s="126" t="s">
        <v>929</v>
      </c>
      <c r="P488" s="127"/>
      <c r="Q488" s="128"/>
      <c r="R488" s="128"/>
      <c r="S488" s="129">
        <v>790</v>
      </c>
      <c r="T488" s="130" t="s">
        <v>1327</v>
      </c>
      <c r="U488" s="131">
        <v>45513</v>
      </c>
      <c r="V488" s="132"/>
      <c r="W488" s="133"/>
      <c r="X488" s="134" t="s">
        <v>1820</v>
      </c>
      <c r="Y488" s="135" t="s">
        <v>912</v>
      </c>
      <c r="Z488" s="128" t="s">
        <v>96</v>
      </c>
      <c r="AA488" s="128" t="s">
        <v>1821</v>
      </c>
      <c r="AB488" s="136"/>
      <c r="AC488" s="137"/>
      <c r="AD488" s="136"/>
      <c r="AE488" s="136"/>
      <c r="AF488" s="136"/>
      <c r="AG488" s="136"/>
      <c r="AH488" s="138">
        <v>-790</v>
      </c>
      <c r="AI488" s="139" t="s">
        <v>58</v>
      </c>
      <c r="AJ488" s="139" t="s">
        <v>59</v>
      </c>
    </row>
    <row r="489" spans="1:36" ht="15.75" x14ac:dyDescent="0.25">
      <c r="A489" s="115">
        <v>23171</v>
      </c>
      <c r="B489" s="116" t="s">
        <v>36</v>
      </c>
      <c r="C489" s="117" t="s">
        <v>37</v>
      </c>
      <c r="D489" s="118" t="s">
        <v>36</v>
      </c>
      <c r="E489" s="119" t="s">
        <v>38</v>
      </c>
      <c r="F489" s="140" t="s">
        <v>39</v>
      </c>
      <c r="G489" s="118" t="s">
        <v>40</v>
      </c>
      <c r="H489" s="121" t="s">
        <v>41</v>
      </c>
      <c r="I489" s="120" t="s">
        <v>301</v>
      </c>
      <c r="J489" s="122" t="s">
        <v>302</v>
      </c>
      <c r="K489" s="123" t="s">
        <v>303</v>
      </c>
      <c r="L489" t="s">
        <v>204</v>
      </c>
      <c r="M489" s="124" t="s">
        <v>205</v>
      </c>
      <c r="N489" s="125" t="s">
        <v>206</v>
      </c>
      <c r="O489" s="126" t="s">
        <v>207</v>
      </c>
      <c r="P489" s="127" t="s">
        <v>1822</v>
      </c>
      <c r="Q489" s="128">
        <v>426.1</v>
      </c>
      <c r="R489" s="128">
        <v>0</v>
      </c>
      <c r="S489" s="129">
        <v>213.05</v>
      </c>
      <c r="T489" s="130" t="s">
        <v>1823</v>
      </c>
      <c r="U489" s="131">
        <v>45513</v>
      </c>
      <c r="V489" s="132"/>
      <c r="W489" s="133">
        <v>9150</v>
      </c>
      <c r="X489" s="134" t="s">
        <v>1592</v>
      </c>
      <c r="Y489" s="135" t="s">
        <v>912</v>
      </c>
      <c r="Z489" s="128" t="s">
        <v>57</v>
      </c>
      <c r="AA489" s="128"/>
      <c r="AB489" s="136"/>
      <c r="AC489" s="137"/>
      <c r="AD489" s="136"/>
      <c r="AE489" s="136"/>
      <c r="AF489" s="136"/>
      <c r="AG489" s="136"/>
      <c r="AH489" s="138">
        <v>-213.05</v>
      </c>
      <c r="AI489" s="139" t="s">
        <v>58</v>
      </c>
      <c r="AJ489" s="139" t="s">
        <v>59</v>
      </c>
    </row>
    <row r="490" spans="1:36" ht="15.75" x14ac:dyDescent="0.25">
      <c r="A490" s="115">
        <v>23172</v>
      </c>
      <c r="B490" s="116" t="s">
        <v>36</v>
      </c>
      <c r="C490" s="117" t="s">
        <v>37</v>
      </c>
      <c r="D490" s="118" t="s">
        <v>36</v>
      </c>
      <c r="E490" s="119" t="s">
        <v>38</v>
      </c>
      <c r="F490" s="140" t="s">
        <v>39</v>
      </c>
      <c r="G490" s="118" t="s">
        <v>40</v>
      </c>
      <c r="H490" s="121" t="s">
        <v>41</v>
      </c>
      <c r="I490" s="120" t="s">
        <v>301</v>
      </c>
      <c r="J490" s="122" t="s">
        <v>302</v>
      </c>
      <c r="K490" s="123" t="s">
        <v>303</v>
      </c>
      <c r="L490" t="s">
        <v>262</v>
      </c>
      <c r="M490" s="124" t="s">
        <v>263</v>
      </c>
      <c r="N490" s="125" t="s">
        <v>264</v>
      </c>
      <c r="O490" s="126" t="s">
        <v>207</v>
      </c>
      <c r="P490" s="127" t="s">
        <v>1822</v>
      </c>
      <c r="Q490" s="128">
        <v>426.1</v>
      </c>
      <c r="R490" s="128">
        <v>0</v>
      </c>
      <c r="S490" s="129">
        <v>213.05</v>
      </c>
      <c r="T490" s="130" t="s">
        <v>1823</v>
      </c>
      <c r="U490" s="131">
        <v>45513</v>
      </c>
      <c r="V490" s="132"/>
      <c r="W490" s="133">
        <v>9150</v>
      </c>
      <c r="X490" s="134" t="s">
        <v>1592</v>
      </c>
      <c r="Y490" s="135" t="s">
        <v>912</v>
      </c>
      <c r="Z490" s="128" t="s">
        <v>57</v>
      </c>
      <c r="AA490" s="128"/>
      <c r="AB490" s="136"/>
      <c r="AC490" s="137"/>
      <c r="AD490" s="136"/>
      <c r="AE490" s="136"/>
      <c r="AF490" s="136"/>
      <c r="AG490" s="136"/>
      <c r="AH490" s="138">
        <v>-213.05</v>
      </c>
      <c r="AI490" s="139" t="s">
        <v>58</v>
      </c>
      <c r="AJ490" s="139" t="s">
        <v>59</v>
      </c>
    </row>
    <row r="491" spans="1:36" ht="15.75" x14ac:dyDescent="0.25">
      <c r="A491" s="115">
        <v>23392</v>
      </c>
      <c r="B491" s="116" t="s">
        <v>36</v>
      </c>
      <c r="C491" s="117" t="s">
        <v>37</v>
      </c>
      <c r="D491" s="118" t="s">
        <v>36</v>
      </c>
      <c r="E491" s="119" t="s">
        <v>38</v>
      </c>
      <c r="F491" s="140" t="s">
        <v>39</v>
      </c>
      <c r="G491" s="118" t="s">
        <v>40</v>
      </c>
      <c r="H491" s="121" t="s">
        <v>41</v>
      </c>
      <c r="I491" s="120" t="s">
        <v>524</v>
      </c>
      <c r="J491" s="122" t="s">
        <v>525</v>
      </c>
      <c r="K491" s="123" t="s">
        <v>526</v>
      </c>
      <c r="L491" t="s">
        <v>262</v>
      </c>
      <c r="M491" s="124" t="s">
        <v>263</v>
      </c>
      <c r="N491" s="125" t="s">
        <v>264</v>
      </c>
      <c r="O491" s="126" t="s">
        <v>207</v>
      </c>
      <c r="P491" s="127" t="s">
        <v>1824</v>
      </c>
      <c r="Q491" s="128">
        <v>460</v>
      </c>
      <c r="R491" s="128">
        <v>460</v>
      </c>
      <c r="S491" s="129">
        <v>460</v>
      </c>
      <c r="T491" s="130" t="s">
        <v>1825</v>
      </c>
      <c r="U491" s="131">
        <v>45517</v>
      </c>
      <c r="V491" s="132">
        <v>45517</v>
      </c>
      <c r="W491" s="133">
        <v>11027</v>
      </c>
      <c r="X491" s="134" t="s">
        <v>648</v>
      </c>
      <c r="Y491" s="135" t="s">
        <v>912</v>
      </c>
      <c r="Z491" s="128" t="s">
        <v>57</v>
      </c>
      <c r="AA491" s="128"/>
      <c r="AB491" s="136"/>
      <c r="AC491" s="137"/>
      <c r="AD491" s="136"/>
      <c r="AE491" s="136"/>
      <c r="AF491" s="136"/>
      <c r="AG491" s="136"/>
      <c r="AH491" s="138">
        <v>-460</v>
      </c>
      <c r="AI491" s="139" t="s">
        <v>58</v>
      </c>
      <c r="AJ491" s="139" t="s">
        <v>59</v>
      </c>
    </row>
    <row r="492" spans="1:36" ht="15.75" x14ac:dyDescent="0.25">
      <c r="A492" s="115">
        <v>23906</v>
      </c>
      <c r="B492" s="116" t="s">
        <v>36</v>
      </c>
      <c r="C492" s="117" t="s">
        <v>37</v>
      </c>
      <c r="D492" s="118" t="s">
        <v>36</v>
      </c>
      <c r="E492" s="119" t="s">
        <v>38</v>
      </c>
      <c r="F492" s="120" t="s">
        <v>39</v>
      </c>
      <c r="G492" s="118" t="s">
        <v>40</v>
      </c>
      <c r="H492" s="121" t="s">
        <v>41</v>
      </c>
      <c r="I492" s="120" t="s">
        <v>301</v>
      </c>
      <c r="J492" s="122" t="s">
        <v>302</v>
      </c>
      <c r="K492" s="123" t="s">
        <v>303</v>
      </c>
      <c r="L492" t="s">
        <v>63</v>
      </c>
      <c r="M492" s="124" t="s">
        <v>64</v>
      </c>
      <c r="N492" s="125" t="s">
        <v>65</v>
      </c>
      <c r="O492" s="126" t="s">
        <v>121</v>
      </c>
      <c r="P492" s="127" t="s">
        <v>1826</v>
      </c>
      <c r="Q492" s="128">
        <v>504</v>
      </c>
      <c r="R492" s="128">
        <v>0</v>
      </c>
      <c r="S492" s="129">
        <v>504</v>
      </c>
      <c r="T492" s="130" t="s">
        <v>1827</v>
      </c>
      <c r="U492" s="131">
        <v>45524</v>
      </c>
      <c r="V492" s="132"/>
      <c r="W492" s="133">
        <v>10953</v>
      </c>
      <c r="X492" s="134" t="s">
        <v>1828</v>
      </c>
      <c r="Y492" s="135" t="s">
        <v>912</v>
      </c>
      <c r="Z492" s="128" t="s">
        <v>57</v>
      </c>
      <c r="AA492" s="128"/>
      <c r="AB492" s="136"/>
      <c r="AC492" s="137"/>
      <c r="AD492" s="136"/>
      <c r="AE492" s="136"/>
      <c r="AF492" s="136"/>
      <c r="AG492" s="136"/>
      <c r="AH492" s="138">
        <v>-504</v>
      </c>
      <c r="AI492" s="139" t="s">
        <v>58</v>
      </c>
      <c r="AJ492" s="139" t="s">
        <v>59</v>
      </c>
    </row>
    <row r="493" spans="1:36" ht="15.75" x14ac:dyDescent="0.25">
      <c r="A493" s="115">
        <v>24245</v>
      </c>
      <c r="B493" s="116" t="s">
        <v>36</v>
      </c>
      <c r="C493" s="117" t="s">
        <v>37</v>
      </c>
      <c r="D493" s="118" t="s">
        <v>36</v>
      </c>
      <c r="E493" s="119" t="s">
        <v>38</v>
      </c>
      <c r="F493" s="120" t="s">
        <v>39</v>
      </c>
      <c r="G493" s="118" t="s">
        <v>40</v>
      </c>
      <c r="H493" s="121" t="s">
        <v>41</v>
      </c>
      <c r="I493" s="120" t="s">
        <v>1360</v>
      </c>
      <c r="J493" s="122" t="s">
        <v>1361</v>
      </c>
      <c r="K493" s="123" t="s">
        <v>1362</v>
      </c>
      <c r="L493" t="s">
        <v>63</v>
      </c>
      <c r="M493" s="124" t="s">
        <v>64</v>
      </c>
      <c r="N493" s="125" t="s">
        <v>65</v>
      </c>
      <c r="O493" s="126" t="s">
        <v>929</v>
      </c>
      <c r="P493" s="127"/>
      <c r="Q493" s="128"/>
      <c r="R493" s="128"/>
      <c r="S493" s="129">
        <v>600</v>
      </c>
      <c r="T493" s="130" t="s">
        <v>1327</v>
      </c>
      <c r="U493" s="131">
        <v>45527</v>
      </c>
      <c r="V493" s="132"/>
      <c r="W493" s="133"/>
      <c r="X493" s="134" t="s">
        <v>1596</v>
      </c>
      <c r="Y493" s="135" t="s">
        <v>912</v>
      </c>
      <c r="Z493" s="128" t="s">
        <v>96</v>
      </c>
      <c r="AA493" s="128" t="s">
        <v>913</v>
      </c>
      <c r="AB493" s="136"/>
      <c r="AC493" s="137"/>
      <c r="AD493" s="136"/>
      <c r="AE493" s="136"/>
      <c r="AF493" s="136"/>
      <c r="AG493" s="136"/>
      <c r="AH493" s="138">
        <v>-600</v>
      </c>
      <c r="AI493" s="139" t="s">
        <v>58</v>
      </c>
      <c r="AJ493" s="139" t="s">
        <v>59</v>
      </c>
    </row>
    <row r="494" spans="1:36" ht="15.75" x14ac:dyDescent="0.25">
      <c r="A494" s="115">
        <v>24549</v>
      </c>
      <c r="B494" s="116" t="s">
        <v>36</v>
      </c>
      <c r="C494" s="117" t="s">
        <v>37</v>
      </c>
      <c r="D494" s="118" t="s">
        <v>36</v>
      </c>
      <c r="E494" s="119" t="s">
        <v>38</v>
      </c>
      <c r="F494" s="120" t="s">
        <v>39</v>
      </c>
      <c r="G494" s="118" t="s">
        <v>40</v>
      </c>
      <c r="H494" s="121" t="s">
        <v>41</v>
      </c>
      <c r="I494" s="120" t="s">
        <v>301</v>
      </c>
      <c r="J494" s="122" t="s">
        <v>302</v>
      </c>
      <c r="K494" s="123" t="s">
        <v>303</v>
      </c>
      <c r="L494" t="s">
        <v>63</v>
      </c>
      <c r="M494" s="124" t="s">
        <v>64</v>
      </c>
      <c r="N494" s="125" t="s">
        <v>65</v>
      </c>
      <c r="O494" s="126" t="s">
        <v>121</v>
      </c>
      <c r="P494" s="127" t="s">
        <v>1829</v>
      </c>
      <c r="Q494" s="128">
        <v>500</v>
      </c>
      <c r="R494" s="128">
        <v>0</v>
      </c>
      <c r="S494" s="129">
        <v>500</v>
      </c>
      <c r="T494" s="130" t="s">
        <v>1830</v>
      </c>
      <c r="U494" s="131">
        <v>45532</v>
      </c>
      <c r="V494" s="132"/>
      <c r="W494" s="133">
        <v>3904</v>
      </c>
      <c r="X494" s="134" t="s">
        <v>928</v>
      </c>
      <c r="Y494" s="135" t="s">
        <v>912</v>
      </c>
      <c r="Z494" s="128" t="s">
        <v>57</v>
      </c>
      <c r="AA494" s="128"/>
      <c r="AB494" s="136"/>
      <c r="AC494" s="137"/>
      <c r="AD494" s="136"/>
      <c r="AE494" s="136"/>
      <c r="AF494" s="136"/>
      <c r="AG494" s="136"/>
      <c r="AH494" s="138">
        <v>-500</v>
      </c>
      <c r="AI494" s="139" t="s">
        <v>58</v>
      </c>
      <c r="AJ494" s="139" t="s">
        <v>59</v>
      </c>
    </row>
    <row r="495" spans="1:36" ht="15.75" x14ac:dyDescent="0.25">
      <c r="A495" s="115">
        <v>24632</v>
      </c>
      <c r="B495" s="116" t="s">
        <v>36</v>
      </c>
      <c r="C495" s="117" t="s">
        <v>37</v>
      </c>
      <c r="D495" s="118" t="s">
        <v>36</v>
      </c>
      <c r="E495" s="119" t="s">
        <v>38</v>
      </c>
      <c r="F495" s="140" t="s">
        <v>39</v>
      </c>
      <c r="G495" s="118" t="s">
        <v>40</v>
      </c>
      <c r="H495" s="121" t="s">
        <v>41</v>
      </c>
      <c r="I495" s="120" t="s">
        <v>1319</v>
      </c>
      <c r="J495" s="122" t="s">
        <v>1320</v>
      </c>
      <c r="K495" s="123" t="s">
        <v>1321</v>
      </c>
      <c r="L495" t="s">
        <v>63</v>
      </c>
      <c r="M495" s="124" t="s">
        <v>64</v>
      </c>
      <c r="N495" s="125" t="s">
        <v>65</v>
      </c>
      <c r="O495" s="126" t="s">
        <v>121</v>
      </c>
      <c r="P495" s="127" t="s">
        <v>1831</v>
      </c>
      <c r="Q495" s="128">
        <v>135.69999999999999</v>
      </c>
      <c r="R495" s="128">
        <v>135.69999999999999</v>
      </c>
      <c r="S495" s="129">
        <v>135.69999999999999</v>
      </c>
      <c r="T495" s="130" t="s">
        <v>1832</v>
      </c>
      <c r="U495" s="131">
        <v>45532</v>
      </c>
      <c r="V495" s="132">
        <v>45532</v>
      </c>
      <c r="W495" s="133">
        <v>8980</v>
      </c>
      <c r="X495" s="134" t="s">
        <v>1681</v>
      </c>
      <c r="Y495" s="135" t="s">
        <v>912</v>
      </c>
      <c r="Z495" s="128" t="s">
        <v>57</v>
      </c>
      <c r="AA495" s="128"/>
      <c r="AB495" s="136"/>
      <c r="AC495" s="137"/>
      <c r="AD495" s="136"/>
      <c r="AE495" s="136"/>
      <c r="AF495" s="136"/>
      <c r="AG495" s="136"/>
      <c r="AH495" s="138">
        <v>-135.69999999999999</v>
      </c>
      <c r="AI495" s="139" t="s">
        <v>58</v>
      </c>
      <c r="AJ495" s="139" t="s">
        <v>59</v>
      </c>
    </row>
    <row r="496" spans="1:36" ht="15.75" x14ac:dyDescent="0.25">
      <c r="A496" s="115">
        <v>24748</v>
      </c>
      <c r="B496" s="116" t="s">
        <v>36</v>
      </c>
      <c r="C496" s="117" t="s">
        <v>37</v>
      </c>
      <c r="D496" s="118" t="s">
        <v>36</v>
      </c>
      <c r="E496" s="119" t="s">
        <v>38</v>
      </c>
      <c r="F496" s="140" t="s">
        <v>39</v>
      </c>
      <c r="G496" s="118" t="s">
        <v>40</v>
      </c>
      <c r="H496" s="121" t="s">
        <v>41</v>
      </c>
      <c r="I496" s="120" t="s">
        <v>301</v>
      </c>
      <c r="J496" s="122" t="s">
        <v>302</v>
      </c>
      <c r="K496" s="123" t="s">
        <v>303</v>
      </c>
      <c r="L496" t="s">
        <v>83</v>
      </c>
      <c r="M496" s="124" t="s">
        <v>84</v>
      </c>
      <c r="N496" s="125" t="s">
        <v>85</v>
      </c>
      <c r="O496" s="126" t="s">
        <v>929</v>
      </c>
      <c r="P496" s="127"/>
      <c r="Q496" s="128"/>
      <c r="R496" s="128"/>
      <c r="S496" s="129">
        <v>103.13</v>
      </c>
      <c r="T496" s="130" t="s">
        <v>1327</v>
      </c>
      <c r="U496" s="131">
        <v>45533</v>
      </c>
      <c r="V496" s="132"/>
      <c r="W496" s="133"/>
      <c r="X496" s="134" t="s">
        <v>55</v>
      </c>
      <c r="Y496" s="135" t="s">
        <v>912</v>
      </c>
      <c r="Z496" s="128" t="s">
        <v>96</v>
      </c>
      <c r="AA496" s="128" t="s">
        <v>939</v>
      </c>
      <c r="AB496" s="136"/>
      <c r="AC496" s="137"/>
      <c r="AD496" s="136"/>
      <c r="AE496" s="136"/>
      <c r="AF496" s="136"/>
      <c r="AG496" s="136"/>
      <c r="AH496" s="138">
        <v>-103.13</v>
      </c>
      <c r="AI496" s="139" t="s">
        <v>58</v>
      </c>
      <c r="AJ496" s="139" t="s">
        <v>59</v>
      </c>
    </row>
    <row r="497" spans="1:36" ht="15.75" x14ac:dyDescent="0.25">
      <c r="A497" s="115">
        <v>24789</v>
      </c>
      <c r="B497" s="116" t="s">
        <v>36</v>
      </c>
      <c r="C497" s="117" t="s">
        <v>37</v>
      </c>
      <c r="D497" s="118" t="s">
        <v>36</v>
      </c>
      <c r="E497" s="119" t="s">
        <v>38</v>
      </c>
      <c r="F497" s="120" t="s">
        <v>39</v>
      </c>
      <c r="G497" s="118" t="s">
        <v>40</v>
      </c>
      <c r="H497" s="121" t="s">
        <v>41</v>
      </c>
      <c r="I497" s="120" t="s">
        <v>946</v>
      </c>
      <c r="J497" s="122" t="s">
        <v>947</v>
      </c>
      <c r="K497" s="123" t="s">
        <v>948</v>
      </c>
      <c r="L497" t="s">
        <v>63</v>
      </c>
      <c r="M497" s="124" t="s">
        <v>64</v>
      </c>
      <c r="N497" s="125" t="s">
        <v>65</v>
      </c>
      <c r="O497" s="126" t="s">
        <v>929</v>
      </c>
      <c r="P497" s="127"/>
      <c r="Q497" s="128"/>
      <c r="R497" s="128"/>
      <c r="S497" s="129">
        <v>663.3</v>
      </c>
      <c r="T497" s="130" t="s">
        <v>1327</v>
      </c>
      <c r="U497" s="131">
        <v>45534</v>
      </c>
      <c r="V497" s="132"/>
      <c r="W497" s="133"/>
      <c r="X497" s="134" t="s">
        <v>1671</v>
      </c>
      <c r="Y497" s="135" t="s">
        <v>912</v>
      </c>
      <c r="Z497" s="128" t="s">
        <v>96</v>
      </c>
      <c r="AA497" s="128" t="s">
        <v>933</v>
      </c>
      <c r="AB497" s="136"/>
      <c r="AC497" s="137"/>
      <c r="AD497" s="136"/>
      <c r="AE497" s="136"/>
      <c r="AF497" s="136"/>
      <c r="AG497" s="136"/>
      <c r="AH497" s="138">
        <v>-663.3</v>
      </c>
      <c r="AI497" s="139" t="s">
        <v>58</v>
      </c>
      <c r="AJ497" s="139" t="s">
        <v>59</v>
      </c>
    </row>
    <row r="498" spans="1:36" ht="15.75" x14ac:dyDescent="0.25">
      <c r="A498" s="115">
        <v>24790</v>
      </c>
      <c r="B498" s="116" t="s">
        <v>36</v>
      </c>
      <c r="C498" s="117" t="s">
        <v>37</v>
      </c>
      <c r="D498" s="118" t="s">
        <v>36</v>
      </c>
      <c r="E498" s="119" t="s">
        <v>38</v>
      </c>
      <c r="F498" s="120" t="s">
        <v>39</v>
      </c>
      <c r="G498" s="118" t="s">
        <v>40</v>
      </c>
      <c r="H498" s="121" t="s">
        <v>41</v>
      </c>
      <c r="I498" s="120" t="s">
        <v>946</v>
      </c>
      <c r="J498" s="122" t="s">
        <v>947</v>
      </c>
      <c r="K498" s="123" t="s">
        <v>948</v>
      </c>
      <c r="L498" t="s">
        <v>63</v>
      </c>
      <c r="M498" s="124" t="s">
        <v>64</v>
      </c>
      <c r="N498" s="125" t="s">
        <v>65</v>
      </c>
      <c r="O498" s="126" t="s">
        <v>929</v>
      </c>
      <c r="P498" s="127"/>
      <c r="Q498" s="128"/>
      <c r="R498" s="128"/>
      <c r="S498" s="129">
        <v>286.7</v>
      </c>
      <c r="T498" s="130" t="s">
        <v>1327</v>
      </c>
      <c r="U498" s="131">
        <v>45534</v>
      </c>
      <c r="V498" s="132"/>
      <c r="W498" s="133"/>
      <c r="X498" s="134" t="s">
        <v>1671</v>
      </c>
      <c r="Y498" s="135" t="s">
        <v>912</v>
      </c>
      <c r="Z498" s="128" t="s">
        <v>96</v>
      </c>
      <c r="AA498" s="128" t="s">
        <v>913</v>
      </c>
      <c r="AB498" s="136"/>
      <c r="AC498" s="137"/>
      <c r="AD498" s="136"/>
      <c r="AE498" s="136"/>
      <c r="AF498" s="136"/>
      <c r="AG498" s="136"/>
      <c r="AH498" s="138">
        <v>-286.7</v>
      </c>
      <c r="AI498" s="139" t="s">
        <v>58</v>
      </c>
      <c r="AJ498" s="139" t="s">
        <v>59</v>
      </c>
    </row>
    <row r="499" spans="1:36" ht="15.75" x14ac:dyDescent="0.25">
      <c r="A499" s="115">
        <v>24890</v>
      </c>
      <c r="B499" s="116" t="s">
        <v>36</v>
      </c>
      <c r="C499" s="117" t="s">
        <v>37</v>
      </c>
      <c r="D499" s="118" t="s">
        <v>36</v>
      </c>
      <c r="E499" s="119" t="s">
        <v>38</v>
      </c>
      <c r="F499" s="120" t="s">
        <v>39</v>
      </c>
      <c r="G499" s="118" t="s">
        <v>40</v>
      </c>
      <c r="H499" s="121" t="s">
        <v>41</v>
      </c>
      <c r="I499" s="120" t="s">
        <v>1319</v>
      </c>
      <c r="J499" s="122" t="s">
        <v>1320</v>
      </c>
      <c r="K499" s="123" t="s">
        <v>1321</v>
      </c>
      <c r="L499" t="s">
        <v>313</v>
      </c>
      <c r="M499" s="124" t="s">
        <v>314</v>
      </c>
      <c r="N499" s="125" t="s">
        <v>315</v>
      </c>
      <c r="O499" s="126" t="s">
        <v>207</v>
      </c>
      <c r="P499" s="127" t="s">
        <v>1833</v>
      </c>
      <c r="Q499" s="128">
        <v>154.56</v>
      </c>
      <c r="R499" s="128">
        <v>154.56</v>
      </c>
      <c r="S499" s="129">
        <v>77.28</v>
      </c>
      <c r="T499" s="130" t="s">
        <v>1834</v>
      </c>
      <c r="U499" s="131">
        <v>45535</v>
      </c>
      <c r="V499" s="132">
        <v>45535</v>
      </c>
      <c r="W499" s="133">
        <v>11025</v>
      </c>
      <c r="X499" s="134" t="s">
        <v>1322</v>
      </c>
      <c r="Y499" s="135" t="s">
        <v>912</v>
      </c>
      <c r="Z499" s="128" t="s">
        <v>57</v>
      </c>
      <c r="AA499" s="128"/>
      <c r="AB499" s="136"/>
      <c r="AC499" s="137"/>
      <c r="AD499" s="136"/>
      <c r="AE499" s="136"/>
      <c r="AF499" s="136"/>
      <c r="AG499" s="136"/>
      <c r="AH499" s="138">
        <v>-77.28</v>
      </c>
      <c r="AI499" s="139" t="s">
        <v>58</v>
      </c>
      <c r="AJ499" s="139" t="s">
        <v>59</v>
      </c>
    </row>
    <row r="500" spans="1:36" ht="15.75" x14ac:dyDescent="0.25">
      <c r="A500" s="115">
        <v>24891</v>
      </c>
      <c r="B500" s="116" t="s">
        <v>36</v>
      </c>
      <c r="C500" s="117" t="s">
        <v>37</v>
      </c>
      <c r="D500" s="118" t="s">
        <v>36</v>
      </c>
      <c r="E500" s="119" t="s">
        <v>38</v>
      </c>
      <c r="F500" s="120" t="s">
        <v>39</v>
      </c>
      <c r="G500" s="118" t="s">
        <v>40</v>
      </c>
      <c r="H500" s="121" t="s">
        <v>41</v>
      </c>
      <c r="I500" s="120" t="s">
        <v>1319</v>
      </c>
      <c r="J500" s="122" t="s">
        <v>1320</v>
      </c>
      <c r="K500" s="123" t="s">
        <v>1321</v>
      </c>
      <c r="L500" t="s">
        <v>313</v>
      </c>
      <c r="M500" s="124" t="s">
        <v>314</v>
      </c>
      <c r="N500" s="125" t="s">
        <v>315</v>
      </c>
      <c r="O500" s="126" t="s">
        <v>207</v>
      </c>
      <c r="P500" s="127" t="s">
        <v>1833</v>
      </c>
      <c r="Q500" s="128">
        <v>154.56</v>
      </c>
      <c r="R500" s="128">
        <v>154.56</v>
      </c>
      <c r="S500" s="129">
        <v>77.28</v>
      </c>
      <c r="T500" s="130" t="s">
        <v>1834</v>
      </c>
      <c r="U500" s="131">
        <v>45535</v>
      </c>
      <c r="V500" s="132">
        <v>45535</v>
      </c>
      <c r="W500" s="133">
        <v>11025</v>
      </c>
      <c r="X500" s="134" t="s">
        <v>1322</v>
      </c>
      <c r="Y500" s="135" t="s">
        <v>912</v>
      </c>
      <c r="Z500" s="128" t="s">
        <v>57</v>
      </c>
      <c r="AA500" s="128"/>
      <c r="AB500" s="136"/>
      <c r="AC500" s="137"/>
      <c r="AD500" s="136"/>
      <c r="AE500" s="136"/>
      <c r="AF500" s="136"/>
      <c r="AG500" s="136"/>
      <c r="AH500" s="138">
        <v>-77.28</v>
      </c>
      <c r="AI500" s="139" t="s">
        <v>58</v>
      </c>
      <c r="AJ500" s="139" t="s">
        <v>59</v>
      </c>
    </row>
    <row r="501" spans="1:36" ht="15.75" x14ac:dyDescent="0.25">
      <c r="A501" s="115">
        <v>25224</v>
      </c>
      <c r="B501" s="116" t="s">
        <v>36</v>
      </c>
      <c r="C501" s="117" t="s">
        <v>37</v>
      </c>
      <c r="D501" s="118" t="s">
        <v>36</v>
      </c>
      <c r="E501" s="119" t="s">
        <v>38</v>
      </c>
      <c r="F501" s="140" t="s">
        <v>39</v>
      </c>
      <c r="G501" s="118" t="s">
        <v>40</v>
      </c>
      <c r="H501" s="121" t="s">
        <v>41</v>
      </c>
      <c r="I501" s="120" t="s">
        <v>301</v>
      </c>
      <c r="J501" s="122" t="s">
        <v>302</v>
      </c>
      <c r="K501" s="123" t="s">
        <v>303</v>
      </c>
      <c r="L501" t="s">
        <v>262</v>
      </c>
      <c r="M501" s="124" t="s">
        <v>263</v>
      </c>
      <c r="N501" s="125" t="s">
        <v>264</v>
      </c>
      <c r="O501" s="126" t="s">
        <v>929</v>
      </c>
      <c r="P501" s="127"/>
      <c r="Q501" s="128"/>
      <c r="R501" s="128"/>
      <c r="S501" s="129">
        <v>459</v>
      </c>
      <c r="T501" s="130" t="s">
        <v>1327</v>
      </c>
      <c r="U501" s="131">
        <v>45537</v>
      </c>
      <c r="V501" s="132"/>
      <c r="W501" s="133"/>
      <c r="X501" s="134" t="s">
        <v>1835</v>
      </c>
      <c r="Y501" s="135" t="s">
        <v>912</v>
      </c>
      <c r="Z501" s="128" t="s">
        <v>96</v>
      </c>
      <c r="AA501" s="128" t="s">
        <v>954</v>
      </c>
      <c r="AB501" s="136"/>
      <c r="AC501" s="137"/>
      <c r="AD501" s="136"/>
      <c r="AE501" s="136"/>
      <c r="AF501" s="136"/>
      <c r="AG501" s="136"/>
      <c r="AH501" s="138">
        <v>-459</v>
      </c>
      <c r="AI501" s="139" t="s">
        <v>58</v>
      </c>
      <c r="AJ501" s="139" t="s">
        <v>59</v>
      </c>
    </row>
    <row r="502" spans="1:36" ht="15.75" x14ac:dyDescent="0.25">
      <c r="A502" s="115">
        <v>25272</v>
      </c>
      <c r="B502" s="116" t="s">
        <v>36</v>
      </c>
      <c r="C502" s="117" t="s">
        <v>37</v>
      </c>
      <c r="D502" s="118" t="s">
        <v>36</v>
      </c>
      <c r="E502" s="119" t="s">
        <v>38</v>
      </c>
      <c r="F502" s="120" t="s">
        <v>39</v>
      </c>
      <c r="G502" s="118" t="s">
        <v>40</v>
      </c>
      <c r="H502" s="121" t="s">
        <v>41</v>
      </c>
      <c r="I502" s="120" t="s">
        <v>1319</v>
      </c>
      <c r="J502" s="122" t="s">
        <v>1320</v>
      </c>
      <c r="K502" s="123" t="s">
        <v>1321</v>
      </c>
      <c r="L502" t="s">
        <v>83</v>
      </c>
      <c r="M502" s="124" t="s">
        <v>84</v>
      </c>
      <c r="N502" s="125" t="s">
        <v>85</v>
      </c>
      <c r="O502" s="126" t="s">
        <v>929</v>
      </c>
      <c r="P502" s="127"/>
      <c r="Q502" s="128"/>
      <c r="R502" s="128"/>
      <c r="S502" s="129">
        <v>247.67</v>
      </c>
      <c r="T502" s="130" t="s">
        <v>1327</v>
      </c>
      <c r="U502" s="131">
        <v>45538</v>
      </c>
      <c r="V502" s="132"/>
      <c r="W502" s="133"/>
      <c r="X502" s="134" t="s">
        <v>938</v>
      </c>
      <c r="Y502" s="135" t="s">
        <v>912</v>
      </c>
      <c r="Z502" s="128" t="s">
        <v>96</v>
      </c>
      <c r="AA502" s="128" t="s">
        <v>939</v>
      </c>
      <c r="AB502" s="136"/>
      <c r="AC502" s="137"/>
      <c r="AD502" s="136"/>
      <c r="AE502" s="136"/>
      <c r="AF502" s="136"/>
      <c r="AG502" s="136"/>
      <c r="AH502" s="138">
        <v>-247.67</v>
      </c>
      <c r="AI502" s="139" t="s">
        <v>58</v>
      </c>
      <c r="AJ502" s="139" t="s">
        <v>59</v>
      </c>
    </row>
    <row r="503" spans="1:36" ht="15.75" x14ac:dyDescent="0.25">
      <c r="A503" s="115">
        <v>32184</v>
      </c>
      <c r="B503" s="116" t="s">
        <v>36</v>
      </c>
      <c r="C503" s="117" t="s">
        <v>37</v>
      </c>
      <c r="D503" s="118" t="s">
        <v>36</v>
      </c>
      <c r="E503" s="119" t="s">
        <v>38</v>
      </c>
      <c r="F503" s="120" t="s">
        <v>39</v>
      </c>
      <c r="G503" s="118" t="s">
        <v>40</v>
      </c>
      <c r="H503" s="121" t="s">
        <v>41</v>
      </c>
      <c r="I503" s="120" t="s">
        <v>301</v>
      </c>
      <c r="J503" s="122" t="s">
        <v>302</v>
      </c>
      <c r="K503" s="123" t="s">
        <v>303</v>
      </c>
      <c r="L503" t="s">
        <v>150</v>
      </c>
      <c r="M503" s="124" t="s">
        <v>151</v>
      </c>
      <c r="N503" s="125" t="s">
        <v>152</v>
      </c>
      <c r="O503" t="s">
        <v>929</v>
      </c>
      <c r="P503" s="127"/>
      <c r="S503" s="141">
        <v>4500</v>
      </c>
      <c r="T503" s="142" t="s">
        <v>1327</v>
      </c>
      <c r="U503" s="143">
        <v>45614.567835648151</v>
      </c>
      <c r="X503" s="144" t="s">
        <v>1410</v>
      </c>
      <c r="Y503" s="135" t="s">
        <v>912</v>
      </c>
      <c r="Z503" t="s">
        <v>96</v>
      </c>
      <c r="AA503" t="s">
        <v>1391</v>
      </c>
      <c r="AB503" s="125"/>
      <c r="AC503" s="145"/>
      <c r="AD503" s="125"/>
      <c r="AE503" s="125"/>
      <c r="AF503" s="125"/>
      <c r="AG503" s="125"/>
      <c r="AH503" s="138">
        <v>-4500</v>
      </c>
      <c r="AI503" s="139" t="s">
        <v>58</v>
      </c>
      <c r="AJ503" s="139" t="s">
        <v>157</v>
      </c>
    </row>
    <row r="504" spans="1:36" ht="15.75" x14ac:dyDescent="0.25">
      <c r="A504" s="115">
        <v>25626</v>
      </c>
      <c r="B504" s="116" t="s">
        <v>36</v>
      </c>
      <c r="C504" s="117" t="s">
        <v>37</v>
      </c>
      <c r="D504" s="118" t="s">
        <v>36</v>
      </c>
      <c r="E504" s="119" t="s">
        <v>38</v>
      </c>
      <c r="F504" s="120" t="s">
        <v>39</v>
      </c>
      <c r="G504" s="118" t="s">
        <v>40</v>
      </c>
      <c r="H504" s="121" t="s">
        <v>41</v>
      </c>
      <c r="I504" s="120" t="s">
        <v>524</v>
      </c>
      <c r="J504" s="122" t="s">
        <v>525</v>
      </c>
      <c r="K504" s="123" t="s">
        <v>526</v>
      </c>
      <c r="L504" t="s">
        <v>83</v>
      </c>
      <c r="M504" s="124" t="s">
        <v>84</v>
      </c>
      <c r="N504" s="125" t="s">
        <v>85</v>
      </c>
      <c r="O504" s="126" t="s">
        <v>929</v>
      </c>
      <c r="P504" s="127"/>
      <c r="Q504" s="128"/>
      <c r="R504" s="128"/>
      <c r="S504" s="129">
        <v>143.5</v>
      </c>
      <c r="T504" s="130" t="s">
        <v>1327</v>
      </c>
      <c r="U504" s="131">
        <v>45540</v>
      </c>
      <c r="V504" s="132"/>
      <c r="W504" s="133"/>
      <c r="X504" s="134" t="s">
        <v>803</v>
      </c>
      <c r="Y504" s="135" t="s">
        <v>912</v>
      </c>
      <c r="Z504" s="128" t="s">
        <v>96</v>
      </c>
      <c r="AA504" s="128" t="s">
        <v>939</v>
      </c>
      <c r="AB504" s="136"/>
      <c r="AC504" s="137"/>
      <c r="AD504" s="136"/>
      <c r="AE504" s="136"/>
      <c r="AF504" s="136"/>
      <c r="AG504" s="136"/>
      <c r="AH504" s="138">
        <v>-143.5</v>
      </c>
      <c r="AI504" s="139" t="s">
        <v>58</v>
      </c>
      <c r="AJ504" s="139" t="s">
        <v>59</v>
      </c>
    </row>
    <row r="505" spans="1:36" ht="15.75" x14ac:dyDescent="0.25">
      <c r="A505" s="115">
        <v>26091</v>
      </c>
      <c r="B505" s="116" t="s">
        <v>36</v>
      </c>
      <c r="C505" s="117" t="s">
        <v>37</v>
      </c>
      <c r="D505" s="118" t="s">
        <v>36</v>
      </c>
      <c r="E505" s="119" t="s">
        <v>38</v>
      </c>
      <c r="F505" s="140" t="s">
        <v>39</v>
      </c>
      <c r="G505" s="118" t="s">
        <v>40</v>
      </c>
      <c r="H505" s="121" t="s">
        <v>41</v>
      </c>
      <c r="I505" s="120" t="s">
        <v>42</v>
      </c>
      <c r="J505" s="122" t="s">
        <v>43</v>
      </c>
      <c r="K505" s="123" t="s">
        <v>44</v>
      </c>
      <c r="L505" t="s">
        <v>584</v>
      </c>
      <c r="M505" s="124" t="s">
        <v>585</v>
      </c>
      <c r="N505" s="125" t="s">
        <v>586</v>
      </c>
      <c r="O505" s="126" t="s">
        <v>929</v>
      </c>
      <c r="P505" s="127"/>
      <c r="Q505" s="128"/>
      <c r="R505" s="128"/>
      <c r="S505" s="129">
        <v>1444.51</v>
      </c>
      <c r="T505" s="130" t="s">
        <v>1327</v>
      </c>
      <c r="U505" s="131">
        <v>45546</v>
      </c>
      <c r="V505" s="132"/>
      <c r="W505" s="133"/>
      <c r="X505" s="134" t="s">
        <v>1345</v>
      </c>
      <c r="Y505" s="135" t="s">
        <v>912</v>
      </c>
      <c r="Z505" s="128" t="s">
        <v>96</v>
      </c>
      <c r="AA505" s="128" t="s">
        <v>1811</v>
      </c>
      <c r="AB505" s="136"/>
      <c r="AC505" s="137"/>
      <c r="AD505" s="136"/>
      <c r="AE505" s="136"/>
      <c r="AF505" s="136"/>
      <c r="AG505" s="136"/>
      <c r="AH505" s="138">
        <v>-1444.51</v>
      </c>
      <c r="AI505" s="139" t="s">
        <v>58</v>
      </c>
      <c r="AJ505" s="139" t="s">
        <v>591</v>
      </c>
    </row>
    <row r="506" spans="1:36" ht="15.75" x14ac:dyDescent="0.25">
      <c r="A506" s="115">
        <v>26227</v>
      </c>
      <c r="B506" s="116" t="s">
        <v>36</v>
      </c>
      <c r="C506" s="117" t="s">
        <v>37</v>
      </c>
      <c r="D506" s="118" t="s">
        <v>36</v>
      </c>
      <c r="E506" s="119" t="s">
        <v>38</v>
      </c>
      <c r="F506" s="120" t="s">
        <v>39</v>
      </c>
      <c r="G506" s="118" t="s">
        <v>40</v>
      </c>
      <c r="H506" s="121" t="s">
        <v>41</v>
      </c>
      <c r="I506" s="120" t="s">
        <v>946</v>
      </c>
      <c r="J506" s="122" t="s">
        <v>947</v>
      </c>
      <c r="K506" s="123" t="s">
        <v>948</v>
      </c>
      <c r="L506" t="s">
        <v>204</v>
      </c>
      <c r="M506" s="124" t="s">
        <v>205</v>
      </c>
      <c r="N506" s="125" t="s">
        <v>206</v>
      </c>
      <c r="O506" s="126" t="s">
        <v>929</v>
      </c>
      <c r="P506" s="127"/>
      <c r="Q506" s="128"/>
      <c r="R506" s="128"/>
      <c r="S506" s="129">
        <v>169.87</v>
      </c>
      <c r="T506" s="130" t="s">
        <v>1327</v>
      </c>
      <c r="U506" s="131">
        <v>45548</v>
      </c>
      <c r="V506" s="132"/>
      <c r="W506" s="133"/>
      <c r="X506" s="134" t="s">
        <v>1836</v>
      </c>
      <c r="Y506" s="135" t="s">
        <v>912</v>
      </c>
      <c r="Z506" s="128" t="s">
        <v>96</v>
      </c>
      <c r="AA506" s="128" t="s">
        <v>1648</v>
      </c>
      <c r="AB506" s="136"/>
      <c r="AC506" s="137"/>
      <c r="AD506" s="136"/>
      <c r="AE506" s="136"/>
      <c r="AF506" s="136"/>
      <c r="AG506" s="136"/>
      <c r="AH506" s="138">
        <v>-169.87</v>
      </c>
      <c r="AI506" s="139" t="s">
        <v>58</v>
      </c>
      <c r="AJ506" s="139" t="s">
        <v>59</v>
      </c>
    </row>
    <row r="507" spans="1:36" ht="15.75" x14ac:dyDescent="0.25">
      <c r="A507" s="115">
        <v>26722</v>
      </c>
      <c r="B507" s="116" t="s">
        <v>36</v>
      </c>
      <c r="C507" s="117" t="s">
        <v>37</v>
      </c>
      <c r="D507" s="118" t="s">
        <v>36</v>
      </c>
      <c r="E507" s="119" t="s">
        <v>38</v>
      </c>
      <c r="F507" s="140" t="s">
        <v>39</v>
      </c>
      <c r="G507" s="118" t="s">
        <v>40</v>
      </c>
      <c r="H507" s="121" t="s">
        <v>41</v>
      </c>
      <c r="I507" s="120" t="s">
        <v>946</v>
      </c>
      <c r="J507" s="122" t="s">
        <v>947</v>
      </c>
      <c r="K507" s="123" t="s">
        <v>948</v>
      </c>
      <c r="L507" t="s">
        <v>262</v>
      </c>
      <c r="M507" s="124" t="s">
        <v>263</v>
      </c>
      <c r="N507" s="125" t="s">
        <v>264</v>
      </c>
      <c r="O507" s="126" t="s">
        <v>929</v>
      </c>
      <c r="P507" s="127"/>
      <c r="Q507" s="128"/>
      <c r="R507" s="128"/>
      <c r="S507" s="129">
        <v>2460</v>
      </c>
      <c r="T507" s="130" t="s">
        <v>1327</v>
      </c>
      <c r="U507" s="131">
        <v>45552</v>
      </c>
      <c r="V507" s="132"/>
      <c r="W507" s="133"/>
      <c r="X507" s="134" t="s">
        <v>1837</v>
      </c>
      <c r="Y507" s="135" t="s">
        <v>912</v>
      </c>
      <c r="Z507" s="128" t="s">
        <v>96</v>
      </c>
      <c r="AA507" s="128" t="s">
        <v>1838</v>
      </c>
      <c r="AB507" s="136"/>
      <c r="AC507" s="137"/>
      <c r="AD507" s="136"/>
      <c r="AE507" s="136"/>
      <c r="AF507" s="136"/>
      <c r="AG507" s="136"/>
      <c r="AH507" s="138">
        <v>-2460</v>
      </c>
      <c r="AI507" s="139" t="s">
        <v>58</v>
      </c>
      <c r="AJ507" s="139" t="s">
        <v>59</v>
      </c>
    </row>
    <row r="508" spans="1:36" ht="15.75" x14ac:dyDescent="0.25">
      <c r="A508" s="115">
        <v>26723</v>
      </c>
      <c r="B508" s="116" t="s">
        <v>36</v>
      </c>
      <c r="C508" s="117" t="s">
        <v>37</v>
      </c>
      <c r="D508" s="118" t="s">
        <v>36</v>
      </c>
      <c r="E508" s="119" t="s">
        <v>38</v>
      </c>
      <c r="F508" s="140" t="s">
        <v>39</v>
      </c>
      <c r="G508" s="118" t="s">
        <v>40</v>
      </c>
      <c r="H508" s="121" t="s">
        <v>41</v>
      </c>
      <c r="I508" s="120" t="s">
        <v>946</v>
      </c>
      <c r="J508" s="122" t="s">
        <v>947</v>
      </c>
      <c r="K508" s="123" t="s">
        <v>948</v>
      </c>
      <c r="L508" t="s">
        <v>63</v>
      </c>
      <c r="M508" s="124" t="s">
        <v>64</v>
      </c>
      <c r="N508" s="125" t="s">
        <v>65</v>
      </c>
      <c r="O508" s="126" t="s">
        <v>929</v>
      </c>
      <c r="P508" s="127"/>
      <c r="Q508" s="128"/>
      <c r="R508" s="128"/>
      <c r="S508" s="129">
        <v>180</v>
      </c>
      <c r="T508" s="130" t="s">
        <v>1327</v>
      </c>
      <c r="U508" s="131">
        <v>45552</v>
      </c>
      <c r="V508" s="132"/>
      <c r="W508" s="133"/>
      <c r="X508" s="134" t="s">
        <v>1837</v>
      </c>
      <c r="Y508" s="135" t="s">
        <v>912</v>
      </c>
      <c r="Z508" s="128" t="s">
        <v>96</v>
      </c>
      <c r="AA508" s="128" t="s">
        <v>1839</v>
      </c>
      <c r="AB508" s="136"/>
      <c r="AC508" s="137"/>
      <c r="AD508" s="136"/>
      <c r="AE508" s="136"/>
      <c r="AF508" s="136"/>
      <c r="AG508" s="136"/>
      <c r="AH508" s="138">
        <v>-180</v>
      </c>
      <c r="AI508" s="139" t="s">
        <v>58</v>
      </c>
      <c r="AJ508" s="139" t="s">
        <v>59</v>
      </c>
    </row>
    <row r="509" spans="1:36" ht="15.75" x14ac:dyDescent="0.25">
      <c r="A509" s="115">
        <v>26873</v>
      </c>
      <c r="B509" s="116" t="s">
        <v>36</v>
      </c>
      <c r="C509" s="117" t="s">
        <v>37</v>
      </c>
      <c r="D509" s="118" t="s">
        <v>36</v>
      </c>
      <c r="E509" s="119" t="s">
        <v>38</v>
      </c>
      <c r="F509" s="120" t="s">
        <v>39</v>
      </c>
      <c r="G509" s="118" t="s">
        <v>40</v>
      </c>
      <c r="H509" s="121" t="s">
        <v>41</v>
      </c>
      <c r="I509" s="120" t="s">
        <v>1319</v>
      </c>
      <c r="J509" s="122" t="s">
        <v>1320</v>
      </c>
      <c r="K509" s="123" t="s">
        <v>1321</v>
      </c>
      <c r="L509" t="s">
        <v>262</v>
      </c>
      <c r="M509" s="124" t="s">
        <v>263</v>
      </c>
      <c r="N509" s="125" t="s">
        <v>264</v>
      </c>
      <c r="O509" s="126" t="s">
        <v>207</v>
      </c>
      <c r="P509" s="127" t="s">
        <v>1840</v>
      </c>
      <c r="Q509" s="128">
        <v>206</v>
      </c>
      <c r="R509" s="128">
        <v>206</v>
      </c>
      <c r="S509" s="129">
        <v>103</v>
      </c>
      <c r="T509" s="130" t="s">
        <v>1841</v>
      </c>
      <c r="U509" s="131">
        <v>45553</v>
      </c>
      <c r="V509" s="132">
        <v>45553</v>
      </c>
      <c r="W509" s="133">
        <v>10485</v>
      </c>
      <c r="X509" s="134" t="s">
        <v>1326</v>
      </c>
      <c r="Y509" s="135" t="s">
        <v>912</v>
      </c>
      <c r="Z509" s="128" t="s">
        <v>57</v>
      </c>
      <c r="AA509" s="128"/>
      <c r="AB509" s="136"/>
      <c r="AC509" s="137"/>
      <c r="AD509" s="136"/>
      <c r="AE509" s="136"/>
      <c r="AF509" s="136"/>
      <c r="AG509" s="136"/>
      <c r="AH509" s="138">
        <v>-206</v>
      </c>
      <c r="AI509" s="139" t="s">
        <v>58</v>
      </c>
      <c r="AJ509" s="139" t="s">
        <v>59</v>
      </c>
    </row>
    <row r="510" spans="1:36" ht="15.75" x14ac:dyDescent="0.25">
      <c r="A510" s="115">
        <v>26874</v>
      </c>
      <c r="B510" s="116" t="s">
        <v>36</v>
      </c>
      <c r="C510" s="117" t="s">
        <v>37</v>
      </c>
      <c r="D510" s="118" t="s">
        <v>36</v>
      </c>
      <c r="E510" s="119" t="s">
        <v>38</v>
      </c>
      <c r="F510" s="120" t="s">
        <v>39</v>
      </c>
      <c r="G510" s="118" t="s">
        <v>40</v>
      </c>
      <c r="H510" s="121" t="s">
        <v>41</v>
      </c>
      <c r="I510" s="120" t="s">
        <v>1319</v>
      </c>
      <c r="J510" s="122" t="s">
        <v>1320</v>
      </c>
      <c r="K510" s="123" t="s">
        <v>1321</v>
      </c>
      <c r="L510" t="s">
        <v>204</v>
      </c>
      <c r="M510" s="124" t="s">
        <v>205</v>
      </c>
      <c r="N510" s="125" t="s">
        <v>206</v>
      </c>
      <c r="O510" s="126" t="s">
        <v>207</v>
      </c>
      <c r="P510" s="127" t="s">
        <v>1840</v>
      </c>
      <c r="Q510" s="128">
        <v>206</v>
      </c>
      <c r="R510" s="128">
        <v>206</v>
      </c>
      <c r="S510" s="129">
        <v>103</v>
      </c>
      <c r="T510" s="130" t="s">
        <v>1841</v>
      </c>
      <c r="U510" s="131">
        <v>45553</v>
      </c>
      <c r="V510" s="132">
        <v>45553</v>
      </c>
      <c r="W510" s="133">
        <v>10485</v>
      </c>
      <c r="X510" s="134" t="s">
        <v>1326</v>
      </c>
      <c r="Y510" s="135" t="s">
        <v>912</v>
      </c>
      <c r="Z510" s="128" t="s">
        <v>57</v>
      </c>
      <c r="AA510" s="128"/>
      <c r="AB510" s="136"/>
      <c r="AC510" s="137"/>
      <c r="AD510" s="136"/>
      <c r="AE510" s="136"/>
      <c r="AF510" s="136"/>
      <c r="AG510" s="136"/>
      <c r="AH510" s="138">
        <v>-206</v>
      </c>
      <c r="AI510" s="139" t="s">
        <v>58</v>
      </c>
      <c r="AJ510" s="139" t="s">
        <v>59</v>
      </c>
    </row>
    <row r="511" spans="1:36" ht="15.75" x14ac:dyDescent="0.25">
      <c r="A511" s="115">
        <v>27804</v>
      </c>
      <c r="B511" s="116" t="s">
        <v>36</v>
      </c>
      <c r="C511" s="117" t="s">
        <v>37</v>
      </c>
      <c r="D511" s="118" t="s">
        <v>36</v>
      </c>
      <c r="E511" s="119" t="s">
        <v>38</v>
      </c>
      <c r="F511" s="140" t="s">
        <v>39</v>
      </c>
      <c r="G511" s="118" t="s">
        <v>40</v>
      </c>
      <c r="H511" s="121" t="s">
        <v>41</v>
      </c>
      <c r="I511" s="120" t="s">
        <v>301</v>
      </c>
      <c r="J511" s="122" t="s">
        <v>302</v>
      </c>
      <c r="K511" s="123" t="s">
        <v>303</v>
      </c>
      <c r="L511" t="s">
        <v>262</v>
      </c>
      <c r="M511" s="124" t="s">
        <v>263</v>
      </c>
      <c r="N511" s="125" t="s">
        <v>264</v>
      </c>
      <c r="O511" s="126" t="s">
        <v>207</v>
      </c>
      <c r="P511" s="127" t="s">
        <v>1842</v>
      </c>
      <c r="Q511" s="128">
        <v>1253.97</v>
      </c>
      <c r="R511" s="128">
        <v>1253.97</v>
      </c>
      <c r="S511" s="129">
        <v>626.98500000000001</v>
      </c>
      <c r="T511" s="130" t="s">
        <v>1843</v>
      </c>
      <c r="U511" s="131">
        <v>45565</v>
      </c>
      <c r="V511" s="132">
        <v>45565</v>
      </c>
      <c r="W511" s="133">
        <v>9150</v>
      </c>
      <c r="X511" s="134" t="s">
        <v>1592</v>
      </c>
      <c r="Y511" s="135" t="s">
        <v>912</v>
      </c>
      <c r="Z511" s="128" t="s">
        <v>57</v>
      </c>
      <c r="AA511" s="128"/>
      <c r="AB511" s="136"/>
      <c r="AC511" s="137"/>
      <c r="AD511" s="136"/>
      <c r="AE511" s="136"/>
      <c r="AF511" s="136"/>
      <c r="AG511" s="136"/>
      <c r="AH511" s="138">
        <v>-1253.97</v>
      </c>
      <c r="AI511" s="139" t="s">
        <v>58</v>
      </c>
      <c r="AJ511" s="139" t="s">
        <v>59</v>
      </c>
    </row>
    <row r="512" spans="1:36" ht="15.75" x14ac:dyDescent="0.25">
      <c r="A512" s="115">
        <v>27805</v>
      </c>
      <c r="B512" s="116" t="s">
        <v>36</v>
      </c>
      <c r="C512" s="117" t="s">
        <v>37</v>
      </c>
      <c r="D512" s="118" t="s">
        <v>36</v>
      </c>
      <c r="E512" s="119" t="s">
        <v>38</v>
      </c>
      <c r="F512" s="140" t="s">
        <v>39</v>
      </c>
      <c r="G512" s="118" t="s">
        <v>40</v>
      </c>
      <c r="H512" s="121" t="s">
        <v>41</v>
      </c>
      <c r="I512" s="120" t="s">
        <v>301</v>
      </c>
      <c r="J512" s="122" t="s">
        <v>302</v>
      </c>
      <c r="K512" s="123" t="s">
        <v>303</v>
      </c>
      <c r="L512" t="s">
        <v>204</v>
      </c>
      <c r="M512" s="124" t="s">
        <v>205</v>
      </c>
      <c r="N512" s="125" t="s">
        <v>206</v>
      </c>
      <c r="O512" s="126" t="s">
        <v>207</v>
      </c>
      <c r="P512" s="127" t="s">
        <v>1842</v>
      </c>
      <c r="Q512" s="128">
        <v>1253.97</v>
      </c>
      <c r="R512" s="128">
        <v>1253.97</v>
      </c>
      <c r="S512" s="129">
        <v>626.98500000000001</v>
      </c>
      <c r="T512" s="130" t="s">
        <v>1843</v>
      </c>
      <c r="U512" s="131">
        <v>45565</v>
      </c>
      <c r="V512" s="132">
        <v>45565</v>
      </c>
      <c r="W512" s="133">
        <v>9150</v>
      </c>
      <c r="X512" s="134" t="s">
        <v>1592</v>
      </c>
      <c r="Y512" s="135" t="s">
        <v>912</v>
      </c>
      <c r="Z512" s="128" t="s">
        <v>57</v>
      </c>
      <c r="AA512" s="128"/>
      <c r="AB512" s="136"/>
      <c r="AC512" s="137"/>
      <c r="AD512" s="136"/>
      <c r="AE512" s="136"/>
      <c r="AF512" s="136"/>
      <c r="AG512" s="136"/>
      <c r="AH512" s="138">
        <v>-1253.97</v>
      </c>
      <c r="AI512" s="139" t="s">
        <v>58</v>
      </c>
      <c r="AJ512" s="139" t="s">
        <v>59</v>
      </c>
    </row>
    <row r="513" spans="1:36" ht="15.75" x14ac:dyDescent="0.25">
      <c r="A513" s="115">
        <v>28034</v>
      </c>
      <c r="B513" s="116" t="s">
        <v>36</v>
      </c>
      <c r="C513" s="117" t="s">
        <v>37</v>
      </c>
      <c r="D513" s="118" t="s">
        <v>36</v>
      </c>
      <c r="E513" s="119" t="s">
        <v>38</v>
      </c>
      <c r="F513" s="120" t="s">
        <v>39</v>
      </c>
      <c r="G513" s="118" t="s">
        <v>40</v>
      </c>
      <c r="H513" s="121" t="s">
        <v>41</v>
      </c>
      <c r="I513" s="120" t="s">
        <v>42</v>
      </c>
      <c r="J513" s="122" t="s">
        <v>43</v>
      </c>
      <c r="K513" s="123" t="s">
        <v>44</v>
      </c>
      <c r="L513" t="s">
        <v>63</v>
      </c>
      <c r="M513" s="124" t="s">
        <v>64</v>
      </c>
      <c r="N513" s="125" t="s">
        <v>65</v>
      </c>
      <c r="O513" s="126" t="s">
        <v>207</v>
      </c>
      <c r="P513" s="127" t="s">
        <v>1844</v>
      </c>
      <c r="Q513" s="128">
        <v>110</v>
      </c>
      <c r="R513" s="128">
        <v>110</v>
      </c>
      <c r="S513" s="129">
        <v>110</v>
      </c>
      <c r="T513" s="130" t="s">
        <v>1845</v>
      </c>
      <c r="U513" s="131">
        <v>45566</v>
      </c>
      <c r="V513" s="132">
        <v>45586</v>
      </c>
      <c r="W513" s="133">
        <v>10940</v>
      </c>
      <c r="X513" s="134" t="s">
        <v>1797</v>
      </c>
      <c r="Y513" s="135" t="s">
        <v>912</v>
      </c>
      <c r="Z513" s="128" t="s">
        <v>57</v>
      </c>
      <c r="AA513" s="128"/>
      <c r="AB513" s="136"/>
      <c r="AC513" s="137"/>
      <c r="AD513" s="136"/>
      <c r="AE513" s="136"/>
      <c r="AF513" s="136"/>
      <c r="AG513" s="136"/>
      <c r="AH513" s="138">
        <v>-110</v>
      </c>
      <c r="AI513" s="139" t="s">
        <v>58</v>
      </c>
      <c r="AJ513" s="139" t="s">
        <v>59</v>
      </c>
    </row>
    <row r="514" spans="1:36" ht="15.75" x14ac:dyDescent="0.25">
      <c r="A514" s="115">
        <v>28035</v>
      </c>
      <c r="B514" s="116" t="s">
        <v>36</v>
      </c>
      <c r="C514" s="117" t="s">
        <v>37</v>
      </c>
      <c r="D514" s="118" t="s">
        <v>36</v>
      </c>
      <c r="E514" s="119" t="s">
        <v>38</v>
      </c>
      <c r="F514" s="120" t="s">
        <v>39</v>
      </c>
      <c r="G514" s="118" t="s">
        <v>40</v>
      </c>
      <c r="H514" s="121" t="s">
        <v>41</v>
      </c>
      <c r="I514" s="120" t="s">
        <v>1319</v>
      </c>
      <c r="J514" s="122" t="s">
        <v>1320</v>
      </c>
      <c r="K514" s="123" t="s">
        <v>1321</v>
      </c>
      <c r="L514" t="s">
        <v>262</v>
      </c>
      <c r="M514" s="124" t="s">
        <v>263</v>
      </c>
      <c r="N514" s="125" t="s">
        <v>264</v>
      </c>
      <c r="O514" s="126" t="s">
        <v>207</v>
      </c>
      <c r="P514" s="127" t="s">
        <v>1846</v>
      </c>
      <c r="Q514" s="128">
        <v>44</v>
      </c>
      <c r="R514" s="128">
        <v>0</v>
      </c>
      <c r="S514" s="129">
        <v>44</v>
      </c>
      <c r="T514" s="130" t="s">
        <v>1847</v>
      </c>
      <c r="U514" s="131">
        <v>45566</v>
      </c>
      <c r="V514" s="132">
        <v>45566</v>
      </c>
      <c r="W514" s="133">
        <v>10940</v>
      </c>
      <c r="X514" s="134" t="s">
        <v>1797</v>
      </c>
      <c r="Y514" s="135" t="s">
        <v>912</v>
      </c>
      <c r="Z514" s="128" t="s">
        <v>57</v>
      </c>
      <c r="AA514" s="128"/>
      <c r="AB514" s="136"/>
      <c r="AC514" s="137"/>
      <c r="AD514" s="136"/>
      <c r="AE514" s="136"/>
      <c r="AF514" s="136"/>
      <c r="AG514" s="136"/>
      <c r="AH514" s="138">
        <v>-44</v>
      </c>
      <c r="AI514" s="139" t="s">
        <v>58</v>
      </c>
      <c r="AJ514" s="139" t="s">
        <v>59</v>
      </c>
    </row>
    <row r="515" spans="1:36" ht="15.75" x14ac:dyDescent="0.25">
      <c r="A515" s="115">
        <v>28790</v>
      </c>
      <c r="B515" s="116" t="s">
        <v>36</v>
      </c>
      <c r="C515" s="117" t="s">
        <v>37</v>
      </c>
      <c r="D515" s="118" t="s">
        <v>36</v>
      </c>
      <c r="E515" s="119" t="s">
        <v>38</v>
      </c>
      <c r="F515" s="140" t="s">
        <v>39</v>
      </c>
      <c r="G515" s="118" t="s">
        <v>40</v>
      </c>
      <c r="H515" s="121" t="s">
        <v>41</v>
      </c>
      <c r="I515" s="120" t="s">
        <v>42</v>
      </c>
      <c r="J515" s="122" t="s">
        <v>43</v>
      </c>
      <c r="K515" s="123" t="s">
        <v>44</v>
      </c>
      <c r="L515" t="s">
        <v>83</v>
      </c>
      <c r="M515" s="124" t="s">
        <v>84</v>
      </c>
      <c r="N515" s="125" t="s">
        <v>85</v>
      </c>
      <c r="O515" s="126" t="s">
        <v>929</v>
      </c>
      <c r="P515" s="127"/>
      <c r="Q515" s="128"/>
      <c r="R515" s="128"/>
      <c r="S515" s="129">
        <v>3500</v>
      </c>
      <c r="T515" s="130" t="s">
        <v>1327</v>
      </c>
      <c r="U515" s="131">
        <v>45574</v>
      </c>
      <c r="V515" s="132"/>
      <c r="W515" s="133"/>
      <c r="X515" s="134" t="s">
        <v>1848</v>
      </c>
      <c r="Y515" s="135" t="s">
        <v>912</v>
      </c>
      <c r="Z515" s="128" t="s">
        <v>96</v>
      </c>
      <c r="AA515" s="128" t="s">
        <v>939</v>
      </c>
      <c r="AB515" s="136"/>
      <c r="AC515" s="137"/>
      <c r="AD515" s="136"/>
      <c r="AE515" s="136"/>
      <c r="AF515" s="136"/>
      <c r="AG515" s="136"/>
      <c r="AH515" s="138">
        <v>-3500</v>
      </c>
      <c r="AI515" s="139" t="s">
        <v>58</v>
      </c>
      <c r="AJ515" s="139" t="s">
        <v>59</v>
      </c>
    </row>
    <row r="516" spans="1:36" ht="15.75" x14ac:dyDescent="0.25">
      <c r="A516" s="115">
        <v>28796</v>
      </c>
      <c r="B516" s="116" t="s">
        <v>36</v>
      </c>
      <c r="C516" s="117" t="s">
        <v>37</v>
      </c>
      <c r="D516" s="118" t="s">
        <v>36</v>
      </c>
      <c r="E516" s="119" t="s">
        <v>38</v>
      </c>
      <c r="F516" s="140" t="s">
        <v>39</v>
      </c>
      <c r="G516" s="118" t="s">
        <v>40</v>
      </c>
      <c r="H516" s="121" t="s">
        <v>41</v>
      </c>
      <c r="I516" s="120" t="s">
        <v>301</v>
      </c>
      <c r="J516" s="122" t="s">
        <v>302</v>
      </c>
      <c r="K516" s="123" t="s">
        <v>303</v>
      </c>
      <c r="L516" t="s">
        <v>204</v>
      </c>
      <c r="M516" s="124" t="s">
        <v>205</v>
      </c>
      <c r="N516" s="125" t="s">
        <v>206</v>
      </c>
      <c r="O516" s="126" t="s">
        <v>929</v>
      </c>
      <c r="P516" s="127"/>
      <c r="Q516" s="128"/>
      <c r="R516" s="128"/>
      <c r="S516" s="129">
        <v>141.75</v>
      </c>
      <c r="T516" s="130" t="s">
        <v>1327</v>
      </c>
      <c r="U516" s="131">
        <v>45574</v>
      </c>
      <c r="V516" s="132"/>
      <c r="W516" s="133"/>
      <c r="X516" s="134" t="s">
        <v>1849</v>
      </c>
      <c r="Y516" s="135" t="s">
        <v>912</v>
      </c>
      <c r="Z516" s="128" t="s">
        <v>96</v>
      </c>
      <c r="AA516" s="128" t="s">
        <v>1648</v>
      </c>
      <c r="AB516" s="136"/>
      <c r="AC516" s="137"/>
      <c r="AD516" s="136"/>
      <c r="AE516" s="136"/>
      <c r="AF516" s="136"/>
      <c r="AG516" s="136"/>
      <c r="AH516" s="138">
        <v>-141.75</v>
      </c>
      <c r="AI516" s="139" t="s">
        <v>58</v>
      </c>
      <c r="AJ516" s="139" t="s">
        <v>59</v>
      </c>
    </row>
    <row r="517" spans="1:36" ht="15.75" x14ac:dyDescent="0.25">
      <c r="A517" s="115">
        <v>28914</v>
      </c>
      <c r="B517" s="116" t="s">
        <v>36</v>
      </c>
      <c r="C517" s="117" t="s">
        <v>37</v>
      </c>
      <c r="D517" s="118" t="s">
        <v>36</v>
      </c>
      <c r="E517" s="119" t="s">
        <v>38</v>
      </c>
      <c r="F517" s="140" t="s">
        <v>39</v>
      </c>
      <c r="G517" s="118" t="s">
        <v>40</v>
      </c>
      <c r="H517" s="121" t="s">
        <v>41</v>
      </c>
      <c r="I517" s="120" t="s">
        <v>301</v>
      </c>
      <c r="J517" s="122" t="s">
        <v>302</v>
      </c>
      <c r="K517" s="123" t="s">
        <v>303</v>
      </c>
      <c r="L517" t="s">
        <v>63</v>
      </c>
      <c r="M517" s="124" t="s">
        <v>64</v>
      </c>
      <c r="N517" s="125" t="s">
        <v>65</v>
      </c>
      <c r="O517" s="126" t="s">
        <v>929</v>
      </c>
      <c r="P517" s="127"/>
      <c r="Q517" s="128"/>
      <c r="R517" s="128"/>
      <c r="S517" s="129">
        <v>18000</v>
      </c>
      <c r="T517" s="130" t="s">
        <v>1327</v>
      </c>
      <c r="U517" s="131">
        <v>45575</v>
      </c>
      <c r="V517" s="132"/>
      <c r="W517" s="133"/>
      <c r="X517" s="134" t="s">
        <v>1850</v>
      </c>
      <c r="Y517" s="135" t="s">
        <v>912</v>
      </c>
      <c r="Z517" s="128" t="s">
        <v>96</v>
      </c>
      <c r="AA517" s="128" t="s">
        <v>913</v>
      </c>
      <c r="AB517" s="136"/>
      <c r="AC517" s="137"/>
      <c r="AD517" s="136"/>
      <c r="AE517" s="136"/>
      <c r="AF517" s="136"/>
      <c r="AG517" s="136"/>
      <c r="AH517" s="138">
        <v>-18000</v>
      </c>
      <c r="AI517" s="139" t="s">
        <v>58</v>
      </c>
      <c r="AJ517" s="139" t="s">
        <v>59</v>
      </c>
    </row>
    <row r="518" spans="1:36" ht="15.75" x14ac:dyDescent="0.25">
      <c r="A518" s="115">
        <v>30002</v>
      </c>
      <c r="B518" s="116" t="s">
        <v>36</v>
      </c>
      <c r="C518" s="117" t="s">
        <v>37</v>
      </c>
      <c r="D518" s="118" t="s">
        <v>36</v>
      </c>
      <c r="E518" s="119" t="s">
        <v>38</v>
      </c>
      <c r="F518" s="120" t="s">
        <v>39</v>
      </c>
      <c r="G518" s="118" t="s">
        <v>40</v>
      </c>
      <c r="H518" s="121" t="s">
        <v>41</v>
      </c>
      <c r="I518" s="120" t="s">
        <v>946</v>
      </c>
      <c r="J518" s="122" t="s">
        <v>947</v>
      </c>
      <c r="K518" s="123" t="s">
        <v>948</v>
      </c>
      <c r="L518" t="s">
        <v>63</v>
      </c>
      <c r="M518" s="124" t="s">
        <v>64</v>
      </c>
      <c r="N518" s="125" t="s">
        <v>65</v>
      </c>
      <c r="O518" s="126" t="s">
        <v>1369</v>
      </c>
      <c r="P518" s="127" t="s">
        <v>1330</v>
      </c>
      <c r="Q518" s="128">
        <v>120</v>
      </c>
      <c r="R518" s="128">
        <v>120</v>
      </c>
      <c r="S518" s="129">
        <v>120</v>
      </c>
      <c r="T518" s="130" t="s">
        <v>1851</v>
      </c>
      <c r="U518" s="131">
        <v>45588</v>
      </c>
      <c r="V518" s="132">
        <v>45588</v>
      </c>
      <c r="W518" s="133">
        <v>50</v>
      </c>
      <c r="X518" s="134" t="s">
        <v>198</v>
      </c>
      <c r="Y518" s="135" t="s">
        <v>912</v>
      </c>
      <c r="Z518" s="128" t="s">
        <v>57</v>
      </c>
      <c r="AA518" s="128"/>
      <c r="AB518" s="136"/>
      <c r="AC518" s="137"/>
      <c r="AD518" s="136"/>
      <c r="AE518" s="136"/>
      <c r="AF518" s="136"/>
      <c r="AG518" s="136"/>
      <c r="AH518" s="138">
        <v>-120</v>
      </c>
      <c r="AI518" s="139" t="s">
        <v>58</v>
      </c>
      <c r="AJ518" s="139" t="s">
        <v>59</v>
      </c>
    </row>
    <row r="519" spans="1:36" ht="15.75" x14ac:dyDescent="0.25">
      <c r="A519" s="115">
        <v>30106</v>
      </c>
      <c r="B519" s="116" t="s">
        <v>36</v>
      </c>
      <c r="C519" s="117" t="s">
        <v>37</v>
      </c>
      <c r="D519" s="118" t="s">
        <v>36</v>
      </c>
      <c r="E519" s="119" t="s">
        <v>38</v>
      </c>
      <c r="F519" s="140" t="s">
        <v>39</v>
      </c>
      <c r="G519" s="118" t="s">
        <v>40</v>
      </c>
      <c r="H519" s="121" t="s">
        <v>41</v>
      </c>
      <c r="I519" s="120" t="s">
        <v>42</v>
      </c>
      <c r="J519" s="122" t="s">
        <v>43</v>
      </c>
      <c r="K519" s="123" t="s">
        <v>44</v>
      </c>
      <c r="L519" t="s">
        <v>83</v>
      </c>
      <c r="M519" s="124" t="s">
        <v>84</v>
      </c>
      <c r="N519" s="125" t="s">
        <v>85</v>
      </c>
      <c r="O519" s="126" t="s">
        <v>929</v>
      </c>
      <c r="P519" s="127"/>
      <c r="Q519" s="128"/>
      <c r="R519" s="128"/>
      <c r="S519" s="129">
        <v>3300</v>
      </c>
      <c r="T519" s="130" t="s">
        <v>1327</v>
      </c>
      <c r="U519" s="131">
        <v>45590</v>
      </c>
      <c r="V519" s="132"/>
      <c r="W519" s="133"/>
      <c r="X519" s="134" t="s">
        <v>1848</v>
      </c>
      <c r="Y519" s="135" t="s">
        <v>912</v>
      </c>
      <c r="Z519" s="128" t="s">
        <v>96</v>
      </c>
      <c r="AA519" s="128" t="s">
        <v>939</v>
      </c>
      <c r="AB519" s="136"/>
      <c r="AC519" s="137"/>
      <c r="AD519" s="136"/>
      <c r="AE519" s="136"/>
      <c r="AF519" s="136"/>
      <c r="AG519" s="136"/>
      <c r="AH519" s="138">
        <v>-3300</v>
      </c>
      <c r="AI519" s="139" t="s">
        <v>58</v>
      </c>
      <c r="AJ519" s="139" t="s">
        <v>59</v>
      </c>
    </row>
    <row r="520" spans="1:36" ht="15.75" x14ac:dyDescent="0.25">
      <c r="A520" s="115">
        <v>30557</v>
      </c>
      <c r="B520" s="116" t="s">
        <v>36</v>
      </c>
      <c r="C520" s="117" t="s">
        <v>37</v>
      </c>
      <c r="D520" s="118" t="s">
        <v>36</v>
      </c>
      <c r="E520" s="119" t="s">
        <v>38</v>
      </c>
      <c r="F520" s="140" t="s">
        <v>39</v>
      </c>
      <c r="G520" s="118" t="s">
        <v>40</v>
      </c>
      <c r="H520" s="121" t="s">
        <v>41</v>
      </c>
      <c r="I520" s="120" t="s">
        <v>524</v>
      </c>
      <c r="J520" s="122" t="s">
        <v>525</v>
      </c>
      <c r="K520" s="123" t="s">
        <v>526</v>
      </c>
      <c r="L520" t="s">
        <v>1852</v>
      </c>
      <c r="M520" s="124" t="s">
        <v>1853</v>
      </c>
      <c r="N520" s="125" t="s">
        <v>1854</v>
      </c>
      <c r="O520" s="126" t="s">
        <v>929</v>
      </c>
      <c r="P520" s="127"/>
      <c r="Q520" s="128"/>
      <c r="R520" s="128"/>
      <c r="S520" s="129">
        <v>3190.91</v>
      </c>
      <c r="T520" s="130" t="s">
        <v>1327</v>
      </c>
      <c r="U520" s="131">
        <v>45596</v>
      </c>
      <c r="V520" s="132"/>
      <c r="W520" s="133"/>
      <c r="X520" s="134" t="s">
        <v>1855</v>
      </c>
      <c r="Y520" s="135" t="s">
        <v>912</v>
      </c>
      <c r="Z520" s="128" t="s">
        <v>96</v>
      </c>
      <c r="AA520" s="128" t="s">
        <v>1856</v>
      </c>
      <c r="AB520" s="136"/>
      <c r="AC520" s="137"/>
      <c r="AD520" s="136"/>
      <c r="AE520" s="136"/>
      <c r="AF520" s="136"/>
      <c r="AG520" s="136"/>
      <c r="AH520" s="138">
        <v>-3190.91</v>
      </c>
      <c r="AI520" s="139" t="s">
        <v>58</v>
      </c>
      <c r="AJ520" s="139" t="s">
        <v>157</v>
      </c>
    </row>
    <row r="521" spans="1:36" ht="15.75" x14ac:dyDescent="0.25">
      <c r="A521" s="115">
        <v>30666</v>
      </c>
      <c r="B521" s="116" t="s">
        <v>36</v>
      </c>
      <c r="C521" s="117" t="s">
        <v>37</v>
      </c>
      <c r="D521" s="118" t="s">
        <v>36</v>
      </c>
      <c r="E521" s="119" t="s">
        <v>38</v>
      </c>
      <c r="F521" s="120" t="s">
        <v>39</v>
      </c>
      <c r="G521" s="118" t="s">
        <v>40</v>
      </c>
      <c r="H521" s="121" t="s">
        <v>41</v>
      </c>
      <c r="I521" s="120" t="s">
        <v>1319</v>
      </c>
      <c r="J521" s="122" t="s">
        <v>1320</v>
      </c>
      <c r="K521" s="123" t="s">
        <v>1321</v>
      </c>
      <c r="L521" t="s">
        <v>204</v>
      </c>
      <c r="M521" s="124" t="s">
        <v>205</v>
      </c>
      <c r="N521" s="125" t="s">
        <v>206</v>
      </c>
      <c r="O521" s="126" t="s">
        <v>207</v>
      </c>
      <c r="P521" s="127" t="s">
        <v>1857</v>
      </c>
      <c r="Q521" s="128">
        <v>1374</v>
      </c>
      <c r="R521" s="128">
        <v>1374</v>
      </c>
      <c r="S521" s="129">
        <v>1374</v>
      </c>
      <c r="T521" s="130" t="s">
        <v>1858</v>
      </c>
      <c r="U521" s="131">
        <v>45596</v>
      </c>
      <c r="V521" s="132">
        <v>45596</v>
      </c>
      <c r="W521" s="133">
        <v>10485</v>
      </c>
      <c r="X521" s="134" t="s">
        <v>1326</v>
      </c>
      <c r="Y521" s="135" t="s">
        <v>912</v>
      </c>
      <c r="Z521" s="128" t="s">
        <v>57</v>
      </c>
      <c r="AA521" s="128"/>
      <c r="AB521" s="136"/>
      <c r="AC521" s="137"/>
      <c r="AD521" s="136"/>
      <c r="AE521" s="136"/>
      <c r="AF521" s="136"/>
      <c r="AG521" s="136"/>
      <c r="AH521" s="138">
        <v>-1374</v>
      </c>
      <c r="AI521" s="139" t="s">
        <v>58</v>
      </c>
      <c r="AJ521" s="139" t="s">
        <v>59</v>
      </c>
    </row>
    <row r="522" spans="1:36" ht="15.75" x14ac:dyDescent="0.25">
      <c r="A522" s="115">
        <v>30668</v>
      </c>
      <c r="B522" s="116" t="s">
        <v>36</v>
      </c>
      <c r="C522" s="117" t="s">
        <v>37</v>
      </c>
      <c r="D522" s="118" t="s">
        <v>36</v>
      </c>
      <c r="E522" s="119" t="s">
        <v>38</v>
      </c>
      <c r="F522" s="120" t="s">
        <v>39</v>
      </c>
      <c r="G522" s="118" t="s">
        <v>40</v>
      </c>
      <c r="H522" s="121" t="s">
        <v>41</v>
      </c>
      <c r="I522" s="120" t="s">
        <v>524</v>
      </c>
      <c r="J522" s="122" t="s">
        <v>525</v>
      </c>
      <c r="K522" s="123" t="s">
        <v>526</v>
      </c>
      <c r="L522" t="s">
        <v>1730</v>
      </c>
      <c r="M522" s="124" t="s">
        <v>1731</v>
      </c>
      <c r="N522" s="125" t="s">
        <v>1732</v>
      </c>
      <c r="O522" s="126" t="s">
        <v>207</v>
      </c>
      <c r="P522" s="127" t="s">
        <v>1626</v>
      </c>
      <c r="Q522" s="128">
        <v>2020.03</v>
      </c>
      <c r="R522" s="128">
        <v>2020.03</v>
      </c>
      <c r="S522" s="129">
        <v>1010.015</v>
      </c>
      <c r="T522" s="130" t="s">
        <v>1627</v>
      </c>
      <c r="U522" s="131">
        <v>45596</v>
      </c>
      <c r="V522" s="132">
        <v>45596</v>
      </c>
      <c r="W522" s="133">
        <v>3003</v>
      </c>
      <c r="X522" s="134" t="s">
        <v>1334</v>
      </c>
      <c r="Y522" s="135" t="s">
        <v>912</v>
      </c>
      <c r="Z522" s="128" t="s">
        <v>57</v>
      </c>
      <c r="AA522" s="128"/>
      <c r="AB522" s="136"/>
      <c r="AC522" s="137"/>
      <c r="AD522" s="136"/>
      <c r="AE522" s="136"/>
      <c r="AF522" s="136"/>
      <c r="AG522" s="136"/>
      <c r="AH522" s="138">
        <v>-1010.015</v>
      </c>
      <c r="AI522" s="139" t="s">
        <v>58</v>
      </c>
      <c r="AJ522" s="139" t="s">
        <v>157</v>
      </c>
    </row>
    <row r="523" spans="1:36" ht="15.75" x14ac:dyDescent="0.25">
      <c r="A523" s="115">
        <v>33432</v>
      </c>
      <c r="B523" s="116" t="s">
        <v>36</v>
      </c>
      <c r="C523" s="117" t="s">
        <v>37</v>
      </c>
      <c r="D523" s="118" t="s">
        <v>36</v>
      </c>
      <c r="E523" s="119" t="s">
        <v>38</v>
      </c>
      <c r="F523" s="120" t="s">
        <v>39</v>
      </c>
      <c r="G523" s="118" t="s">
        <v>40</v>
      </c>
      <c r="H523" s="121" t="s">
        <v>41</v>
      </c>
      <c r="I523" s="120" t="s">
        <v>301</v>
      </c>
      <c r="J523" s="122" t="s">
        <v>1384</v>
      </c>
      <c r="K523" s="123" t="s">
        <v>1385</v>
      </c>
      <c r="L523" t="s">
        <v>150</v>
      </c>
      <c r="M523" s="124" t="s">
        <v>151</v>
      </c>
      <c r="N523" s="125" t="s">
        <v>152</v>
      </c>
      <c r="O523" s="126" t="s">
        <v>121</v>
      </c>
      <c r="P523" s="127" t="s">
        <v>1411</v>
      </c>
      <c r="Q523" s="128">
        <v>1750</v>
      </c>
      <c r="R523" s="128">
        <v>1750</v>
      </c>
      <c r="S523" s="129">
        <v>1750</v>
      </c>
      <c r="T523" s="130" t="s">
        <v>1412</v>
      </c>
      <c r="U523" s="131">
        <v>45628</v>
      </c>
      <c r="V523" s="132">
        <v>45631</v>
      </c>
      <c r="W523" s="133">
        <v>9331</v>
      </c>
      <c r="X523" s="134" t="s">
        <v>312</v>
      </c>
      <c r="Y523" s="135" t="s">
        <v>912</v>
      </c>
      <c r="Z523" s="128" t="s">
        <v>57</v>
      </c>
      <c r="AA523" s="128"/>
      <c r="AB523" s="136"/>
      <c r="AC523" s="137"/>
      <c r="AD523" s="136"/>
      <c r="AE523" s="136"/>
      <c r="AF523" s="136"/>
      <c r="AG523" s="136"/>
      <c r="AH523" s="138">
        <v>-1750</v>
      </c>
      <c r="AI523" s="139" t="s">
        <v>58</v>
      </c>
      <c r="AJ523" s="139" t="s">
        <v>157</v>
      </c>
    </row>
    <row r="524" spans="1:36" ht="15.75" x14ac:dyDescent="0.25">
      <c r="A524" s="115">
        <v>31832</v>
      </c>
      <c r="B524" s="116" t="s">
        <v>36</v>
      </c>
      <c r="C524" s="117" t="s">
        <v>37</v>
      </c>
      <c r="D524" s="118" t="s">
        <v>36</v>
      </c>
      <c r="E524" s="119" t="s">
        <v>38</v>
      </c>
      <c r="F524" s="120" t="s">
        <v>39</v>
      </c>
      <c r="G524" s="118" t="s">
        <v>40</v>
      </c>
      <c r="H524" s="121" t="s">
        <v>41</v>
      </c>
      <c r="I524" s="120" t="s">
        <v>42</v>
      </c>
      <c r="J524" s="122" t="s">
        <v>43</v>
      </c>
      <c r="K524" s="123" t="s">
        <v>44</v>
      </c>
      <c r="L524" t="s">
        <v>584</v>
      </c>
      <c r="M524" s="124" t="s">
        <v>585</v>
      </c>
      <c r="N524" s="125" t="s">
        <v>586</v>
      </c>
      <c r="O524" t="s">
        <v>929</v>
      </c>
      <c r="P524" s="127"/>
      <c r="S524" s="141">
        <v>4372.6400000000003</v>
      </c>
      <c r="T524" s="142" t="s">
        <v>1327</v>
      </c>
      <c r="U524" s="143">
        <v>45608.567835648151</v>
      </c>
      <c r="X524" s="144" t="s">
        <v>590</v>
      </c>
      <c r="Y524" s="135" t="s">
        <v>912</v>
      </c>
      <c r="Z524" t="s">
        <v>96</v>
      </c>
      <c r="AA524" t="s">
        <v>1811</v>
      </c>
      <c r="AB524" s="125"/>
      <c r="AC524" s="145"/>
      <c r="AD524" s="125"/>
      <c r="AE524" s="125"/>
      <c r="AF524" s="125"/>
      <c r="AG524" s="125"/>
      <c r="AH524" s="138">
        <v>-4372.6400000000003</v>
      </c>
      <c r="AI524" s="139" t="s">
        <v>58</v>
      </c>
      <c r="AJ524" s="139" t="s">
        <v>591</v>
      </c>
    </row>
    <row r="525" spans="1:36" ht="15.75" x14ac:dyDescent="0.25">
      <c r="A525" s="115">
        <v>31835</v>
      </c>
      <c r="B525" s="116" t="s">
        <v>36</v>
      </c>
      <c r="C525" s="117" t="s">
        <v>37</v>
      </c>
      <c r="D525" s="118" t="s">
        <v>36</v>
      </c>
      <c r="E525" s="119" t="s">
        <v>38</v>
      </c>
      <c r="F525" s="120" t="s">
        <v>39</v>
      </c>
      <c r="G525" s="118" t="s">
        <v>40</v>
      </c>
      <c r="H525" s="121" t="s">
        <v>41</v>
      </c>
      <c r="I525" s="120" t="s">
        <v>1319</v>
      </c>
      <c r="J525" s="122" t="s">
        <v>1320</v>
      </c>
      <c r="K525" s="123" t="s">
        <v>1321</v>
      </c>
      <c r="L525" t="s">
        <v>1307</v>
      </c>
      <c r="M525" s="124" t="s">
        <v>585</v>
      </c>
      <c r="N525" s="125" t="s">
        <v>586</v>
      </c>
      <c r="O525" t="s">
        <v>929</v>
      </c>
      <c r="P525" s="127"/>
      <c r="S525" s="141">
        <v>3842.89</v>
      </c>
      <c r="T525" s="142" t="s">
        <v>1327</v>
      </c>
      <c r="U525" s="143">
        <v>45608.567835648151</v>
      </c>
      <c r="X525" s="144" t="s">
        <v>590</v>
      </c>
      <c r="Y525" s="135" t="s">
        <v>912</v>
      </c>
      <c r="Z525" t="s">
        <v>96</v>
      </c>
      <c r="AA525" t="s">
        <v>1811</v>
      </c>
      <c r="AB525" s="125"/>
      <c r="AC525" s="145"/>
      <c r="AD525" s="125"/>
      <c r="AE525" s="125"/>
      <c r="AF525" s="125"/>
      <c r="AG525" s="125"/>
      <c r="AH525" s="138">
        <v>-3842.89</v>
      </c>
      <c r="AI525" s="139" t="s">
        <v>98</v>
      </c>
      <c r="AJ525" s="139" t="s">
        <v>895</v>
      </c>
    </row>
    <row r="526" spans="1:36" ht="15.75" x14ac:dyDescent="0.25">
      <c r="A526" s="115">
        <v>31836</v>
      </c>
      <c r="B526" s="116" t="s">
        <v>36</v>
      </c>
      <c r="C526" s="117" t="s">
        <v>37</v>
      </c>
      <c r="D526" s="118" t="s">
        <v>36</v>
      </c>
      <c r="E526" s="119" t="s">
        <v>38</v>
      </c>
      <c r="F526" s="120" t="s">
        <v>39</v>
      </c>
      <c r="G526" s="118" t="s">
        <v>40</v>
      </c>
      <c r="H526" s="121" t="s">
        <v>41</v>
      </c>
      <c r="I526" s="120" t="s">
        <v>524</v>
      </c>
      <c r="J526" s="122" t="s">
        <v>525</v>
      </c>
      <c r="K526" s="123" t="s">
        <v>526</v>
      </c>
      <c r="L526" t="s">
        <v>83</v>
      </c>
      <c r="M526" s="124" t="s">
        <v>84</v>
      </c>
      <c r="N526" s="125" t="s">
        <v>85</v>
      </c>
      <c r="O526" t="s">
        <v>929</v>
      </c>
      <c r="P526" s="127"/>
      <c r="S526" s="141">
        <v>109.5</v>
      </c>
      <c r="T526" s="142" t="s">
        <v>1327</v>
      </c>
      <c r="U526" s="143">
        <v>45608.567835648151</v>
      </c>
      <c r="X526" s="144" t="s">
        <v>803</v>
      </c>
      <c r="Y526" s="135" t="s">
        <v>912</v>
      </c>
      <c r="Z526" t="s">
        <v>96</v>
      </c>
      <c r="AA526" t="s">
        <v>939</v>
      </c>
      <c r="AB526" s="125"/>
      <c r="AC526" s="145"/>
      <c r="AD526" s="125"/>
      <c r="AE526" s="125"/>
      <c r="AF526" s="125"/>
      <c r="AG526" s="125"/>
      <c r="AH526" s="138">
        <v>-109.5</v>
      </c>
      <c r="AI526" s="139" t="s">
        <v>58</v>
      </c>
      <c r="AJ526" s="139" t="s">
        <v>59</v>
      </c>
    </row>
    <row r="527" spans="1:36" ht="15.75" x14ac:dyDescent="0.25">
      <c r="A527" s="115">
        <v>32186</v>
      </c>
      <c r="B527" s="116" t="s">
        <v>36</v>
      </c>
      <c r="C527" s="117" t="s">
        <v>37</v>
      </c>
      <c r="D527" s="118" t="s">
        <v>36</v>
      </c>
      <c r="E527" s="119" t="s">
        <v>38</v>
      </c>
      <c r="F527" s="120" t="s">
        <v>39</v>
      </c>
      <c r="G527" s="118" t="s">
        <v>40</v>
      </c>
      <c r="H527" s="121" t="s">
        <v>41</v>
      </c>
      <c r="I527" s="120" t="s">
        <v>42</v>
      </c>
      <c r="J527" s="122" t="s">
        <v>43</v>
      </c>
      <c r="K527" s="123" t="s">
        <v>44</v>
      </c>
      <c r="L527" t="s">
        <v>584</v>
      </c>
      <c r="M527" s="124" t="s">
        <v>585</v>
      </c>
      <c r="N527" s="125" t="s">
        <v>586</v>
      </c>
      <c r="O527" t="s">
        <v>929</v>
      </c>
      <c r="P527" s="127"/>
      <c r="S527" s="141">
        <v>4452.59</v>
      </c>
      <c r="T527" s="142" t="s">
        <v>1327</v>
      </c>
      <c r="U527" s="143">
        <v>45614.567835648151</v>
      </c>
      <c r="X527" s="144" t="s">
        <v>590</v>
      </c>
      <c r="Y527" s="135" t="s">
        <v>912</v>
      </c>
      <c r="Z527" t="s">
        <v>96</v>
      </c>
      <c r="AA527" t="s">
        <v>1811</v>
      </c>
      <c r="AB527" s="125"/>
      <c r="AC527" s="145"/>
      <c r="AD527" s="125"/>
      <c r="AE527" s="125"/>
      <c r="AF527" s="125"/>
      <c r="AG527" s="125"/>
      <c r="AH527" s="138">
        <v>-4452.59</v>
      </c>
      <c r="AI527" s="139" t="s">
        <v>58</v>
      </c>
      <c r="AJ527" s="139" t="s">
        <v>591</v>
      </c>
    </row>
    <row r="528" spans="1:36" ht="15.75" x14ac:dyDescent="0.25">
      <c r="A528" s="115">
        <v>32845</v>
      </c>
      <c r="B528" s="116" t="s">
        <v>36</v>
      </c>
      <c r="C528" s="117" t="s">
        <v>37</v>
      </c>
      <c r="D528" s="118" t="s">
        <v>36</v>
      </c>
      <c r="E528" s="119" t="s">
        <v>38</v>
      </c>
      <c r="F528" s="120" t="s">
        <v>39</v>
      </c>
      <c r="G528" s="118" t="s">
        <v>40</v>
      </c>
      <c r="H528" s="121" t="s">
        <v>41</v>
      </c>
      <c r="I528" s="120" t="s">
        <v>301</v>
      </c>
      <c r="J528" s="122" t="s">
        <v>302</v>
      </c>
      <c r="K528" s="123" t="s">
        <v>303</v>
      </c>
      <c r="L528" t="s">
        <v>1173</v>
      </c>
      <c r="M528" s="124" t="s">
        <v>1174</v>
      </c>
      <c r="N528" s="125" t="s">
        <v>1175</v>
      </c>
      <c r="O528" t="s">
        <v>929</v>
      </c>
      <c r="P528" s="127"/>
      <c r="S528" s="141">
        <v>76</v>
      </c>
      <c r="T528" s="142" t="s">
        <v>1859</v>
      </c>
      <c r="U528" s="143">
        <v>45623.567835648151</v>
      </c>
      <c r="X528" s="144" t="s">
        <v>404</v>
      </c>
      <c r="Y528" s="135" t="s">
        <v>912</v>
      </c>
      <c r="Z528" t="s">
        <v>96</v>
      </c>
      <c r="AA528" t="s">
        <v>1860</v>
      </c>
      <c r="AB528" s="125"/>
      <c r="AC528" s="145"/>
      <c r="AD528" s="125"/>
      <c r="AE528" s="125"/>
      <c r="AF528" s="125"/>
      <c r="AG528" s="125"/>
      <c r="AH528" s="138">
        <v>-76</v>
      </c>
      <c r="AI528" s="139" t="s">
        <v>58</v>
      </c>
      <c r="AJ528" s="139" t="s">
        <v>157</v>
      </c>
    </row>
    <row r="529" spans="1:36" ht="15.75" x14ac:dyDescent="0.25">
      <c r="A529" s="115">
        <v>33066</v>
      </c>
      <c r="B529" s="116" t="s">
        <v>36</v>
      </c>
      <c r="C529" s="117" t="s">
        <v>37</v>
      </c>
      <c r="D529" s="118" t="s">
        <v>36</v>
      </c>
      <c r="E529" s="119" t="s">
        <v>38</v>
      </c>
      <c r="F529" s="140" t="s">
        <v>39</v>
      </c>
      <c r="G529" s="118" t="s">
        <v>40</v>
      </c>
      <c r="H529" s="121" t="s">
        <v>41</v>
      </c>
      <c r="I529" s="120" t="s">
        <v>301</v>
      </c>
      <c r="J529" s="122" t="s">
        <v>1384</v>
      </c>
      <c r="K529" s="123" t="s">
        <v>1385</v>
      </c>
      <c r="L529" t="s">
        <v>262</v>
      </c>
      <c r="M529" s="124" t="s">
        <v>263</v>
      </c>
      <c r="N529" s="125" t="s">
        <v>264</v>
      </c>
      <c r="O529" s="126" t="s">
        <v>207</v>
      </c>
      <c r="P529" s="127" t="s">
        <v>1628</v>
      </c>
      <c r="Q529" s="128">
        <v>685.94</v>
      </c>
      <c r="R529" s="128">
        <v>685.94</v>
      </c>
      <c r="S529" s="129">
        <v>228.64666399999999</v>
      </c>
      <c r="T529" s="130" t="s">
        <v>1629</v>
      </c>
      <c r="U529" s="131">
        <v>45625</v>
      </c>
      <c r="V529" s="132">
        <v>45626</v>
      </c>
      <c r="W529" s="133">
        <v>9150</v>
      </c>
      <c r="X529" s="134" t="s">
        <v>1592</v>
      </c>
      <c r="Y529" s="135" t="s">
        <v>912</v>
      </c>
      <c r="Z529" s="128" t="s">
        <v>57</v>
      </c>
      <c r="AA529" s="128"/>
      <c r="AB529" s="136"/>
      <c r="AC529" s="137"/>
      <c r="AD529" s="136"/>
      <c r="AE529" s="136"/>
      <c r="AF529" s="136"/>
      <c r="AG529" s="136"/>
      <c r="AH529" s="138">
        <v>-228.64666399999999</v>
      </c>
      <c r="AI529" s="139" t="s">
        <v>58</v>
      </c>
      <c r="AJ529" s="139" t="s">
        <v>59</v>
      </c>
    </row>
    <row r="530" spans="1:36" ht="15.75" x14ac:dyDescent="0.25">
      <c r="A530" s="115">
        <v>33067</v>
      </c>
      <c r="B530" s="116" t="s">
        <v>36</v>
      </c>
      <c r="C530" s="117" t="s">
        <v>37</v>
      </c>
      <c r="D530" s="118" t="s">
        <v>36</v>
      </c>
      <c r="E530" s="119" t="s">
        <v>38</v>
      </c>
      <c r="F530" s="140" t="s">
        <v>39</v>
      </c>
      <c r="G530" s="118" t="s">
        <v>40</v>
      </c>
      <c r="H530" s="121" t="s">
        <v>41</v>
      </c>
      <c r="I530" s="120" t="s">
        <v>301</v>
      </c>
      <c r="J530" s="122" t="s">
        <v>1384</v>
      </c>
      <c r="K530" s="123" t="s">
        <v>1385</v>
      </c>
      <c r="L530" t="s">
        <v>204</v>
      </c>
      <c r="M530" s="124" t="s">
        <v>205</v>
      </c>
      <c r="N530" s="125" t="s">
        <v>206</v>
      </c>
      <c r="O530" s="126" t="s">
        <v>207</v>
      </c>
      <c r="P530" s="127" t="s">
        <v>1628</v>
      </c>
      <c r="Q530" s="128">
        <v>685.94</v>
      </c>
      <c r="R530" s="128">
        <v>685.94</v>
      </c>
      <c r="S530" s="129">
        <v>228.64666399999999</v>
      </c>
      <c r="T530" s="130" t="s">
        <v>1629</v>
      </c>
      <c r="U530" s="131">
        <v>45625</v>
      </c>
      <c r="V530" s="132">
        <v>45626</v>
      </c>
      <c r="W530" s="133">
        <v>9150</v>
      </c>
      <c r="X530" s="134" t="s">
        <v>1592</v>
      </c>
      <c r="Y530" s="135" t="s">
        <v>912</v>
      </c>
      <c r="Z530" s="128" t="s">
        <v>57</v>
      </c>
      <c r="AA530" s="128"/>
      <c r="AB530" s="136"/>
      <c r="AC530" s="137"/>
      <c r="AD530" s="136"/>
      <c r="AE530" s="136"/>
      <c r="AF530" s="136"/>
      <c r="AG530" s="136"/>
      <c r="AH530" s="138">
        <v>-228.64666399999999</v>
      </c>
      <c r="AI530" s="139" t="s">
        <v>58</v>
      </c>
      <c r="AJ530" s="139" t="s">
        <v>59</v>
      </c>
    </row>
    <row r="531" spans="1:36" ht="15.75" x14ac:dyDescent="0.25">
      <c r="A531" s="115">
        <v>33182</v>
      </c>
      <c r="B531" s="116" t="s">
        <v>36</v>
      </c>
      <c r="C531" s="117" t="s">
        <v>37</v>
      </c>
      <c r="D531" s="118" t="s">
        <v>36</v>
      </c>
      <c r="E531" s="119" t="s">
        <v>38</v>
      </c>
      <c r="F531" s="140" t="s">
        <v>39</v>
      </c>
      <c r="G531" s="118" t="s">
        <v>40</v>
      </c>
      <c r="H531" s="121" t="s">
        <v>41</v>
      </c>
      <c r="I531" s="120" t="s">
        <v>42</v>
      </c>
      <c r="J531" s="122" t="s">
        <v>43</v>
      </c>
      <c r="K531" s="123" t="s">
        <v>44</v>
      </c>
      <c r="L531" t="s">
        <v>262</v>
      </c>
      <c r="M531" s="124" t="s">
        <v>263</v>
      </c>
      <c r="N531" s="125" t="s">
        <v>264</v>
      </c>
      <c r="O531" s="126" t="s">
        <v>207</v>
      </c>
      <c r="P531" s="127" t="s">
        <v>1861</v>
      </c>
      <c r="Q531" s="128">
        <v>1294.6099999999999</v>
      </c>
      <c r="R531" s="128">
        <v>1294.6099999999999</v>
      </c>
      <c r="S531" s="129">
        <v>258.92200000000003</v>
      </c>
      <c r="T531" s="130" t="s">
        <v>1862</v>
      </c>
      <c r="U531" s="131">
        <v>45626</v>
      </c>
      <c r="V531" s="132">
        <v>45626</v>
      </c>
      <c r="W531" s="133">
        <v>10485</v>
      </c>
      <c r="X531" s="134" t="s">
        <v>1326</v>
      </c>
      <c r="Y531" s="135" t="s">
        <v>912</v>
      </c>
      <c r="Z531" s="128" t="s">
        <v>57</v>
      </c>
      <c r="AA531" s="128"/>
      <c r="AB531" s="136"/>
      <c r="AC531" s="137"/>
      <c r="AD531" s="136"/>
      <c r="AE531" s="136"/>
      <c r="AF531" s="136"/>
      <c r="AG531" s="136"/>
      <c r="AH531" s="138">
        <v>-258.92200000000003</v>
      </c>
      <c r="AI531" s="139" t="s">
        <v>58</v>
      </c>
      <c r="AJ531" s="139" t="s">
        <v>59</v>
      </c>
    </row>
    <row r="532" spans="1:36" ht="15.75" x14ac:dyDescent="0.25">
      <c r="A532" s="115">
        <v>33183</v>
      </c>
      <c r="B532" s="116" t="s">
        <v>36</v>
      </c>
      <c r="C532" s="117" t="s">
        <v>37</v>
      </c>
      <c r="D532" s="118" t="s">
        <v>36</v>
      </c>
      <c r="E532" s="119" t="s">
        <v>38</v>
      </c>
      <c r="F532" s="140" t="s">
        <v>39</v>
      </c>
      <c r="G532" s="118" t="s">
        <v>40</v>
      </c>
      <c r="H532" s="121" t="s">
        <v>41</v>
      </c>
      <c r="I532" s="120" t="s">
        <v>42</v>
      </c>
      <c r="J532" s="122" t="s">
        <v>43</v>
      </c>
      <c r="K532" s="123" t="s">
        <v>44</v>
      </c>
      <c r="L532" t="s">
        <v>204</v>
      </c>
      <c r="M532" s="124" t="s">
        <v>205</v>
      </c>
      <c r="N532" s="125" t="s">
        <v>206</v>
      </c>
      <c r="O532" s="126" t="s">
        <v>207</v>
      </c>
      <c r="P532" s="127" t="s">
        <v>1861</v>
      </c>
      <c r="Q532" s="128">
        <v>1294.6099999999999</v>
      </c>
      <c r="R532" s="128">
        <v>1294.6099999999999</v>
      </c>
      <c r="S532" s="129">
        <v>258.92200000000003</v>
      </c>
      <c r="T532" s="130" t="s">
        <v>1862</v>
      </c>
      <c r="U532" s="131">
        <v>45626</v>
      </c>
      <c r="V532" s="132">
        <v>45626</v>
      </c>
      <c r="W532" s="133">
        <v>10485</v>
      </c>
      <c r="X532" s="134" t="s">
        <v>1326</v>
      </c>
      <c r="Y532" s="135" t="s">
        <v>912</v>
      </c>
      <c r="Z532" s="128" t="s">
        <v>57</v>
      </c>
      <c r="AA532" s="128"/>
      <c r="AB532" s="136"/>
      <c r="AC532" s="137"/>
      <c r="AD532" s="136"/>
      <c r="AE532" s="136"/>
      <c r="AF532" s="136"/>
      <c r="AG532" s="136"/>
      <c r="AH532" s="138">
        <v>-258.92200000000003</v>
      </c>
      <c r="AI532" s="139" t="s">
        <v>58</v>
      </c>
      <c r="AJ532" s="139" t="s">
        <v>59</v>
      </c>
    </row>
    <row r="533" spans="1:36" ht="15.75" x14ac:dyDescent="0.25">
      <c r="A533" s="115">
        <v>33184</v>
      </c>
      <c r="B533" s="116" t="s">
        <v>36</v>
      </c>
      <c r="C533" s="117" t="s">
        <v>37</v>
      </c>
      <c r="D533" s="118" t="s">
        <v>36</v>
      </c>
      <c r="E533" s="119" t="s">
        <v>38</v>
      </c>
      <c r="F533" s="140" t="s">
        <v>39</v>
      </c>
      <c r="G533" s="118" t="s">
        <v>40</v>
      </c>
      <c r="H533" s="121" t="s">
        <v>41</v>
      </c>
      <c r="I533" s="120" t="s">
        <v>1319</v>
      </c>
      <c r="J533" s="122" t="s">
        <v>1320</v>
      </c>
      <c r="K533" s="123" t="s">
        <v>1321</v>
      </c>
      <c r="L533" t="s">
        <v>262</v>
      </c>
      <c r="M533" s="124" t="s">
        <v>263</v>
      </c>
      <c r="N533" s="125" t="s">
        <v>264</v>
      </c>
      <c r="O533" s="126" t="s">
        <v>207</v>
      </c>
      <c r="P533" s="127" t="s">
        <v>1861</v>
      </c>
      <c r="Q533" s="128">
        <v>1294.6099999999999</v>
      </c>
      <c r="R533" s="128">
        <v>1294.6099999999999</v>
      </c>
      <c r="S533" s="129">
        <v>258.92200000000003</v>
      </c>
      <c r="T533" s="130" t="s">
        <v>1862</v>
      </c>
      <c r="U533" s="131">
        <v>45626</v>
      </c>
      <c r="V533" s="132">
        <v>45626</v>
      </c>
      <c r="W533" s="133">
        <v>10485</v>
      </c>
      <c r="X533" s="134" t="s">
        <v>1326</v>
      </c>
      <c r="Y533" s="135" t="s">
        <v>912</v>
      </c>
      <c r="Z533" s="128" t="s">
        <v>57</v>
      </c>
      <c r="AA533" s="128"/>
      <c r="AB533" s="136"/>
      <c r="AC533" s="137"/>
      <c r="AD533" s="136"/>
      <c r="AE533" s="136"/>
      <c r="AF533" s="136"/>
      <c r="AG533" s="136"/>
      <c r="AH533" s="138">
        <v>-258.92200000000003</v>
      </c>
      <c r="AI533" s="139" t="s">
        <v>58</v>
      </c>
      <c r="AJ533" s="139" t="s">
        <v>59</v>
      </c>
    </row>
    <row r="534" spans="1:36" ht="15.75" x14ac:dyDescent="0.25">
      <c r="A534" s="115">
        <v>33185</v>
      </c>
      <c r="B534" s="116" t="s">
        <v>36</v>
      </c>
      <c r="C534" s="117" t="s">
        <v>37</v>
      </c>
      <c r="D534" s="118" t="s">
        <v>36</v>
      </c>
      <c r="E534" s="119" t="s">
        <v>38</v>
      </c>
      <c r="F534" s="140" t="s">
        <v>39</v>
      </c>
      <c r="G534" s="118" t="s">
        <v>40</v>
      </c>
      <c r="H534" s="121" t="s">
        <v>41</v>
      </c>
      <c r="I534" s="120" t="s">
        <v>1319</v>
      </c>
      <c r="J534" s="122" t="s">
        <v>1320</v>
      </c>
      <c r="K534" s="123" t="s">
        <v>1321</v>
      </c>
      <c r="L534" t="s">
        <v>63</v>
      </c>
      <c r="M534" s="124" t="s">
        <v>64</v>
      </c>
      <c r="N534" s="125" t="s">
        <v>65</v>
      </c>
      <c r="O534" s="126" t="s">
        <v>207</v>
      </c>
      <c r="P534" s="127" t="s">
        <v>1861</v>
      </c>
      <c r="Q534" s="128">
        <v>1294.6099999999999</v>
      </c>
      <c r="R534" s="128">
        <v>1294.6099999999999</v>
      </c>
      <c r="S534" s="129">
        <v>258.92200000000003</v>
      </c>
      <c r="T534" s="130" t="s">
        <v>1862</v>
      </c>
      <c r="U534" s="131">
        <v>45626</v>
      </c>
      <c r="V534" s="132">
        <v>45626</v>
      </c>
      <c r="W534" s="133">
        <v>10485</v>
      </c>
      <c r="X534" s="134" t="s">
        <v>1326</v>
      </c>
      <c r="Y534" s="135" t="s">
        <v>912</v>
      </c>
      <c r="Z534" s="128" t="s">
        <v>57</v>
      </c>
      <c r="AA534" s="128"/>
      <c r="AB534" s="136"/>
      <c r="AC534" s="137"/>
      <c r="AD534" s="136"/>
      <c r="AE534" s="136"/>
      <c r="AF534" s="136"/>
      <c r="AG534" s="136"/>
      <c r="AH534" s="138">
        <v>-258.92200000000003</v>
      </c>
      <c r="AI534" s="139" t="s">
        <v>58</v>
      </c>
      <c r="AJ534" s="139" t="s">
        <v>59</v>
      </c>
    </row>
    <row r="535" spans="1:36" ht="15.75" x14ac:dyDescent="0.25">
      <c r="A535" s="115">
        <v>33186</v>
      </c>
      <c r="B535" s="116" t="s">
        <v>36</v>
      </c>
      <c r="C535" s="117" t="s">
        <v>37</v>
      </c>
      <c r="D535" s="118" t="s">
        <v>36</v>
      </c>
      <c r="E535" s="119" t="s">
        <v>38</v>
      </c>
      <c r="F535" s="140" t="s">
        <v>39</v>
      </c>
      <c r="G535" s="118" t="s">
        <v>40</v>
      </c>
      <c r="H535" s="121" t="s">
        <v>41</v>
      </c>
      <c r="I535" s="120" t="s">
        <v>1319</v>
      </c>
      <c r="J535" s="122" t="s">
        <v>1320</v>
      </c>
      <c r="K535" s="123" t="s">
        <v>1321</v>
      </c>
      <c r="L535" t="s">
        <v>204</v>
      </c>
      <c r="M535" s="124" t="s">
        <v>205</v>
      </c>
      <c r="N535" s="125" t="s">
        <v>206</v>
      </c>
      <c r="O535" s="126" t="s">
        <v>207</v>
      </c>
      <c r="P535" s="127" t="s">
        <v>1861</v>
      </c>
      <c r="Q535" s="128">
        <v>1294.6099999999999</v>
      </c>
      <c r="R535" s="128">
        <v>1294.6099999999999</v>
      </c>
      <c r="S535" s="129">
        <v>258.92200000000003</v>
      </c>
      <c r="T535" s="130" t="s">
        <v>1862</v>
      </c>
      <c r="U535" s="131">
        <v>45626</v>
      </c>
      <c r="V535" s="132">
        <v>45626</v>
      </c>
      <c r="W535" s="133">
        <v>10485</v>
      </c>
      <c r="X535" s="134" t="s">
        <v>1326</v>
      </c>
      <c r="Y535" s="135" t="s">
        <v>912</v>
      </c>
      <c r="Z535" s="128" t="s">
        <v>57</v>
      </c>
      <c r="AA535" s="128"/>
      <c r="AB535" s="136"/>
      <c r="AC535" s="137"/>
      <c r="AD535" s="136"/>
      <c r="AE535" s="136"/>
      <c r="AF535" s="136"/>
      <c r="AG535" s="136"/>
      <c r="AH535" s="138">
        <v>-258.92200000000003</v>
      </c>
      <c r="AI535" s="139" t="s">
        <v>58</v>
      </c>
      <c r="AJ535" s="139" t="s">
        <v>59</v>
      </c>
    </row>
    <row r="536" spans="1:36" ht="15.75" x14ac:dyDescent="0.25">
      <c r="A536" s="115">
        <v>33187</v>
      </c>
      <c r="B536" s="116" t="s">
        <v>36</v>
      </c>
      <c r="C536" s="117" t="s">
        <v>37</v>
      </c>
      <c r="D536" s="118" t="s">
        <v>36</v>
      </c>
      <c r="E536" s="119" t="s">
        <v>38</v>
      </c>
      <c r="F536" s="140" t="s">
        <v>39</v>
      </c>
      <c r="G536" s="118" t="s">
        <v>40</v>
      </c>
      <c r="H536" s="121" t="s">
        <v>41</v>
      </c>
      <c r="I536" s="120" t="s">
        <v>524</v>
      </c>
      <c r="J536" s="122" t="s">
        <v>525</v>
      </c>
      <c r="K536" s="123" t="s">
        <v>526</v>
      </c>
      <c r="L536" t="s">
        <v>204</v>
      </c>
      <c r="M536" s="124" t="s">
        <v>205</v>
      </c>
      <c r="N536" s="125" t="s">
        <v>206</v>
      </c>
      <c r="O536" s="126" t="s">
        <v>207</v>
      </c>
      <c r="P536" s="127" t="s">
        <v>1863</v>
      </c>
      <c r="Q536" s="128">
        <v>944.25</v>
      </c>
      <c r="R536" s="128">
        <v>944.25</v>
      </c>
      <c r="S536" s="129">
        <v>472.125</v>
      </c>
      <c r="T536" s="130" t="s">
        <v>1864</v>
      </c>
      <c r="U536" s="131">
        <v>45626</v>
      </c>
      <c r="V536" s="132">
        <v>45626</v>
      </c>
      <c r="W536" s="133">
        <v>3003</v>
      </c>
      <c r="X536" s="134" t="s">
        <v>1334</v>
      </c>
      <c r="Y536" s="135" t="s">
        <v>912</v>
      </c>
      <c r="Z536" s="128" t="s">
        <v>57</v>
      </c>
      <c r="AA536" s="128"/>
      <c r="AB536" s="136"/>
      <c r="AC536" s="137"/>
      <c r="AD536" s="136"/>
      <c r="AE536" s="136"/>
      <c r="AF536" s="136"/>
      <c r="AG536" s="136"/>
      <c r="AH536" s="138">
        <v>-472.125</v>
      </c>
      <c r="AI536" s="139" t="s">
        <v>58</v>
      </c>
      <c r="AJ536" s="139" t="s">
        <v>59</v>
      </c>
    </row>
    <row r="537" spans="1:36" ht="15.75" x14ac:dyDescent="0.25">
      <c r="A537" s="115">
        <v>33188</v>
      </c>
      <c r="B537" s="116" t="s">
        <v>36</v>
      </c>
      <c r="C537" s="117" t="s">
        <v>37</v>
      </c>
      <c r="D537" s="118" t="s">
        <v>36</v>
      </c>
      <c r="E537" s="119" t="s">
        <v>38</v>
      </c>
      <c r="F537" s="140" t="s">
        <v>39</v>
      </c>
      <c r="G537" s="118" t="s">
        <v>40</v>
      </c>
      <c r="H537" s="121" t="s">
        <v>41</v>
      </c>
      <c r="I537" s="120" t="s">
        <v>524</v>
      </c>
      <c r="J537" s="122" t="s">
        <v>525</v>
      </c>
      <c r="K537" s="123" t="s">
        <v>526</v>
      </c>
      <c r="L537" t="s">
        <v>326</v>
      </c>
      <c r="M537" s="124" t="s">
        <v>327</v>
      </c>
      <c r="N537" s="125" t="s">
        <v>328</v>
      </c>
      <c r="O537" s="126" t="s">
        <v>207</v>
      </c>
      <c r="P537" s="127" t="s">
        <v>1863</v>
      </c>
      <c r="Q537" s="128">
        <v>944.25</v>
      </c>
      <c r="R537" s="128">
        <v>944.25</v>
      </c>
      <c r="S537" s="129">
        <v>472.125</v>
      </c>
      <c r="T537" s="130" t="s">
        <v>1864</v>
      </c>
      <c r="U537" s="131">
        <v>45626</v>
      </c>
      <c r="V537" s="132">
        <v>45626</v>
      </c>
      <c r="W537" s="133">
        <v>3003</v>
      </c>
      <c r="X537" s="134" t="s">
        <v>1334</v>
      </c>
      <c r="Y537" s="135" t="s">
        <v>912</v>
      </c>
      <c r="Z537" s="128" t="s">
        <v>57</v>
      </c>
      <c r="AA537" s="128"/>
      <c r="AB537" s="136"/>
      <c r="AC537" s="137"/>
      <c r="AD537" s="136"/>
      <c r="AE537" s="136"/>
      <c r="AF537" s="136"/>
      <c r="AG537" s="136"/>
      <c r="AH537" s="138">
        <v>-472.125</v>
      </c>
      <c r="AI537" s="139" t="s">
        <v>58</v>
      </c>
      <c r="AJ537" s="139" t="s">
        <v>157</v>
      </c>
    </row>
    <row r="538" spans="1:36" ht="15.75" x14ac:dyDescent="0.25">
      <c r="A538" s="115">
        <v>34431</v>
      </c>
      <c r="B538" s="116" t="s">
        <v>36</v>
      </c>
      <c r="C538" s="117" t="s">
        <v>37</v>
      </c>
      <c r="D538" s="118" t="s">
        <v>36</v>
      </c>
      <c r="E538" s="119" t="s">
        <v>38</v>
      </c>
      <c r="F538" s="120" t="s">
        <v>39</v>
      </c>
      <c r="G538" s="118" t="s">
        <v>40</v>
      </c>
      <c r="H538" s="121" t="s">
        <v>41</v>
      </c>
      <c r="I538" s="120" t="s">
        <v>301</v>
      </c>
      <c r="J538" s="122" t="s">
        <v>1384</v>
      </c>
      <c r="K538" s="123" t="s">
        <v>1385</v>
      </c>
      <c r="L538" t="s">
        <v>150</v>
      </c>
      <c r="M538" s="124" t="s">
        <v>151</v>
      </c>
      <c r="N538" s="125" t="s">
        <v>152</v>
      </c>
      <c r="O538" s="126" t="s">
        <v>121</v>
      </c>
      <c r="P538" s="127" t="s">
        <v>1413</v>
      </c>
      <c r="Q538" s="128">
        <v>1750</v>
      </c>
      <c r="R538" s="128">
        <v>1750</v>
      </c>
      <c r="S538" s="129">
        <v>1750</v>
      </c>
      <c r="T538" s="130" t="s">
        <v>1414</v>
      </c>
      <c r="U538" s="131">
        <v>45639</v>
      </c>
      <c r="V538" s="132">
        <v>45663</v>
      </c>
      <c r="W538" s="133">
        <v>9331</v>
      </c>
      <c r="X538" s="134" t="s">
        <v>312</v>
      </c>
      <c r="Y538" s="135" t="s">
        <v>912</v>
      </c>
      <c r="Z538" s="128" t="s">
        <v>57</v>
      </c>
      <c r="AA538" s="128"/>
      <c r="AB538" s="136"/>
      <c r="AC538" s="137"/>
      <c r="AD538" s="136"/>
      <c r="AE538" s="136"/>
      <c r="AF538" s="136"/>
      <c r="AG538" s="136"/>
      <c r="AH538" s="138">
        <v>-1750</v>
      </c>
      <c r="AI538" s="139" t="s">
        <v>58</v>
      </c>
      <c r="AJ538" s="139" t="s">
        <v>157</v>
      </c>
    </row>
    <row r="539" spans="1:36" ht="15.75" x14ac:dyDescent="0.25">
      <c r="A539" s="115">
        <v>34569</v>
      </c>
      <c r="B539" s="116" t="s">
        <v>36</v>
      </c>
      <c r="C539" s="117" t="s">
        <v>37</v>
      </c>
      <c r="D539" s="118" t="s">
        <v>36</v>
      </c>
      <c r="E539" s="119" t="s">
        <v>38</v>
      </c>
      <c r="F539" s="120" t="s">
        <v>39</v>
      </c>
      <c r="G539" s="118" t="s">
        <v>40</v>
      </c>
      <c r="H539" s="121" t="s">
        <v>41</v>
      </c>
      <c r="I539" s="120" t="s">
        <v>301</v>
      </c>
      <c r="J539" s="122" t="s">
        <v>1384</v>
      </c>
      <c r="K539" s="123" t="s">
        <v>1385</v>
      </c>
      <c r="L539" t="s">
        <v>313</v>
      </c>
      <c r="M539" s="124" t="s">
        <v>314</v>
      </c>
      <c r="N539" s="125" t="s">
        <v>315</v>
      </c>
      <c r="O539" s="126" t="s">
        <v>121</v>
      </c>
      <c r="P539" s="127" t="s">
        <v>1865</v>
      </c>
      <c r="Q539" s="128">
        <v>1118</v>
      </c>
      <c r="R539" s="128">
        <v>0</v>
      </c>
      <c r="S539" s="129">
        <v>1118</v>
      </c>
      <c r="T539" s="130" t="s">
        <v>1866</v>
      </c>
      <c r="U539" s="131">
        <v>45642</v>
      </c>
      <c r="V539" s="132"/>
      <c r="W539" s="133">
        <v>11132</v>
      </c>
      <c r="X539" s="134" t="s">
        <v>1867</v>
      </c>
      <c r="Y539" s="135" t="s">
        <v>912</v>
      </c>
      <c r="Z539" s="128" t="s">
        <v>57</v>
      </c>
      <c r="AA539" s="128"/>
      <c r="AB539" s="136"/>
      <c r="AC539" s="137"/>
      <c r="AD539" s="136"/>
      <c r="AE539" s="136"/>
      <c r="AF539" s="136"/>
      <c r="AG539" s="136"/>
      <c r="AH539" s="138">
        <v>-1118</v>
      </c>
      <c r="AI539" s="139" t="s">
        <v>58</v>
      </c>
      <c r="AJ539" s="139" t="s">
        <v>59</v>
      </c>
    </row>
    <row r="540" spans="1:36" ht="15.75" x14ac:dyDescent="0.25">
      <c r="A540" s="115">
        <v>34728</v>
      </c>
      <c r="B540" s="116" t="s">
        <v>36</v>
      </c>
      <c r="C540" s="117" t="s">
        <v>37</v>
      </c>
      <c r="D540" s="118" t="s">
        <v>36</v>
      </c>
      <c r="E540" s="119" t="s">
        <v>38</v>
      </c>
      <c r="F540" s="120" t="s">
        <v>39</v>
      </c>
      <c r="G540" s="118" t="s">
        <v>40</v>
      </c>
      <c r="H540" s="121" t="s">
        <v>41</v>
      </c>
      <c r="I540" s="120" t="s">
        <v>301</v>
      </c>
      <c r="J540" s="122" t="s">
        <v>1384</v>
      </c>
      <c r="K540" s="123" t="s">
        <v>1385</v>
      </c>
      <c r="L540" t="s">
        <v>83</v>
      </c>
      <c r="M540" s="124" t="s">
        <v>84</v>
      </c>
      <c r="N540" s="125" t="s">
        <v>85</v>
      </c>
      <c r="O540" s="126" t="s">
        <v>121</v>
      </c>
      <c r="P540" s="127" t="s">
        <v>1868</v>
      </c>
      <c r="Q540" s="128">
        <v>142.31</v>
      </c>
      <c r="R540" s="128">
        <v>142.31</v>
      </c>
      <c r="S540" s="129">
        <v>142.31</v>
      </c>
      <c r="T540" s="130" t="s">
        <v>1869</v>
      </c>
      <c r="U540" s="131">
        <v>45643</v>
      </c>
      <c r="V540" s="132">
        <v>45645</v>
      </c>
      <c r="W540" s="133">
        <v>409</v>
      </c>
      <c r="X540" s="134" t="s">
        <v>55</v>
      </c>
      <c r="Y540" s="135" t="s">
        <v>912</v>
      </c>
      <c r="Z540" s="128" t="s">
        <v>57</v>
      </c>
      <c r="AA540" s="128"/>
      <c r="AB540" s="136"/>
      <c r="AC540" s="137"/>
      <c r="AD540" s="136"/>
      <c r="AE540" s="136"/>
      <c r="AF540" s="136"/>
      <c r="AG540" s="136"/>
      <c r="AH540" s="138">
        <v>-142.31</v>
      </c>
      <c r="AI540" s="139" t="s">
        <v>58</v>
      </c>
      <c r="AJ540" s="139" t="s">
        <v>59</v>
      </c>
    </row>
    <row r="541" spans="1:36" ht="15.75" x14ac:dyDescent="0.25">
      <c r="A541" s="115">
        <v>35154</v>
      </c>
      <c r="B541" s="116" t="s">
        <v>36</v>
      </c>
      <c r="C541" s="117" t="s">
        <v>37</v>
      </c>
      <c r="D541" s="118" t="s">
        <v>36</v>
      </c>
      <c r="E541" s="119" t="s">
        <v>38</v>
      </c>
      <c r="F541" s="120" t="s">
        <v>39</v>
      </c>
      <c r="G541" s="118" t="s">
        <v>40</v>
      </c>
      <c r="H541" s="121" t="s">
        <v>41</v>
      </c>
      <c r="I541" s="120" t="s">
        <v>301</v>
      </c>
      <c r="J541" s="122" t="s">
        <v>1384</v>
      </c>
      <c r="K541" s="123" t="s">
        <v>1385</v>
      </c>
      <c r="L541" t="s">
        <v>204</v>
      </c>
      <c r="M541" s="124" t="s">
        <v>205</v>
      </c>
      <c r="N541" s="125" t="s">
        <v>206</v>
      </c>
      <c r="O541" s="126" t="s">
        <v>207</v>
      </c>
      <c r="P541" s="127" t="s">
        <v>1631</v>
      </c>
      <c r="Q541" s="128">
        <v>1647.59</v>
      </c>
      <c r="R541" s="128">
        <v>1647.59</v>
      </c>
      <c r="S541" s="129">
        <v>549.19666099999995</v>
      </c>
      <c r="T541" s="130" t="s">
        <v>1632</v>
      </c>
      <c r="U541" s="131">
        <v>45652</v>
      </c>
      <c r="V541" s="132">
        <v>45652</v>
      </c>
      <c r="W541" s="133">
        <v>9150</v>
      </c>
      <c r="X541" s="134" t="s">
        <v>1592</v>
      </c>
      <c r="Y541" s="135" t="s">
        <v>912</v>
      </c>
      <c r="Z541" s="128" t="s">
        <v>57</v>
      </c>
      <c r="AA541" s="128"/>
      <c r="AB541" s="136"/>
      <c r="AC541" s="137"/>
      <c r="AD541" s="136"/>
      <c r="AE541" s="136"/>
      <c r="AF541" s="136"/>
      <c r="AG541" s="136"/>
      <c r="AH541" s="138">
        <v>-549.19666099999995</v>
      </c>
      <c r="AI541" s="139" t="s">
        <v>58</v>
      </c>
      <c r="AJ541" s="139" t="s">
        <v>59</v>
      </c>
    </row>
    <row r="542" spans="1:36" ht="15.75" x14ac:dyDescent="0.25">
      <c r="A542" s="115">
        <v>35156</v>
      </c>
      <c r="B542" s="116" t="s">
        <v>36</v>
      </c>
      <c r="C542" s="117" t="s">
        <v>37</v>
      </c>
      <c r="D542" s="118" t="s">
        <v>36</v>
      </c>
      <c r="E542" s="119" t="s">
        <v>38</v>
      </c>
      <c r="F542" s="120" t="s">
        <v>39</v>
      </c>
      <c r="G542" s="118" t="s">
        <v>40</v>
      </c>
      <c r="H542" s="121" t="s">
        <v>41</v>
      </c>
      <c r="I542" s="120" t="s">
        <v>301</v>
      </c>
      <c r="J542" s="122" t="s">
        <v>1384</v>
      </c>
      <c r="K542" s="123" t="s">
        <v>1385</v>
      </c>
      <c r="L542" t="s">
        <v>665</v>
      </c>
      <c r="M542" s="124" t="s">
        <v>666</v>
      </c>
      <c r="N542" s="125" t="s">
        <v>667</v>
      </c>
      <c r="O542" s="126" t="s">
        <v>207</v>
      </c>
      <c r="P542" s="127" t="s">
        <v>1631</v>
      </c>
      <c r="Q542" s="128">
        <v>1647.59</v>
      </c>
      <c r="R542" s="128">
        <v>1647.59</v>
      </c>
      <c r="S542" s="129">
        <v>549.19667800000002</v>
      </c>
      <c r="T542" s="130" t="s">
        <v>1632</v>
      </c>
      <c r="U542" s="131">
        <v>45652</v>
      </c>
      <c r="V542" s="132">
        <v>45652</v>
      </c>
      <c r="W542" s="133">
        <v>9150</v>
      </c>
      <c r="X542" s="134" t="s">
        <v>1592</v>
      </c>
      <c r="Y542" s="135" t="s">
        <v>912</v>
      </c>
      <c r="Z542" s="128" t="s">
        <v>57</v>
      </c>
      <c r="AA542" s="128"/>
      <c r="AB542" s="136"/>
      <c r="AC542" s="137"/>
      <c r="AD542" s="136"/>
      <c r="AE542" s="136"/>
      <c r="AF542" s="136"/>
      <c r="AG542" s="136"/>
      <c r="AH542" s="138">
        <v>-549.19667800000002</v>
      </c>
      <c r="AI542" s="139" t="s">
        <v>58</v>
      </c>
      <c r="AJ542" s="139" t="s">
        <v>59</v>
      </c>
    </row>
    <row r="543" spans="1:36" ht="15.75" x14ac:dyDescent="0.25">
      <c r="A543" s="115">
        <v>35161</v>
      </c>
      <c r="B543" s="116" t="s">
        <v>36</v>
      </c>
      <c r="C543" s="117" t="s">
        <v>37</v>
      </c>
      <c r="D543" s="118" t="s">
        <v>36</v>
      </c>
      <c r="E543" s="119" t="s">
        <v>38</v>
      </c>
      <c r="F543" s="120" t="s">
        <v>39</v>
      </c>
      <c r="G543" s="118" t="s">
        <v>40</v>
      </c>
      <c r="H543" s="121" t="s">
        <v>41</v>
      </c>
      <c r="I543" s="120" t="s">
        <v>301</v>
      </c>
      <c r="J543" s="122" t="s">
        <v>302</v>
      </c>
      <c r="K543" s="123" t="s">
        <v>303</v>
      </c>
      <c r="L543" t="s">
        <v>868</v>
      </c>
      <c r="M543" s="124" t="s">
        <v>869</v>
      </c>
      <c r="N543" s="125" t="s">
        <v>870</v>
      </c>
      <c r="O543" s="126" t="s">
        <v>929</v>
      </c>
      <c r="P543" s="127"/>
      <c r="Q543" s="128"/>
      <c r="R543" s="128"/>
      <c r="S543" s="129">
        <v>400</v>
      </c>
      <c r="T543" s="130" t="s">
        <v>1327</v>
      </c>
      <c r="U543" s="131">
        <v>45652.510833333326</v>
      </c>
      <c r="V543" s="132"/>
      <c r="W543" s="133"/>
      <c r="X543" s="134" t="s">
        <v>1870</v>
      </c>
      <c r="Y543" s="135" t="s">
        <v>912</v>
      </c>
      <c r="Z543" s="128" t="s">
        <v>96</v>
      </c>
      <c r="AA543" s="128" t="s">
        <v>1860</v>
      </c>
      <c r="AB543" s="136"/>
      <c r="AC543" s="137"/>
      <c r="AD543" s="136"/>
      <c r="AE543" s="136"/>
      <c r="AF543" s="136"/>
      <c r="AG543" s="136"/>
      <c r="AH543" s="138">
        <v>-400</v>
      </c>
      <c r="AI543" s="139" t="s">
        <v>58</v>
      </c>
      <c r="AJ543" s="139" t="s">
        <v>157</v>
      </c>
    </row>
    <row r="544" spans="1:36" ht="15.75" x14ac:dyDescent="0.25">
      <c r="A544" s="115">
        <v>35171</v>
      </c>
      <c r="B544" s="116" t="s">
        <v>36</v>
      </c>
      <c r="C544" s="117" t="s">
        <v>37</v>
      </c>
      <c r="D544" s="118" t="s">
        <v>36</v>
      </c>
      <c r="E544" s="119" t="s">
        <v>38</v>
      </c>
      <c r="F544" s="120" t="s">
        <v>39</v>
      </c>
      <c r="G544" s="118" t="s">
        <v>40</v>
      </c>
      <c r="H544" s="121" t="s">
        <v>41</v>
      </c>
      <c r="I544" s="120" t="s">
        <v>1319</v>
      </c>
      <c r="J544" s="122" t="s">
        <v>1320</v>
      </c>
      <c r="K544" s="123" t="s">
        <v>1321</v>
      </c>
      <c r="L544" t="s">
        <v>204</v>
      </c>
      <c r="M544" s="124" t="s">
        <v>205</v>
      </c>
      <c r="N544" s="125" t="s">
        <v>206</v>
      </c>
      <c r="O544" s="126" t="s">
        <v>207</v>
      </c>
      <c r="P544" s="127" t="s">
        <v>1871</v>
      </c>
      <c r="Q544" s="128">
        <v>837.76</v>
      </c>
      <c r="R544" s="128">
        <v>837.76</v>
      </c>
      <c r="S544" s="129">
        <v>418.88</v>
      </c>
      <c r="T544" s="130" t="s">
        <v>1872</v>
      </c>
      <c r="U544" s="131">
        <v>45653</v>
      </c>
      <c r="V544" s="132">
        <v>45653</v>
      </c>
      <c r="W544" s="133">
        <v>10485</v>
      </c>
      <c r="X544" s="134" t="s">
        <v>1326</v>
      </c>
      <c r="Y544" s="135" t="s">
        <v>912</v>
      </c>
      <c r="Z544" s="128" t="s">
        <v>57</v>
      </c>
      <c r="AA544" s="128"/>
      <c r="AB544" s="136"/>
      <c r="AC544" s="137"/>
      <c r="AD544" s="136"/>
      <c r="AE544" s="136"/>
      <c r="AF544" s="136"/>
      <c r="AG544" s="136"/>
      <c r="AH544" s="138">
        <v>-418.88</v>
      </c>
      <c r="AI544" s="139" t="s">
        <v>58</v>
      </c>
      <c r="AJ544" s="139" t="s">
        <v>59</v>
      </c>
    </row>
    <row r="545" spans="1:36" ht="15.75" x14ac:dyDescent="0.25">
      <c r="A545" s="115">
        <v>35172</v>
      </c>
      <c r="B545" s="116" t="s">
        <v>36</v>
      </c>
      <c r="C545" s="117" t="s">
        <v>37</v>
      </c>
      <c r="D545" s="118" t="s">
        <v>36</v>
      </c>
      <c r="E545" s="119" t="s">
        <v>38</v>
      </c>
      <c r="F545" s="120" t="s">
        <v>39</v>
      </c>
      <c r="G545" s="118" t="s">
        <v>40</v>
      </c>
      <c r="H545" s="121" t="s">
        <v>41</v>
      </c>
      <c r="I545" s="120" t="s">
        <v>1319</v>
      </c>
      <c r="J545" s="122" t="s">
        <v>1320</v>
      </c>
      <c r="K545" s="123" t="s">
        <v>1321</v>
      </c>
      <c r="L545" t="s">
        <v>262</v>
      </c>
      <c r="M545" s="124" t="s">
        <v>263</v>
      </c>
      <c r="N545" s="125" t="s">
        <v>264</v>
      </c>
      <c r="O545" s="126" t="s">
        <v>207</v>
      </c>
      <c r="P545" s="127" t="s">
        <v>1871</v>
      </c>
      <c r="Q545" s="128">
        <v>837.76</v>
      </c>
      <c r="R545" s="128">
        <v>837.76</v>
      </c>
      <c r="S545" s="129">
        <v>418.88</v>
      </c>
      <c r="T545" s="130" t="s">
        <v>1872</v>
      </c>
      <c r="U545" s="131">
        <v>45653</v>
      </c>
      <c r="V545" s="132">
        <v>45653</v>
      </c>
      <c r="W545" s="133">
        <v>10485</v>
      </c>
      <c r="X545" s="134" t="s">
        <v>1326</v>
      </c>
      <c r="Y545" s="135" t="s">
        <v>912</v>
      </c>
      <c r="Z545" s="128" t="s">
        <v>57</v>
      </c>
      <c r="AA545" s="128"/>
      <c r="AB545" s="136"/>
      <c r="AC545" s="137"/>
      <c r="AD545" s="136"/>
      <c r="AE545" s="136"/>
      <c r="AF545" s="136"/>
      <c r="AG545" s="136"/>
      <c r="AH545" s="138">
        <v>-418.88</v>
      </c>
      <c r="AI545" s="139" t="s">
        <v>58</v>
      </c>
      <c r="AJ545" s="139" t="s">
        <v>59</v>
      </c>
    </row>
  </sheetData>
  <autoFilter ref="A1:AJ545" xr:uid="{82F8B624-D6CA-47AD-878D-12BCECCDD6F3}">
    <sortState xmlns:xlrd2="http://schemas.microsoft.com/office/spreadsheetml/2017/richdata2" ref="A2:AJ538">
      <sortCondition ref="A1:A545"/>
    </sortState>
  </autoFilter>
  <conditionalFormatting sqref="A2">
    <cfRule type="duplicateValues" dxfId="10" priority="10"/>
  </conditionalFormatting>
  <conditionalFormatting sqref="A3">
    <cfRule type="duplicateValues" dxfId="9" priority="9"/>
  </conditionalFormatting>
  <conditionalFormatting sqref="A141:A171">
    <cfRule type="duplicateValues" dxfId="8" priority="7"/>
  </conditionalFormatting>
  <conditionalFormatting sqref="A200:A362">
    <cfRule type="duplicateValues" dxfId="7" priority="4"/>
  </conditionalFormatting>
  <conditionalFormatting sqref="A4:A140">
    <cfRule type="duplicateValues" dxfId="6" priority="12"/>
  </conditionalFormatting>
  <conditionalFormatting sqref="A363:A373">
    <cfRule type="duplicateValues" dxfId="5" priority="3"/>
  </conditionalFormatting>
  <conditionalFormatting sqref="A1:A1048576">
    <cfRule type="duplicateValues" dxfId="4" priority="1"/>
  </conditionalFormatting>
  <conditionalFormatting sqref="A172:A187">
    <cfRule type="duplicateValues" dxfId="3" priority="34"/>
  </conditionalFormatting>
  <conditionalFormatting sqref="A188:A199">
    <cfRule type="duplicateValues" dxfId="2" priority="75"/>
  </conditionalFormatting>
  <conditionalFormatting sqref="A374:A545">
    <cfRule type="duplicateValues" dxfId="0" priority="107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A026-67BA-4FF7-8FA8-ECA8B8334C69}">
  <dimension ref="A1:AJ288"/>
  <sheetViews>
    <sheetView tabSelected="1" workbookViewId="0">
      <selection activeCell="N17" sqref="N17"/>
    </sheetView>
  </sheetViews>
  <sheetFormatPr defaultRowHeight="15" x14ac:dyDescent="0.25"/>
  <cols>
    <col min="19" max="19" width="13.28515625" bestFit="1" customWidth="1"/>
    <col min="20" max="20" width="99.5703125" bestFit="1" customWidth="1"/>
    <col min="22" max="22" width="18.7109375" bestFit="1" customWidth="1"/>
    <col min="23" max="23" width="11.28515625" bestFit="1" customWidth="1"/>
  </cols>
  <sheetData>
    <row r="1" spans="1:36" ht="39" x14ac:dyDescent="0.25">
      <c r="A1" s="89" t="s">
        <v>0</v>
      </c>
      <c r="B1" s="90" t="s">
        <v>1</v>
      </c>
      <c r="C1" s="91" t="s">
        <v>2</v>
      </c>
      <c r="D1" s="92" t="s">
        <v>3</v>
      </c>
      <c r="E1" s="93" t="s">
        <v>4</v>
      </c>
      <c r="F1" s="94" t="s">
        <v>5</v>
      </c>
      <c r="G1" s="95" t="s">
        <v>6</v>
      </c>
      <c r="H1" s="93" t="s">
        <v>7</v>
      </c>
      <c r="I1" s="94" t="s">
        <v>8</v>
      </c>
      <c r="J1" s="96" t="s">
        <v>9</v>
      </c>
      <c r="K1" s="97" t="s">
        <v>10</v>
      </c>
      <c r="L1" s="98" t="s">
        <v>14</v>
      </c>
      <c r="M1" s="99" t="s">
        <v>15</v>
      </c>
      <c r="N1" s="100" t="s">
        <v>16</v>
      </c>
      <c r="O1" s="101" t="s">
        <v>17</v>
      </c>
      <c r="P1" s="102" t="s">
        <v>18</v>
      </c>
      <c r="Q1" s="103" t="s">
        <v>19</v>
      </c>
      <c r="R1" s="103" t="s">
        <v>20</v>
      </c>
      <c r="S1" s="104" t="s">
        <v>21</v>
      </c>
      <c r="T1" s="105" t="s">
        <v>902</v>
      </c>
      <c r="U1" s="106" t="s">
        <v>23</v>
      </c>
      <c r="V1" s="107" t="s">
        <v>24</v>
      </c>
      <c r="W1" s="108" t="s">
        <v>25</v>
      </c>
      <c r="X1" s="109" t="s">
        <v>26</v>
      </c>
      <c r="Y1" s="110" t="s">
        <v>27</v>
      </c>
      <c r="Z1" s="101" t="s">
        <v>28</v>
      </c>
      <c r="AA1" s="101" t="s">
        <v>29</v>
      </c>
      <c r="AB1" s="111" t="s">
        <v>903</v>
      </c>
      <c r="AC1" s="112" t="s">
        <v>904</v>
      </c>
      <c r="AD1" s="111" t="s">
        <v>905</v>
      </c>
      <c r="AE1" s="111" t="s">
        <v>906</v>
      </c>
      <c r="AF1" s="111" t="s">
        <v>907</v>
      </c>
      <c r="AG1" s="111" t="s">
        <v>908</v>
      </c>
      <c r="AH1" s="113" t="s">
        <v>30</v>
      </c>
      <c r="AI1" s="114" t="s">
        <v>31</v>
      </c>
      <c r="AJ1" s="114" t="s">
        <v>32</v>
      </c>
    </row>
    <row r="2" spans="1:36" ht="15.75" x14ac:dyDescent="0.25">
      <c r="A2" s="115">
        <v>15</v>
      </c>
      <c r="B2" s="116" t="s">
        <v>36</v>
      </c>
      <c r="C2" s="117" t="s">
        <v>37</v>
      </c>
      <c r="D2" s="118" t="s">
        <v>36</v>
      </c>
      <c r="E2" s="119" t="s">
        <v>38</v>
      </c>
      <c r="F2" s="120" t="s">
        <v>39</v>
      </c>
      <c r="G2" s="118" t="s">
        <v>40</v>
      </c>
      <c r="H2" s="121" t="s">
        <v>41</v>
      </c>
      <c r="I2" s="120" t="s">
        <v>301</v>
      </c>
      <c r="J2" s="122" t="s">
        <v>302</v>
      </c>
      <c r="K2" s="123" t="s">
        <v>303</v>
      </c>
      <c r="L2" t="s">
        <v>1307</v>
      </c>
      <c r="M2" s="124" t="s">
        <v>1308</v>
      </c>
      <c r="N2" s="125" t="s">
        <v>1309</v>
      </c>
      <c r="O2" s="126" t="s">
        <v>1310</v>
      </c>
      <c r="P2" s="127" t="s">
        <v>1311</v>
      </c>
      <c r="Q2" s="128">
        <v>9953.111317777777</v>
      </c>
      <c r="R2" s="128">
        <v>9953.111317777777</v>
      </c>
      <c r="S2" s="129">
        <v>9953.111317777777</v>
      </c>
      <c r="T2" s="130" t="s">
        <v>1312</v>
      </c>
      <c r="U2" s="131">
        <v>45292</v>
      </c>
      <c r="V2" s="132"/>
      <c r="W2" s="133"/>
      <c r="X2" s="134" t="s">
        <v>1046</v>
      </c>
      <c r="Y2" s="135" t="s">
        <v>912</v>
      </c>
      <c r="Z2" s="128" t="s">
        <v>1313</v>
      </c>
      <c r="AA2" s="128"/>
      <c r="AB2" s="136"/>
      <c r="AC2" s="137"/>
      <c r="AD2" s="136"/>
      <c r="AE2" s="136"/>
      <c r="AF2" s="136"/>
      <c r="AG2" s="136"/>
      <c r="AH2" s="138">
        <v>-9953.111317777777</v>
      </c>
      <c r="AI2" s="139" t="s">
        <v>98</v>
      </c>
      <c r="AJ2" s="139" t="s">
        <v>895</v>
      </c>
    </row>
    <row r="3" spans="1:36" ht="15.75" x14ac:dyDescent="0.25">
      <c r="A3" s="115">
        <v>17</v>
      </c>
      <c r="B3" s="116" t="s">
        <v>36</v>
      </c>
      <c r="C3" s="117" t="s">
        <v>37</v>
      </c>
      <c r="D3" s="118" t="s">
        <v>36</v>
      </c>
      <c r="E3" s="119" t="s">
        <v>38</v>
      </c>
      <c r="F3" s="120" t="s">
        <v>39</v>
      </c>
      <c r="G3" s="118" t="s">
        <v>40</v>
      </c>
      <c r="H3" s="121" t="s">
        <v>41</v>
      </c>
      <c r="I3" s="120" t="s">
        <v>42</v>
      </c>
      <c r="J3" s="122" t="s">
        <v>43</v>
      </c>
      <c r="K3" s="123" t="s">
        <v>44</v>
      </c>
      <c r="L3" t="s">
        <v>1307</v>
      </c>
      <c r="M3" s="124" t="s">
        <v>1308</v>
      </c>
      <c r="N3" s="125" t="s">
        <v>1309</v>
      </c>
      <c r="O3" s="126" t="s">
        <v>1310</v>
      </c>
      <c r="P3" s="127" t="s">
        <v>1311</v>
      </c>
      <c r="Q3" s="128">
        <v>5331.4205577777775</v>
      </c>
      <c r="R3" s="128">
        <v>5331.4205577777775</v>
      </c>
      <c r="S3" s="129">
        <v>5331.4205577777775</v>
      </c>
      <c r="T3" s="130" t="s">
        <v>1312</v>
      </c>
      <c r="U3" s="131">
        <v>45292</v>
      </c>
      <c r="V3" s="132"/>
      <c r="W3" s="133"/>
      <c r="X3" s="134" t="s">
        <v>1314</v>
      </c>
      <c r="Y3" s="135" t="s">
        <v>912</v>
      </c>
      <c r="Z3" s="128" t="s">
        <v>1313</v>
      </c>
      <c r="AA3" s="128"/>
      <c r="AB3" s="136"/>
      <c r="AC3" s="137"/>
      <c r="AD3" s="136"/>
      <c r="AE3" s="136"/>
      <c r="AF3" s="136"/>
      <c r="AG3" s="136"/>
      <c r="AH3" s="138">
        <v>-5331.4205577777775</v>
      </c>
      <c r="AI3" s="139" t="s">
        <v>98</v>
      </c>
      <c r="AJ3" s="139" t="s">
        <v>895</v>
      </c>
    </row>
    <row r="4" spans="1:36" ht="15.75" x14ac:dyDescent="0.25">
      <c r="A4" s="115">
        <v>21</v>
      </c>
      <c r="B4" s="116" t="s">
        <v>36</v>
      </c>
      <c r="C4" s="117" t="s">
        <v>37</v>
      </c>
      <c r="D4" s="118" t="s">
        <v>36</v>
      </c>
      <c r="E4" s="119" t="s">
        <v>38</v>
      </c>
      <c r="F4" s="120" t="s">
        <v>39</v>
      </c>
      <c r="G4" s="118" t="s">
        <v>40</v>
      </c>
      <c r="H4" s="121" t="s">
        <v>41</v>
      </c>
      <c r="I4" s="120" t="s">
        <v>301</v>
      </c>
      <c r="J4" s="122" t="s">
        <v>302</v>
      </c>
      <c r="K4" s="123" t="s">
        <v>303</v>
      </c>
      <c r="L4" t="s">
        <v>1307</v>
      </c>
      <c r="M4" s="124" t="s">
        <v>1308</v>
      </c>
      <c r="N4" s="125" t="s">
        <v>1309</v>
      </c>
      <c r="O4" s="126" t="s">
        <v>1310</v>
      </c>
      <c r="P4" s="127" t="s">
        <v>1311</v>
      </c>
      <c r="Q4" s="128">
        <v>5765.6293733333332</v>
      </c>
      <c r="R4" s="128">
        <v>5765.6293733333332</v>
      </c>
      <c r="S4" s="129">
        <v>5765.6293733333332</v>
      </c>
      <c r="T4" s="130" t="s">
        <v>1312</v>
      </c>
      <c r="U4" s="131">
        <v>45292</v>
      </c>
      <c r="V4" s="132"/>
      <c r="W4" s="133"/>
      <c r="X4" s="134" t="s">
        <v>1315</v>
      </c>
      <c r="Y4" s="135" t="s">
        <v>912</v>
      </c>
      <c r="Z4" s="128" t="s">
        <v>1313</v>
      </c>
      <c r="AA4" s="128"/>
      <c r="AB4" s="136"/>
      <c r="AC4" s="137"/>
      <c r="AD4" s="136"/>
      <c r="AE4" s="136"/>
      <c r="AF4" s="136"/>
      <c r="AG4" s="136"/>
      <c r="AH4" s="138">
        <v>-5765.6293733333332</v>
      </c>
      <c r="AI4" s="139" t="s">
        <v>98</v>
      </c>
      <c r="AJ4" s="139" t="s">
        <v>895</v>
      </c>
    </row>
    <row r="5" spans="1:36" ht="15.75" x14ac:dyDescent="0.25">
      <c r="A5" s="115">
        <v>26</v>
      </c>
      <c r="B5" s="116" t="s">
        <v>36</v>
      </c>
      <c r="C5" s="117" t="s">
        <v>37</v>
      </c>
      <c r="D5" s="118" t="s">
        <v>36</v>
      </c>
      <c r="E5" s="119" t="s">
        <v>38</v>
      </c>
      <c r="F5" s="120" t="s">
        <v>39</v>
      </c>
      <c r="G5" s="118" t="s">
        <v>40</v>
      </c>
      <c r="H5" s="121" t="s">
        <v>41</v>
      </c>
      <c r="I5" s="120" t="s">
        <v>524</v>
      </c>
      <c r="J5" s="122" t="s">
        <v>525</v>
      </c>
      <c r="K5" s="123" t="s">
        <v>526</v>
      </c>
      <c r="L5" t="s">
        <v>1307</v>
      </c>
      <c r="M5" s="124" t="s">
        <v>1308</v>
      </c>
      <c r="N5" s="125" t="s">
        <v>1309</v>
      </c>
      <c r="O5" s="126" t="s">
        <v>1310</v>
      </c>
      <c r="P5" s="127" t="s">
        <v>1311</v>
      </c>
      <c r="Q5" s="128">
        <v>7430.7397777777769</v>
      </c>
      <c r="R5" s="128">
        <v>7430.7397777777769</v>
      </c>
      <c r="S5" s="129">
        <v>7430.7397777777769</v>
      </c>
      <c r="T5" s="130" t="s">
        <v>1312</v>
      </c>
      <c r="U5" s="131">
        <v>45292</v>
      </c>
      <c r="V5" s="132"/>
      <c r="W5" s="133"/>
      <c r="X5" s="134" t="s">
        <v>874</v>
      </c>
      <c r="Y5" s="135" t="s">
        <v>912</v>
      </c>
      <c r="Z5" s="128" t="s">
        <v>1313</v>
      </c>
      <c r="AA5" s="128"/>
      <c r="AB5" s="136"/>
      <c r="AC5" s="137"/>
      <c r="AD5" s="136"/>
      <c r="AE5" s="136"/>
      <c r="AF5" s="136"/>
      <c r="AG5" s="136"/>
      <c r="AH5" s="138">
        <v>-7430.7397777777769</v>
      </c>
      <c r="AI5" s="139" t="s">
        <v>98</v>
      </c>
      <c r="AJ5" s="139" t="s">
        <v>895</v>
      </c>
    </row>
    <row r="6" spans="1:36" ht="15.75" x14ac:dyDescent="0.25">
      <c r="A6" s="115">
        <v>28</v>
      </c>
      <c r="B6" s="116" t="s">
        <v>36</v>
      </c>
      <c r="C6" s="117" t="s">
        <v>37</v>
      </c>
      <c r="D6" s="118" t="s">
        <v>36</v>
      </c>
      <c r="E6" s="119" t="s">
        <v>38</v>
      </c>
      <c r="F6" s="120" t="s">
        <v>39</v>
      </c>
      <c r="G6" s="118" t="s">
        <v>40</v>
      </c>
      <c r="H6" s="121" t="s">
        <v>41</v>
      </c>
      <c r="I6" s="120" t="s">
        <v>524</v>
      </c>
      <c r="J6" s="122" t="s">
        <v>525</v>
      </c>
      <c r="K6" s="123" t="s">
        <v>526</v>
      </c>
      <c r="L6" t="s">
        <v>1307</v>
      </c>
      <c r="M6" s="124" t="s">
        <v>1308</v>
      </c>
      <c r="N6" s="125" t="s">
        <v>1309</v>
      </c>
      <c r="O6" s="126" t="s">
        <v>1310</v>
      </c>
      <c r="P6" s="127" t="s">
        <v>1311</v>
      </c>
      <c r="Q6" s="128">
        <v>146.55728888888888</v>
      </c>
      <c r="R6" s="128">
        <v>146.55728888888888</v>
      </c>
      <c r="S6" s="129">
        <v>146.55728888888888</v>
      </c>
      <c r="T6" s="130" t="s">
        <v>1312</v>
      </c>
      <c r="U6" s="131">
        <v>45292</v>
      </c>
      <c r="V6" s="132"/>
      <c r="W6" s="133"/>
      <c r="X6" s="134" t="s">
        <v>1316</v>
      </c>
      <c r="Y6" s="135" t="s">
        <v>912</v>
      </c>
      <c r="Z6" s="128" t="s">
        <v>1313</v>
      </c>
      <c r="AA6" s="128"/>
      <c r="AB6" s="136"/>
      <c r="AC6" s="137"/>
      <c r="AD6" s="136"/>
      <c r="AE6" s="136"/>
      <c r="AF6" s="136"/>
      <c r="AG6" s="136"/>
      <c r="AH6" s="138">
        <v>-146.55728888888888</v>
      </c>
      <c r="AI6" s="139" t="s">
        <v>98</v>
      </c>
      <c r="AJ6" s="139" t="s">
        <v>895</v>
      </c>
    </row>
    <row r="7" spans="1:36" ht="15.75" x14ac:dyDescent="0.25">
      <c r="A7" s="115">
        <v>86</v>
      </c>
      <c r="B7" s="116" t="s">
        <v>36</v>
      </c>
      <c r="C7" s="117" t="s">
        <v>37</v>
      </c>
      <c r="D7" s="118" t="s">
        <v>36</v>
      </c>
      <c r="E7" s="119" t="s">
        <v>38</v>
      </c>
      <c r="F7" s="120" t="s">
        <v>39</v>
      </c>
      <c r="G7" s="118" t="s">
        <v>40</v>
      </c>
      <c r="H7" s="121" t="s">
        <v>41</v>
      </c>
      <c r="I7" s="120" t="s">
        <v>524</v>
      </c>
      <c r="J7" s="122" t="s">
        <v>525</v>
      </c>
      <c r="K7" s="123" t="s">
        <v>526</v>
      </c>
      <c r="L7" t="s">
        <v>1307</v>
      </c>
      <c r="M7" s="124" t="s">
        <v>1308</v>
      </c>
      <c r="N7" s="125" t="s">
        <v>1309</v>
      </c>
      <c r="O7" s="126" t="s">
        <v>1310</v>
      </c>
      <c r="P7" s="127" t="s">
        <v>1311</v>
      </c>
      <c r="Q7" s="128">
        <v>7680.3711177777786</v>
      </c>
      <c r="R7" s="128">
        <v>7680.3711177777786</v>
      </c>
      <c r="S7" s="129">
        <v>7680.3711177777786</v>
      </c>
      <c r="T7" s="130" t="s">
        <v>1312</v>
      </c>
      <c r="U7" s="131">
        <v>45292</v>
      </c>
      <c r="V7" s="132"/>
      <c r="W7" s="133"/>
      <c r="X7" s="134" t="s">
        <v>1317</v>
      </c>
      <c r="Y7" s="135" t="s">
        <v>912</v>
      </c>
      <c r="Z7" s="128" t="s">
        <v>1313</v>
      </c>
      <c r="AA7" s="128"/>
      <c r="AB7" s="136"/>
      <c r="AC7" s="137"/>
      <c r="AD7" s="136"/>
      <c r="AE7" s="136"/>
      <c r="AF7" s="136"/>
      <c r="AG7" s="136"/>
      <c r="AH7" s="138">
        <v>-7680.3711177777786</v>
      </c>
      <c r="AI7" s="139" t="s">
        <v>98</v>
      </c>
      <c r="AJ7" s="139" t="s">
        <v>895</v>
      </c>
    </row>
    <row r="8" spans="1:36" ht="15.75" x14ac:dyDescent="0.25">
      <c r="A8" s="115">
        <v>89</v>
      </c>
      <c r="B8" s="116" t="s">
        <v>36</v>
      </c>
      <c r="C8" s="117" t="s">
        <v>37</v>
      </c>
      <c r="D8" s="118" t="s">
        <v>36</v>
      </c>
      <c r="E8" s="119" t="s">
        <v>38</v>
      </c>
      <c r="F8" s="120" t="s">
        <v>39</v>
      </c>
      <c r="G8" s="118" t="s">
        <v>40</v>
      </c>
      <c r="H8" s="121" t="s">
        <v>41</v>
      </c>
      <c r="I8" s="120" t="s">
        <v>524</v>
      </c>
      <c r="J8" s="122" t="s">
        <v>525</v>
      </c>
      <c r="K8" s="123" t="s">
        <v>526</v>
      </c>
      <c r="L8" t="s">
        <v>1307</v>
      </c>
      <c r="M8" s="124" t="s">
        <v>1308</v>
      </c>
      <c r="N8" s="125" t="s">
        <v>1309</v>
      </c>
      <c r="O8" s="126" t="s">
        <v>1310</v>
      </c>
      <c r="P8" s="127" t="s">
        <v>1311</v>
      </c>
      <c r="Q8" s="128">
        <v>11223.250822222222</v>
      </c>
      <c r="R8" s="128">
        <v>11223.250822222222</v>
      </c>
      <c r="S8" s="129">
        <v>11223.250822222222</v>
      </c>
      <c r="T8" s="130" t="s">
        <v>1312</v>
      </c>
      <c r="U8" s="131">
        <v>45292</v>
      </c>
      <c r="V8" s="132"/>
      <c r="W8" s="133"/>
      <c r="X8" s="134" t="s">
        <v>1318</v>
      </c>
      <c r="Y8" s="135" t="s">
        <v>912</v>
      </c>
      <c r="Z8" s="128" t="s">
        <v>1313</v>
      </c>
      <c r="AA8" s="128"/>
      <c r="AB8" s="136"/>
      <c r="AC8" s="137"/>
      <c r="AD8" s="136"/>
      <c r="AE8" s="136"/>
      <c r="AF8" s="136"/>
      <c r="AG8" s="136"/>
      <c r="AH8" s="138">
        <v>-11223.250822222222</v>
      </c>
      <c r="AI8" s="139" t="s">
        <v>98</v>
      </c>
      <c r="AJ8" s="139" t="s">
        <v>895</v>
      </c>
    </row>
    <row r="9" spans="1:36" ht="15.75" x14ac:dyDescent="0.25">
      <c r="A9" s="115">
        <v>106</v>
      </c>
      <c r="B9" s="116" t="s">
        <v>36</v>
      </c>
      <c r="C9" s="117" t="s">
        <v>37</v>
      </c>
      <c r="D9" s="118" t="s">
        <v>36</v>
      </c>
      <c r="E9" s="119" t="s">
        <v>38</v>
      </c>
      <c r="F9" s="120" t="s">
        <v>39</v>
      </c>
      <c r="G9" s="118" t="s">
        <v>40</v>
      </c>
      <c r="H9" s="121" t="s">
        <v>41</v>
      </c>
      <c r="I9" s="120" t="s">
        <v>1319</v>
      </c>
      <c r="J9" s="122" t="s">
        <v>1320</v>
      </c>
      <c r="K9" s="123" t="s">
        <v>1321</v>
      </c>
      <c r="L9" t="s">
        <v>1307</v>
      </c>
      <c r="M9" s="124" t="s">
        <v>1308</v>
      </c>
      <c r="N9" s="125" t="s">
        <v>1309</v>
      </c>
      <c r="O9" s="126" t="s">
        <v>1310</v>
      </c>
      <c r="P9" s="127" t="s">
        <v>1311</v>
      </c>
      <c r="Q9" s="128">
        <v>6057.8197733333327</v>
      </c>
      <c r="R9" s="128">
        <v>6057.8197733333327</v>
      </c>
      <c r="S9" s="129">
        <v>6057.8197733333327</v>
      </c>
      <c r="T9" s="130" t="s">
        <v>1312</v>
      </c>
      <c r="U9" s="131">
        <v>45292</v>
      </c>
      <c r="V9" s="132"/>
      <c r="W9" s="133"/>
      <c r="X9" s="134" t="s">
        <v>1322</v>
      </c>
      <c r="Y9" s="135" t="s">
        <v>912</v>
      </c>
      <c r="Z9" s="128" t="s">
        <v>1313</v>
      </c>
      <c r="AA9" s="128"/>
      <c r="AB9" s="136"/>
      <c r="AC9" s="137"/>
      <c r="AD9" s="136"/>
      <c r="AE9" s="136"/>
      <c r="AF9" s="136"/>
      <c r="AG9" s="136"/>
      <c r="AH9" s="138">
        <v>-6057.8197733333327</v>
      </c>
      <c r="AI9" s="139" t="s">
        <v>98</v>
      </c>
      <c r="AJ9" s="139" t="s">
        <v>895</v>
      </c>
    </row>
    <row r="10" spans="1:36" ht="15.75" x14ac:dyDescent="0.25">
      <c r="A10" s="115">
        <v>113</v>
      </c>
      <c r="B10" s="116" t="s">
        <v>36</v>
      </c>
      <c r="C10" s="117" t="s">
        <v>37</v>
      </c>
      <c r="D10" s="118" t="s">
        <v>36</v>
      </c>
      <c r="E10" s="119" t="s">
        <v>38</v>
      </c>
      <c r="F10" s="120" t="s">
        <v>39</v>
      </c>
      <c r="G10" s="118" t="s">
        <v>40</v>
      </c>
      <c r="H10" s="121" t="s">
        <v>41</v>
      </c>
      <c r="I10" s="120" t="s">
        <v>301</v>
      </c>
      <c r="J10" s="122" t="s">
        <v>302</v>
      </c>
      <c r="K10" s="123" t="s">
        <v>303</v>
      </c>
      <c r="L10" t="s">
        <v>1307</v>
      </c>
      <c r="M10" s="124" t="s">
        <v>1308</v>
      </c>
      <c r="N10" s="125" t="s">
        <v>1309</v>
      </c>
      <c r="O10" s="126" t="s">
        <v>1310</v>
      </c>
      <c r="P10" s="127" t="s">
        <v>1311</v>
      </c>
      <c r="Q10" s="128">
        <v>7392.9840155555557</v>
      </c>
      <c r="R10" s="128">
        <v>7392.9840155555557</v>
      </c>
      <c r="S10" s="129">
        <v>7392.9840155555557</v>
      </c>
      <c r="T10" s="130" t="s">
        <v>1312</v>
      </c>
      <c r="U10" s="131">
        <v>45292</v>
      </c>
      <c r="V10" s="132"/>
      <c r="W10" s="133"/>
      <c r="X10" s="134" t="s">
        <v>1323</v>
      </c>
      <c r="Y10" s="135" t="s">
        <v>912</v>
      </c>
      <c r="Z10" s="128" t="s">
        <v>1313</v>
      </c>
      <c r="AA10" s="128"/>
      <c r="AB10" s="136"/>
      <c r="AC10" s="137"/>
      <c r="AD10" s="136"/>
      <c r="AE10" s="136"/>
      <c r="AF10" s="136"/>
      <c r="AG10" s="136"/>
      <c r="AH10" s="138">
        <v>-7392.9840155555557</v>
      </c>
      <c r="AI10" s="139" t="s">
        <v>98</v>
      </c>
      <c r="AJ10" s="139" t="s">
        <v>895</v>
      </c>
    </row>
    <row r="11" spans="1:36" ht="15.75" x14ac:dyDescent="0.25">
      <c r="A11" s="115">
        <v>292</v>
      </c>
      <c r="B11" s="116" t="s">
        <v>36</v>
      </c>
      <c r="C11" s="117" t="s">
        <v>37</v>
      </c>
      <c r="D11" s="118" t="s">
        <v>36</v>
      </c>
      <c r="E11" s="119" t="s">
        <v>38</v>
      </c>
      <c r="F11" s="140" t="s">
        <v>39</v>
      </c>
      <c r="G11" s="118" t="s">
        <v>40</v>
      </c>
      <c r="H11" s="121" t="s">
        <v>41</v>
      </c>
      <c r="I11" s="120" t="s">
        <v>301</v>
      </c>
      <c r="J11" s="122" t="s">
        <v>302</v>
      </c>
      <c r="K11" s="123" t="s">
        <v>303</v>
      </c>
      <c r="L11" t="s">
        <v>1307</v>
      </c>
      <c r="M11" s="124" t="s">
        <v>1308</v>
      </c>
      <c r="N11" s="125" t="s">
        <v>1309</v>
      </c>
      <c r="O11" s="126" t="s">
        <v>1324</v>
      </c>
      <c r="P11" s="127" t="s">
        <v>1311</v>
      </c>
      <c r="Q11" s="128">
        <v>5675.5622111111115</v>
      </c>
      <c r="R11" s="128">
        <v>5675.5622111111115</v>
      </c>
      <c r="S11" s="129">
        <v>5675.5622111111115</v>
      </c>
      <c r="T11" s="130" t="s">
        <v>1312</v>
      </c>
      <c r="U11" s="131">
        <v>45292</v>
      </c>
      <c r="V11" s="132"/>
      <c r="W11" s="133"/>
      <c r="X11" s="134" t="s">
        <v>258</v>
      </c>
      <c r="Y11" s="135" t="s">
        <v>912</v>
      </c>
      <c r="Z11" s="128" t="s">
        <v>1313</v>
      </c>
      <c r="AA11" s="128"/>
      <c r="AB11" s="136"/>
      <c r="AC11" s="137"/>
      <c r="AD11" s="136"/>
      <c r="AE11" s="136"/>
      <c r="AF11" s="136"/>
      <c r="AG11" s="136"/>
      <c r="AH11" s="138">
        <v>-5675.5622111111115</v>
      </c>
      <c r="AI11" s="139" t="s">
        <v>98</v>
      </c>
      <c r="AJ11" s="139" t="s">
        <v>895</v>
      </c>
    </row>
    <row r="12" spans="1:36" ht="15.75" x14ac:dyDescent="0.25">
      <c r="A12" s="115">
        <v>294</v>
      </c>
      <c r="B12" s="116" t="s">
        <v>36</v>
      </c>
      <c r="C12" s="117" t="s">
        <v>37</v>
      </c>
      <c r="D12" s="118" t="s">
        <v>36</v>
      </c>
      <c r="E12" s="119" t="s">
        <v>38</v>
      </c>
      <c r="F12" s="140" t="s">
        <v>39</v>
      </c>
      <c r="G12" s="118" t="s">
        <v>40</v>
      </c>
      <c r="H12" s="121" t="s">
        <v>41</v>
      </c>
      <c r="I12" s="120" t="s">
        <v>524</v>
      </c>
      <c r="J12" s="122" t="s">
        <v>525</v>
      </c>
      <c r="K12" s="123" t="s">
        <v>526</v>
      </c>
      <c r="L12" t="s">
        <v>1307</v>
      </c>
      <c r="M12" s="124" t="s">
        <v>1308</v>
      </c>
      <c r="N12" s="125" t="s">
        <v>1309</v>
      </c>
      <c r="O12" s="126" t="s">
        <v>1310</v>
      </c>
      <c r="P12" s="127" t="s">
        <v>1311</v>
      </c>
      <c r="Q12" s="128">
        <v>6771.2917177777781</v>
      </c>
      <c r="R12" s="128">
        <v>6771.2917177777781</v>
      </c>
      <c r="S12" s="129">
        <v>6771.2917177777781</v>
      </c>
      <c r="T12" s="130" t="s">
        <v>1312</v>
      </c>
      <c r="U12" s="131">
        <v>45292</v>
      </c>
      <c r="V12" s="132"/>
      <c r="W12" s="133"/>
      <c r="X12" s="134" t="s">
        <v>1215</v>
      </c>
      <c r="Y12" s="135" t="s">
        <v>912</v>
      </c>
      <c r="Z12" s="128" t="s">
        <v>1313</v>
      </c>
      <c r="AA12" s="128"/>
      <c r="AB12" s="136"/>
      <c r="AC12" s="137"/>
      <c r="AD12" s="136"/>
      <c r="AE12" s="136"/>
      <c r="AF12" s="136"/>
      <c r="AG12" s="136"/>
      <c r="AH12" s="138">
        <v>-6771.2917177777781</v>
      </c>
      <c r="AI12" s="139" t="s">
        <v>98</v>
      </c>
      <c r="AJ12" s="139" t="s">
        <v>895</v>
      </c>
    </row>
    <row r="13" spans="1:36" ht="15.75" x14ac:dyDescent="0.25">
      <c r="A13" s="115">
        <v>313</v>
      </c>
      <c r="B13" s="116" t="s">
        <v>36</v>
      </c>
      <c r="C13" s="117" t="s">
        <v>37</v>
      </c>
      <c r="D13" s="118" t="s">
        <v>36</v>
      </c>
      <c r="E13" s="119" t="s">
        <v>38</v>
      </c>
      <c r="F13" s="140" t="s">
        <v>39</v>
      </c>
      <c r="G13" s="118" t="s">
        <v>40</v>
      </c>
      <c r="H13" s="121" t="s">
        <v>41</v>
      </c>
      <c r="I13" s="120" t="s">
        <v>42</v>
      </c>
      <c r="J13" s="122" t="s">
        <v>43</v>
      </c>
      <c r="K13" s="123" t="s">
        <v>44</v>
      </c>
      <c r="L13" t="s">
        <v>1307</v>
      </c>
      <c r="M13" s="124" t="s">
        <v>1308</v>
      </c>
      <c r="N13" s="125" t="s">
        <v>1309</v>
      </c>
      <c r="O13" s="126" t="s">
        <v>1310</v>
      </c>
      <c r="P13" s="127" t="s">
        <v>1311</v>
      </c>
      <c r="Q13" s="128">
        <v>5357.1383933333327</v>
      </c>
      <c r="R13" s="128">
        <v>5357.1383933333327</v>
      </c>
      <c r="S13" s="129">
        <v>5357.1383933333327</v>
      </c>
      <c r="T13" s="130" t="s">
        <v>1312</v>
      </c>
      <c r="U13" s="131">
        <v>45292</v>
      </c>
      <c r="V13" s="132"/>
      <c r="W13" s="133"/>
      <c r="X13" s="134" t="s">
        <v>1325</v>
      </c>
      <c r="Y13" s="135" t="s">
        <v>912</v>
      </c>
      <c r="Z13" s="128" t="s">
        <v>1313</v>
      </c>
      <c r="AA13" s="128"/>
      <c r="AB13" s="136"/>
      <c r="AC13" s="137"/>
      <c r="AD13" s="136"/>
      <c r="AE13" s="136"/>
      <c r="AF13" s="136"/>
      <c r="AG13" s="136"/>
      <c r="AH13" s="138">
        <v>-5357.1383933333327</v>
      </c>
      <c r="AI13" s="139" t="s">
        <v>98</v>
      </c>
      <c r="AJ13" s="139" t="s">
        <v>895</v>
      </c>
    </row>
    <row r="14" spans="1:36" ht="15.75" x14ac:dyDescent="0.25">
      <c r="A14" s="115">
        <v>406</v>
      </c>
      <c r="B14" s="116" t="s">
        <v>36</v>
      </c>
      <c r="C14" s="117" t="s">
        <v>37</v>
      </c>
      <c r="D14" s="118" t="s">
        <v>36</v>
      </c>
      <c r="E14" s="119" t="s">
        <v>38</v>
      </c>
      <c r="F14" s="120" t="s">
        <v>39</v>
      </c>
      <c r="G14" s="118" t="s">
        <v>40</v>
      </c>
      <c r="H14" s="121" t="s">
        <v>41</v>
      </c>
      <c r="I14" s="120" t="s">
        <v>1319</v>
      </c>
      <c r="J14" s="122" t="s">
        <v>1320</v>
      </c>
      <c r="K14" s="123" t="s">
        <v>1321</v>
      </c>
      <c r="L14" t="s">
        <v>1307</v>
      </c>
      <c r="M14" s="124" t="s">
        <v>1308</v>
      </c>
      <c r="N14" s="125" t="s">
        <v>1309</v>
      </c>
      <c r="O14" s="126" t="s">
        <v>1310</v>
      </c>
      <c r="P14" s="127" t="s">
        <v>1311</v>
      </c>
      <c r="Q14" s="128">
        <v>6206.9594044444439</v>
      </c>
      <c r="R14" s="128">
        <v>6206.9594044444439</v>
      </c>
      <c r="S14" s="129">
        <v>6206.9594044444439</v>
      </c>
      <c r="T14" s="130" t="s">
        <v>1312</v>
      </c>
      <c r="U14" s="131">
        <v>45292</v>
      </c>
      <c r="V14" s="132"/>
      <c r="W14" s="133"/>
      <c r="X14" s="134" t="s">
        <v>1326</v>
      </c>
      <c r="Y14" s="135" t="s">
        <v>912</v>
      </c>
      <c r="Z14" s="128" t="s">
        <v>1313</v>
      </c>
      <c r="AA14" s="128"/>
      <c r="AB14" s="136"/>
      <c r="AC14" s="137"/>
      <c r="AD14" s="136"/>
      <c r="AE14" s="136"/>
      <c r="AF14" s="136"/>
      <c r="AG14" s="136"/>
      <c r="AH14" s="138">
        <v>-6206.9594044444439</v>
      </c>
      <c r="AI14" s="139" t="s">
        <v>98</v>
      </c>
      <c r="AJ14" s="139" t="s">
        <v>895</v>
      </c>
    </row>
    <row r="15" spans="1:36" ht="15.75" x14ac:dyDescent="0.25">
      <c r="A15" s="115">
        <v>634</v>
      </c>
      <c r="B15" s="116" t="s">
        <v>36</v>
      </c>
      <c r="C15" s="117" t="s">
        <v>37</v>
      </c>
      <c r="D15" s="118" t="s">
        <v>36</v>
      </c>
      <c r="E15" s="119" t="s">
        <v>38</v>
      </c>
      <c r="F15" s="120" t="s">
        <v>39</v>
      </c>
      <c r="G15" s="118" t="s">
        <v>40</v>
      </c>
      <c r="H15" s="121" t="s">
        <v>41</v>
      </c>
      <c r="I15" s="120" t="s">
        <v>946</v>
      </c>
      <c r="J15" s="122" t="s">
        <v>947</v>
      </c>
      <c r="K15" s="123" t="s">
        <v>948</v>
      </c>
      <c r="L15" t="s">
        <v>1307</v>
      </c>
      <c r="M15" s="124" t="s">
        <v>1308</v>
      </c>
      <c r="N15" s="125" t="s">
        <v>1309</v>
      </c>
      <c r="O15" s="126" t="s">
        <v>929</v>
      </c>
      <c r="P15" s="127"/>
      <c r="Q15" s="128"/>
      <c r="R15" s="128"/>
      <c r="S15" s="129">
        <v>100</v>
      </c>
      <c r="T15" s="130" t="s">
        <v>1327</v>
      </c>
      <c r="U15" s="131">
        <v>45294</v>
      </c>
      <c r="V15" s="132"/>
      <c r="W15" s="133"/>
      <c r="X15" s="134" t="s">
        <v>951</v>
      </c>
      <c r="Y15" s="135" t="s">
        <v>912</v>
      </c>
      <c r="Z15" s="128" t="s">
        <v>96</v>
      </c>
      <c r="AA15" s="128" t="s">
        <v>1328</v>
      </c>
      <c r="AB15" s="136" t="s">
        <v>256</v>
      </c>
      <c r="AC15" s="137" t="s">
        <v>914</v>
      </c>
      <c r="AD15" s="136" t="s">
        <v>961</v>
      </c>
      <c r="AE15" s="136" t="s">
        <v>962</v>
      </c>
      <c r="AF15" s="136" t="s">
        <v>59</v>
      </c>
      <c r="AG15" s="136" t="s">
        <v>59</v>
      </c>
      <c r="AH15" s="138">
        <v>-100</v>
      </c>
      <c r="AI15" s="139" t="s">
        <v>98</v>
      </c>
      <c r="AJ15" s="139" t="s">
        <v>895</v>
      </c>
    </row>
    <row r="16" spans="1:36" ht="15.75" x14ac:dyDescent="0.25">
      <c r="A16" s="115">
        <v>1008</v>
      </c>
      <c r="B16" s="116" t="s">
        <v>36</v>
      </c>
      <c r="C16" s="117" t="s">
        <v>37</v>
      </c>
      <c r="D16" s="118" t="s">
        <v>36</v>
      </c>
      <c r="E16" s="119" t="s">
        <v>38</v>
      </c>
      <c r="F16" s="140" t="s">
        <v>39</v>
      </c>
      <c r="G16" s="118" t="s">
        <v>40</v>
      </c>
      <c r="H16" s="121" t="s">
        <v>41</v>
      </c>
      <c r="I16" s="120" t="s">
        <v>301</v>
      </c>
      <c r="J16" s="122" t="s">
        <v>302</v>
      </c>
      <c r="K16" s="123" t="s">
        <v>303</v>
      </c>
      <c r="L16" t="s">
        <v>1307</v>
      </c>
      <c r="M16" s="124" t="s">
        <v>1308</v>
      </c>
      <c r="N16" s="125" t="s">
        <v>1309</v>
      </c>
      <c r="O16" s="126" t="s">
        <v>1329</v>
      </c>
      <c r="P16" s="127" t="s">
        <v>1330</v>
      </c>
      <c r="Q16" s="128">
        <v>3706.24</v>
      </c>
      <c r="R16" s="128">
        <v>3706.24</v>
      </c>
      <c r="S16" s="129">
        <v>3706.24</v>
      </c>
      <c r="T16" s="130" t="s">
        <v>1331</v>
      </c>
      <c r="U16" s="131">
        <v>45299</v>
      </c>
      <c r="V16" s="132">
        <v>45299</v>
      </c>
      <c r="W16" s="133">
        <v>186</v>
      </c>
      <c r="X16" s="134" t="s">
        <v>258</v>
      </c>
      <c r="Y16" s="135" t="s">
        <v>912</v>
      </c>
      <c r="Z16" s="128" t="s">
        <v>57</v>
      </c>
      <c r="AA16" s="128"/>
      <c r="AB16" s="136" t="s">
        <v>256</v>
      </c>
      <c r="AC16" s="137" t="s">
        <v>914</v>
      </c>
      <c r="AD16" s="136" t="s">
        <v>961</v>
      </c>
      <c r="AE16" s="136" t="s">
        <v>962</v>
      </c>
      <c r="AF16" s="136" t="s">
        <v>59</v>
      </c>
      <c r="AG16" s="136" t="s">
        <v>59</v>
      </c>
      <c r="AH16" s="138">
        <v>-3706.24</v>
      </c>
      <c r="AI16" s="139" t="s">
        <v>98</v>
      </c>
      <c r="AJ16" s="139" t="s">
        <v>895</v>
      </c>
    </row>
    <row r="17" spans="1:36" ht="15.75" x14ac:dyDescent="0.25">
      <c r="A17" s="115">
        <v>1380</v>
      </c>
      <c r="B17" s="116" t="s">
        <v>36</v>
      </c>
      <c r="C17" s="117" t="s">
        <v>37</v>
      </c>
      <c r="D17" s="118" t="s">
        <v>36</v>
      </c>
      <c r="E17" s="119" t="s">
        <v>38</v>
      </c>
      <c r="F17" s="120" t="s">
        <v>39</v>
      </c>
      <c r="G17" s="118" t="s">
        <v>40</v>
      </c>
      <c r="H17" s="121" t="s">
        <v>41</v>
      </c>
      <c r="I17" s="120" t="s">
        <v>946</v>
      </c>
      <c r="J17" s="122" t="s">
        <v>947</v>
      </c>
      <c r="K17" s="123" t="s">
        <v>948</v>
      </c>
      <c r="L17" t="s">
        <v>1307</v>
      </c>
      <c r="M17" s="124" t="s">
        <v>1308</v>
      </c>
      <c r="N17" s="125" t="s">
        <v>1309</v>
      </c>
      <c r="O17" s="126" t="s">
        <v>929</v>
      </c>
      <c r="P17" s="127"/>
      <c r="Q17" s="128"/>
      <c r="R17" s="128"/>
      <c r="S17" s="129">
        <v>1600</v>
      </c>
      <c r="T17" s="130" t="s">
        <v>1327</v>
      </c>
      <c r="U17" s="131">
        <v>45302</v>
      </c>
      <c r="V17" s="132"/>
      <c r="W17" s="133"/>
      <c r="X17" s="134" t="s">
        <v>951</v>
      </c>
      <c r="Y17" s="135" t="s">
        <v>912</v>
      </c>
      <c r="Z17" s="128" t="s">
        <v>96</v>
      </c>
      <c r="AA17" s="128" t="s">
        <v>1328</v>
      </c>
      <c r="AB17" s="136" t="s">
        <v>256</v>
      </c>
      <c r="AC17" s="137" t="s">
        <v>914</v>
      </c>
      <c r="AD17" s="136" t="s">
        <v>961</v>
      </c>
      <c r="AE17" s="136" t="s">
        <v>962</v>
      </c>
      <c r="AF17" s="136" t="s">
        <v>59</v>
      </c>
      <c r="AG17" s="136" t="s">
        <v>59</v>
      </c>
      <c r="AH17" s="138">
        <v>-1600</v>
      </c>
      <c r="AI17" s="139" t="s">
        <v>98</v>
      </c>
      <c r="AJ17" s="139" t="s">
        <v>895</v>
      </c>
    </row>
    <row r="18" spans="1:36" ht="15.75" x14ac:dyDescent="0.25">
      <c r="A18" s="115">
        <v>1987</v>
      </c>
      <c r="B18" s="116" t="s">
        <v>36</v>
      </c>
      <c r="C18" s="117" t="s">
        <v>37</v>
      </c>
      <c r="D18" s="118" t="s">
        <v>36</v>
      </c>
      <c r="E18" s="119" t="s">
        <v>38</v>
      </c>
      <c r="F18" s="120" t="s">
        <v>39</v>
      </c>
      <c r="G18" s="118" t="s">
        <v>40</v>
      </c>
      <c r="H18" s="121" t="s">
        <v>41</v>
      </c>
      <c r="I18" s="120" t="s">
        <v>42</v>
      </c>
      <c r="J18" s="122" t="s">
        <v>43</v>
      </c>
      <c r="K18" s="123" t="s">
        <v>44</v>
      </c>
      <c r="L18" t="s">
        <v>1307</v>
      </c>
      <c r="M18" s="124" t="s">
        <v>1308</v>
      </c>
      <c r="N18" s="125" t="s">
        <v>1309</v>
      </c>
      <c r="O18" s="126" t="s">
        <v>929</v>
      </c>
      <c r="P18" s="127"/>
      <c r="Q18" s="128"/>
      <c r="R18" s="128"/>
      <c r="S18" s="129">
        <v>925.95</v>
      </c>
      <c r="T18" s="130" t="s">
        <v>1332</v>
      </c>
      <c r="U18" s="131">
        <v>45310</v>
      </c>
      <c r="V18" s="132"/>
      <c r="W18" s="133"/>
      <c r="X18" s="134" t="s">
        <v>1314</v>
      </c>
      <c r="Y18" s="135" t="s">
        <v>912</v>
      </c>
      <c r="Z18" s="128" t="s">
        <v>96</v>
      </c>
      <c r="AA18" s="128"/>
      <c r="AB18" s="136" t="s">
        <v>256</v>
      </c>
      <c r="AC18" s="137" t="s">
        <v>914</v>
      </c>
      <c r="AD18" s="136" t="s">
        <v>961</v>
      </c>
      <c r="AE18" s="136" t="s">
        <v>962</v>
      </c>
      <c r="AF18" s="136" t="s">
        <v>59</v>
      </c>
      <c r="AG18" s="136" t="s">
        <v>59</v>
      </c>
      <c r="AH18" s="138">
        <v>-925.95</v>
      </c>
      <c r="AI18" s="139" t="s">
        <v>98</v>
      </c>
      <c r="AJ18" s="139" t="s">
        <v>895</v>
      </c>
    </row>
    <row r="19" spans="1:36" ht="15.75" x14ac:dyDescent="0.25">
      <c r="A19" s="115">
        <v>1992</v>
      </c>
      <c r="B19" s="116" t="s">
        <v>36</v>
      </c>
      <c r="C19" s="117" t="s">
        <v>37</v>
      </c>
      <c r="D19" s="118" t="s">
        <v>36</v>
      </c>
      <c r="E19" s="119" t="s">
        <v>38</v>
      </c>
      <c r="F19" s="120" t="s">
        <v>39</v>
      </c>
      <c r="G19" s="118" t="s">
        <v>40</v>
      </c>
      <c r="H19" s="121" t="s">
        <v>41</v>
      </c>
      <c r="I19" s="120" t="s">
        <v>301</v>
      </c>
      <c r="J19" s="122" t="s">
        <v>302</v>
      </c>
      <c r="K19" s="123" t="s">
        <v>303</v>
      </c>
      <c r="L19" t="s">
        <v>1307</v>
      </c>
      <c r="M19" s="124" t="s">
        <v>1308</v>
      </c>
      <c r="N19" s="125" t="s">
        <v>1309</v>
      </c>
      <c r="O19" s="126" t="s">
        <v>929</v>
      </c>
      <c r="P19" s="127" t="s">
        <v>1332</v>
      </c>
      <c r="Q19" s="128"/>
      <c r="R19" s="128"/>
      <c r="S19" s="129">
        <v>862.16</v>
      </c>
      <c r="T19" s="130" t="s">
        <v>1332</v>
      </c>
      <c r="U19" s="131">
        <v>45310</v>
      </c>
      <c r="V19" s="132"/>
      <c r="W19" s="133"/>
      <c r="X19" s="134" t="s">
        <v>1333</v>
      </c>
      <c r="Y19" s="135" t="s">
        <v>912</v>
      </c>
      <c r="Z19" s="128" t="s">
        <v>57</v>
      </c>
      <c r="AA19" s="128"/>
      <c r="AB19" s="136" t="s">
        <v>256</v>
      </c>
      <c r="AC19" s="137" t="s">
        <v>914</v>
      </c>
      <c r="AD19" s="136" t="s">
        <v>961</v>
      </c>
      <c r="AE19" s="136" t="s">
        <v>962</v>
      </c>
      <c r="AF19" s="136" t="s">
        <v>59</v>
      </c>
      <c r="AG19" s="136" t="s">
        <v>59</v>
      </c>
      <c r="AH19" s="138">
        <v>-862.16</v>
      </c>
      <c r="AI19" s="139" t="s">
        <v>98</v>
      </c>
      <c r="AJ19" s="139" t="s">
        <v>895</v>
      </c>
    </row>
    <row r="20" spans="1:36" ht="15.75" x14ac:dyDescent="0.25">
      <c r="A20" s="115">
        <v>2022</v>
      </c>
      <c r="B20" s="116" t="s">
        <v>36</v>
      </c>
      <c r="C20" s="117" t="s">
        <v>37</v>
      </c>
      <c r="D20" s="118" t="s">
        <v>36</v>
      </c>
      <c r="E20" s="119" t="s">
        <v>38</v>
      </c>
      <c r="F20" s="120" t="s">
        <v>39</v>
      </c>
      <c r="G20" s="118" t="s">
        <v>40</v>
      </c>
      <c r="H20" s="121" t="s">
        <v>41</v>
      </c>
      <c r="I20" s="120" t="s">
        <v>524</v>
      </c>
      <c r="J20" s="122" t="s">
        <v>525</v>
      </c>
      <c r="K20" s="123" t="s">
        <v>526</v>
      </c>
      <c r="L20" t="s">
        <v>1307</v>
      </c>
      <c r="M20" s="124" t="s">
        <v>1308</v>
      </c>
      <c r="N20" s="125" t="s">
        <v>1309</v>
      </c>
      <c r="O20" s="126" t="s">
        <v>929</v>
      </c>
      <c r="P20" s="127"/>
      <c r="Q20" s="128"/>
      <c r="R20" s="128"/>
      <c r="S20" s="129">
        <v>938</v>
      </c>
      <c r="T20" s="130" t="s">
        <v>1332</v>
      </c>
      <c r="U20" s="131">
        <v>45310</v>
      </c>
      <c r="V20" s="132"/>
      <c r="W20" s="133"/>
      <c r="X20" s="134" t="s">
        <v>1317</v>
      </c>
      <c r="Y20" s="135" t="s">
        <v>912</v>
      </c>
      <c r="Z20" s="128" t="s">
        <v>96</v>
      </c>
      <c r="AA20" s="128"/>
      <c r="AB20" s="136" t="s">
        <v>256</v>
      </c>
      <c r="AC20" s="137" t="s">
        <v>914</v>
      </c>
      <c r="AD20" s="136" t="s">
        <v>961</v>
      </c>
      <c r="AE20" s="136" t="s">
        <v>962</v>
      </c>
      <c r="AF20" s="136" t="s">
        <v>59</v>
      </c>
      <c r="AG20" s="136" t="s">
        <v>59</v>
      </c>
      <c r="AH20" s="138">
        <v>-938</v>
      </c>
      <c r="AI20" s="139" t="s">
        <v>98</v>
      </c>
      <c r="AJ20" s="139" t="s">
        <v>895</v>
      </c>
    </row>
    <row r="21" spans="1:36" ht="15.75" x14ac:dyDescent="0.25">
      <c r="A21" s="115">
        <v>2025</v>
      </c>
      <c r="B21" s="116" t="s">
        <v>36</v>
      </c>
      <c r="C21" s="117" t="s">
        <v>37</v>
      </c>
      <c r="D21" s="118" t="s">
        <v>36</v>
      </c>
      <c r="E21" s="119" t="s">
        <v>38</v>
      </c>
      <c r="F21" s="120" t="s">
        <v>39</v>
      </c>
      <c r="G21" s="118" t="s">
        <v>40</v>
      </c>
      <c r="H21" s="121" t="s">
        <v>41</v>
      </c>
      <c r="I21" s="120" t="s">
        <v>524</v>
      </c>
      <c r="J21" s="122" t="s">
        <v>525</v>
      </c>
      <c r="K21" s="123" t="s">
        <v>526</v>
      </c>
      <c r="L21" t="s">
        <v>1307</v>
      </c>
      <c r="M21" s="124" t="s">
        <v>1308</v>
      </c>
      <c r="N21" s="125" t="s">
        <v>1309</v>
      </c>
      <c r="O21" s="126" t="s">
        <v>929</v>
      </c>
      <c r="P21" s="127"/>
      <c r="Q21" s="128"/>
      <c r="R21" s="128"/>
      <c r="S21" s="129">
        <v>917.66</v>
      </c>
      <c r="T21" s="130" t="s">
        <v>1332</v>
      </c>
      <c r="U21" s="131">
        <v>45310</v>
      </c>
      <c r="V21" s="132"/>
      <c r="W21" s="133"/>
      <c r="X21" s="134" t="s">
        <v>1334</v>
      </c>
      <c r="Y21" s="135" t="s">
        <v>912</v>
      </c>
      <c r="Z21" s="128" t="s">
        <v>96</v>
      </c>
      <c r="AA21" s="128"/>
      <c r="AB21" s="136" t="s">
        <v>256</v>
      </c>
      <c r="AC21" s="137" t="s">
        <v>914</v>
      </c>
      <c r="AD21" s="136" t="s">
        <v>961</v>
      </c>
      <c r="AE21" s="136" t="s">
        <v>962</v>
      </c>
      <c r="AF21" s="136" t="s">
        <v>59</v>
      </c>
      <c r="AG21" s="136" t="s">
        <v>59</v>
      </c>
      <c r="AH21" s="138">
        <v>-917.66</v>
      </c>
      <c r="AI21" s="139" t="s">
        <v>98</v>
      </c>
      <c r="AJ21" s="139" t="s">
        <v>895</v>
      </c>
    </row>
    <row r="22" spans="1:36" ht="15.75" x14ac:dyDescent="0.25">
      <c r="A22" s="115">
        <v>2033</v>
      </c>
      <c r="B22" s="116" t="s">
        <v>36</v>
      </c>
      <c r="C22" s="117" t="s">
        <v>37</v>
      </c>
      <c r="D22" s="118" t="s">
        <v>36</v>
      </c>
      <c r="E22" s="119" t="s">
        <v>38</v>
      </c>
      <c r="F22" s="120" t="s">
        <v>39</v>
      </c>
      <c r="G22" s="118" t="s">
        <v>40</v>
      </c>
      <c r="H22" s="121" t="s">
        <v>41</v>
      </c>
      <c r="I22" s="120" t="s">
        <v>1319</v>
      </c>
      <c r="J22" s="122" t="s">
        <v>1320</v>
      </c>
      <c r="K22" s="123" t="s">
        <v>1321</v>
      </c>
      <c r="L22" t="s">
        <v>1307</v>
      </c>
      <c r="M22" s="124" t="s">
        <v>1308</v>
      </c>
      <c r="N22" s="125" t="s">
        <v>1309</v>
      </c>
      <c r="O22" s="126" t="s">
        <v>929</v>
      </c>
      <c r="P22" s="127"/>
      <c r="Q22" s="128"/>
      <c r="R22" s="128"/>
      <c r="S22" s="129">
        <v>920.75</v>
      </c>
      <c r="T22" s="130" t="s">
        <v>1332</v>
      </c>
      <c r="U22" s="131">
        <v>45310</v>
      </c>
      <c r="V22" s="132"/>
      <c r="W22" s="133"/>
      <c r="X22" s="134" t="s">
        <v>1322</v>
      </c>
      <c r="Y22" s="135" t="s">
        <v>912</v>
      </c>
      <c r="Z22" s="128" t="s">
        <v>96</v>
      </c>
      <c r="AA22" s="128"/>
      <c r="AB22" s="136" t="s">
        <v>256</v>
      </c>
      <c r="AC22" s="137" t="s">
        <v>914</v>
      </c>
      <c r="AD22" s="136" t="s">
        <v>961</v>
      </c>
      <c r="AE22" s="136" t="s">
        <v>962</v>
      </c>
      <c r="AF22" s="136" t="s">
        <v>59</v>
      </c>
      <c r="AG22" s="136" t="s">
        <v>59</v>
      </c>
      <c r="AH22" s="138">
        <v>-920.75</v>
      </c>
      <c r="AI22" s="139" t="s">
        <v>98</v>
      </c>
      <c r="AJ22" s="139" t="s">
        <v>895</v>
      </c>
    </row>
    <row r="23" spans="1:36" ht="15.75" x14ac:dyDescent="0.25">
      <c r="A23" s="115">
        <v>2062</v>
      </c>
      <c r="B23" s="116" t="s">
        <v>36</v>
      </c>
      <c r="C23" s="117" t="s">
        <v>37</v>
      </c>
      <c r="D23" s="118" t="s">
        <v>36</v>
      </c>
      <c r="E23" s="119" t="s">
        <v>38</v>
      </c>
      <c r="F23" s="140" t="s">
        <v>39</v>
      </c>
      <c r="G23" s="118" t="s">
        <v>40</v>
      </c>
      <c r="H23" s="121" t="s">
        <v>41</v>
      </c>
      <c r="I23" s="120" t="s">
        <v>524</v>
      </c>
      <c r="J23" s="122" t="s">
        <v>525</v>
      </c>
      <c r="K23" s="123" t="s">
        <v>526</v>
      </c>
      <c r="L23" t="s">
        <v>1307</v>
      </c>
      <c r="M23" s="124" t="s">
        <v>1308</v>
      </c>
      <c r="N23" s="125" t="s">
        <v>1309</v>
      </c>
      <c r="O23" s="126" t="s">
        <v>929</v>
      </c>
      <c r="P23" s="127"/>
      <c r="Q23" s="128"/>
      <c r="R23" s="128"/>
      <c r="S23" s="129">
        <v>938</v>
      </c>
      <c r="T23" s="130" t="s">
        <v>1332</v>
      </c>
      <c r="U23" s="131">
        <v>45310</v>
      </c>
      <c r="V23" s="132"/>
      <c r="W23" s="133"/>
      <c r="X23" s="134" t="s">
        <v>1215</v>
      </c>
      <c r="Y23" s="135" t="s">
        <v>912</v>
      </c>
      <c r="Z23" s="128" t="s">
        <v>96</v>
      </c>
      <c r="AA23" s="128"/>
      <c r="AB23" s="136" t="s">
        <v>256</v>
      </c>
      <c r="AC23" s="137" t="s">
        <v>914</v>
      </c>
      <c r="AD23" s="136" t="s">
        <v>961</v>
      </c>
      <c r="AE23" s="136" t="s">
        <v>962</v>
      </c>
      <c r="AF23" s="136" t="s">
        <v>59</v>
      </c>
      <c r="AG23" s="136" t="s">
        <v>59</v>
      </c>
      <c r="AH23" s="138">
        <v>-938</v>
      </c>
      <c r="AI23" s="139" t="s">
        <v>98</v>
      </c>
      <c r="AJ23" s="139" t="s">
        <v>895</v>
      </c>
    </row>
    <row r="24" spans="1:36" ht="15.75" x14ac:dyDescent="0.25">
      <c r="A24" s="115">
        <v>2090</v>
      </c>
      <c r="B24" s="116" t="s">
        <v>36</v>
      </c>
      <c r="C24" s="117" t="s">
        <v>37</v>
      </c>
      <c r="D24" s="118" t="s">
        <v>36</v>
      </c>
      <c r="E24" s="119" t="s">
        <v>38</v>
      </c>
      <c r="F24" s="140" t="s">
        <v>39</v>
      </c>
      <c r="G24" s="118" t="s">
        <v>40</v>
      </c>
      <c r="H24" s="121" t="s">
        <v>41</v>
      </c>
      <c r="I24" s="120" t="s">
        <v>42</v>
      </c>
      <c r="J24" s="122" t="s">
        <v>43</v>
      </c>
      <c r="K24" s="123" t="s">
        <v>44</v>
      </c>
      <c r="L24" t="s">
        <v>1307</v>
      </c>
      <c r="M24" s="124" t="s">
        <v>1308</v>
      </c>
      <c r="N24" s="125" t="s">
        <v>1309</v>
      </c>
      <c r="O24" s="126" t="s">
        <v>929</v>
      </c>
      <c r="P24" s="127"/>
      <c r="Q24" s="128"/>
      <c r="R24" s="128"/>
      <c r="S24" s="129">
        <v>938</v>
      </c>
      <c r="T24" s="130" t="s">
        <v>1332</v>
      </c>
      <c r="U24" s="131">
        <v>45310</v>
      </c>
      <c r="V24" s="132"/>
      <c r="W24" s="133"/>
      <c r="X24" s="134" t="s">
        <v>1335</v>
      </c>
      <c r="Y24" s="135" t="s">
        <v>912</v>
      </c>
      <c r="Z24" s="128" t="s">
        <v>96</v>
      </c>
      <c r="AA24" s="128"/>
      <c r="AB24" s="136" t="s">
        <v>256</v>
      </c>
      <c r="AC24" s="137" t="s">
        <v>914</v>
      </c>
      <c r="AD24" s="136" t="s">
        <v>961</v>
      </c>
      <c r="AE24" s="136" t="s">
        <v>962</v>
      </c>
      <c r="AF24" s="136" t="s">
        <v>59</v>
      </c>
      <c r="AG24" s="136" t="s">
        <v>59</v>
      </c>
      <c r="AH24" s="138">
        <v>-938</v>
      </c>
      <c r="AI24" s="139" t="s">
        <v>98</v>
      </c>
      <c r="AJ24" s="139" t="s">
        <v>895</v>
      </c>
    </row>
    <row r="25" spans="1:36" ht="15.75" x14ac:dyDescent="0.25">
      <c r="A25" s="115">
        <v>2102</v>
      </c>
      <c r="B25" s="116" t="s">
        <v>36</v>
      </c>
      <c r="C25" s="117" t="s">
        <v>37</v>
      </c>
      <c r="D25" s="118" t="s">
        <v>36</v>
      </c>
      <c r="E25" s="119" t="s">
        <v>38</v>
      </c>
      <c r="F25" s="120" t="s">
        <v>39</v>
      </c>
      <c r="G25" s="118" t="s">
        <v>40</v>
      </c>
      <c r="H25" s="121" t="s">
        <v>41</v>
      </c>
      <c r="I25" s="120" t="s">
        <v>1319</v>
      </c>
      <c r="J25" s="122" t="s">
        <v>1320</v>
      </c>
      <c r="K25" s="123" t="s">
        <v>1321</v>
      </c>
      <c r="L25" t="s">
        <v>1307</v>
      </c>
      <c r="M25" s="124" t="s">
        <v>1308</v>
      </c>
      <c r="N25" s="125" t="s">
        <v>1309</v>
      </c>
      <c r="O25" s="126" t="s">
        <v>929</v>
      </c>
      <c r="P25" s="127"/>
      <c r="Q25" s="128"/>
      <c r="R25" s="128"/>
      <c r="S25" s="129">
        <v>938</v>
      </c>
      <c r="T25" s="130" t="s">
        <v>1332</v>
      </c>
      <c r="U25" s="131">
        <v>45310</v>
      </c>
      <c r="V25" s="132"/>
      <c r="W25" s="133"/>
      <c r="X25" s="134" t="s">
        <v>1326</v>
      </c>
      <c r="Y25" s="135" t="s">
        <v>912</v>
      </c>
      <c r="Z25" s="128" t="s">
        <v>96</v>
      </c>
      <c r="AA25" s="128"/>
      <c r="AB25" s="136" t="s">
        <v>256</v>
      </c>
      <c r="AC25" s="137" t="s">
        <v>914</v>
      </c>
      <c r="AD25" s="136" t="s">
        <v>961</v>
      </c>
      <c r="AE25" s="136" t="s">
        <v>962</v>
      </c>
      <c r="AF25" s="136" t="s">
        <v>59</v>
      </c>
      <c r="AG25" s="136" t="s">
        <v>59</v>
      </c>
      <c r="AH25" s="138">
        <v>-938</v>
      </c>
      <c r="AI25" s="139" t="s">
        <v>98</v>
      </c>
      <c r="AJ25" s="139" t="s">
        <v>895</v>
      </c>
    </row>
    <row r="26" spans="1:36" ht="15.75" x14ac:dyDescent="0.25">
      <c r="A26" s="115">
        <v>3105</v>
      </c>
      <c r="B26" s="116" t="s">
        <v>36</v>
      </c>
      <c r="C26" s="117" t="s">
        <v>37</v>
      </c>
      <c r="D26" s="118" t="s">
        <v>36</v>
      </c>
      <c r="E26" s="119" t="s">
        <v>38</v>
      </c>
      <c r="F26" s="120" t="s">
        <v>39</v>
      </c>
      <c r="G26" s="118" t="s">
        <v>40</v>
      </c>
      <c r="H26" s="121" t="s">
        <v>41</v>
      </c>
      <c r="I26" s="120" t="s">
        <v>524</v>
      </c>
      <c r="J26" s="122" t="s">
        <v>525</v>
      </c>
      <c r="K26" s="123" t="s">
        <v>526</v>
      </c>
      <c r="L26" t="s">
        <v>1307</v>
      </c>
      <c r="M26" s="124" t="s">
        <v>1308</v>
      </c>
      <c r="N26" s="125" t="s">
        <v>1309</v>
      </c>
      <c r="O26" s="126" t="s">
        <v>929</v>
      </c>
      <c r="P26" s="127"/>
      <c r="Q26" s="128"/>
      <c r="R26" s="128"/>
      <c r="S26" s="129">
        <v>2500</v>
      </c>
      <c r="T26" s="130" t="s">
        <v>1327</v>
      </c>
      <c r="U26" s="131">
        <v>45321</v>
      </c>
      <c r="V26" s="132"/>
      <c r="W26" s="133"/>
      <c r="X26" s="134" t="s">
        <v>1334</v>
      </c>
      <c r="Y26" s="135" t="s">
        <v>912</v>
      </c>
      <c r="Z26" s="128" t="s">
        <v>96</v>
      </c>
      <c r="AA26" s="128" t="s">
        <v>1328</v>
      </c>
      <c r="AB26" s="136" t="s">
        <v>256</v>
      </c>
      <c r="AC26" s="137" t="s">
        <v>914</v>
      </c>
      <c r="AD26" s="136" t="s">
        <v>961</v>
      </c>
      <c r="AE26" s="136" t="s">
        <v>962</v>
      </c>
      <c r="AF26" s="136" t="s">
        <v>59</v>
      </c>
      <c r="AG26" s="136" t="s">
        <v>59</v>
      </c>
      <c r="AH26" s="138">
        <v>-2500</v>
      </c>
      <c r="AI26" s="139" t="s">
        <v>98</v>
      </c>
      <c r="AJ26" s="139" t="s">
        <v>895</v>
      </c>
    </row>
    <row r="27" spans="1:36" ht="15.75" x14ac:dyDescent="0.25">
      <c r="A27" s="115">
        <v>3181</v>
      </c>
      <c r="B27" s="116" t="s">
        <v>36</v>
      </c>
      <c r="C27" s="117" t="s">
        <v>37</v>
      </c>
      <c r="D27" s="118" t="s">
        <v>36</v>
      </c>
      <c r="E27" s="119" t="s">
        <v>38</v>
      </c>
      <c r="F27" s="120" t="s">
        <v>39</v>
      </c>
      <c r="G27" s="118" t="s">
        <v>40</v>
      </c>
      <c r="H27" s="121" t="s">
        <v>41</v>
      </c>
      <c r="I27" s="120" t="s">
        <v>301</v>
      </c>
      <c r="J27" s="122" t="s">
        <v>302</v>
      </c>
      <c r="K27" s="123" t="s">
        <v>303</v>
      </c>
      <c r="L27" t="s">
        <v>1307</v>
      </c>
      <c r="M27" s="124" t="s">
        <v>1308</v>
      </c>
      <c r="N27" s="125" t="s">
        <v>1309</v>
      </c>
      <c r="O27" s="126" t="s">
        <v>929</v>
      </c>
      <c r="P27" s="127"/>
      <c r="Q27" s="128"/>
      <c r="R27" s="128"/>
      <c r="S27" s="129">
        <v>5888.04</v>
      </c>
      <c r="T27" s="130" t="s">
        <v>1336</v>
      </c>
      <c r="U27" s="131">
        <v>45322</v>
      </c>
      <c r="V27" s="132"/>
      <c r="W27" s="133"/>
      <c r="X27" s="134" t="s">
        <v>1046</v>
      </c>
      <c r="Y27" s="135" t="s">
        <v>912</v>
      </c>
      <c r="Z27" s="128" t="s">
        <v>96</v>
      </c>
      <c r="AA27" s="128" t="s">
        <v>1328</v>
      </c>
      <c r="AB27" s="136" t="s">
        <v>256</v>
      </c>
      <c r="AC27" s="137" t="s">
        <v>914</v>
      </c>
      <c r="AD27" s="136" t="s">
        <v>961</v>
      </c>
      <c r="AE27" s="136" t="s">
        <v>962</v>
      </c>
      <c r="AF27" s="136" t="s">
        <v>59</v>
      </c>
      <c r="AG27" s="136" t="s">
        <v>59</v>
      </c>
      <c r="AH27" s="138">
        <v>-5888.04</v>
      </c>
      <c r="AI27" s="139" t="s">
        <v>98</v>
      </c>
      <c r="AJ27" s="139" t="s">
        <v>895</v>
      </c>
    </row>
    <row r="28" spans="1:36" ht="15.75" x14ac:dyDescent="0.25">
      <c r="A28" s="115">
        <v>3183</v>
      </c>
      <c r="B28" s="116" t="s">
        <v>36</v>
      </c>
      <c r="C28" s="117" t="s">
        <v>37</v>
      </c>
      <c r="D28" s="118" t="s">
        <v>36</v>
      </c>
      <c r="E28" s="119" t="s">
        <v>38</v>
      </c>
      <c r="F28" s="120" t="s">
        <v>39</v>
      </c>
      <c r="G28" s="118" t="s">
        <v>40</v>
      </c>
      <c r="H28" s="121" t="s">
        <v>41</v>
      </c>
      <c r="I28" s="120" t="s">
        <v>42</v>
      </c>
      <c r="J28" s="122" t="s">
        <v>43</v>
      </c>
      <c r="K28" s="123" t="s">
        <v>44</v>
      </c>
      <c r="L28" t="s">
        <v>1307</v>
      </c>
      <c r="M28" s="124" t="s">
        <v>1308</v>
      </c>
      <c r="N28" s="125" t="s">
        <v>1309</v>
      </c>
      <c r="O28" s="126" t="s">
        <v>929</v>
      </c>
      <c r="P28" s="127"/>
      <c r="Q28" s="128"/>
      <c r="R28" s="128"/>
      <c r="S28" s="129">
        <v>2389.94</v>
      </c>
      <c r="T28" s="130" t="s">
        <v>1336</v>
      </c>
      <c r="U28" s="131">
        <v>45322</v>
      </c>
      <c r="V28" s="132"/>
      <c r="W28" s="133"/>
      <c r="X28" s="134" t="s">
        <v>1314</v>
      </c>
      <c r="Y28" s="135" t="s">
        <v>912</v>
      </c>
      <c r="Z28" s="128" t="s">
        <v>96</v>
      </c>
      <c r="AA28" s="128"/>
      <c r="AB28" s="136" t="s">
        <v>256</v>
      </c>
      <c r="AC28" s="137" t="s">
        <v>914</v>
      </c>
      <c r="AD28" s="136" t="s">
        <v>961</v>
      </c>
      <c r="AE28" s="136" t="s">
        <v>962</v>
      </c>
      <c r="AF28" s="136" t="s">
        <v>59</v>
      </c>
      <c r="AG28" s="136" t="s">
        <v>59</v>
      </c>
      <c r="AH28" s="138">
        <v>-2389.94</v>
      </c>
      <c r="AI28" s="139" t="s">
        <v>98</v>
      </c>
      <c r="AJ28" s="139" t="s">
        <v>895</v>
      </c>
    </row>
    <row r="29" spans="1:36" ht="15.75" x14ac:dyDescent="0.25">
      <c r="A29" s="115">
        <v>3194</v>
      </c>
      <c r="B29" s="116" t="s">
        <v>36</v>
      </c>
      <c r="C29" s="117" t="s">
        <v>37</v>
      </c>
      <c r="D29" s="118" t="s">
        <v>36</v>
      </c>
      <c r="E29" s="119" t="s">
        <v>38</v>
      </c>
      <c r="F29" s="120" t="s">
        <v>39</v>
      </c>
      <c r="G29" s="118" t="s">
        <v>40</v>
      </c>
      <c r="H29" s="121" t="s">
        <v>41</v>
      </c>
      <c r="I29" s="120" t="s">
        <v>301</v>
      </c>
      <c r="J29" s="122" t="s">
        <v>302</v>
      </c>
      <c r="K29" s="123" t="s">
        <v>303</v>
      </c>
      <c r="L29" t="s">
        <v>1307</v>
      </c>
      <c r="M29" s="124" t="s">
        <v>1308</v>
      </c>
      <c r="N29" s="125" t="s">
        <v>1309</v>
      </c>
      <c r="O29" s="126" t="s">
        <v>929</v>
      </c>
      <c r="P29" s="127" t="s">
        <v>1336</v>
      </c>
      <c r="Q29" s="128"/>
      <c r="R29" s="128"/>
      <c r="S29" s="129">
        <v>2602.5100000000002</v>
      </c>
      <c r="T29" s="130" t="s">
        <v>1336</v>
      </c>
      <c r="U29" s="131">
        <v>45322</v>
      </c>
      <c r="V29" s="132"/>
      <c r="W29" s="133"/>
      <c r="X29" s="134" t="s">
        <v>1333</v>
      </c>
      <c r="Y29" s="135" t="s">
        <v>912</v>
      </c>
      <c r="Z29" s="128" t="s">
        <v>57</v>
      </c>
      <c r="AA29" s="128"/>
      <c r="AB29" s="136" t="s">
        <v>256</v>
      </c>
      <c r="AC29" s="137" t="s">
        <v>914</v>
      </c>
      <c r="AD29" s="136" t="s">
        <v>961</v>
      </c>
      <c r="AE29" s="136" t="s">
        <v>962</v>
      </c>
      <c r="AF29" s="136" t="s">
        <v>59</v>
      </c>
      <c r="AG29" s="136" t="s">
        <v>59</v>
      </c>
      <c r="AH29" s="138">
        <v>-2602.5100000000002</v>
      </c>
      <c r="AI29" s="139" t="s">
        <v>98</v>
      </c>
      <c r="AJ29" s="139" t="s">
        <v>895</v>
      </c>
    </row>
    <row r="30" spans="1:36" ht="15.75" x14ac:dyDescent="0.25">
      <c r="A30" s="115">
        <v>3201</v>
      </c>
      <c r="B30" s="116" t="s">
        <v>36</v>
      </c>
      <c r="C30" s="117" t="s">
        <v>37</v>
      </c>
      <c r="D30" s="118" t="s">
        <v>36</v>
      </c>
      <c r="E30" s="119" t="s">
        <v>38</v>
      </c>
      <c r="F30" s="120" t="s">
        <v>39</v>
      </c>
      <c r="G30" s="118" t="s">
        <v>40</v>
      </c>
      <c r="H30" s="121" t="s">
        <v>41</v>
      </c>
      <c r="I30" s="120" t="s">
        <v>524</v>
      </c>
      <c r="J30" s="122" t="s">
        <v>525</v>
      </c>
      <c r="K30" s="123" t="s">
        <v>526</v>
      </c>
      <c r="L30" t="s">
        <v>1307</v>
      </c>
      <c r="M30" s="124" t="s">
        <v>1308</v>
      </c>
      <c r="N30" s="125" t="s">
        <v>1309</v>
      </c>
      <c r="O30" s="126" t="s">
        <v>929</v>
      </c>
      <c r="P30" s="127"/>
      <c r="Q30" s="128"/>
      <c r="R30" s="128"/>
      <c r="S30" s="129">
        <v>4752.1899999999996</v>
      </c>
      <c r="T30" s="130" t="s">
        <v>1336</v>
      </c>
      <c r="U30" s="131">
        <v>45322</v>
      </c>
      <c r="V30" s="132"/>
      <c r="W30" s="133"/>
      <c r="X30" s="134" t="s">
        <v>874</v>
      </c>
      <c r="Y30" s="135" t="s">
        <v>912</v>
      </c>
      <c r="Z30" s="128" t="s">
        <v>96</v>
      </c>
      <c r="AA30" s="128" t="s">
        <v>1328</v>
      </c>
      <c r="AB30" s="136" t="s">
        <v>256</v>
      </c>
      <c r="AC30" s="137" t="s">
        <v>914</v>
      </c>
      <c r="AD30" s="136" t="s">
        <v>961</v>
      </c>
      <c r="AE30" s="136" t="s">
        <v>962</v>
      </c>
      <c r="AF30" s="136" t="s">
        <v>59</v>
      </c>
      <c r="AG30" s="136" t="s">
        <v>59</v>
      </c>
      <c r="AH30" s="138">
        <v>-4752.1899999999996</v>
      </c>
      <c r="AI30" s="139" t="s">
        <v>98</v>
      </c>
      <c r="AJ30" s="139" t="s">
        <v>895</v>
      </c>
    </row>
    <row r="31" spans="1:36" ht="15.75" x14ac:dyDescent="0.25">
      <c r="A31" s="115">
        <v>3289</v>
      </c>
      <c r="B31" s="116" t="s">
        <v>36</v>
      </c>
      <c r="C31" s="117" t="s">
        <v>37</v>
      </c>
      <c r="D31" s="118" t="s">
        <v>36</v>
      </c>
      <c r="E31" s="119" t="s">
        <v>38</v>
      </c>
      <c r="F31" s="120" t="s">
        <v>39</v>
      </c>
      <c r="G31" s="118" t="s">
        <v>40</v>
      </c>
      <c r="H31" s="121" t="s">
        <v>41</v>
      </c>
      <c r="I31" s="120" t="s">
        <v>524</v>
      </c>
      <c r="J31" s="122" t="s">
        <v>525</v>
      </c>
      <c r="K31" s="123" t="s">
        <v>526</v>
      </c>
      <c r="L31" t="s">
        <v>1307</v>
      </c>
      <c r="M31" s="124" t="s">
        <v>1308</v>
      </c>
      <c r="N31" s="125" t="s">
        <v>1309</v>
      </c>
      <c r="O31" s="126" t="s">
        <v>929</v>
      </c>
      <c r="P31" s="127"/>
      <c r="Q31" s="128"/>
      <c r="R31" s="128"/>
      <c r="S31" s="129">
        <v>4043.95</v>
      </c>
      <c r="T31" s="130" t="s">
        <v>1336</v>
      </c>
      <c r="U31" s="131">
        <v>45322</v>
      </c>
      <c r="V31" s="132"/>
      <c r="W31" s="133"/>
      <c r="X31" s="134" t="s">
        <v>1317</v>
      </c>
      <c r="Y31" s="135" t="s">
        <v>912</v>
      </c>
      <c r="Z31" s="128" t="s">
        <v>96</v>
      </c>
      <c r="AA31" s="128" t="s">
        <v>1328</v>
      </c>
      <c r="AB31" s="136" t="s">
        <v>256</v>
      </c>
      <c r="AC31" s="137" t="s">
        <v>914</v>
      </c>
      <c r="AD31" s="136" t="s">
        <v>961</v>
      </c>
      <c r="AE31" s="136" t="s">
        <v>962</v>
      </c>
      <c r="AF31" s="136" t="s">
        <v>59</v>
      </c>
      <c r="AG31" s="136" t="s">
        <v>59</v>
      </c>
      <c r="AH31" s="138">
        <v>-4043.95</v>
      </c>
      <c r="AI31" s="139" t="s">
        <v>98</v>
      </c>
      <c r="AJ31" s="139" t="s">
        <v>895</v>
      </c>
    </row>
    <row r="32" spans="1:36" ht="15.75" x14ac:dyDescent="0.25">
      <c r="A32" s="115">
        <v>3293</v>
      </c>
      <c r="B32" s="116" t="s">
        <v>36</v>
      </c>
      <c r="C32" s="117" t="s">
        <v>37</v>
      </c>
      <c r="D32" s="118" t="s">
        <v>36</v>
      </c>
      <c r="E32" s="119" t="s">
        <v>38</v>
      </c>
      <c r="F32" s="120" t="s">
        <v>39</v>
      </c>
      <c r="G32" s="118" t="s">
        <v>40</v>
      </c>
      <c r="H32" s="121" t="s">
        <v>41</v>
      </c>
      <c r="I32" s="120" t="s">
        <v>524</v>
      </c>
      <c r="J32" s="122" t="s">
        <v>525</v>
      </c>
      <c r="K32" s="123" t="s">
        <v>526</v>
      </c>
      <c r="L32" t="s">
        <v>1307</v>
      </c>
      <c r="M32" s="124" t="s">
        <v>1308</v>
      </c>
      <c r="N32" s="125" t="s">
        <v>1309</v>
      </c>
      <c r="O32" s="126" t="s">
        <v>929</v>
      </c>
      <c r="P32" s="127"/>
      <c r="Q32" s="128"/>
      <c r="R32" s="128"/>
      <c r="S32" s="129">
        <v>5015.7</v>
      </c>
      <c r="T32" s="130" t="s">
        <v>1336</v>
      </c>
      <c r="U32" s="131">
        <v>45322</v>
      </c>
      <c r="V32" s="132"/>
      <c r="W32" s="133"/>
      <c r="X32" s="134" t="s">
        <v>1334</v>
      </c>
      <c r="Y32" s="135" t="s">
        <v>912</v>
      </c>
      <c r="Z32" s="128" t="s">
        <v>96</v>
      </c>
      <c r="AA32" s="128"/>
      <c r="AB32" s="136" t="s">
        <v>256</v>
      </c>
      <c r="AC32" s="137" t="s">
        <v>914</v>
      </c>
      <c r="AD32" s="136" t="s">
        <v>961</v>
      </c>
      <c r="AE32" s="136" t="s">
        <v>962</v>
      </c>
      <c r="AF32" s="136" t="s">
        <v>59</v>
      </c>
      <c r="AG32" s="136" t="s">
        <v>59</v>
      </c>
      <c r="AH32" s="138">
        <v>-5015.7</v>
      </c>
      <c r="AI32" s="139" t="s">
        <v>98</v>
      </c>
      <c r="AJ32" s="139" t="s">
        <v>895</v>
      </c>
    </row>
    <row r="33" spans="1:36" ht="15.75" x14ac:dyDescent="0.25">
      <c r="A33" s="115">
        <v>3309</v>
      </c>
      <c r="B33" s="116" t="s">
        <v>36</v>
      </c>
      <c r="C33" s="117" t="s">
        <v>37</v>
      </c>
      <c r="D33" s="118" t="s">
        <v>36</v>
      </c>
      <c r="E33" s="119" t="s">
        <v>38</v>
      </c>
      <c r="F33" s="120" t="s">
        <v>39</v>
      </c>
      <c r="G33" s="118" t="s">
        <v>40</v>
      </c>
      <c r="H33" s="121" t="s">
        <v>41</v>
      </c>
      <c r="I33" s="120" t="s">
        <v>1319</v>
      </c>
      <c r="J33" s="122" t="s">
        <v>1320</v>
      </c>
      <c r="K33" s="123" t="s">
        <v>1321</v>
      </c>
      <c r="L33" t="s">
        <v>1307</v>
      </c>
      <c r="M33" s="124" t="s">
        <v>1308</v>
      </c>
      <c r="N33" s="125" t="s">
        <v>1309</v>
      </c>
      <c r="O33" s="126" t="s">
        <v>929</v>
      </c>
      <c r="P33" s="127"/>
      <c r="Q33" s="128"/>
      <c r="R33" s="128"/>
      <c r="S33" s="129">
        <v>3268.14</v>
      </c>
      <c r="T33" s="130" t="s">
        <v>1336</v>
      </c>
      <c r="U33" s="131">
        <v>45322</v>
      </c>
      <c r="V33" s="132"/>
      <c r="W33" s="133"/>
      <c r="X33" s="134" t="s">
        <v>1322</v>
      </c>
      <c r="Y33" s="135" t="s">
        <v>912</v>
      </c>
      <c r="Z33" s="128" t="s">
        <v>96</v>
      </c>
      <c r="AA33" s="128"/>
      <c r="AB33" s="136" t="s">
        <v>256</v>
      </c>
      <c r="AC33" s="137" t="s">
        <v>914</v>
      </c>
      <c r="AD33" s="136" t="s">
        <v>961</v>
      </c>
      <c r="AE33" s="136" t="s">
        <v>962</v>
      </c>
      <c r="AF33" s="136" t="s">
        <v>59</v>
      </c>
      <c r="AG33" s="136" t="s">
        <v>59</v>
      </c>
      <c r="AH33" s="138">
        <v>-3268.14</v>
      </c>
      <c r="AI33" s="139" t="s">
        <v>98</v>
      </c>
      <c r="AJ33" s="139" t="s">
        <v>895</v>
      </c>
    </row>
    <row r="34" spans="1:36" ht="15.75" x14ac:dyDescent="0.25">
      <c r="A34" s="115">
        <v>3338</v>
      </c>
      <c r="B34" s="116" t="s">
        <v>36</v>
      </c>
      <c r="C34" s="117" t="s">
        <v>37</v>
      </c>
      <c r="D34" s="118" t="s">
        <v>36</v>
      </c>
      <c r="E34" s="119" t="s">
        <v>38</v>
      </c>
      <c r="F34" s="120" t="s">
        <v>39</v>
      </c>
      <c r="G34" s="118" t="s">
        <v>40</v>
      </c>
      <c r="H34" s="121" t="s">
        <v>41</v>
      </c>
      <c r="I34" s="120" t="s">
        <v>301</v>
      </c>
      <c r="J34" s="122" t="s">
        <v>302</v>
      </c>
      <c r="K34" s="123" t="s">
        <v>303</v>
      </c>
      <c r="L34" t="s">
        <v>1307</v>
      </c>
      <c r="M34" s="124" t="s">
        <v>1308</v>
      </c>
      <c r="N34" s="125" t="s">
        <v>1309</v>
      </c>
      <c r="O34" s="126" t="s">
        <v>929</v>
      </c>
      <c r="P34" s="127"/>
      <c r="Q34" s="128"/>
      <c r="R34" s="128"/>
      <c r="S34" s="129">
        <v>5386.53</v>
      </c>
      <c r="T34" s="130" t="s">
        <v>1336</v>
      </c>
      <c r="U34" s="131">
        <v>45322</v>
      </c>
      <c r="V34" s="132"/>
      <c r="W34" s="133"/>
      <c r="X34" s="134" t="s">
        <v>1323</v>
      </c>
      <c r="Y34" s="135" t="s">
        <v>912</v>
      </c>
      <c r="Z34" s="128" t="s">
        <v>96</v>
      </c>
      <c r="AA34" s="128"/>
      <c r="AB34" s="136" t="s">
        <v>256</v>
      </c>
      <c r="AC34" s="137" t="s">
        <v>914</v>
      </c>
      <c r="AD34" s="136" t="s">
        <v>961</v>
      </c>
      <c r="AE34" s="136" t="s">
        <v>962</v>
      </c>
      <c r="AF34" s="136" t="s">
        <v>59</v>
      </c>
      <c r="AG34" s="136" t="s">
        <v>59</v>
      </c>
      <c r="AH34" s="138">
        <v>-5386.53</v>
      </c>
      <c r="AI34" s="139" t="s">
        <v>98</v>
      </c>
      <c r="AJ34" s="139" t="s">
        <v>895</v>
      </c>
    </row>
    <row r="35" spans="1:36" ht="15.75" x14ac:dyDescent="0.25">
      <c r="A35" s="115">
        <v>3365</v>
      </c>
      <c r="B35" s="116" t="s">
        <v>36</v>
      </c>
      <c r="C35" s="117" t="s">
        <v>37</v>
      </c>
      <c r="D35" s="118" t="s">
        <v>36</v>
      </c>
      <c r="E35" s="119" t="s">
        <v>38</v>
      </c>
      <c r="F35" s="140" t="s">
        <v>39</v>
      </c>
      <c r="G35" s="118" t="s">
        <v>40</v>
      </c>
      <c r="H35" s="121" t="s">
        <v>41</v>
      </c>
      <c r="I35" s="120" t="s">
        <v>301</v>
      </c>
      <c r="J35" s="122" t="s">
        <v>302</v>
      </c>
      <c r="K35" s="123" t="s">
        <v>303</v>
      </c>
      <c r="L35" t="s">
        <v>1307</v>
      </c>
      <c r="M35" s="124" t="s">
        <v>1308</v>
      </c>
      <c r="N35" s="125" t="s">
        <v>1309</v>
      </c>
      <c r="O35" s="126" t="s">
        <v>1329</v>
      </c>
      <c r="P35" s="127" t="s">
        <v>1337</v>
      </c>
      <c r="Q35" s="128">
        <v>1675.14</v>
      </c>
      <c r="R35" s="128">
        <v>1675.14</v>
      </c>
      <c r="S35" s="129">
        <v>1675.14</v>
      </c>
      <c r="T35" s="130" t="s">
        <v>256</v>
      </c>
      <c r="U35" s="131">
        <v>45322</v>
      </c>
      <c r="V35" s="132">
        <v>45328</v>
      </c>
      <c r="W35" s="133">
        <v>186</v>
      </c>
      <c r="X35" s="134" t="s">
        <v>258</v>
      </c>
      <c r="Y35" s="135" t="s">
        <v>912</v>
      </c>
      <c r="Z35" s="128" t="s">
        <v>57</v>
      </c>
      <c r="AA35" s="128"/>
      <c r="AB35" s="136" t="s">
        <v>256</v>
      </c>
      <c r="AC35" s="137" t="s">
        <v>914</v>
      </c>
      <c r="AD35" s="136" t="s">
        <v>961</v>
      </c>
      <c r="AE35" s="136" t="s">
        <v>962</v>
      </c>
      <c r="AF35" s="136" t="s">
        <v>59</v>
      </c>
      <c r="AG35" s="136" t="s">
        <v>59</v>
      </c>
      <c r="AH35" s="138">
        <v>-1675.14</v>
      </c>
      <c r="AI35" s="139" t="s">
        <v>98</v>
      </c>
      <c r="AJ35" s="139" t="s">
        <v>895</v>
      </c>
    </row>
    <row r="36" spans="1:36" ht="15.75" x14ac:dyDescent="0.25">
      <c r="A36" s="115">
        <v>3366</v>
      </c>
      <c r="B36" s="116" t="s">
        <v>36</v>
      </c>
      <c r="C36" s="117" t="s">
        <v>37</v>
      </c>
      <c r="D36" s="118" t="s">
        <v>36</v>
      </c>
      <c r="E36" s="119" t="s">
        <v>38</v>
      </c>
      <c r="F36" s="140" t="s">
        <v>39</v>
      </c>
      <c r="G36" s="118" t="s">
        <v>40</v>
      </c>
      <c r="H36" s="121" t="s">
        <v>41</v>
      </c>
      <c r="I36" s="120" t="s">
        <v>524</v>
      </c>
      <c r="J36" s="122" t="s">
        <v>525</v>
      </c>
      <c r="K36" s="123" t="s">
        <v>526</v>
      </c>
      <c r="L36" t="s">
        <v>1307</v>
      </c>
      <c r="M36" s="124" t="s">
        <v>1308</v>
      </c>
      <c r="N36" s="125" t="s">
        <v>1309</v>
      </c>
      <c r="O36" s="126" t="s">
        <v>929</v>
      </c>
      <c r="P36" s="127"/>
      <c r="Q36" s="128"/>
      <c r="R36" s="128"/>
      <c r="S36" s="129">
        <v>3320.09</v>
      </c>
      <c r="T36" s="130" t="s">
        <v>1336</v>
      </c>
      <c r="U36" s="131">
        <v>45322</v>
      </c>
      <c r="V36" s="132"/>
      <c r="W36" s="133"/>
      <c r="X36" s="134" t="s">
        <v>1215</v>
      </c>
      <c r="Y36" s="135" t="s">
        <v>912</v>
      </c>
      <c r="Z36" s="128" t="s">
        <v>96</v>
      </c>
      <c r="AA36" s="128"/>
      <c r="AB36" s="136" t="s">
        <v>256</v>
      </c>
      <c r="AC36" s="137" t="s">
        <v>914</v>
      </c>
      <c r="AD36" s="136" t="s">
        <v>961</v>
      </c>
      <c r="AE36" s="136" t="s">
        <v>962</v>
      </c>
      <c r="AF36" s="136" t="s">
        <v>59</v>
      </c>
      <c r="AG36" s="136" t="s">
        <v>59</v>
      </c>
      <c r="AH36" s="138">
        <v>-3320.09</v>
      </c>
      <c r="AI36" s="139" t="s">
        <v>98</v>
      </c>
      <c r="AJ36" s="139" t="s">
        <v>895</v>
      </c>
    </row>
    <row r="37" spans="1:36" ht="15.75" x14ac:dyDescent="0.25">
      <c r="A37" s="115">
        <v>3402</v>
      </c>
      <c r="B37" s="116" t="s">
        <v>36</v>
      </c>
      <c r="C37" s="117" t="s">
        <v>37</v>
      </c>
      <c r="D37" s="118" t="s">
        <v>36</v>
      </c>
      <c r="E37" s="119" t="s">
        <v>38</v>
      </c>
      <c r="F37" s="140" t="s">
        <v>39</v>
      </c>
      <c r="G37" s="118" t="s">
        <v>40</v>
      </c>
      <c r="H37" s="121" t="s">
        <v>41</v>
      </c>
      <c r="I37" s="120" t="s">
        <v>42</v>
      </c>
      <c r="J37" s="122" t="s">
        <v>43</v>
      </c>
      <c r="K37" s="123" t="s">
        <v>44</v>
      </c>
      <c r="L37" t="s">
        <v>1307</v>
      </c>
      <c r="M37" s="124" t="s">
        <v>1308</v>
      </c>
      <c r="N37" s="125" t="s">
        <v>1309</v>
      </c>
      <c r="O37" s="126" t="s">
        <v>929</v>
      </c>
      <c r="P37" s="127"/>
      <c r="Q37" s="128"/>
      <c r="R37" s="128"/>
      <c r="S37" s="129">
        <v>2573.0100000000002</v>
      </c>
      <c r="T37" s="130" t="s">
        <v>1336</v>
      </c>
      <c r="U37" s="131">
        <v>45322</v>
      </c>
      <c r="V37" s="132"/>
      <c r="W37" s="133"/>
      <c r="X37" s="134" t="s">
        <v>1335</v>
      </c>
      <c r="Y37" s="135" t="s">
        <v>912</v>
      </c>
      <c r="Z37" s="128" t="s">
        <v>96</v>
      </c>
      <c r="AA37" s="128"/>
      <c r="AB37" s="136" t="s">
        <v>256</v>
      </c>
      <c r="AC37" s="137" t="s">
        <v>914</v>
      </c>
      <c r="AD37" s="136" t="s">
        <v>961</v>
      </c>
      <c r="AE37" s="136" t="s">
        <v>962</v>
      </c>
      <c r="AF37" s="136" t="s">
        <v>59</v>
      </c>
      <c r="AG37" s="136" t="s">
        <v>59</v>
      </c>
      <c r="AH37" s="138">
        <v>-2573.0100000000002</v>
      </c>
      <c r="AI37" s="139" t="s">
        <v>98</v>
      </c>
      <c r="AJ37" s="139" t="s">
        <v>895</v>
      </c>
    </row>
    <row r="38" spans="1:36" ht="15.75" x14ac:dyDescent="0.25">
      <c r="A38" s="115">
        <v>3436</v>
      </c>
      <c r="B38" s="116" t="s">
        <v>36</v>
      </c>
      <c r="C38" s="117" t="s">
        <v>37</v>
      </c>
      <c r="D38" s="118" t="s">
        <v>36</v>
      </c>
      <c r="E38" s="119" t="s">
        <v>38</v>
      </c>
      <c r="F38" s="120" t="s">
        <v>39</v>
      </c>
      <c r="G38" s="118" t="s">
        <v>40</v>
      </c>
      <c r="H38" s="121" t="s">
        <v>41</v>
      </c>
      <c r="I38" s="120" t="s">
        <v>1319</v>
      </c>
      <c r="J38" s="122" t="s">
        <v>1320</v>
      </c>
      <c r="K38" s="123" t="s">
        <v>1321</v>
      </c>
      <c r="L38" t="s">
        <v>1307</v>
      </c>
      <c r="M38" s="124" t="s">
        <v>1308</v>
      </c>
      <c r="N38" s="125" t="s">
        <v>1309</v>
      </c>
      <c r="O38" s="126" t="s">
        <v>929</v>
      </c>
      <c r="P38" s="127"/>
      <c r="Q38" s="128"/>
      <c r="R38" s="128"/>
      <c r="S38" s="129">
        <v>3428.1</v>
      </c>
      <c r="T38" s="130" t="s">
        <v>1336</v>
      </c>
      <c r="U38" s="131">
        <v>45322</v>
      </c>
      <c r="V38" s="132"/>
      <c r="W38" s="133"/>
      <c r="X38" s="134" t="s">
        <v>1326</v>
      </c>
      <c r="Y38" s="135" t="s">
        <v>912</v>
      </c>
      <c r="Z38" s="128" t="s">
        <v>96</v>
      </c>
      <c r="AA38" s="128" t="s">
        <v>1328</v>
      </c>
      <c r="AB38" s="136" t="s">
        <v>256</v>
      </c>
      <c r="AC38" s="137" t="s">
        <v>914</v>
      </c>
      <c r="AD38" s="136" t="s">
        <v>961</v>
      </c>
      <c r="AE38" s="136" t="s">
        <v>962</v>
      </c>
      <c r="AF38" s="136" t="s">
        <v>59</v>
      </c>
      <c r="AG38" s="136" t="s">
        <v>59</v>
      </c>
      <c r="AH38" s="138">
        <v>-3428.1</v>
      </c>
      <c r="AI38" s="139" t="s">
        <v>98</v>
      </c>
      <c r="AJ38" s="139" t="s">
        <v>895</v>
      </c>
    </row>
    <row r="39" spans="1:36" ht="15.75" x14ac:dyDescent="0.25">
      <c r="A39" s="115">
        <v>3437</v>
      </c>
      <c r="B39" s="116" t="s">
        <v>36</v>
      </c>
      <c r="C39" s="117" t="s">
        <v>37</v>
      </c>
      <c r="D39" s="118" t="s">
        <v>36</v>
      </c>
      <c r="E39" s="119" t="s">
        <v>38</v>
      </c>
      <c r="F39" s="120" t="s">
        <v>39</v>
      </c>
      <c r="G39" s="118" t="s">
        <v>40</v>
      </c>
      <c r="H39" s="121" t="s">
        <v>41</v>
      </c>
      <c r="I39" s="120" t="s">
        <v>946</v>
      </c>
      <c r="J39" s="122" t="s">
        <v>947</v>
      </c>
      <c r="K39" s="123" t="s">
        <v>948</v>
      </c>
      <c r="L39" t="s">
        <v>1307</v>
      </c>
      <c r="M39" s="124" t="s">
        <v>1308</v>
      </c>
      <c r="N39" s="125" t="s">
        <v>1309</v>
      </c>
      <c r="O39" s="126" t="s">
        <v>929</v>
      </c>
      <c r="P39" s="127"/>
      <c r="Q39" s="128"/>
      <c r="R39" s="128"/>
      <c r="S39" s="129">
        <v>5499.25</v>
      </c>
      <c r="T39" s="130" t="s">
        <v>1336</v>
      </c>
      <c r="U39" s="131">
        <v>45322</v>
      </c>
      <c r="V39" s="132"/>
      <c r="W39" s="133"/>
      <c r="X39" s="134" t="s">
        <v>951</v>
      </c>
      <c r="Y39" s="135" t="s">
        <v>912</v>
      </c>
      <c r="Z39" s="128" t="s">
        <v>96</v>
      </c>
      <c r="AA39" s="128"/>
      <c r="AB39" s="136" t="s">
        <v>256</v>
      </c>
      <c r="AC39" s="137" t="s">
        <v>914</v>
      </c>
      <c r="AD39" s="136" t="s">
        <v>961</v>
      </c>
      <c r="AE39" s="136" t="s">
        <v>962</v>
      </c>
      <c r="AF39" s="136" t="s">
        <v>59</v>
      </c>
      <c r="AG39" s="136" t="s">
        <v>59</v>
      </c>
      <c r="AH39" s="138">
        <v>-5499.25</v>
      </c>
      <c r="AI39" s="139" t="s">
        <v>98</v>
      </c>
      <c r="AJ39" s="139" t="s">
        <v>895</v>
      </c>
    </row>
    <row r="40" spans="1:36" ht="15.75" x14ac:dyDescent="0.25">
      <c r="A40" s="115">
        <v>3454</v>
      </c>
      <c r="B40" s="116" t="s">
        <v>36</v>
      </c>
      <c r="C40" s="117" t="s">
        <v>37</v>
      </c>
      <c r="D40" s="118" t="s">
        <v>36</v>
      </c>
      <c r="E40" s="119" t="s">
        <v>38</v>
      </c>
      <c r="F40" s="120" t="s">
        <v>39</v>
      </c>
      <c r="G40" s="118" t="s">
        <v>40</v>
      </c>
      <c r="H40" s="121" t="s">
        <v>41</v>
      </c>
      <c r="I40" s="120" t="s">
        <v>301</v>
      </c>
      <c r="J40" s="122" t="s">
        <v>302</v>
      </c>
      <c r="K40" s="123" t="s">
        <v>303</v>
      </c>
      <c r="L40" t="s">
        <v>1307</v>
      </c>
      <c r="M40" s="124" t="s">
        <v>1308</v>
      </c>
      <c r="N40" s="125" t="s">
        <v>1309</v>
      </c>
      <c r="O40" s="126" t="s">
        <v>1310</v>
      </c>
      <c r="P40" s="127" t="s">
        <v>1311</v>
      </c>
      <c r="Q40" s="128">
        <v>5894.8510822222224</v>
      </c>
      <c r="R40" s="128">
        <v>5894.8510822222224</v>
      </c>
      <c r="S40" s="129">
        <v>5894.8510822222224</v>
      </c>
      <c r="T40" s="130" t="s">
        <v>1312</v>
      </c>
      <c r="U40" s="131">
        <v>45323</v>
      </c>
      <c r="V40" s="132"/>
      <c r="W40" s="133"/>
      <c r="X40" s="134" t="s">
        <v>1046</v>
      </c>
      <c r="Y40" s="135" t="s">
        <v>912</v>
      </c>
      <c r="Z40" s="128" t="s">
        <v>1313</v>
      </c>
      <c r="AA40" s="128"/>
      <c r="AB40" s="136"/>
      <c r="AC40" s="137"/>
      <c r="AD40" s="136"/>
      <c r="AE40" s="136"/>
      <c r="AF40" s="136"/>
      <c r="AG40" s="136"/>
      <c r="AH40" s="138">
        <v>-5894.8510822222224</v>
      </c>
      <c r="AI40" s="139" t="s">
        <v>98</v>
      </c>
      <c r="AJ40" s="139" t="s">
        <v>895</v>
      </c>
    </row>
    <row r="41" spans="1:36" ht="15.75" x14ac:dyDescent="0.25">
      <c r="A41" s="115">
        <v>3456</v>
      </c>
      <c r="B41" s="116" t="s">
        <v>36</v>
      </c>
      <c r="C41" s="117" t="s">
        <v>37</v>
      </c>
      <c r="D41" s="118" t="s">
        <v>36</v>
      </c>
      <c r="E41" s="119" t="s">
        <v>38</v>
      </c>
      <c r="F41" s="120" t="s">
        <v>39</v>
      </c>
      <c r="G41" s="118" t="s">
        <v>40</v>
      </c>
      <c r="H41" s="121" t="s">
        <v>41</v>
      </c>
      <c r="I41" s="120" t="s">
        <v>42</v>
      </c>
      <c r="J41" s="122" t="s">
        <v>43</v>
      </c>
      <c r="K41" s="123" t="s">
        <v>44</v>
      </c>
      <c r="L41" t="s">
        <v>1307</v>
      </c>
      <c r="M41" s="124" t="s">
        <v>1308</v>
      </c>
      <c r="N41" s="125" t="s">
        <v>1309</v>
      </c>
      <c r="O41" s="126" t="s">
        <v>1310</v>
      </c>
      <c r="P41" s="127" t="s">
        <v>1311</v>
      </c>
      <c r="Q41" s="128">
        <v>6037.3755533333333</v>
      </c>
      <c r="R41" s="128">
        <v>6037.3755533333333</v>
      </c>
      <c r="S41" s="129">
        <v>6037.3755533333333</v>
      </c>
      <c r="T41" s="130" t="s">
        <v>1312</v>
      </c>
      <c r="U41" s="131">
        <v>45323</v>
      </c>
      <c r="V41" s="132"/>
      <c r="W41" s="133"/>
      <c r="X41" s="134" t="s">
        <v>1314</v>
      </c>
      <c r="Y41" s="135" t="s">
        <v>912</v>
      </c>
      <c r="Z41" s="128" t="s">
        <v>1313</v>
      </c>
      <c r="AA41" s="128"/>
      <c r="AB41" s="136"/>
      <c r="AC41" s="137"/>
      <c r="AD41" s="136"/>
      <c r="AE41" s="136"/>
      <c r="AF41" s="136"/>
      <c r="AG41" s="136"/>
      <c r="AH41" s="138">
        <v>-6037.3755533333333</v>
      </c>
      <c r="AI41" s="139" t="s">
        <v>98</v>
      </c>
      <c r="AJ41" s="139" t="s">
        <v>895</v>
      </c>
    </row>
    <row r="42" spans="1:36" ht="15.75" x14ac:dyDescent="0.25">
      <c r="A42" s="115">
        <v>3465</v>
      </c>
      <c r="B42" s="116" t="s">
        <v>36</v>
      </c>
      <c r="C42" s="117" t="s">
        <v>37</v>
      </c>
      <c r="D42" s="118" t="s">
        <v>36</v>
      </c>
      <c r="E42" s="119" t="s">
        <v>38</v>
      </c>
      <c r="F42" s="120" t="s">
        <v>39</v>
      </c>
      <c r="G42" s="118" t="s">
        <v>40</v>
      </c>
      <c r="H42" s="121" t="s">
        <v>41</v>
      </c>
      <c r="I42" s="120" t="s">
        <v>301</v>
      </c>
      <c r="J42" s="122" t="s">
        <v>302</v>
      </c>
      <c r="K42" s="123" t="s">
        <v>303</v>
      </c>
      <c r="L42" t="s">
        <v>1307</v>
      </c>
      <c r="M42" s="124" t="s">
        <v>1308</v>
      </c>
      <c r="N42" s="125" t="s">
        <v>1309</v>
      </c>
      <c r="O42" s="126" t="s">
        <v>1310</v>
      </c>
      <c r="P42" s="127" t="s">
        <v>1311</v>
      </c>
      <c r="Q42" s="128">
        <v>7409.2325466666662</v>
      </c>
      <c r="R42" s="128">
        <v>7409.2325466666662</v>
      </c>
      <c r="S42" s="129">
        <v>7409.2325466666662</v>
      </c>
      <c r="T42" s="130" t="s">
        <v>1312</v>
      </c>
      <c r="U42" s="131">
        <v>45323</v>
      </c>
      <c r="V42" s="132"/>
      <c r="W42" s="133"/>
      <c r="X42" s="134" t="s">
        <v>1315</v>
      </c>
      <c r="Y42" s="135" t="s">
        <v>912</v>
      </c>
      <c r="Z42" s="128" t="s">
        <v>1313</v>
      </c>
      <c r="AA42" s="128"/>
      <c r="AB42" s="136"/>
      <c r="AC42" s="137"/>
      <c r="AD42" s="136"/>
      <c r="AE42" s="136"/>
      <c r="AF42" s="136"/>
      <c r="AG42" s="136"/>
      <c r="AH42" s="138">
        <v>-7409.2325466666662</v>
      </c>
      <c r="AI42" s="139" t="s">
        <v>98</v>
      </c>
      <c r="AJ42" s="139" t="s">
        <v>895</v>
      </c>
    </row>
    <row r="43" spans="1:36" ht="15.75" x14ac:dyDescent="0.25">
      <c r="A43" s="115">
        <v>3470</v>
      </c>
      <c r="B43" s="116" t="s">
        <v>36</v>
      </c>
      <c r="C43" s="117" t="s">
        <v>37</v>
      </c>
      <c r="D43" s="118" t="s">
        <v>36</v>
      </c>
      <c r="E43" s="119" t="s">
        <v>38</v>
      </c>
      <c r="F43" s="120" t="s">
        <v>39</v>
      </c>
      <c r="G43" s="118" t="s">
        <v>40</v>
      </c>
      <c r="H43" s="121" t="s">
        <v>41</v>
      </c>
      <c r="I43" s="120" t="s">
        <v>524</v>
      </c>
      <c r="J43" s="122" t="s">
        <v>525</v>
      </c>
      <c r="K43" s="123" t="s">
        <v>526</v>
      </c>
      <c r="L43" t="s">
        <v>1307</v>
      </c>
      <c r="M43" s="124" t="s">
        <v>1308</v>
      </c>
      <c r="N43" s="125" t="s">
        <v>1309</v>
      </c>
      <c r="O43" s="126" t="s">
        <v>1310</v>
      </c>
      <c r="P43" s="127" t="s">
        <v>1311</v>
      </c>
      <c r="Q43" s="128">
        <v>7961.1427933333334</v>
      </c>
      <c r="R43" s="128">
        <v>7961.1427933333334</v>
      </c>
      <c r="S43" s="129">
        <v>7961.1427933333334</v>
      </c>
      <c r="T43" s="130" t="s">
        <v>1312</v>
      </c>
      <c r="U43" s="131">
        <v>45323</v>
      </c>
      <c r="V43" s="132"/>
      <c r="W43" s="133"/>
      <c r="X43" s="134" t="s">
        <v>874</v>
      </c>
      <c r="Y43" s="135" t="s">
        <v>912</v>
      </c>
      <c r="Z43" s="128" t="s">
        <v>1313</v>
      </c>
      <c r="AA43" s="128"/>
      <c r="AB43" s="136"/>
      <c r="AC43" s="137"/>
      <c r="AD43" s="136"/>
      <c r="AE43" s="136"/>
      <c r="AF43" s="136"/>
      <c r="AG43" s="136"/>
      <c r="AH43" s="138">
        <v>-7961.1427933333334</v>
      </c>
      <c r="AI43" s="139" t="s">
        <v>98</v>
      </c>
      <c r="AJ43" s="139" t="s">
        <v>895</v>
      </c>
    </row>
    <row r="44" spans="1:36" ht="15.75" x14ac:dyDescent="0.25">
      <c r="A44" s="115">
        <v>3546</v>
      </c>
      <c r="B44" s="116" t="s">
        <v>36</v>
      </c>
      <c r="C44" s="117" t="s">
        <v>37</v>
      </c>
      <c r="D44" s="118" t="s">
        <v>36</v>
      </c>
      <c r="E44" s="119" t="s">
        <v>38</v>
      </c>
      <c r="F44" s="120" t="s">
        <v>39</v>
      </c>
      <c r="G44" s="118" t="s">
        <v>40</v>
      </c>
      <c r="H44" s="121" t="s">
        <v>41</v>
      </c>
      <c r="I44" s="120" t="s">
        <v>524</v>
      </c>
      <c r="J44" s="122" t="s">
        <v>525</v>
      </c>
      <c r="K44" s="123" t="s">
        <v>526</v>
      </c>
      <c r="L44" t="s">
        <v>1307</v>
      </c>
      <c r="M44" s="124" t="s">
        <v>1308</v>
      </c>
      <c r="N44" s="125" t="s">
        <v>1309</v>
      </c>
      <c r="O44" s="126" t="s">
        <v>929</v>
      </c>
      <c r="P44" s="127"/>
      <c r="Q44" s="128"/>
      <c r="R44" s="128"/>
      <c r="S44" s="129">
        <v>873</v>
      </c>
      <c r="T44" s="130" t="s">
        <v>1327</v>
      </c>
      <c r="U44" s="131">
        <v>45323</v>
      </c>
      <c r="V44" s="132"/>
      <c r="W44" s="133"/>
      <c r="X44" s="134" t="s">
        <v>1338</v>
      </c>
      <c r="Y44" s="135" t="s">
        <v>912</v>
      </c>
      <c r="Z44" s="128" t="s">
        <v>96</v>
      </c>
      <c r="AA44" s="128" t="s">
        <v>1328</v>
      </c>
      <c r="AB44" s="136" t="s">
        <v>256</v>
      </c>
      <c r="AC44" s="137" t="s">
        <v>914</v>
      </c>
      <c r="AD44" s="136" t="s">
        <v>961</v>
      </c>
      <c r="AE44" s="136" t="s">
        <v>962</v>
      </c>
      <c r="AF44" s="136" t="s">
        <v>59</v>
      </c>
      <c r="AG44" s="136" t="s">
        <v>59</v>
      </c>
      <c r="AH44" s="138">
        <v>-873</v>
      </c>
      <c r="AI44" s="139" t="s">
        <v>98</v>
      </c>
      <c r="AJ44" s="139" t="s">
        <v>895</v>
      </c>
    </row>
    <row r="45" spans="1:36" ht="15.75" x14ac:dyDescent="0.25">
      <c r="A45" s="115">
        <v>3547</v>
      </c>
      <c r="B45" s="116" t="s">
        <v>36</v>
      </c>
      <c r="C45" s="117" t="s">
        <v>37</v>
      </c>
      <c r="D45" s="118" t="s">
        <v>36</v>
      </c>
      <c r="E45" s="119" t="s">
        <v>38</v>
      </c>
      <c r="F45" s="120" t="s">
        <v>39</v>
      </c>
      <c r="G45" s="118" t="s">
        <v>40</v>
      </c>
      <c r="H45" s="121" t="s">
        <v>41</v>
      </c>
      <c r="I45" s="120" t="s">
        <v>524</v>
      </c>
      <c r="J45" s="122" t="s">
        <v>525</v>
      </c>
      <c r="K45" s="123" t="s">
        <v>526</v>
      </c>
      <c r="L45" t="s">
        <v>1307</v>
      </c>
      <c r="M45" s="124" t="s">
        <v>1308</v>
      </c>
      <c r="N45" s="125" t="s">
        <v>1309</v>
      </c>
      <c r="O45" s="126" t="s">
        <v>1310</v>
      </c>
      <c r="P45" s="127" t="s">
        <v>1311</v>
      </c>
      <c r="Q45" s="128">
        <v>5583.2366866666671</v>
      </c>
      <c r="R45" s="128">
        <v>5583.2366866666671</v>
      </c>
      <c r="S45" s="129">
        <v>5583.2366866666671</v>
      </c>
      <c r="T45" s="130" t="s">
        <v>1312</v>
      </c>
      <c r="U45" s="131">
        <v>45323</v>
      </c>
      <c r="V45" s="132"/>
      <c r="W45" s="133"/>
      <c r="X45" s="134" t="s">
        <v>1338</v>
      </c>
      <c r="Y45" s="135" t="s">
        <v>912</v>
      </c>
      <c r="Z45" s="128" t="s">
        <v>1313</v>
      </c>
      <c r="AA45" s="128"/>
      <c r="AB45" s="136"/>
      <c r="AC45" s="137"/>
      <c r="AD45" s="136"/>
      <c r="AE45" s="136"/>
      <c r="AF45" s="136"/>
      <c r="AG45" s="136"/>
      <c r="AH45" s="138">
        <v>-5583.2366866666671</v>
      </c>
      <c r="AI45" s="139" t="s">
        <v>98</v>
      </c>
      <c r="AJ45" s="139" t="s">
        <v>895</v>
      </c>
    </row>
    <row r="46" spans="1:36" ht="15.75" x14ac:dyDescent="0.25">
      <c r="A46" s="115">
        <v>3580</v>
      </c>
      <c r="B46" s="116" t="s">
        <v>36</v>
      </c>
      <c r="C46" s="117" t="s">
        <v>37</v>
      </c>
      <c r="D46" s="118" t="s">
        <v>36</v>
      </c>
      <c r="E46" s="119" t="s">
        <v>38</v>
      </c>
      <c r="F46" s="120" t="s">
        <v>39</v>
      </c>
      <c r="G46" s="118" t="s">
        <v>40</v>
      </c>
      <c r="H46" s="121" t="s">
        <v>41</v>
      </c>
      <c r="I46" s="120" t="s">
        <v>524</v>
      </c>
      <c r="J46" s="122" t="s">
        <v>525</v>
      </c>
      <c r="K46" s="123" t="s">
        <v>526</v>
      </c>
      <c r="L46" t="s">
        <v>1307</v>
      </c>
      <c r="M46" s="124" t="s">
        <v>1308</v>
      </c>
      <c r="N46" s="125" t="s">
        <v>1309</v>
      </c>
      <c r="O46" s="126" t="s">
        <v>1310</v>
      </c>
      <c r="P46" s="127" t="s">
        <v>1311</v>
      </c>
      <c r="Q46" s="128">
        <v>12852.527464444443</v>
      </c>
      <c r="R46" s="128">
        <v>12852.527464444443</v>
      </c>
      <c r="S46" s="129">
        <v>12852.527464444443</v>
      </c>
      <c r="T46" s="130" t="s">
        <v>1312</v>
      </c>
      <c r="U46" s="131">
        <v>45323</v>
      </c>
      <c r="V46" s="132"/>
      <c r="W46" s="133"/>
      <c r="X46" s="134" t="s">
        <v>1318</v>
      </c>
      <c r="Y46" s="135" t="s">
        <v>912</v>
      </c>
      <c r="Z46" s="128" t="s">
        <v>1313</v>
      </c>
      <c r="AA46" s="128"/>
      <c r="AB46" s="136"/>
      <c r="AC46" s="137"/>
      <c r="AD46" s="136"/>
      <c r="AE46" s="136"/>
      <c r="AF46" s="136"/>
      <c r="AG46" s="136"/>
      <c r="AH46" s="138">
        <v>-12852.527464444443</v>
      </c>
      <c r="AI46" s="139" t="s">
        <v>98</v>
      </c>
      <c r="AJ46" s="139" t="s">
        <v>895</v>
      </c>
    </row>
    <row r="47" spans="1:36" ht="15.75" x14ac:dyDescent="0.25">
      <c r="A47" s="115">
        <v>3608</v>
      </c>
      <c r="B47" s="116" t="s">
        <v>36</v>
      </c>
      <c r="C47" s="117" t="s">
        <v>37</v>
      </c>
      <c r="D47" s="118" t="s">
        <v>36</v>
      </c>
      <c r="E47" s="119" t="s">
        <v>38</v>
      </c>
      <c r="F47" s="120" t="s">
        <v>39</v>
      </c>
      <c r="G47" s="118" t="s">
        <v>40</v>
      </c>
      <c r="H47" s="121" t="s">
        <v>41</v>
      </c>
      <c r="I47" s="120" t="s">
        <v>1319</v>
      </c>
      <c r="J47" s="122" t="s">
        <v>1320</v>
      </c>
      <c r="K47" s="123" t="s">
        <v>1321</v>
      </c>
      <c r="L47" t="s">
        <v>1307</v>
      </c>
      <c r="M47" s="124" t="s">
        <v>1308</v>
      </c>
      <c r="N47" s="125" t="s">
        <v>1309</v>
      </c>
      <c r="O47" s="126" t="s">
        <v>1310</v>
      </c>
      <c r="P47" s="127" t="s">
        <v>1311</v>
      </c>
      <c r="Q47" s="128">
        <v>6072.0969333333333</v>
      </c>
      <c r="R47" s="128">
        <v>6072.0969333333333</v>
      </c>
      <c r="S47" s="129">
        <v>6072.0969333333333</v>
      </c>
      <c r="T47" s="130" t="s">
        <v>1312</v>
      </c>
      <c r="U47" s="131">
        <v>45323</v>
      </c>
      <c r="V47" s="132"/>
      <c r="W47" s="133"/>
      <c r="X47" s="134" t="s">
        <v>1322</v>
      </c>
      <c r="Y47" s="135" t="s">
        <v>912</v>
      </c>
      <c r="Z47" s="128" t="s">
        <v>1313</v>
      </c>
      <c r="AA47" s="128"/>
      <c r="AB47" s="136"/>
      <c r="AC47" s="137"/>
      <c r="AD47" s="136"/>
      <c r="AE47" s="136"/>
      <c r="AF47" s="136"/>
      <c r="AG47" s="136"/>
      <c r="AH47" s="138">
        <v>-6072.0969333333333</v>
      </c>
      <c r="AI47" s="139" t="s">
        <v>98</v>
      </c>
      <c r="AJ47" s="139" t="s">
        <v>895</v>
      </c>
    </row>
    <row r="48" spans="1:36" ht="15.75" x14ac:dyDescent="0.25">
      <c r="A48" s="115">
        <v>3627</v>
      </c>
      <c r="B48" s="116" t="s">
        <v>36</v>
      </c>
      <c r="C48" s="117" t="s">
        <v>37</v>
      </c>
      <c r="D48" s="118" t="s">
        <v>36</v>
      </c>
      <c r="E48" s="119" t="s">
        <v>38</v>
      </c>
      <c r="F48" s="120" t="s">
        <v>39</v>
      </c>
      <c r="G48" s="118" t="s">
        <v>40</v>
      </c>
      <c r="H48" s="121" t="s">
        <v>41</v>
      </c>
      <c r="I48" s="120" t="s">
        <v>301</v>
      </c>
      <c r="J48" s="122" t="s">
        <v>302</v>
      </c>
      <c r="K48" s="123" t="s">
        <v>303</v>
      </c>
      <c r="L48" t="s">
        <v>1307</v>
      </c>
      <c r="M48" s="124" t="s">
        <v>1308</v>
      </c>
      <c r="N48" s="125" t="s">
        <v>1309</v>
      </c>
      <c r="O48" s="126" t="s">
        <v>1310</v>
      </c>
      <c r="P48" s="127" t="s">
        <v>1311</v>
      </c>
      <c r="Q48" s="128">
        <v>7650.3326377777776</v>
      </c>
      <c r="R48" s="128">
        <v>7650.3326377777776</v>
      </c>
      <c r="S48" s="129">
        <v>7650.3326377777776</v>
      </c>
      <c r="T48" s="130" t="s">
        <v>1312</v>
      </c>
      <c r="U48" s="131">
        <v>45323</v>
      </c>
      <c r="V48" s="132"/>
      <c r="W48" s="133"/>
      <c r="X48" s="134" t="s">
        <v>1323</v>
      </c>
      <c r="Y48" s="135" t="s">
        <v>912</v>
      </c>
      <c r="Z48" s="128" t="s">
        <v>1313</v>
      </c>
      <c r="AA48" s="128"/>
      <c r="AB48" s="136"/>
      <c r="AC48" s="137"/>
      <c r="AD48" s="136"/>
      <c r="AE48" s="136"/>
      <c r="AF48" s="136"/>
      <c r="AG48" s="136"/>
      <c r="AH48" s="138">
        <v>-7650.3326377777776</v>
      </c>
      <c r="AI48" s="139" t="s">
        <v>98</v>
      </c>
      <c r="AJ48" s="139" t="s">
        <v>895</v>
      </c>
    </row>
    <row r="49" spans="1:36" ht="15.75" x14ac:dyDescent="0.25">
      <c r="A49" s="115">
        <v>3649</v>
      </c>
      <c r="B49" s="116" t="s">
        <v>36</v>
      </c>
      <c r="C49" s="117" t="s">
        <v>37</v>
      </c>
      <c r="D49" s="118" t="s">
        <v>36</v>
      </c>
      <c r="E49" s="119" t="s">
        <v>38</v>
      </c>
      <c r="F49" s="140" t="s">
        <v>39</v>
      </c>
      <c r="G49" s="118" t="s">
        <v>40</v>
      </c>
      <c r="H49" s="121" t="s">
        <v>41</v>
      </c>
      <c r="I49" s="120" t="s">
        <v>301</v>
      </c>
      <c r="J49" s="122" t="s">
        <v>302</v>
      </c>
      <c r="K49" s="123" t="s">
        <v>303</v>
      </c>
      <c r="L49" t="s">
        <v>1307</v>
      </c>
      <c r="M49" s="124" t="s">
        <v>1308</v>
      </c>
      <c r="N49" s="125" t="s">
        <v>1309</v>
      </c>
      <c r="O49" s="126" t="s">
        <v>1324</v>
      </c>
      <c r="P49" s="127" t="s">
        <v>1311</v>
      </c>
      <c r="Q49" s="128">
        <v>4945.2613222222226</v>
      </c>
      <c r="R49" s="128">
        <v>4945.2613222222226</v>
      </c>
      <c r="S49" s="129">
        <v>4945.2613222222226</v>
      </c>
      <c r="T49" s="130" t="s">
        <v>1312</v>
      </c>
      <c r="U49" s="131">
        <v>45323</v>
      </c>
      <c r="V49" s="132"/>
      <c r="W49" s="133"/>
      <c r="X49" s="134" t="s">
        <v>258</v>
      </c>
      <c r="Y49" s="135" t="s">
        <v>912</v>
      </c>
      <c r="Z49" s="128" t="s">
        <v>1313</v>
      </c>
      <c r="AA49" s="128"/>
      <c r="AB49" s="136"/>
      <c r="AC49" s="137"/>
      <c r="AD49" s="136"/>
      <c r="AE49" s="136"/>
      <c r="AF49" s="136"/>
      <c r="AG49" s="136"/>
      <c r="AH49" s="138">
        <v>-4945.2613222222226</v>
      </c>
      <c r="AI49" s="139" t="s">
        <v>98</v>
      </c>
      <c r="AJ49" s="139" t="s">
        <v>895</v>
      </c>
    </row>
    <row r="50" spans="1:36" ht="15.75" x14ac:dyDescent="0.25">
      <c r="A50" s="115">
        <v>3651</v>
      </c>
      <c r="B50" s="116" t="s">
        <v>36</v>
      </c>
      <c r="C50" s="117" t="s">
        <v>37</v>
      </c>
      <c r="D50" s="118" t="s">
        <v>36</v>
      </c>
      <c r="E50" s="119" t="s">
        <v>38</v>
      </c>
      <c r="F50" s="140" t="s">
        <v>39</v>
      </c>
      <c r="G50" s="118" t="s">
        <v>40</v>
      </c>
      <c r="H50" s="121" t="s">
        <v>41</v>
      </c>
      <c r="I50" s="120" t="s">
        <v>524</v>
      </c>
      <c r="J50" s="122" t="s">
        <v>525</v>
      </c>
      <c r="K50" s="123" t="s">
        <v>526</v>
      </c>
      <c r="L50" t="s">
        <v>1307</v>
      </c>
      <c r="M50" s="124" t="s">
        <v>1308</v>
      </c>
      <c r="N50" s="125" t="s">
        <v>1309</v>
      </c>
      <c r="O50" s="126" t="s">
        <v>1310</v>
      </c>
      <c r="P50" s="127" t="s">
        <v>1311</v>
      </c>
      <c r="Q50" s="128">
        <v>7716.0899066666661</v>
      </c>
      <c r="R50" s="128">
        <v>7716.0899066666661</v>
      </c>
      <c r="S50" s="129">
        <v>7716.0899066666661</v>
      </c>
      <c r="T50" s="130" t="s">
        <v>1312</v>
      </c>
      <c r="U50" s="131">
        <v>45323</v>
      </c>
      <c r="V50" s="132"/>
      <c r="W50" s="133"/>
      <c r="X50" s="134" t="s">
        <v>1215</v>
      </c>
      <c r="Y50" s="135" t="s">
        <v>912</v>
      </c>
      <c r="Z50" s="128" t="s">
        <v>1313</v>
      </c>
      <c r="AA50" s="128"/>
      <c r="AB50" s="136"/>
      <c r="AC50" s="137"/>
      <c r="AD50" s="136"/>
      <c r="AE50" s="136"/>
      <c r="AF50" s="136"/>
      <c r="AG50" s="136"/>
      <c r="AH50" s="138">
        <v>-7716.0899066666661</v>
      </c>
      <c r="AI50" s="139" t="s">
        <v>98</v>
      </c>
      <c r="AJ50" s="139" t="s">
        <v>895</v>
      </c>
    </row>
    <row r="51" spans="1:36" ht="15.75" x14ac:dyDescent="0.25">
      <c r="A51" s="115">
        <v>3701</v>
      </c>
      <c r="B51" s="116" t="s">
        <v>36</v>
      </c>
      <c r="C51" s="117" t="s">
        <v>37</v>
      </c>
      <c r="D51" s="118" t="s">
        <v>36</v>
      </c>
      <c r="E51" s="119" t="s">
        <v>38</v>
      </c>
      <c r="F51" s="140" t="s">
        <v>39</v>
      </c>
      <c r="G51" s="118" t="s">
        <v>40</v>
      </c>
      <c r="H51" s="121" t="s">
        <v>41</v>
      </c>
      <c r="I51" s="120" t="s">
        <v>42</v>
      </c>
      <c r="J51" s="122" t="s">
        <v>43</v>
      </c>
      <c r="K51" s="123" t="s">
        <v>44</v>
      </c>
      <c r="L51" t="s">
        <v>1307</v>
      </c>
      <c r="M51" s="124" t="s">
        <v>1308</v>
      </c>
      <c r="N51" s="125" t="s">
        <v>1309</v>
      </c>
      <c r="O51" s="126" t="s">
        <v>1310</v>
      </c>
      <c r="P51" s="127" t="s">
        <v>1311</v>
      </c>
      <c r="Q51" s="128">
        <v>5731.9155533333333</v>
      </c>
      <c r="R51" s="128">
        <v>5731.9155533333333</v>
      </c>
      <c r="S51" s="129">
        <v>5731.9155533333333</v>
      </c>
      <c r="T51" s="130" t="s">
        <v>1312</v>
      </c>
      <c r="U51" s="131">
        <v>45323</v>
      </c>
      <c r="V51" s="132"/>
      <c r="W51" s="133"/>
      <c r="X51" s="134" t="s">
        <v>1325</v>
      </c>
      <c r="Y51" s="135" t="s">
        <v>912</v>
      </c>
      <c r="Z51" s="128" t="s">
        <v>1313</v>
      </c>
      <c r="AA51" s="128"/>
      <c r="AB51" s="136"/>
      <c r="AC51" s="137"/>
      <c r="AD51" s="136"/>
      <c r="AE51" s="136"/>
      <c r="AF51" s="136"/>
      <c r="AG51" s="136"/>
      <c r="AH51" s="138">
        <v>-5731.9155533333333</v>
      </c>
      <c r="AI51" s="139" t="s">
        <v>98</v>
      </c>
      <c r="AJ51" s="139" t="s">
        <v>895</v>
      </c>
    </row>
    <row r="52" spans="1:36" ht="15.75" x14ac:dyDescent="0.25">
      <c r="A52" s="115">
        <v>3897</v>
      </c>
      <c r="B52" s="116" t="s">
        <v>36</v>
      </c>
      <c r="C52" s="117" t="s">
        <v>37</v>
      </c>
      <c r="D52" s="118" t="s">
        <v>36</v>
      </c>
      <c r="E52" s="119" t="s">
        <v>38</v>
      </c>
      <c r="F52" s="120" t="s">
        <v>39</v>
      </c>
      <c r="G52" s="118" t="s">
        <v>40</v>
      </c>
      <c r="H52" s="121" t="s">
        <v>41</v>
      </c>
      <c r="I52" s="120" t="s">
        <v>1319</v>
      </c>
      <c r="J52" s="122" t="s">
        <v>1320</v>
      </c>
      <c r="K52" s="123" t="s">
        <v>1321</v>
      </c>
      <c r="L52" t="s">
        <v>1307</v>
      </c>
      <c r="M52" s="124" t="s">
        <v>1308</v>
      </c>
      <c r="N52" s="125" t="s">
        <v>1309</v>
      </c>
      <c r="O52" s="126" t="s">
        <v>1310</v>
      </c>
      <c r="P52" s="127" t="s">
        <v>1311</v>
      </c>
      <c r="Q52" s="128">
        <v>6077.8564733333333</v>
      </c>
      <c r="R52" s="128">
        <v>6077.8564733333333</v>
      </c>
      <c r="S52" s="129">
        <v>6077.8564733333333</v>
      </c>
      <c r="T52" s="130" t="s">
        <v>1312</v>
      </c>
      <c r="U52" s="131">
        <v>45323</v>
      </c>
      <c r="V52" s="132"/>
      <c r="W52" s="133"/>
      <c r="X52" s="134" t="s">
        <v>1326</v>
      </c>
      <c r="Y52" s="135" t="s">
        <v>912</v>
      </c>
      <c r="Z52" s="128" t="s">
        <v>1313</v>
      </c>
      <c r="AA52" s="128"/>
      <c r="AB52" s="136"/>
      <c r="AC52" s="137"/>
      <c r="AD52" s="136"/>
      <c r="AE52" s="136"/>
      <c r="AF52" s="136"/>
      <c r="AG52" s="136"/>
      <c r="AH52" s="138">
        <v>-6077.8564733333333</v>
      </c>
      <c r="AI52" s="139" t="s">
        <v>98</v>
      </c>
      <c r="AJ52" s="139" t="s">
        <v>895</v>
      </c>
    </row>
    <row r="53" spans="1:36" ht="15.75" x14ac:dyDescent="0.25">
      <c r="A53" s="115">
        <v>3928</v>
      </c>
      <c r="B53" s="116" t="s">
        <v>36</v>
      </c>
      <c r="C53" s="117" t="s">
        <v>37</v>
      </c>
      <c r="D53" s="118" t="s">
        <v>36</v>
      </c>
      <c r="E53" s="119" t="s">
        <v>38</v>
      </c>
      <c r="F53" s="120" t="s">
        <v>39</v>
      </c>
      <c r="G53" s="118" t="s">
        <v>40</v>
      </c>
      <c r="H53" s="121" t="s">
        <v>41</v>
      </c>
      <c r="I53" s="120" t="s">
        <v>301</v>
      </c>
      <c r="J53" s="122" t="s">
        <v>302</v>
      </c>
      <c r="K53" s="123" t="s">
        <v>303</v>
      </c>
      <c r="L53" t="s">
        <v>1307</v>
      </c>
      <c r="M53" s="124" t="s">
        <v>1308</v>
      </c>
      <c r="N53" s="125" t="s">
        <v>1309</v>
      </c>
      <c r="O53" s="126" t="s">
        <v>929</v>
      </c>
      <c r="P53" s="127"/>
      <c r="Q53" s="128"/>
      <c r="R53" s="128"/>
      <c r="S53" s="129">
        <v>436.5</v>
      </c>
      <c r="T53" s="130" t="s">
        <v>1327</v>
      </c>
      <c r="U53" s="131">
        <v>45324</v>
      </c>
      <c r="V53" s="132"/>
      <c r="W53" s="133"/>
      <c r="X53" s="134" t="s">
        <v>1333</v>
      </c>
      <c r="Y53" s="135" t="s">
        <v>912</v>
      </c>
      <c r="Z53" s="128" t="s">
        <v>96</v>
      </c>
      <c r="AA53" s="128" t="s">
        <v>1328</v>
      </c>
      <c r="AB53" s="136" t="s">
        <v>256</v>
      </c>
      <c r="AC53" s="137" t="s">
        <v>914</v>
      </c>
      <c r="AD53" s="136" t="s">
        <v>961</v>
      </c>
      <c r="AE53" s="136" t="s">
        <v>962</v>
      </c>
      <c r="AF53" s="136" t="s">
        <v>59</v>
      </c>
      <c r="AG53" s="136" t="s">
        <v>59</v>
      </c>
      <c r="AH53" s="138">
        <v>-436.5</v>
      </c>
      <c r="AI53" s="139" t="s">
        <v>98</v>
      </c>
      <c r="AJ53" s="139" t="s">
        <v>895</v>
      </c>
    </row>
    <row r="54" spans="1:36" ht="15.75" x14ac:dyDescent="0.25">
      <c r="A54" s="115">
        <v>4692</v>
      </c>
      <c r="B54" s="116" t="s">
        <v>36</v>
      </c>
      <c r="C54" s="117" t="s">
        <v>37</v>
      </c>
      <c r="D54" s="118" t="s">
        <v>36</v>
      </c>
      <c r="E54" s="119" t="s">
        <v>38</v>
      </c>
      <c r="F54" s="120" t="s">
        <v>39</v>
      </c>
      <c r="G54" s="118" t="s">
        <v>40</v>
      </c>
      <c r="H54" s="121" t="s">
        <v>41</v>
      </c>
      <c r="I54" s="120" t="s">
        <v>524</v>
      </c>
      <c r="J54" s="122" t="s">
        <v>525</v>
      </c>
      <c r="K54" s="123" t="s">
        <v>526</v>
      </c>
      <c r="L54" t="s">
        <v>1307</v>
      </c>
      <c r="M54" s="124" t="s">
        <v>1308</v>
      </c>
      <c r="N54" s="125" t="s">
        <v>1309</v>
      </c>
      <c r="O54" s="126" t="s">
        <v>929</v>
      </c>
      <c r="P54" s="127"/>
      <c r="Q54" s="128"/>
      <c r="R54" s="128"/>
      <c r="S54" s="129">
        <v>9383.9</v>
      </c>
      <c r="T54" s="130" t="s">
        <v>1327</v>
      </c>
      <c r="U54" s="131">
        <v>45331</v>
      </c>
      <c r="V54" s="132"/>
      <c r="W54" s="133"/>
      <c r="X54" s="134" t="s">
        <v>1317</v>
      </c>
      <c r="Y54" s="135" t="s">
        <v>912</v>
      </c>
      <c r="Z54" s="128" t="s">
        <v>96</v>
      </c>
      <c r="AA54" s="128" t="s">
        <v>1339</v>
      </c>
      <c r="AB54" s="136" t="s">
        <v>256</v>
      </c>
      <c r="AC54" s="137" t="s">
        <v>914</v>
      </c>
      <c r="AD54" s="136" t="s">
        <v>961</v>
      </c>
      <c r="AE54" s="136" t="s">
        <v>962</v>
      </c>
      <c r="AF54" s="136" t="s">
        <v>59</v>
      </c>
      <c r="AG54" s="136" t="s">
        <v>59</v>
      </c>
      <c r="AH54" s="138">
        <v>-9383.9</v>
      </c>
      <c r="AI54" s="139" t="s">
        <v>98</v>
      </c>
      <c r="AJ54" s="139" t="s">
        <v>895</v>
      </c>
    </row>
    <row r="55" spans="1:36" ht="15.75" x14ac:dyDescent="0.25">
      <c r="A55" s="115">
        <v>5579</v>
      </c>
      <c r="B55" s="116" t="s">
        <v>36</v>
      </c>
      <c r="C55" s="117" t="s">
        <v>37</v>
      </c>
      <c r="D55" s="118" t="s">
        <v>36</v>
      </c>
      <c r="E55" s="119" t="s">
        <v>38</v>
      </c>
      <c r="F55" s="140" t="s">
        <v>39</v>
      </c>
      <c r="G55" s="118" t="s">
        <v>40</v>
      </c>
      <c r="H55" s="121" t="s">
        <v>41</v>
      </c>
      <c r="I55" s="120" t="s">
        <v>301</v>
      </c>
      <c r="J55" s="122" t="s">
        <v>302</v>
      </c>
      <c r="K55" s="123" t="s">
        <v>303</v>
      </c>
      <c r="L55" t="s">
        <v>1307</v>
      </c>
      <c r="M55" s="124" t="s">
        <v>1308</v>
      </c>
      <c r="N55" s="125" t="s">
        <v>1309</v>
      </c>
      <c r="O55" s="126" t="s">
        <v>1329</v>
      </c>
      <c r="P55" s="127" t="s">
        <v>1330</v>
      </c>
      <c r="Q55" s="128">
        <v>913</v>
      </c>
      <c r="R55" s="128">
        <v>913</v>
      </c>
      <c r="S55" s="129">
        <v>913</v>
      </c>
      <c r="T55" s="130" t="s">
        <v>1340</v>
      </c>
      <c r="U55" s="131">
        <v>45341</v>
      </c>
      <c r="V55" s="132">
        <v>45342</v>
      </c>
      <c r="W55" s="133">
        <v>186</v>
      </c>
      <c r="X55" s="134" t="s">
        <v>258</v>
      </c>
      <c r="Y55" s="135" t="s">
        <v>912</v>
      </c>
      <c r="Z55" s="128" t="s">
        <v>57</v>
      </c>
      <c r="AA55" s="128"/>
      <c r="AB55" s="136" t="s">
        <v>256</v>
      </c>
      <c r="AC55" s="137" t="s">
        <v>914</v>
      </c>
      <c r="AD55" s="136" t="s">
        <v>961</v>
      </c>
      <c r="AE55" s="136" t="s">
        <v>962</v>
      </c>
      <c r="AF55" s="136" t="s">
        <v>59</v>
      </c>
      <c r="AG55" s="136" t="s">
        <v>59</v>
      </c>
      <c r="AH55" s="138">
        <v>-913</v>
      </c>
      <c r="AI55" s="139" t="s">
        <v>98</v>
      </c>
      <c r="AJ55" s="139" t="s">
        <v>895</v>
      </c>
    </row>
    <row r="56" spans="1:36" ht="15.75" x14ac:dyDescent="0.25">
      <c r="A56" s="115">
        <v>5631</v>
      </c>
      <c r="B56" s="116" t="s">
        <v>36</v>
      </c>
      <c r="C56" s="117" t="s">
        <v>37</v>
      </c>
      <c r="D56" s="118" t="s">
        <v>36</v>
      </c>
      <c r="E56" s="119" t="s">
        <v>38</v>
      </c>
      <c r="F56" s="120" t="s">
        <v>39</v>
      </c>
      <c r="G56" s="118" t="s">
        <v>40</v>
      </c>
      <c r="H56" s="121" t="s">
        <v>41</v>
      </c>
      <c r="I56" s="120" t="s">
        <v>42</v>
      </c>
      <c r="J56" s="122" t="s">
        <v>43</v>
      </c>
      <c r="K56" s="123" t="s">
        <v>44</v>
      </c>
      <c r="L56" t="s">
        <v>1307</v>
      </c>
      <c r="M56" s="124" t="s">
        <v>1308</v>
      </c>
      <c r="N56" s="125" t="s">
        <v>1309</v>
      </c>
      <c r="O56" s="126" t="s">
        <v>929</v>
      </c>
      <c r="P56" s="127"/>
      <c r="Q56" s="128"/>
      <c r="R56" s="128"/>
      <c r="S56" s="129">
        <v>938</v>
      </c>
      <c r="T56" s="130" t="s">
        <v>1332</v>
      </c>
      <c r="U56" s="131">
        <v>45342</v>
      </c>
      <c r="V56" s="132"/>
      <c r="W56" s="133"/>
      <c r="X56" s="134" t="s">
        <v>1314</v>
      </c>
      <c r="Y56" s="135" t="s">
        <v>912</v>
      </c>
      <c r="Z56" s="128" t="s">
        <v>96</v>
      </c>
      <c r="AA56" s="128"/>
      <c r="AB56" s="136" t="s">
        <v>256</v>
      </c>
      <c r="AC56" s="137" t="s">
        <v>914</v>
      </c>
      <c r="AD56" s="136" t="s">
        <v>961</v>
      </c>
      <c r="AE56" s="136" t="s">
        <v>962</v>
      </c>
      <c r="AF56" s="136" t="s">
        <v>59</v>
      </c>
      <c r="AG56" s="136" t="s">
        <v>59</v>
      </c>
      <c r="AH56" s="138">
        <v>-938</v>
      </c>
      <c r="AI56" s="139" t="s">
        <v>98</v>
      </c>
      <c r="AJ56" s="139" t="s">
        <v>895</v>
      </c>
    </row>
    <row r="57" spans="1:36" ht="15.75" x14ac:dyDescent="0.25">
      <c r="A57" s="115">
        <v>5637</v>
      </c>
      <c r="B57" s="116" t="s">
        <v>36</v>
      </c>
      <c r="C57" s="117" t="s">
        <v>37</v>
      </c>
      <c r="D57" s="118" t="s">
        <v>36</v>
      </c>
      <c r="E57" s="119" t="s">
        <v>38</v>
      </c>
      <c r="F57" s="120" t="s">
        <v>39</v>
      </c>
      <c r="G57" s="118" t="s">
        <v>40</v>
      </c>
      <c r="H57" s="121" t="s">
        <v>41</v>
      </c>
      <c r="I57" s="120" t="s">
        <v>301</v>
      </c>
      <c r="J57" s="122" t="s">
        <v>302</v>
      </c>
      <c r="K57" s="123" t="s">
        <v>303</v>
      </c>
      <c r="L57" t="s">
        <v>1307</v>
      </c>
      <c r="M57" s="124" t="s">
        <v>1308</v>
      </c>
      <c r="N57" s="125" t="s">
        <v>1309</v>
      </c>
      <c r="O57" s="126" t="s">
        <v>929</v>
      </c>
      <c r="P57" s="127" t="s">
        <v>1332</v>
      </c>
      <c r="Q57" s="128"/>
      <c r="R57" s="128"/>
      <c r="S57" s="129">
        <v>892.84</v>
      </c>
      <c r="T57" s="130" t="s">
        <v>1332</v>
      </c>
      <c r="U57" s="131">
        <v>45342</v>
      </c>
      <c r="V57" s="132"/>
      <c r="W57" s="133"/>
      <c r="X57" s="134" t="s">
        <v>1333</v>
      </c>
      <c r="Y57" s="135" t="s">
        <v>912</v>
      </c>
      <c r="Z57" s="128" t="s">
        <v>57</v>
      </c>
      <c r="AA57" s="128"/>
      <c r="AB57" s="136" t="s">
        <v>256</v>
      </c>
      <c r="AC57" s="137" t="s">
        <v>914</v>
      </c>
      <c r="AD57" s="136" t="s">
        <v>961</v>
      </c>
      <c r="AE57" s="136" t="s">
        <v>962</v>
      </c>
      <c r="AF57" s="136" t="s">
        <v>59</v>
      </c>
      <c r="AG57" s="136" t="s">
        <v>59</v>
      </c>
      <c r="AH57" s="138">
        <v>-892.84</v>
      </c>
      <c r="AI57" s="139" t="s">
        <v>98</v>
      </c>
      <c r="AJ57" s="139" t="s">
        <v>895</v>
      </c>
    </row>
    <row r="58" spans="1:36" ht="15.75" x14ac:dyDescent="0.25">
      <c r="A58" s="115">
        <v>5662</v>
      </c>
      <c r="B58" s="116" t="s">
        <v>36</v>
      </c>
      <c r="C58" s="117" t="s">
        <v>37</v>
      </c>
      <c r="D58" s="118" t="s">
        <v>36</v>
      </c>
      <c r="E58" s="119" t="s">
        <v>38</v>
      </c>
      <c r="F58" s="120" t="s">
        <v>39</v>
      </c>
      <c r="G58" s="118" t="s">
        <v>40</v>
      </c>
      <c r="H58" s="121" t="s">
        <v>41</v>
      </c>
      <c r="I58" s="120" t="s">
        <v>524</v>
      </c>
      <c r="J58" s="122" t="s">
        <v>525</v>
      </c>
      <c r="K58" s="123" t="s">
        <v>526</v>
      </c>
      <c r="L58" t="s">
        <v>1307</v>
      </c>
      <c r="M58" s="124" t="s">
        <v>1308</v>
      </c>
      <c r="N58" s="125" t="s">
        <v>1309</v>
      </c>
      <c r="O58" s="126" t="s">
        <v>929</v>
      </c>
      <c r="P58" s="127"/>
      <c r="Q58" s="128"/>
      <c r="R58" s="128"/>
      <c r="S58" s="129">
        <v>938</v>
      </c>
      <c r="T58" s="130" t="s">
        <v>1332</v>
      </c>
      <c r="U58" s="131">
        <v>45342</v>
      </c>
      <c r="V58" s="132"/>
      <c r="W58" s="133"/>
      <c r="X58" s="134" t="s">
        <v>1338</v>
      </c>
      <c r="Y58" s="135" t="s">
        <v>912</v>
      </c>
      <c r="Z58" s="128" t="s">
        <v>57</v>
      </c>
      <c r="AA58" s="128"/>
      <c r="AB58" s="136" t="s">
        <v>256</v>
      </c>
      <c r="AC58" s="137" t="s">
        <v>914</v>
      </c>
      <c r="AD58" s="136" t="s">
        <v>961</v>
      </c>
      <c r="AE58" s="136" t="s">
        <v>962</v>
      </c>
      <c r="AF58" s="136" t="s">
        <v>59</v>
      </c>
      <c r="AG58" s="136" t="s">
        <v>59</v>
      </c>
      <c r="AH58" s="138">
        <v>-938</v>
      </c>
      <c r="AI58" s="139" t="s">
        <v>98</v>
      </c>
      <c r="AJ58" s="139" t="s">
        <v>895</v>
      </c>
    </row>
    <row r="59" spans="1:36" ht="15.75" x14ac:dyDescent="0.25">
      <c r="A59" s="115">
        <v>5669</v>
      </c>
      <c r="B59" s="116" t="s">
        <v>36</v>
      </c>
      <c r="C59" s="117" t="s">
        <v>37</v>
      </c>
      <c r="D59" s="118" t="s">
        <v>36</v>
      </c>
      <c r="E59" s="119" t="s">
        <v>38</v>
      </c>
      <c r="F59" s="120" t="s">
        <v>39</v>
      </c>
      <c r="G59" s="118" t="s">
        <v>40</v>
      </c>
      <c r="H59" s="121" t="s">
        <v>41</v>
      </c>
      <c r="I59" s="120" t="s">
        <v>524</v>
      </c>
      <c r="J59" s="122" t="s">
        <v>525</v>
      </c>
      <c r="K59" s="123" t="s">
        <v>526</v>
      </c>
      <c r="L59" t="s">
        <v>1307</v>
      </c>
      <c r="M59" s="124" t="s">
        <v>1308</v>
      </c>
      <c r="N59" s="125" t="s">
        <v>1309</v>
      </c>
      <c r="O59" s="126" t="s">
        <v>929</v>
      </c>
      <c r="P59" s="127"/>
      <c r="Q59" s="128"/>
      <c r="R59" s="128"/>
      <c r="S59" s="129">
        <v>908.74</v>
      </c>
      <c r="T59" s="130" t="s">
        <v>1332</v>
      </c>
      <c r="U59" s="131">
        <v>45342</v>
      </c>
      <c r="V59" s="132"/>
      <c r="W59" s="133"/>
      <c r="X59" s="134" t="s">
        <v>1334</v>
      </c>
      <c r="Y59" s="135" t="s">
        <v>912</v>
      </c>
      <c r="Z59" s="128" t="s">
        <v>96</v>
      </c>
      <c r="AA59" s="128"/>
      <c r="AB59" s="136" t="s">
        <v>256</v>
      </c>
      <c r="AC59" s="137" t="s">
        <v>914</v>
      </c>
      <c r="AD59" s="136" t="s">
        <v>961</v>
      </c>
      <c r="AE59" s="136" t="s">
        <v>962</v>
      </c>
      <c r="AF59" s="136" t="s">
        <v>59</v>
      </c>
      <c r="AG59" s="136" t="s">
        <v>59</v>
      </c>
      <c r="AH59" s="138">
        <v>-908.74</v>
      </c>
      <c r="AI59" s="139" t="s">
        <v>98</v>
      </c>
      <c r="AJ59" s="139" t="s">
        <v>895</v>
      </c>
    </row>
    <row r="60" spans="1:36" ht="15.75" x14ac:dyDescent="0.25">
      <c r="A60" s="115">
        <v>5677</v>
      </c>
      <c r="B60" s="116" t="s">
        <v>36</v>
      </c>
      <c r="C60" s="117" t="s">
        <v>37</v>
      </c>
      <c r="D60" s="118" t="s">
        <v>36</v>
      </c>
      <c r="E60" s="119" t="s">
        <v>38</v>
      </c>
      <c r="F60" s="120" t="s">
        <v>39</v>
      </c>
      <c r="G60" s="118" t="s">
        <v>40</v>
      </c>
      <c r="H60" s="121" t="s">
        <v>41</v>
      </c>
      <c r="I60" s="120" t="s">
        <v>1319</v>
      </c>
      <c r="J60" s="122" t="s">
        <v>1320</v>
      </c>
      <c r="K60" s="123" t="s">
        <v>1321</v>
      </c>
      <c r="L60" t="s">
        <v>1307</v>
      </c>
      <c r="M60" s="124" t="s">
        <v>1308</v>
      </c>
      <c r="N60" s="125" t="s">
        <v>1309</v>
      </c>
      <c r="O60" s="126" t="s">
        <v>929</v>
      </c>
      <c r="P60" s="127"/>
      <c r="Q60" s="128"/>
      <c r="R60" s="128"/>
      <c r="S60" s="129">
        <v>938</v>
      </c>
      <c r="T60" s="130" t="s">
        <v>1332</v>
      </c>
      <c r="U60" s="131">
        <v>45342</v>
      </c>
      <c r="V60" s="132"/>
      <c r="W60" s="133"/>
      <c r="X60" s="134" t="s">
        <v>1322</v>
      </c>
      <c r="Y60" s="135" t="s">
        <v>912</v>
      </c>
      <c r="Z60" s="128" t="s">
        <v>96</v>
      </c>
      <c r="AA60" s="128"/>
      <c r="AB60" s="136" t="s">
        <v>256</v>
      </c>
      <c r="AC60" s="137" t="s">
        <v>914</v>
      </c>
      <c r="AD60" s="136" t="s">
        <v>961</v>
      </c>
      <c r="AE60" s="136" t="s">
        <v>962</v>
      </c>
      <c r="AF60" s="136" t="s">
        <v>59</v>
      </c>
      <c r="AG60" s="136" t="s">
        <v>59</v>
      </c>
      <c r="AH60" s="138">
        <v>-938</v>
      </c>
      <c r="AI60" s="139" t="s">
        <v>98</v>
      </c>
      <c r="AJ60" s="139" t="s">
        <v>895</v>
      </c>
    </row>
    <row r="61" spans="1:36" ht="15.75" x14ac:dyDescent="0.25">
      <c r="A61" s="115">
        <v>5708</v>
      </c>
      <c r="B61" s="116" t="s">
        <v>36</v>
      </c>
      <c r="C61" s="117" t="s">
        <v>37</v>
      </c>
      <c r="D61" s="118" t="s">
        <v>36</v>
      </c>
      <c r="E61" s="119" t="s">
        <v>38</v>
      </c>
      <c r="F61" s="140" t="s">
        <v>39</v>
      </c>
      <c r="G61" s="118" t="s">
        <v>40</v>
      </c>
      <c r="H61" s="121" t="s">
        <v>41</v>
      </c>
      <c r="I61" s="120" t="s">
        <v>524</v>
      </c>
      <c r="J61" s="122" t="s">
        <v>525</v>
      </c>
      <c r="K61" s="123" t="s">
        <v>526</v>
      </c>
      <c r="L61" t="s">
        <v>1307</v>
      </c>
      <c r="M61" s="124" t="s">
        <v>1308</v>
      </c>
      <c r="N61" s="125" t="s">
        <v>1309</v>
      </c>
      <c r="O61" s="126" t="s">
        <v>929</v>
      </c>
      <c r="P61" s="127"/>
      <c r="Q61" s="128"/>
      <c r="R61" s="128"/>
      <c r="S61" s="129">
        <v>909.93</v>
      </c>
      <c r="T61" s="130" t="s">
        <v>1332</v>
      </c>
      <c r="U61" s="131">
        <v>45342</v>
      </c>
      <c r="V61" s="132"/>
      <c r="W61" s="133"/>
      <c r="X61" s="134" t="s">
        <v>1215</v>
      </c>
      <c r="Y61" s="135" t="s">
        <v>912</v>
      </c>
      <c r="Z61" s="128" t="s">
        <v>96</v>
      </c>
      <c r="AA61" s="128"/>
      <c r="AB61" s="136" t="s">
        <v>256</v>
      </c>
      <c r="AC61" s="137" t="s">
        <v>914</v>
      </c>
      <c r="AD61" s="136" t="s">
        <v>961</v>
      </c>
      <c r="AE61" s="136" t="s">
        <v>962</v>
      </c>
      <c r="AF61" s="136" t="s">
        <v>59</v>
      </c>
      <c r="AG61" s="136" t="s">
        <v>59</v>
      </c>
      <c r="AH61" s="138">
        <v>-909.93</v>
      </c>
      <c r="AI61" s="139" t="s">
        <v>98</v>
      </c>
      <c r="AJ61" s="139" t="s">
        <v>895</v>
      </c>
    </row>
    <row r="62" spans="1:36" ht="15.75" x14ac:dyDescent="0.25">
      <c r="A62" s="115">
        <v>5727</v>
      </c>
      <c r="B62" s="116" t="s">
        <v>36</v>
      </c>
      <c r="C62" s="117" t="s">
        <v>37</v>
      </c>
      <c r="D62" s="118" t="s">
        <v>36</v>
      </c>
      <c r="E62" s="119" t="s">
        <v>38</v>
      </c>
      <c r="F62" s="140" t="s">
        <v>39</v>
      </c>
      <c r="G62" s="118" t="s">
        <v>40</v>
      </c>
      <c r="H62" s="121" t="s">
        <v>41</v>
      </c>
      <c r="I62" s="120" t="s">
        <v>42</v>
      </c>
      <c r="J62" s="122" t="s">
        <v>43</v>
      </c>
      <c r="K62" s="123" t="s">
        <v>44</v>
      </c>
      <c r="L62" t="s">
        <v>1307</v>
      </c>
      <c r="M62" s="124" t="s">
        <v>1308</v>
      </c>
      <c r="N62" s="125" t="s">
        <v>1309</v>
      </c>
      <c r="O62" s="126" t="s">
        <v>929</v>
      </c>
      <c r="P62" s="127"/>
      <c r="Q62" s="128"/>
      <c r="R62" s="128"/>
      <c r="S62" s="129">
        <v>938</v>
      </c>
      <c r="T62" s="130" t="s">
        <v>1332</v>
      </c>
      <c r="U62" s="131">
        <v>45342</v>
      </c>
      <c r="V62" s="132"/>
      <c r="W62" s="133"/>
      <c r="X62" s="134" t="s">
        <v>1335</v>
      </c>
      <c r="Y62" s="135" t="s">
        <v>912</v>
      </c>
      <c r="Z62" s="128" t="s">
        <v>96</v>
      </c>
      <c r="AA62" s="128"/>
      <c r="AB62" s="136" t="s">
        <v>256</v>
      </c>
      <c r="AC62" s="137" t="s">
        <v>914</v>
      </c>
      <c r="AD62" s="136" t="s">
        <v>961</v>
      </c>
      <c r="AE62" s="136" t="s">
        <v>962</v>
      </c>
      <c r="AF62" s="136" t="s">
        <v>59</v>
      </c>
      <c r="AG62" s="136" t="s">
        <v>59</v>
      </c>
      <c r="AH62" s="138">
        <v>-938</v>
      </c>
      <c r="AI62" s="139" t="s">
        <v>98</v>
      </c>
      <c r="AJ62" s="139" t="s">
        <v>895</v>
      </c>
    </row>
    <row r="63" spans="1:36" ht="15.75" x14ac:dyDescent="0.25">
      <c r="A63" s="115">
        <v>5743</v>
      </c>
      <c r="B63" s="116" t="s">
        <v>36</v>
      </c>
      <c r="C63" s="117" t="s">
        <v>37</v>
      </c>
      <c r="D63" s="118" t="s">
        <v>36</v>
      </c>
      <c r="E63" s="119" t="s">
        <v>38</v>
      </c>
      <c r="F63" s="120" t="s">
        <v>39</v>
      </c>
      <c r="G63" s="118" t="s">
        <v>40</v>
      </c>
      <c r="H63" s="121" t="s">
        <v>41</v>
      </c>
      <c r="I63" s="120" t="s">
        <v>1319</v>
      </c>
      <c r="J63" s="122" t="s">
        <v>1320</v>
      </c>
      <c r="K63" s="123" t="s">
        <v>1321</v>
      </c>
      <c r="L63" t="s">
        <v>1307</v>
      </c>
      <c r="M63" s="124" t="s">
        <v>1308</v>
      </c>
      <c r="N63" s="125" t="s">
        <v>1309</v>
      </c>
      <c r="O63" s="126" t="s">
        <v>929</v>
      </c>
      <c r="P63" s="127"/>
      <c r="Q63" s="128"/>
      <c r="R63" s="128"/>
      <c r="S63" s="129">
        <v>938</v>
      </c>
      <c r="T63" s="130" t="s">
        <v>1332</v>
      </c>
      <c r="U63" s="131">
        <v>45342</v>
      </c>
      <c r="V63" s="132"/>
      <c r="W63" s="133"/>
      <c r="X63" s="134" t="s">
        <v>1326</v>
      </c>
      <c r="Y63" s="135" t="s">
        <v>912</v>
      </c>
      <c r="Z63" s="128" t="s">
        <v>96</v>
      </c>
      <c r="AA63" s="128"/>
      <c r="AB63" s="136" t="s">
        <v>256</v>
      </c>
      <c r="AC63" s="137" t="s">
        <v>914</v>
      </c>
      <c r="AD63" s="136" t="s">
        <v>961</v>
      </c>
      <c r="AE63" s="136" t="s">
        <v>962</v>
      </c>
      <c r="AF63" s="136" t="s">
        <v>59</v>
      </c>
      <c r="AG63" s="136" t="s">
        <v>59</v>
      </c>
      <c r="AH63" s="138">
        <v>-938</v>
      </c>
      <c r="AI63" s="139" t="s">
        <v>98</v>
      </c>
      <c r="AJ63" s="139" t="s">
        <v>895</v>
      </c>
    </row>
    <row r="64" spans="1:36" ht="15.75" x14ac:dyDescent="0.25">
      <c r="A64" s="115">
        <v>5744</v>
      </c>
      <c r="B64" s="116" t="s">
        <v>36</v>
      </c>
      <c r="C64" s="117" t="s">
        <v>37</v>
      </c>
      <c r="D64" s="118" t="s">
        <v>36</v>
      </c>
      <c r="E64" s="119" t="s">
        <v>38</v>
      </c>
      <c r="F64" s="120" t="s">
        <v>39</v>
      </c>
      <c r="G64" s="118" t="s">
        <v>40</v>
      </c>
      <c r="H64" s="121" t="s">
        <v>41</v>
      </c>
      <c r="I64" s="120" t="s">
        <v>946</v>
      </c>
      <c r="J64" s="122" t="s">
        <v>947</v>
      </c>
      <c r="K64" s="123" t="s">
        <v>948</v>
      </c>
      <c r="L64" t="s">
        <v>1307</v>
      </c>
      <c r="M64" s="124" t="s">
        <v>1308</v>
      </c>
      <c r="N64" s="125" t="s">
        <v>1309</v>
      </c>
      <c r="O64" s="126" t="s">
        <v>929</v>
      </c>
      <c r="P64" s="127"/>
      <c r="Q64" s="128"/>
      <c r="R64" s="128"/>
      <c r="S64" s="129">
        <v>938</v>
      </c>
      <c r="T64" s="130" t="s">
        <v>1332</v>
      </c>
      <c r="U64" s="131">
        <v>45342</v>
      </c>
      <c r="V64" s="132"/>
      <c r="W64" s="133"/>
      <c r="X64" s="134" t="s">
        <v>951</v>
      </c>
      <c r="Y64" s="135" t="s">
        <v>912</v>
      </c>
      <c r="Z64" s="128" t="s">
        <v>96</v>
      </c>
      <c r="AA64" s="128"/>
      <c r="AB64" s="136" t="s">
        <v>256</v>
      </c>
      <c r="AC64" s="137" t="s">
        <v>914</v>
      </c>
      <c r="AD64" s="136" t="s">
        <v>961</v>
      </c>
      <c r="AE64" s="136" t="s">
        <v>962</v>
      </c>
      <c r="AF64" s="136" t="s">
        <v>59</v>
      </c>
      <c r="AG64" s="136" t="s">
        <v>59</v>
      </c>
      <c r="AH64" s="138">
        <v>-938</v>
      </c>
      <c r="AI64" s="139" t="s">
        <v>98</v>
      </c>
      <c r="AJ64" s="139" t="s">
        <v>895</v>
      </c>
    </row>
    <row r="65" spans="1:36" ht="15.75" x14ac:dyDescent="0.25">
      <c r="A65" s="115">
        <v>6082</v>
      </c>
      <c r="B65" s="116" t="s">
        <v>36</v>
      </c>
      <c r="C65" s="117" t="s">
        <v>37</v>
      </c>
      <c r="D65" s="118" t="s">
        <v>36</v>
      </c>
      <c r="E65" s="119" t="s">
        <v>38</v>
      </c>
      <c r="F65" s="120" t="s">
        <v>39</v>
      </c>
      <c r="G65" s="118" t="s">
        <v>40</v>
      </c>
      <c r="H65" s="121" t="s">
        <v>41</v>
      </c>
      <c r="I65" s="120" t="s">
        <v>524</v>
      </c>
      <c r="J65" s="122" t="s">
        <v>525</v>
      </c>
      <c r="K65" s="123" t="s">
        <v>526</v>
      </c>
      <c r="L65" t="s">
        <v>1307</v>
      </c>
      <c r="M65" s="124" t="s">
        <v>1308</v>
      </c>
      <c r="N65" s="125" t="s">
        <v>1309</v>
      </c>
      <c r="O65" s="126" t="s">
        <v>929</v>
      </c>
      <c r="P65" s="127"/>
      <c r="Q65" s="128"/>
      <c r="R65" s="128"/>
      <c r="S65" s="129">
        <v>100</v>
      </c>
      <c r="T65" s="130" t="s">
        <v>1327</v>
      </c>
      <c r="U65" s="131">
        <v>45345</v>
      </c>
      <c r="V65" s="132"/>
      <c r="W65" s="133"/>
      <c r="X65" s="134" t="s">
        <v>1338</v>
      </c>
      <c r="Y65" s="135" t="s">
        <v>912</v>
      </c>
      <c r="Z65" s="128" t="s">
        <v>96</v>
      </c>
      <c r="AA65" s="128" t="s">
        <v>1328</v>
      </c>
      <c r="AB65" s="136" t="s">
        <v>256</v>
      </c>
      <c r="AC65" s="137" t="s">
        <v>914</v>
      </c>
      <c r="AD65" s="136" t="s">
        <v>961</v>
      </c>
      <c r="AE65" s="136" t="s">
        <v>962</v>
      </c>
      <c r="AF65" s="136" t="s">
        <v>59</v>
      </c>
      <c r="AG65" s="136" t="s">
        <v>59</v>
      </c>
      <c r="AH65" s="138">
        <v>-100</v>
      </c>
      <c r="AI65" s="139" t="s">
        <v>98</v>
      </c>
      <c r="AJ65" s="139" t="s">
        <v>895</v>
      </c>
    </row>
    <row r="66" spans="1:36" ht="15.75" x14ac:dyDescent="0.25">
      <c r="A66" s="115">
        <v>6516</v>
      </c>
      <c r="B66" s="116" t="s">
        <v>36</v>
      </c>
      <c r="C66" s="117" t="s">
        <v>37</v>
      </c>
      <c r="D66" s="118" t="s">
        <v>36</v>
      </c>
      <c r="E66" s="119" t="s">
        <v>38</v>
      </c>
      <c r="F66" s="120" t="s">
        <v>39</v>
      </c>
      <c r="G66" s="118" t="s">
        <v>40</v>
      </c>
      <c r="H66" s="121" t="s">
        <v>41</v>
      </c>
      <c r="I66" s="120" t="s">
        <v>524</v>
      </c>
      <c r="J66" s="122" t="s">
        <v>525</v>
      </c>
      <c r="K66" s="123" t="s">
        <v>526</v>
      </c>
      <c r="L66" t="s">
        <v>1307</v>
      </c>
      <c r="M66" s="124" t="s">
        <v>1308</v>
      </c>
      <c r="N66" s="125" t="s">
        <v>1309</v>
      </c>
      <c r="O66" s="126" t="s">
        <v>929</v>
      </c>
      <c r="P66" s="127"/>
      <c r="Q66" s="128"/>
      <c r="R66" s="128"/>
      <c r="S66" s="129">
        <v>2471.5700000000002</v>
      </c>
      <c r="T66" s="130" t="s">
        <v>1336</v>
      </c>
      <c r="U66" s="131">
        <v>45350</v>
      </c>
      <c r="V66" s="132"/>
      <c r="W66" s="133"/>
      <c r="X66" s="134" t="s">
        <v>1338</v>
      </c>
      <c r="Y66" s="135" t="s">
        <v>912</v>
      </c>
      <c r="Z66" s="128" t="s">
        <v>57</v>
      </c>
      <c r="AA66" s="128"/>
      <c r="AB66" s="136" t="s">
        <v>256</v>
      </c>
      <c r="AC66" s="137" t="s">
        <v>914</v>
      </c>
      <c r="AD66" s="136" t="s">
        <v>961</v>
      </c>
      <c r="AE66" s="136" t="s">
        <v>962</v>
      </c>
      <c r="AF66" s="136" t="s">
        <v>59</v>
      </c>
      <c r="AG66" s="136" t="s">
        <v>59</v>
      </c>
      <c r="AH66" s="138">
        <v>-2471.5700000000002</v>
      </c>
      <c r="AI66" s="139" t="s">
        <v>98</v>
      </c>
      <c r="AJ66" s="139" t="s">
        <v>895</v>
      </c>
    </row>
    <row r="67" spans="1:36" ht="15.75" x14ac:dyDescent="0.25">
      <c r="A67" s="115">
        <v>6636</v>
      </c>
      <c r="B67" s="116" t="s">
        <v>36</v>
      </c>
      <c r="C67" s="117" t="s">
        <v>37</v>
      </c>
      <c r="D67" s="118" t="s">
        <v>36</v>
      </c>
      <c r="E67" s="119" t="s">
        <v>38</v>
      </c>
      <c r="F67" s="120" t="s">
        <v>39</v>
      </c>
      <c r="G67" s="118" t="s">
        <v>40</v>
      </c>
      <c r="H67" s="121" t="s">
        <v>41</v>
      </c>
      <c r="I67" s="120" t="s">
        <v>301</v>
      </c>
      <c r="J67" s="122" t="s">
        <v>302</v>
      </c>
      <c r="K67" s="123" t="s">
        <v>303</v>
      </c>
      <c r="L67" t="s">
        <v>1307</v>
      </c>
      <c r="M67" s="124" t="s">
        <v>1308</v>
      </c>
      <c r="N67" s="125" t="s">
        <v>1309</v>
      </c>
      <c r="O67" s="126" t="s">
        <v>929</v>
      </c>
      <c r="P67" s="127"/>
      <c r="Q67" s="128"/>
      <c r="R67" s="128"/>
      <c r="S67" s="129">
        <v>4105.53</v>
      </c>
      <c r="T67" s="130" t="s">
        <v>1336</v>
      </c>
      <c r="U67" s="131">
        <v>45351</v>
      </c>
      <c r="V67" s="132"/>
      <c r="W67" s="133"/>
      <c r="X67" s="134" t="s">
        <v>1046</v>
      </c>
      <c r="Y67" s="135" t="s">
        <v>912</v>
      </c>
      <c r="Z67" s="128" t="s">
        <v>96</v>
      </c>
      <c r="AA67" s="128" t="s">
        <v>1328</v>
      </c>
      <c r="AB67" s="136" t="s">
        <v>256</v>
      </c>
      <c r="AC67" s="137" t="s">
        <v>914</v>
      </c>
      <c r="AD67" s="136" t="s">
        <v>961</v>
      </c>
      <c r="AE67" s="136" t="s">
        <v>962</v>
      </c>
      <c r="AF67" s="136" t="s">
        <v>59</v>
      </c>
      <c r="AG67" s="136" t="s">
        <v>59</v>
      </c>
      <c r="AH67" s="138">
        <v>-4105.53</v>
      </c>
      <c r="AI67" s="139" t="s">
        <v>98</v>
      </c>
      <c r="AJ67" s="139" t="s">
        <v>895</v>
      </c>
    </row>
    <row r="68" spans="1:36" ht="15.75" x14ac:dyDescent="0.25">
      <c r="A68" s="115">
        <v>6637</v>
      </c>
      <c r="B68" s="116" t="s">
        <v>36</v>
      </c>
      <c r="C68" s="117" t="s">
        <v>37</v>
      </c>
      <c r="D68" s="118" t="s">
        <v>36</v>
      </c>
      <c r="E68" s="119" t="s">
        <v>38</v>
      </c>
      <c r="F68" s="120" t="s">
        <v>39</v>
      </c>
      <c r="G68" s="118" t="s">
        <v>40</v>
      </c>
      <c r="H68" s="121" t="s">
        <v>41</v>
      </c>
      <c r="I68" s="120" t="s">
        <v>42</v>
      </c>
      <c r="J68" s="122" t="s">
        <v>43</v>
      </c>
      <c r="K68" s="123" t="s">
        <v>44</v>
      </c>
      <c r="L68" t="s">
        <v>1307</v>
      </c>
      <c r="M68" s="124" t="s">
        <v>1308</v>
      </c>
      <c r="N68" s="125" t="s">
        <v>1309</v>
      </c>
      <c r="O68" s="126" t="s">
        <v>929</v>
      </c>
      <c r="P68" s="127"/>
      <c r="Q68" s="128"/>
      <c r="R68" s="128"/>
      <c r="S68" s="129">
        <v>3111.4</v>
      </c>
      <c r="T68" s="130" t="s">
        <v>1336</v>
      </c>
      <c r="U68" s="131">
        <v>45351</v>
      </c>
      <c r="V68" s="132"/>
      <c r="W68" s="133"/>
      <c r="X68" s="134" t="s">
        <v>1314</v>
      </c>
      <c r="Y68" s="135" t="s">
        <v>912</v>
      </c>
      <c r="Z68" s="128" t="s">
        <v>96</v>
      </c>
      <c r="AA68" s="128"/>
      <c r="AB68" s="136" t="s">
        <v>256</v>
      </c>
      <c r="AC68" s="137" t="s">
        <v>914</v>
      </c>
      <c r="AD68" s="136" t="s">
        <v>961</v>
      </c>
      <c r="AE68" s="136" t="s">
        <v>962</v>
      </c>
      <c r="AF68" s="136" t="s">
        <v>59</v>
      </c>
      <c r="AG68" s="136" t="s">
        <v>59</v>
      </c>
      <c r="AH68" s="138">
        <v>-3111.4</v>
      </c>
      <c r="AI68" s="139" t="s">
        <v>98</v>
      </c>
      <c r="AJ68" s="139" t="s">
        <v>895</v>
      </c>
    </row>
    <row r="69" spans="1:36" ht="15.75" x14ac:dyDescent="0.25">
      <c r="A69" s="115">
        <v>6647</v>
      </c>
      <c r="B69" s="116" t="s">
        <v>36</v>
      </c>
      <c r="C69" s="117" t="s">
        <v>37</v>
      </c>
      <c r="D69" s="118" t="s">
        <v>36</v>
      </c>
      <c r="E69" s="119" t="s">
        <v>38</v>
      </c>
      <c r="F69" s="120" t="s">
        <v>39</v>
      </c>
      <c r="G69" s="118" t="s">
        <v>40</v>
      </c>
      <c r="H69" s="121" t="s">
        <v>41</v>
      </c>
      <c r="I69" s="120" t="s">
        <v>301</v>
      </c>
      <c r="J69" s="122" t="s">
        <v>302</v>
      </c>
      <c r="K69" s="123" t="s">
        <v>303</v>
      </c>
      <c r="L69" t="s">
        <v>1307</v>
      </c>
      <c r="M69" s="124" t="s">
        <v>1308</v>
      </c>
      <c r="N69" s="125" t="s">
        <v>1309</v>
      </c>
      <c r="O69" s="126" t="s">
        <v>929</v>
      </c>
      <c r="P69" s="127" t="s">
        <v>1336</v>
      </c>
      <c r="Q69" s="128"/>
      <c r="R69" s="128"/>
      <c r="S69" s="129">
        <v>4131.55</v>
      </c>
      <c r="T69" s="130" t="s">
        <v>1336</v>
      </c>
      <c r="U69" s="131">
        <v>45351</v>
      </c>
      <c r="V69" s="132"/>
      <c r="W69" s="133"/>
      <c r="X69" s="134" t="s">
        <v>1333</v>
      </c>
      <c r="Y69" s="135" t="s">
        <v>912</v>
      </c>
      <c r="Z69" s="128" t="s">
        <v>57</v>
      </c>
      <c r="AA69" s="128"/>
      <c r="AB69" s="136" t="s">
        <v>256</v>
      </c>
      <c r="AC69" s="137" t="s">
        <v>914</v>
      </c>
      <c r="AD69" s="136" t="s">
        <v>961</v>
      </c>
      <c r="AE69" s="136" t="s">
        <v>962</v>
      </c>
      <c r="AF69" s="136" t="s">
        <v>59</v>
      </c>
      <c r="AG69" s="136" t="s">
        <v>59</v>
      </c>
      <c r="AH69" s="138">
        <v>-4131.55</v>
      </c>
      <c r="AI69" s="139" t="s">
        <v>98</v>
      </c>
      <c r="AJ69" s="139" t="s">
        <v>895</v>
      </c>
    </row>
    <row r="70" spans="1:36" ht="15.75" x14ac:dyDescent="0.25">
      <c r="A70" s="115">
        <v>6653</v>
      </c>
      <c r="B70" s="116" t="s">
        <v>36</v>
      </c>
      <c r="C70" s="117" t="s">
        <v>37</v>
      </c>
      <c r="D70" s="118" t="s">
        <v>36</v>
      </c>
      <c r="E70" s="119" t="s">
        <v>38</v>
      </c>
      <c r="F70" s="120" t="s">
        <v>39</v>
      </c>
      <c r="G70" s="118" t="s">
        <v>40</v>
      </c>
      <c r="H70" s="121" t="s">
        <v>41</v>
      </c>
      <c r="I70" s="120" t="s">
        <v>524</v>
      </c>
      <c r="J70" s="122" t="s">
        <v>525</v>
      </c>
      <c r="K70" s="123" t="s">
        <v>526</v>
      </c>
      <c r="L70" t="s">
        <v>1307</v>
      </c>
      <c r="M70" s="124" t="s">
        <v>1308</v>
      </c>
      <c r="N70" s="125" t="s">
        <v>1309</v>
      </c>
      <c r="O70" s="126" t="s">
        <v>929</v>
      </c>
      <c r="P70" s="127"/>
      <c r="Q70" s="128"/>
      <c r="R70" s="128"/>
      <c r="S70" s="129">
        <v>5283.23</v>
      </c>
      <c r="T70" s="130" t="s">
        <v>1336</v>
      </c>
      <c r="U70" s="131">
        <v>45351</v>
      </c>
      <c r="V70" s="132"/>
      <c r="W70" s="133"/>
      <c r="X70" s="134" t="s">
        <v>874</v>
      </c>
      <c r="Y70" s="135" t="s">
        <v>912</v>
      </c>
      <c r="Z70" s="128" t="s">
        <v>96</v>
      </c>
      <c r="AA70" s="128" t="s">
        <v>1328</v>
      </c>
      <c r="AB70" s="136" t="s">
        <v>256</v>
      </c>
      <c r="AC70" s="137" t="s">
        <v>914</v>
      </c>
      <c r="AD70" s="136" t="s">
        <v>961</v>
      </c>
      <c r="AE70" s="136" t="s">
        <v>962</v>
      </c>
      <c r="AF70" s="136" t="s">
        <v>59</v>
      </c>
      <c r="AG70" s="136" t="s">
        <v>59</v>
      </c>
      <c r="AH70" s="138">
        <v>-5283.23</v>
      </c>
      <c r="AI70" s="139" t="s">
        <v>98</v>
      </c>
      <c r="AJ70" s="139" t="s">
        <v>895</v>
      </c>
    </row>
    <row r="71" spans="1:36" ht="15.75" x14ac:dyDescent="0.25">
      <c r="A71" s="115">
        <v>6725</v>
      </c>
      <c r="B71" s="116" t="s">
        <v>36</v>
      </c>
      <c r="C71" s="117" t="s">
        <v>37</v>
      </c>
      <c r="D71" s="118" t="s">
        <v>36</v>
      </c>
      <c r="E71" s="119" t="s">
        <v>38</v>
      </c>
      <c r="F71" s="120" t="s">
        <v>39</v>
      </c>
      <c r="G71" s="118" t="s">
        <v>40</v>
      </c>
      <c r="H71" s="121" t="s">
        <v>41</v>
      </c>
      <c r="I71" s="120" t="s">
        <v>524</v>
      </c>
      <c r="J71" s="122" t="s">
        <v>525</v>
      </c>
      <c r="K71" s="123" t="s">
        <v>526</v>
      </c>
      <c r="L71" t="s">
        <v>1307</v>
      </c>
      <c r="M71" s="124" t="s">
        <v>1308</v>
      </c>
      <c r="N71" s="125" t="s">
        <v>1309</v>
      </c>
      <c r="O71" s="126" t="s">
        <v>929</v>
      </c>
      <c r="P71" s="127"/>
      <c r="Q71" s="128"/>
      <c r="R71" s="128"/>
      <c r="S71" s="129">
        <v>7869.43</v>
      </c>
      <c r="T71" s="130" t="s">
        <v>1336</v>
      </c>
      <c r="U71" s="131">
        <v>45351</v>
      </c>
      <c r="V71" s="132"/>
      <c r="W71" s="133"/>
      <c r="X71" s="134" t="s">
        <v>1334</v>
      </c>
      <c r="Y71" s="135" t="s">
        <v>912</v>
      </c>
      <c r="Z71" s="128" t="s">
        <v>96</v>
      </c>
      <c r="AA71" s="128"/>
      <c r="AB71" s="136" t="s">
        <v>256</v>
      </c>
      <c r="AC71" s="137" t="s">
        <v>914</v>
      </c>
      <c r="AD71" s="136" t="s">
        <v>961</v>
      </c>
      <c r="AE71" s="136" t="s">
        <v>962</v>
      </c>
      <c r="AF71" s="136" t="s">
        <v>59</v>
      </c>
      <c r="AG71" s="136" t="s">
        <v>59</v>
      </c>
      <c r="AH71" s="138">
        <v>-7869.43</v>
      </c>
      <c r="AI71" s="139" t="s">
        <v>98</v>
      </c>
      <c r="AJ71" s="139" t="s">
        <v>895</v>
      </c>
    </row>
    <row r="72" spans="1:36" ht="15.75" x14ac:dyDescent="0.25">
      <c r="A72" s="115">
        <v>6742</v>
      </c>
      <c r="B72" s="116" t="s">
        <v>36</v>
      </c>
      <c r="C72" s="117" t="s">
        <v>37</v>
      </c>
      <c r="D72" s="118" t="s">
        <v>36</v>
      </c>
      <c r="E72" s="119" t="s">
        <v>38</v>
      </c>
      <c r="F72" s="120" t="s">
        <v>39</v>
      </c>
      <c r="G72" s="118" t="s">
        <v>40</v>
      </c>
      <c r="H72" s="121" t="s">
        <v>41</v>
      </c>
      <c r="I72" s="120" t="s">
        <v>1319</v>
      </c>
      <c r="J72" s="122" t="s">
        <v>1320</v>
      </c>
      <c r="K72" s="123" t="s">
        <v>1321</v>
      </c>
      <c r="L72" t="s">
        <v>1307</v>
      </c>
      <c r="M72" s="124" t="s">
        <v>1308</v>
      </c>
      <c r="N72" s="125" t="s">
        <v>1309</v>
      </c>
      <c r="O72" s="126" t="s">
        <v>929</v>
      </c>
      <c r="P72" s="127"/>
      <c r="Q72" s="128"/>
      <c r="R72" s="128"/>
      <c r="S72" s="129">
        <v>3140.04</v>
      </c>
      <c r="T72" s="130" t="s">
        <v>1336</v>
      </c>
      <c r="U72" s="131">
        <v>45351</v>
      </c>
      <c r="V72" s="132"/>
      <c r="W72" s="133"/>
      <c r="X72" s="134" t="s">
        <v>1322</v>
      </c>
      <c r="Y72" s="135" t="s">
        <v>912</v>
      </c>
      <c r="Z72" s="128" t="s">
        <v>96</v>
      </c>
      <c r="AA72" s="128"/>
      <c r="AB72" s="136" t="s">
        <v>256</v>
      </c>
      <c r="AC72" s="137" t="s">
        <v>914</v>
      </c>
      <c r="AD72" s="136" t="s">
        <v>961</v>
      </c>
      <c r="AE72" s="136" t="s">
        <v>962</v>
      </c>
      <c r="AF72" s="136" t="s">
        <v>59</v>
      </c>
      <c r="AG72" s="136" t="s">
        <v>59</v>
      </c>
      <c r="AH72" s="138">
        <v>-3140.04</v>
      </c>
      <c r="AI72" s="139" t="s">
        <v>98</v>
      </c>
      <c r="AJ72" s="139" t="s">
        <v>895</v>
      </c>
    </row>
    <row r="73" spans="1:36" ht="15.75" x14ac:dyDescent="0.25">
      <c r="A73" s="115">
        <v>6797</v>
      </c>
      <c r="B73" s="116" t="s">
        <v>36</v>
      </c>
      <c r="C73" s="117" t="s">
        <v>37</v>
      </c>
      <c r="D73" s="118" t="s">
        <v>36</v>
      </c>
      <c r="E73" s="119" t="s">
        <v>38</v>
      </c>
      <c r="F73" s="120" t="s">
        <v>39</v>
      </c>
      <c r="G73" s="118" t="s">
        <v>40</v>
      </c>
      <c r="H73" s="121" t="s">
        <v>41</v>
      </c>
      <c r="I73" s="120" t="s">
        <v>301</v>
      </c>
      <c r="J73" s="122" t="s">
        <v>302</v>
      </c>
      <c r="K73" s="123" t="s">
        <v>303</v>
      </c>
      <c r="L73" t="s">
        <v>1307</v>
      </c>
      <c r="M73" s="124" t="s">
        <v>1308</v>
      </c>
      <c r="N73" s="125" t="s">
        <v>1309</v>
      </c>
      <c r="O73" s="126" t="s">
        <v>929</v>
      </c>
      <c r="P73" s="127"/>
      <c r="Q73" s="128"/>
      <c r="R73" s="128"/>
      <c r="S73" s="129">
        <v>5288.49</v>
      </c>
      <c r="T73" s="130" t="s">
        <v>1336</v>
      </c>
      <c r="U73" s="131">
        <v>45351</v>
      </c>
      <c r="V73" s="132"/>
      <c r="W73" s="133"/>
      <c r="X73" s="134" t="s">
        <v>1323</v>
      </c>
      <c r="Y73" s="135" t="s">
        <v>912</v>
      </c>
      <c r="Z73" s="128" t="s">
        <v>96</v>
      </c>
      <c r="AA73" s="128"/>
      <c r="AB73" s="136" t="s">
        <v>256</v>
      </c>
      <c r="AC73" s="137" t="s">
        <v>914</v>
      </c>
      <c r="AD73" s="136" t="s">
        <v>961</v>
      </c>
      <c r="AE73" s="136" t="s">
        <v>962</v>
      </c>
      <c r="AF73" s="136" t="s">
        <v>59</v>
      </c>
      <c r="AG73" s="136" t="s">
        <v>59</v>
      </c>
      <c r="AH73" s="138">
        <v>-5288.49</v>
      </c>
      <c r="AI73" s="139" t="s">
        <v>98</v>
      </c>
      <c r="AJ73" s="139" t="s">
        <v>895</v>
      </c>
    </row>
    <row r="74" spans="1:36" ht="15.75" x14ac:dyDescent="0.25">
      <c r="A74" s="115">
        <v>6817</v>
      </c>
      <c r="B74" s="116" t="s">
        <v>36</v>
      </c>
      <c r="C74" s="117" t="s">
        <v>37</v>
      </c>
      <c r="D74" s="118" t="s">
        <v>36</v>
      </c>
      <c r="E74" s="119" t="s">
        <v>38</v>
      </c>
      <c r="F74" s="140" t="s">
        <v>39</v>
      </c>
      <c r="G74" s="118" t="s">
        <v>40</v>
      </c>
      <c r="H74" s="121" t="s">
        <v>41</v>
      </c>
      <c r="I74" s="120" t="s">
        <v>301</v>
      </c>
      <c r="J74" s="122" t="s">
        <v>302</v>
      </c>
      <c r="K74" s="123" t="s">
        <v>303</v>
      </c>
      <c r="L74" t="s">
        <v>1307</v>
      </c>
      <c r="M74" s="124" t="s">
        <v>1308</v>
      </c>
      <c r="N74" s="125" t="s">
        <v>1309</v>
      </c>
      <c r="O74" s="126" t="s">
        <v>1329</v>
      </c>
      <c r="P74" s="127" t="s">
        <v>1337</v>
      </c>
      <c r="Q74" s="128">
        <v>3031.13</v>
      </c>
      <c r="R74" s="128">
        <v>3031.13</v>
      </c>
      <c r="S74" s="129">
        <v>3031.13</v>
      </c>
      <c r="T74" s="130" t="s">
        <v>256</v>
      </c>
      <c r="U74" s="131">
        <v>45351</v>
      </c>
      <c r="V74" s="132">
        <v>45357</v>
      </c>
      <c r="W74" s="133">
        <v>186</v>
      </c>
      <c r="X74" s="134" t="s">
        <v>258</v>
      </c>
      <c r="Y74" s="135" t="s">
        <v>912</v>
      </c>
      <c r="Z74" s="128" t="s">
        <v>57</v>
      </c>
      <c r="AA74" s="128"/>
      <c r="AB74" s="136" t="s">
        <v>256</v>
      </c>
      <c r="AC74" s="137" t="s">
        <v>914</v>
      </c>
      <c r="AD74" s="136" t="s">
        <v>961</v>
      </c>
      <c r="AE74" s="136" t="s">
        <v>962</v>
      </c>
      <c r="AF74" s="136" t="s">
        <v>59</v>
      </c>
      <c r="AG74" s="136" t="s">
        <v>59</v>
      </c>
      <c r="AH74" s="138">
        <v>-3031.13</v>
      </c>
      <c r="AI74" s="139" t="s">
        <v>98</v>
      </c>
      <c r="AJ74" s="139" t="s">
        <v>895</v>
      </c>
    </row>
    <row r="75" spans="1:36" ht="15.75" x14ac:dyDescent="0.25">
      <c r="A75" s="115">
        <v>6818</v>
      </c>
      <c r="B75" s="116" t="s">
        <v>36</v>
      </c>
      <c r="C75" s="117" t="s">
        <v>37</v>
      </c>
      <c r="D75" s="118" t="s">
        <v>36</v>
      </c>
      <c r="E75" s="119" t="s">
        <v>38</v>
      </c>
      <c r="F75" s="140" t="s">
        <v>39</v>
      </c>
      <c r="G75" s="118" t="s">
        <v>40</v>
      </c>
      <c r="H75" s="121" t="s">
        <v>41</v>
      </c>
      <c r="I75" s="120" t="s">
        <v>524</v>
      </c>
      <c r="J75" s="122" t="s">
        <v>525</v>
      </c>
      <c r="K75" s="123" t="s">
        <v>526</v>
      </c>
      <c r="L75" t="s">
        <v>1307</v>
      </c>
      <c r="M75" s="124" t="s">
        <v>1308</v>
      </c>
      <c r="N75" s="125" t="s">
        <v>1309</v>
      </c>
      <c r="O75" s="126" t="s">
        <v>929</v>
      </c>
      <c r="P75" s="127"/>
      <c r="Q75" s="128"/>
      <c r="R75" s="128"/>
      <c r="S75" s="129">
        <v>4221.91</v>
      </c>
      <c r="T75" s="130" t="s">
        <v>1336</v>
      </c>
      <c r="U75" s="131">
        <v>45351</v>
      </c>
      <c r="V75" s="132"/>
      <c r="W75" s="133"/>
      <c r="X75" s="134" t="s">
        <v>1215</v>
      </c>
      <c r="Y75" s="135" t="s">
        <v>912</v>
      </c>
      <c r="Z75" s="128" t="s">
        <v>96</v>
      </c>
      <c r="AA75" s="128"/>
      <c r="AB75" s="136" t="s">
        <v>256</v>
      </c>
      <c r="AC75" s="137" t="s">
        <v>914</v>
      </c>
      <c r="AD75" s="136" t="s">
        <v>961</v>
      </c>
      <c r="AE75" s="136" t="s">
        <v>962</v>
      </c>
      <c r="AF75" s="136" t="s">
        <v>59</v>
      </c>
      <c r="AG75" s="136" t="s">
        <v>59</v>
      </c>
      <c r="AH75" s="138">
        <v>-4221.91</v>
      </c>
      <c r="AI75" s="139" t="s">
        <v>98</v>
      </c>
      <c r="AJ75" s="139" t="s">
        <v>895</v>
      </c>
    </row>
    <row r="76" spans="1:36" ht="15.75" x14ac:dyDescent="0.25">
      <c r="A76" s="115">
        <v>6819</v>
      </c>
      <c r="B76" s="116" t="s">
        <v>36</v>
      </c>
      <c r="C76" s="117" t="s">
        <v>37</v>
      </c>
      <c r="D76" s="118" t="s">
        <v>36</v>
      </c>
      <c r="E76" s="119" t="s">
        <v>38</v>
      </c>
      <c r="F76" s="140" t="s">
        <v>39</v>
      </c>
      <c r="G76" s="118" t="s">
        <v>40</v>
      </c>
      <c r="H76" s="121" t="s">
        <v>41</v>
      </c>
      <c r="I76" s="120" t="s">
        <v>524</v>
      </c>
      <c r="J76" s="122" t="s">
        <v>525</v>
      </c>
      <c r="K76" s="123" t="s">
        <v>526</v>
      </c>
      <c r="L76" t="s">
        <v>1307</v>
      </c>
      <c r="M76" s="124" t="s">
        <v>1308</v>
      </c>
      <c r="N76" s="125" t="s">
        <v>1309</v>
      </c>
      <c r="O76" s="126" t="s">
        <v>929</v>
      </c>
      <c r="P76" s="127">
        <v>64662</v>
      </c>
      <c r="Q76" s="128"/>
      <c r="R76" s="128"/>
      <c r="S76" s="129">
        <v>2212.2800000000002</v>
      </c>
      <c r="T76" s="130" t="s">
        <v>1337</v>
      </c>
      <c r="U76" s="131">
        <v>45351</v>
      </c>
      <c r="V76" s="132"/>
      <c r="W76" s="133"/>
      <c r="X76" s="134" t="s">
        <v>1215</v>
      </c>
      <c r="Y76" s="135" t="s">
        <v>912</v>
      </c>
      <c r="Z76" s="128" t="s">
        <v>96</v>
      </c>
      <c r="AA76" s="128" t="s">
        <v>1328</v>
      </c>
      <c r="AB76" s="136" t="s">
        <v>256</v>
      </c>
      <c r="AC76" s="137" t="s">
        <v>914</v>
      </c>
      <c r="AD76" s="136" t="s">
        <v>961</v>
      </c>
      <c r="AE76" s="136" t="s">
        <v>962</v>
      </c>
      <c r="AF76" s="136" t="s">
        <v>59</v>
      </c>
      <c r="AG76" s="136" t="s">
        <v>59</v>
      </c>
      <c r="AH76" s="138">
        <v>-2212.2800000000002</v>
      </c>
      <c r="AI76" s="139" t="s">
        <v>98</v>
      </c>
      <c r="AJ76" s="139" t="s">
        <v>895</v>
      </c>
    </row>
    <row r="77" spans="1:36" ht="15.75" x14ac:dyDescent="0.25">
      <c r="A77" s="115">
        <v>6858</v>
      </c>
      <c r="B77" s="116" t="s">
        <v>36</v>
      </c>
      <c r="C77" s="117" t="s">
        <v>37</v>
      </c>
      <c r="D77" s="118" t="s">
        <v>36</v>
      </c>
      <c r="E77" s="119" t="s">
        <v>38</v>
      </c>
      <c r="F77" s="140" t="s">
        <v>39</v>
      </c>
      <c r="G77" s="118" t="s">
        <v>40</v>
      </c>
      <c r="H77" s="121" t="s">
        <v>41</v>
      </c>
      <c r="I77" s="120" t="s">
        <v>42</v>
      </c>
      <c r="J77" s="122" t="s">
        <v>43</v>
      </c>
      <c r="K77" s="123" t="s">
        <v>44</v>
      </c>
      <c r="L77" t="s">
        <v>1307</v>
      </c>
      <c r="M77" s="124" t="s">
        <v>1308</v>
      </c>
      <c r="N77" s="125" t="s">
        <v>1309</v>
      </c>
      <c r="O77" s="126" t="s">
        <v>929</v>
      </c>
      <c r="P77" s="127"/>
      <c r="Q77" s="128"/>
      <c r="R77" s="128"/>
      <c r="S77" s="129">
        <v>2805.94</v>
      </c>
      <c r="T77" s="130" t="s">
        <v>1336</v>
      </c>
      <c r="U77" s="131">
        <v>45351</v>
      </c>
      <c r="V77" s="132"/>
      <c r="W77" s="133"/>
      <c r="X77" s="134" t="s">
        <v>1335</v>
      </c>
      <c r="Y77" s="135" t="s">
        <v>912</v>
      </c>
      <c r="Z77" s="128" t="s">
        <v>96</v>
      </c>
      <c r="AA77" s="128"/>
      <c r="AB77" s="136" t="s">
        <v>256</v>
      </c>
      <c r="AC77" s="137" t="s">
        <v>914</v>
      </c>
      <c r="AD77" s="136" t="s">
        <v>961</v>
      </c>
      <c r="AE77" s="136" t="s">
        <v>962</v>
      </c>
      <c r="AF77" s="136" t="s">
        <v>59</v>
      </c>
      <c r="AG77" s="136" t="s">
        <v>59</v>
      </c>
      <c r="AH77" s="138">
        <v>-2805.94</v>
      </c>
      <c r="AI77" s="139" t="s">
        <v>98</v>
      </c>
      <c r="AJ77" s="139" t="s">
        <v>895</v>
      </c>
    </row>
    <row r="78" spans="1:36" ht="15.75" x14ac:dyDescent="0.25">
      <c r="A78" s="115">
        <v>6895</v>
      </c>
      <c r="B78" s="116" t="s">
        <v>36</v>
      </c>
      <c r="C78" s="117" t="s">
        <v>37</v>
      </c>
      <c r="D78" s="118" t="s">
        <v>36</v>
      </c>
      <c r="E78" s="119" t="s">
        <v>38</v>
      </c>
      <c r="F78" s="120" t="s">
        <v>39</v>
      </c>
      <c r="G78" s="118" t="s">
        <v>40</v>
      </c>
      <c r="H78" s="121" t="s">
        <v>41</v>
      </c>
      <c r="I78" s="120" t="s">
        <v>946</v>
      </c>
      <c r="J78" s="122" t="s">
        <v>947</v>
      </c>
      <c r="K78" s="123" t="s">
        <v>948</v>
      </c>
      <c r="L78" t="s">
        <v>1307</v>
      </c>
      <c r="M78" s="124" t="s">
        <v>1308</v>
      </c>
      <c r="N78" s="125" t="s">
        <v>1309</v>
      </c>
      <c r="O78" s="126" t="s">
        <v>929</v>
      </c>
      <c r="P78" s="127"/>
      <c r="Q78" s="128"/>
      <c r="R78" s="128"/>
      <c r="S78" s="129">
        <v>7444.41</v>
      </c>
      <c r="T78" s="130" t="s">
        <v>1336</v>
      </c>
      <c r="U78" s="131">
        <v>45351</v>
      </c>
      <c r="V78" s="132"/>
      <c r="W78" s="133"/>
      <c r="X78" s="134" t="s">
        <v>951</v>
      </c>
      <c r="Y78" s="135" t="s">
        <v>912</v>
      </c>
      <c r="Z78" s="128" t="s">
        <v>96</v>
      </c>
      <c r="AA78" s="128"/>
      <c r="AB78" s="136" t="s">
        <v>256</v>
      </c>
      <c r="AC78" s="137" t="s">
        <v>914</v>
      </c>
      <c r="AD78" s="136" t="s">
        <v>961</v>
      </c>
      <c r="AE78" s="136" t="s">
        <v>962</v>
      </c>
      <c r="AF78" s="136" t="s">
        <v>59</v>
      </c>
      <c r="AG78" s="136" t="s">
        <v>59</v>
      </c>
      <c r="AH78" s="138">
        <v>-7444.41</v>
      </c>
      <c r="AI78" s="139" t="s">
        <v>98</v>
      </c>
      <c r="AJ78" s="139" t="s">
        <v>895</v>
      </c>
    </row>
    <row r="79" spans="1:36" ht="15.75" x14ac:dyDescent="0.25">
      <c r="A79" s="115">
        <v>6921</v>
      </c>
      <c r="B79" s="116" t="s">
        <v>36</v>
      </c>
      <c r="C79" s="117" t="s">
        <v>37</v>
      </c>
      <c r="D79" s="118" t="s">
        <v>36</v>
      </c>
      <c r="E79" s="119" t="s">
        <v>38</v>
      </c>
      <c r="F79" s="120" t="s">
        <v>39</v>
      </c>
      <c r="G79" s="118" t="s">
        <v>40</v>
      </c>
      <c r="H79" s="121" t="s">
        <v>41</v>
      </c>
      <c r="I79" s="120" t="s">
        <v>301</v>
      </c>
      <c r="J79" s="122" t="s">
        <v>302</v>
      </c>
      <c r="K79" s="123" t="s">
        <v>303</v>
      </c>
      <c r="L79" t="s">
        <v>1307</v>
      </c>
      <c r="M79" s="124" t="s">
        <v>1308</v>
      </c>
      <c r="N79" s="125" t="s">
        <v>1309</v>
      </c>
      <c r="O79" s="126" t="s">
        <v>1310</v>
      </c>
      <c r="P79" s="127" t="s">
        <v>1311</v>
      </c>
      <c r="Q79" s="128">
        <v>6654.8595322222218</v>
      </c>
      <c r="R79" s="128">
        <v>6654.8595322222218</v>
      </c>
      <c r="S79" s="129">
        <v>6654.8595322222218</v>
      </c>
      <c r="T79" s="130" t="s">
        <v>1312</v>
      </c>
      <c r="U79" s="131">
        <v>45352</v>
      </c>
      <c r="V79" s="132"/>
      <c r="W79" s="133"/>
      <c r="X79" s="134" t="s">
        <v>1046</v>
      </c>
      <c r="Y79" s="135" t="s">
        <v>912</v>
      </c>
      <c r="Z79" s="128" t="s">
        <v>1313</v>
      </c>
      <c r="AA79" s="128"/>
      <c r="AB79" s="136"/>
      <c r="AC79" s="137"/>
      <c r="AD79" s="136"/>
      <c r="AE79" s="136"/>
      <c r="AF79" s="136"/>
      <c r="AG79" s="136"/>
      <c r="AH79" s="138">
        <v>-6654.8595322222218</v>
      </c>
      <c r="AI79" s="139" t="s">
        <v>98</v>
      </c>
      <c r="AJ79" s="139" t="s">
        <v>895</v>
      </c>
    </row>
    <row r="80" spans="1:36" ht="15.75" x14ac:dyDescent="0.25">
      <c r="A80" s="115">
        <v>6923</v>
      </c>
      <c r="B80" s="116" t="s">
        <v>36</v>
      </c>
      <c r="C80" s="117" t="s">
        <v>37</v>
      </c>
      <c r="D80" s="118" t="s">
        <v>36</v>
      </c>
      <c r="E80" s="119" t="s">
        <v>38</v>
      </c>
      <c r="F80" s="120" t="s">
        <v>39</v>
      </c>
      <c r="G80" s="118" t="s">
        <v>40</v>
      </c>
      <c r="H80" s="121" t="s">
        <v>41</v>
      </c>
      <c r="I80" s="120" t="s">
        <v>42</v>
      </c>
      <c r="J80" s="122" t="s">
        <v>43</v>
      </c>
      <c r="K80" s="123" t="s">
        <v>44</v>
      </c>
      <c r="L80" t="s">
        <v>1307</v>
      </c>
      <c r="M80" s="124" t="s">
        <v>1308</v>
      </c>
      <c r="N80" s="125" t="s">
        <v>1309</v>
      </c>
      <c r="O80" s="126" t="s">
        <v>1310</v>
      </c>
      <c r="P80" s="127" t="s">
        <v>1311</v>
      </c>
      <c r="Q80" s="128">
        <v>5523.1360733333331</v>
      </c>
      <c r="R80" s="128">
        <v>5523.1360733333331</v>
      </c>
      <c r="S80" s="129">
        <v>5523.1360733333331</v>
      </c>
      <c r="T80" s="130" t="s">
        <v>1312</v>
      </c>
      <c r="U80" s="131">
        <v>45352</v>
      </c>
      <c r="V80" s="132"/>
      <c r="W80" s="133"/>
      <c r="X80" s="134" t="s">
        <v>1314</v>
      </c>
      <c r="Y80" s="135" t="s">
        <v>912</v>
      </c>
      <c r="Z80" s="128" t="s">
        <v>1313</v>
      </c>
      <c r="AA80" s="128"/>
      <c r="AB80" s="136"/>
      <c r="AC80" s="137"/>
      <c r="AD80" s="136"/>
      <c r="AE80" s="136"/>
      <c r="AF80" s="136"/>
      <c r="AG80" s="136"/>
      <c r="AH80" s="138">
        <v>-5523.1360733333331</v>
      </c>
      <c r="AI80" s="139" t="s">
        <v>98</v>
      </c>
      <c r="AJ80" s="139" t="s">
        <v>895</v>
      </c>
    </row>
    <row r="81" spans="1:36" ht="15.75" x14ac:dyDescent="0.25">
      <c r="A81" s="115">
        <v>6929</v>
      </c>
      <c r="B81" s="116" t="s">
        <v>36</v>
      </c>
      <c r="C81" s="117" t="s">
        <v>37</v>
      </c>
      <c r="D81" s="118" t="s">
        <v>36</v>
      </c>
      <c r="E81" s="119" t="s">
        <v>38</v>
      </c>
      <c r="F81" s="120" t="s">
        <v>39</v>
      </c>
      <c r="G81" s="118" t="s">
        <v>40</v>
      </c>
      <c r="H81" s="121" t="s">
        <v>41</v>
      </c>
      <c r="I81" s="120" t="s">
        <v>301</v>
      </c>
      <c r="J81" s="122" t="s">
        <v>302</v>
      </c>
      <c r="K81" s="123" t="s">
        <v>303</v>
      </c>
      <c r="L81" t="s">
        <v>1307</v>
      </c>
      <c r="M81" s="124" t="s">
        <v>1308</v>
      </c>
      <c r="N81" s="125" t="s">
        <v>1309</v>
      </c>
      <c r="O81" s="126" t="s">
        <v>1310</v>
      </c>
      <c r="P81" s="127" t="s">
        <v>1311</v>
      </c>
      <c r="Q81" s="128">
        <v>7779.6025011111105</v>
      </c>
      <c r="R81" s="128">
        <v>7779.6025011111105</v>
      </c>
      <c r="S81" s="129">
        <v>7779.6025011111105</v>
      </c>
      <c r="T81" s="130" t="s">
        <v>1312</v>
      </c>
      <c r="U81" s="131">
        <v>45352</v>
      </c>
      <c r="V81" s="132"/>
      <c r="W81" s="133"/>
      <c r="X81" s="134" t="s">
        <v>1315</v>
      </c>
      <c r="Y81" s="135" t="s">
        <v>912</v>
      </c>
      <c r="Z81" s="128" t="s">
        <v>1313</v>
      </c>
      <c r="AA81" s="128"/>
      <c r="AB81" s="136"/>
      <c r="AC81" s="137"/>
      <c r="AD81" s="136"/>
      <c r="AE81" s="136"/>
      <c r="AF81" s="136"/>
      <c r="AG81" s="136"/>
      <c r="AH81" s="138">
        <v>-7779.6025011111105</v>
      </c>
      <c r="AI81" s="139" t="s">
        <v>98</v>
      </c>
      <c r="AJ81" s="139" t="s">
        <v>895</v>
      </c>
    </row>
    <row r="82" spans="1:36" ht="15.75" x14ac:dyDescent="0.25">
      <c r="A82" s="115">
        <v>6937</v>
      </c>
      <c r="B82" s="116" t="s">
        <v>36</v>
      </c>
      <c r="C82" s="117" t="s">
        <v>37</v>
      </c>
      <c r="D82" s="118" t="s">
        <v>36</v>
      </c>
      <c r="E82" s="119" t="s">
        <v>38</v>
      </c>
      <c r="F82" s="120" t="s">
        <v>39</v>
      </c>
      <c r="G82" s="118" t="s">
        <v>40</v>
      </c>
      <c r="H82" s="121" t="s">
        <v>41</v>
      </c>
      <c r="I82" s="120" t="s">
        <v>524</v>
      </c>
      <c r="J82" s="122" t="s">
        <v>525</v>
      </c>
      <c r="K82" s="123" t="s">
        <v>526</v>
      </c>
      <c r="L82" t="s">
        <v>1307</v>
      </c>
      <c r="M82" s="124" t="s">
        <v>1308</v>
      </c>
      <c r="N82" s="125" t="s">
        <v>1309</v>
      </c>
      <c r="O82" s="126" t="s">
        <v>1310</v>
      </c>
      <c r="P82" s="127" t="s">
        <v>1311</v>
      </c>
      <c r="Q82" s="128">
        <v>7982.5603000000001</v>
      </c>
      <c r="R82" s="128">
        <v>7982.5603000000001</v>
      </c>
      <c r="S82" s="129">
        <v>7982.5603000000001</v>
      </c>
      <c r="T82" s="130" t="s">
        <v>1312</v>
      </c>
      <c r="U82" s="131">
        <v>45352</v>
      </c>
      <c r="V82" s="132"/>
      <c r="W82" s="133"/>
      <c r="X82" s="134" t="s">
        <v>874</v>
      </c>
      <c r="Y82" s="135" t="s">
        <v>912</v>
      </c>
      <c r="Z82" s="128" t="s">
        <v>1313</v>
      </c>
      <c r="AA82" s="128"/>
      <c r="AB82" s="136"/>
      <c r="AC82" s="137"/>
      <c r="AD82" s="136"/>
      <c r="AE82" s="136"/>
      <c r="AF82" s="136"/>
      <c r="AG82" s="136"/>
      <c r="AH82" s="138">
        <v>-7982.5603000000001</v>
      </c>
      <c r="AI82" s="139" t="s">
        <v>98</v>
      </c>
      <c r="AJ82" s="139" t="s">
        <v>895</v>
      </c>
    </row>
    <row r="83" spans="1:36" ht="15.75" x14ac:dyDescent="0.25">
      <c r="A83" s="115">
        <v>7013</v>
      </c>
      <c r="B83" s="116" t="s">
        <v>36</v>
      </c>
      <c r="C83" s="117" t="s">
        <v>37</v>
      </c>
      <c r="D83" s="118" t="s">
        <v>36</v>
      </c>
      <c r="E83" s="119" t="s">
        <v>38</v>
      </c>
      <c r="F83" s="120" t="s">
        <v>39</v>
      </c>
      <c r="G83" s="118" t="s">
        <v>40</v>
      </c>
      <c r="H83" s="121" t="s">
        <v>41</v>
      </c>
      <c r="I83" s="120" t="s">
        <v>524</v>
      </c>
      <c r="J83" s="122" t="s">
        <v>525</v>
      </c>
      <c r="K83" s="123" t="s">
        <v>526</v>
      </c>
      <c r="L83" t="s">
        <v>1307</v>
      </c>
      <c r="M83" s="124" t="s">
        <v>1308</v>
      </c>
      <c r="N83" s="125" t="s">
        <v>1309</v>
      </c>
      <c r="O83" s="126" t="s">
        <v>1310</v>
      </c>
      <c r="P83" s="127" t="s">
        <v>1311</v>
      </c>
      <c r="Q83" s="128">
        <v>5927.2306666666673</v>
      </c>
      <c r="R83" s="128">
        <v>5927.2306666666673</v>
      </c>
      <c r="S83" s="129">
        <v>5927.2306666666673</v>
      </c>
      <c r="T83" s="130" t="s">
        <v>1312</v>
      </c>
      <c r="U83" s="131">
        <v>45352</v>
      </c>
      <c r="V83" s="132"/>
      <c r="W83" s="133"/>
      <c r="X83" s="134" t="s">
        <v>1338</v>
      </c>
      <c r="Y83" s="135" t="s">
        <v>912</v>
      </c>
      <c r="Z83" s="128" t="s">
        <v>1313</v>
      </c>
      <c r="AA83" s="128"/>
      <c r="AB83" s="136"/>
      <c r="AC83" s="137"/>
      <c r="AD83" s="136"/>
      <c r="AE83" s="136"/>
      <c r="AF83" s="136"/>
      <c r="AG83" s="136"/>
      <c r="AH83" s="138">
        <v>-5927.2306666666673</v>
      </c>
      <c r="AI83" s="139" t="s">
        <v>98</v>
      </c>
      <c r="AJ83" s="139" t="s">
        <v>895</v>
      </c>
    </row>
    <row r="84" spans="1:36" ht="15.75" x14ac:dyDescent="0.25">
      <c r="A84" s="115">
        <v>7040</v>
      </c>
      <c r="B84" s="116" t="s">
        <v>36</v>
      </c>
      <c r="C84" s="117" t="s">
        <v>37</v>
      </c>
      <c r="D84" s="118" t="s">
        <v>36</v>
      </c>
      <c r="E84" s="119" t="s">
        <v>38</v>
      </c>
      <c r="F84" s="120" t="s">
        <v>39</v>
      </c>
      <c r="G84" s="118" t="s">
        <v>40</v>
      </c>
      <c r="H84" s="121" t="s">
        <v>41</v>
      </c>
      <c r="I84" s="120" t="s">
        <v>524</v>
      </c>
      <c r="J84" s="122" t="s">
        <v>525</v>
      </c>
      <c r="K84" s="123" t="s">
        <v>526</v>
      </c>
      <c r="L84" t="s">
        <v>1307</v>
      </c>
      <c r="M84" s="124" t="s">
        <v>1308</v>
      </c>
      <c r="N84" s="125" t="s">
        <v>1309</v>
      </c>
      <c r="O84" s="126" t="s">
        <v>1310</v>
      </c>
      <c r="P84" s="127" t="s">
        <v>1311</v>
      </c>
      <c r="Q84" s="128">
        <v>10853.228245555554</v>
      </c>
      <c r="R84" s="128">
        <v>10853.228245555554</v>
      </c>
      <c r="S84" s="129">
        <v>10853.228245555554</v>
      </c>
      <c r="T84" s="130" t="s">
        <v>1312</v>
      </c>
      <c r="U84" s="131">
        <v>45352</v>
      </c>
      <c r="V84" s="132"/>
      <c r="W84" s="133"/>
      <c r="X84" s="134" t="s">
        <v>1318</v>
      </c>
      <c r="Y84" s="135" t="s">
        <v>912</v>
      </c>
      <c r="Z84" s="128" t="s">
        <v>1313</v>
      </c>
      <c r="AA84" s="128"/>
      <c r="AB84" s="136"/>
      <c r="AC84" s="137"/>
      <c r="AD84" s="136"/>
      <c r="AE84" s="136"/>
      <c r="AF84" s="136"/>
      <c r="AG84" s="136"/>
      <c r="AH84" s="138">
        <v>-10853.228245555554</v>
      </c>
      <c r="AI84" s="139" t="s">
        <v>98</v>
      </c>
      <c r="AJ84" s="139" t="s">
        <v>895</v>
      </c>
    </row>
    <row r="85" spans="1:36" ht="15.75" x14ac:dyDescent="0.25">
      <c r="A85" s="115">
        <v>7055</v>
      </c>
      <c r="B85" s="116" t="s">
        <v>36</v>
      </c>
      <c r="C85" s="117" t="s">
        <v>37</v>
      </c>
      <c r="D85" s="118" t="s">
        <v>36</v>
      </c>
      <c r="E85" s="119" t="s">
        <v>38</v>
      </c>
      <c r="F85" s="120" t="s">
        <v>39</v>
      </c>
      <c r="G85" s="118" t="s">
        <v>40</v>
      </c>
      <c r="H85" s="121" t="s">
        <v>41</v>
      </c>
      <c r="I85" s="120" t="s">
        <v>1319</v>
      </c>
      <c r="J85" s="122" t="s">
        <v>1320</v>
      </c>
      <c r="K85" s="123" t="s">
        <v>1321</v>
      </c>
      <c r="L85" t="s">
        <v>1307</v>
      </c>
      <c r="M85" s="124" t="s">
        <v>1308</v>
      </c>
      <c r="N85" s="125" t="s">
        <v>1309</v>
      </c>
      <c r="O85" s="126" t="s">
        <v>1310</v>
      </c>
      <c r="P85" s="127" t="s">
        <v>1311</v>
      </c>
      <c r="Q85" s="128">
        <v>5812.219876666667</v>
      </c>
      <c r="R85" s="128">
        <v>5812.219876666667</v>
      </c>
      <c r="S85" s="129">
        <v>5812.219876666667</v>
      </c>
      <c r="T85" s="130" t="s">
        <v>1312</v>
      </c>
      <c r="U85" s="131">
        <v>45352</v>
      </c>
      <c r="V85" s="132"/>
      <c r="W85" s="133"/>
      <c r="X85" s="134" t="s">
        <v>1322</v>
      </c>
      <c r="Y85" s="135" t="s">
        <v>912</v>
      </c>
      <c r="Z85" s="128" t="s">
        <v>1313</v>
      </c>
      <c r="AA85" s="128"/>
      <c r="AB85" s="136"/>
      <c r="AC85" s="137"/>
      <c r="AD85" s="136"/>
      <c r="AE85" s="136"/>
      <c r="AF85" s="136"/>
      <c r="AG85" s="136"/>
      <c r="AH85" s="138">
        <v>-5812.219876666667</v>
      </c>
      <c r="AI85" s="139" t="s">
        <v>98</v>
      </c>
      <c r="AJ85" s="139" t="s">
        <v>895</v>
      </c>
    </row>
    <row r="86" spans="1:36" ht="15.75" x14ac:dyDescent="0.25">
      <c r="A86" s="115">
        <v>7080</v>
      </c>
      <c r="B86" s="116" t="s">
        <v>36</v>
      </c>
      <c r="C86" s="117" t="s">
        <v>37</v>
      </c>
      <c r="D86" s="118" t="s">
        <v>36</v>
      </c>
      <c r="E86" s="119" t="s">
        <v>38</v>
      </c>
      <c r="F86" s="120" t="s">
        <v>39</v>
      </c>
      <c r="G86" s="118" t="s">
        <v>40</v>
      </c>
      <c r="H86" s="121" t="s">
        <v>41</v>
      </c>
      <c r="I86" s="120" t="s">
        <v>301</v>
      </c>
      <c r="J86" s="122" t="s">
        <v>302</v>
      </c>
      <c r="K86" s="123" t="s">
        <v>303</v>
      </c>
      <c r="L86" t="s">
        <v>1307</v>
      </c>
      <c r="M86" s="124" t="s">
        <v>1308</v>
      </c>
      <c r="N86" s="125" t="s">
        <v>1309</v>
      </c>
      <c r="O86" s="126" t="s">
        <v>1310</v>
      </c>
      <c r="P86" s="127" t="s">
        <v>1311</v>
      </c>
      <c r="Q86" s="128">
        <v>8165.4418766666658</v>
      </c>
      <c r="R86" s="128">
        <v>8165.4418766666658</v>
      </c>
      <c r="S86" s="129">
        <v>8165.4418766666658</v>
      </c>
      <c r="T86" s="130" t="s">
        <v>1312</v>
      </c>
      <c r="U86" s="131">
        <v>45352</v>
      </c>
      <c r="V86" s="132"/>
      <c r="W86" s="133"/>
      <c r="X86" s="134" t="s">
        <v>1323</v>
      </c>
      <c r="Y86" s="135" t="s">
        <v>912</v>
      </c>
      <c r="Z86" s="128" t="s">
        <v>1313</v>
      </c>
      <c r="AA86" s="128"/>
      <c r="AB86" s="136"/>
      <c r="AC86" s="137"/>
      <c r="AD86" s="136"/>
      <c r="AE86" s="136"/>
      <c r="AF86" s="136"/>
      <c r="AG86" s="136"/>
      <c r="AH86" s="138">
        <v>-8165.4418766666658</v>
      </c>
      <c r="AI86" s="139" t="s">
        <v>98</v>
      </c>
      <c r="AJ86" s="139" t="s">
        <v>895</v>
      </c>
    </row>
    <row r="87" spans="1:36" ht="15.75" x14ac:dyDescent="0.25">
      <c r="A87" s="115">
        <v>7111</v>
      </c>
      <c r="B87" s="116" t="s">
        <v>36</v>
      </c>
      <c r="C87" s="117" t="s">
        <v>37</v>
      </c>
      <c r="D87" s="118" t="s">
        <v>36</v>
      </c>
      <c r="E87" s="119" t="s">
        <v>38</v>
      </c>
      <c r="F87" s="140" t="s">
        <v>39</v>
      </c>
      <c r="G87" s="118" t="s">
        <v>40</v>
      </c>
      <c r="H87" s="121" t="s">
        <v>41</v>
      </c>
      <c r="I87" s="120" t="s">
        <v>301</v>
      </c>
      <c r="J87" s="122" t="s">
        <v>302</v>
      </c>
      <c r="K87" s="123" t="s">
        <v>303</v>
      </c>
      <c r="L87" t="s">
        <v>1307</v>
      </c>
      <c r="M87" s="124" t="s">
        <v>1308</v>
      </c>
      <c r="N87" s="125" t="s">
        <v>1309</v>
      </c>
      <c r="O87" s="126" t="s">
        <v>1324</v>
      </c>
      <c r="P87" s="127" t="s">
        <v>1311</v>
      </c>
      <c r="Q87" s="128">
        <v>5403.1262888888887</v>
      </c>
      <c r="R87" s="128">
        <v>5403.1262888888887</v>
      </c>
      <c r="S87" s="129">
        <v>5403.1262888888887</v>
      </c>
      <c r="T87" s="130" t="s">
        <v>1312</v>
      </c>
      <c r="U87" s="131">
        <v>45352</v>
      </c>
      <c r="V87" s="132"/>
      <c r="W87" s="133"/>
      <c r="X87" s="134" t="s">
        <v>258</v>
      </c>
      <c r="Y87" s="135" t="s">
        <v>912</v>
      </c>
      <c r="Z87" s="128" t="s">
        <v>1313</v>
      </c>
      <c r="AA87" s="128"/>
      <c r="AB87" s="136"/>
      <c r="AC87" s="137"/>
      <c r="AD87" s="136"/>
      <c r="AE87" s="136"/>
      <c r="AF87" s="136"/>
      <c r="AG87" s="136"/>
      <c r="AH87" s="138">
        <v>-5403.1262888888887</v>
      </c>
      <c r="AI87" s="139" t="s">
        <v>98</v>
      </c>
      <c r="AJ87" s="139" t="s">
        <v>895</v>
      </c>
    </row>
    <row r="88" spans="1:36" ht="15.75" x14ac:dyDescent="0.25">
      <c r="A88" s="115">
        <v>7114</v>
      </c>
      <c r="B88" s="116" t="s">
        <v>36</v>
      </c>
      <c r="C88" s="117" t="s">
        <v>37</v>
      </c>
      <c r="D88" s="118" t="s">
        <v>36</v>
      </c>
      <c r="E88" s="119" t="s">
        <v>38</v>
      </c>
      <c r="F88" s="140" t="s">
        <v>39</v>
      </c>
      <c r="G88" s="118" t="s">
        <v>40</v>
      </c>
      <c r="H88" s="121" t="s">
        <v>41</v>
      </c>
      <c r="I88" s="120" t="s">
        <v>524</v>
      </c>
      <c r="J88" s="122" t="s">
        <v>525</v>
      </c>
      <c r="K88" s="123" t="s">
        <v>526</v>
      </c>
      <c r="L88" t="s">
        <v>1307</v>
      </c>
      <c r="M88" s="124" t="s">
        <v>1308</v>
      </c>
      <c r="N88" s="125" t="s">
        <v>1309</v>
      </c>
      <c r="O88" s="126" t="s">
        <v>1310</v>
      </c>
      <c r="P88" s="127" t="s">
        <v>1311</v>
      </c>
      <c r="Q88" s="128">
        <v>7414.3966899999996</v>
      </c>
      <c r="R88" s="128">
        <v>7414.3966899999996</v>
      </c>
      <c r="S88" s="129">
        <v>7414.3966899999996</v>
      </c>
      <c r="T88" s="130" t="s">
        <v>1312</v>
      </c>
      <c r="U88" s="131">
        <v>45352</v>
      </c>
      <c r="V88" s="132"/>
      <c r="W88" s="133"/>
      <c r="X88" s="134" t="s">
        <v>1215</v>
      </c>
      <c r="Y88" s="135" t="s">
        <v>912</v>
      </c>
      <c r="Z88" s="128" t="s">
        <v>1313</v>
      </c>
      <c r="AA88" s="128"/>
      <c r="AB88" s="136"/>
      <c r="AC88" s="137"/>
      <c r="AD88" s="136"/>
      <c r="AE88" s="136"/>
      <c r="AF88" s="136"/>
      <c r="AG88" s="136"/>
      <c r="AH88" s="138">
        <v>-7414.3966899999996</v>
      </c>
      <c r="AI88" s="139" t="s">
        <v>98</v>
      </c>
      <c r="AJ88" s="139" t="s">
        <v>895</v>
      </c>
    </row>
    <row r="89" spans="1:36" ht="15.75" x14ac:dyDescent="0.25">
      <c r="A89" s="115">
        <v>7157</v>
      </c>
      <c r="B89" s="116" t="s">
        <v>36</v>
      </c>
      <c r="C89" s="117" t="s">
        <v>37</v>
      </c>
      <c r="D89" s="118" t="s">
        <v>36</v>
      </c>
      <c r="E89" s="119" t="s">
        <v>38</v>
      </c>
      <c r="F89" s="140" t="s">
        <v>39</v>
      </c>
      <c r="G89" s="118" t="s">
        <v>40</v>
      </c>
      <c r="H89" s="121" t="s">
        <v>41</v>
      </c>
      <c r="I89" s="120" t="s">
        <v>42</v>
      </c>
      <c r="J89" s="122" t="s">
        <v>43</v>
      </c>
      <c r="K89" s="123" t="s">
        <v>44</v>
      </c>
      <c r="L89" t="s">
        <v>1307</v>
      </c>
      <c r="M89" s="124" t="s">
        <v>1308</v>
      </c>
      <c r="N89" s="125" t="s">
        <v>1309</v>
      </c>
      <c r="O89" s="126" t="s">
        <v>1310</v>
      </c>
      <c r="P89" s="127" t="s">
        <v>1311</v>
      </c>
      <c r="Q89" s="128">
        <v>5778.2151999999996</v>
      </c>
      <c r="R89" s="128">
        <v>5778.2151999999996</v>
      </c>
      <c r="S89" s="129">
        <v>5778.2151999999996</v>
      </c>
      <c r="T89" s="130" t="s">
        <v>1312</v>
      </c>
      <c r="U89" s="131">
        <v>45352</v>
      </c>
      <c r="V89" s="132"/>
      <c r="W89" s="133"/>
      <c r="X89" s="134" t="s">
        <v>1325</v>
      </c>
      <c r="Y89" s="135" t="s">
        <v>912</v>
      </c>
      <c r="Z89" s="128" t="s">
        <v>1313</v>
      </c>
      <c r="AA89" s="128"/>
      <c r="AB89" s="136"/>
      <c r="AC89" s="137"/>
      <c r="AD89" s="136"/>
      <c r="AE89" s="136"/>
      <c r="AF89" s="136"/>
      <c r="AG89" s="136"/>
      <c r="AH89" s="138">
        <v>-5778.2151999999996</v>
      </c>
      <c r="AI89" s="139" t="s">
        <v>98</v>
      </c>
      <c r="AJ89" s="139" t="s">
        <v>895</v>
      </c>
    </row>
    <row r="90" spans="1:36" ht="15.75" x14ac:dyDescent="0.25">
      <c r="A90" s="115">
        <v>7274</v>
      </c>
      <c r="B90" s="116" t="s">
        <v>36</v>
      </c>
      <c r="C90" s="117" t="s">
        <v>37</v>
      </c>
      <c r="D90" s="118" t="s">
        <v>36</v>
      </c>
      <c r="E90" s="119" t="s">
        <v>38</v>
      </c>
      <c r="F90" s="120" t="s">
        <v>39</v>
      </c>
      <c r="G90" s="118" t="s">
        <v>40</v>
      </c>
      <c r="H90" s="121" t="s">
        <v>41</v>
      </c>
      <c r="I90" s="120" t="s">
        <v>1319</v>
      </c>
      <c r="J90" s="122" t="s">
        <v>1320</v>
      </c>
      <c r="K90" s="123" t="s">
        <v>1321</v>
      </c>
      <c r="L90" t="s">
        <v>1307</v>
      </c>
      <c r="M90" s="124" t="s">
        <v>1308</v>
      </c>
      <c r="N90" s="125" t="s">
        <v>1309</v>
      </c>
      <c r="O90" s="126" t="s">
        <v>1310</v>
      </c>
      <c r="P90" s="127" t="s">
        <v>1311</v>
      </c>
      <c r="Q90" s="128">
        <v>5670.2151999999996</v>
      </c>
      <c r="R90" s="128">
        <v>5670.2151999999996</v>
      </c>
      <c r="S90" s="129">
        <v>5670.2151999999996</v>
      </c>
      <c r="T90" s="130" t="s">
        <v>1312</v>
      </c>
      <c r="U90" s="131">
        <v>45352</v>
      </c>
      <c r="V90" s="132"/>
      <c r="W90" s="133"/>
      <c r="X90" s="134" t="s">
        <v>1326</v>
      </c>
      <c r="Y90" s="135" t="s">
        <v>912</v>
      </c>
      <c r="Z90" s="128" t="s">
        <v>1313</v>
      </c>
      <c r="AA90" s="128"/>
      <c r="AB90" s="136"/>
      <c r="AC90" s="137"/>
      <c r="AD90" s="136"/>
      <c r="AE90" s="136"/>
      <c r="AF90" s="136"/>
      <c r="AG90" s="136"/>
      <c r="AH90" s="138">
        <v>-5670.2151999999996</v>
      </c>
      <c r="AI90" s="139" t="s">
        <v>98</v>
      </c>
      <c r="AJ90" s="139" t="s">
        <v>895</v>
      </c>
    </row>
    <row r="91" spans="1:36" ht="15.75" x14ac:dyDescent="0.25">
      <c r="A91" s="115">
        <v>8835</v>
      </c>
      <c r="B91" s="116" t="s">
        <v>36</v>
      </c>
      <c r="C91" s="117" t="s">
        <v>37</v>
      </c>
      <c r="D91" s="118" t="s">
        <v>36</v>
      </c>
      <c r="E91" s="119" t="s">
        <v>38</v>
      </c>
      <c r="F91" s="140" t="s">
        <v>39</v>
      </c>
      <c r="G91" s="118" t="s">
        <v>40</v>
      </c>
      <c r="H91" s="121" t="s">
        <v>41</v>
      </c>
      <c r="I91" s="120" t="s">
        <v>301</v>
      </c>
      <c r="J91" s="122" t="s">
        <v>302</v>
      </c>
      <c r="K91" s="123" t="s">
        <v>303</v>
      </c>
      <c r="L91" t="s">
        <v>1307</v>
      </c>
      <c r="M91" s="124" t="s">
        <v>1308</v>
      </c>
      <c r="N91" s="125" t="s">
        <v>1309</v>
      </c>
      <c r="O91" s="126" t="s">
        <v>1329</v>
      </c>
      <c r="P91" s="127" t="s">
        <v>1330</v>
      </c>
      <c r="Q91" s="128">
        <v>913</v>
      </c>
      <c r="R91" s="128">
        <v>913</v>
      </c>
      <c r="S91" s="129">
        <v>913</v>
      </c>
      <c r="T91" s="130" t="s">
        <v>1341</v>
      </c>
      <c r="U91" s="131">
        <v>45370</v>
      </c>
      <c r="V91" s="132">
        <v>45371</v>
      </c>
      <c r="W91" s="133">
        <v>186</v>
      </c>
      <c r="X91" s="134" t="s">
        <v>258</v>
      </c>
      <c r="Y91" s="135" t="s">
        <v>912</v>
      </c>
      <c r="Z91" s="128" t="s">
        <v>57</v>
      </c>
      <c r="AA91" s="128"/>
      <c r="AB91" s="136" t="s">
        <v>256</v>
      </c>
      <c r="AC91" s="137" t="s">
        <v>914</v>
      </c>
      <c r="AD91" s="136" t="s">
        <v>961</v>
      </c>
      <c r="AE91" s="136" t="s">
        <v>962</v>
      </c>
      <c r="AF91" s="136" t="s">
        <v>59</v>
      </c>
      <c r="AG91" s="136" t="s">
        <v>59</v>
      </c>
      <c r="AH91" s="138">
        <v>-913</v>
      </c>
      <c r="AI91" s="139" t="s">
        <v>98</v>
      </c>
      <c r="AJ91" s="139" t="s">
        <v>895</v>
      </c>
    </row>
    <row r="92" spans="1:36" ht="15.75" x14ac:dyDescent="0.25">
      <c r="A92" s="115">
        <v>8878</v>
      </c>
      <c r="B92" s="116" t="s">
        <v>36</v>
      </c>
      <c r="C92" s="117" t="s">
        <v>37</v>
      </c>
      <c r="D92" s="118" t="s">
        <v>36</v>
      </c>
      <c r="E92" s="119" t="s">
        <v>38</v>
      </c>
      <c r="F92" s="120" t="s">
        <v>39</v>
      </c>
      <c r="G92" s="118" t="s">
        <v>40</v>
      </c>
      <c r="H92" s="121" t="s">
        <v>41</v>
      </c>
      <c r="I92" s="120" t="s">
        <v>42</v>
      </c>
      <c r="J92" s="122" t="s">
        <v>43</v>
      </c>
      <c r="K92" s="123" t="s">
        <v>44</v>
      </c>
      <c r="L92" t="s">
        <v>1307</v>
      </c>
      <c r="M92" s="124" t="s">
        <v>1308</v>
      </c>
      <c r="N92" s="125" t="s">
        <v>1309</v>
      </c>
      <c r="O92" s="126" t="s">
        <v>929</v>
      </c>
      <c r="P92" s="127"/>
      <c r="Q92" s="128"/>
      <c r="R92" s="128"/>
      <c r="S92" s="129">
        <v>926.24</v>
      </c>
      <c r="T92" s="130" t="s">
        <v>1332</v>
      </c>
      <c r="U92" s="131">
        <v>45371</v>
      </c>
      <c r="V92" s="132"/>
      <c r="W92" s="133"/>
      <c r="X92" s="134" t="s">
        <v>1314</v>
      </c>
      <c r="Y92" s="135" t="s">
        <v>912</v>
      </c>
      <c r="Z92" s="128" t="s">
        <v>96</v>
      </c>
      <c r="AA92" s="128"/>
      <c r="AB92" s="136" t="s">
        <v>256</v>
      </c>
      <c r="AC92" s="137" t="s">
        <v>914</v>
      </c>
      <c r="AD92" s="136" t="s">
        <v>961</v>
      </c>
      <c r="AE92" s="136" t="s">
        <v>962</v>
      </c>
      <c r="AF92" s="136" t="s">
        <v>59</v>
      </c>
      <c r="AG92" s="136" t="s">
        <v>59</v>
      </c>
      <c r="AH92" s="138">
        <v>-926.24</v>
      </c>
      <c r="AI92" s="139" t="s">
        <v>98</v>
      </c>
      <c r="AJ92" s="139" t="s">
        <v>895</v>
      </c>
    </row>
    <row r="93" spans="1:36" ht="15.75" x14ac:dyDescent="0.25">
      <c r="A93" s="115">
        <v>8892</v>
      </c>
      <c r="B93" s="116" t="s">
        <v>36</v>
      </c>
      <c r="C93" s="117" t="s">
        <v>37</v>
      </c>
      <c r="D93" s="118" t="s">
        <v>36</v>
      </c>
      <c r="E93" s="119" t="s">
        <v>38</v>
      </c>
      <c r="F93" s="120" t="s">
        <v>39</v>
      </c>
      <c r="G93" s="118" t="s">
        <v>40</v>
      </c>
      <c r="H93" s="121" t="s">
        <v>41</v>
      </c>
      <c r="I93" s="120" t="s">
        <v>301</v>
      </c>
      <c r="J93" s="122" t="s">
        <v>302</v>
      </c>
      <c r="K93" s="123" t="s">
        <v>303</v>
      </c>
      <c r="L93" t="s">
        <v>1307</v>
      </c>
      <c r="M93" s="124" t="s">
        <v>1308</v>
      </c>
      <c r="N93" s="125" t="s">
        <v>1309</v>
      </c>
      <c r="O93" s="126" t="s">
        <v>929</v>
      </c>
      <c r="P93" s="127" t="s">
        <v>1332</v>
      </c>
      <c r="Q93" s="128"/>
      <c r="R93" s="128"/>
      <c r="S93" s="129">
        <v>867.66</v>
      </c>
      <c r="T93" s="130" t="s">
        <v>1332</v>
      </c>
      <c r="U93" s="131">
        <v>45371</v>
      </c>
      <c r="V93" s="132"/>
      <c r="W93" s="133"/>
      <c r="X93" s="134" t="s">
        <v>1333</v>
      </c>
      <c r="Y93" s="135" t="s">
        <v>912</v>
      </c>
      <c r="Z93" s="128" t="s">
        <v>57</v>
      </c>
      <c r="AA93" s="128"/>
      <c r="AB93" s="136" t="s">
        <v>256</v>
      </c>
      <c r="AC93" s="137" t="s">
        <v>914</v>
      </c>
      <c r="AD93" s="136" t="s">
        <v>961</v>
      </c>
      <c r="AE93" s="136" t="s">
        <v>962</v>
      </c>
      <c r="AF93" s="136" t="s">
        <v>59</v>
      </c>
      <c r="AG93" s="136" t="s">
        <v>59</v>
      </c>
      <c r="AH93" s="138">
        <v>-867.66</v>
      </c>
      <c r="AI93" s="139" t="s">
        <v>98</v>
      </c>
      <c r="AJ93" s="139" t="s">
        <v>895</v>
      </c>
    </row>
    <row r="94" spans="1:36" ht="15.75" x14ac:dyDescent="0.25">
      <c r="A94" s="115">
        <v>8911</v>
      </c>
      <c r="B94" s="116" t="s">
        <v>36</v>
      </c>
      <c r="C94" s="117" t="s">
        <v>37</v>
      </c>
      <c r="D94" s="118" t="s">
        <v>36</v>
      </c>
      <c r="E94" s="119" t="s">
        <v>38</v>
      </c>
      <c r="F94" s="120" t="s">
        <v>39</v>
      </c>
      <c r="G94" s="118" t="s">
        <v>40</v>
      </c>
      <c r="H94" s="121" t="s">
        <v>41</v>
      </c>
      <c r="I94" s="120" t="s">
        <v>524</v>
      </c>
      <c r="J94" s="122" t="s">
        <v>525</v>
      </c>
      <c r="K94" s="123" t="s">
        <v>526</v>
      </c>
      <c r="L94" t="s">
        <v>1307</v>
      </c>
      <c r="M94" s="124" t="s">
        <v>1308</v>
      </c>
      <c r="N94" s="125" t="s">
        <v>1309</v>
      </c>
      <c r="O94" s="126" t="s">
        <v>929</v>
      </c>
      <c r="P94" s="127"/>
      <c r="Q94" s="128"/>
      <c r="R94" s="128"/>
      <c r="S94" s="129">
        <v>899.8</v>
      </c>
      <c r="T94" s="130" t="s">
        <v>1332</v>
      </c>
      <c r="U94" s="131">
        <v>45371</v>
      </c>
      <c r="V94" s="132"/>
      <c r="W94" s="133"/>
      <c r="X94" s="134" t="s">
        <v>1338</v>
      </c>
      <c r="Y94" s="135" t="s">
        <v>912</v>
      </c>
      <c r="Z94" s="128" t="s">
        <v>57</v>
      </c>
      <c r="AA94" s="128"/>
      <c r="AB94" s="136" t="s">
        <v>256</v>
      </c>
      <c r="AC94" s="137" t="s">
        <v>914</v>
      </c>
      <c r="AD94" s="136" t="s">
        <v>961</v>
      </c>
      <c r="AE94" s="136" t="s">
        <v>962</v>
      </c>
      <c r="AF94" s="136" t="s">
        <v>59</v>
      </c>
      <c r="AG94" s="136" t="s">
        <v>59</v>
      </c>
      <c r="AH94" s="138">
        <v>-899.8</v>
      </c>
      <c r="AI94" s="139" t="s">
        <v>98</v>
      </c>
      <c r="AJ94" s="139" t="s">
        <v>895</v>
      </c>
    </row>
    <row r="95" spans="1:36" ht="15.75" x14ac:dyDescent="0.25">
      <c r="A95" s="115">
        <v>8915</v>
      </c>
      <c r="B95" s="116" t="s">
        <v>36</v>
      </c>
      <c r="C95" s="117" t="s">
        <v>37</v>
      </c>
      <c r="D95" s="118" t="s">
        <v>36</v>
      </c>
      <c r="E95" s="119" t="s">
        <v>38</v>
      </c>
      <c r="F95" s="120" t="s">
        <v>39</v>
      </c>
      <c r="G95" s="118" t="s">
        <v>40</v>
      </c>
      <c r="H95" s="121" t="s">
        <v>41</v>
      </c>
      <c r="I95" s="120" t="s">
        <v>524</v>
      </c>
      <c r="J95" s="122" t="s">
        <v>525</v>
      </c>
      <c r="K95" s="123" t="s">
        <v>526</v>
      </c>
      <c r="L95" t="s">
        <v>1307</v>
      </c>
      <c r="M95" s="124" t="s">
        <v>1308</v>
      </c>
      <c r="N95" s="125" t="s">
        <v>1309</v>
      </c>
      <c r="O95" s="126" t="s">
        <v>929</v>
      </c>
      <c r="P95" s="127"/>
      <c r="Q95" s="128"/>
      <c r="R95" s="128"/>
      <c r="S95" s="129">
        <v>730.19</v>
      </c>
      <c r="T95" s="130" t="s">
        <v>1332</v>
      </c>
      <c r="U95" s="131">
        <v>45371</v>
      </c>
      <c r="V95" s="132"/>
      <c r="W95" s="133"/>
      <c r="X95" s="134" t="s">
        <v>1334</v>
      </c>
      <c r="Y95" s="135" t="s">
        <v>912</v>
      </c>
      <c r="Z95" s="128" t="s">
        <v>96</v>
      </c>
      <c r="AA95" s="128"/>
      <c r="AB95" s="136" t="s">
        <v>256</v>
      </c>
      <c r="AC95" s="137" t="s">
        <v>914</v>
      </c>
      <c r="AD95" s="136" t="s">
        <v>961</v>
      </c>
      <c r="AE95" s="136" t="s">
        <v>962</v>
      </c>
      <c r="AF95" s="136" t="s">
        <v>59</v>
      </c>
      <c r="AG95" s="136" t="s">
        <v>59</v>
      </c>
      <c r="AH95" s="138">
        <v>-730.19</v>
      </c>
      <c r="AI95" s="139" t="s">
        <v>98</v>
      </c>
      <c r="AJ95" s="139" t="s">
        <v>895</v>
      </c>
    </row>
    <row r="96" spans="1:36" ht="15.75" x14ac:dyDescent="0.25">
      <c r="A96" s="115">
        <v>8927</v>
      </c>
      <c r="B96" s="116" t="s">
        <v>36</v>
      </c>
      <c r="C96" s="117" t="s">
        <v>37</v>
      </c>
      <c r="D96" s="118" t="s">
        <v>36</v>
      </c>
      <c r="E96" s="119" t="s">
        <v>38</v>
      </c>
      <c r="F96" s="120" t="s">
        <v>39</v>
      </c>
      <c r="G96" s="118" t="s">
        <v>40</v>
      </c>
      <c r="H96" s="121" t="s">
        <v>41</v>
      </c>
      <c r="I96" s="120" t="s">
        <v>1319</v>
      </c>
      <c r="J96" s="122" t="s">
        <v>1320</v>
      </c>
      <c r="K96" s="123" t="s">
        <v>1321</v>
      </c>
      <c r="L96" t="s">
        <v>1307</v>
      </c>
      <c r="M96" s="124" t="s">
        <v>1308</v>
      </c>
      <c r="N96" s="125" t="s">
        <v>1309</v>
      </c>
      <c r="O96" s="126" t="s">
        <v>929</v>
      </c>
      <c r="P96" s="127"/>
      <c r="Q96" s="128"/>
      <c r="R96" s="128"/>
      <c r="S96" s="129">
        <v>919.53</v>
      </c>
      <c r="T96" s="130" t="s">
        <v>1332</v>
      </c>
      <c r="U96" s="131">
        <v>45371</v>
      </c>
      <c r="V96" s="132"/>
      <c r="W96" s="133"/>
      <c r="X96" s="134" t="s">
        <v>1322</v>
      </c>
      <c r="Y96" s="135" t="s">
        <v>912</v>
      </c>
      <c r="Z96" s="128" t="s">
        <v>96</v>
      </c>
      <c r="AA96" s="128"/>
      <c r="AB96" s="136" t="s">
        <v>256</v>
      </c>
      <c r="AC96" s="137" t="s">
        <v>914</v>
      </c>
      <c r="AD96" s="136" t="s">
        <v>961</v>
      </c>
      <c r="AE96" s="136" t="s">
        <v>962</v>
      </c>
      <c r="AF96" s="136" t="s">
        <v>59</v>
      </c>
      <c r="AG96" s="136" t="s">
        <v>59</v>
      </c>
      <c r="AH96" s="138">
        <v>-919.53</v>
      </c>
      <c r="AI96" s="139" t="s">
        <v>98</v>
      </c>
      <c r="AJ96" s="139" t="s">
        <v>895</v>
      </c>
    </row>
    <row r="97" spans="1:36" ht="15.75" x14ac:dyDescent="0.25">
      <c r="A97" s="115">
        <v>8959</v>
      </c>
      <c r="B97" s="116" t="s">
        <v>36</v>
      </c>
      <c r="C97" s="117" t="s">
        <v>37</v>
      </c>
      <c r="D97" s="118" t="s">
        <v>36</v>
      </c>
      <c r="E97" s="119" t="s">
        <v>38</v>
      </c>
      <c r="F97" s="140" t="s">
        <v>39</v>
      </c>
      <c r="G97" s="118" t="s">
        <v>40</v>
      </c>
      <c r="H97" s="121" t="s">
        <v>41</v>
      </c>
      <c r="I97" s="120" t="s">
        <v>524</v>
      </c>
      <c r="J97" s="122" t="s">
        <v>525</v>
      </c>
      <c r="K97" s="123" t="s">
        <v>526</v>
      </c>
      <c r="L97" t="s">
        <v>1307</v>
      </c>
      <c r="M97" s="124" t="s">
        <v>1308</v>
      </c>
      <c r="N97" s="125" t="s">
        <v>1309</v>
      </c>
      <c r="O97" s="126" t="s">
        <v>929</v>
      </c>
      <c r="P97" s="127"/>
      <c r="Q97" s="128"/>
      <c r="R97" s="128"/>
      <c r="S97" s="129">
        <v>820.03</v>
      </c>
      <c r="T97" s="130" t="s">
        <v>1332</v>
      </c>
      <c r="U97" s="131">
        <v>45371</v>
      </c>
      <c r="V97" s="132"/>
      <c r="W97" s="133"/>
      <c r="X97" s="134" t="s">
        <v>1215</v>
      </c>
      <c r="Y97" s="135" t="s">
        <v>912</v>
      </c>
      <c r="Z97" s="128" t="s">
        <v>96</v>
      </c>
      <c r="AA97" s="128"/>
      <c r="AB97" s="136" t="s">
        <v>256</v>
      </c>
      <c r="AC97" s="137" t="s">
        <v>914</v>
      </c>
      <c r="AD97" s="136" t="s">
        <v>961</v>
      </c>
      <c r="AE97" s="136" t="s">
        <v>962</v>
      </c>
      <c r="AF97" s="136" t="s">
        <v>59</v>
      </c>
      <c r="AG97" s="136" t="s">
        <v>59</v>
      </c>
      <c r="AH97" s="138">
        <v>-820.03</v>
      </c>
      <c r="AI97" s="139" t="s">
        <v>98</v>
      </c>
      <c r="AJ97" s="139" t="s">
        <v>895</v>
      </c>
    </row>
    <row r="98" spans="1:36" ht="15.75" x14ac:dyDescent="0.25">
      <c r="A98" s="115">
        <v>8988</v>
      </c>
      <c r="B98" s="116" t="s">
        <v>36</v>
      </c>
      <c r="C98" s="117" t="s">
        <v>37</v>
      </c>
      <c r="D98" s="118" t="s">
        <v>36</v>
      </c>
      <c r="E98" s="119" t="s">
        <v>38</v>
      </c>
      <c r="F98" s="140" t="s">
        <v>39</v>
      </c>
      <c r="G98" s="118" t="s">
        <v>40</v>
      </c>
      <c r="H98" s="121" t="s">
        <v>41</v>
      </c>
      <c r="I98" s="120" t="s">
        <v>42</v>
      </c>
      <c r="J98" s="122" t="s">
        <v>43</v>
      </c>
      <c r="K98" s="123" t="s">
        <v>44</v>
      </c>
      <c r="L98" t="s">
        <v>1307</v>
      </c>
      <c r="M98" s="124" t="s">
        <v>1308</v>
      </c>
      <c r="N98" s="125" t="s">
        <v>1309</v>
      </c>
      <c r="O98" s="126" t="s">
        <v>929</v>
      </c>
      <c r="P98" s="127"/>
      <c r="Q98" s="128"/>
      <c r="R98" s="128"/>
      <c r="S98" s="129">
        <v>926.24</v>
      </c>
      <c r="T98" s="130" t="s">
        <v>1332</v>
      </c>
      <c r="U98" s="131">
        <v>45371</v>
      </c>
      <c r="V98" s="132"/>
      <c r="W98" s="133"/>
      <c r="X98" s="134" t="s">
        <v>1335</v>
      </c>
      <c r="Y98" s="135" t="s">
        <v>912</v>
      </c>
      <c r="Z98" s="128" t="s">
        <v>96</v>
      </c>
      <c r="AA98" s="128"/>
      <c r="AB98" s="136" t="s">
        <v>256</v>
      </c>
      <c r="AC98" s="137" t="s">
        <v>914</v>
      </c>
      <c r="AD98" s="136" t="s">
        <v>961</v>
      </c>
      <c r="AE98" s="136" t="s">
        <v>962</v>
      </c>
      <c r="AF98" s="136" t="s">
        <v>59</v>
      </c>
      <c r="AG98" s="136" t="s">
        <v>59</v>
      </c>
      <c r="AH98" s="138">
        <v>-926.24</v>
      </c>
      <c r="AI98" s="139" t="s">
        <v>98</v>
      </c>
      <c r="AJ98" s="139" t="s">
        <v>895</v>
      </c>
    </row>
    <row r="99" spans="1:36" ht="15.75" x14ac:dyDescent="0.25">
      <c r="A99" s="115">
        <v>9001</v>
      </c>
      <c r="B99" s="116" t="s">
        <v>36</v>
      </c>
      <c r="C99" s="117" t="s">
        <v>37</v>
      </c>
      <c r="D99" s="118" t="s">
        <v>36</v>
      </c>
      <c r="E99" s="119" t="s">
        <v>38</v>
      </c>
      <c r="F99" s="120" t="s">
        <v>39</v>
      </c>
      <c r="G99" s="118" t="s">
        <v>40</v>
      </c>
      <c r="H99" s="121" t="s">
        <v>41</v>
      </c>
      <c r="I99" s="120" t="s">
        <v>1319</v>
      </c>
      <c r="J99" s="122" t="s">
        <v>1320</v>
      </c>
      <c r="K99" s="123" t="s">
        <v>1321</v>
      </c>
      <c r="L99" t="s">
        <v>1307</v>
      </c>
      <c r="M99" s="124" t="s">
        <v>1308</v>
      </c>
      <c r="N99" s="125" t="s">
        <v>1309</v>
      </c>
      <c r="O99" s="126" t="s">
        <v>929</v>
      </c>
      <c r="P99" s="127"/>
      <c r="Q99" s="128"/>
      <c r="R99" s="128"/>
      <c r="S99" s="129">
        <v>938</v>
      </c>
      <c r="T99" s="130" t="s">
        <v>1332</v>
      </c>
      <c r="U99" s="131">
        <v>45371</v>
      </c>
      <c r="V99" s="132"/>
      <c r="W99" s="133"/>
      <c r="X99" s="134" t="s">
        <v>1326</v>
      </c>
      <c r="Y99" s="135" t="s">
        <v>912</v>
      </c>
      <c r="Z99" s="128" t="s">
        <v>96</v>
      </c>
      <c r="AA99" s="128"/>
      <c r="AB99" s="136" t="s">
        <v>256</v>
      </c>
      <c r="AC99" s="137" t="s">
        <v>914</v>
      </c>
      <c r="AD99" s="136" t="s">
        <v>961</v>
      </c>
      <c r="AE99" s="136" t="s">
        <v>962</v>
      </c>
      <c r="AF99" s="136" t="s">
        <v>59</v>
      </c>
      <c r="AG99" s="136" t="s">
        <v>59</v>
      </c>
      <c r="AH99" s="138">
        <v>-938</v>
      </c>
      <c r="AI99" s="139" t="s">
        <v>98</v>
      </c>
      <c r="AJ99" s="139" t="s">
        <v>895</v>
      </c>
    </row>
    <row r="100" spans="1:36" ht="15.75" x14ac:dyDescent="0.25">
      <c r="A100" s="115">
        <v>9002</v>
      </c>
      <c r="B100" s="116" t="s">
        <v>36</v>
      </c>
      <c r="C100" s="117" t="s">
        <v>37</v>
      </c>
      <c r="D100" s="118" t="s">
        <v>36</v>
      </c>
      <c r="E100" s="119" t="s">
        <v>38</v>
      </c>
      <c r="F100" s="120" t="s">
        <v>39</v>
      </c>
      <c r="G100" s="118" t="s">
        <v>40</v>
      </c>
      <c r="H100" s="121" t="s">
        <v>41</v>
      </c>
      <c r="I100" s="120" t="s">
        <v>1319</v>
      </c>
      <c r="J100" s="122" t="s">
        <v>1320</v>
      </c>
      <c r="K100" s="123" t="s">
        <v>1321</v>
      </c>
      <c r="L100" t="s">
        <v>1307</v>
      </c>
      <c r="M100" s="124" t="s">
        <v>1308</v>
      </c>
      <c r="N100" s="125" t="s">
        <v>1309</v>
      </c>
      <c r="O100" s="126" t="s">
        <v>929</v>
      </c>
      <c r="P100" s="127"/>
      <c r="Q100" s="128"/>
      <c r="R100" s="128"/>
      <c r="S100" s="129">
        <v>3147.83</v>
      </c>
      <c r="T100" s="130" t="s">
        <v>1336</v>
      </c>
      <c r="U100" s="131">
        <v>45371</v>
      </c>
      <c r="V100" s="132"/>
      <c r="W100" s="133"/>
      <c r="X100" s="134" t="s">
        <v>1326</v>
      </c>
      <c r="Y100" s="135" t="s">
        <v>912</v>
      </c>
      <c r="Z100" s="128" t="s">
        <v>96</v>
      </c>
      <c r="AA100" s="128"/>
      <c r="AB100" s="136" t="s">
        <v>256</v>
      </c>
      <c r="AC100" s="137" t="s">
        <v>914</v>
      </c>
      <c r="AD100" s="136" t="s">
        <v>961</v>
      </c>
      <c r="AE100" s="136" t="s">
        <v>962</v>
      </c>
      <c r="AF100" s="136" t="s">
        <v>59</v>
      </c>
      <c r="AG100" s="136" t="s">
        <v>59</v>
      </c>
      <c r="AH100" s="138">
        <v>-3147.83</v>
      </c>
      <c r="AI100" s="139" t="s">
        <v>98</v>
      </c>
      <c r="AJ100" s="139" t="s">
        <v>895</v>
      </c>
    </row>
    <row r="101" spans="1:36" ht="15.75" x14ac:dyDescent="0.25">
      <c r="A101" s="115">
        <v>9003</v>
      </c>
      <c r="B101" s="116" t="s">
        <v>36</v>
      </c>
      <c r="C101" s="117" t="s">
        <v>37</v>
      </c>
      <c r="D101" s="118" t="s">
        <v>36</v>
      </c>
      <c r="E101" s="119" t="s">
        <v>38</v>
      </c>
      <c r="F101" s="120" t="s">
        <v>39</v>
      </c>
      <c r="G101" s="118" t="s">
        <v>40</v>
      </c>
      <c r="H101" s="121" t="s">
        <v>41</v>
      </c>
      <c r="I101" s="120" t="s">
        <v>946</v>
      </c>
      <c r="J101" s="122" t="s">
        <v>947</v>
      </c>
      <c r="K101" s="123" t="s">
        <v>948</v>
      </c>
      <c r="L101" t="s">
        <v>1307</v>
      </c>
      <c r="M101" s="124" t="s">
        <v>1308</v>
      </c>
      <c r="N101" s="125" t="s">
        <v>1309</v>
      </c>
      <c r="O101" s="126" t="s">
        <v>929</v>
      </c>
      <c r="P101" s="127"/>
      <c r="Q101" s="128"/>
      <c r="R101" s="128"/>
      <c r="S101" s="129">
        <v>938</v>
      </c>
      <c r="T101" s="130" t="s">
        <v>1332</v>
      </c>
      <c r="U101" s="131">
        <v>45371</v>
      </c>
      <c r="V101" s="132"/>
      <c r="W101" s="133"/>
      <c r="X101" s="134" t="s">
        <v>951</v>
      </c>
      <c r="Y101" s="135" t="s">
        <v>912</v>
      </c>
      <c r="Z101" s="128" t="s">
        <v>96</v>
      </c>
      <c r="AA101" s="128"/>
      <c r="AB101" s="136" t="s">
        <v>256</v>
      </c>
      <c r="AC101" s="137" t="s">
        <v>914</v>
      </c>
      <c r="AD101" s="136" t="s">
        <v>961</v>
      </c>
      <c r="AE101" s="136" t="s">
        <v>962</v>
      </c>
      <c r="AF101" s="136" t="s">
        <v>59</v>
      </c>
      <c r="AG101" s="136" t="s">
        <v>59</v>
      </c>
      <c r="AH101" s="138">
        <v>-938</v>
      </c>
      <c r="AI101" s="139" t="s">
        <v>98</v>
      </c>
      <c r="AJ101" s="139" t="s">
        <v>895</v>
      </c>
    </row>
    <row r="102" spans="1:36" ht="15.75" x14ac:dyDescent="0.25">
      <c r="A102" s="115">
        <v>9637</v>
      </c>
      <c r="B102" s="116" t="s">
        <v>36</v>
      </c>
      <c r="C102" s="117" t="s">
        <v>37</v>
      </c>
      <c r="D102" s="118" t="s">
        <v>36</v>
      </c>
      <c r="E102" s="119" t="s">
        <v>38</v>
      </c>
      <c r="F102" s="120" t="s">
        <v>39</v>
      </c>
      <c r="G102" s="118" t="s">
        <v>40</v>
      </c>
      <c r="H102" s="121" t="s">
        <v>41</v>
      </c>
      <c r="I102" s="120" t="s">
        <v>301</v>
      </c>
      <c r="J102" s="122" t="s">
        <v>302</v>
      </c>
      <c r="K102" s="123" t="s">
        <v>303</v>
      </c>
      <c r="L102" t="s">
        <v>1307</v>
      </c>
      <c r="M102" s="124" t="s">
        <v>1308</v>
      </c>
      <c r="N102" s="125" t="s">
        <v>1309</v>
      </c>
      <c r="O102" s="126" t="s">
        <v>929</v>
      </c>
      <c r="P102" s="127"/>
      <c r="Q102" s="128"/>
      <c r="R102" s="128"/>
      <c r="S102" s="129">
        <v>4186.59</v>
      </c>
      <c r="T102" s="130" t="s">
        <v>1336</v>
      </c>
      <c r="U102" s="131">
        <v>45382</v>
      </c>
      <c r="V102" s="132"/>
      <c r="W102" s="133"/>
      <c r="X102" s="134" t="s">
        <v>1046</v>
      </c>
      <c r="Y102" s="135" t="s">
        <v>912</v>
      </c>
      <c r="Z102" s="128" t="s">
        <v>96</v>
      </c>
      <c r="AA102" s="128" t="s">
        <v>1328</v>
      </c>
      <c r="AB102" s="136" t="s">
        <v>256</v>
      </c>
      <c r="AC102" s="137" t="s">
        <v>914</v>
      </c>
      <c r="AD102" s="136" t="s">
        <v>961</v>
      </c>
      <c r="AE102" s="136" t="s">
        <v>962</v>
      </c>
      <c r="AF102" s="136" t="s">
        <v>59</v>
      </c>
      <c r="AG102" s="136" t="s">
        <v>59</v>
      </c>
      <c r="AH102" s="138">
        <v>-4186.59</v>
      </c>
      <c r="AI102" s="139" t="s">
        <v>98</v>
      </c>
      <c r="AJ102" s="139" t="s">
        <v>895</v>
      </c>
    </row>
    <row r="103" spans="1:36" ht="15.75" x14ac:dyDescent="0.25">
      <c r="A103" s="115">
        <v>9641</v>
      </c>
      <c r="B103" s="116" t="s">
        <v>36</v>
      </c>
      <c r="C103" s="117" t="s">
        <v>37</v>
      </c>
      <c r="D103" s="118" t="s">
        <v>36</v>
      </c>
      <c r="E103" s="119" t="s">
        <v>38</v>
      </c>
      <c r="F103" s="120" t="s">
        <v>39</v>
      </c>
      <c r="G103" s="118" t="s">
        <v>40</v>
      </c>
      <c r="H103" s="121" t="s">
        <v>41</v>
      </c>
      <c r="I103" s="120" t="s">
        <v>42</v>
      </c>
      <c r="J103" s="122" t="s">
        <v>43</v>
      </c>
      <c r="K103" s="123" t="s">
        <v>44</v>
      </c>
      <c r="L103" t="s">
        <v>1307</v>
      </c>
      <c r="M103" s="124" t="s">
        <v>1308</v>
      </c>
      <c r="N103" s="125" t="s">
        <v>1309</v>
      </c>
      <c r="O103" s="126" t="s">
        <v>929</v>
      </c>
      <c r="P103" s="127"/>
      <c r="Q103" s="128"/>
      <c r="R103" s="128"/>
      <c r="S103" s="129">
        <v>2776.38</v>
      </c>
      <c r="T103" s="130" t="s">
        <v>1336</v>
      </c>
      <c r="U103" s="131">
        <v>45382</v>
      </c>
      <c r="V103" s="132"/>
      <c r="W103" s="133"/>
      <c r="X103" s="134" t="s">
        <v>1314</v>
      </c>
      <c r="Y103" s="135" t="s">
        <v>912</v>
      </c>
      <c r="Z103" s="128" t="s">
        <v>96</v>
      </c>
      <c r="AA103" s="128"/>
      <c r="AB103" s="136" t="s">
        <v>256</v>
      </c>
      <c r="AC103" s="137" t="s">
        <v>914</v>
      </c>
      <c r="AD103" s="136" t="s">
        <v>961</v>
      </c>
      <c r="AE103" s="136" t="s">
        <v>962</v>
      </c>
      <c r="AF103" s="136" t="s">
        <v>59</v>
      </c>
      <c r="AG103" s="136" t="s">
        <v>59</v>
      </c>
      <c r="AH103" s="138">
        <v>-2776.38</v>
      </c>
      <c r="AI103" s="139" t="s">
        <v>98</v>
      </c>
      <c r="AJ103" s="139" t="s">
        <v>895</v>
      </c>
    </row>
    <row r="104" spans="1:36" ht="15.75" x14ac:dyDescent="0.25">
      <c r="A104" s="115">
        <v>9649</v>
      </c>
      <c r="B104" s="116" t="s">
        <v>36</v>
      </c>
      <c r="C104" s="117" t="s">
        <v>37</v>
      </c>
      <c r="D104" s="118" t="s">
        <v>36</v>
      </c>
      <c r="E104" s="119" t="s">
        <v>38</v>
      </c>
      <c r="F104" s="120" t="s">
        <v>39</v>
      </c>
      <c r="G104" s="118" t="s">
        <v>40</v>
      </c>
      <c r="H104" s="121" t="s">
        <v>41</v>
      </c>
      <c r="I104" s="120" t="s">
        <v>301</v>
      </c>
      <c r="J104" s="122" t="s">
        <v>302</v>
      </c>
      <c r="K104" s="123" t="s">
        <v>303</v>
      </c>
      <c r="L104" t="s">
        <v>1307</v>
      </c>
      <c r="M104" s="124" t="s">
        <v>1308</v>
      </c>
      <c r="N104" s="125" t="s">
        <v>1309</v>
      </c>
      <c r="O104" s="126" t="s">
        <v>929</v>
      </c>
      <c r="P104" s="127" t="s">
        <v>1336</v>
      </c>
      <c r="Q104" s="128"/>
      <c r="R104" s="128"/>
      <c r="S104" s="129">
        <v>4435.78</v>
      </c>
      <c r="T104" s="130" t="s">
        <v>1336</v>
      </c>
      <c r="U104" s="131">
        <v>45382</v>
      </c>
      <c r="V104" s="132"/>
      <c r="W104" s="133"/>
      <c r="X104" s="134" t="s">
        <v>1333</v>
      </c>
      <c r="Y104" s="135" t="s">
        <v>912</v>
      </c>
      <c r="Z104" s="128" t="s">
        <v>57</v>
      </c>
      <c r="AA104" s="128"/>
      <c r="AB104" s="136" t="s">
        <v>256</v>
      </c>
      <c r="AC104" s="137" t="s">
        <v>914</v>
      </c>
      <c r="AD104" s="136" t="s">
        <v>961</v>
      </c>
      <c r="AE104" s="136" t="s">
        <v>962</v>
      </c>
      <c r="AF104" s="136" t="s">
        <v>59</v>
      </c>
      <c r="AG104" s="136" t="s">
        <v>59</v>
      </c>
      <c r="AH104" s="138">
        <v>-4435.78</v>
      </c>
      <c r="AI104" s="139" t="s">
        <v>98</v>
      </c>
      <c r="AJ104" s="139" t="s">
        <v>895</v>
      </c>
    </row>
    <row r="105" spans="1:36" ht="15.75" x14ac:dyDescent="0.25">
      <c r="A105" s="115">
        <v>9652</v>
      </c>
      <c r="B105" s="116" t="s">
        <v>36</v>
      </c>
      <c r="C105" s="117" t="s">
        <v>37</v>
      </c>
      <c r="D105" s="118" t="s">
        <v>36</v>
      </c>
      <c r="E105" s="119" t="s">
        <v>38</v>
      </c>
      <c r="F105" s="120" t="s">
        <v>39</v>
      </c>
      <c r="G105" s="118" t="s">
        <v>40</v>
      </c>
      <c r="H105" s="121" t="s">
        <v>41</v>
      </c>
      <c r="I105" s="120" t="s">
        <v>524</v>
      </c>
      <c r="J105" s="122" t="s">
        <v>525</v>
      </c>
      <c r="K105" s="123" t="s">
        <v>526</v>
      </c>
      <c r="L105" t="s">
        <v>1307</v>
      </c>
      <c r="M105" s="124" t="s">
        <v>1308</v>
      </c>
      <c r="N105" s="125" t="s">
        <v>1309</v>
      </c>
      <c r="O105" s="126" t="s">
        <v>929</v>
      </c>
      <c r="P105" s="127"/>
      <c r="Q105" s="128"/>
      <c r="R105" s="128"/>
      <c r="S105" s="129">
        <v>5320.91</v>
      </c>
      <c r="T105" s="130" t="s">
        <v>1336</v>
      </c>
      <c r="U105" s="131">
        <v>45382</v>
      </c>
      <c r="V105" s="132"/>
      <c r="W105" s="133"/>
      <c r="X105" s="134" t="s">
        <v>874</v>
      </c>
      <c r="Y105" s="135" t="s">
        <v>912</v>
      </c>
      <c r="Z105" s="128" t="s">
        <v>96</v>
      </c>
      <c r="AA105" s="128" t="s">
        <v>1328</v>
      </c>
      <c r="AB105" s="136" t="s">
        <v>256</v>
      </c>
      <c r="AC105" s="137" t="s">
        <v>914</v>
      </c>
      <c r="AD105" s="136" t="s">
        <v>961</v>
      </c>
      <c r="AE105" s="136" t="s">
        <v>962</v>
      </c>
      <c r="AF105" s="136" t="s">
        <v>59</v>
      </c>
      <c r="AG105" s="136" t="s">
        <v>59</v>
      </c>
      <c r="AH105" s="138">
        <v>-5320.91</v>
      </c>
      <c r="AI105" s="139" t="s">
        <v>98</v>
      </c>
      <c r="AJ105" s="139" t="s">
        <v>895</v>
      </c>
    </row>
    <row r="106" spans="1:36" ht="15.75" x14ac:dyDescent="0.25">
      <c r="A106" s="115">
        <v>9713</v>
      </c>
      <c r="B106" s="116" t="s">
        <v>36</v>
      </c>
      <c r="C106" s="117" t="s">
        <v>37</v>
      </c>
      <c r="D106" s="118" t="s">
        <v>36</v>
      </c>
      <c r="E106" s="119" t="s">
        <v>38</v>
      </c>
      <c r="F106" s="120" t="s">
        <v>39</v>
      </c>
      <c r="G106" s="118" t="s">
        <v>40</v>
      </c>
      <c r="H106" s="121" t="s">
        <v>41</v>
      </c>
      <c r="I106" s="120" t="s">
        <v>524</v>
      </c>
      <c r="J106" s="122" t="s">
        <v>525</v>
      </c>
      <c r="K106" s="123" t="s">
        <v>526</v>
      </c>
      <c r="L106" t="s">
        <v>1307</v>
      </c>
      <c r="M106" s="124" t="s">
        <v>1308</v>
      </c>
      <c r="N106" s="125" t="s">
        <v>1309</v>
      </c>
      <c r="O106" s="126" t="s">
        <v>929</v>
      </c>
      <c r="P106" s="127"/>
      <c r="Q106" s="128"/>
      <c r="R106" s="128"/>
      <c r="S106" s="129">
        <v>2695.63</v>
      </c>
      <c r="T106" s="130" t="s">
        <v>1336</v>
      </c>
      <c r="U106" s="131">
        <v>45382</v>
      </c>
      <c r="V106" s="132"/>
      <c r="W106" s="133"/>
      <c r="X106" s="134" t="s">
        <v>1338</v>
      </c>
      <c r="Y106" s="135" t="s">
        <v>912</v>
      </c>
      <c r="Z106" s="128" t="s">
        <v>57</v>
      </c>
      <c r="AA106" s="128"/>
      <c r="AB106" s="136" t="s">
        <v>256</v>
      </c>
      <c r="AC106" s="137" t="s">
        <v>914</v>
      </c>
      <c r="AD106" s="136" t="s">
        <v>961</v>
      </c>
      <c r="AE106" s="136" t="s">
        <v>962</v>
      </c>
      <c r="AF106" s="136" t="s">
        <v>59</v>
      </c>
      <c r="AG106" s="136" t="s">
        <v>59</v>
      </c>
      <c r="AH106" s="138">
        <v>-2695.63</v>
      </c>
      <c r="AI106" s="139" t="s">
        <v>98</v>
      </c>
      <c r="AJ106" s="139" t="s">
        <v>895</v>
      </c>
    </row>
    <row r="107" spans="1:36" ht="15.75" x14ac:dyDescent="0.25">
      <c r="A107" s="115">
        <v>9727</v>
      </c>
      <c r="B107" s="116" t="s">
        <v>36</v>
      </c>
      <c r="C107" s="117" t="s">
        <v>37</v>
      </c>
      <c r="D107" s="118" t="s">
        <v>36</v>
      </c>
      <c r="E107" s="119" t="s">
        <v>38</v>
      </c>
      <c r="F107" s="120" t="s">
        <v>39</v>
      </c>
      <c r="G107" s="118" t="s">
        <v>40</v>
      </c>
      <c r="H107" s="121" t="s">
        <v>41</v>
      </c>
      <c r="I107" s="120" t="s">
        <v>524</v>
      </c>
      <c r="J107" s="122" t="s">
        <v>525</v>
      </c>
      <c r="K107" s="123" t="s">
        <v>526</v>
      </c>
      <c r="L107" t="s">
        <v>1307</v>
      </c>
      <c r="M107" s="124" t="s">
        <v>1308</v>
      </c>
      <c r="N107" s="125" t="s">
        <v>1309</v>
      </c>
      <c r="O107" s="126" t="s">
        <v>929</v>
      </c>
      <c r="P107" s="127"/>
      <c r="Q107" s="128"/>
      <c r="R107" s="128"/>
      <c r="S107" s="129">
        <v>6684.81</v>
      </c>
      <c r="T107" s="130" t="s">
        <v>1336</v>
      </c>
      <c r="U107" s="131">
        <v>45382</v>
      </c>
      <c r="V107" s="132"/>
      <c r="W107" s="133"/>
      <c r="X107" s="134" t="s">
        <v>1334</v>
      </c>
      <c r="Y107" s="135" t="s">
        <v>912</v>
      </c>
      <c r="Z107" s="128" t="s">
        <v>96</v>
      </c>
      <c r="AA107" s="128"/>
      <c r="AB107" s="136" t="s">
        <v>256</v>
      </c>
      <c r="AC107" s="137" t="s">
        <v>914</v>
      </c>
      <c r="AD107" s="136" t="s">
        <v>961</v>
      </c>
      <c r="AE107" s="136" t="s">
        <v>962</v>
      </c>
      <c r="AF107" s="136" t="s">
        <v>59</v>
      </c>
      <c r="AG107" s="136" t="s">
        <v>59</v>
      </c>
      <c r="AH107" s="138">
        <v>-6684.81</v>
      </c>
      <c r="AI107" s="139" t="s">
        <v>98</v>
      </c>
      <c r="AJ107" s="139" t="s">
        <v>895</v>
      </c>
    </row>
    <row r="108" spans="1:36" ht="15.75" x14ac:dyDescent="0.25">
      <c r="A108" s="115">
        <v>9735</v>
      </c>
      <c r="B108" s="116" t="s">
        <v>36</v>
      </c>
      <c r="C108" s="117" t="s">
        <v>37</v>
      </c>
      <c r="D108" s="118" t="s">
        <v>36</v>
      </c>
      <c r="E108" s="119" t="s">
        <v>38</v>
      </c>
      <c r="F108" s="120" t="s">
        <v>39</v>
      </c>
      <c r="G108" s="118" t="s">
        <v>40</v>
      </c>
      <c r="H108" s="121" t="s">
        <v>41</v>
      </c>
      <c r="I108" s="120" t="s">
        <v>1319</v>
      </c>
      <c r="J108" s="122" t="s">
        <v>1320</v>
      </c>
      <c r="K108" s="123" t="s">
        <v>1321</v>
      </c>
      <c r="L108" t="s">
        <v>1307</v>
      </c>
      <c r="M108" s="124" t="s">
        <v>1308</v>
      </c>
      <c r="N108" s="125" t="s">
        <v>1309</v>
      </c>
      <c r="O108" s="126" t="s">
        <v>929</v>
      </c>
      <c r="P108" s="127"/>
      <c r="Q108" s="128"/>
      <c r="R108" s="128"/>
      <c r="S108" s="129">
        <v>3071.61</v>
      </c>
      <c r="T108" s="130" t="s">
        <v>1336</v>
      </c>
      <c r="U108" s="131">
        <v>45382</v>
      </c>
      <c r="V108" s="132"/>
      <c r="W108" s="133"/>
      <c r="X108" s="134" t="s">
        <v>1322</v>
      </c>
      <c r="Y108" s="135" t="s">
        <v>912</v>
      </c>
      <c r="Z108" s="128" t="s">
        <v>96</v>
      </c>
      <c r="AA108" s="128"/>
      <c r="AB108" s="136" t="s">
        <v>256</v>
      </c>
      <c r="AC108" s="137" t="s">
        <v>914</v>
      </c>
      <c r="AD108" s="136" t="s">
        <v>961</v>
      </c>
      <c r="AE108" s="136" t="s">
        <v>962</v>
      </c>
      <c r="AF108" s="136" t="s">
        <v>59</v>
      </c>
      <c r="AG108" s="136" t="s">
        <v>59</v>
      </c>
      <c r="AH108" s="138">
        <v>-3071.61</v>
      </c>
      <c r="AI108" s="139" t="s">
        <v>98</v>
      </c>
      <c r="AJ108" s="139" t="s">
        <v>895</v>
      </c>
    </row>
    <row r="109" spans="1:36" ht="15.75" x14ac:dyDescent="0.25">
      <c r="A109" s="115">
        <v>9743</v>
      </c>
      <c r="B109" s="116" t="s">
        <v>36</v>
      </c>
      <c r="C109" s="117" t="s">
        <v>37</v>
      </c>
      <c r="D109" s="118" t="s">
        <v>36</v>
      </c>
      <c r="E109" s="119" t="s">
        <v>38</v>
      </c>
      <c r="F109" s="120" t="s">
        <v>39</v>
      </c>
      <c r="G109" s="118" t="s">
        <v>40</v>
      </c>
      <c r="H109" s="121" t="s">
        <v>41</v>
      </c>
      <c r="I109" s="120" t="s">
        <v>301</v>
      </c>
      <c r="J109" s="122" t="s">
        <v>302</v>
      </c>
      <c r="K109" s="123" t="s">
        <v>303</v>
      </c>
      <c r="L109" t="s">
        <v>1307</v>
      </c>
      <c r="M109" s="124" t="s">
        <v>1308</v>
      </c>
      <c r="N109" s="125" t="s">
        <v>1309</v>
      </c>
      <c r="O109" s="126" t="s">
        <v>929</v>
      </c>
      <c r="P109" s="127"/>
      <c r="Q109" s="128"/>
      <c r="R109" s="128"/>
      <c r="S109" s="129">
        <v>5768.68</v>
      </c>
      <c r="T109" s="130" t="s">
        <v>1336</v>
      </c>
      <c r="U109" s="131">
        <v>45382</v>
      </c>
      <c r="V109" s="132"/>
      <c r="W109" s="133"/>
      <c r="X109" s="134" t="s">
        <v>1323</v>
      </c>
      <c r="Y109" s="135" t="s">
        <v>912</v>
      </c>
      <c r="Z109" s="128" t="s">
        <v>96</v>
      </c>
      <c r="AA109" s="128"/>
      <c r="AB109" s="136" t="s">
        <v>256</v>
      </c>
      <c r="AC109" s="137" t="s">
        <v>914</v>
      </c>
      <c r="AD109" s="136" t="s">
        <v>961</v>
      </c>
      <c r="AE109" s="136" t="s">
        <v>962</v>
      </c>
      <c r="AF109" s="136" t="s">
        <v>59</v>
      </c>
      <c r="AG109" s="136" t="s">
        <v>59</v>
      </c>
      <c r="AH109" s="138">
        <v>-5768.68</v>
      </c>
      <c r="AI109" s="139" t="s">
        <v>98</v>
      </c>
      <c r="AJ109" s="139" t="s">
        <v>895</v>
      </c>
    </row>
    <row r="110" spans="1:36" ht="15.75" x14ac:dyDescent="0.25">
      <c r="A110" s="115">
        <v>9752</v>
      </c>
      <c r="B110" s="116" t="s">
        <v>36</v>
      </c>
      <c r="C110" s="117" t="s">
        <v>37</v>
      </c>
      <c r="D110" s="118" t="s">
        <v>36</v>
      </c>
      <c r="E110" s="119" t="s">
        <v>38</v>
      </c>
      <c r="F110" s="140" t="s">
        <v>39</v>
      </c>
      <c r="G110" s="118" t="s">
        <v>40</v>
      </c>
      <c r="H110" s="121" t="s">
        <v>41</v>
      </c>
      <c r="I110" s="120" t="s">
        <v>301</v>
      </c>
      <c r="J110" s="122" t="s">
        <v>302</v>
      </c>
      <c r="K110" s="123" t="s">
        <v>303</v>
      </c>
      <c r="L110" t="s">
        <v>1307</v>
      </c>
      <c r="M110" s="124" t="s">
        <v>1308</v>
      </c>
      <c r="N110" s="125" t="s">
        <v>1309</v>
      </c>
      <c r="O110" s="126" t="s">
        <v>1329</v>
      </c>
      <c r="P110" s="127" t="s">
        <v>1337</v>
      </c>
      <c r="Q110" s="128">
        <v>3224.32</v>
      </c>
      <c r="R110" s="128">
        <v>3224.32</v>
      </c>
      <c r="S110" s="129">
        <v>3224.32</v>
      </c>
      <c r="T110" s="130" t="s">
        <v>256</v>
      </c>
      <c r="U110" s="131">
        <v>45382</v>
      </c>
      <c r="V110" s="132">
        <v>45387</v>
      </c>
      <c r="W110" s="133">
        <v>186</v>
      </c>
      <c r="X110" s="134" t="s">
        <v>258</v>
      </c>
      <c r="Y110" s="135" t="s">
        <v>912</v>
      </c>
      <c r="Z110" s="128" t="s">
        <v>57</v>
      </c>
      <c r="AA110" s="128"/>
      <c r="AB110" s="136" t="s">
        <v>256</v>
      </c>
      <c r="AC110" s="137" t="s">
        <v>914</v>
      </c>
      <c r="AD110" s="136" t="s">
        <v>961</v>
      </c>
      <c r="AE110" s="136" t="s">
        <v>962</v>
      </c>
      <c r="AF110" s="136" t="s">
        <v>59</v>
      </c>
      <c r="AG110" s="136" t="s">
        <v>59</v>
      </c>
      <c r="AH110" s="138">
        <v>-3224.32</v>
      </c>
      <c r="AI110" s="139" t="s">
        <v>98</v>
      </c>
      <c r="AJ110" s="139" t="s">
        <v>895</v>
      </c>
    </row>
    <row r="111" spans="1:36" ht="15.75" x14ac:dyDescent="0.25">
      <c r="A111" s="115">
        <v>9753</v>
      </c>
      <c r="B111" s="116" t="s">
        <v>36</v>
      </c>
      <c r="C111" s="117" t="s">
        <v>37</v>
      </c>
      <c r="D111" s="118" t="s">
        <v>36</v>
      </c>
      <c r="E111" s="119" t="s">
        <v>38</v>
      </c>
      <c r="F111" s="140" t="s">
        <v>39</v>
      </c>
      <c r="G111" s="118" t="s">
        <v>40</v>
      </c>
      <c r="H111" s="121" t="s">
        <v>41</v>
      </c>
      <c r="I111" s="120" t="s">
        <v>524</v>
      </c>
      <c r="J111" s="122" t="s">
        <v>525</v>
      </c>
      <c r="K111" s="123" t="s">
        <v>526</v>
      </c>
      <c r="L111" t="s">
        <v>1307</v>
      </c>
      <c r="M111" s="124" t="s">
        <v>1308</v>
      </c>
      <c r="N111" s="125" t="s">
        <v>1309</v>
      </c>
      <c r="O111" s="126" t="s">
        <v>929</v>
      </c>
      <c r="P111" s="127"/>
      <c r="Q111" s="128"/>
      <c r="R111" s="128"/>
      <c r="S111" s="129">
        <v>4093.87</v>
      </c>
      <c r="T111" s="130" t="s">
        <v>1337</v>
      </c>
      <c r="U111" s="131">
        <v>45382</v>
      </c>
      <c r="V111" s="132"/>
      <c r="W111" s="133"/>
      <c r="X111" s="134" t="s">
        <v>1215</v>
      </c>
      <c r="Y111" s="135" t="s">
        <v>912</v>
      </c>
      <c r="Z111" s="128" t="s">
        <v>96</v>
      </c>
      <c r="AA111" s="128" t="s">
        <v>1328</v>
      </c>
      <c r="AB111" s="136" t="s">
        <v>256</v>
      </c>
      <c r="AC111" s="137" t="s">
        <v>914</v>
      </c>
      <c r="AD111" s="136" t="s">
        <v>961</v>
      </c>
      <c r="AE111" s="136" t="s">
        <v>962</v>
      </c>
      <c r="AF111" s="136" t="s">
        <v>59</v>
      </c>
      <c r="AG111" s="136" t="s">
        <v>59</v>
      </c>
      <c r="AH111" s="138">
        <v>-4093.87</v>
      </c>
      <c r="AI111" s="139" t="s">
        <v>98</v>
      </c>
      <c r="AJ111" s="139" t="s">
        <v>895</v>
      </c>
    </row>
    <row r="112" spans="1:36" ht="15.75" x14ac:dyDescent="0.25">
      <c r="A112" s="115">
        <v>9762</v>
      </c>
      <c r="B112" s="116" t="s">
        <v>36</v>
      </c>
      <c r="C112" s="117" t="s">
        <v>37</v>
      </c>
      <c r="D112" s="118" t="s">
        <v>36</v>
      </c>
      <c r="E112" s="119" t="s">
        <v>38</v>
      </c>
      <c r="F112" s="140" t="s">
        <v>39</v>
      </c>
      <c r="G112" s="118" t="s">
        <v>40</v>
      </c>
      <c r="H112" s="121" t="s">
        <v>41</v>
      </c>
      <c r="I112" s="120" t="s">
        <v>42</v>
      </c>
      <c r="J112" s="122" t="s">
        <v>43</v>
      </c>
      <c r="K112" s="123" t="s">
        <v>44</v>
      </c>
      <c r="L112" t="s">
        <v>1307</v>
      </c>
      <c r="M112" s="124" t="s">
        <v>1308</v>
      </c>
      <c r="N112" s="125" t="s">
        <v>1309</v>
      </c>
      <c r="O112" s="126" t="s">
        <v>929</v>
      </c>
      <c r="P112" s="127"/>
      <c r="Q112" s="128"/>
      <c r="R112" s="128"/>
      <c r="S112" s="129">
        <v>3033.58</v>
      </c>
      <c r="T112" s="130" t="s">
        <v>1336</v>
      </c>
      <c r="U112" s="131">
        <v>45382</v>
      </c>
      <c r="V112" s="132"/>
      <c r="W112" s="133"/>
      <c r="X112" s="134" t="s">
        <v>1335</v>
      </c>
      <c r="Y112" s="135" t="s">
        <v>912</v>
      </c>
      <c r="Z112" s="128" t="s">
        <v>96</v>
      </c>
      <c r="AA112" s="128"/>
      <c r="AB112" s="136" t="s">
        <v>256</v>
      </c>
      <c r="AC112" s="137" t="s">
        <v>914</v>
      </c>
      <c r="AD112" s="136" t="s">
        <v>961</v>
      </c>
      <c r="AE112" s="136" t="s">
        <v>962</v>
      </c>
      <c r="AF112" s="136" t="s">
        <v>59</v>
      </c>
      <c r="AG112" s="136" t="s">
        <v>59</v>
      </c>
      <c r="AH112" s="138">
        <v>-3033.58</v>
      </c>
      <c r="AI112" s="139" t="s">
        <v>98</v>
      </c>
      <c r="AJ112" s="139" t="s">
        <v>895</v>
      </c>
    </row>
    <row r="113" spans="1:36" ht="15.75" x14ac:dyDescent="0.25">
      <c r="A113" s="115">
        <v>9784</v>
      </c>
      <c r="B113" s="116" t="s">
        <v>36</v>
      </c>
      <c r="C113" s="117" t="s">
        <v>37</v>
      </c>
      <c r="D113" s="118" t="s">
        <v>36</v>
      </c>
      <c r="E113" s="119" t="s">
        <v>38</v>
      </c>
      <c r="F113" s="120" t="s">
        <v>39</v>
      </c>
      <c r="G113" s="118" t="s">
        <v>40</v>
      </c>
      <c r="H113" s="121" t="s">
        <v>41</v>
      </c>
      <c r="I113" s="120" t="s">
        <v>1319</v>
      </c>
      <c r="J113" s="122" t="s">
        <v>1320</v>
      </c>
      <c r="K113" s="123" t="s">
        <v>1321</v>
      </c>
      <c r="L113" t="s">
        <v>1307</v>
      </c>
      <c r="M113" s="124" t="s">
        <v>1308</v>
      </c>
      <c r="N113" s="125" t="s">
        <v>1309</v>
      </c>
      <c r="O113" s="126" t="s">
        <v>929</v>
      </c>
      <c r="P113" s="127"/>
      <c r="Q113" s="128"/>
      <c r="R113" s="128"/>
      <c r="S113" s="129">
        <v>2925.58</v>
      </c>
      <c r="T113" s="130" t="s">
        <v>1336</v>
      </c>
      <c r="U113" s="131">
        <v>45382</v>
      </c>
      <c r="V113" s="132"/>
      <c r="W113" s="133"/>
      <c r="X113" s="134" t="s">
        <v>1326</v>
      </c>
      <c r="Y113" s="135" t="s">
        <v>912</v>
      </c>
      <c r="Z113" s="128" t="s">
        <v>96</v>
      </c>
      <c r="AA113" s="128"/>
      <c r="AB113" s="136" t="s">
        <v>256</v>
      </c>
      <c r="AC113" s="137" t="s">
        <v>914</v>
      </c>
      <c r="AD113" s="136" t="s">
        <v>961</v>
      </c>
      <c r="AE113" s="136" t="s">
        <v>962</v>
      </c>
      <c r="AF113" s="136" t="s">
        <v>59</v>
      </c>
      <c r="AG113" s="136" t="s">
        <v>59</v>
      </c>
      <c r="AH113" s="138">
        <v>-2925.58</v>
      </c>
      <c r="AI113" s="139" t="s">
        <v>98</v>
      </c>
      <c r="AJ113" s="139" t="s">
        <v>895</v>
      </c>
    </row>
    <row r="114" spans="1:36" ht="15.75" x14ac:dyDescent="0.25">
      <c r="A114" s="115">
        <v>9785</v>
      </c>
      <c r="B114" s="116" t="s">
        <v>36</v>
      </c>
      <c r="C114" s="117" t="s">
        <v>37</v>
      </c>
      <c r="D114" s="118" t="s">
        <v>36</v>
      </c>
      <c r="E114" s="119" t="s">
        <v>38</v>
      </c>
      <c r="F114" s="120" t="s">
        <v>39</v>
      </c>
      <c r="G114" s="118" t="s">
        <v>40</v>
      </c>
      <c r="H114" s="121" t="s">
        <v>41</v>
      </c>
      <c r="I114" s="120" t="s">
        <v>946</v>
      </c>
      <c r="J114" s="122" t="s">
        <v>947</v>
      </c>
      <c r="K114" s="123" t="s">
        <v>948</v>
      </c>
      <c r="L114" t="s">
        <v>1307</v>
      </c>
      <c r="M114" s="124" t="s">
        <v>1308</v>
      </c>
      <c r="N114" s="125" t="s">
        <v>1309</v>
      </c>
      <c r="O114" s="126" t="s">
        <v>929</v>
      </c>
      <c r="P114" s="127"/>
      <c r="Q114" s="128"/>
      <c r="R114" s="128"/>
      <c r="S114" s="129">
        <v>7644.41</v>
      </c>
      <c r="T114" s="130" t="s">
        <v>1336</v>
      </c>
      <c r="U114" s="131">
        <v>45382</v>
      </c>
      <c r="V114" s="132"/>
      <c r="W114" s="133"/>
      <c r="X114" s="134" t="s">
        <v>951</v>
      </c>
      <c r="Y114" s="135" t="s">
        <v>912</v>
      </c>
      <c r="Z114" s="128" t="s">
        <v>96</v>
      </c>
      <c r="AA114" s="128"/>
      <c r="AB114" s="136" t="s">
        <v>256</v>
      </c>
      <c r="AC114" s="137" t="s">
        <v>914</v>
      </c>
      <c r="AD114" s="136" t="s">
        <v>961</v>
      </c>
      <c r="AE114" s="136" t="s">
        <v>962</v>
      </c>
      <c r="AF114" s="136" t="s">
        <v>59</v>
      </c>
      <c r="AG114" s="136" t="s">
        <v>59</v>
      </c>
      <c r="AH114" s="138">
        <v>-7644.41</v>
      </c>
      <c r="AI114" s="139" t="s">
        <v>98</v>
      </c>
      <c r="AJ114" s="139" t="s">
        <v>895</v>
      </c>
    </row>
    <row r="115" spans="1:36" ht="15.75" x14ac:dyDescent="0.25">
      <c r="A115" s="115">
        <v>9802</v>
      </c>
      <c r="B115" s="116" t="s">
        <v>36</v>
      </c>
      <c r="C115" s="117" t="s">
        <v>37</v>
      </c>
      <c r="D115" s="118" t="s">
        <v>36</v>
      </c>
      <c r="E115" s="119" t="s">
        <v>38</v>
      </c>
      <c r="F115" s="120" t="s">
        <v>39</v>
      </c>
      <c r="G115" s="118" t="s">
        <v>40</v>
      </c>
      <c r="H115" s="121" t="s">
        <v>41</v>
      </c>
      <c r="I115" s="120" t="s">
        <v>301</v>
      </c>
      <c r="J115" s="122" t="s">
        <v>302</v>
      </c>
      <c r="K115" s="123" t="s">
        <v>303</v>
      </c>
      <c r="L115" t="s">
        <v>1307</v>
      </c>
      <c r="M115" s="124" t="s">
        <v>1308</v>
      </c>
      <c r="N115" s="125" t="s">
        <v>1309</v>
      </c>
      <c r="O115" s="126" t="s">
        <v>1310</v>
      </c>
      <c r="P115" s="127" t="s">
        <v>1311</v>
      </c>
      <c r="Q115" s="128">
        <v>7004.8595322222218</v>
      </c>
      <c r="R115" s="128">
        <v>7004.8595322222218</v>
      </c>
      <c r="S115" s="129">
        <v>7004.8595322222218</v>
      </c>
      <c r="T115" s="130" t="s">
        <v>1312</v>
      </c>
      <c r="U115" s="131">
        <v>45383</v>
      </c>
      <c r="V115" s="132"/>
      <c r="W115" s="133"/>
      <c r="X115" s="134" t="s">
        <v>1046</v>
      </c>
      <c r="Y115" s="135" t="s">
        <v>912</v>
      </c>
      <c r="Z115" s="128" t="s">
        <v>1313</v>
      </c>
      <c r="AA115" s="128"/>
      <c r="AB115" s="136"/>
      <c r="AC115" s="137"/>
      <c r="AD115" s="136"/>
      <c r="AE115" s="136"/>
      <c r="AF115" s="136"/>
      <c r="AG115" s="136"/>
      <c r="AH115" s="138">
        <v>-7004.8595322222218</v>
      </c>
      <c r="AI115" s="139" t="s">
        <v>98</v>
      </c>
      <c r="AJ115" s="139" t="s">
        <v>895</v>
      </c>
    </row>
    <row r="116" spans="1:36" ht="15.75" x14ac:dyDescent="0.25">
      <c r="A116" s="115">
        <v>9805</v>
      </c>
      <c r="B116" s="116" t="s">
        <v>36</v>
      </c>
      <c r="C116" s="117" t="s">
        <v>37</v>
      </c>
      <c r="D116" s="118" t="s">
        <v>36</v>
      </c>
      <c r="E116" s="119" t="s">
        <v>38</v>
      </c>
      <c r="F116" s="120" t="s">
        <v>39</v>
      </c>
      <c r="G116" s="118" t="s">
        <v>40</v>
      </c>
      <c r="H116" s="121" t="s">
        <v>41</v>
      </c>
      <c r="I116" s="120" t="s">
        <v>42</v>
      </c>
      <c r="J116" s="122" t="s">
        <v>43</v>
      </c>
      <c r="K116" s="123" t="s">
        <v>44</v>
      </c>
      <c r="L116" t="s">
        <v>1307</v>
      </c>
      <c r="M116" s="124" t="s">
        <v>1308</v>
      </c>
      <c r="N116" s="125" t="s">
        <v>1309</v>
      </c>
      <c r="O116" s="126" t="s">
        <v>1310</v>
      </c>
      <c r="P116" s="127" t="s">
        <v>1311</v>
      </c>
      <c r="Q116" s="128">
        <v>6446.9738566666656</v>
      </c>
      <c r="R116" s="128">
        <v>6446.9738566666656</v>
      </c>
      <c r="S116" s="129">
        <v>6446.9738566666656</v>
      </c>
      <c r="T116" s="130" t="s">
        <v>1312</v>
      </c>
      <c r="U116" s="131">
        <v>45383</v>
      </c>
      <c r="V116" s="132"/>
      <c r="W116" s="133"/>
      <c r="X116" s="134" t="s">
        <v>1314</v>
      </c>
      <c r="Y116" s="135" t="s">
        <v>912</v>
      </c>
      <c r="Z116" s="128" t="s">
        <v>1313</v>
      </c>
      <c r="AA116" s="128"/>
      <c r="AB116" s="136"/>
      <c r="AC116" s="137"/>
      <c r="AD116" s="136"/>
      <c r="AE116" s="136"/>
      <c r="AF116" s="136"/>
      <c r="AG116" s="136"/>
      <c r="AH116" s="138">
        <v>-6446.9738566666656</v>
      </c>
      <c r="AI116" s="139" t="s">
        <v>98</v>
      </c>
      <c r="AJ116" s="139" t="s">
        <v>895</v>
      </c>
    </row>
    <row r="117" spans="1:36" ht="15.75" x14ac:dyDescent="0.25">
      <c r="A117" s="115">
        <v>9812</v>
      </c>
      <c r="B117" s="116" t="s">
        <v>36</v>
      </c>
      <c r="C117" s="117" t="s">
        <v>37</v>
      </c>
      <c r="D117" s="118" t="s">
        <v>36</v>
      </c>
      <c r="E117" s="119" t="s">
        <v>38</v>
      </c>
      <c r="F117" s="120" t="s">
        <v>39</v>
      </c>
      <c r="G117" s="118" t="s">
        <v>40</v>
      </c>
      <c r="H117" s="121" t="s">
        <v>41</v>
      </c>
      <c r="I117" s="120" t="s">
        <v>301</v>
      </c>
      <c r="J117" s="122" t="s">
        <v>302</v>
      </c>
      <c r="K117" s="123" t="s">
        <v>303</v>
      </c>
      <c r="L117" t="s">
        <v>1307</v>
      </c>
      <c r="M117" s="124" t="s">
        <v>1308</v>
      </c>
      <c r="N117" s="125" t="s">
        <v>1309</v>
      </c>
      <c r="O117" s="126" t="s">
        <v>1310</v>
      </c>
      <c r="P117" s="127" t="s">
        <v>1311</v>
      </c>
      <c r="Q117" s="128">
        <v>7686.2260088888888</v>
      </c>
      <c r="R117" s="128">
        <v>7686.2260088888888</v>
      </c>
      <c r="S117" s="129">
        <v>7686.2260088888888</v>
      </c>
      <c r="T117" s="130" t="s">
        <v>1312</v>
      </c>
      <c r="U117" s="131">
        <v>45383</v>
      </c>
      <c r="V117" s="132"/>
      <c r="W117" s="133"/>
      <c r="X117" s="134" t="s">
        <v>1315</v>
      </c>
      <c r="Y117" s="135" t="s">
        <v>912</v>
      </c>
      <c r="Z117" s="128" t="s">
        <v>1313</v>
      </c>
      <c r="AA117" s="128"/>
      <c r="AB117" s="136"/>
      <c r="AC117" s="137"/>
      <c r="AD117" s="136"/>
      <c r="AE117" s="136"/>
      <c r="AF117" s="136"/>
      <c r="AG117" s="136"/>
      <c r="AH117" s="138">
        <v>-7686.2260088888888</v>
      </c>
      <c r="AI117" s="139" t="s">
        <v>98</v>
      </c>
      <c r="AJ117" s="139" t="s">
        <v>895</v>
      </c>
    </row>
    <row r="118" spans="1:36" ht="15.75" x14ac:dyDescent="0.25">
      <c r="A118" s="115">
        <v>9819</v>
      </c>
      <c r="B118" s="116" t="s">
        <v>36</v>
      </c>
      <c r="C118" s="117" t="s">
        <v>37</v>
      </c>
      <c r="D118" s="118" t="s">
        <v>36</v>
      </c>
      <c r="E118" s="119" t="s">
        <v>38</v>
      </c>
      <c r="F118" s="120" t="s">
        <v>39</v>
      </c>
      <c r="G118" s="118" t="s">
        <v>40</v>
      </c>
      <c r="H118" s="121" t="s">
        <v>41</v>
      </c>
      <c r="I118" s="120" t="s">
        <v>524</v>
      </c>
      <c r="J118" s="122" t="s">
        <v>525</v>
      </c>
      <c r="K118" s="123" t="s">
        <v>526</v>
      </c>
      <c r="L118" t="s">
        <v>1307</v>
      </c>
      <c r="M118" s="124" t="s">
        <v>1308</v>
      </c>
      <c r="N118" s="125" t="s">
        <v>1309</v>
      </c>
      <c r="O118" s="126" t="s">
        <v>1310</v>
      </c>
      <c r="P118" s="127" t="s">
        <v>1311</v>
      </c>
      <c r="Q118" s="128">
        <v>8270.7254044444435</v>
      </c>
      <c r="R118" s="128">
        <v>8270.7254044444435</v>
      </c>
      <c r="S118" s="129">
        <v>8270.7254044444435</v>
      </c>
      <c r="T118" s="130" t="s">
        <v>1312</v>
      </c>
      <c r="U118" s="131">
        <v>45383</v>
      </c>
      <c r="V118" s="132"/>
      <c r="W118" s="133"/>
      <c r="X118" s="134" t="s">
        <v>874</v>
      </c>
      <c r="Y118" s="135" t="s">
        <v>912</v>
      </c>
      <c r="Z118" s="128" t="s">
        <v>1313</v>
      </c>
      <c r="AA118" s="128"/>
      <c r="AB118" s="136"/>
      <c r="AC118" s="137"/>
      <c r="AD118" s="136"/>
      <c r="AE118" s="136"/>
      <c r="AF118" s="136"/>
      <c r="AG118" s="136"/>
      <c r="AH118" s="138">
        <v>-8270.7254044444435</v>
      </c>
      <c r="AI118" s="139" t="s">
        <v>98</v>
      </c>
      <c r="AJ118" s="139" t="s">
        <v>895</v>
      </c>
    </row>
    <row r="119" spans="1:36" ht="15.75" x14ac:dyDescent="0.25">
      <c r="A119" s="115">
        <v>9901</v>
      </c>
      <c r="B119" s="116" t="s">
        <v>36</v>
      </c>
      <c r="C119" s="117" t="s">
        <v>37</v>
      </c>
      <c r="D119" s="118" t="s">
        <v>36</v>
      </c>
      <c r="E119" s="119" t="s">
        <v>38</v>
      </c>
      <c r="F119" s="120" t="s">
        <v>39</v>
      </c>
      <c r="G119" s="118" t="s">
        <v>40</v>
      </c>
      <c r="H119" s="121" t="s">
        <v>41</v>
      </c>
      <c r="I119" s="120" t="s">
        <v>524</v>
      </c>
      <c r="J119" s="122" t="s">
        <v>525</v>
      </c>
      <c r="K119" s="123" t="s">
        <v>526</v>
      </c>
      <c r="L119" t="s">
        <v>1307</v>
      </c>
      <c r="M119" s="124" t="s">
        <v>1308</v>
      </c>
      <c r="N119" s="125" t="s">
        <v>1309</v>
      </c>
      <c r="O119" s="126" t="s">
        <v>1310</v>
      </c>
      <c r="P119" s="127" t="s">
        <v>1311</v>
      </c>
      <c r="Q119" s="128">
        <v>7147.4124022222222</v>
      </c>
      <c r="R119" s="128">
        <v>7147.4124022222222</v>
      </c>
      <c r="S119" s="129">
        <v>7147.4124022222222</v>
      </c>
      <c r="T119" s="130" t="s">
        <v>1312</v>
      </c>
      <c r="U119" s="131">
        <v>45383</v>
      </c>
      <c r="V119" s="132"/>
      <c r="W119" s="133"/>
      <c r="X119" s="134" t="s">
        <v>1338</v>
      </c>
      <c r="Y119" s="135" t="s">
        <v>912</v>
      </c>
      <c r="Z119" s="128" t="s">
        <v>1313</v>
      </c>
      <c r="AA119" s="128"/>
      <c r="AB119" s="136"/>
      <c r="AC119" s="137"/>
      <c r="AD119" s="136"/>
      <c r="AE119" s="136"/>
      <c r="AF119" s="136"/>
      <c r="AG119" s="136"/>
      <c r="AH119" s="138">
        <v>-7147.4124022222222</v>
      </c>
      <c r="AI119" s="139" t="s">
        <v>98</v>
      </c>
      <c r="AJ119" s="139" t="s">
        <v>895</v>
      </c>
    </row>
    <row r="120" spans="1:36" ht="15.75" x14ac:dyDescent="0.25">
      <c r="A120" s="115">
        <v>9944</v>
      </c>
      <c r="B120" s="116" t="s">
        <v>36</v>
      </c>
      <c r="C120" s="117" t="s">
        <v>37</v>
      </c>
      <c r="D120" s="118" t="s">
        <v>36</v>
      </c>
      <c r="E120" s="119" t="s">
        <v>38</v>
      </c>
      <c r="F120" s="120" t="s">
        <v>39</v>
      </c>
      <c r="G120" s="118" t="s">
        <v>40</v>
      </c>
      <c r="H120" s="121" t="s">
        <v>41</v>
      </c>
      <c r="I120" s="120" t="s">
        <v>524</v>
      </c>
      <c r="J120" s="122" t="s">
        <v>525</v>
      </c>
      <c r="K120" s="123" t="s">
        <v>526</v>
      </c>
      <c r="L120" t="s">
        <v>1307</v>
      </c>
      <c r="M120" s="124" t="s">
        <v>1308</v>
      </c>
      <c r="N120" s="125" t="s">
        <v>1309</v>
      </c>
      <c r="O120" s="126" t="s">
        <v>1310</v>
      </c>
      <c r="P120" s="127" t="s">
        <v>1311</v>
      </c>
      <c r="Q120" s="128">
        <v>9654.8736922222215</v>
      </c>
      <c r="R120" s="128">
        <v>9654.8736922222215</v>
      </c>
      <c r="S120" s="129">
        <v>9654.8736922222215</v>
      </c>
      <c r="T120" s="130" t="s">
        <v>1312</v>
      </c>
      <c r="U120" s="131">
        <v>45383</v>
      </c>
      <c r="V120" s="132"/>
      <c r="W120" s="133"/>
      <c r="X120" s="134" t="s">
        <v>1318</v>
      </c>
      <c r="Y120" s="135" t="s">
        <v>912</v>
      </c>
      <c r="Z120" s="128" t="s">
        <v>1313</v>
      </c>
      <c r="AA120" s="128"/>
      <c r="AB120" s="136"/>
      <c r="AC120" s="137"/>
      <c r="AD120" s="136"/>
      <c r="AE120" s="136"/>
      <c r="AF120" s="136"/>
      <c r="AG120" s="136"/>
      <c r="AH120" s="138">
        <v>-9654.8736922222215</v>
      </c>
      <c r="AI120" s="139" t="s">
        <v>98</v>
      </c>
      <c r="AJ120" s="139" t="s">
        <v>895</v>
      </c>
    </row>
    <row r="121" spans="1:36" ht="15.75" x14ac:dyDescent="0.25">
      <c r="A121" s="115">
        <v>9964</v>
      </c>
      <c r="B121" s="116" t="s">
        <v>36</v>
      </c>
      <c r="C121" s="117" t="s">
        <v>37</v>
      </c>
      <c r="D121" s="118" t="s">
        <v>36</v>
      </c>
      <c r="E121" s="119" t="s">
        <v>38</v>
      </c>
      <c r="F121" s="120" t="s">
        <v>39</v>
      </c>
      <c r="G121" s="118" t="s">
        <v>40</v>
      </c>
      <c r="H121" s="121" t="s">
        <v>41</v>
      </c>
      <c r="I121" s="120" t="s">
        <v>1319</v>
      </c>
      <c r="J121" s="122" t="s">
        <v>1320</v>
      </c>
      <c r="K121" s="123" t="s">
        <v>1321</v>
      </c>
      <c r="L121" t="s">
        <v>1307</v>
      </c>
      <c r="M121" s="124" t="s">
        <v>1308</v>
      </c>
      <c r="N121" s="125" t="s">
        <v>1309</v>
      </c>
      <c r="O121" s="126" t="s">
        <v>1310</v>
      </c>
      <c r="P121" s="127" t="s">
        <v>1311</v>
      </c>
      <c r="Q121" s="128">
        <v>6641.6387977777767</v>
      </c>
      <c r="R121" s="128">
        <v>6641.6387977777767</v>
      </c>
      <c r="S121" s="129">
        <v>6641.6387977777767</v>
      </c>
      <c r="T121" s="130" t="s">
        <v>1312</v>
      </c>
      <c r="U121" s="131">
        <v>45383</v>
      </c>
      <c r="V121" s="132"/>
      <c r="W121" s="133"/>
      <c r="X121" s="134" t="s">
        <v>1322</v>
      </c>
      <c r="Y121" s="135" t="s">
        <v>912</v>
      </c>
      <c r="Z121" s="128" t="s">
        <v>1313</v>
      </c>
      <c r="AA121" s="128"/>
      <c r="AB121" s="136"/>
      <c r="AC121" s="137"/>
      <c r="AD121" s="136"/>
      <c r="AE121" s="136"/>
      <c r="AF121" s="136"/>
      <c r="AG121" s="136"/>
      <c r="AH121" s="138">
        <v>-6641.6387977777767</v>
      </c>
      <c r="AI121" s="139" t="s">
        <v>98</v>
      </c>
      <c r="AJ121" s="139" t="s">
        <v>895</v>
      </c>
    </row>
    <row r="122" spans="1:36" ht="15.75" x14ac:dyDescent="0.25">
      <c r="A122" s="115">
        <v>10000</v>
      </c>
      <c r="B122" s="116" t="s">
        <v>36</v>
      </c>
      <c r="C122" s="117" t="s">
        <v>37</v>
      </c>
      <c r="D122" s="118" t="s">
        <v>36</v>
      </c>
      <c r="E122" s="119" t="s">
        <v>38</v>
      </c>
      <c r="F122" s="120" t="s">
        <v>39</v>
      </c>
      <c r="G122" s="118" t="s">
        <v>40</v>
      </c>
      <c r="H122" s="121" t="s">
        <v>41</v>
      </c>
      <c r="I122" s="120" t="s">
        <v>301</v>
      </c>
      <c r="J122" s="122" t="s">
        <v>302</v>
      </c>
      <c r="K122" s="123" t="s">
        <v>303</v>
      </c>
      <c r="L122" t="s">
        <v>1307</v>
      </c>
      <c r="M122" s="124" t="s">
        <v>1308</v>
      </c>
      <c r="N122" s="125" t="s">
        <v>1309</v>
      </c>
      <c r="O122" s="126" t="s">
        <v>1310</v>
      </c>
      <c r="P122" s="127" t="s">
        <v>1311</v>
      </c>
      <c r="Q122" s="128">
        <v>7961.9904888888886</v>
      </c>
      <c r="R122" s="128">
        <v>7961.9904888888886</v>
      </c>
      <c r="S122" s="129">
        <v>7961.9904888888886</v>
      </c>
      <c r="T122" s="130" t="s">
        <v>1312</v>
      </c>
      <c r="U122" s="131">
        <v>45383</v>
      </c>
      <c r="V122" s="132"/>
      <c r="W122" s="133"/>
      <c r="X122" s="134" t="s">
        <v>1323</v>
      </c>
      <c r="Y122" s="135" t="s">
        <v>912</v>
      </c>
      <c r="Z122" s="128" t="s">
        <v>1313</v>
      </c>
      <c r="AA122" s="128"/>
      <c r="AB122" s="136"/>
      <c r="AC122" s="137"/>
      <c r="AD122" s="136"/>
      <c r="AE122" s="136"/>
      <c r="AF122" s="136"/>
      <c r="AG122" s="136"/>
      <c r="AH122" s="138">
        <v>-7961.9904888888886</v>
      </c>
      <c r="AI122" s="139" t="s">
        <v>98</v>
      </c>
      <c r="AJ122" s="139" t="s">
        <v>895</v>
      </c>
    </row>
    <row r="123" spans="1:36" ht="15.75" x14ac:dyDescent="0.25">
      <c r="A123" s="115">
        <v>10030</v>
      </c>
      <c r="B123" s="116" t="s">
        <v>36</v>
      </c>
      <c r="C123" s="117" t="s">
        <v>37</v>
      </c>
      <c r="D123" s="118" t="s">
        <v>36</v>
      </c>
      <c r="E123" s="119" t="s">
        <v>38</v>
      </c>
      <c r="F123" s="140" t="s">
        <v>39</v>
      </c>
      <c r="G123" s="118" t="s">
        <v>40</v>
      </c>
      <c r="H123" s="121" t="s">
        <v>41</v>
      </c>
      <c r="I123" s="120" t="s">
        <v>301</v>
      </c>
      <c r="J123" s="122" t="s">
        <v>302</v>
      </c>
      <c r="K123" s="123" t="s">
        <v>303</v>
      </c>
      <c r="L123" t="s">
        <v>1307</v>
      </c>
      <c r="M123" s="124" t="s">
        <v>1308</v>
      </c>
      <c r="N123" s="125" t="s">
        <v>1309</v>
      </c>
      <c r="O123" s="126" t="s">
        <v>1324</v>
      </c>
      <c r="P123" s="127" t="s">
        <v>1311</v>
      </c>
      <c r="Q123" s="128">
        <v>11115.568622222221</v>
      </c>
      <c r="R123" s="128">
        <v>11115.568622222221</v>
      </c>
      <c r="S123" s="129">
        <v>11115.568622222221</v>
      </c>
      <c r="T123" s="130" t="s">
        <v>1312</v>
      </c>
      <c r="U123" s="131">
        <v>45383</v>
      </c>
      <c r="V123" s="132"/>
      <c r="W123" s="133"/>
      <c r="X123" s="134" t="s">
        <v>258</v>
      </c>
      <c r="Y123" s="135" t="s">
        <v>912</v>
      </c>
      <c r="Z123" s="128" t="s">
        <v>1313</v>
      </c>
      <c r="AA123" s="128"/>
      <c r="AB123" s="136"/>
      <c r="AC123" s="137"/>
      <c r="AD123" s="136"/>
      <c r="AE123" s="136"/>
      <c r="AF123" s="136"/>
      <c r="AG123" s="136"/>
      <c r="AH123" s="138">
        <v>-11115.568622222221</v>
      </c>
      <c r="AI123" s="139" t="s">
        <v>98</v>
      </c>
      <c r="AJ123" s="139" t="s">
        <v>895</v>
      </c>
    </row>
    <row r="124" spans="1:36" ht="15.75" x14ac:dyDescent="0.25">
      <c r="A124" s="115">
        <v>10034</v>
      </c>
      <c r="B124" s="116" t="s">
        <v>36</v>
      </c>
      <c r="C124" s="117" t="s">
        <v>37</v>
      </c>
      <c r="D124" s="118" t="s">
        <v>36</v>
      </c>
      <c r="E124" s="119" t="s">
        <v>38</v>
      </c>
      <c r="F124" s="140" t="s">
        <v>39</v>
      </c>
      <c r="G124" s="118" t="s">
        <v>40</v>
      </c>
      <c r="H124" s="121" t="s">
        <v>41</v>
      </c>
      <c r="I124" s="120" t="s">
        <v>524</v>
      </c>
      <c r="J124" s="122" t="s">
        <v>525</v>
      </c>
      <c r="K124" s="123" t="s">
        <v>526</v>
      </c>
      <c r="L124" t="s">
        <v>1307</v>
      </c>
      <c r="M124" s="124" t="s">
        <v>1308</v>
      </c>
      <c r="N124" s="125" t="s">
        <v>1309</v>
      </c>
      <c r="O124" s="126" t="s">
        <v>929</v>
      </c>
      <c r="P124" s="127"/>
      <c r="Q124" s="128"/>
      <c r="R124" s="128"/>
      <c r="S124" s="129">
        <v>2212.2800000000002</v>
      </c>
      <c r="T124" s="130" t="s">
        <v>1337</v>
      </c>
      <c r="U124" s="131">
        <v>45383</v>
      </c>
      <c r="V124" s="132"/>
      <c r="W124" s="133">
        <v>8252</v>
      </c>
      <c r="X124" s="134" t="s">
        <v>1215</v>
      </c>
      <c r="Y124" s="135" t="s">
        <v>912</v>
      </c>
      <c r="Z124" s="128" t="s">
        <v>96</v>
      </c>
      <c r="AA124" s="128" t="s">
        <v>1328</v>
      </c>
      <c r="AB124" s="136" t="s">
        <v>256</v>
      </c>
      <c r="AC124" s="137" t="s">
        <v>914</v>
      </c>
      <c r="AD124" s="136" t="s">
        <v>961</v>
      </c>
      <c r="AE124" s="136" t="s">
        <v>962</v>
      </c>
      <c r="AF124" s="136" t="s">
        <v>59</v>
      </c>
      <c r="AG124" s="136" t="s">
        <v>59</v>
      </c>
      <c r="AH124" s="138">
        <v>-2212.2800000000002</v>
      </c>
      <c r="AI124" s="139" t="s">
        <v>98</v>
      </c>
      <c r="AJ124" s="139" t="s">
        <v>895</v>
      </c>
    </row>
    <row r="125" spans="1:36" ht="15.75" x14ac:dyDescent="0.25">
      <c r="A125" s="115">
        <v>10035</v>
      </c>
      <c r="B125" s="116" t="s">
        <v>36</v>
      </c>
      <c r="C125" s="117" t="s">
        <v>37</v>
      </c>
      <c r="D125" s="118" t="s">
        <v>36</v>
      </c>
      <c r="E125" s="119" t="s">
        <v>38</v>
      </c>
      <c r="F125" s="140" t="s">
        <v>39</v>
      </c>
      <c r="G125" s="118" t="s">
        <v>40</v>
      </c>
      <c r="H125" s="121" t="s">
        <v>41</v>
      </c>
      <c r="I125" s="120" t="s">
        <v>524</v>
      </c>
      <c r="J125" s="122" t="s">
        <v>525</v>
      </c>
      <c r="K125" s="123" t="s">
        <v>526</v>
      </c>
      <c r="L125" t="s">
        <v>1307</v>
      </c>
      <c r="M125" s="124" t="s">
        <v>1308</v>
      </c>
      <c r="N125" s="125" t="s">
        <v>1309</v>
      </c>
      <c r="O125" s="126" t="s">
        <v>1310</v>
      </c>
      <c r="P125" s="127" t="s">
        <v>1311</v>
      </c>
      <c r="Q125" s="128">
        <v>6814.3905811111099</v>
      </c>
      <c r="R125" s="128">
        <v>6814.3905811111099</v>
      </c>
      <c r="S125" s="129">
        <v>6814.3905811111099</v>
      </c>
      <c r="T125" s="130" t="s">
        <v>1312</v>
      </c>
      <c r="U125" s="131">
        <v>45383</v>
      </c>
      <c r="V125" s="132"/>
      <c r="W125" s="133"/>
      <c r="X125" s="134" t="s">
        <v>1215</v>
      </c>
      <c r="Y125" s="135" t="s">
        <v>912</v>
      </c>
      <c r="Z125" s="128" t="s">
        <v>1313</v>
      </c>
      <c r="AA125" s="128"/>
      <c r="AB125" s="136"/>
      <c r="AC125" s="137"/>
      <c r="AD125" s="136"/>
      <c r="AE125" s="136"/>
      <c r="AF125" s="136"/>
      <c r="AG125" s="136"/>
      <c r="AH125" s="138">
        <v>-6814.3905811111099</v>
      </c>
      <c r="AI125" s="139" t="s">
        <v>98</v>
      </c>
      <c r="AJ125" s="139" t="s">
        <v>895</v>
      </c>
    </row>
    <row r="126" spans="1:36" ht="15.75" x14ac:dyDescent="0.25">
      <c r="A126" s="115">
        <v>10083</v>
      </c>
      <c r="B126" s="116" t="s">
        <v>36</v>
      </c>
      <c r="C126" s="117" t="s">
        <v>37</v>
      </c>
      <c r="D126" s="118" t="s">
        <v>36</v>
      </c>
      <c r="E126" s="119" t="s">
        <v>38</v>
      </c>
      <c r="F126" s="140" t="s">
        <v>39</v>
      </c>
      <c r="G126" s="118" t="s">
        <v>40</v>
      </c>
      <c r="H126" s="121" t="s">
        <v>41</v>
      </c>
      <c r="I126" s="120" t="s">
        <v>42</v>
      </c>
      <c r="J126" s="122" t="s">
        <v>43</v>
      </c>
      <c r="K126" s="123" t="s">
        <v>44</v>
      </c>
      <c r="L126" t="s">
        <v>1307</v>
      </c>
      <c r="M126" s="124" t="s">
        <v>1308</v>
      </c>
      <c r="N126" s="125" t="s">
        <v>1309</v>
      </c>
      <c r="O126" s="126" t="s">
        <v>1310</v>
      </c>
      <c r="P126" s="127" t="s">
        <v>1311</v>
      </c>
      <c r="Q126" s="128">
        <v>6588.5790777777765</v>
      </c>
      <c r="R126" s="128">
        <v>6588.5790777777765</v>
      </c>
      <c r="S126" s="129">
        <v>6588.5790777777765</v>
      </c>
      <c r="T126" s="130" t="s">
        <v>1312</v>
      </c>
      <c r="U126" s="131">
        <v>45383</v>
      </c>
      <c r="V126" s="132"/>
      <c r="W126" s="133"/>
      <c r="X126" s="134" t="s">
        <v>1325</v>
      </c>
      <c r="Y126" s="135" t="s">
        <v>912</v>
      </c>
      <c r="Z126" s="128" t="s">
        <v>1313</v>
      </c>
      <c r="AA126" s="128"/>
      <c r="AB126" s="136"/>
      <c r="AC126" s="137"/>
      <c r="AD126" s="136"/>
      <c r="AE126" s="136"/>
      <c r="AF126" s="136"/>
      <c r="AG126" s="136"/>
      <c r="AH126" s="138">
        <v>-6588.5790777777765</v>
      </c>
      <c r="AI126" s="139" t="s">
        <v>98</v>
      </c>
      <c r="AJ126" s="139" t="s">
        <v>895</v>
      </c>
    </row>
    <row r="127" spans="1:36" ht="15.75" x14ac:dyDescent="0.25">
      <c r="A127" s="115">
        <v>10176</v>
      </c>
      <c r="B127" s="116" t="s">
        <v>36</v>
      </c>
      <c r="C127" s="117" t="s">
        <v>37</v>
      </c>
      <c r="D127" s="118" t="s">
        <v>36</v>
      </c>
      <c r="E127" s="119" t="s">
        <v>38</v>
      </c>
      <c r="F127" s="120" t="s">
        <v>39</v>
      </c>
      <c r="G127" s="118" t="s">
        <v>40</v>
      </c>
      <c r="H127" s="121" t="s">
        <v>41</v>
      </c>
      <c r="I127" s="120" t="s">
        <v>1319</v>
      </c>
      <c r="J127" s="122" t="s">
        <v>1320</v>
      </c>
      <c r="K127" s="123" t="s">
        <v>1321</v>
      </c>
      <c r="L127" t="s">
        <v>1307</v>
      </c>
      <c r="M127" s="124" t="s">
        <v>1308</v>
      </c>
      <c r="N127" s="125" t="s">
        <v>1309</v>
      </c>
      <c r="O127" s="126" t="s">
        <v>1310</v>
      </c>
      <c r="P127" s="127" t="s">
        <v>1311</v>
      </c>
      <c r="Q127" s="128">
        <v>6948.3141166666665</v>
      </c>
      <c r="R127" s="128">
        <v>6948.3141166666665</v>
      </c>
      <c r="S127" s="129">
        <v>6948.3141166666665</v>
      </c>
      <c r="T127" s="130" t="s">
        <v>1312</v>
      </c>
      <c r="U127" s="131">
        <v>45383</v>
      </c>
      <c r="V127" s="132"/>
      <c r="W127" s="133"/>
      <c r="X127" s="134" t="s">
        <v>1326</v>
      </c>
      <c r="Y127" s="135" t="s">
        <v>912</v>
      </c>
      <c r="Z127" s="128" t="s">
        <v>1313</v>
      </c>
      <c r="AA127" s="128"/>
      <c r="AB127" s="136"/>
      <c r="AC127" s="137"/>
      <c r="AD127" s="136"/>
      <c r="AE127" s="136"/>
      <c r="AF127" s="136"/>
      <c r="AG127" s="136"/>
      <c r="AH127" s="138">
        <v>-6948.3141166666665</v>
      </c>
      <c r="AI127" s="139" t="s">
        <v>98</v>
      </c>
      <c r="AJ127" s="139" t="s">
        <v>895</v>
      </c>
    </row>
    <row r="128" spans="1:36" ht="15.75" x14ac:dyDescent="0.25">
      <c r="A128" s="115">
        <v>10989</v>
      </c>
      <c r="B128" s="116" t="s">
        <v>36</v>
      </c>
      <c r="C128" s="117" t="s">
        <v>37</v>
      </c>
      <c r="D128" s="118" t="s">
        <v>36</v>
      </c>
      <c r="E128" s="119" t="s">
        <v>38</v>
      </c>
      <c r="F128" s="120" t="s">
        <v>39</v>
      </c>
      <c r="G128" s="118" t="s">
        <v>40</v>
      </c>
      <c r="H128" s="121" t="s">
        <v>41</v>
      </c>
      <c r="I128" s="120" t="s">
        <v>946</v>
      </c>
      <c r="J128" s="122" t="s">
        <v>947</v>
      </c>
      <c r="K128" s="123" t="s">
        <v>948</v>
      </c>
      <c r="L128" t="s">
        <v>1307</v>
      </c>
      <c r="M128" s="124" t="s">
        <v>1308</v>
      </c>
      <c r="N128" s="125" t="s">
        <v>1309</v>
      </c>
      <c r="O128" s="126" t="s">
        <v>929</v>
      </c>
      <c r="P128" s="127" t="s">
        <v>1342</v>
      </c>
      <c r="Q128" s="128"/>
      <c r="R128" s="128"/>
      <c r="S128" s="129">
        <v>8000</v>
      </c>
      <c r="T128" s="130" t="s">
        <v>1327</v>
      </c>
      <c r="U128" s="131">
        <v>45390</v>
      </c>
      <c r="V128" s="132"/>
      <c r="W128" s="133">
        <v>2</v>
      </c>
      <c r="X128" s="134" t="s">
        <v>743</v>
      </c>
      <c r="Y128" s="135" t="s">
        <v>912</v>
      </c>
      <c r="Z128" s="128" t="s">
        <v>96</v>
      </c>
      <c r="AA128" s="128" t="s">
        <v>1328</v>
      </c>
      <c r="AB128" s="136" t="s">
        <v>256</v>
      </c>
      <c r="AC128" s="137" t="s">
        <v>914</v>
      </c>
      <c r="AD128" s="136" t="s">
        <v>961</v>
      </c>
      <c r="AE128" s="136" t="s">
        <v>962</v>
      </c>
      <c r="AF128" s="136" t="s">
        <v>59</v>
      </c>
      <c r="AG128" s="136" t="s">
        <v>59</v>
      </c>
      <c r="AH128" s="138">
        <v>-8000</v>
      </c>
      <c r="AI128" s="139" t="s">
        <v>98</v>
      </c>
      <c r="AJ128" s="139" t="s">
        <v>895</v>
      </c>
    </row>
    <row r="129" spans="1:36" ht="15.75" x14ac:dyDescent="0.25">
      <c r="A129" s="115">
        <v>12265</v>
      </c>
      <c r="B129" s="116" t="s">
        <v>36</v>
      </c>
      <c r="C129" s="117" t="s">
        <v>37</v>
      </c>
      <c r="D129" s="118" t="s">
        <v>36</v>
      </c>
      <c r="E129" s="119" t="s">
        <v>38</v>
      </c>
      <c r="F129" s="140" t="s">
        <v>39</v>
      </c>
      <c r="G129" s="118" t="s">
        <v>40</v>
      </c>
      <c r="H129" s="121" t="s">
        <v>41</v>
      </c>
      <c r="I129" s="120" t="s">
        <v>301</v>
      </c>
      <c r="J129" s="122" t="s">
        <v>302</v>
      </c>
      <c r="K129" s="123" t="s">
        <v>303</v>
      </c>
      <c r="L129" t="s">
        <v>1307</v>
      </c>
      <c r="M129" s="124" t="s">
        <v>1308</v>
      </c>
      <c r="N129" s="125" t="s">
        <v>1309</v>
      </c>
      <c r="O129" s="126" t="s">
        <v>1329</v>
      </c>
      <c r="P129" s="127" t="s">
        <v>1330</v>
      </c>
      <c r="Q129" s="128">
        <v>867.99</v>
      </c>
      <c r="R129" s="128">
        <v>867.99</v>
      </c>
      <c r="S129" s="129">
        <v>867.99</v>
      </c>
      <c r="T129" s="130" t="s">
        <v>1343</v>
      </c>
      <c r="U129" s="131">
        <v>45400</v>
      </c>
      <c r="V129" s="132">
        <v>45401</v>
      </c>
      <c r="W129" s="133">
        <v>186</v>
      </c>
      <c r="X129" s="134" t="s">
        <v>258</v>
      </c>
      <c r="Y129" s="135" t="s">
        <v>912</v>
      </c>
      <c r="Z129" s="128" t="s">
        <v>57</v>
      </c>
      <c r="AA129" s="128"/>
      <c r="AB129" s="136" t="s">
        <v>256</v>
      </c>
      <c r="AC129" s="137" t="s">
        <v>914</v>
      </c>
      <c r="AD129" s="136" t="s">
        <v>961</v>
      </c>
      <c r="AE129" s="136" t="s">
        <v>962</v>
      </c>
      <c r="AF129" s="136" t="s">
        <v>59</v>
      </c>
      <c r="AG129" s="136" t="s">
        <v>59</v>
      </c>
      <c r="AH129" s="138">
        <v>-867.99</v>
      </c>
      <c r="AI129" s="139" t="s">
        <v>98</v>
      </c>
      <c r="AJ129" s="139" t="s">
        <v>895</v>
      </c>
    </row>
    <row r="130" spans="1:36" ht="15.75" x14ac:dyDescent="0.25">
      <c r="A130" s="115">
        <v>12318</v>
      </c>
      <c r="B130" s="116" t="s">
        <v>36</v>
      </c>
      <c r="C130" s="117" t="s">
        <v>37</v>
      </c>
      <c r="D130" s="118" t="s">
        <v>36</v>
      </c>
      <c r="E130" s="119" t="s">
        <v>38</v>
      </c>
      <c r="F130" s="120" t="s">
        <v>39</v>
      </c>
      <c r="G130" s="118" t="s">
        <v>40</v>
      </c>
      <c r="H130" s="121" t="s">
        <v>41</v>
      </c>
      <c r="I130" s="120" t="s">
        <v>42</v>
      </c>
      <c r="J130" s="122" t="s">
        <v>43</v>
      </c>
      <c r="K130" s="123" t="s">
        <v>44</v>
      </c>
      <c r="L130" t="s">
        <v>1307</v>
      </c>
      <c r="M130" s="124" t="s">
        <v>1308</v>
      </c>
      <c r="N130" s="125" t="s">
        <v>1309</v>
      </c>
      <c r="O130" s="126" t="s">
        <v>929</v>
      </c>
      <c r="P130" s="127"/>
      <c r="Q130" s="128"/>
      <c r="R130" s="128"/>
      <c r="S130" s="129">
        <v>938</v>
      </c>
      <c r="T130" s="130" t="s">
        <v>1332</v>
      </c>
      <c r="U130" s="131">
        <v>45401</v>
      </c>
      <c r="V130" s="132"/>
      <c r="W130" s="133"/>
      <c r="X130" s="134" t="s">
        <v>1314</v>
      </c>
      <c r="Y130" s="135" t="s">
        <v>912</v>
      </c>
      <c r="Z130" s="128" t="s">
        <v>96</v>
      </c>
      <c r="AA130" s="128"/>
      <c r="AB130" s="136" t="s">
        <v>256</v>
      </c>
      <c r="AC130" s="137" t="s">
        <v>914</v>
      </c>
      <c r="AD130" s="136" t="s">
        <v>961</v>
      </c>
      <c r="AE130" s="136" t="s">
        <v>962</v>
      </c>
      <c r="AF130" s="136" t="s">
        <v>59</v>
      </c>
      <c r="AG130" s="136" t="s">
        <v>59</v>
      </c>
      <c r="AH130" s="138">
        <v>-938</v>
      </c>
      <c r="AI130" s="139" t="s">
        <v>98</v>
      </c>
      <c r="AJ130" s="139" t="s">
        <v>895</v>
      </c>
    </row>
    <row r="131" spans="1:36" ht="15.75" x14ac:dyDescent="0.25">
      <c r="A131" s="115">
        <v>12326</v>
      </c>
      <c r="B131" s="116" t="s">
        <v>36</v>
      </c>
      <c r="C131" s="117" t="s">
        <v>37</v>
      </c>
      <c r="D131" s="118" t="s">
        <v>36</v>
      </c>
      <c r="E131" s="119" t="s">
        <v>38</v>
      </c>
      <c r="F131" s="120" t="s">
        <v>39</v>
      </c>
      <c r="G131" s="118" t="s">
        <v>40</v>
      </c>
      <c r="H131" s="121" t="s">
        <v>41</v>
      </c>
      <c r="I131" s="120" t="s">
        <v>301</v>
      </c>
      <c r="J131" s="122" t="s">
        <v>302</v>
      </c>
      <c r="K131" s="123" t="s">
        <v>303</v>
      </c>
      <c r="L131" t="s">
        <v>1307</v>
      </c>
      <c r="M131" s="124" t="s">
        <v>1308</v>
      </c>
      <c r="N131" s="125" t="s">
        <v>1309</v>
      </c>
      <c r="O131" s="126" t="s">
        <v>929</v>
      </c>
      <c r="P131" s="127" t="s">
        <v>1332</v>
      </c>
      <c r="Q131" s="128"/>
      <c r="R131" s="128"/>
      <c r="S131" s="129">
        <v>840.74</v>
      </c>
      <c r="T131" s="130" t="s">
        <v>1332</v>
      </c>
      <c r="U131" s="131">
        <v>45401</v>
      </c>
      <c r="V131" s="132"/>
      <c r="W131" s="133"/>
      <c r="X131" s="134" t="s">
        <v>1333</v>
      </c>
      <c r="Y131" s="135" t="s">
        <v>912</v>
      </c>
      <c r="Z131" s="128" t="s">
        <v>57</v>
      </c>
      <c r="AA131" s="128"/>
      <c r="AB131" s="136" t="s">
        <v>256</v>
      </c>
      <c r="AC131" s="137" t="s">
        <v>914</v>
      </c>
      <c r="AD131" s="136" t="s">
        <v>961</v>
      </c>
      <c r="AE131" s="136" t="s">
        <v>962</v>
      </c>
      <c r="AF131" s="136" t="s">
        <v>59</v>
      </c>
      <c r="AG131" s="136" t="s">
        <v>59</v>
      </c>
      <c r="AH131" s="138">
        <v>-840.74</v>
      </c>
      <c r="AI131" s="139" t="s">
        <v>98</v>
      </c>
      <c r="AJ131" s="139" t="s">
        <v>895</v>
      </c>
    </row>
    <row r="132" spans="1:36" ht="15.75" x14ac:dyDescent="0.25">
      <c r="A132" s="115">
        <v>12362</v>
      </c>
      <c r="B132" s="116" t="s">
        <v>36</v>
      </c>
      <c r="C132" s="117" t="s">
        <v>37</v>
      </c>
      <c r="D132" s="118" t="s">
        <v>36</v>
      </c>
      <c r="E132" s="119" t="s">
        <v>38</v>
      </c>
      <c r="F132" s="120" t="s">
        <v>39</v>
      </c>
      <c r="G132" s="118" t="s">
        <v>40</v>
      </c>
      <c r="H132" s="121" t="s">
        <v>41</v>
      </c>
      <c r="I132" s="120" t="s">
        <v>524</v>
      </c>
      <c r="J132" s="122" t="s">
        <v>525</v>
      </c>
      <c r="K132" s="123" t="s">
        <v>526</v>
      </c>
      <c r="L132" t="s">
        <v>1307</v>
      </c>
      <c r="M132" s="124" t="s">
        <v>1308</v>
      </c>
      <c r="N132" s="125" t="s">
        <v>1309</v>
      </c>
      <c r="O132" s="126" t="s">
        <v>929</v>
      </c>
      <c r="P132" s="127"/>
      <c r="Q132" s="128"/>
      <c r="R132" s="128"/>
      <c r="S132" s="129">
        <v>865.96</v>
      </c>
      <c r="T132" s="130" t="s">
        <v>1332</v>
      </c>
      <c r="U132" s="131">
        <v>45401</v>
      </c>
      <c r="V132" s="132"/>
      <c r="W132" s="133"/>
      <c r="X132" s="134" t="s">
        <v>1338</v>
      </c>
      <c r="Y132" s="135" t="s">
        <v>912</v>
      </c>
      <c r="Z132" s="128" t="s">
        <v>57</v>
      </c>
      <c r="AA132" s="128"/>
      <c r="AB132" s="136" t="s">
        <v>256</v>
      </c>
      <c r="AC132" s="137" t="s">
        <v>914</v>
      </c>
      <c r="AD132" s="136" t="s">
        <v>961</v>
      </c>
      <c r="AE132" s="136" t="s">
        <v>962</v>
      </c>
      <c r="AF132" s="136" t="s">
        <v>59</v>
      </c>
      <c r="AG132" s="136" t="s">
        <v>59</v>
      </c>
      <c r="AH132" s="138">
        <v>-865.96</v>
      </c>
      <c r="AI132" s="139" t="s">
        <v>98</v>
      </c>
      <c r="AJ132" s="139" t="s">
        <v>895</v>
      </c>
    </row>
    <row r="133" spans="1:36" ht="15.75" x14ac:dyDescent="0.25">
      <c r="A133" s="115">
        <v>12372</v>
      </c>
      <c r="B133" s="116" t="s">
        <v>36</v>
      </c>
      <c r="C133" s="117" t="s">
        <v>37</v>
      </c>
      <c r="D133" s="118" t="s">
        <v>36</v>
      </c>
      <c r="E133" s="119" t="s">
        <v>38</v>
      </c>
      <c r="F133" s="120" t="s">
        <v>39</v>
      </c>
      <c r="G133" s="118" t="s">
        <v>40</v>
      </c>
      <c r="H133" s="121" t="s">
        <v>41</v>
      </c>
      <c r="I133" s="120" t="s">
        <v>524</v>
      </c>
      <c r="J133" s="122" t="s">
        <v>525</v>
      </c>
      <c r="K133" s="123" t="s">
        <v>526</v>
      </c>
      <c r="L133" t="s">
        <v>1307</v>
      </c>
      <c r="M133" s="124" t="s">
        <v>1308</v>
      </c>
      <c r="N133" s="125" t="s">
        <v>1309</v>
      </c>
      <c r="O133" s="126" t="s">
        <v>929</v>
      </c>
      <c r="P133" s="127"/>
      <c r="Q133" s="128"/>
      <c r="R133" s="128"/>
      <c r="S133" s="129">
        <v>794.61</v>
      </c>
      <c r="T133" s="130" t="s">
        <v>1332</v>
      </c>
      <c r="U133" s="131">
        <v>45401</v>
      </c>
      <c r="V133" s="132"/>
      <c r="W133" s="133"/>
      <c r="X133" s="134" t="s">
        <v>1334</v>
      </c>
      <c r="Y133" s="135" t="s">
        <v>912</v>
      </c>
      <c r="Z133" s="128" t="s">
        <v>96</v>
      </c>
      <c r="AA133" s="128"/>
      <c r="AB133" s="136" t="s">
        <v>256</v>
      </c>
      <c r="AC133" s="137" t="s">
        <v>914</v>
      </c>
      <c r="AD133" s="136" t="s">
        <v>961</v>
      </c>
      <c r="AE133" s="136" t="s">
        <v>962</v>
      </c>
      <c r="AF133" s="136" t="s">
        <v>59</v>
      </c>
      <c r="AG133" s="136" t="s">
        <v>59</v>
      </c>
      <c r="AH133" s="138">
        <v>-794.61</v>
      </c>
      <c r="AI133" s="139" t="s">
        <v>98</v>
      </c>
      <c r="AJ133" s="139" t="s">
        <v>895</v>
      </c>
    </row>
    <row r="134" spans="1:36" ht="15.75" x14ac:dyDescent="0.25">
      <c r="A134" s="115">
        <v>12380</v>
      </c>
      <c r="B134" s="116" t="s">
        <v>36</v>
      </c>
      <c r="C134" s="117" t="s">
        <v>37</v>
      </c>
      <c r="D134" s="118" t="s">
        <v>36</v>
      </c>
      <c r="E134" s="119" t="s">
        <v>38</v>
      </c>
      <c r="F134" s="120" t="s">
        <v>39</v>
      </c>
      <c r="G134" s="118" t="s">
        <v>40</v>
      </c>
      <c r="H134" s="121" t="s">
        <v>41</v>
      </c>
      <c r="I134" s="120" t="s">
        <v>1319</v>
      </c>
      <c r="J134" s="122" t="s">
        <v>1320</v>
      </c>
      <c r="K134" s="123" t="s">
        <v>1321</v>
      </c>
      <c r="L134" t="s">
        <v>1307</v>
      </c>
      <c r="M134" s="124" t="s">
        <v>1308</v>
      </c>
      <c r="N134" s="125" t="s">
        <v>1309</v>
      </c>
      <c r="O134" s="126" t="s">
        <v>929</v>
      </c>
      <c r="P134" s="127"/>
      <c r="Q134" s="128"/>
      <c r="R134" s="128"/>
      <c r="S134" s="129">
        <v>938</v>
      </c>
      <c r="T134" s="130" t="s">
        <v>1332</v>
      </c>
      <c r="U134" s="131">
        <v>45401</v>
      </c>
      <c r="V134" s="132"/>
      <c r="W134" s="133"/>
      <c r="X134" s="134" t="s">
        <v>1322</v>
      </c>
      <c r="Y134" s="135" t="s">
        <v>912</v>
      </c>
      <c r="Z134" s="128" t="s">
        <v>96</v>
      </c>
      <c r="AA134" s="128"/>
      <c r="AB134" s="136" t="s">
        <v>256</v>
      </c>
      <c r="AC134" s="137" t="s">
        <v>914</v>
      </c>
      <c r="AD134" s="136" t="s">
        <v>961</v>
      </c>
      <c r="AE134" s="136" t="s">
        <v>962</v>
      </c>
      <c r="AF134" s="136" t="s">
        <v>59</v>
      </c>
      <c r="AG134" s="136" t="s">
        <v>59</v>
      </c>
      <c r="AH134" s="138">
        <v>-938</v>
      </c>
      <c r="AI134" s="139" t="s">
        <v>98</v>
      </c>
      <c r="AJ134" s="139" t="s">
        <v>895</v>
      </c>
    </row>
    <row r="135" spans="1:36" ht="15.75" x14ac:dyDescent="0.25">
      <c r="A135" s="115">
        <v>12421</v>
      </c>
      <c r="B135" s="116" t="s">
        <v>36</v>
      </c>
      <c r="C135" s="117" t="s">
        <v>37</v>
      </c>
      <c r="D135" s="118" t="s">
        <v>36</v>
      </c>
      <c r="E135" s="119" t="s">
        <v>38</v>
      </c>
      <c r="F135" s="140" t="s">
        <v>39</v>
      </c>
      <c r="G135" s="118" t="s">
        <v>40</v>
      </c>
      <c r="H135" s="121" t="s">
        <v>41</v>
      </c>
      <c r="I135" s="120" t="s">
        <v>524</v>
      </c>
      <c r="J135" s="122" t="s">
        <v>525</v>
      </c>
      <c r="K135" s="123" t="s">
        <v>526</v>
      </c>
      <c r="L135" t="s">
        <v>1307</v>
      </c>
      <c r="M135" s="124" t="s">
        <v>1308</v>
      </c>
      <c r="N135" s="125" t="s">
        <v>1309</v>
      </c>
      <c r="O135" s="126" t="s">
        <v>929</v>
      </c>
      <c r="P135" s="127"/>
      <c r="Q135" s="128"/>
      <c r="R135" s="128"/>
      <c r="S135" s="129">
        <v>845.98</v>
      </c>
      <c r="T135" s="130" t="s">
        <v>1332</v>
      </c>
      <c r="U135" s="131">
        <v>45401</v>
      </c>
      <c r="V135" s="132"/>
      <c r="W135" s="133"/>
      <c r="X135" s="134" t="s">
        <v>1215</v>
      </c>
      <c r="Y135" s="135" t="s">
        <v>912</v>
      </c>
      <c r="Z135" s="128" t="s">
        <v>96</v>
      </c>
      <c r="AA135" s="128"/>
      <c r="AB135" s="136" t="s">
        <v>256</v>
      </c>
      <c r="AC135" s="137" t="s">
        <v>914</v>
      </c>
      <c r="AD135" s="136" t="s">
        <v>961</v>
      </c>
      <c r="AE135" s="136" t="s">
        <v>962</v>
      </c>
      <c r="AF135" s="136" t="s">
        <v>59</v>
      </c>
      <c r="AG135" s="136" t="s">
        <v>59</v>
      </c>
      <c r="AH135" s="138">
        <v>-845.98</v>
      </c>
      <c r="AI135" s="139" t="s">
        <v>98</v>
      </c>
      <c r="AJ135" s="139" t="s">
        <v>895</v>
      </c>
    </row>
    <row r="136" spans="1:36" ht="15.75" x14ac:dyDescent="0.25">
      <c r="A136" s="115">
        <v>12445</v>
      </c>
      <c r="B136" s="116" t="s">
        <v>36</v>
      </c>
      <c r="C136" s="117" t="s">
        <v>37</v>
      </c>
      <c r="D136" s="118" t="s">
        <v>36</v>
      </c>
      <c r="E136" s="119" t="s">
        <v>38</v>
      </c>
      <c r="F136" s="140" t="s">
        <v>39</v>
      </c>
      <c r="G136" s="118" t="s">
        <v>40</v>
      </c>
      <c r="H136" s="121" t="s">
        <v>41</v>
      </c>
      <c r="I136" s="120" t="s">
        <v>42</v>
      </c>
      <c r="J136" s="122" t="s">
        <v>43</v>
      </c>
      <c r="K136" s="123" t="s">
        <v>44</v>
      </c>
      <c r="L136" t="s">
        <v>1307</v>
      </c>
      <c r="M136" s="124" t="s">
        <v>1308</v>
      </c>
      <c r="N136" s="125" t="s">
        <v>1309</v>
      </c>
      <c r="O136" s="126" t="s">
        <v>929</v>
      </c>
      <c r="P136" s="127"/>
      <c r="Q136" s="128"/>
      <c r="R136" s="128"/>
      <c r="S136" s="129">
        <v>938</v>
      </c>
      <c r="T136" s="130" t="s">
        <v>1336</v>
      </c>
      <c r="U136" s="131">
        <v>45401</v>
      </c>
      <c r="V136" s="132"/>
      <c r="W136" s="133"/>
      <c r="X136" s="134" t="s">
        <v>1335</v>
      </c>
      <c r="Y136" s="135" t="s">
        <v>912</v>
      </c>
      <c r="Z136" s="128" t="s">
        <v>96</v>
      </c>
      <c r="AA136" s="128"/>
      <c r="AB136" s="136" t="s">
        <v>256</v>
      </c>
      <c r="AC136" s="137" t="s">
        <v>914</v>
      </c>
      <c r="AD136" s="136" t="s">
        <v>961</v>
      </c>
      <c r="AE136" s="136" t="s">
        <v>962</v>
      </c>
      <c r="AF136" s="136" t="s">
        <v>59</v>
      </c>
      <c r="AG136" s="136" t="s">
        <v>59</v>
      </c>
      <c r="AH136" s="138">
        <v>-938</v>
      </c>
      <c r="AI136" s="139" t="s">
        <v>98</v>
      </c>
      <c r="AJ136" s="139" t="s">
        <v>895</v>
      </c>
    </row>
    <row r="137" spans="1:36" ht="15.75" x14ac:dyDescent="0.25">
      <c r="A137" s="115">
        <v>12464</v>
      </c>
      <c r="B137" s="116" t="s">
        <v>36</v>
      </c>
      <c r="C137" s="117" t="s">
        <v>37</v>
      </c>
      <c r="D137" s="118" t="s">
        <v>36</v>
      </c>
      <c r="E137" s="119" t="s">
        <v>38</v>
      </c>
      <c r="F137" s="120" t="s">
        <v>39</v>
      </c>
      <c r="G137" s="118" t="s">
        <v>40</v>
      </c>
      <c r="H137" s="121" t="s">
        <v>41</v>
      </c>
      <c r="I137" s="120" t="s">
        <v>1319</v>
      </c>
      <c r="J137" s="122" t="s">
        <v>1320</v>
      </c>
      <c r="K137" s="123" t="s">
        <v>1321</v>
      </c>
      <c r="L137" t="s">
        <v>1307</v>
      </c>
      <c r="M137" s="124" t="s">
        <v>1308</v>
      </c>
      <c r="N137" s="125" t="s">
        <v>1309</v>
      </c>
      <c r="O137" s="126" t="s">
        <v>929</v>
      </c>
      <c r="P137" s="127"/>
      <c r="Q137" s="128"/>
      <c r="R137" s="128"/>
      <c r="S137" s="129">
        <v>938</v>
      </c>
      <c r="T137" s="130" t="s">
        <v>1332</v>
      </c>
      <c r="U137" s="131">
        <v>45401</v>
      </c>
      <c r="V137" s="132"/>
      <c r="W137" s="133"/>
      <c r="X137" s="134" t="s">
        <v>1326</v>
      </c>
      <c r="Y137" s="135" t="s">
        <v>912</v>
      </c>
      <c r="Z137" s="128" t="s">
        <v>96</v>
      </c>
      <c r="AA137" s="128"/>
      <c r="AB137" s="136" t="s">
        <v>256</v>
      </c>
      <c r="AC137" s="137" t="s">
        <v>914</v>
      </c>
      <c r="AD137" s="136" t="s">
        <v>961</v>
      </c>
      <c r="AE137" s="136" t="s">
        <v>962</v>
      </c>
      <c r="AF137" s="136" t="s">
        <v>59</v>
      </c>
      <c r="AG137" s="136" t="s">
        <v>59</v>
      </c>
      <c r="AH137" s="138">
        <v>-938</v>
      </c>
      <c r="AI137" s="139" t="s">
        <v>98</v>
      </c>
      <c r="AJ137" s="139" t="s">
        <v>895</v>
      </c>
    </row>
    <row r="138" spans="1:36" ht="15.75" x14ac:dyDescent="0.25">
      <c r="A138" s="115">
        <v>12465</v>
      </c>
      <c r="B138" s="116" t="s">
        <v>36</v>
      </c>
      <c r="C138" s="117" t="s">
        <v>37</v>
      </c>
      <c r="D138" s="118" t="s">
        <v>36</v>
      </c>
      <c r="E138" s="119" t="s">
        <v>38</v>
      </c>
      <c r="F138" s="120" t="s">
        <v>39</v>
      </c>
      <c r="G138" s="118" t="s">
        <v>40</v>
      </c>
      <c r="H138" s="121" t="s">
        <v>41</v>
      </c>
      <c r="I138" s="120" t="s">
        <v>946</v>
      </c>
      <c r="J138" s="122" t="s">
        <v>947</v>
      </c>
      <c r="K138" s="123" t="s">
        <v>948</v>
      </c>
      <c r="L138" t="s">
        <v>1307</v>
      </c>
      <c r="M138" s="124" t="s">
        <v>1308</v>
      </c>
      <c r="N138" s="125" t="s">
        <v>1309</v>
      </c>
      <c r="O138" s="126" t="s">
        <v>929</v>
      </c>
      <c r="P138" s="127"/>
      <c r="Q138" s="128"/>
      <c r="R138" s="128"/>
      <c r="S138" s="129">
        <v>938</v>
      </c>
      <c r="T138" s="130" t="s">
        <v>1332</v>
      </c>
      <c r="U138" s="131">
        <v>45401</v>
      </c>
      <c r="V138" s="132"/>
      <c r="W138" s="133"/>
      <c r="X138" s="134" t="s">
        <v>951</v>
      </c>
      <c r="Y138" s="135" t="s">
        <v>912</v>
      </c>
      <c r="Z138" s="128" t="s">
        <v>96</v>
      </c>
      <c r="AA138" s="128"/>
      <c r="AB138" s="136" t="s">
        <v>256</v>
      </c>
      <c r="AC138" s="137" t="s">
        <v>914</v>
      </c>
      <c r="AD138" s="136" t="s">
        <v>961</v>
      </c>
      <c r="AE138" s="136" t="s">
        <v>962</v>
      </c>
      <c r="AF138" s="136" t="s">
        <v>59</v>
      </c>
      <c r="AG138" s="136" t="s">
        <v>59</v>
      </c>
      <c r="AH138" s="138">
        <v>-938</v>
      </c>
      <c r="AI138" s="139" t="s">
        <v>98</v>
      </c>
      <c r="AJ138" s="139" t="s">
        <v>895</v>
      </c>
    </row>
    <row r="139" spans="1:36" ht="15.75" x14ac:dyDescent="0.25">
      <c r="A139" s="115">
        <v>12901</v>
      </c>
      <c r="B139" s="116" t="s">
        <v>36</v>
      </c>
      <c r="C139" s="117" t="s">
        <v>37</v>
      </c>
      <c r="D139" s="118" t="s">
        <v>36</v>
      </c>
      <c r="E139" s="119" t="s">
        <v>38</v>
      </c>
      <c r="F139" s="120" t="s">
        <v>39</v>
      </c>
      <c r="G139" s="118" t="s">
        <v>40</v>
      </c>
      <c r="H139" s="121" t="s">
        <v>41</v>
      </c>
      <c r="I139" s="120" t="s">
        <v>301</v>
      </c>
      <c r="J139" s="122" t="s">
        <v>302</v>
      </c>
      <c r="K139" s="123" t="s">
        <v>303</v>
      </c>
      <c r="L139" t="s">
        <v>1307</v>
      </c>
      <c r="M139" s="124" t="s">
        <v>1308</v>
      </c>
      <c r="N139" s="125" t="s">
        <v>1309</v>
      </c>
      <c r="O139" s="126" t="s">
        <v>929</v>
      </c>
      <c r="P139" s="127" t="s">
        <v>1344</v>
      </c>
      <c r="Q139" s="128"/>
      <c r="R139" s="128"/>
      <c r="S139" s="129">
        <v>100</v>
      </c>
      <c r="T139" s="130" t="s">
        <v>1327</v>
      </c>
      <c r="U139" s="131">
        <v>45407</v>
      </c>
      <c r="V139" s="132"/>
      <c r="W139" s="133">
        <v>8548</v>
      </c>
      <c r="X139" s="134" t="s">
        <v>1323</v>
      </c>
      <c r="Y139" s="135" t="s">
        <v>912</v>
      </c>
      <c r="Z139" s="128" t="s">
        <v>96</v>
      </c>
      <c r="AA139" s="128" t="s">
        <v>1328</v>
      </c>
      <c r="AB139" s="136" t="s">
        <v>256</v>
      </c>
      <c r="AC139" s="137" t="s">
        <v>914</v>
      </c>
      <c r="AD139" s="136" t="s">
        <v>961</v>
      </c>
      <c r="AE139" s="136" t="s">
        <v>962</v>
      </c>
      <c r="AF139" s="136" t="s">
        <v>59</v>
      </c>
      <c r="AG139" s="136" t="s">
        <v>59</v>
      </c>
      <c r="AH139" s="138">
        <v>-100</v>
      </c>
      <c r="AI139" s="139" t="s">
        <v>98</v>
      </c>
      <c r="AJ139" s="139" t="s">
        <v>895</v>
      </c>
    </row>
    <row r="140" spans="1:36" ht="15.75" x14ac:dyDescent="0.25">
      <c r="A140" s="115">
        <v>13200</v>
      </c>
      <c r="B140" s="116" t="s">
        <v>36</v>
      </c>
      <c r="C140" s="117" t="s">
        <v>37</v>
      </c>
      <c r="D140" s="118" t="s">
        <v>36</v>
      </c>
      <c r="E140" s="119" t="s">
        <v>38</v>
      </c>
      <c r="F140" s="120" t="s">
        <v>39</v>
      </c>
      <c r="G140" s="118" t="s">
        <v>40</v>
      </c>
      <c r="H140" s="121" t="s">
        <v>41</v>
      </c>
      <c r="I140" s="120" t="s">
        <v>301</v>
      </c>
      <c r="J140" s="122" t="s">
        <v>302</v>
      </c>
      <c r="K140" s="123" t="s">
        <v>303</v>
      </c>
      <c r="L140" t="s">
        <v>1307</v>
      </c>
      <c r="M140" s="124" t="s">
        <v>1308</v>
      </c>
      <c r="N140" s="125" t="s">
        <v>1309</v>
      </c>
      <c r="O140" s="126" t="s">
        <v>929</v>
      </c>
      <c r="P140" s="127"/>
      <c r="Q140" s="128"/>
      <c r="R140" s="128"/>
      <c r="S140" s="129">
        <v>4186.59</v>
      </c>
      <c r="T140" s="130" t="s">
        <v>1336</v>
      </c>
      <c r="U140" s="131">
        <v>45412</v>
      </c>
      <c r="V140" s="132"/>
      <c r="W140" s="133"/>
      <c r="X140" s="134" t="s">
        <v>1046</v>
      </c>
      <c r="Y140" s="135" t="s">
        <v>912</v>
      </c>
      <c r="Z140" s="128" t="s">
        <v>96</v>
      </c>
      <c r="AA140" s="128" t="s">
        <v>1328</v>
      </c>
      <c r="AB140" s="136" t="s">
        <v>256</v>
      </c>
      <c r="AC140" s="137" t="s">
        <v>914</v>
      </c>
      <c r="AD140" s="136" t="s">
        <v>961</v>
      </c>
      <c r="AE140" s="136" t="s">
        <v>962</v>
      </c>
      <c r="AF140" s="136" t="s">
        <v>59</v>
      </c>
      <c r="AG140" s="136" t="s">
        <v>59</v>
      </c>
      <c r="AH140" s="138">
        <v>-4186.59</v>
      </c>
      <c r="AI140" s="139" t="s">
        <v>98</v>
      </c>
      <c r="AJ140" s="139" t="s">
        <v>895</v>
      </c>
    </row>
    <row r="141" spans="1:36" ht="15.75" x14ac:dyDescent="0.25">
      <c r="A141" s="115">
        <v>13205</v>
      </c>
      <c r="B141" s="116" t="s">
        <v>36</v>
      </c>
      <c r="C141" s="117" t="s">
        <v>37</v>
      </c>
      <c r="D141" s="118" t="s">
        <v>36</v>
      </c>
      <c r="E141" s="119" t="s">
        <v>38</v>
      </c>
      <c r="F141" s="120" t="s">
        <v>39</v>
      </c>
      <c r="G141" s="118" t="s">
        <v>40</v>
      </c>
      <c r="H141" s="121" t="s">
        <v>41</v>
      </c>
      <c r="I141" s="120" t="s">
        <v>42</v>
      </c>
      <c r="J141" s="122" t="s">
        <v>43</v>
      </c>
      <c r="K141" s="123" t="s">
        <v>44</v>
      </c>
      <c r="L141" t="s">
        <v>1307</v>
      </c>
      <c r="M141" s="124" t="s">
        <v>1308</v>
      </c>
      <c r="N141" s="125" t="s">
        <v>1309</v>
      </c>
      <c r="O141" s="126" t="s">
        <v>929</v>
      </c>
      <c r="P141" s="127"/>
      <c r="Q141" s="128"/>
      <c r="R141" s="128"/>
      <c r="S141" s="129">
        <v>3557.95</v>
      </c>
      <c r="T141" s="130" t="s">
        <v>1336</v>
      </c>
      <c r="U141" s="131">
        <v>45412</v>
      </c>
      <c r="V141" s="132"/>
      <c r="W141" s="133"/>
      <c r="X141" s="134" t="s">
        <v>1314</v>
      </c>
      <c r="Y141" s="135" t="s">
        <v>912</v>
      </c>
      <c r="Z141" s="128" t="s">
        <v>96</v>
      </c>
      <c r="AA141" s="128"/>
      <c r="AB141" s="136" t="s">
        <v>256</v>
      </c>
      <c r="AC141" s="137" t="s">
        <v>914</v>
      </c>
      <c r="AD141" s="136" t="s">
        <v>961</v>
      </c>
      <c r="AE141" s="136" t="s">
        <v>962</v>
      </c>
      <c r="AF141" s="136" t="s">
        <v>59</v>
      </c>
      <c r="AG141" s="136" t="s">
        <v>59</v>
      </c>
      <c r="AH141" s="138">
        <v>-3557.95</v>
      </c>
      <c r="AI141" s="139" t="s">
        <v>98</v>
      </c>
      <c r="AJ141" s="139" t="s">
        <v>895</v>
      </c>
    </row>
    <row r="142" spans="1:36" ht="15.75" x14ac:dyDescent="0.25">
      <c r="A142" s="115">
        <v>13212</v>
      </c>
      <c r="B142" s="116" t="s">
        <v>36</v>
      </c>
      <c r="C142" s="117" t="s">
        <v>37</v>
      </c>
      <c r="D142" s="118" t="s">
        <v>36</v>
      </c>
      <c r="E142" s="119" t="s">
        <v>38</v>
      </c>
      <c r="F142" s="120" t="s">
        <v>39</v>
      </c>
      <c r="G142" s="118" t="s">
        <v>40</v>
      </c>
      <c r="H142" s="121" t="s">
        <v>41</v>
      </c>
      <c r="I142" s="120" t="s">
        <v>301</v>
      </c>
      <c r="J142" s="122" t="s">
        <v>302</v>
      </c>
      <c r="K142" s="123" t="s">
        <v>303</v>
      </c>
      <c r="L142" t="s">
        <v>1307</v>
      </c>
      <c r="M142" s="124" t="s">
        <v>1308</v>
      </c>
      <c r="N142" s="125" t="s">
        <v>1309</v>
      </c>
      <c r="O142" s="126" t="s">
        <v>929</v>
      </c>
      <c r="P142" s="127" t="s">
        <v>1336</v>
      </c>
      <c r="Q142" s="128"/>
      <c r="R142" s="128"/>
      <c r="S142" s="129">
        <v>4646.1499999999996</v>
      </c>
      <c r="T142" s="130" t="s">
        <v>1336</v>
      </c>
      <c r="U142" s="131">
        <v>45412</v>
      </c>
      <c r="V142" s="132"/>
      <c r="W142" s="133"/>
      <c r="X142" s="134" t="s">
        <v>1333</v>
      </c>
      <c r="Y142" s="135" t="s">
        <v>912</v>
      </c>
      <c r="Z142" s="128" t="s">
        <v>57</v>
      </c>
      <c r="AA142" s="128"/>
      <c r="AB142" s="136" t="s">
        <v>256</v>
      </c>
      <c r="AC142" s="137" t="s">
        <v>914</v>
      </c>
      <c r="AD142" s="136" t="s">
        <v>961</v>
      </c>
      <c r="AE142" s="136" t="s">
        <v>962</v>
      </c>
      <c r="AF142" s="136" t="s">
        <v>59</v>
      </c>
      <c r="AG142" s="136" t="s">
        <v>59</v>
      </c>
      <c r="AH142" s="138">
        <v>-4646.1499999999996</v>
      </c>
      <c r="AI142" s="139" t="s">
        <v>98</v>
      </c>
      <c r="AJ142" s="139" t="s">
        <v>895</v>
      </c>
    </row>
    <row r="143" spans="1:36" ht="15.75" x14ac:dyDescent="0.25">
      <c r="A143" s="115">
        <v>13218</v>
      </c>
      <c r="B143" s="116" t="s">
        <v>36</v>
      </c>
      <c r="C143" s="117" t="s">
        <v>37</v>
      </c>
      <c r="D143" s="118" t="s">
        <v>36</v>
      </c>
      <c r="E143" s="119" t="s">
        <v>38</v>
      </c>
      <c r="F143" s="120" t="s">
        <v>39</v>
      </c>
      <c r="G143" s="118" t="s">
        <v>40</v>
      </c>
      <c r="H143" s="121" t="s">
        <v>41</v>
      </c>
      <c r="I143" s="120" t="s">
        <v>524</v>
      </c>
      <c r="J143" s="122" t="s">
        <v>525</v>
      </c>
      <c r="K143" s="123" t="s">
        <v>526</v>
      </c>
      <c r="L143" t="s">
        <v>1307</v>
      </c>
      <c r="M143" s="124" t="s">
        <v>1308</v>
      </c>
      <c r="N143" s="125" t="s">
        <v>1309</v>
      </c>
      <c r="O143" s="126" t="s">
        <v>929</v>
      </c>
      <c r="P143" s="127"/>
      <c r="Q143" s="128"/>
      <c r="R143" s="128"/>
      <c r="S143" s="129">
        <v>5454.13</v>
      </c>
      <c r="T143" s="130" t="s">
        <v>1336</v>
      </c>
      <c r="U143" s="131">
        <v>45412</v>
      </c>
      <c r="V143" s="132"/>
      <c r="W143" s="133"/>
      <c r="X143" s="134" t="s">
        <v>874</v>
      </c>
      <c r="Y143" s="135" t="s">
        <v>912</v>
      </c>
      <c r="Z143" s="128" t="s">
        <v>96</v>
      </c>
      <c r="AA143" s="128" t="s">
        <v>1328</v>
      </c>
      <c r="AB143" s="136" t="s">
        <v>256</v>
      </c>
      <c r="AC143" s="137" t="s">
        <v>914</v>
      </c>
      <c r="AD143" s="136" t="s">
        <v>961</v>
      </c>
      <c r="AE143" s="136" t="s">
        <v>962</v>
      </c>
      <c r="AF143" s="136" t="s">
        <v>59</v>
      </c>
      <c r="AG143" s="136" t="s">
        <v>59</v>
      </c>
      <c r="AH143" s="138">
        <v>-5454.13</v>
      </c>
      <c r="AI143" s="139" t="s">
        <v>98</v>
      </c>
      <c r="AJ143" s="139" t="s">
        <v>895</v>
      </c>
    </row>
    <row r="144" spans="1:36" ht="15.75" x14ac:dyDescent="0.25">
      <c r="A144" s="115">
        <v>13273</v>
      </c>
      <c r="B144" s="116" t="s">
        <v>36</v>
      </c>
      <c r="C144" s="117" t="s">
        <v>37</v>
      </c>
      <c r="D144" s="118" t="s">
        <v>36</v>
      </c>
      <c r="E144" s="119" t="s">
        <v>38</v>
      </c>
      <c r="F144" s="120" t="s">
        <v>39</v>
      </c>
      <c r="G144" s="118" t="s">
        <v>40</v>
      </c>
      <c r="H144" s="121" t="s">
        <v>41</v>
      </c>
      <c r="I144" s="120" t="s">
        <v>524</v>
      </c>
      <c r="J144" s="122" t="s">
        <v>525</v>
      </c>
      <c r="K144" s="123" t="s">
        <v>526</v>
      </c>
      <c r="L144" t="s">
        <v>1307</v>
      </c>
      <c r="M144" s="124" t="s">
        <v>1308</v>
      </c>
      <c r="N144" s="125" t="s">
        <v>1309</v>
      </c>
      <c r="O144" s="126" t="s">
        <v>929</v>
      </c>
      <c r="P144" s="127"/>
      <c r="Q144" s="128"/>
      <c r="R144" s="128"/>
      <c r="S144" s="129">
        <v>3782.28</v>
      </c>
      <c r="T144" s="130" t="s">
        <v>1336</v>
      </c>
      <c r="U144" s="131">
        <v>45412</v>
      </c>
      <c r="V144" s="132"/>
      <c r="W144" s="133"/>
      <c r="X144" s="134" t="s">
        <v>1338</v>
      </c>
      <c r="Y144" s="135" t="s">
        <v>912</v>
      </c>
      <c r="Z144" s="128" t="s">
        <v>57</v>
      </c>
      <c r="AA144" s="128"/>
      <c r="AB144" s="136" t="s">
        <v>256</v>
      </c>
      <c r="AC144" s="137" t="s">
        <v>914</v>
      </c>
      <c r="AD144" s="136" t="s">
        <v>961</v>
      </c>
      <c r="AE144" s="136" t="s">
        <v>962</v>
      </c>
      <c r="AF144" s="136" t="s">
        <v>59</v>
      </c>
      <c r="AG144" s="136" t="s">
        <v>59</v>
      </c>
      <c r="AH144" s="138">
        <v>-3782.28</v>
      </c>
      <c r="AI144" s="139" t="s">
        <v>98</v>
      </c>
      <c r="AJ144" s="139" t="s">
        <v>895</v>
      </c>
    </row>
    <row r="145" spans="1:36" ht="15.75" x14ac:dyDescent="0.25">
      <c r="A145" s="115">
        <v>13293</v>
      </c>
      <c r="B145" s="116" t="s">
        <v>36</v>
      </c>
      <c r="C145" s="117" t="s">
        <v>37</v>
      </c>
      <c r="D145" s="118" t="s">
        <v>36</v>
      </c>
      <c r="E145" s="119" t="s">
        <v>38</v>
      </c>
      <c r="F145" s="120" t="s">
        <v>39</v>
      </c>
      <c r="G145" s="118" t="s">
        <v>40</v>
      </c>
      <c r="H145" s="121" t="s">
        <v>41</v>
      </c>
      <c r="I145" s="120" t="s">
        <v>524</v>
      </c>
      <c r="J145" s="122" t="s">
        <v>525</v>
      </c>
      <c r="K145" s="123" t="s">
        <v>526</v>
      </c>
      <c r="L145" t="s">
        <v>1307</v>
      </c>
      <c r="M145" s="124" t="s">
        <v>1308</v>
      </c>
      <c r="N145" s="125" t="s">
        <v>1309</v>
      </c>
      <c r="O145" s="126" t="s">
        <v>929</v>
      </c>
      <c r="P145" s="127"/>
      <c r="Q145" s="128"/>
      <c r="R145" s="128"/>
      <c r="S145" s="129">
        <v>5949.12</v>
      </c>
      <c r="T145" s="130" t="s">
        <v>1336</v>
      </c>
      <c r="U145" s="131">
        <v>45412</v>
      </c>
      <c r="V145" s="132"/>
      <c r="W145" s="133"/>
      <c r="X145" s="134" t="s">
        <v>1334</v>
      </c>
      <c r="Y145" s="135" t="s">
        <v>912</v>
      </c>
      <c r="Z145" s="128" t="s">
        <v>96</v>
      </c>
      <c r="AA145" s="128"/>
      <c r="AB145" s="136" t="s">
        <v>256</v>
      </c>
      <c r="AC145" s="137" t="s">
        <v>914</v>
      </c>
      <c r="AD145" s="136" t="s">
        <v>961</v>
      </c>
      <c r="AE145" s="136" t="s">
        <v>962</v>
      </c>
      <c r="AF145" s="136" t="s">
        <v>59</v>
      </c>
      <c r="AG145" s="136" t="s">
        <v>59</v>
      </c>
      <c r="AH145" s="138">
        <v>-5949.12</v>
      </c>
      <c r="AI145" s="139" t="s">
        <v>98</v>
      </c>
      <c r="AJ145" s="139" t="s">
        <v>895</v>
      </c>
    </row>
    <row r="146" spans="1:36" ht="15.75" x14ac:dyDescent="0.25">
      <c r="A146" s="115">
        <v>13305</v>
      </c>
      <c r="B146" s="116" t="s">
        <v>36</v>
      </c>
      <c r="C146" s="117" t="s">
        <v>37</v>
      </c>
      <c r="D146" s="118" t="s">
        <v>36</v>
      </c>
      <c r="E146" s="119" t="s">
        <v>38</v>
      </c>
      <c r="F146" s="120" t="s">
        <v>39</v>
      </c>
      <c r="G146" s="118" t="s">
        <v>40</v>
      </c>
      <c r="H146" s="121" t="s">
        <v>41</v>
      </c>
      <c r="I146" s="120" t="s">
        <v>1319</v>
      </c>
      <c r="J146" s="122" t="s">
        <v>1320</v>
      </c>
      <c r="K146" s="123" t="s">
        <v>1321</v>
      </c>
      <c r="L146" t="s">
        <v>1307</v>
      </c>
      <c r="M146" s="124" t="s">
        <v>1308</v>
      </c>
      <c r="N146" s="125" t="s">
        <v>1309</v>
      </c>
      <c r="O146" s="126" t="s">
        <v>929</v>
      </c>
      <c r="P146" s="127"/>
      <c r="Q146" s="128"/>
      <c r="R146" s="128"/>
      <c r="S146" s="129">
        <v>3614.05</v>
      </c>
      <c r="T146" s="130" t="s">
        <v>1336</v>
      </c>
      <c r="U146" s="131">
        <v>45412</v>
      </c>
      <c r="V146" s="132"/>
      <c r="W146" s="133"/>
      <c r="X146" s="134" t="s">
        <v>1322</v>
      </c>
      <c r="Y146" s="135" t="s">
        <v>912</v>
      </c>
      <c r="Z146" s="128" t="s">
        <v>96</v>
      </c>
      <c r="AA146" s="128"/>
      <c r="AB146" s="136" t="s">
        <v>256</v>
      </c>
      <c r="AC146" s="137" t="s">
        <v>914</v>
      </c>
      <c r="AD146" s="136" t="s">
        <v>961</v>
      </c>
      <c r="AE146" s="136" t="s">
        <v>962</v>
      </c>
      <c r="AF146" s="136" t="s">
        <v>59</v>
      </c>
      <c r="AG146" s="136" t="s">
        <v>59</v>
      </c>
      <c r="AH146" s="138">
        <v>-3614.05</v>
      </c>
      <c r="AI146" s="139" t="s">
        <v>98</v>
      </c>
      <c r="AJ146" s="139" t="s">
        <v>895</v>
      </c>
    </row>
    <row r="147" spans="1:36" ht="15.75" x14ac:dyDescent="0.25">
      <c r="A147" s="115">
        <v>13338</v>
      </c>
      <c r="B147" s="116" t="s">
        <v>36</v>
      </c>
      <c r="C147" s="117" t="s">
        <v>37</v>
      </c>
      <c r="D147" s="118" t="s">
        <v>36</v>
      </c>
      <c r="E147" s="119" t="s">
        <v>38</v>
      </c>
      <c r="F147" s="120" t="s">
        <v>39</v>
      </c>
      <c r="G147" s="118" t="s">
        <v>40</v>
      </c>
      <c r="H147" s="121" t="s">
        <v>41</v>
      </c>
      <c r="I147" s="120" t="s">
        <v>301</v>
      </c>
      <c r="J147" s="122" t="s">
        <v>302</v>
      </c>
      <c r="K147" s="123" t="s">
        <v>303</v>
      </c>
      <c r="L147" t="s">
        <v>1307</v>
      </c>
      <c r="M147" s="124" t="s">
        <v>1308</v>
      </c>
      <c r="N147" s="125" t="s">
        <v>1309</v>
      </c>
      <c r="O147" s="126" t="s">
        <v>929</v>
      </c>
      <c r="P147" s="127"/>
      <c r="Q147" s="128"/>
      <c r="R147" s="128"/>
      <c r="S147" s="129">
        <v>5564.3</v>
      </c>
      <c r="T147" s="130" t="s">
        <v>1336</v>
      </c>
      <c r="U147" s="131">
        <v>45412</v>
      </c>
      <c r="V147" s="132"/>
      <c r="W147" s="133"/>
      <c r="X147" s="134" t="s">
        <v>1323</v>
      </c>
      <c r="Y147" s="135" t="s">
        <v>912</v>
      </c>
      <c r="Z147" s="128" t="s">
        <v>96</v>
      </c>
      <c r="AA147" s="128"/>
      <c r="AB147" s="136" t="s">
        <v>256</v>
      </c>
      <c r="AC147" s="137" t="s">
        <v>914</v>
      </c>
      <c r="AD147" s="136" t="s">
        <v>961</v>
      </c>
      <c r="AE147" s="136" t="s">
        <v>962</v>
      </c>
      <c r="AF147" s="136" t="s">
        <v>59</v>
      </c>
      <c r="AG147" s="136" t="s">
        <v>59</v>
      </c>
      <c r="AH147" s="138">
        <v>-5564.3</v>
      </c>
      <c r="AI147" s="139" t="s">
        <v>98</v>
      </c>
      <c r="AJ147" s="139" t="s">
        <v>895</v>
      </c>
    </row>
    <row r="148" spans="1:36" ht="15.75" x14ac:dyDescent="0.25">
      <c r="A148" s="115">
        <v>13356</v>
      </c>
      <c r="B148" s="116" t="s">
        <v>36</v>
      </c>
      <c r="C148" s="117" t="s">
        <v>37</v>
      </c>
      <c r="D148" s="118" t="s">
        <v>36</v>
      </c>
      <c r="E148" s="119" t="s">
        <v>38</v>
      </c>
      <c r="F148" s="140" t="s">
        <v>39</v>
      </c>
      <c r="G148" s="118" t="s">
        <v>40</v>
      </c>
      <c r="H148" s="121" t="s">
        <v>41</v>
      </c>
      <c r="I148" s="120" t="s">
        <v>301</v>
      </c>
      <c r="J148" s="122" t="s">
        <v>302</v>
      </c>
      <c r="K148" s="123" t="s">
        <v>303</v>
      </c>
      <c r="L148" t="s">
        <v>1307</v>
      </c>
      <c r="M148" s="124" t="s">
        <v>1308</v>
      </c>
      <c r="N148" s="125" t="s">
        <v>1309</v>
      </c>
      <c r="O148" s="126" t="s">
        <v>1329</v>
      </c>
      <c r="P148" s="127" t="s">
        <v>1337</v>
      </c>
      <c r="Q148" s="128">
        <v>7496.71</v>
      </c>
      <c r="R148" s="128">
        <v>7496.71</v>
      </c>
      <c r="S148" s="129">
        <v>7496.71</v>
      </c>
      <c r="T148" s="130" t="s">
        <v>256</v>
      </c>
      <c r="U148" s="131">
        <v>45412</v>
      </c>
      <c r="V148" s="132">
        <v>45419</v>
      </c>
      <c r="W148" s="133">
        <v>186</v>
      </c>
      <c r="X148" s="134" t="s">
        <v>258</v>
      </c>
      <c r="Y148" s="135" t="s">
        <v>912</v>
      </c>
      <c r="Z148" s="128" t="s">
        <v>57</v>
      </c>
      <c r="AA148" s="128"/>
      <c r="AB148" s="136" t="s">
        <v>256</v>
      </c>
      <c r="AC148" s="137" t="s">
        <v>914</v>
      </c>
      <c r="AD148" s="136" t="s">
        <v>961</v>
      </c>
      <c r="AE148" s="136" t="s">
        <v>962</v>
      </c>
      <c r="AF148" s="136" t="s">
        <v>59</v>
      </c>
      <c r="AG148" s="136" t="s">
        <v>59</v>
      </c>
      <c r="AH148" s="138">
        <v>-7496.71</v>
      </c>
      <c r="AI148" s="139" t="s">
        <v>98</v>
      </c>
      <c r="AJ148" s="139" t="s">
        <v>895</v>
      </c>
    </row>
    <row r="149" spans="1:36" ht="15.75" x14ac:dyDescent="0.25">
      <c r="A149" s="115">
        <v>13358</v>
      </c>
      <c r="B149" s="116" t="s">
        <v>36</v>
      </c>
      <c r="C149" s="117" t="s">
        <v>37</v>
      </c>
      <c r="D149" s="118" t="s">
        <v>36</v>
      </c>
      <c r="E149" s="119" t="s">
        <v>38</v>
      </c>
      <c r="F149" s="140" t="s">
        <v>39</v>
      </c>
      <c r="G149" s="118" t="s">
        <v>40</v>
      </c>
      <c r="H149" s="121" t="s">
        <v>41</v>
      </c>
      <c r="I149" s="120" t="s">
        <v>524</v>
      </c>
      <c r="J149" s="122" t="s">
        <v>525</v>
      </c>
      <c r="K149" s="123" t="s">
        <v>526</v>
      </c>
      <c r="L149" t="s">
        <v>1307</v>
      </c>
      <c r="M149" s="124" t="s">
        <v>1308</v>
      </c>
      <c r="N149" s="125" t="s">
        <v>1309</v>
      </c>
      <c r="O149" s="126" t="s">
        <v>929</v>
      </c>
      <c r="P149" s="127"/>
      <c r="Q149" s="128"/>
      <c r="R149" s="128"/>
      <c r="S149" s="129">
        <v>3752.66</v>
      </c>
      <c r="T149" s="130" t="s">
        <v>1337</v>
      </c>
      <c r="U149" s="131">
        <v>45412</v>
      </c>
      <c r="V149" s="132"/>
      <c r="W149" s="133"/>
      <c r="X149" s="134" t="s">
        <v>1215</v>
      </c>
      <c r="Y149" s="135" t="s">
        <v>912</v>
      </c>
      <c r="Z149" s="128" t="s">
        <v>96</v>
      </c>
      <c r="AA149" s="128" t="s">
        <v>1328</v>
      </c>
      <c r="AB149" s="136" t="s">
        <v>256</v>
      </c>
      <c r="AC149" s="137" t="s">
        <v>914</v>
      </c>
      <c r="AD149" s="136" t="s">
        <v>961</v>
      </c>
      <c r="AE149" s="136" t="s">
        <v>962</v>
      </c>
      <c r="AF149" s="136" t="s">
        <v>59</v>
      </c>
      <c r="AG149" s="136" t="s">
        <v>59</v>
      </c>
      <c r="AH149" s="138">
        <v>-3752.66</v>
      </c>
      <c r="AI149" s="139" t="s">
        <v>98</v>
      </c>
      <c r="AJ149" s="139" t="s">
        <v>895</v>
      </c>
    </row>
    <row r="150" spans="1:36" ht="15.75" x14ac:dyDescent="0.25">
      <c r="A150" s="115">
        <v>13391</v>
      </c>
      <c r="B150" s="116" t="s">
        <v>36</v>
      </c>
      <c r="C150" s="117" t="s">
        <v>37</v>
      </c>
      <c r="D150" s="118" t="s">
        <v>36</v>
      </c>
      <c r="E150" s="119" t="s">
        <v>38</v>
      </c>
      <c r="F150" s="140" t="s">
        <v>39</v>
      </c>
      <c r="G150" s="118" t="s">
        <v>40</v>
      </c>
      <c r="H150" s="121" t="s">
        <v>41</v>
      </c>
      <c r="I150" s="120" t="s">
        <v>42</v>
      </c>
      <c r="J150" s="122" t="s">
        <v>43</v>
      </c>
      <c r="K150" s="123" t="s">
        <v>44</v>
      </c>
      <c r="L150" t="s">
        <v>1307</v>
      </c>
      <c r="M150" s="124" t="s">
        <v>1308</v>
      </c>
      <c r="N150" s="125" t="s">
        <v>1309</v>
      </c>
      <c r="O150" s="126" t="s">
        <v>929</v>
      </c>
      <c r="P150" s="127"/>
      <c r="Q150" s="128"/>
      <c r="R150" s="128"/>
      <c r="S150" s="129">
        <v>3551.13</v>
      </c>
      <c r="T150" s="130" t="s">
        <v>1336</v>
      </c>
      <c r="U150" s="131">
        <v>45412</v>
      </c>
      <c r="V150" s="132"/>
      <c r="W150" s="133"/>
      <c r="X150" s="134" t="s">
        <v>1335</v>
      </c>
      <c r="Y150" s="135" t="s">
        <v>912</v>
      </c>
      <c r="Z150" s="128" t="s">
        <v>96</v>
      </c>
      <c r="AA150" s="128"/>
      <c r="AB150" s="136" t="s">
        <v>256</v>
      </c>
      <c r="AC150" s="137" t="s">
        <v>914</v>
      </c>
      <c r="AD150" s="136" t="s">
        <v>961</v>
      </c>
      <c r="AE150" s="136" t="s">
        <v>962</v>
      </c>
      <c r="AF150" s="136" t="s">
        <v>59</v>
      </c>
      <c r="AG150" s="136" t="s">
        <v>59</v>
      </c>
      <c r="AH150" s="138">
        <v>-3551.13</v>
      </c>
      <c r="AI150" s="139" t="s">
        <v>98</v>
      </c>
      <c r="AJ150" s="139" t="s">
        <v>895</v>
      </c>
    </row>
    <row r="151" spans="1:36" ht="15.75" x14ac:dyDescent="0.25">
      <c r="A151" s="115">
        <v>13423</v>
      </c>
      <c r="B151" s="116" t="s">
        <v>36</v>
      </c>
      <c r="C151" s="117" t="s">
        <v>37</v>
      </c>
      <c r="D151" s="118" t="s">
        <v>36</v>
      </c>
      <c r="E151" s="119" t="s">
        <v>38</v>
      </c>
      <c r="F151" s="120" t="s">
        <v>39</v>
      </c>
      <c r="G151" s="118" t="s">
        <v>40</v>
      </c>
      <c r="H151" s="121" t="s">
        <v>41</v>
      </c>
      <c r="I151" s="120" t="s">
        <v>1319</v>
      </c>
      <c r="J151" s="122" t="s">
        <v>1320</v>
      </c>
      <c r="K151" s="123" t="s">
        <v>1321</v>
      </c>
      <c r="L151" t="s">
        <v>1307</v>
      </c>
      <c r="M151" s="124" t="s">
        <v>1308</v>
      </c>
      <c r="N151" s="125" t="s">
        <v>1309</v>
      </c>
      <c r="O151" s="126" t="s">
        <v>929</v>
      </c>
      <c r="P151" s="127"/>
      <c r="Q151" s="128"/>
      <c r="R151" s="128"/>
      <c r="S151" s="129">
        <v>3912.84</v>
      </c>
      <c r="T151" s="130" t="s">
        <v>1336</v>
      </c>
      <c r="U151" s="131">
        <v>45412</v>
      </c>
      <c r="V151" s="132"/>
      <c r="W151" s="133"/>
      <c r="X151" s="134" t="s">
        <v>1326</v>
      </c>
      <c r="Y151" s="135" t="s">
        <v>912</v>
      </c>
      <c r="Z151" s="128" t="s">
        <v>96</v>
      </c>
      <c r="AA151" s="128"/>
      <c r="AB151" s="136" t="s">
        <v>256</v>
      </c>
      <c r="AC151" s="137" t="s">
        <v>914</v>
      </c>
      <c r="AD151" s="136" t="s">
        <v>961</v>
      </c>
      <c r="AE151" s="136" t="s">
        <v>962</v>
      </c>
      <c r="AF151" s="136" t="s">
        <v>59</v>
      </c>
      <c r="AG151" s="136" t="s">
        <v>59</v>
      </c>
      <c r="AH151" s="138">
        <v>-3912.84</v>
      </c>
      <c r="AI151" s="139" t="s">
        <v>98</v>
      </c>
      <c r="AJ151" s="139" t="s">
        <v>895</v>
      </c>
    </row>
    <row r="152" spans="1:36" ht="15.75" x14ac:dyDescent="0.25">
      <c r="A152" s="115">
        <v>13425</v>
      </c>
      <c r="B152" s="116" t="s">
        <v>36</v>
      </c>
      <c r="C152" s="117" t="s">
        <v>37</v>
      </c>
      <c r="D152" s="118" t="s">
        <v>36</v>
      </c>
      <c r="E152" s="119" t="s">
        <v>38</v>
      </c>
      <c r="F152" s="120" t="s">
        <v>39</v>
      </c>
      <c r="G152" s="118" t="s">
        <v>40</v>
      </c>
      <c r="H152" s="121" t="s">
        <v>41</v>
      </c>
      <c r="I152" s="120" t="s">
        <v>946</v>
      </c>
      <c r="J152" s="122" t="s">
        <v>947</v>
      </c>
      <c r="K152" s="123" t="s">
        <v>948</v>
      </c>
      <c r="L152" t="s">
        <v>1307</v>
      </c>
      <c r="M152" s="124" t="s">
        <v>1308</v>
      </c>
      <c r="N152" s="125" t="s">
        <v>1309</v>
      </c>
      <c r="O152" s="126" t="s">
        <v>929</v>
      </c>
      <c r="P152" s="127"/>
      <c r="Q152" s="128"/>
      <c r="R152" s="128"/>
      <c r="S152" s="129">
        <v>7917.16</v>
      </c>
      <c r="T152" s="130" t="s">
        <v>1336</v>
      </c>
      <c r="U152" s="131">
        <v>45412</v>
      </c>
      <c r="V152" s="132"/>
      <c r="W152" s="133"/>
      <c r="X152" s="134" t="s">
        <v>951</v>
      </c>
      <c r="Y152" s="135" t="s">
        <v>912</v>
      </c>
      <c r="Z152" s="128" t="s">
        <v>96</v>
      </c>
      <c r="AA152" s="128"/>
      <c r="AB152" s="136" t="s">
        <v>256</v>
      </c>
      <c r="AC152" s="137" t="s">
        <v>914</v>
      </c>
      <c r="AD152" s="136" t="s">
        <v>961</v>
      </c>
      <c r="AE152" s="136" t="s">
        <v>962</v>
      </c>
      <c r="AF152" s="136" t="s">
        <v>59</v>
      </c>
      <c r="AG152" s="136" t="s">
        <v>59</v>
      </c>
      <c r="AH152" s="138">
        <v>-7917.16</v>
      </c>
      <c r="AI152" s="139" t="s">
        <v>98</v>
      </c>
      <c r="AJ152" s="139" t="s">
        <v>895</v>
      </c>
    </row>
    <row r="153" spans="1:36" ht="15.75" x14ac:dyDescent="0.25">
      <c r="A153" s="115">
        <v>13448</v>
      </c>
      <c r="B153" s="116" t="s">
        <v>36</v>
      </c>
      <c r="C153" s="117" t="s">
        <v>37</v>
      </c>
      <c r="D153" s="118" t="s">
        <v>36</v>
      </c>
      <c r="E153" s="119" t="s">
        <v>38</v>
      </c>
      <c r="F153" s="120" t="s">
        <v>39</v>
      </c>
      <c r="G153" s="118" t="s">
        <v>40</v>
      </c>
      <c r="H153" s="121" t="s">
        <v>41</v>
      </c>
      <c r="I153" s="120" t="s">
        <v>42</v>
      </c>
      <c r="J153" s="122" t="s">
        <v>43</v>
      </c>
      <c r="K153" s="123" t="s">
        <v>44</v>
      </c>
      <c r="L153" t="s">
        <v>1307</v>
      </c>
      <c r="M153" s="124" t="s">
        <v>1308</v>
      </c>
      <c r="N153" s="125" t="s">
        <v>1309</v>
      </c>
      <c r="O153" s="126" t="s">
        <v>1310</v>
      </c>
      <c r="P153" s="127" t="s">
        <v>1311</v>
      </c>
      <c r="Q153" s="128">
        <v>6885.7738033333335</v>
      </c>
      <c r="R153" s="128">
        <v>6885.7738033333335</v>
      </c>
      <c r="S153" s="129">
        <v>6885.7738033333335</v>
      </c>
      <c r="T153" s="130" t="s">
        <v>1312</v>
      </c>
      <c r="U153" s="131">
        <v>45413</v>
      </c>
      <c r="V153" s="132"/>
      <c r="W153" s="133"/>
      <c r="X153" s="134" t="s">
        <v>1314</v>
      </c>
      <c r="Y153" s="135" t="s">
        <v>912</v>
      </c>
      <c r="Z153" s="128" t="s">
        <v>1313</v>
      </c>
      <c r="AA153" s="128"/>
      <c r="AB153" s="136"/>
      <c r="AC153" s="137"/>
      <c r="AD153" s="136"/>
      <c r="AE153" s="136"/>
      <c r="AF153" s="136"/>
      <c r="AG153" s="136"/>
      <c r="AH153" s="138">
        <v>-6885.7738033333335</v>
      </c>
      <c r="AI153" s="139" t="s">
        <v>98</v>
      </c>
      <c r="AJ153" s="139" t="s">
        <v>895</v>
      </c>
    </row>
    <row r="154" spans="1:36" ht="15.75" x14ac:dyDescent="0.25">
      <c r="A154" s="115">
        <v>13453</v>
      </c>
      <c r="B154" s="116" t="s">
        <v>36</v>
      </c>
      <c r="C154" s="117" t="s">
        <v>37</v>
      </c>
      <c r="D154" s="118" t="s">
        <v>36</v>
      </c>
      <c r="E154" s="119" t="s">
        <v>38</v>
      </c>
      <c r="F154" s="120" t="s">
        <v>39</v>
      </c>
      <c r="G154" s="118" t="s">
        <v>40</v>
      </c>
      <c r="H154" s="121" t="s">
        <v>41</v>
      </c>
      <c r="I154" s="120" t="s">
        <v>301</v>
      </c>
      <c r="J154" s="122" t="s">
        <v>302</v>
      </c>
      <c r="K154" s="123" t="s">
        <v>303</v>
      </c>
      <c r="L154" t="s">
        <v>1307</v>
      </c>
      <c r="M154" s="124" t="s">
        <v>1308</v>
      </c>
      <c r="N154" s="125" t="s">
        <v>1309</v>
      </c>
      <c r="O154" s="126" t="s">
        <v>1310</v>
      </c>
      <c r="P154" s="127" t="s">
        <v>1311</v>
      </c>
      <c r="Q154" s="128">
        <v>8389.1584877777768</v>
      </c>
      <c r="R154" s="128">
        <v>8389.1584877777768</v>
      </c>
      <c r="S154" s="129">
        <v>8389.1584877777768</v>
      </c>
      <c r="T154" s="130" t="s">
        <v>1312</v>
      </c>
      <c r="U154" s="131">
        <v>45413</v>
      </c>
      <c r="V154" s="132"/>
      <c r="W154" s="133"/>
      <c r="X154" s="134" t="s">
        <v>1315</v>
      </c>
      <c r="Y154" s="135" t="s">
        <v>912</v>
      </c>
      <c r="Z154" s="128" t="s">
        <v>1313</v>
      </c>
      <c r="AA154" s="128"/>
      <c r="AB154" s="136"/>
      <c r="AC154" s="137"/>
      <c r="AD154" s="136"/>
      <c r="AE154" s="136"/>
      <c r="AF154" s="136"/>
      <c r="AG154" s="136"/>
      <c r="AH154" s="138">
        <v>-8389.1584877777768</v>
      </c>
      <c r="AI154" s="139" t="s">
        <v>98</v>
      </c>
      <c r="AJ154" s="139" t="s">
        <v>895</v>
      </c>
    </row>
    <row r="155" spans="1:36" ht="15.75" x14ac:dyDescent="0.25">
      <c r="A155" s="115">
        <v>13457</v>
      </c>
      <c r="B155" s="116" t="s">
        <v>36</v>
      </c>
      <c r="C155" s="117" t="s">
        <v>37</v>
      </c>
      <c r="D155" s="118" t="s">
        <v>36</v>
      </c>
      <c r="E155" s="119" t="s">
        <v>38</v>
      </c>
      <c r="F155" s="120" t="s">
        <v>39</v>
      </c>
      <c r="G155" s="118" t="s">
        <v>40</v>
      </c>
      <c r="H155" s="121" t="s">
        <v>41</v>
      </c>
      <c r="I155" s="120" t="s">
        <v>524</v>
      </c>
      <c r="J155" s="122" t="s">
        <v>525</v>
      </c>
      <c r="K155" s="123" t="s">
        <v>526</v>
      </c>
      <c r="L155" t="s">
        <v>1307</v>
      </c>
      <c r="M155" s="124" t="s">
        <v>1308</v>
      </c>
      <c r="N155" s="125" t="s">
        <v>1309</v>
      </c>
      <c r="O155" s="126" t="s">
        <v>1310</v>
      </c>
      <c r="P155" s="127" t="s">
        <v>1311</v>
      </c>
      <c r="Q155" s="128">
        <v>7409.7582644444446</v>
      </c>
      <c r="R155" s="128">
        <v>7409.7582644444446</v>
      </c>
      <c r="S155" s="129">
        <v>7409.7582644444446</v>
      </c>
      <c r="T155" s="130" t="s">
        <v>1312</v>
      </c>
      <c r="U155" s="131">
        <v>45413</v>
      </c>
      <c r="V155" s="132"/>
      <c r="W155" s="133"/>
      <c r="X155" s="134" t="s">
        <v>874</v>
      </c>
      <c r="Y155" s="135" t="s">
        <v>912</v>
      </c>
      <c r="Z155" s="128" t="s">
        <v>1313</v>
      </c>
      <c r="AA155" s="128"/>
      <c r="AB155" s="136"/>
      <c r="AC155" s="137"/>
      <c r="AD155" s="136"/>
      <c r="AE155" s="136"/>
      <c r="AF155" s="136"/>
      <c r="AG155" s="136"/>
      <c r="AH155" s="138">
        <v>-7409.7582644444446</v>
      </c>
      <c r="AI155" s="139" t="s">
        <v>98</v>
      </c>
      <c r="AJ155" s="139" t="s">
        <v>895</v>
      </c>
    </row>
    <row r="156" spans="1:36" ht="15.75" x14ac:dyDescent="0.25">
      <c r="A156" s="115">
        <v>13513</v>
      </c>
      <c r="B156" s="116" t="s">
        <v>36</v>
      </c>
      <c r="C156" s="117" t="s">
        <v>37</v>
      </c>
      <c r="D156" s="118" t="s">
        <v>36</v>
      </c>
      <c r="E156" s="119" t="s">
        <v>38</v>
      </c>
      <c r="F156" s="120" t="s">
        <v>39</v>
      </c>
      <c r="G156" s="118" t="s">
        <v>40</v>
      </c>
      <c r="H156" s="121" t="s">
        <v>41</v>
      </c>
      <c r="I156" s="120" t="s">
        <v>524</v>
      </c>
      <c r="J156" s="122" t="s">
        <v>525</v>
      </c>
      <c r="K156" s="123" t="s">
        <v>526</v>
      </c>
      <c r="L156" t="s">
        <v>1307</v>
      </c>
      <c r="M156" s="124" t="s">
        <v>1308</v>
      </c>
      <c r="N156" s="125" t="s">
        <v>1309</v>
      </c>
      <c r="O156" s="126" t="s">
        <v>1310</v>
      </c>
      <c r="P156" s="127" t="s">
        <v>1311</v>
      </c>
      <c r="Q156" s="128">
        <v>6414.6372366666656</v>
      </c>
      <c r="R156" s="128">
        <v>6414.6372366666656</v>
      </c>
      <c r="S156" s="129">
        <v>6414.6372366666656</v>
      </c>
      <c r="T156" s="130" t="s">
        <v>1312</v>
      </c>
      <c r="U156" s="131">
        <v>45413</v>
      </c>
      <c r="V156" s="132"/>
      <c r="W156" s="133"/>
      <c r="X156" s="134" t="s">
        <v>1338</v>
      </c>
      <c r="Y156" s="135" t="s">
        <v>912</v>
      </c>
      <c r="Z156" s="128" t="s">
        <v>1313</v>
      </c>
      <c r="AA156" s="128"/>
      <c r="AB156" s="136"/>
      <c r="AC156" s="137"/>
      <c r="AD156" s="136"/>
      <c r="AE156" s="136"/>
      <c r="AF156" s="136"/>
      <c r="AG156" s="136"/>
      <c r="AH156" s="138">
        <v>-6414.6372366666656</v>
      </c>
      <c r="AI156" s="139" t="s">
        <v>98</v>
      </c>
      <c r="AJ156" s="139" t="s">
        <v>895</v>
      </c>
    </row>
    <row r="157" spans="1:36" ht="15.75" x14ac:dyDescent="0.25">
      <c r="A157" s="115">
        <v>13544</v>
      </c>
      <c r="B157" s="116" t="s">
        <v>36</v>
      </c>
      <c r="C157" s="117" t="s">
        <v>37</v>
      </c>
      <c r="D157" s="118" t="s">
        <v>36</v>
      </c>
      <c r="E157" s="119" t="s">
        <v>38</v>
      </c>
      <c r="F157" s="120" t="s">
        <v>39</v>
      </c>
      <c r="G157" s="118" t="s">
        <v>40</v>
      </c>
      <c r="H157" s="121" t="s">
        <v>41</v>
      </c>
      <c r="I157" s="120" t="s">
        <v>524</v>
      </c>
      <c r="J157" s="122" t="s">
        <v>525</v>
      </c>
      <c r="K157" s="123" t="s">
        <v>526</v>
      </c>
      <c r="L157" t="s">
        <v>1307</v>
      </c>
      <c r="M157" s="124" t="s">
        <v>1308</v>
      </c>
      <c r="N157" s="125" t="s">
        <v>1309</v>
      </c>
      <c r="O157" s="126" t="s">
        <v>1310</v>
      </c>
      <c r="P157" s="127" t="s">
        <v>1311</v>
      </c>
      <c r="Q157" s="128">
        <v>9916.8115611111116</v>
      </c>
      <c r="R157" s="128">
        <v>9916.8115611111116</v>
      </c>
      <c r="S157" s="129">
        <v>9916.8115611111116</v>
      </c>
      <c r="T157" s="130" t="s">
        <v>1312</v>
      </c>
      <c r="U157" s="131">
        <v>45413</v>
      </c>
      <c r="V157" s="132"/>
      <c r="W157" s="133"/>
      <c r="X157" s="134" t="s">
        <v>1318</v>
      </c>
      <c r="Y157" s="135" t="s">
        <v>912</v>
      </c>
      <c r="Z157" s="128" t="s">
        <v>1313</v>
      </c>
      <c r="AA157" s="128"/>
      <c r="AB157" s="136"/>
      <c r="AC157" s="137"/>
      <c r="AD157" s="136"/>
      <c r="AE157" s="136"/>
      <c r="AF157" s="136"/>
      <c r="AG157" s="136"/>
      <c r="AH157" s="138">
        <v>-9916.8115611111116</v>
      </c>
      <c r="AI157" s="139" t="s">
        <v>98</v>
      </c>
      <c r="AJ157" s="139" t="s">
        <v>895</v>
      </c>
    </row>
    <row r="158" spans="1:36" ht="15.75" x14ac:dyDescent="0.25">
      <c r="A158" s="115">
        <v>13558</v>
      </c>
      <c r="B158" s="116" t="s">
        <v>36</v>
      </c>
      <c r="C158" s="117" t="s">
        <v>37</v>
      </c>
      <c r="D158" s="118" t="s">
        <v>36</v>
      </c>
      <c r="E158" s="119" t="s">
        <v>38</v>
      </c>
      <c r="F158" s="120" t="s">
        <v>39</v>
      </c>
      <c r="G158" s="118" t="s">
        <v>40</v>
      </c>
      <c r="H158" s="121" t="s">
        <v>41</v>
      </c>
      <c r="I158" s="120" t="s">
        <v>1319</v>
      </c>
      <c r="J158" s="122" t="s">
        <v>1320</v>
      </c>
      <c r="K158" s="123" t="s">
        <v>1321</v>
      </c>
      <c r="L158" t="s">
        <v>1307</v>
      </c>
      <c r="M158" s="124" t="s">
        <v>1308</v>
      </c>
      <c r="N158" s="125" t="s">
        <v>1309</v>
      </c>
      <c r="O158" s="126" t="s">
        <v>1310</v>
      </c>
      <c r="P158" s="127" t="s">
        <v>1311</v>
      </c>
      <c r="Q158" s="128">
        <v>6068.0918022222222</v>
      </c>
      <c r="R158" s="128">
        <v>6068.0918022222222</v>
      </c>
      <c r="S158" s="129">
        <v>6068.0918022222222</v>
      </c>
      <c r="T158" s="130" t="s">
        <v>1312</v>
      </c>
      <c r="U158" s="131">
        <v>45413</v>
      </c>
      <c r="V158" s="132"/>
      <c r="W158" s="133"/>
      <c r="X158" s="134" t="s">
        <v>1322</v>
      </c>
      <c r="Y158" s="135" t="s">
        <v>912</v>
      </c>
      <c r="Z158" s="128" t="s">
        <v>1313</v>
      </c>
      <c r="AA158" s="128"/>
      <c r="AB158" s="136"/>
      <c r="AC158" s="137"/>
      <c r="AD158" s="136"/>
      <c r="AE158" s="136"/>
      <c r="AF158" s="136"/>
      <c r="AG158" s="136"/>
      <c r="AH158" s="138">
        <v>-6068.0918022222222</v>
      </c>
      <c r="AI158" s="139" t="s">
        <v>98</v>
      </c>
      <c r="AJ158" s="139" t="s">
        <v>895</v>
      </c>
    </row>
    <row r="159" spans="1:36" ht="15.75" x14ac:dyDescent="0.25">
      <c r="A159" s="115">
        <v>13564</v>
      </c>
      <c r="B159" s="116" t="s">
        <v>36</v>
      </c>
      <c r="C159" s="117" t="s">
        <v>37</v>
      </c>
      <c r="D159" s="118" t="s">
        <v>36</v>
      </c>
      <c r="E159" s="119" t="s">
        <v>38</v>
      </c>
      <c r="F159" s="120" t="s">
        <v>39</v>
      </c>
      <c r="G159" s="118" t="s">
        <v>40</v>
      </c>
      <c r="H159" s="121" t="s">
        <v>41</v>
      </c>
      <c r="I159" s="120" t="s">
        <v>301</v>
      </c>
      <c r="J159" s="122" t="s">
        <v>302</v>
      </c>
      <c r="K159" s="123" t="s">
        <v>303</v>
      </c>
      <c r="L159" t="s">
        <v>1307</v>
      </c>
      <c r="M159" s="124" t="s">
        <v>1308</v>
      </c>
      <c r="N159" s="125" t="s">
        <v>1309</v>
      </c>
      <c r="O159" s="126" t="s">
        <v>1310</v>
      </c>
      <c r="P159" s="127" t="s">
        <v>1311</v>
      </c>
      <c r="Q159" s="128">
        <v>10166.276798888888</v>
      </c>
      <c r="R159" s="128">
        <v>10166.276798888888</v>
      </c>
      <c r="S159" s="129">
        <v>10166.276798888888</v>
      </c>
      <c r="T159" s="130" t="s">
        <v>1312</v>
      </c>
      <c r="U159" s="131">
        <v>45413</v>
      </c>
      <c r="V159" s="132"/>
      <c r="W159" s="133"/>
      <c r="X159" s="134" t="s">
        <v>1323</v>
      </c>
      <c r="Y159" s="135" t="s">
        <v>912</v>
      </c>
      <c r="Z159" s="128" t="s">
        <v>1313</v>
      </c>
      <c r="AA159" s="128"/>
      <c r="AB159" s="136"/>
      <c r="AC159" s="137"/>
      <c r="AD159" s="136"/>
      <c r="AE159" s="136"/>
      <c r="AF159" s="136"/>
      <c r="AG159" s="136"/>
      <c r="AH159" s="138">
        <v>-10166.276798888888</v>
      </c>
      <c r="AI159" s="139" t="s">
        <v>98</v>
      </c>
      <c r="AJ159" s="139" t="s">
        <v>895</v>
      </c>
    </row>
    <row r="160" spans="1:36" ht="15.75" x14ac:dyDescent="0.25">
      <c r="A160" s="115">
        <v>13575</v>
      </c>
      <c r="B160" s="116" t="s">
        <v>36</v>
      </c>
      <c r="C160" s="117" t="s">
        <v>37</v>
      </c>
      <c r="D160" s="118" t="s">
        <v>36</v>
      </c>
      <c r="E160" s="119" t="s">
        <v>38</v>
      </c>
      <c r="F160" s="140" t="s">
        <v>39</v>
      </c>
      <c r="G160" s="118" t="s">
        <v>40</v>
      </c>
      <c r="H160" s="121" t="s">
        <v>41</v>
      </c>
      <c r="I160" s="120" t="s">
        <v>1319</v>
      </c>
      <c r="J160" s="122" t="s">
        <v>1320</v>
      </c>
      <c r="K160" s="123" t="s">
        <v>1321</v>
      </c>
      <c r="L160" t="s">
        <v>1307</v>
      </c>
      <c r="M160" s="124" t="s">
        <v>1308</v>
      </c>
      <c r="N160" s="125" t="s">
        <v>1309</v>
      </c>
      <c r="O160" s="126" t="s">
        <v>1310</v>
      </c>
      <c r="P160" s="127" t="s">
        <v>1311</v>
      </c>
      <c r="Q160" s="128">
        <v>6367.9164655555551</v>
      </c>
      <c r="R160" s="128">
        <v>6367.9164655555551</v>
      </c>
      <c r="S160" s="129">
        <v>6367.9164655555551</v>
      </c>
      <c r="T160" s="130" t="s">
        <v>1312</v>
      </c>
      <c r="U160" s="131">
        <v>45413</v>
      </c>
      <c r="V160" s="132"/>
      <c r="W160" s="133"/>
      <c r="X160" s="134" t="s">
        <v>1345</v>
      </c>
      <c r="Y160" s="135" t="s">
        <v>912</v>
      </c>
      <c r="Z160" s="128" t="s">
        <v>1313</v>
      </c>
      <c r="AA160" s="128"/>
      <c r="AB160" s="136"/>
      <c r="AC160" s="137"/>
      <c r="AD160" s="136"/>
      <c r="AE160" s="136"/>
      <c r="AF160" s="136"/>
      <c r="AG160" s="136"/>
      <c r="AH160" s="138">
        <v>-6367.9164655555551</v>
      </c>
      <c r="AI160" s="139" t="s">
        <v>98</v>
      </c>
      <c r="AJ160" s="139" t="s">
        <v>895</v>
      </c>
    </row>
    <row r="161" spans="1:36" ht="15.75" x14ac:dyDescent="0.25">
      <c r="A161" s="115">
        <v>13584</v>
      </c>
      <c r="B161" s="116" t="s">
        <v>36</v>
      </c>
      <c r="C161" s="117" t="s">
        <v>37</v>
      </c>
      <c r="D161" s="118" t="s">
        <v>36</v>
      </c>
      <c r="E161" s="119" t="s">
        <v>38</v>
      </c>
      <c r="F161" s="140" t="s">
        <v>39</v>
      </c>
      <c r="G161" s="118" t="s">
        <v>40</v>
      </c>
      <c r="H161" s="121" t="s">
        <v>41</v>
      </c>
      <c r="I161" s="120" t="s">
        <v>301</v>
      </c>
      <c r="J161" s="122" t="s">
        <v>302</v>
      </c>
      <c r="K161" s="123" t="s">
        <v>303</v>
      </c>
      <c r="L161" t="s">
        <v>1307</v>
      </c>
      <c r="M161" s="124" t="s">
        <v>1308</v>
      </c>
      <c r="N161" s="125" t="s">
        <v>1309</v>
      </c>
      <c r="O161" s="126" t="s">
        <v>1324</v>
      </c>
      <c r="P161" s="127" t="s">
        <v>1311</v>
      </c>
      <c r="Q161" s="128">
        <v>9760.2794999999987</v>
      </c>
      <c r="R161" s="128">
        <v>9760.2794999999987</v>
      </c>
      <c r="S161" s="129">
        <v>9760.2794999999987</v>
      </c>
      <c r="T161" s="130" t="s">
        <v>1312</v>
      </c>
      <c r="U161" s="131">
        <v>45413</v>
      </c>
      <c r="V161" s="132"/>
      <c r="W161" s="133"/>
      <c r="X161" s="134" t="s">
        <v>258</v>
      </c>
      <c r="Y161" s="135" t="s">
        <v>912</v>
      </c>
      <c r="Z161" s="128" t="s">
        <v>1313</v>
      </c>
      <c r="AA161" s="128"/>
      <c r="AB161" s="136"/>
      <c r="AC161" s="137"/>
      <c r="AD161" s="136"/>
      <c r="AE161" s="136"/>
      <c r="AF161" s="136"/>
      <c r="AG161" s="136"/>
      <c r="AH161" s="138">
        <v>-9760.2794999999987</v>
      </c>
      <c r="AI161" s="139" t="s">
        <v>98</v>
      </c>
      <c r="AJ161" s="139" t="s">
        <v>895</v>
      </c>
    </row>
    <row r="162" spans="1:36" ht="15.75" x14ac:dyDescent="0.25">
      <c r="A162" s="115">
        <v>13588</v>
      </c>
      <c r="B162" s="116" t="s">
        <v>36</v>
      </c>
      <c r="C162" s="117" t="s">
        <v>37</v>
      </c>
      <c r="D162" s="118" t="s">
        <v>36</v>
      </c>
      <c r="E162" s="119" t="s">
        <v>38</v>
      </c>
      <c r="F162" s="140" t="s">
        <v>39</v>
      </c>
      <c r="G162" s="118" t="s">
        <v>40</v>
      </c>
      <c r="H162" s="121" t="s">
        <v>41</v>
      </c>
      <c r="I162" s="120" t="s">
        <v>524</v>
      </c>
      <c r="J162" s="122" t="s">
        <v>525</v>
      </c>
      <c r="K162" s="123" t="s">
        <v>526</v>
      </c>
      <c r="L162" t="s">
        <v>1307</v>
      </c>
      <c r="M162" s="124" t="s">
        <v>1308</v>
      </c>
      <c r="N162" s="125" t="s">
        <v>1309</v>
      </c>
      <c r="O162" s="126" t="s">
        <v>929</v>
      </c>
      <c r="P162" s="127"/>
      <c r="Q162" s="128"/>
      <c r="R162" s="128"/>
      <c r="S162" s="129">
        <v>2212.2800000000002</v>
      </c>
      <c r="T162" s="130" t="s">
        <v>1337</v>
      </c>
      <c r="U162" s="131">
        <v>45413</v>
      </c>
      <c r="V162" s="132"/>
      <c r="W162" s="133"/>
      <c r="X162" s="134" t="s">
        <v>1215</v>
      </c>
      <c r="Y162" s="135" t="s">
        <v>912</v>
      </c>
      <c r="Z162" s="128" t="s">
        <v>96</v>
      </c>
      <c r="AA162" s="128" t="s">
        <v>1328</v>
      </c>
      <c r="AB162" s="136"/>
      <c r="AC162" s="137"/>
      <c r="AD162" s="136"/>
      <c r="AE162" s="136"/>
      <c r="AF162" s="136"/>
      <c r="AG162" s="136"/>
      <c r="AH162" s="138">
        <v>-2212.2800000000002</v>
      </c>
      <c r="AI162" s="139" t="s">
        <v>98</v>
      </c>
      <c r="AJ162" s="139" t="s">
        <v>895</v>
      </c>
    </row>
    <row r="163" spans="1:36" ht="15.75" x14ac:dyDescent="0.25">
      <c r="A163" s="115">
        <v>13589</v>
      </c>
      <c r="B163" s="116" t="s">
        <v>36</v>
      </c>
      <c r="C163" s="117" t="s">
        <v>37</v>
      </c>
      <c r="D163" s="118" t="s">
        <v>36</v>
      </c>
      <c r="E163" s="119" t="s">
        <v>38</v>
      </c>
      <c r="F163" s="140" t="s">
        <v>39</v>
      </c>
      <c r="G163" s="118" t="s">
        <v>40</v>
      </c>
      <c r="H163" s="121" t="s">
        <v>41</v>
      </c>
      <c r="I163" s="120" t="s">
        <v>524</v>
      </c>
      <c r="J163" s="122" t="s">
        <v>525</v>
      </c>
      <c r="K163" s="123" t="s">
        <v>526</v>
      </c>
      <c r="L163" t="s">
        <v>1307</v>
      </c>
      <c r="M163" s="124" t="s">
        <v>1308</v>
      </c>
      <c r="N163" s="125" t="s">
        <v>1309</v>
      </c>
      <c r="O163" s="126" t="s">
        <v>1310</v>
      </c>
      <c r="P163" s="127" t="s">
        <v>1311</v>
      </c>
      <c r="Q163" s="128">
        <v>5731.7036433333333</v>
      </c>
      <c r="R163" s="128">
        <v>5731.7036433333333</v>
      </c>
      <c r="S163" s="129">
        <v>5731.7036433333333</v>
      </c>
      <c r="T163" s="130" t="s">
        <v>1312</v>
      </c>
      <c r="U163" s="131">
        <v>45413</v>
      </c>
      <c r="V163" s="132"/>
      <c r="W163" s="133"/>
      <c r="X163" s="134" t="s">
        <v>1215</v>
      </c>
      <c r="Y163" s="135" t="s">
        <v>912</v>
      </c>
      <c r="Z163" s="128" t="s">
        <v>1313</v>
      </c>
      <c r="AA163" s="128"/>
      <c r="AB163" s="136"/>
      <c r="AC163" s="137"/>
      <c r="AD163" s="136"/>
      <c r="AE163" s="136"/>
      <c r="AF163" s="136"/>
      <c r="AG163" s="136"/>
      <c r="AH163" s="138">
        <v>-5731.7036433333333</v>
      </c>
      <c r="AI163" s="139" t="s">
        <v>98</v>
      </c>
      <c r="AJ163" s="139" t="s">
        <v>895</v>
      </c>
    </row>
    <row r="164" spans="1:36" ht="15.75" x14ac:dyDescent="0.25">
      <c r="A164" s="115">
        <v>13634</v>
      </c>
      <c r="B164" s="116" t="s">
        <v>36</v>
      </c>
      <c r="C164" s="117" t="s">
        <v>37</v>
      </c>
      <c r="D164" s="118" t="s">
        <v>36</v>
      </c>
      <c r="E164" s="119" t="s">
        <v>38</v>
      </c>
      <c r="F164" s="140" t="s">
        <v>39</v>
      </c>
      <c r="G164" s="118" t="s">
        <v>40</v>
      </c>
      <c r="H164" s="121" t="s">
        <v>41</v>
      </c>
      <c r="I164" s="120" t="s">
        <v>42</v>
      </c>
      <c r="J164" s="122" t="s">
        <v>43</v>
      </c>
      <c r="K164" s="123" t="s">
        <v>44</v>
      </c>
      <c r="L164" t="s">
        <v>1307</v>
      </c>
      <c r="M164" s="124" t="s">
        <v>1308</v>
      </c>
      <c r="N164" s="125" t="s">
        <v>1309</v>
      </c>
      <c r="O164" s="126" t="s">
        <v>1310</v>
      </c>
      <c r="P164" s="127" t="s">
        <v>1311</v>
      </c>
      <c r="Q164" s="128">
        <v>6506.1392577777769</v>
      </c>
      <c r="R164" s="128">
        <v>6506.1392577777769</v>
      </c>
      <c r="S164" s="129">
        <v>6506.1392577777769</v>
      </c>
      <c r="T164" s="130" t="s">
        <v>1312</v>
      </c>
      <c r="U164" s="131">
        <v>45413</v>
      </c>
      <c r="V164" s="132"/>
      <c r="W164" s="133"/>
      <c r="X164" s="134" t="s">
        <v>1325</v>
      </c>
      <c r="Y164" s="135" t="s">
        <v>912</v>
      </c>
      <c r="Z164" s="128" t="s">
        <v>1313</v>
      </c>
      <c r="AA164" s="128"/>
      <c r="AB164" s="136"/>
      <c r="AC164" s="137"/>
      <c r="AD164" s="136"/>
      <c r="AE164" s="136"/>
      <c r="AF164" s="136"/>
      <c r="AG164" s="136"/>
      <c r="AH164" s="138">
        <v>-6506.1392577777769</v>
      </c>
      <c r="AI164" s="139" t="s">
        <v>98</v>
      </c>
      <c r="AJ164" s="139" t="s">
        <v>895</v>
      </c>
    </row>
    <row r="165" spans="1:36" ht="15.75" x14ac:dyDescent="0.25">
      <c r="A165" s="115">
        <v>13716</v>
      </c>
      <c r="B165" s="116" t="s">
        <v>36</v>
      </c>
      <c r="C165" s="117" t="s">
        <v>37</v>
      </c>
      <c r="D165" s="118" t="s">
        <v>36</v>
      </c>
      <c r="E165" s="119" t="s">
        <v>38</v>
      </c>
      <c r="F165" s="120" t="s">
        <v>39</v>
      </c>
      <c r="G165" s="118" t="s">
        <v>40</v>
      </c>
      <c r="H165" s="121" t="s">
        <v>41</v>
      </c>
      <c r="I165" s="120" t="s">
        <v>1319</v>
      </c>
      <c r="J165" s="122" t="s">
        <v>1320</v>
      </c>
      <c r="K165" s="123" t="s">
        <v>1321</v>
      </c>
      <c r="L165" t="s">
        <v>1307</v>
      </c>
      <c r="M165" s="124" t="s">
        <v>1308</v>
      </c>
      <c r="N165" s="125" t="s">
        <v>1309</v>
      </c>
      <c r="O165" s="126" t="s">
        <v>1310</v>
      </c>
      <c r="P165" s="127" t="s">
        <v>1311</v>
      </c>
      <c r="Q165" s="128">
        <v>5895.0871911111117</v>
      </c>
      <c r="R165" s="128">
        <v>5895.0871911111117</v>
      </c>
      <c r="S165" s="129">
        <v>5895.0871911111117</v>
      </c>
      <c r="T165" s="130" t="s">
        <v>1312</v>
      </c>
      <c r="U165" s="131">
        <v>45413</v>
      </c>
      <c r="V165" s="132"/>
      <c r="W165" s="133"/>
      <c r="X165" s="134" t="s">
        <v>1326</v>
      </c>
      <c r="Y165" s="135" t="s">
        <v>912</v>
      </c>
      <c r="Z165" s="128" t="s">
        <v>1313</v>
      </c>
      <c r="AA165" s="128"/>
      <c r="AB165" s="136"/>
      <c r="AC165" s="137"/>
      <c r="AD165" s="136"/>
      <c r="AE165" s="136"/>
      <c r="AF165" s="136"/>
      <c r="AG165" s="136"/>
      <c r="AH165" s="138">
        <v>-5895.0871911111117</v>
      </c>
      <c r="AI165" s="139" t="s">
        <v>98</v>
      </c>
      <c r="AJ165" s="139" t="s">
        <v>895</v>
      </c>
    </row>
    <row r="166" spans="1:36" ht="15.75" x14ac:dyDescent="0.25">
      <c r="A166" s="115">
        <v>14170</v>
      </c>
      <c r="B166" s="116" t="s">
        <v>36</v>
      </c>
      <c r="C166" s="117" t="s">
        <v>37</v>
      </c>
      <c r="D166" s="118" t="s">
        <v>36</v>
      </c>
      <c r="E166" s="119" t="s">
        <v>38</v>
      </c>
      <c r="F166" s="140" t="s">
        <v>39</v>
      </c>
      <c r="G166" s="118" t="s">
        <v>40</v>
      </c>
      <c r="H166" s="121" t="s">
        <v>41</v>
      </c>
      <c r="I166" s="120" t="s">
        <v>301</v>
      </c>
      <c r="J166" s="122" t="s">
        <v>302</v>
      </c>
      <c r="K166" s="123" t="s">
        <v>303</v>
      </c>
      <c r="L166" t="s">
        <v>1307</v>
      </c>
      <c r="M166" s="124" t="s">
        <v>1308</v>
      </c>
      <c r="N166" s="125" t="s">
        <v>1309</v>
      </c>
      <c r="O166" s="126" t="s">
        <v>1329</v>
      </c>
      <c r="P166" s="127" t="s">
        <v>1330</v>
      </c>
      <c r="Q166" s="128"/>
      <c r="R166" s="128"/>
      <c r="S166" s="129">
        <v>338.43</v>
      </c>
      <c r="T166" s="130" t="s">
        <v>1346</v>
      </c>
      <c r="U166" s="131">
        <v>45418</v>
      </c>
      <c r="V166" s="132"/>
      <c r="W166" s="133"/>
      <c r="X166" s="134" t="s">
        <v>258</v>
      </c>
      <c r="Y166" s="135" t="s">
        <v>912</v>
      </c>
      <c r="Z166" s="128" t="s">
        <v>57</v>
      </c>
      <c r="AA166" s="128"/>
      <c r="AB166" s="136"/>
      <c r="AC166" s="137"/>
      <c r="AD166" s="136"/>
      <c r="AE166" s="136"/>
      <c r="AF166" s="136"/>
      <c r="AG166" s="136"/>
      <c r="AH166" s="138">
        <v>-338.43</v>
      </c>
      <c r="AI166" s="139" t="s">
        <v>98</v>
      </c>
      <c r="AJ166" s="139" t="s">
        <v>895</v>
      </c>
    </row>
    <row r="167" spans="1:36" ht="15.75" x14ac:dyDescent="0.25">
      <c r="A167" s="115">
        <v>14252</v>
      </c>
      <c r="B167" s="116" t="s">
        <v>36</v>
      </c>
      <c r="C167" s="117" t="s">
        <v>37</v>
      </c>
      <c r="D167" s="118" t="s">
        <v>36</v>
      </c>
      <c r="E167" s="119" t="s">
        <v>38</v>
      </c>
      <c r="F167" s="120" t="s">
        <v>39</v>
      </c>
      <c r="G167" s="118" t="s">
        <v>40</v>
      </c>
      <c r="H167" s="121" t="s">
        <v>41</v>
      </c>
      <c r="I167" s="120" t="s">
        <v>946</v>
      </c>
      <c r="J167" s="122" t="s">
        <v>947</v>
      </c>
      <c r="K167" s="123" t="s">
        <v>948</v>
      </c>
      <c r="L167" t="s">
        <v>1307</v>
      </c>
      <c r="M167" s="124" t="s">
        <v>1308</v>
      </c>
      <c r="N167" s="125" t="s">
        <v>1309</v>
      </c>
      <c r="O167" s="126" t="s">
        <v>929</v>
      </c>
      <c r="P167" s="127" t="s">
        <v>1347</v>
      </c>
      <c r="Q167" s="128"/>
      <c r="R167" s="128"/>
      <c r="S167" s="129">
        <v>66826.100000000006</v>
      </c>
      <c r="T167" s="130" t="s">
        <v>1327</v>
      </c>
      <c r="U167" s="131">
        <v>45419</v>
      </c>
      <c r="V167" s="132"/>
      <c r="W167" s="133"/>
      <c r="X167" s="134" t="s">
        <v>743</v>
      </c>
      <c r="Y167" s="135" t="s">
        <v>912</v>
      </c>
      <c r="Z167" s="128" t="s">
        <v>96</v>
      </c>
      <c r="AA167" s="128" t="s">
        <v>1328</v>
      </c>
      <c r="AB167" s="136" t="s">
        <v>256</v>
      </c>
      <c r="AC167" s="137" t="s">
        <v>914</v>
      </c>
      <c r="AD167" s="136" t="s">
        <v>961</v>
      </c>
      <c r="AE167" s="136" t="s">
        <v>962</v>
      </c>
      <c r="AF167" s="136" t="s">
        <v>59</v>
      </c>
      <c r="AG167" s="136" t="s">
        <v>59</v>
      </c>
      <c r="AH167" s="138">
        <v>-66826.100000000006</v>
      </c>
      <c r="AI167" s="139" t="s">
        <v>98</v>
      </c>
      <c r="AJ167" s="139" t="s">
        <v>895</v>
      </c>
    </row>
    <row r="168" spans="1:36" ht="15.75" x14ac:dyDescent="0.25">
      <c r="A168" s="115">
        <v>14488</v>
      </c>
      <c r="B168" s="116" t="s">
        <v>36</v>
      </c>
      <c r="C168" s="117" t="s">
        <v>37</v>
      </c>
      <c r="D168" s="118" t="s">
        <v>36</v>
      </c>
      <c r="E168" s="119" t="s">
        <v>38</v>
      </c>
      <c r="F168" s="140" t="s">
        <v>39</v>
      </c>
      <c r="G168" s="118" t="s">
        <v>40</v>
      </c>
      <c r="H168" s="121" t="s">
        <v>41</v>
      </c>
      <c r="I168" s="120" t="s">
        <v>301</v>
      </c>
      <c r="J168" s="122" t="s">
        <v>302</v>
      </c>
      <c r="K168" s="123" t="s">
        <v>303</v>
      </c>
      <c r="L168" t="s">
        <v>1307</v>
      </c>
      <c r="M168" s="124" t="s">
        <v>1308</v>
      </c>
      <c r="N168" s="125" t="s">
        <v>1309</v>
      </c>
      <c r="O168" s="126" t="s">
        <v>1329</v>
      </c>
      <c r="P168" s="127" t="s">
        <v>1330</v>
      </c>
      <c r="Q168" s="128"/>
      <c r="R168" s="128"/>
      <c r="S168" s="129">
        <v>1210.0899999999999</v>
      </c>
      <c r="T168" s="130" t="s">
        <v>1348</v>
      </c>
      <c r="U168" s="131">
        <v>45421</v>
      </c>
      <c r="V168" s="132"/>
      <c r="W168" s="133"/>
      <c r="X168" s="134" t="s">
        <v>258</v>
      </c>
      <c r="Y168" s="135" t="s">
        <v>912</v>
      </c>
      <c r="Z168" s="128" t="s">
        <v>57</v>
      </c>
      <c r="AA168" s="128"/>
      <c r="AB168" s="136"/>
      <c r="AC168" s="137"/>
      <c r="AD168" s="136"/>
      <c r="AE168" s="136"/>
      <c r="AF168" s="136"/>
      <c r="AG168" s="136"/>
      <c r="AH168" s="138">
        <v>-1210.0899999999999</v>
      </c>
      <c r="AI168" s="139" t="s">
        <v>98</v>
      </c>
      <c r="AJ168" s="139" t="s">
        <v>895</v>
      </c>
    </row>
    <row r="169" spans="1:36" ht="15.75" x14ac:dyDescent="0.25">
      <c r="A169" s="115">
        <v>14679</v>
      </c>
      <c r="B169" s="116" t="s">
        <v>36</v>
      </c>
      <c r="C169" s="117" t="s">
        <v>37</v>
      </c>
      <c r="D169" s="118" t="s">
        <v>36</v>
      </c>
      <c r="E169" s="119" t="s">
        <v>38</v>
      </c>
      <c r="F169" s="140" t="s">
        <v>39</v>
      </c>
      <c r="G169" s="118" t="s">
        <v>40</v>
      </c>
      <c r="H169" s="121" t="s">
        <v>41</v>
      </c>
      <c r="I169" s="120" t="s">
        <v>42</v>
      </c>
      <c r="J169" s="122" t="s">
        <v>43</v>
      </c>
      <c r="K169" s="123" t="s">
        <v>44</v>
      </c>
      <c r="L169" t="s">
        <v>1307</v>
      </c>
      <c r="M169" s="124" t="s">
        <v>1308</v>
      </c>
      <c r="N169" s="125" t="s">
        <v>1309</v>
      </c>
      <c r="O169" s="126" t="s">
        <v>929</v>
      </c>
      <c r="P169" s="127" t="s">
        <v>1349</v>
      </c>
      <c r="Q169" s="128"/>
      <c r="R169" s="128"/>
      <c r="S169" s="129">
        <v>300</v>
      </c>
      <c r="T169" s="130" t="s">
        <v>1327</v>
      </c>
      <c r="U169" s="131">
        <v>45422</v>
      </c>
      <c r="V169" s="132"/>
      <c r="W169" s="133"/>
      <c r="X169" s="134" t="s">
        <v>1345</v>
      </c>
      <c r="Y169" s="135" t="s">
        <v>912</v>
      </c>
      <c r="Z169" s="128" t="s">
        <v>96</v>
      </c>
      <c r="AA169" s="128" t="s">
        <v>1350</v>
      </c>
      <c r="AB169" s="136" t="s">
        <v>256</v>
      </c>
      <c r="AC169" s="137" t="s">
        <v>914</v>
      </c>
      <c r="AD169" s="136" t="s">
        <v>961</v>
      </c>
      <c r="AE169" s="136" t="s">
        <v>962</v>
      </c>
      <c r="AF169" s="136" t="s">
        <v>59</v>
      </c>
      <c r="AG169" s="136" t="s">
        <v>59</v>
      </c>
      <c r="AH169" s="138">
        <v>-300</v>
      </c>
      <c r="AI169" s="139" t="s">
        <v>98</v>
      </c>
      <c r="AJ169" s="139" t="s">
        <v>895</v>
      </c>
    </row>
    <row r="170" spans="1:36" ht="15.75" x14ac:dyDescent="0.25">
      <c r="A170" s="115">
        <v>15123</v>
      </c>
      <c r="B170" s="116" t="s">
        <v>36</v>
      </c>
      <c r="C170" s="117" t="s">
        <v>37</v>
      </c>
      <c r="D170" s="118" t="s">
        <v>36</v>
      </c>
      <c r="E170" s="119" t="s">
        <v>38</v>
      </c>
      <c r="F170" s="140" t="s">
        <v>39</v>
      </c>
      <c r="G170" s="118" t="s">
        <v>40</v>
      </c>
      <c r="H170" s="121" t="s">
        <v>41</v>
      </c>
      <c r="I170" s="120" t="s">
        <v>301</v>
      </c>
      <c r="J170" s="122" t="s">
        <v>302</v>
      </c>
      <c r="K170" s="123" t="s">
        <v>303</v>
      </c>
      <c r="L170" t="s">
        <v>1307</v>
      </c>
      <c r="M170" s="124" t="s">
        <v>1308</v>
      </c>
      <c r="N170" s="125" t="s">
        <v>1309</v>
      </c>
      <c r="O170" s="126" t="s">
        <v>1329</v>
      </c>
      <c r="P170" s="127" t="s">
        <v>1330</v>
      </c>
      <c r="Q170" s="128"/>
      <c r="R170" s="128"/>
      <c r="S170" s="129">
        <v>3268.2</v>
      </c>
      <c r="T170" s="130" t="s">
        <v>1351</v>
      </c>
      <c r="U170" s="131">
        <v>45427</v>
      </c>
      <c r="V170" s="132"/>
      <c r="W170" s="133"/>
      <c r="X170" s="134" t="s">
        <v>258</v>
      </c>
      <c r="Y170" s="135" t="s">
        <v>912</v>
      </c>
      <c r="Z170" s="128" t="s">
        <v>57</v>
      </c>
      <c r="AA170" s="128"/>
      <c r="AB170" s="136"/>
      <c r="AC170" s="137"/>
      <c r="AD170" s="136"/>
      <c r="AE170" s="136"/>
      <c r="AF170" s="136"/>
      <c r="AG170" s="136"/>
      <c r="AH170" s="138">
        <v>-3268.2</v>
      </c>
      <c r="AI170" s="139" t="s">
        <v>98</v>
      </c>
      <c r="AJ170" s="139" t="s">
        <v>895</v>
      </c>
    </row>
    <row r="171" spans="1:36" ht="15.75" x14ac:dyDescent="0.25">
      <c r="A171" s="115">
        <v>15339</v>
      </c>
      <c r="B171" s="116" t="s">
        <v>36</v>
      </c>
      <c r="C171" s="117" t="s">
        <v>37</v>
      </c>
      <c r="D171" s="118" t="s">
        <v>36</v>
      </c>
      <c r="E171" s="119" t="s">
        <v>38</v>
      </c>
      <c r="F171" s="140" t="s">
        <v>39</v>
      </c>
      <c r="G171" s="118" t="s">
        <v>40</v>
      </c>
      <c r="H171" s="121" t="s">
        <v>41</v>
      </c>
      <c r="I171" s="120" t="s">
        <v>301</v>
      </c>
      <c r="J171" s="122" t="s">
        <v>302</v>
      </c>
      <c r="K171" s="123" t="s">
        <v>303</v>
      </c>
      <c r="L171" t="s">
        <v>1307</v>
      </c>
      <c r="M171" s="124" t="s">
        <v>1308</v>
      </c>
      <c r="N171" s="125" t="s">
        <v>1309</v>
      </c>
      <c r="O171" s="126" t="s">
        <v>1329</v>
      </c>
      <c r="P171" s="127" t="s">
        <v>1330</v>
      </c>
      <c r="Q171" s="128"/>
      <c r="R171" s="128"/>
      <c r="S171" s="129">
        <v>782.53</v>
      </c>
      <c r="T171" s="130" t="s">
        <v>1352</v>
      </c>
      <c r="U171" s="131">
        <v>45428</v>
      </c>
      <c r="V171" s="132"/>
      <c r="W171" s="133"/>
      <c r="X171" s="134" t="s">
        <v>258</v>
      </c>
      <c r="Y171" s="135" t="s">
        <v>912</v>
      </c>
      <c r="Z171" s="128" t="s">
        <v>57</v>
      </c>
      <c r="AA171" s="128"/>
      <c r="AB171" s="136"/>
      <c r="AC171" s="137"/>
      <c r="AD171" s="136"/>
      <c r="AE171" s="136"/>
      <c r="AF171" s="136"/>
      <c r="AG171" s="136"/>
      <c r="AH171" s="138">
        <v>-782.53</v>
      </c>
      <c r="AI171" s="139" t="s">
        <v>98</v>
      </c>
      <c r="AJ171" s="139" t="s">
        <v>895</v>
      </c>
    </row>
    <row r="172" spans="1:36" ht="15.75" x14ac:dyDescent="0.25">
      <c r="A172" s="115">
        <v>15367</v>
      </c>
      <c r="B172" s="116" t="s">
        <v>36</v>
      </c>
      <c r="C172" s="117" t="s">
        <v>37</v>
      </c>
      <c r="D172" s="118" t="s">
        <v>36</v>
      </c>
      <c r="E172" s="119" t="s">
        <v>38</v>
      </c>
      <c r="F172" s="140" t="s">
        <v>39</v>
      </c>
      <c r="G172" s="118" t="s">
        <v>40</v>
      </c>
      <c r="H172" s="121" t="s">
        <v>41</v>
      </c>
      <c r="I172" s="120" t="s">
        <v>42</v>
      </c>
      <c r="J172" s="122" t="s">
        <v>43</v>
      </c>
      <c r="K172" s="123" t="s">
        <v>44</v>
      </c>
      <c r="L172" t="s">
        <v>1307</v>
      </c>
      <c r="M172" s="124" t="s">
        <v>1308</v>
      </c>
      <c r="N172" s="125" t="s">
        <v>1309</v>
      </c>
      <c r="O172" s="126" t="s">
        <v>929</v>
      </c>
      <c r="P172" s="127" t="s">
        <v>1349</v>
      </c>
      <c r="Q172" s="128"/>
      <c r="R172" s="128"/>
      <c r="S172" s="129">
        <v>910.68</v>
      </c>
      <c r="T172" s="130" t="s">
        <v>1327</v>
      </c>
      <c r="U172" s="131">
        <v>45428</v>
      </c>
      <c r="V172" s="132"/>
      <c r="W172" s="133"/>
      <c r="X172" s="134" t="s">
        <v>1325</v>
      </c>
      <c r="Y172" s="135" t="s">
        <v>912</v>
      </c>
      <c r="Z172" s="128" t="s">
        <v>96</v>
      </c>
      <c r="AA172" s="128" t="s">
        <v>1328</v>
      </c>
      <c r="AB172" s="136" t="s">
        <v>256</v>
      </c>
      <c r="AC172" s="137" t="s">
        <v>914</v>
      </c>
      <c r="AD172" s="136" t="s">
        <v>961</v>
      </c>
      <c r="AE172" s="136" t="s">
        <v>962</v>
      </c>
      <c r="AF172" s="136" t="s">
        <v>59</v>
      </c>
      <c r="AG172" s="136" t="s">
        <v>59</v>
      </c>
      <c r="AH172" s="138">
        <v>-910.68</v>
      </c>
      <c r="AI172" s="139" t="s">
        <v>98</v>
      </c>
      <c r="AJ172" s="139" t="s">
        <v>895</v>
      </c>
    </row>
    <row r="173" spans="1:36" ht="15.75" x14ac:dyDescent="0.25">
      <c r="A173" s="115">
        <v>15530</v>
      </c>
      <c r="B173" s="116" t="s">
        <v>36</v>
      </c>
      <c r="C173" s="117" t="s">
        <v>37</v>
      </c>
      <c r="D173" s="118" t="s">
        <v>36</v>
      </c>
      <c r="E173" s="119" t="s">
        <v>38</v>
      </c>
      <c r="F173" s="140" t="s">
        <v>39</v>
      </c>
      <c r="G173" s="118" t="s">
        <v>40</v>
      </c>
      <c r="H173" s="121" t="s">
        <v>41</v>
      </c>
      <c r="I173" s="120" t="s">
        <v>42</v>
      </c>
      <c r="J173" s="122" t="s">
        <v>43</v>
      </c>
      <c r="K173" s="123" t="s">
        <v>44</v>
      </c>
      <c r="L173" t="s">
        <v>1307</v>
      </c>
      <c r="M173" s="124" t="s">
        <v>1308</v>
      </c>
      <c r="N173" s="125" t="s">
        <v>1309</v>
      </c>
      <c r="O173" s="126" t="s">
        <v>929</v>
      </c>
      <c r="P173" s="127" t="s">
        <v>1353</v>
      </c>
      <c r="Q173" s="128"/>
      <c r="R173" s="128"/>
      <c r="S173" s="129">
        <v>300</v>
      </c>
      <c r="T173" s="130" t="s">
        <v>1327</v>
      </c>
      <c r="U173" s="131">
        <v>45429</v>
      </c>
      <c r="V173" s="132"/>
      <c r="W173" s="133"/>
      <c r="X173" s="134" t="s">
        <v>1325</v>
      </c>
      <c r="Y173" s="135" t="s">
        <v>912</v>
      </c>
      <c r="Z173" s="128" t="s">
        <v>96</v>
      </c>
      <c r="AA173" s="128" t="s">
        <v>1328</v>
      </c>
      <c r="AB173" s="136" t="s">
        <v>256</v>
      </c>
      <c r="AC173" s="137" t="s">
        <v>914</v>
      </c>
      <c r="AD173" s="136" t="s">
        <v>961</v>
      </c>
      <c r="AE173" s="136" t="s">
        <v>962</v>
      </c>
      <c r="AF173" s="136" t="s">
        <v>59</v>
      </c>
      <c r="AG173" s="136" t="s">
        <v>59</v>
      </c>
      <c r="AH173" s="138">
        <v>-300</v>
      </c>
      <c r="AI173" s="139" t="s">
        <v>98</v>
      </c>
      <c r="AJ173" s="139" t="s">
        <v>895</v>
      </c>
    </row>
    <row r="174" spans="1:36" ht="15.75" x14ac:dyDescent="0.25">
      <c r="A174" s="115">
        <v>15641</v>
      </c>
      <c r="B174" s="116" t="s">
        <v>36</v>
      </c>
      <c r="C174" s="117" t="s">
        <v>37</v>
      </c>
      <c r="D174" s="118" t="s">
        <v>36</v>
      </c>
      <c r="E174" s="119" t="s">
        <v>38</v>
      </c>
      <c r="F174" s="140" t="s">
        <v>39</v>
      </c>
      <c r="G174" s="118" t="s">
        <v>40</v>
      </c>
      <c r="H174" s="121" t="s">
        <v>41</v>
      </c>
      <c r="I174" s="120" t="s">
        <v>42</v>
      </c>
      <c r="J174" s="122" t="s">
        <v>43</v>
      </c>
      <c r="K174" s="123" t="s">
        <v>44</v>
      </c>
      <c r="L174" t="s">
        <v>1307</v>
      </c>
      <c r="M174" s="124" t="s">
        <v>1308</v>
      </c>
      <c r="N174" s="125" t="s">
        <v>1309</v>
      </c>
      <c r="O174" s="126" t="s">
        <v>929</v>
      </c>
      <c r="P174" s="127" t="s">
        <v>1354</v>
      </c>
      <c r="Q174" s="128"/>
      <c r="R174" s="128"/>
      <c r="S174" s="129">
        <v>1076</v>
      </c>
      <c r="T174" s="130" t="s">
        <v>1327</v>
      </c>
      <c r="U174" s="131">
        <v>45432</v>
      </c>
      <c r="V174" s="132"/>
      <c r="W174" s="133"/>
      <c r="X174" s="134" t="s">
        <v>1345</v>
      </c>
      <c r="Y174" s="135" t="s">
        <v>912</v>
      </c>
      <c r="Z174" s="128" t="s">
        <v>96</v>
      </c>
      <c r="AA174" s="128" t="s">
        <v>1328</v>
      </c>
      <c r="AB174" s="136" t="s">
        <v>256</v>
      </c>
      <c r="AC174" s="137" t="s">
        <v>914</v>
      </c>
      <c r="AD174" s="136" t="s">
        <v>961</v>
      </c>
      <c r="AE174" s="136" t="s">
        <v>962</v>
      </c>
      <c r="AF174" s="136" t="s">
        <v>59</v>
      </c>
      <c r="AG174" s="136" t="s">
        <v>59</v>
      </c>
      <c r="AH174" s="138">
        <v>-1076</v>
      </c>
      <c r="AI174" s="139" t="s">
        <v>98</v>
      </c>
      <c r="AJ174" s="139" t="s">
        <v>895</v>
      </c>
    </row>
    <row r="175" spans="1:36" ht="15.75" x14ac:dyDescent="0.25">
      <c r="A175" s="115">
        <v>15709</v>
      </c>
      <c r="B175" s="116" t="s">
        <v>36</v>
      </c>
      <c r="C175" s="117" t="s">
        <v>37</v>
      </c>
      <c r="D175" s="118" t="s">
        <v>36</v>
      </c>
      <c r="E175" s="119" t="s">
        <v>38</v>
      </c>
      <c r="F175" s="120" t="s">
        <v>39</v>
      </c>
      <c r="G175" s="118" t="s">
        <v>40</v>
      </c>
      <c r="H175" s="121" t="s">
        <v>41</v>
      </c>
      <c r="I175" s="120" t="s">
        <v>301</v>
      </c>
      <c r="J175" s="122" t="s">
        <v>302</v>
      </c>
      <c r="K175" s="123" t="s">
        <v>303</v>
      </c>
      <c r="L175" t="s">
        <v>1307</v>
      </c>
      <c r="M175" s="124" t="s">
        <v>1308</v>
      </c>
      <c r="N175" s="125" t="s">
        <v>1309</v>
      </c>
      <c r="O175" s="126" t="s">
        <v>1329</v>
      </c>
      <c r="P175" s="127" t="s">
        <v>1330</v>
      </c>
      <c r="Q175" s="128"/>
      <c r="R175" s="128"/>
      <c r="S175" s="129">
        <v>679.75</v>
      </c>
      <c r="T175" s="130" t="s">
        <v>1355</v>
      </c>
      <c r="U175" s="131">
        <v>45433</v>
      </c>
      <c r="V175" s="132"/>
      <c r="W175" s="133"/>
      <c r="X175" s="134" t="s">
        <v>1356</v>
      </c>
      <c r="Y175" s="135" t="s">
        <v>912</v>
      </c>
      <c r="Z175" s="128" t="s">
        <v>57</v>
      </c>
      <c r="AA175" s="128"/>
      <c r="AB175" s="136" t="s">
        <v>256</v>
      </c>
      <c r="AC175" s="137" t="s">
        <v>914</v>
      </c>
      <c r="AD175" s="136" t="s">
        <v>961</v>
      </c>
      <c r="AE175" s="136" t="s">
        <v>962</v>
      </c>
      <c r="AF175" s="136" t="s">
        <v>59</v>
      </c>
      <c r="AG175" s="136" t="s">
        <v>59</v>
      </c>
      <c r="AH175" s="138">
        <v>-679.75</v>
      </c>
      <c r="AI175" s="139" t="s">
        <v>98</v>
      </c>
      <c r="AJ175" s="139" t="s">
        <v>895</v>
      </c>
    </row>
    <row r="176" spans="1:36" ht="15.75" x14ac:dyDescent="0.25">
      <c r="A176" s="115">
        <v>15741</v>
      </c>
      <c r="B176" s="116" t="s">
        <v>36</v>
      </c>
      <c r="C176" s="117" t="s">
        <v>37</v>
      </c>
      <c r="D176" s="118" t="s">
        <v>36</v>
      </c>
      <c r="E176" s="119" t="s">
        <v>38</v>
      </c>
      <c r="F176" s="120" t="s">
        <v>39</v>
      </c>
      <c r="G176" s="118" t="s">
        <v>40</v>
      </c>
      <c r="H176" s="121" t="s">
        <v>41</v>
      </c>
      <c r="I176" s="120" t="s">
        <v>946</v>
      </c>
      <c r="J176" s="122" t="s">
        <v>947</v>
      </c>
      <c r="K176" s="123" t="s">
        <v>948</v>
      </c>
      <c r="L176" t="s">
        <v>1307</v>
      </c>
      <c r="M176" s="124" t="s">
        <v>1308</v>
      </c>
      <c r="N176" s="125" t="s">
        <v>1309</v>
      </c>
      <c r="O176" s="126" t="s">
        <v>929</v>
      </c>
      <c r="P176" s="127" t="s">
        <v>1349</v>
      </c>
      <c r="Q176" s="128"/>
      <c r="R176" s="128"/>
      <c r="S176" s="129">
        <v>9604.1</v>
      </c>
      <c r="T176" s="130" t="s">
        <v>1327</v>
      </c>
      <c r="U176" s="131">
        <v>45433</v>
      </c>
      <c r="V176" s="132"/>
      <c r="W176" s="133"/>
      <c r="X176" s="134" t="s">
        <v>743</v>
      </c>
      <c r="Y176" s="135" t="s">
        <v>912</v>
      </c>
      <c r="Z176" s="128" t="s">
        <v>96</v>
      </c>
      <c r="AA176" s="128" t="s">
        <v>1328</v>
      </c>
      <c r="AB176" s="136"/>
      <c r="AC176" s="137"/>
      <c r="AD176" s="136"/>
      <c r="AE176" s="136"/>
      <c r="AF176" s="136"/>
      <c r="AG176" s="136"/>
      <c r="AH176" s="138">
        <v>-9604.1</v>
      </c>
      <c r="AI176" s="139" t="s">
        <v>98</v>
      </c>
      <c r="AJ176" s="139" t="s">
        <v>895</v>
      </c>
    </row>
    <row r="177" spans="1:36" ht="15.75" x14ac:dyDescent="0.25">
      <c r="A177" s="115">
        <v>16212</v>
      </c>
      <c r="B177" s="116" t="s">
        <v>36</v>
      </c>
      <c r="C177" s="117" t="s">
        <v>37</v>
      </c>
      <c r="D177" s="118" t="s">
        <v>36</v>
      </c>
      <c r="E177" s="119" t="s">
        <v>38</v>
      </c>
      <c r="F177" s="120" t="s">
        <v>39</v>
      </c>
      <c r="G177" s="118" t="s">
        <v>40</v>
      </c>
      <c r="H177" s="121" t="s">
        <v>41</v>
      </c>
      <c r="I177" s="120" t="s">
        <v>301</v>
      </c>
      <c r="J177" s="122" t="s">
        <v>302</v>
      </c>
      <c r="K177" s="123" t="s">
        <v>303</v>
      </c>
      <c r="L177" t="s">
        <v>1307</v>
      </c>
      <c r="M177" s="124" t="s">
        <v>1308</v>
      </c>
      <c r="N177" s="125" t="s">
        <v>1309</v>
      </c>
      <c r="O177" s="126" t="s">
        <v>1329</v>
      </c>
      <c r="P177" s="127" t="s">
        <v>1330</v>
      </c>
      <c r="Q177" s="128"/>
      <c r="R177" s="128"/>
      <c r="S177" s="129">
        <v>432.75</v>
      </c>
      <c r="T177" s="130" t="s">
        <v>1357</v>
      </c>
      <c r="U177" s="131">
        <v>45439</v>
      </c>
      <c r="V177" s="132"/>
      <c r="W177" s="133"/>
      <c r="X177" s="134" t="s">
        <v>1356</v>
      </c>
      <c r="Y177" s="135" t="s">
        <v>912</v>
      </c>
      <c r="Z177" s="128" t="s">
        <v>57</v>
      </c>
      <c r="AA177" s="128"/>
      <c r="AB177" s="136"/>
      <c r="AC177" s="137"/>
      <c r="AD177" s="136"/>
      <c r="AE177" s="136"/>
      <c r="AF177" s="136"/>
      <c r="AG177" s="136"/>
      <c r="AH177" s="138">
        <v>-432.75</v>
      </c>
      <c r="AI177" s="139" t="s">
        <v>98</v>
      </c>
      <c r="AJ177" s="139" t="s">
        <v>895</v>
      </c>
    </row>
    <row r="178" spans="1:36" ht="15.75" x14ac:dyDescent="0.25">
      <c r="A178" s="115">
        <v>16321</v>
      </c>
      <c r="B178" s="116" t="s">
        <v>36</v>
      </c>
      <c r="C178" s="117" t="s">
        <v>37</v>
      </c>
      <c r="D178" s="118" t="s">
        <v>36</v>
      </c>
      <c r="E178" s="119" t="s">
        <v>38</v>
      </c>
      <c r="F178" s="120" t="s">
        <v>39</v>
      </c>
      <c r="G178" s="118" t="s">
        <v>40</v>
      </c>
      <c r="H178" s="121" t="s">
        <v>41</v>
      </c>
      <c r="I178" s="120" t="s">
        <v>524</v>
      </c>
      <c r="J178" s="122" t="s">
        <v>525</v>
      </c>
      <c r="K178" s="123" t="s">
        <v>526</v>
      </c>
      <c r="L178" t="s">
        <v>1307</v>
      </c>
      <c r="M178" s="124" t="s">
        <v>1308</v>
      </c>
      <c r="N178" s="125" t="s">
        <v>1309</v>
      </c>
      <c r="O178" s="126" t="s">
        <v>929</v>
      </c>
      <c r="P178" s="127" t="s">
        <v>1358</v>
      </c>
      <c r="Q178" s="128"/>
      <c r="R178" s="128"/>
      <c r="S178" s="129">
        <v>100</v>
      </c>
      <c r="T178" s="130" t="s">
        <v>1327</v>
      </c>
      <c r="U178" s="131">
        <v>45440</v>
      </c>
      <c r="V178" s="132"/>
      <c r="W178" s="133"/>
      <c r="X178" s="134" t="s">
        <v>1318</v>
      </c>
      <c r="Y178" s="135" t="s">
        <v>912</v>
      </c>
      <c r="Z178" s="128" t="s">
        <v>96</v>
      </c>
      <c r="AA178" s="128" t="s">
        <v>1328</v>
      </c>
      <c r="AB178" s="136" t="s">
        <v>256</v>
      </c>
      <c r="AC178" s="137" t="s">
        <v>914</v>
      </c>
      <c r="AD178" s="136" t="s">
        <v>961</v>
      </c>
      <c r="AE178" s="136" t="s">
        <v>962</v>
      </c>
      <c r="AF178" s="136" t="s">
        <v>59</v>
      </c>
      <c r="AG178" s="136" t="s">
        <v>59</v>
      </c>
      <c r="AH178" s="138">
        <v>-100</v>
      </c>
      <c r="AI178" s="139" t="s">
        <v>98</v>
      </c>
      <c r="AJ178" s="139" t="s">
        <v>895</v>
      </c>
    </row>
    <row r="179" spans="1:36" ht="15.75" x14ac:dyDescent="0.25">
      <c r="A179" s="115">
        <v>16355</v>
      </c>
      <c r="B179" s="116" t="s">
        <v>36</v>
      </c>
      <c r="C179" s="117" t="s">
        <v>37</v>
      </c>
      <c r="D179" s="118" t="s">
        <v>36</v>
      </c>
      <c r="E179" s="119" t="s">
        <v>38</v>
      </c>
      <c r="F179" s="140" t="s">
        <v>39</v>
      </c>
      <c r="G179" s="118" t="s">
        <v>40</v>
      </c>
      <c r="H179" s="121" t="s">
        <v>41</v>
      </c>
      <c r="I179" s="120" t="s">
        <v>524</v>
      </c>
      <c r="J179" s="122" t="s">
        <v>525</v>
      </c>
      <c r="K179" s="123" t="s">
        <v>526</v>
      </c>
      <c r="L179" t="s">
        <v>1307</v>
      </c>
      <c r="M179" s="124" t="s">
        <v>1308</v>
      </c>
      <c r="N179" s="125" t="s">
        <v>1309</v>
      </c>
      <c r="O179" s="126" t="s">
        <v>929</v>
      </c>
      <c r="P179" s="127" t="s">
        <v>1359</v>
      </c>
      <c r="Q179" s="128"/>
      <c r="R179" s="128"/>
      <c r="S179" s="129">
        <v>100</v>
      </c>
      <c r="T179" s="130" t="s">
        <v>1327</v>
      </c>
      <c r="U179" s="131">
        <v>45440</v>
      </c>
      <c r="V179" s="132"/>
      <c r="W179" s="133"/>
      <c r="X179" s="134" t="s">
        <v>1215</v>
      </c>
      <c r="Y179" s="135" t="s">
        <v>912</v>
      </c>
      <c r="Z179" s="128" t="s">
        <v>96</v>
      </c>
      <c r="AA179" s="128" t="s">
        <v>1328</v>
      </c>
      <c r="AB179" s="136" t="s">
        <v>256</v>
      </c>
      <c r="AC179" s="137" t="s">
        <v>914</v>
      </c>
      <c r="AD179" s="136" t="s">
        <v>961</v>
      </c>
      <c r="AE179" s="136" t="s">
        <v>962</v>
      </c>
      <c r="AF179" s="136" t="s">
        <v>59</v>
      </c>
      <c r="AG179" s="136" t="s">
        <v>59</v>
      </c>
      <c r="AH179" s="138">
        <v>-100</v>
      </c>
      <c r="AI179" s="139" t="s">
        <v>98</v>
      </c>
      <c r="AJ179" s="139" t="s">
        <v>895</v>
      </c>
    </row>
    <row r="180" spans="1:36" ht="15.75" x14ac:dyDescent="0.25">
      <c r="A180" s="115">
        <v>16690</v>
      </c>
      <c r="B180" s="116" t="s">
        <v>36</v>
      </c>
      <c r="C180" s="117" t="s">
        <v>37</v>
      </c>
      <c r="D180" s="118" t="s">
        <v>36</v>
      </c>
      <c r="E180" s="119" t="s">
        <v>38</v>
      </c>
      <c r="F180" s="120" t="s">
        <v>39</v>
      </c>
      <c r="G180" s="118" t="s">
        <v>40</v>
      </c>
      <c r="H180" s="121" t="s">
        <v>41</v>
      </c>
      <c r="I180" s="120" t="s">
        <v>42</v>
      </c>
      <c r="J180" s="122" t="s">
        <v>43</v>
      </c>
      <c r="K180" s="123" t="s">
        <v>44</v>
      </c>
      <c r="L180" t="s">
        <v>1307</v>
      </c>
      <c r="M180" s="124" t="s">
        <v>1308</v>
      </c>
      <c r="N180" s="125" t="s">
        <v>1309</v>
      </c>
      <c r="O180" s="126" t="s">
        <v>1310</v>
      </c>
      <c r="P180" s="127" t="s">
        <v>1311</v>
      </c>
      <c r="Q180" s="128">
        <v>6769.7808955555547</v>
      </c>
      <c r="R180" s="128">
        <v>6769.7808955555547</v>
      </c>
      <c r="S180" s="129">
        <v>6769.7808955555547</v>
      </c>
      <c r="T180" s="130" t="s">
        <v>1312</v>
      </c>
      <c r="U180" s="131">
        <v>45444</v>
      </c>
      <c r="V180" s="132"/>
      <c r="W180" s="133"/>
      <c r="X180" s="134" t="s">
        <v>1314</v>
      </c>
      <c r="Y180" s="135" t="s">
        <v>912</v>
      </c>
      <c r="Z180" s="128" t="s">
        <v>1313</v>
      </c>
      <c r="AA180" s="128"/>
      <c r="AB180" s="136"/>
      <c r="AC180" s="137"/>
      <c r="AD180" s="136"/>
      <c r="AE180" s="136"/>
      <c r="AF180" s="136"/>
      <c r="AG180" s="136"/>
      <c r="AH180" s="138">
        <v>-6769.7808955555547</v>
      </c>
      <c r="AI180" s="139" t="s">
        <v>98</v>
      </c>
      <c r="AJ180" s="139" t="s">
        <v>895</v>
      </c>
    </row>
    <row r="181" spans="1:36" ht="15.75" x14ac:dyDescent="0.25">
      <c r="A181" s="115">
        <v>16695</v>
      </c>
      <c r="B181" s="116" t="s">
        <v>36</v>
      </c>
      <c r="C181" s="117" t="s">
        <v>37</v>
      </c>
      <c r="D181" s="118" t="s">
        <v>36</v>
      </c>
      <c r="E181" s="119" t="s">
        <v>38</v>
      </c>
      <c r="F181" s="120" t="s">
        <v>39</v>
      </c>
      <c r="G181" s="118" t="s">
        <v>40</v>
      </c>
      <c r="H181" s="121" t="s">
        <v>41</v>
      </c>
      <c r="I181" s="120" t="s">
        <v>301</v>
      </c>
      <c r="J181" s="122" t="s">
        <v>302</v>
      </c>
      <c r="K181" s="123" t="s">
        <v>303</v>
      </c>
      <c r="L181" t="s">
        <v>1307</v>
      </c>
      <c r="M181" s="124" t="s">
        <v>1308</v>
      </c>
      <c r="N181" s="125" t="s">
        <v>1309</v>
      </c>
      <c r="O181" s="126" t="s">
        <v>1310</v>
      </c>
      <c r="P181" s="127" t="s">
        <v>1311</v>
      </c>
      <c r="Q181" s="128">
        <v>8827.1708588888887</v>
      </c>
      <c r="R181" s="128">
        <v>8827.1708588888887</v>
      </c>
      <c r="S181" s="129">
        <v>8827.1708588888887</v>
      </c>
      <c r="T181" s="130" t="s">
        <v>1312</v>
      </c>
      <c r="U181" s="131">
        <v>45444</v>
      </c>
      <c r="V181" s="132"/>
      <c r="W181" s="133"/>
      <c r="X181" s="134" t="s">
        <v>1315</v>
      </c>
      <c r="Y181" s="135" t="s">
        <v>912</v>
      </c>
      <c r="Z181" s="128" t="s">
        <v>1313</v>
      </c>
      <c r="AA181" s="128"/>
      <c r="AB181" s="136"/>
      <c r="AC181" s="137"/>
      <c r="AD181" s="136"/>
      <c r="AE181" s="136"/>
      <c r="AF181" s="136"/>
      <c r="AG181" s="136"/>
      <c r="AH181" s="138">
        <v>-8827.1708588888887</v>
      </c>
      <c r="AI181" s="139" t="s">
        <v>98</v>
      </c>
      <c r="AJ181" s="139" t="s">
        <v>895</v>
      </c>
    </row>
    <row r="182" spans="1:36" ht="15.75" x14ac:dyDescent="0.25">
      <c r="A182" s="115">
        <v>16699</v>
      </c>
      <c r="B182" s="116" t="s">
        <v>36</v>
      </c>
      <c r="C182" s="117" t="s">
        <v>37</v>
      </c>
      <c r="D182" s="118" t="s">
        <v>36</v>
      </c>
      <c r="E182" s="119" t="s">
        <v>38</v>
      </c>
      <c r="F182" s="120" t="s">
        <v>39</v>
      </c>
      <c r="G182" s="118" t="s">
        <v>40</v>
      </c>
      <c r="H182" s="121" t="s">
        <v>41</v>
      </c>
      <c r="I182" s="120" t="s">
        <v>524</v>
      </c>
      <c r="J182" s="122" t="s">
        <v>525</v>
      </c>
      <c r="K182" s="123" t="s">
        <v>526</v>
      </c>
      <c r="L182" t="s">
        <v>1307</v>
      </c>
      <c r="M182" s="124" t="s">
        <v>1308</v>
      </c>
      <c r="N182" s="125" t="s">
        <v>1309</v>
      </c>
      <c r="O182" s="126" t="s">
        <v>1310</v>
      </c>
      <c r="P182" s="127" t="s">
        <v>1311</v>
      </c>
      <c r="Q182" s="128">
        <v>7512.5810000000001</v>
      </c>
      <c r="R182" s="128">
        <v>7512.5810000000001</v>
      </c>
      <c r="S182" s="129">
        <v>7512.5810000000001</v>
      </c>
      <c r="T182" s="130" t="s">
        <v>1312</v>
      </c>
      <c r="U182" s="131">
        <v>45444</v>
      </c>
      <c r="V182" s="132"/>
      <c r="W182" s="133"/>
      <c r="X182" s="134" t="s">
        <v>874</v>
      </c>
      <c r="Y182" s="135" t="s">
        <v>912</v>
      </c>
      <c r="Z182" s="128" t="s">
        <v>1313</v>
      </c>
      <c r="AA182" s="128"/>
      <c r="AB182" s="136"/>
      <c r="AC182" s="137"/>
      <c r="AD182" s="136"/>
      <c r="AE182" s="136"/>
      <c r="AF182" s="136"/>
      <c r="AG182" s="136"/>
      <c r="AH182" s="138">
        <v>-7512.5810000000001</v>
      </c>
      <c r="AI182" s="139" t="s">
        <v>98</v>
      </c>
      <c r="AJ182" s="139" t="s">
        <v>895</v>
      </c>
    </row>
    <row r="183" spans="1:36" ht="15.75" x14ac:dyDescent="0.25">
      <c r="A183" s="115">
        <v>16740</v>
      </c>
      <c r="B183" s="116" t="s">
        <v>36</v>
      </c>
      <c r="C183" s="117" t="s">
        <v>37</v>
      </c>
      <c r="D183" s="118" t="s">
        <v>36</v>
      </c>
      <c r="E183" s="119" t="s">
        <v>38</v>
      </c>
      <c r="F183" s="120" t="s">
        <v>39</v>
      </c>
      <c r="G183" s="118" t="s">
        <v>40</v>
      </c>
      <c r="H183" s="121" t="s">
        <v>41</v>
      </c>
      <c r="I183" s="120" t="s">
        <v>524</v>
      </c>
      <c r="J183" s="122" t="s">
        <v>525</v>
      </c>
      <c r="K183" s="123" t="s">
        <v>526</v>
      </c>
      <c r="L183" t="s">
        <v>1307</v>
      </c>
      <c r="M183" s="124" t="s">
        <v>1308</v>
      </c>
      <c r="N183" s="125" t="s">
        <v>1309</v>
      </c>
      <c r="O183" s="126" t="s">
        <v>1310</v>
      </c>
      <c r="P183" s="127" t="s">
        <v>1311</v>
      </c>
      <c r="Q183" s="128">
        <v>8334.0026544444445</v>
      </c>
      <c r="R183" s="128">
        <v>8334.0026544444445</v>
      </c>
      <c r="S183" s="129">
        <v>8334.0026544444445</v>
      </c>
      <c r="T183" s="130" t="s">
        <v>1312</v>
      </c>
      <c r="U183" s="131">
        <v>45444</v>
      </c>
      <c r="V183" s="132"/>
      <c r="W183" s="133"/>
      <c r="X183" s="134" t="s">
        <v>1338</v>
      </c>
      <c r="Y183" s="135" t="s">
        <v>912</v>
      </c>
      <c r="Z183" s="128" t="s">
        <v>1313</v>
      </c>
      <c r="AA183" s="128"/>
      <c r="AB183" s="136"/>
      <c r="AC183" s="137"/>
      <c r="AD183" s="136"/>
      <c r="AE183" s="136"/>
      <c r="AF183" s="136"/>
      <c r="AG183" s="136"/>
      <c r="AH183" s="138">
        <v>-8334.0026544444445</v>
      </c>
      <c r="AI183" s="139" t="s">
        <v>98</v>
      </c>
      <c r="AJ183" s="139" t="s">
        <v>895</v>
      </c>
    </row>
    <row r="184" spans="1:36" ht="15.75" x14ac:dyDescent="0.25">
      <c r="A184" s="115">
        <v>16762</v>
      </c>
      <c r="B184" s="116" t="s">
        <v>36</v>
      </c>
      <c r="C184" s="117" t="s">
        <v>37</v>
      </c>
      <c r="D184" s="118" t="s">
        <v>36</v>
      </c>
      <c r="E184" s="119" t="s">
        <v>38</v>
      </c>
      <c r="F184" s="120" t="s">
        <v>39</v>
      </c>
      <c r="G184" s="118" t="s">
        <v>40</v>
      </c>
      <c r="H184" s="121" t="s">
        <v>41</v>
      </c>
      <c r="I184" s="120" t="s">
        <v>524</v>
      </c>
      <c r="J184" s="122" t="s">
        <v>525</v>
      </c>
      <c r="K184" s="123" t="s">
        <v>526</v>
      </c>
      <c r="L184" t="s">
        <v>1307</v>
      </c>
      <c r="M184" s="124" t="s">
        <v>1308</v>
      </c>
      <c r="N184" s="125" t="s">
        <v>1309</v>
      </c>
      <c r="O184" s="126" t="s">
        <v>1310</v>
      </c>
      <c r="P184" s="127" t="s">
        <v>1311</v>
      </c>
      <c r="Q184" s="128">
        <v>9522.4909744444449</v>
      </c>
      <c r="R184" s="128">
        <v>9522.4909744444449</v>
      </c>
      <c r="S184" s="129">
        <v>9522.4909744444449</v>
      </c>
      <c r="T184" s="130" t="s">
        <v>1312</v>
      </c>
      <c r="U184" s="131">
        <v>45444</v>
      </c>
      <c r="V184" s="132"/>
      <c r="W184" s="133"/>
      <c r="X184" s="134" t="s">
        <v>1318</v>
      </c>
      <c r="Y184" s="135" t="s">
        <v>912</v>
      </c>
      <c r="Z184" s="128" t="s">
        <v>1313</v>
      </c>
      <c r="AA184" s="128"/>
      <c r="AB184" s="136"/>
      <c r="AC184" s="137"/>
      <c r="AD184" s="136"/>
      <c r="AE184" s="136"/>
      <c r="AF184" s="136"/>
      <c r="AG184" s="136"/>
      <c r="AH184" s="138">
        <v>-9522.4909744444449</v>
      </c>
      <c r="AI184" s="139" t="s">
        <v>98</v>
      </c>
      <c r="AJ184" s="139" t="s">
        <v>895</v>
      </c>
    </row>
    <row r="185" spans="1:36" ht="15.75" x14ac:dyDescent="0.25">
      <c r="A185" s="115">
        <v>16773</v>
      </c>
      <c r="B185" s="116" t="s">
        <v>36</v>
      </c>
      <c r="C185" s="117" t="s">
        <v>37</v>
      </c>
      <c r="D185" s="118" t="s">
        <v>36</v>
      </c>
      <c r="E185" s="119" t="s">
        <v>38</v>
      </c>
      <c r="F185" s="120" t="s">
        <v>39</v>
      </c>
      <c r="G185" s="118" t="s">
        <v>40</v>
      </c>
      <c r="H185" s="121" t="s">
        <v>41</v>
      </c>
      <c r="I185" s="120" t="s">
        <v>1319</v>
      </c>
      <c r="J185" s="122" t="s">
        <v>1320</v>
      </c>
      <c r="K185" s="123" t="s">
        <v>1321</v>
      </c>
      <c r="L185" t="s">
        <v>1307</v>
      </c>
      <c r="M185" s="124" t="s">
        <v>1308</v>
      </c>
      <c r="N185" s="125" t="s">
        <v>1309</v>
      </c>
      <c r="O185" s="126" t="s">
        <v>1310</v>
      </c>
      <c r="P185" s="127" t="s">
        <v>1311</v>
      </c>
      <c r="Q185" s="128">
        <v>6952.7479044444444</v>
      </c>
      <c r="R185" s="128">
        <v>6952.7479044444444</v>
      </c>
      <c r="S185" s="129">
        <v>6952.7479044444444</v>
      </c>
      <c r="T185" s="130" t="s">
        <v>1312</v>
      </c>
      <c r="U185" s="131">
        <v>45444</v>
      </c>
      <c r="V185" s="132"/>
      <c r="W185" s="133"/>
      <c r="X185" s="134" t="s">
        <v>1322</v>
      </c>
      <c r="Y185" s="135" t="s">
        <v>912</v>
      </c>
      <c r="Z185" s="128" t="s">
        <v>1313</v>
      </c>
      <c r="AA185" s="128"/>
      <c r="AB185" s="136"/>
      <c r="AC185" s="137"/>
      <c r="AD185" s="136"/>
      <c r="AE185" s="136"/>
      <c r="AF185" s="136"/>
      <c r="AG185" s="136"/>
      <c r="AH185" s="138">
        <v>-6952.7479044444444</v>
      </c>
      <c r="AI185" s="139" t="s">
        <v>98</v>
      </c>
      <c r="AJ185" s="139" t="s">
        <v>895</v>
      </c>
    </row>
    <row r="186" spans="1:36" ht="15.75" x14ac:dyDescent="0.25">
      <c r="A186" s="115">
        <v>16779</v>
      </c>
      <c r="B186" s="116" t="s">
        <v>36</v>
      </c>
      <c r="C186" s="117" t="s">
        <v>37</v>
      </c>
      <c r="D186" s="118" t="s">
        <v>36</v>
      </c>
      <c r="E186" s="119" t="s">
        <v>38</v>
      </c>
      <c r="F186" s="120" t="s">
        <v>39</v>
      </c>
      <c r="G186" s="118" t="s">
        <v>40</v>
      </c>
      <c r="H186" s="121" t="s">
        <v>41</v>
      </c>
      <c r="I186" s="120" t="s">
        <v>301</v>
      </c>
      <c r="J186" s="122" t="s">
        <v>302</v>
      </c>
      <c r="K186" s="123" t="s">
        <v>303</v>
      </c>
      <c r="L186" t="s">
        <v>1307</v>
      </c>
      <c r="M186" s="124" t="s">
        <v>1308</v>
      </c>
      <c r="N186" s="125" t="s">
        <v>1309</v>
      </c>
      <c r="O186" s="126" t="s">
        <v>1310</v>
      </c>
      <c r="P186" s="127" t="s">
        <v>1311</v>
      </c>
      <c r="Q186" s="128">
        <v>10168.579295555555</v>
      </c>
      <c r="R186" s="128">
        <v>10168.579295555555</v>
      </c>
      <c r="S186" s="129">
        <v>10168.579295555555</v>
      </c>
      <c r="T186" s="130" t="s">
        <v>1312</v>
      </c>
      <c r="U186" s="131">
        <v>45444</v>
      </c>
      <c r="V186" s="132"/>
      <c r="W186" s="133"/>
      <c r="X186" s="134" t="s">
        <v>1323</v>
      </c>
      <c r="Y186" s="135" t="s">
        <v>912</v>
      </c>
      <c r="Z186" s="128" t="s">
        <v>1313</v>
      </c>
      <c r="AA186" s="128"/>
      <c r="AB186" s="136"/>
      <c r="AC186" s="137"/>
      <c r="AD186" s="136"/>
      <c r="AE186" s="136"/>
      <c r="AF186" s="136"/>
      <c r="AG186" s="136"/>
      <c r="AH186" s="138">
        <v>-10168.579295555555</v>
      </c>
      <c r="AI186" s="139" t="s">
        <v>98</v>
      </c>
      <c r="AJ186" s="139" t="s">
        <v>895</v>
      </c>
    </row>
    <row r="187" spans="1:36" ht="15.75" x14ac:dyDescent="0.25">
      <c r="A187" s="115">
        <v>16789</v>
      </c>
      <c r="B187" s="116" t="s">
        <v>36</v>
      </c>
      <c r="C187" s="117" t="s">
        <v>37</v>
      </c>
      <c r="D187" s="118" t="s">
        <v>36</v>
      </c>
      <c r="E187" s="119" t="s">
        <v>38</v>
      </c>
      <c r="F187" s="140" t="s">
        <v>39</v>
      </c>
      <c r="G187" s="118" t="s">
        <v>40</v>
      </c>
      <c r="H187" s="121" t="s">
        <v>41</v>
      </c>
      <c r="I187" s="120" t="s">
        <v>1319</v>
      </c>
      <c r="J187" s="122" t="s">
        <v>1320</v>
      </c>
      <c r="K187" s="123" t="s">
        <v>1321</v>
      </c>
      <c r="L187" t="s">
        <v>1307</v>
      </c>
      <c r="M187" s="124" t="s">
        <v>1308</v>
      </c>
      <c r="N187" s="125" t="s">
        <v>1309</v>
      </c>
      <c r="O187" s="126" t="s">
        <v>1310</v>
      </c>
      <c r="P187" s="127" t="s">
        <v>1311</v>
      </c>
      <c r="Q187" s="128">
        <v>10289.470727777776</v>
      </c>
      <c r="R187" s="128">
        <v>10289.470727777776</v>
      </c>
      <c r="S187" s="129">
        <v>10289.470727777776</v>
      </c>
      <c r="T187" s="130" t="s">
        <v>1312</v>
      </c>
      <c r="U187" s="131">
        <v>45444</v>
      </c>
      <c r="V187" s="132"/>
      <c r="W187" s="133"/>
      <c r="X187" s="134" t="s">
        <v>1345</v>
      </c>
      <c r="Y187" s="135" t="s">
        <v>912</v>
      </c>
      <c r="Z187" s="128" t="s">
        <v>1313</v>
      </c>
      <c r="AA187" s="128"/>
      <c r="AB187" s="136"/>
      <c r="AC187" s="137"/>
      <c r="AD187" s="136"/>
      <c r="AE187" s="136"/>
      <c r="AF187" s="136"/>
      <c r="AG187" s="136"/>
      <c r="AH187" s="138">
        <v>-10289.470727777776</v>
      </c>
      <c r="AI187" s="139" t="s">
        <v>98</v>
      </c>
      <c r="AJ187" s="139" t="s">
        <v>895</v>
      </c>
    </row>
    <row r="188" spans="1:36" ht="15.75" x14ac:dyDescent="0.25">
      <c r="A188" s="115">
        <v>16796</v>
      </c>
      <c r="B188" s="116" t="s">
        <v>36</v>
      </c>
      <c r="C188" s="117" t="s">
        <v>37</v>
      </c>
      <c r="D188" s="118" t="s">
        <v>36</v>
      </c>
      <c r="E188" s="119" t="s">
        <v>38</v>
      </c>
      <c r="F188" s="140" t="s">
        <v>39</v>
      </c>
      <c r="G188" s="118" t="s">
        <v>40</v>
      </c>
      <c r="H188" s="121" t="s">
        <v>41</v>
      </c>
      <c r="I188" s="120" t="s">
        <v>301</v>
      </c>
      <c r="J188" s="122" t="s">
        <v>302</v>
      </c>
      <c r="K188" s="123" t="s">
        <v>303</v>
      </c>
      <c r="L188" t="s">
        <v>1307</v>
      </c>
      <c r="M188" s="124" t="s">
        <v>1308</v>
      </c>
      <c r="N188" s="125" t="s">
        <v>1309</v>
      </c>
      <c r="O188" s="126" t="s">
        <v>1324</v>
      </c>
      <c r="P188" s="127" t="s">
        <v>1311</v>
      </c>
      <c r="Q188" s="128">
        <v>10070.371500000001</v>
      </c>
      <c r="R188" s="128">
        <v>10070.371500000001</v>
      </c>
      <c r="S188" s="129">
        <v>10070.371500000001</v>
      </c>
      <c r="T188" s="130" t="s">
        <v>1312</v>
      </c>
      <c r="U188" s="131">
        <v>45444</v>
      </c>
      <c r="V188" s="132"/>
      <c r="W188" s="133"/>
      <c r="X188" s="134" t="s">
        <v>258</v>
      </c>
      <c r="Y188" s="135" t="s">
        <v>912</v>
      </c>
      <c r="Z188" s="128" t="s">
        <v>1313</v>
      </c>
      <c r="AA188" s="128"/>
      <c r="AB188" s="136"/>
      <c r="AC188" s="137"/>
      <c r="AD188" s="136"/>
      <c r="AE188" s="136"/>
      <c r="AF188" s="136"/>
      <c r="AG188" s="136"/>
      <c r="AH188" s="138">
        <v>-10070.371500000001</v>
      </c>
      <c r="AI188" s="139" t="s">
        <v>98</v>
      </c>
      <c r="AJ188" s="139" t="s">
        <v>895</v>
      </c>
    </row>
    <row r="189" spans="1:36" ht="15.75" x14ac:dyDescent="0.25">
      <c r="A189" s="115">
        <v>16799</v>
      </c>
      <c r="B189" s="116" t="s">
        <v>36</v>
      </c>
      <c r="C189" s="117" t="s">
        <v>37</v>
      </c>
      <c r="D189" s="118" t="s">
        <v>36</v>
      </c>
      <c r="E189" s="119" t="s">
        <v>38</v>
      </c>
      <c r="F189" s="140" t="s">
        <v>39</v>
      </c>
      <c r="G189" s="118" t="s">
        <v>40</v>
      </c>
      <c r="H189" s="121" t="s">
        <v>41</v>
      </c>
      <c r="I189" s="120" t="s">
        <v>524</v>
      </c>
      <c r="J189" s="122" t="s">
        <v>525</v>
      </c>
      <c r="K189" s="123" t="s">
        <v>526</v>
      </c>
      <c r="L189" t="s">
        <v>1307</v>
      </c>
      <c r="M189" s="124" t="s">
        <v>1308</v>
      </c>
      <c r="N189" s="125" t="s">
        <v>1309</v>
      </c>
      <c r="O189" s="126" t="s">
        <v>929</v>
      </c>
      <c r="P189" s="127"/>
      <c r="Q189" s="128"/>
      <c r="R189" s="128"/>
      <c r="S189" s="129">
        <v>2212.2800000000002</v>
      </c>
      <c r="T189" s="130" t="s">
        <v>1337</v>
      </c>
      <c r="U189" s="131">
        <v>45444</v>
      </c>
      <c r="V189" s="132"/>
      <c r="W189" s="133"/>
      <c r="X189" s="134" t="s">
        <v>1215</v>
      </c>
      <c r="Y189" s="135" t="s">
        <v>912</v>
      </c>
      <c r="Z189" s="128" t="s">
        <v>96</v>
      </c>
      <c r="AA189" s="128" t="s">
        <v>1328</v>
      </c>
      <c r="AB189" s="136"/>
      <c r="AC189" s="137"/>
      <c r="AD189" s="136"/>
      <c r="AE189" s="136"/>
      <c r="AF189" s="136"/>
      <c r="AG189" s="136"/>
      <c r="AH189" s="138">
        <v>-2212.2800000000002</v>
      </c>
      <c r="AI189" s="139" t="s">
        <v>98</v>
      </c>
      <c r="AJ189" s="139" t="s">
        <v>895</v>
      </c>
    </row>
    <row r="190" spans="1:36" ht="15.75" x14ac:dyDescent="0.25">
      <c r="A190" s="115">
        <v>16800</v>
      </c>
      <c r="B190" s="116" t="s">
        <v>36</v>
      </c>
      <c r="C190" s="117" t="s">
        <v>37</v>
      </c>
      <c r="D190" s="118" t="s">
        <v>36</v>
      </c>
      <c r="E190" s="119" t="s">
        <v>38</v>
      </c>
      <c r="F190" s="140" t="s">
        <v>39</v>
      </c>
      <c r="G190" s="118" t="s">
        <v>40</v>
      </c>
      <c r="H190" s="121" t="s">
        <v>41</v>
      </c>
      <c r="I190" s="120" t="s">
        <v>524</v>
      </c>
      <c r="J190" s="122" t="s">
        <v>525</v>
      </c>
      <c r="K190" s="123" t="s">
        <v>526</v>
      </c>
      <c r="L190" t="s">
        <v>1307</v>
      </c>
      <c r="M190" s="124" t="s">
        <v>1308</v>
      </c>
      <c r="N190" s="125" t="s">
        <v>1309</v>
      </c>
      <c r="O190" s="126" t="s">
        <v>1310</v>
      </c>
      <c r="P190" s="127" t="s">
        <v>1311</v>
      </c>
      <c r="Q190" s="128">
        <v>8013.3908333333329</v>
      </c>
      <c r="R190" s="128">
        <v>8013.3908333333329</v>
      </c>
      <c r="S190" s="129">
        <v>8013.3908333333329</v>
      </c>
      <c r="T190" s="130" t="s">
        <v>1312</v>
      </c>
      <c r="U190" s="131">
        <v>45444</v>
      </c>
      <c r="V190" s="132"/>
      <c r="W190" s="133"/>
      <c r="X190" s="134" t="s">
        <v>1215</v>
      </c>
      <c r="Y190" s="135" t="s">
        <v>912</v>
      </c>
      <c r="Z190" s="128" t="s">
        <v>1313</v>
      </c>
      <c r="AA190" s="128"/>
      <c r="AB190" s="136"/>
      <c r="AC190" s="137"/>
      <c r="AD190" s="136"/>
      <c r="AE190" s="136"/>
      <c r="AF190" s="136"/>
      <c r="AG190" s="136"/>
      <c r="AH190" s="138">
        <v>-8013.3908333333329</v>
      </c>
      <c r="AI190" s="139" t="s">
        <v>98</v>
      </c>
      <c r="AJ190" s="139" t="s">
        <v>895</v>
      </c>
    </row>
    <row r="191" spans="1:36" ht="15.75" x14ac:dyDescent="0.25">
      <c r="A191" s="115">
        <v>16817</v>
      </c>
      <c r="B191" s="116" t="s">
        <v>36</v>
      </c>
      <c r="C191" s="117" t="s">
        <v>37</v>
      </c>
      <c r="D191" s="118" t="s">
        <v>36</v>
      </c>
      <c r="E191" s="119" t="s">
        <v>38</v>
      </c>
      <c r="F191" s="140" t="s">
        <v>39</v>
      </c>
      <c r="G191" s="118" t="s">
        <v>40</v>
      </c>
      <c r="H191" s="121" t="s">
        <v>41</v>
      </c>
      <c r="I191" s="120" t="s">
        <v>42</v>
      </c>
      <c r="J191" s="122" t="s">
        <v>43</v>
      </c>
      <c r="K191" s="123" t="s">
        <v>44</v>
      </c>
      <c r="L191" t="s">
        <v>1307</v>
      </c>
      <c r="M191" s="124" t="s">
        <v>1308</v>
      </c>
      <c r="N191" s="125" t="s">
        <v>1309</v>
      </c>
      <c r="O191" s="126" t="s">
        <v>1310</v>
      </c>
      <c r="P191" s="127" t="s">
        <v>1311</v>
      </c>
      <c r="Q191" s="128">
        <v>6797.7919977777774</v>
      </c>
      <c r="R191" s="128">
        <v>6797.7919977777774</v>
      </c>
      <c r="S191" s="129">
        <v>6797.7919977777774</v>
      </c>
      <c r="T191" s="130" t="s">
        <v>1312</v>
      </c>
      <c r="U191" s="131">
        <v>45444</v>
      </c>
      <c r="V191" s="132"/>
      <c r="W191" s="133"/>
      <c r="X191" s="134" t="s">
        <v>1325</v>
      </c>
      <c r="Y191" s="135" t="s">
        <v>912</v>
      </c>
      <c r="Z191" s="128" t="s">
        <v>1313</v>
      </c>
      <c r="AA191" s="128"/>
      <c r="AB191" s="136"/>
      <c r="AC191" s="137"/>
      <c r="AD191" s="136"/>
      <c r="AE191" s="136"/>
      <c r="AF191" s="136"/>
      <c r="AG191" s="136"/>
      <c r="AH191" s="138">
        <v>-6797.7919977777774</v>
      </c>
      <c r="AI191" s="139" t="s">
        <v>98</v>
      </c>
      <c r="AJ191" s="139" t="s">
        <v>895</v>
      </c>
    </row>
    <row r="192" spans="1:36" ht="15.75" x14ac:dyDescent="0.25">
      <c r="A192" s="115">
        <v>16881</v>
      </c>
      <c r="B192" s="116" t="s">
        <v>36</v>
      </c>
      <c r="C192" s="117" t="s">
        <v>37</v>
      </c>
      <c r="D192" s="118" t="s">
        <v>36</v>
      </c>
      <c r="E192" s="119" t="s">
        <v>38</v>
      </c>
      <c r="F192" s="120" t="s">
        <v>39</v>
      </c>
      <c r="G192" s="118" t="s">
        <v>40</v>
      </c>
      <c r="H192" s="121" t="s">
        <v>41</v>
      </c>
      <c r="I192" s="120" t="s">
        <v>1319</v>
      </c>
      <c r="J192" s="122" t="s">
        <v>1320</v>
      </c>
      <c r="K192" s="123" t="s">
        <v>1321</v>
      </c>
      <c r="L192" t="s">
        <v>1307</v>
      </c>
      <c r="M192" s="124" t="s">
        <v>1308</v>
      </c>
      <c r="N192" s="125" t="s">
        <v>1309</v>
      </c>
      <c r="O192" s="126" t="s">
        <v>1310</v>
      </c>
      <c r="P192" s="127" t="s">
        <v>1311</v>
      </c>
      <c r="Q192" s="128">
        <v>6634.8816233333346</v>
      </c>
      <c r="R192" s="128">
        <v>6634.8816233333346</v>
      </c>
      <c r="S192" s="129">
        <v>6634.8816233333346</v>
      </c>
      <c r="T192" s="130" t="s">
        <v>1312</v>
      </c>
      <c r="U192" s="131">
        <v>45444</v>
      </c>
      <c r="V192" s="132"/>
      <c r="W192" s="133"/>
      <c r="X192" s="134" t="s">
        <v>1326</v>
      </c>
      <c r="Y192" s="135" t="s">
        <v>912</v>
      </c>
      <c r="Z192" s="128" t="s">
        <v>1313</v>
      </c>
      <c r="AA192" s="128"/>
      <c r="AB192" s="136"/>
      <c r="AC192" s="137"/>
      <c r="AD192" s="136"/>
      <c r="AE192" s="136"/>
      <c r="AF192" s="136"/>
      <c r="AG192" s="136"/>
      <c r="AH192" s="138">
        <v>-6634.8816233333346</v>
      </c>
      <c r="AI192" s="139" t="s">
        <v>98</v>
      </c>
      <c r="AJ192" s="139" t="s">
        <v>895</v>
      </c>
    </row>
    <row r="193" spans="1:36" ht="15.75" x14ac:dyDescent="0.25">
      <c r="A193" s="115">
        <v>16882</v>
      </c>
      <c r="B193" s="116" t="s">
        <v>36</v>
      </c>
      <c r="C193" s="117" t="s">
        <v>37</v>
      </c>
      <c r="D193" s="118" t="s">
        <v>36</v>
      </c>
      <c r="E193" s="119" t="s">
        <v>38</v>
      </c>
      <c r="F193" s="120" t="s">
        <v>39</v>
      </c>
      <c r="G193" s="118" t="s">
        <v>40</v>
      </c>
      <c r="H193" s="121" t="s">
        <v>41</v>
      </c>
      <c r="I193" s="120" t="s">
        <v>1360</v>
      </c>
      <c r="J193" s="122" t="s">
        <v>1361</v>
      </c>
      <c r="K193" s="123" t="s">
        <v>1362</v>
      </c>
      <c r="L193" t="s">
        <v>1307</v>
      </c>
      <c r="M193" s="124" t="s">
        <v>1308</v>
      </c>
      <c r="N193" s="125" t="s">
        <v>1309</v>
      </c>
      <c r="O193" s="126" t="s">
        <v>1363</v>
      </c>
      <c r="P193" s="127" t="s">
        <v>1311</v>
      </c>
      <c r="Q193" s="128">
        <v>7361.0549898855552</v>
      </c>
      <c r="R193" s="128">
        <v>7361.0549898855552</v>
      </c>
      <c r="S193" s="129">
        <v>7361.0549898855552</v>
      </c>
      <c r="T193" s="130" t="s">
        <v>1312</v>
      </c>
      <c r="U193" s="131">
        <v>45444</v>
      </c>
      <c r="V193" s="132"/>
      <c r="W193" s="133"/>
      <c r="X193" s="134" t="s">
        <v>1364</v>
      </c>
      <c r="Y193" s="135" t="s">
        <v>912</v>
      </c>
      <c r="Z193" s="128" t="s">
        <v>1313</v>
      </c>
      <c r="AA193" s="128"/>
      <c r="AB193" s="136"/>
      <c r="AC193" s="137"/>
      <c r="AD193" s="136"/>
      <c r="AE193" s="136"/>
      <c r="AF193" s="136"/>
      <c r="AG193" s="136"/>
      <c r="AH193" s="138">
        <v>-7361.0549898855552</v>
      </c>
      <c r="AI193" s="139" t="s">
        <v>98</v>
      </c>
      <c r="AJ193" s="139" t="s">
        <v>895</v>
      </c>
    </row>
    <row r="194" spans="1:36" ht="15.75" x14ac:dyDescent="0.25">
      <c r="A194" s="115">
        <v>17034</v>
      </c>
      <c r="B194" s="116" t="s">
        <v>36</v>
      </c>
      <c r="C194" s="117" t="s">
        <v>37</v>
      </c>
      <c r="D194" s="118" t="s">
        <v>36</v>
      </c>
      <c r="E194" s="119" t="s">
        <v>38</v>
      </c>
      <c r="F194" s="140" t="s">
        <v>39</v>
      </c>
      <c r="G194" s="118" t="s">
        <v>40</v>
      </c>
      <c r="H194" s="121" t="s">
        <v>41</v>
      </c>
      <c r="I194" s="120" t="s">
        <v>42</v>
      </c>
      <c r="J194" s="122" t="s">
        <v>43</v>
      </c>
      <c r="K194" s="123" t="s">
        <v>44</v>
      </c>
      <c r="L194" t="s">
        <v>1307</v>
      </c>
      <c r="M194" s="124" t="s">
        <v>1308</v>
      </c>
      <c r="N194" s="125" t="s">
        <v>1309</v>
      </c>
      <c r="O194" s="126" t="s">
        <v>929</v>
      </c>
      <c r="P194" s="127"/>
      <c r="Q194" s="128"/>
      <c r="R194" s="128"/>
      <c r="S194" s="129">
        <v>945.75</v>
      </c>
      <c r="T194" s="130" t="s">
        <v>1327</v>
      </c>
      <c r="U194" s="131">
        <v>45446</v>
      </c>
      <c r="V194" s="132"/>
      <c r="W194" s="133"/>
      <c r="X194" s="134" t="s">
        <v>1345</v>
      </c>
      <c r="Y194" s="135" t="s">
        <v>912</v>
      </c>
      <c r="Z194" s="128" t="s">
        <v>96</v>
      </c>
      <c r="AA194" s="128" t="s">
        <v>1328</v>
      </c>
      <c r="AB194" s="136"/>
      <c r="AC194" s="137"/>
      <c r="AD194" s="136"/>
      <c r="AE194" s="136"/>
      <c r="AF194" s="136"/>
      <c r="AG194" s="136"/>
      <c r="AH194" s="138">
        <v>-945.75</v>
      </c>
      <c r="AI194" s="139" t="s">
        <v>98</v>
      </c>
      <c r="AJ194" s="139" t="s">
        <v>895</v>
      </c>
    </row>
    <row r="195" spans="1:36" ht="15.75" x14ac:dyDescent="0.25">
      <c r="A195" s="115">
        <v>17039</v>
      </c>
      <c r="B195" s="116" t="s">
        <v>36</v>
      </c>
      <c r="C195" s="117" t="s">
        <v>37</v>
      </c>
      <c r="D195" s="118" t="s">
        <v>36</v>
      </c>
      <c r="E195" s="119" t="s">
        <v>38</v>
      </c>
      <c r="F195" s="140" t="s">
        <v>39</v>
      </c>
      <c r="G195" s="118" t="s">
        <v>40</v>
      </c>
      <c r="H195" s="121" t="s">
        <v>41</v>
      </c>
      <c r="I195" s="120" t="s">
        <v>301</v>
      </c>
      <c r="J195" s="122" t="s">
        <v>302</v>
      </c>
      <c r="K195" s="123" t="s">
        <v>303</v>
      </c>
      <c r="L195" t="s">
        <v>1307</v>
      </c>
      <c r="M195" s="124" t="s">
        <v>1308</v>
      </c>
      <c r="N195" s="125" t="s">
        <v>1309</v>
      </c>
      <c r="O195" s="126" t="s">
        <v>1329</v>
      </c>
      <c r="P195" s="127" t="s">
        <v>1330</v>
      </c>
      <c r="Q195" s="128">
        <v>865</v>
      </c>
      <c r="R195" s="128">
        <v>865</v>
      </c>
      <c r="S195" s="129">
        <v>865</v>
      </c>
      <c r="T195" s="130" t="s">
        <v>1365</v>
      </c>
      <c r="U195" s="131">
        <v>45446</v>
      </c>
      <c r="V195" s="132">
        <v>45446</v>
      </c>
      <c r="W195" s="133">
        <v>186</v>
      </c>
      <c r="X195" s="134" t="s">
        <v>258</v>
      </c>
      <c r="Y195" s="135" t="s">
        <v>912</v>
      </c>
      <c r="Z195" s="128" t="s">
        <v>57</v>
      </c>
      <c r="AA195" s="128"/>
      <c r="AB195" s="136"/>
      <c r="AC195" s="137"/>
      <c r="AD195" s="136"/>
      <c r="AE195" s="136"/>
      <c r="AF195" s="136"/>
      <c r="AG195" s="136"/>
      <c r="AH195" s="138">
        <v>-865</v>
      </c>
      <c r="AI195" s="139" t="s">
        <v>98</v>
      </c>
      <c r="AJ195" s="139" t="s">
        <v>895</v>
      </c>
    </row>
    <row r="196" spans="1:36" ht="15.75" x14ac:dyDescent="0.25">
      <c r="A196" s="115">
        <v>17423</v>
      </c>
      <c r="B196" s="116" t="s">
        <v>36</v>
      </c>
      <c r="C196" s="117" t="s">
        <v>37</v>
      </c>
      <c r="D196" s="118" t="s">
        <v>36</v>
      </c>
      <c r="E196" s="119" t="s">
        <v>38</v>
      </c>
      <c r="F196" s="140" t="s">
        <v>39</v>
      </c>
      <c r="G196" s="118" t="s">
        <v>40</v>
      </c>
      <c r="H196" s="121" t="s">
        <v>41</v>
      </c>
      <c r="I196" s="120" t="s">
        <v>42</v>
      </c>
      <c r="J196" s="122" t="s">
        <v>43</v>
      </c>
      <c r="K196" s="123" t="s">
        <v>44</v>
      </c>
      <c r="L196" t="s">
        <v>1307</v>
      </c>
      <c r="M196" s="124" t="s">
        <v>1308</v>
      </c>
      <c r="N196" s="125" t="s">
        <v>1309</v>
      </c>
      <c r="O196" s="126" t="s">
        <v>929</v>
      </c>
      <c r="P196" s="127"/>
      <c r="Q196" s="128"/>
      <c r="R196" s="128"/>
      <c r="S196" s="129">
        <v>3123.2</v>
      </c>
      <c r="T196" s="130" t="s">
        <v>1327</v>
      </c>
      <c r="U196" s="131">
        <v>45449</v>
      </c>
      <c r="V196" s="132"/>
      <c r="W196" s="133"/>
      <c r="X196" s="134" t="s">
        <v>1345</v>
      </c>
      <c r="Y196" s="135" t="s">
        <v>912</v>
      </c>
      <c r="Z196" s="128" t="s">
        <v>96</v>
      </c>
      <c r="AA196" s="128" t="s">
        <v>1328</v>
      </c>
      <c r="AB196" s="136"/>
      <c r="AC196" s="137"/>
      <c r="AD196" s="136"/>
      <c r="AE196" s="136"/>
      <c r="AF196" s="136"/>
      <c r="AG196" s="136"/>
      <c r="AH196" s="138">
        <v>-3123.2</v>
      </c>
      <c r="AI196" s="139" t="s">
        <v>98</v>
      </c>
      <c r="AJ196" s="139" t="s">
        <v>895</v>
      </c>
    </row>
    <row r="197" spans="1:36" ht="15.75" x14ac:dyDescent="0.25">
      <c r="A197" s="115">
        <v>17959</v>
      </c>
      <c r="B197" s="116" t="s">
        <v>36</v>
      </c>
      <c r="C197" s="117" t="s">
        <v>37</v>
      </c>
      <c r="D197" s="118" t="s">
        <v>36</v>
      </c>
      <c r="E197" s="119" t="s">
        <v>38</v>
      </c>
      <c r="F197" s="120" t="s">
        <v>39</v>
      </c>
      <c r="G197" s="118" t="s">
        <v>40</v>
      </c>
      <c r="H197" s="121" t="s">
        <v>41</v>
      </c>
      <c r="I197" s="120" t="s">
        <v>946</v>
      </c>
      <c r="J197" s="122" t="s">
        <v>947</v>
      </c>
      <c r="K197" s="123" t="s">
        <v>948</v>
      </c>
      <c r="L197" t="s">
        <v>1307</v>
      </c>
      <c r="M197" s="124" t="s">
        <v>1308</v>
      </c>
      <c r="N197" s="125" t="s">
        <v>1309</v>
      </c>
      <c r="O197" s="126" t="s">
        <v>929</v>
      </c>
      <c r="P197" s="127"/>
      <c r="Q197" s="128"/>
      <c r="R197" s="128"/>
      <c r="S197" s="129">
        <v>66174.94</v>
      </c>
      <c r="T197" s="130" t="s">
        <v>1327</v>
      </c>
      <c r="U197" s="131">
        <v>45455</v>
      </c>
      <c r="V197" s="132"/>
      <c r="W197" s="133"/>
      <c r="X197" s="134" t="s">
        <v>743</v>
      </c>
      <c r="Y197" s="135" t="s">
        <v>912</v>
      </c>
      <c r="Z197" s="128" t="s">
        <v>96</v>
      </c>
      <c r="AA197" s="128" t="s">
        <v>1328</v>
      </c>
      <c r="AB197" s="136"/>
      <c r="AC197" s="137"/>
      <c r="AD197" s="136"/>
      <c r="AE197" s="136"/>
      <c r="AF197" s="136"/>
      <c r="AG197" s="136"/>
      <c r="AH197" s="138">
        <v>-66174.94</v>
      </c>
      <c r="AI197" s="139" t="s">
        <v>98</v>
      </c>
      <c r="AJ197" s="139" t="s">
        <v>895</v>
      </c>
    </row>
    <row r="198" spans="1:36" ht="15.75" x14ac:dyDescent="0.25">
      <c r="A198" s="115">
        <v>18278</v>
      </c>
      <c r="B198" s="116" t="s">
        <v>36</v>
      </c>
      <c r="C198" s="117" t="s">
        <v>37</v>
      </c>
      <c r="D198" s="118" t="s">
        <v>36</v>
      </c>
      <c r="E198" s="119" t="s">
        <v>38</v>
      </c>
      <c r="F198" s="140" t="s">
        <v>39</v>
      </c>
      <c r="G198" s="118" t="s">
        <v>40</v>
      </c>
      <c r="H198" s="121" t="s">
        <v>41</v>
      </c>
      <c r="I198" s="120" t="s">
        <v>42</v>
      </c>
      <c r="J198" s="122" t="s">
        <v>43</v>
      </c>
      <c r="K198" s="123" t="s">
        <v>44</v>
      </c>
      <c r="L198" t="s">
        <v>1307</v>
      </c>
      <c r="M198" s="124" t="s">
        <v>1308</v>
      </c>
      <c r="N198" s="125" t="s">
        <v>1309</v>
      </c>
      <c r="O198" s="126" t="s">
        <v>929</v>
      </c>
      <c r="P198" s="127"/>
      <c r="Q198" s="128"/>
      <c r="R198" s="128"/>
      <c r="S198" s="129">
        <v>841.85</v>
      </c>
      <c r="T198" s="130" t="s">
        <v>1327</v>
      </c>
      <c r="U198" s="131">
        <v>45457</v>
      </c>
      <c r="V198" s="132"/>
      <c r="W198" s="133"/>
      <c r="X198" s="134" t="s">
        <v>1345</v>
      </c>
      <c r="Y198" s="135" t="s">
        <v>912</v>
      </c>
      <c r="Z198" s="128" t="s">
        <v>96</v>
      </c>
      <c r="AA198" s="128" t="s">
        <v>1328</v>
      </c>
      <c r="AB198" s="136"/>
      <c r="AC198" s="137"/>
      <c r="AD198" s="136"/>
      <c r="AE198" s="136"/>
      <c r="AF198" s="136"/>
      <c r="AG198" s="136"/>
      <c r="AH198" s="138">
        <v>-841.85</v>
      </c>
      <c r="AI198" s="139" t="s">
        <v>98</v>
      </c>
      <c r="AJ198" s="139" t="s">
        <v>895</v>
      </c>
    </row>
    <row r="199" spans="1:36" ht="15.75" x14ac:dyDescent="0.25">
      <c r="A199" s="115">
        <v>18466</v>
      </c>
      <c r="B199" s="116" t="s">
        <v>36</v>
      </c>
      <c r="C199" s="117" t="s">
        <v>37</v>
      </c>
      <c r="D199" s="118" t="s">
        <v>36</v>
      </c>
      <c r="E199" s="119" t="s">
        <v>38</v>
      </c>
      <c r="F199" s="140" t="s">
        <v>39</v>
      </c>
      <c r="G199" s="118" t="s">
        <v>40</v>
      </c>
      <c r="H199" s="121" t="s">
        <v>41</v>
      </c>
      <c r="I199" s="120" t="s">
        <v>301</v>
      </c>
      <c r="J199" s="122" t="s">
        <v>302</v>
      </c>
      <c r="K199" s="123" t="s">
        <v>303</v>
      </c>
      <c r="L199" t="s">
        <v>1307</v>
      </c>
      <c r="M199" s="124" t="s">
        <v>1308</v>
      </c>
      <c r="N199" s="125" t="s">
        <v>1309</v>
      </c>
      <c r="O199" s="126" t="s">
        <v>1329</v>
      </c>
      <c r="P199" s="127" t="s">
        <v>1330</v>
      </c>
      <c r="Q199" s="128">
        <v>1259.26</v>
      </c>
      <c r="R199" s="128">
        <v>1259.26</v>
      </c>
      <c r="S199" s="129">
        <v>1259.26</v>
      </c>
      <c r="T199" s="130" t="s">
        <v>1366</v>
      </c>
      <c r="U199" s="131">
        <v>45460</v>
      </c>
      <c r="V199" s="132">
        <v>45460</v>
      </c>
      <c r="W199" s="133">
        <v>186</v>
      </c>
      <c r="X199" s="134" t="s">
        <v>258</v>
      </c>
      <c r="Y199" s="135" t="s">
        <v>912</v>
      </c>
      <c r="Z199" s="128" t="s">
        <v>57</v>
      </c>
      <c r="AA199" s="128"/>
      <c r="AB199" s="136"/>
      <c r="AC199" s="137"/>
      <c r="AD199" s="136"/>
      <c r="AE199" s="136"/>
      <c r="AF199" s="136"/>
      <c r="AG199" s="136"/>
      <c r="AH199" s="138">
        <v>-1259.26</v>
      </c>
      <c r="AI199" s="139" t="s">
        <v>98</v>
      </c>
      <c r="AJ199" s="139" t="s">
        <v>895</v>
      </c>
    </row>
    <row r="200" spans="1:36" ht="15.75" x14ac:dyDescent="0.25">
      <c r="A200" s="115">
        <v>18647</v>
      </c>
      <c r="B200" s="116" t="s">
        <v>36</v>
      </c>
      <c r="C200" s="117" t="s">
        <v>37</v>
      </c>
      <c r="D200" s="118" t="s">
        <v>36</v>
      </c>
      <c r="E200" s="119" t="s">
        <v>38</v>
      </c>
      <c r="F200" s="140" t="s">
        <v>39</v>
      </c>
      <c r="G200" s="118" t="s">
        <v>40</v>
      </c>
      <c r="H200" s="121" t="s">
        <v>41</v>
      </c>
      <c r="I200" s="120" t="s">
        <v>42</v>
      </c>
      <c r="J200" s="122" t="s">
        <v>43</v>
      </c>
      <c r="K200" s="123" t="s">
        <v>44</v>
      </c>
      <c r="L200" t="s">
        <v>1307</v>
      </c>
      <c r="M200" s="124" t="s">
        <v>1308</v>
      </c>
      <c r="N200" s="125" t="s">
        <v>1309</v>
      </c>
      <c r="O200" s="126" t="s">
        <v>929</v>
      </c>
      <c r="P200" s="127"/>
      <c r="Q200" s="128"/>
      <c r="R200" s="128"/>
      <c r="S200" s="129">
        <v>863.34</v>
      </c>
      <c r="T200" s="130" t="s">
        <v>1327</v>
      </c>
      <c r="U200" s="131">
        <v>45461</v>
      </c>
      <c r="V200" s="132"/>
      <c r="W200" s="133"/>
      <c r="X200" s="134" t="s">
        <v>1345</v>
      </c>
      <c r="Y200" s="135" t="s">
        <v>912</v>
      </c>
      <c r="Z200" s="128" t="s">
        <v>96</v>
      </c>
      <c r="AA200" s="128" t="s">
        <v>1328</v>
      </c>
      <c r="AB200" s="136"/>
      <c r="AC200" s="137"/>
      <c r="AD200" s="136"/>
      <c r="AE200" s="136"/>
      <c r="AF200" s="136"/>
      <c r="AG200" s="136"/>
      <c r="AH200" s="138">
        <v>-863.34</v>
      </c>
      <c r="AI200" s="139" t="s">
        <v>98</v>
      </c>
      <c r="AJ200" s="139" t="s">
        <v>895</v>
      </c>
    </row>
    <row r="201" spans="1:36" ht="15.75" x14ac:dyDescent="0.25">
      <c r="A201" s="115">
        <v>18781</v>
      </c>
      <c r="B201" s="116" t="s">
        <v>36</v>
      </c>
      <c r="C201" s="117" t="s">
        <v>37</v>
      </c>
      <c r="D201" s="118" t="s">
        <v>36</v>
      </c>
      <c r="E201" s="119" t="s">
        <v>38</v>
      </c>
      <c r="F201" s="140" t="s">
        <v>39</v>
      </c>
      <c r="G201" s="118" t="s">
        <v>40</v>
      </c>
      <c r="H201" s="121" t="s">
        <v>41</v>
      </c>
      <c r="I201" s="120" t="s">
        <v>301</v>
      </c>
      <c r="J201" s="122" t="s">
        <v>302</v>
      </c>
      <c r="K201" s="123" t="s">
        <v>303</v>
      </c>
      <c r="L201" t="s">
        <v>1307</v>
      </c>
      <c r="M201" s="124" t="s">
        <v>1308</v>
      </c>
      <c r="N201" s="125" t="s">
        <v>1309</v>
      </c>
      <c r="O201" s="126" t="s">
        <v>1329</v>
      </c>
      <c r="P201" s="127" t="s">
        <v>1330</v>
      </c>
      <c r="Q201" s="128">
        <v>403.8</v>
      </c>
      <c r="R201" s="128">
        <v>403.8</v>
      </c>
      <c r="S201" s="129">
        <v>403.8</v>
      </c>
      <c r="T201" s="130" t="s">
        <v>1367</v>
      </c>
      <c r="U201" s="131">
        <v>45462</v>
      </c>
      <c r="V201" s="132">
        <v>45462</v>
      </c>
      <c r="W201" s="133">
        <v>186</v>
      </c>
      <c r="X201" s="134" t="s">
        <v>258</v>
      </c>
      <c r="Y201" s="135" t="s">
        <v>912</v>
      </c>
      <c r="Z201" s="128" t="s">
        <v>57</v>
      </c>
      <c r="AA201" s="128"/>
      <c r="AB201" s="136"/>
      <c r="AC201" s="137"/>
      <c r="AD201" s="136"/>
      <c r="AE201" s="136"/>
      <c r="AF201" s="136"/>
      <c r="AG201" s="136"/>
      <c r="AH201" s="138">
        <v>-403.8</v>
      </c>
      <c r="AI201" s="139" t="s">
        <v>98</v>
      </c>
      <c r="AJ201" s="139" t="s">
        <v>895</v>
      </c>
    </row>
    <row r="202" spans="1:36" ht="15.75" x14ac:dyDescent="0.25">
      <c r="A202" s="115">
        <v>19236</v>
      </c>
      <c r="B202" s="116" t="s">
        <v>36</v>
      </c>
      <c r="C202" s="117" t="s">
        <v>37</v>
      </c>
      <c r="D202" s="118" t="s">
        <v>36</v>
      </c>
      <c r="E202" s="119" t="s">
        <v>38</v>
      </c>
      <c r="F202" s="120" t="s">
        <v>39</v>
      </c>
      <c r="G202" s="118" t="s">
        <v>40</v>
      </c>
      <c r="H202" s="121" t="s">
        <v>41</v>
      </c>
      <c r="I202" s="120" t="s">
        <v>946</v>
      </c>
      <c r="J202" s="122" t="s">
        <v>947</v>
      </c>
      <c r="K202" s="123" t="s">
        <v>948</v>
      </c>
      <c r="L202" t="s">
        <v>1307</v>
      </c>
      <c r="M202" s="124" t="s">
        <v>1308</v>
      </c>
      <c r="N202" s="125" t="s">
        <v>1309</v>
      </c>
      <c r="O202" s="126" t="s">
        <v>929</v>
      </c>
      <c r="P202" s="127"/>
      <c r="Q202" s="128"/>
      <c r="R202" s="128"/>
      <c r="S202" s="129">
        <v>11009.2</v>
      </c>
      <c r="T202" s="130" t="s">
        <v>1327</v>
      </c>
      <c r="U202" s="131">
        <v>45468</v>
      </c>
      <c r="V202" s="132"/>
      <c r="W202" s="133"/>
      <c r="X202" s="134" t="s">
        <v>743</v>
      </c>
      <c r="Y202" s="135" t="s">
        <v>912</v>
      </c>
      <c r="Z202" s="128" t="s">
        <v>96</v>
      </c>
      <c r="AA202" s="128" t="s">
        <v>1328</v>
      </c>
      <c r="AB202" s="136"/>
      <c r="AC202" s="137"/>
      <c r="AD202" s="136"/>
      <c r="AE202" s="136"/>
      <c r="AF202" s="136"/>
      <c r="AG202" s="136"/>
      <c r="AH202" s="138">
        <v>-11009.2</v>
      </c>
      <c r="AI202" s="139" t="s">
        <v>98</v>
      </c>
      <c r="AJ202" s="139" t="s">
        <v>895</v>
      </c>
    </row>
    <row r="203" spans="1:36" ht="15.75" x14ac:dyDescent="0.25">
      <c r="A203" s="115">
        <v>19521</v>
      </c>
      <c r="B203" s="116" t="s">
        <v>36</v>
      </c>
      <c r="C203" s="117" t="s">
        <v>37</v>
      </c>
      <c r="D203" s="118" t="s">
        <v>36</v>
      </c>
      <c r="E203" s="119" t="s">
        <v>38</v>
      </c>
      <c r="F203" s="140" t="s">
        <v>39</v>
      </c>
      <c r="G203" s="118" t="s">
        <v>40</v>
      </c>
      <c r="H203" s="121" t="s">
        <v>41</v>
      </c>
      <c r="I203" s="120" t="s">
        <v>42</v>
      </c>
      <c r="J203" s="122" t="s">
        <v>43</v>
      </c>
      <c r="K203" s="123" t="s">
        <v>44</v>
      </c>
      <c r="L203" t="s">
        <v>1307</v>
      </c>
      <c r="M203" s="124" t="s">
        <v>1308</v>
      </c>
      <c r="N203" s="125" t="s">
        <v>1309</v>
      </c>
      <c r="O203" s="126" t="s">
        <v>929</v>
      </c>
      <c r="P203" s="127"/>
      <c r="Q203" s="128"/>
      <c r="R203" s="128"/>
      <c r="S203" s="129">
        <v>979.6</v>
      </c>
      <c r="T203" s="130" t="s">
        <v>1327</v>
      </c>
      <c r="U203" s="131">
        <v>45471</v>
      </c>
      <c r="V203" s="132"/>
      <c r="W203" s="133"/>
      <c r="X203" s="134" t="s">
        <v>1345</v>
      </c>
      <c r="Y203" s="135" t="s">
        <v>912</v>
      </c>
      <c r="Z203" s="128" t="s">
        <v>96</v>
      </c>
      <c r="AA203" s="128" t="s">
        <v>1328</v>
      </c>
      <c r="AB203" s="136"/>
      <c r="AC203" s="137"/>
      <c r="AD203" s="136"/>
      <c r="AE203" s="136"/>
      <c r="AF203" s="136"/>
      <c r="AG203" s="136"/>
      <c r="AH203" s="138">
        <v>-979.6</v>
      </c>
      <c r="AI203" s="139" t="s">
        <v>98</v>
      </c>
      <c r="AJ203" s="139" t="s">
        <v>895</v>
      </c>
    </row>
    <row r="204" spans="1:36" ht="15.75" x14ac:dyDescent="0.25">
      <c r="A204" s="115">
        <v>19656</v>
      </c>
      <c r="B204" s="116" t="s">
        <v>36</v>
      </c>
      <c r="C204" s="117" t="s">
        <v>37</v>
      </c>
      <c r="D204" s="118" t="s">
        <v>36</v>
      </c>
      <c r="E204" s="119" t="s">
        <v>38</v>
      </c>
      <c r="F204" s="120" t="s">
        <v>39</v>
      </c>
      <c r="G204" s="118" t="s">
        <v>40</v>
      </c>
      <c r="H204" s="121" t="s">
        <v>41</v>
      </c>
      <c r="I204" s="120" t="s">
        <v>42</v>
      </c>
      <c r="J204" s="122" t="s">
        <v>43</v>
      </c>
      <c r="K204" s="123" t="s">
        <v>44</v>
      </c>
      <c r="L204" t="s">
        <v>1307</v>
      </c>
      <c r="M204" s="124" t="s">
        <v>1308</v>
      </c>
      <c r="N204" s="125" t="s">
        <v>1309</v>
      </c>
      <c r="O204" s="126" t="s">
        <v>1310</v>
      </c>
      <c r="P204" s="127" t="s">
        <v>1311</v>
      </c>
      <c r="Q204" s="128">
        <v>6342.6861133333332</v>
      </c>
      <c r="R204" s="128">
        <v>6342.6861133333332</v>
      </c>
      <c r="S204" s="129">
        <v>6342.6861133333332</v>
      </c>
      <c r="T204" s="130" t="s">
        <v>1312</v>
      </c>
      <c r="U204" s="131">
        <v>45474</v>
      </c>
      <c r="V204" s="132"/>
      <c r="W204" s="133"/>
      <c r="X204" s="134" t="s">
        <v>1314</v>
      </c>
      <c r="Y204" s="135" t="s">
        <v>912</v>
      </c>
      <c r="Z204" s="128" t="s">
        <v>1313</v>
      </c>
      <c r="AA204" s="128"/>
      <c r="AB204" s="136"/>
      <c r="AC204" s="137"/>
      <c r="AD204" s="136"/>
      <c r="AE204" s="136"/>
      <c r="AF204" s="136"/>
      <c r="AG204" s="136"/>
      <c r="AH204" s="138">
        <v>-6342.6861133333332</v>
      </c>
      <c r="AI204" s="139" t="s">
        <v>98</v>
      </c>
      <c r="AJ204" s="139" t="s">
        <v>895</v>
      </c>
    </row>
    <row r="205" spans="1:36" ht="15.75" x14ac:dyDescent="0.25">
      <c r="A205" s="115">
        <v>19668</v>
      </c>
      <c r="B205" s="116" t="s">
        <v>36</v>
      </c>
      <c r="C205" s="117" t="s">
        <v>37</v>
      </c>
      <c r="D205" s="118" t="s">
        <v>36</v>
      </c>
      <c r="E205" s="119" t="s">
        <v>38</v>
      </c>
      <c r="F205" s="120" t="s">
        <v>39</v>
      </c>
      <c r="G205" s="118" t="s">
        <v>40</v>
      </c>
      <c r="H205" s="121" t="s">
        <v>41</v>
      </c>
      <c r="I205" s="120" t="s">
        <v>301</v>
      </c>
      <c r="J205" s="122" t="s">
        <v>302</v>
      </c>
      <c r="K205" s="123" t="s">
        <v>303</v>
      </c>
      <c r="L205" t="s">
        <v>1307</v>
      </c>
      <c r="M205" s="124" t="s">
        <v>1308</v>
      </c>
      <c r="N205" s="125" t="s">
        <v>1309</v>
      </c>
      <c r="O205" s="126" t="s">
        <v>1310</v>
      </c>
      <c r="P205" s="127" t="s">
        <v>1311</v>
      </c>
      <c r="Q205" s="128">
        <v>4019.2484599999998</v>
      </c>
      <c r="R205" s="128">
        <v>4019.2484599999998</v>
      </c>
      <c r="S205" s="129">
        <v>4019.2484599999998</v>
      </c>
      <c r="T205" s="130" t="s">
        <v>1312</v>
      </c>
      <c r="U205" s="131">
        <v>45474</v>
      </c>
      <c r="V205" s="132"/>
      <c r="W205" s="133"/>
      <c r="X205" s="134" t="s">
        <v>1315</v>
      </c>
      <c r="Y205" s="135" t="s">
        <v>912</v>
      </c>
      <c r="Z205" s="128" t="s">
        <v>1313</v>
      </c>
      <c r="AA205" s="128"/>
      <c r="AB205" s="136"/>
      <c r="AC205" s="137"/>
      <c r="AD205" s="136"/>
      <c r="AE205" s="136"/>
      <c r="AF205" s="136"/>
      <c r="AG205" s="136"/>
      <c r="AH205" s="138">
        <v>-4019.2484599999998</v>
      </c>
      <c r="AI205" s="139" t="s">
        <v>98</v>
      </c>
      <c r="AJ205" s="139" t="s">
        <v>895</v>
      </c>
    </row>
    <row r="206" spans="1:36" ht="15.75" x14ac:dyDescent="0.25">
      <c r="A206" s="115">
        <v>19676</v>
      </c>
      <c r="B206" s="116" t="s">
        <v>36</v>
      </c>
      <c r="C206" s="117" t="s">
        <v>37</v>
      </c>
      <c r="D206" s="118" t="s">
        <v>36</v>
      </c>
      <c r="E206" s="119" t="s">
        <v>38</v>
      </c>
      <c r="F206" s="120" t="s">
        <v>39</v>
      </c>
      <c r="G206" s="118" t="s">
        <v>40</v>
      </c>
      <c r="H206" s="121" t="s">
        <v>41</v>
      </c>
      <c r="I206" s="120" t="s">
        <v>524</v>
      </c>
      <c r="J206" s="122" t="s">
        <v>525</v>
      </c>
      <c r="K206" s="123" t="s">
        <v>526</v>
      </c>
      <c r="L206" t="s">
        <v>1307</v>
      </c>
      <c r="M206" s="124" t="s">
        <v>1308</v>
      </c>
      <c r="N206" s="125" t="s">
        <v>1309</v>
      </c>
      <c r="O206" s="126" t="s">
        <v>1310</v>
      </c>
      <c r="P206" s="127" t="s">
        <v>1311</v>
      </c>
      <c r="Q206" s="128">
        <v>7302.4775799999998</v>
      </c>
      <c r="R206" s="128">
        <v>7302.4775799999998</v>
      </c>
      <c r="S206" s="129">
        <v>7302.4775799999998</v>
      </c>
      <c r="T206" s="130" t="s">
        <v>1312</v>
      </c>
      <c r="U206" s="131">
        <v>45474</v>
      </c>
      <c r="V206" s="132"/>
      <c r="W206" s="133"/>
      <c r="X206" s="134" t="s">
        <v>874</v>
      </c>
      <c r="Y206" s="135" t="s">
        <v>912</v>
      </c>
      <c r="Z206" s="128" t="s">
        <v>1313</v>
      </c>
      <c r="AA206" s="128"/>
      <c r="AB206" s="136"/>
      <c r="AC206" s="137"/>
      <c r="AD206" s="136"/>
      <c r="AE206" s="136"/>
      <c r="AF206" s="136"/>
      <c r="AG206" s="136"/>
      <c r="AH206" s="138">
        <v>-7302.4775799999998</v>
      </c>
      <c r="AI206" s="139" t="s">
        <v>98</v>
      </c>
      <c r="AJ206" s="139" t="s">
        <v>895</v>
      </c>
    </row>
    <row r="207" spans="1:36" ht="15.75" x14ac:dyDescent="0.25">
      <c r="A207" s="115">
        <v>19767</v>
      </c>
      <c r="B207" s="116" t="s">
        <v>36</v>
      </c>
      <c r="C207" s="117" t="s">
        <v>37</v>
      </c>
      <c r="D207" s="118" t="s">
        <v>36</v>
      </c>
      <c r="E207" s="119" t="s">
        <v>38</v>
      </c>
      <c r="F207" s="120" t="s">
        <v>39</v>
      </c>
      <c r="G207" s="118" t="s">
        <v>40</v>
      </c>
      <c r="H207" s="121" t="s">
        <v>41</v>
      </c>
      <c r="I207" s="120" t="s">
        <v>524</v>
      </c>
      <c r="J207" s="122" t="s">
        <v>525</v>
      </c>
      <c r="K207" s="123" t="s">
        <v>526</v>
      </c>
      <c r="L207" t="s">
        <v>1307</v>
      </c>
      <c r="M207" s="124" t="s">
        <v>1308</v>
      </c>
      <c r="N207" s="125" t="s">
        <v>1309</v>
      </c>
      <c r="O207" s="126" t="s">
        <v>1310</v>
      </c>
      <c r="P207" s="127" t="s">
        <v>1311</v>
      </c>
      <c r="Q207" s="128">
        <v>8393.157348888888</v>
      </c>
      <c r="R207" s="128">
        <v>8393.157348888888</v>
      </c>
      <c r="S207" s="129">
        <v>8393.157348888888</v>
      </c>
      <c r="T207" s="130" t="s">
        <v>1312</v>
      </c>
      <c r="U207" s="131">
        <v>45474</v>
      </c>
      <c r="V207" s="132"/>
      <c r="W207" s="133"/>
      <c r="X207" s="134" t="s">
        <v>1338</v>
      </c>
      <c r="Y207" s="135" t="s">
        <v>912</v>
      </c>
      <c r="Z207" s="128" t="s">
        <v>1313</v>
      </c>
      <c r="AA207" s="128"/>
      <c r="AB207" s="136"/>
      <c r="AC207" s="137"/>
      <c r="AD207" s="136"/>
      <c r="AE207" s="136"/>
      <c r="AF207" s="136"/>
      <c r="AG207" s="136"/>
      <c r="AH207" s="138">
        <v>-8393.157348888888</v>
      </c>
      <c r="AI207" s="139" t="s">
        <v>98</v>
      </c>
      <c r="AJ207" s="139" t="s">
        <v>895</v>
      </c>
    </row>
    <row r="208" spans="1:36" ht="15.75" x14ac:dyDescent="0.25">
      <c r="A208" s="115">
        <v>19799</v>
      </c>
      <c r="B208" s="116" t="s">
        <v>36</v>
      </c>
      <c r="C208" s="117" t="s">
        <v>37</v>
      </c>
      <c r="D208" s="118" t="s">
        <v>36</v>
      </c>
      <c r="E208" s="119" t="s">
        <v>38</v>
      </c>
      <c r="F208" s="120" t="s">
        <v>39</v>
      </c>
      <c r="G208" s="118" t="s">
        <v>40</v>
      </c>
      <c r="H208" s="121" t="s">
        <v>41</v>
      </c>
      <c r="I208" s="120" t="s">
        <v>524</v>
      </c>
      <c r="J208" s="122" t="s">
        <v>525</v>
      </c>
      <c r="K208" s="123" t="s">
        <v>526</v>
      </c>
      <c r="L208" t="s">
        <v>1307</v>
      </c>
      <c r="M208" s="124" t="s">
        <v>1308</v>
      </c>
      <c r="N208" s="125" t="s">
        <v>1309</v>
      </c>
      <c r="O208" s="126" t="s">
        <v>1310</v>
      </c>
      <c r="P208" s="127" t="s">
        <v>1311</v>
      </c>
      <c r="Q208" s="128">
        <v>10047.25582</v>
      </c>
      <c r="R208" s="128">
        <v>10047.25582</v>
      </c>
      <c r="S208" s="129">
        <v>10047.25582</v>
      </c>
      <c r="T208" s="130" t="s">
        <v>1312</v>
      </c>
      <c r="U208" s="131">
        <v>45474</v>
      </c>
      <c r="V208" s="132"/>
      <c r="W208" s="133"/>
      <c r="X208" s="134" t="s">
        <v>1318</v>
      </c>
      <c r="Y208" s="135" t="s">
        <v>912</v>
      </c>
      <c r="Z208" s="128" t="s">
        <v>1313</v>
      </c>
      <c r="AA208" s="128"/>
      <c r="AB208" s="136"/>
      <c r="AC208" s="137"/>
      <c r="AD208" s="136"/>
      <c r="AE208" s="136"/>
      <c r="AF208" s="136"/>
      <c r="AG208" s="136"/>
      <c r="AH208" s="138">
        <v>-10047.25582</v>
      </c>
      <c r="AI208" s="139" t="s">
        <v>98</v>
      </c>
      <c r="AJ208" s="139" t="s">
        <v>895</v>
      </c>
    </row>
    <row r="209" spans="1:36" ht="15.75" x14ac:dyDescent="0.25">
      <c r="A209" s="115">
        <v>19815</v>
      </c>
      <c r="B209" s="116" t="s">
        <v>36</v>
      </c>
      <c r="C209" s="117" t="s">
        <v>37</v>
      </c>
      <c r="D209" s="118" t="s">
        <v>36</v>
      </c>
      <c r="E209" s="119" t="s">
        <v>38</v>
      </c>
      <c r="F209" s="120" t="s">
        <v>39</v>
      </c>
      <c r="G209" s="118" t="s">
        <v>40</v>
      </c>
      <c r="H209" s="121" t="s">
        <v>41</v>
      </c>
      <c r="I209" s="120" t="s">
        <v>1319</v>
      </c>
      <c r="J209" s="122" t="s">
        <v>1320</v>
      </c>
      <c r="K209" s="123" t="s">
        <v>1321</v>
      </c>
      <c r="L209" t="s">
        <v>1307</v>
      </c>
      <c r="M209" s="124" t="s">
        <v>1308</v>
      </c>
      <c r="N209" s="125" t="s">
        <v>1309</v>
      </c>
      <c r="O209" s="126" t="s">
        <v>1310</v>
      </c>
      <c r="P209" s="127" t="s">
        <v>1311</v>
      </c>
      <c r="Q209" s="128">
        <v>6345.8493133333341</v>
      </c>
      <c r="R209" s="128">
        <v>6345.8493133333341</v>
      </c>
      <c r="S209" s="129">
        <v>6345.8493133333341</v>
      </c>
      <c r="T209" s="130" t="s">
        <v>1312</v>
      </c>
      <c r="U209" s="131">
        <v>45474</v>
      </c>
      <c r="V209" s="132"/>
      <c r="W209" s="133"/>
      <c r="X209" s="134" t="s">
        <v>1322</v>
      </c>
      <c r="Y209" s="135" t="s">
        <v>912</v>
      </c>
      <c r="Z209" s="128" t="s">
        <v>1313</v>
      </c>
      <c r="AA209" s="128"/>
      <c r="AB209" s="136"/>
      <c r="AC209" s="137"/>
      <c r="AD209" s="136"/>
      <c r="AE209" s="136"/>
      <c r="AF209" s="136"/>
      <c r="AG209" s="136"/>
      <c r="AH209" s="138">
        <v>-6345.8493133333341</v>
      </c>
      <c r="AI209" s="139" t="s">
        <v>98</v>
      </c>
      <c r="AJ209" s="139" t="s">
        <v>895</v>
      </c>
    </row>
    <row r="210" spans="1:36" ht="15.75" x14ac:dyDescent="0.25">
      <c r="A210" s="115">
        <v>19824</v>
      </c>
      <c r="B210" s="116" t="s">
        <v>36</v>
      </c>
      <c r="C210" s="117" t="s">
        <v>37</v>
      </c>
      <c r="D210" s="118" t="s">
        <v>36</v>
      </c>
      <c r="E210" s="119" t="s">
        <v>38</v>
      </c>
      <c r="F210" s="120" t="s">
        <v>39</v>
      </c>
      <c r="G210" s="118" t="s">
        <v>40</v>
      </c>
      <c r="H210" s="121" t="s">
        <v>41</v>
      </c>
      <c r="I210" s="120" t="s">
        <v>1319</v>
      </c>
      <c r="J210" s="122" t="s">
        <v>1320</v>
      </c>
      <c r="K210" s="123" t="s">
        <v>1321</v>
      </c>
      <c r="L210" t="s">
        <v>1307</v>
      </c>
      <c r="M210" s="124" t="s">
        <v>1308</v>
      </c>
      <c r="N210" s="125" t="s">
        <v>1309</v>
      </c>
      <c r="O210" s="126" t="s">
        <v>1310</v>
      </c>
      <c r="P210" s="127" t="s">
        <v>1311</v>
      </c>
      <c r="Q210" s="128">
        <v>5412.8511622222222</v>
      </c>
      <c r="R210" s="128">
        <v>5412.8511622222222</v>
      </c>
      <c r="S210" s="129">
        <v>5412.8511622222222</v>
      </c>
      <c r="T210" s="130" t="s">
        <v>1312</v>
      </c>
      <c r="U210" s="131">
        <v>45474</v>
      </c>
      <c r="V210" s="132"/>
      <c r="W210" s="133"/>
      <c r="X210" s="134" t="s">
        <v>1368</v>
      </c>
      <c r="Y210" s="135" t="s">
        <v>912</v>
      </c>
      <c r="Z210" s="128" t="s">
        <v>1313</v>
      </c>
      <c r="AA210" s="128"/>
      <c r="AB210" s="136"/>
      <c r="AC210" s="137"/>
      <c r="AD210" s="136"/>
      <c r="AE210" s="136"/>
      <c r="AF210" s="136"/>
      <c r="AG210" s="136"/>
      <c r="AH210" s="138">
        <v>-5412.8511622222222</v>
      </c>
      <c r="AI210" s="139" t="s">
        <v>98</v>
      </c>
      <c r="AJ210" s="139" t="s">
        <v>895</v>
      </c>
    </row>
    <row r="211" spans="1:36" ht="15.75" x14ac:dyDescent="0.25">
      <c r="A211" s="115">
        <v>19850</v>
      </c>
      <c r="B211" s="116" t="s">
        <v>36</v>
      </c>
      <c r="C211" s="117" t="s">
        <v>37</v>
      </c>
      <c r="D211" s="118" t="s">
        <v>36</v>
      </c>
      <c r="E211" s="119" t="s">
        <v>38</v>
      </c>
      <c r="F211" s="120" t="s">
        <v>39</v>
      </c>
      <c r="G211" s="118" t="s">
        <v>40</v>
      </c>
      <c r="H211" s="121" t="s">
        <v>41</v>
      </c>
      <c r="I211" s="120" t="s">
        <v>301</v>
      </c>
      <c r="J211" s="122" t="s">
        <v>302</v>
      </c>
      <c r="K211" s="123" t="s">
        <v>303</v>
      </c>
      <c r="L211" t="s">
        <v>1307</v>
      </c>
      <c r="M211" s="124" t="s">
        <v>1308</v>
      </c>
      <c r="N211" s="125" t="s">
        <v>1309</v>
      </c>
      <c r="O211" s="126" t="s">
        <v>1310</v>
      </c>
      <c r="P211" s="127" t="s">
        <v>1311</v>
      </c>
      <c r="Q211" s="128">
        <v>8080.3844955555551</v>
      </c>
      <c r="R211" s="128">
        <v>8080.3844955555551</v>
      </c>
      <c r="S211" s="129">
        <v>8080.3844955555551</v>
      </c>
      <c r="T211" s="130" t="s">
        <v>1312</v>
      </c>
      <c r="U211" s="131">
        <v>45474</v>
      </c>
      <c r="V211" s="132"/>
      <c r="W211" s="133"/>
      <c r="X211" s="134" t="s">
        <v>1323</v>
      </c>
      <c r="Y211" s="135" t="s">
        <v>912</v>
      </c>
      <c r="Z211" s="128" t="s">
        <v>1313</v>
      </c>
      <c r="AA211" s="128"/>
      <c r="AB211" s="136"/>
      <c r="AC211" s="137"/>
      <c r="AD211" s="136"/>
      <c r="AE211" s="136"/>
      <c r="AF211" s="136"/>
      <c r="AG211" s="136"/>
      <c r="AH211" s="138">
        <v>-8080.3844955555551</v>
      </c>
      <c r="AI211" s="139" t="s">
        <v>98</v>
      </c>
      <c r="AJ211" s="139" t="s">
        <v>895</v>
      </c>
    </row>
    <row r="212" spans="1:36" ht="15.75" x14ac:dyDescent="0.25">
      <c r="A212" s="115">
        <v>19866</v>
      </c>
      <c r="B212" s="116" t="s">
        <v>36</v>
      </c>
      <c r="C212" s="117" t="s">
        <v>37</v>
      </c>
      <c r="D212" s="118" t="s">
        <v>36</v>
      </c>
      <c r="E212" s="119" t="s">
        <v>38</v>
      </c>
      <c r="F212" s="140" t="s">
        <v>39</v>
      </c>
      <c r="G212" s="118" t="s">
        <v>40</v>
      </c>
      <c r="H212" s="121" t="s">
        <v>41</v>
      </c>
      <c r="I212" s="120" t="s">
        <v>1319</v>
      </c>
      <c r="J212" s="122" t="s">
        <v>1320</v>
      </c>
      <c r="K212" s="123" t="s">
        <v>1321</v>
      </c>
      <c r="L212" t="s">
        <v>1307</v>
      </c>
      <c r="M212" s="124" t="s">
        <v>1308</v>
      </c>
      <c r="N212" s="125" t="s">
        <v>1309</v>
      </c>
      <c r="O212" s="126" t="s">
        <v>1310</v>
      </c>
      <c r="P212" s="127" t="s">
        <v>1311</v>
      </c>
      <c r="Q212" s="128">
        <v>9606.6981488888887</v>
      </c>
      <c r="R212" s="128">
        <v>9606.6981488888887</v>
      </c>
      <c r="S212" s="129">
        <v>9606.6981488888887</v>
      </c>
      <c r="T212" s="130" t="s">
        <v>1312</v>
      </c>
      <c r="U212" s="131">
        <v>45474</v>
      </c>
      <c r="V212" s="132"/>
      <c r="W212" s="133"/>
      <c r="X212" s="134" t="s">
        <v>1345</v>
      </c>
      <c r="Y212" s="135" t="s">
        <v>912</v>
      </c>
      <c r="Z212" s="128" t="s">
        <v>1313</v>
      </c>
      <c r="AA212" s="128"/>
      <c r="AB212" s="136"/>
      <c r="AC212" s="137"/>
      <c r="AD212" s="136"/>
      <c r="AE212" s="136"/>
      <c r="AF212" s="136"/>
      <c r="AG212" s="136"/>
      <c r="AH212" s="138">
        <v>-9606.6981488888887</v>
      </c>
      <c r="AI212" s="139" t="s">
        <v>98</v>
      </c>
      <c r="AJ212" s="139" t="s">
        <v>895</v>
      </c>
    </row>
    <row r="213" spans="1:36" ht="15.75" x14ac:dyDescent="0.25">
      <c r="A213" s="115">
        <v>19876</v>
      </c>
      <c r="B213" s="116" t="s">
        <v>36</v>
      </c>
      <c r="C213" s="117" t="s">
        <v>37</v>
      </c>
      <c r="D213" s="118" t="s">
        <v>36</v>
      </c>
      <c r="E213" s="119" t="s">
        <v>38</v>
      </c>
      <c r="F213" s="140" t="s">
        <v>39</v>
      </c>
      <c r="G213" s="118" t="s">
        <v>40</v>
      </c>
      <c r="H213" s="121" t="s">
        <v>41</v>
      </c>
      <c r="I213" s="120" t="s">
        <v>301</v>
      </c>
      <c r="J213" s="122" t="s">
        <v>302</v>
      </c>
      <c r="K213" s="123" t="s">
        <v>303</v>
      </c>
      <c r="L213" t="s">
        <v>1307</v>
      </c>
      <c r="M213" s="124" t="s">
        <v>1308</v>
      </c>
      <c r="N213" s="125" t="s">
        <v>1309</v>
      </c>
      <c r="O213" s="126" t="s">
        <v>1324</v>
      </c>
      <c r="P213" s="127" t="s">
        <v>1311</v>
      </c>
      <c r="Q213" s="128">
        <v>9339.9169888888882</v>
      </c>
      <c r="R213" s="128">
        <v>9339.9169888888882</v>
      </c>
      <c r="S213" s="129">
        <v>9339.9169888888882</v>
      </c>
      <c r="T213" s="130" t="s">
        <v>1312</v>
      </c>
      <c r="U213" s="131">
        <v>45474</v>
      </c>
      <c r="V213" s="132"/>
      <c r="W213" s="133"/>
      <c r="X213" s="134" t="s">
        <v>258</v>
      </c>
      <c r="Y213" s="135" t="s">
        <v>912</v>
      </c>
      <c r="Z213" s="128" t="s">
        <v>1313</v>
      </c>
      <c r="AA213" s="128"/>
      <c r="AB213" s="136"/>
      <c r="AC213" s="137"/>
      <c r="AD213" s="136"/>
      <c r="AE213" s="136"/>
      <c r="AF213" s="136"/>
      <c r="AG213" s="136"/>
      <c r="AH213" s="138">
        <v>-9339.9169888888882</v>
      </c>
      <c r="AI213" s="139" t="s">
        <v>98</v>
      </c>
      <c r="AJ213" s="139" t="s">
        <v>895</v>
      </c>
    </row>
    <row r="214" spans="1:36" ht="15.75" x14ac:dyDescent="0.25">
      <c r="A214" s="115">
        <v>19879</v>
      </c>
      <c r="B214" s="116" t="s">
        <v>36</v>
      </c>
      <c r="C214" s="117" t="s">
        <v>37</v>
      </c>
      <c r="D214" s="118" t="s">
        <v>36</v>
      </c>
      <c r="E214" s="119" t="s">
        <v>38</v>
      </c>
      <c r="F214" s="140" t="s">
        <v>39</v>
      </c>
      <c r="G214" s="118" t="s">
        <v>40</v>
      </c>
      <c r="H214" s="121" t="s">
        <v>41</v>
      </c>
      <c r="I214" s="120" t="s">
        <v>524</v>
      </c>
      <c r="J214" s="122" t="s">
        <v>525</v>
      </c>
      <c r="K214" s="123" t="s">
        <v>526</v>
      </c>
      <c r="L214" t="s">
        <v>1307</v>
      </c>
      <c r="M214" s="124" t="s">
        <v>1308</v>
      </c>
      <c r="N214" s="125" t="s">
        <v>1309</v>
      </c>
      <c r="O214" s="126" t="s">
        <v>1310</v>
      </c>
      <c r="P214" s="127" t="s">
        <v>1311</v>
      </c>
      <c r="Q214" s="128">
        <v>7319.2747355555557</v>
      </c>
      <c r="R214" s="128">
        <v>7319.2747355555557</v>
      </c>
      <c r="S214" s="129">
        <v>7319.2747355555557</v>
      </c>
      <c r="T214" s="130" t="s">
        <v>1312</v>
      </c>
      <c r="U214" s="131">
        <v>45474</v>
      </c>
      <c r="V214" s="132"/>
      <c r="W214" s="133"/>
      <c r="X214" s="134" t="s">
        <v>1215</v>
      </c>
      <c r="Y214" s="135" t="s">
        <v>912</v>
      </c>
      <c r="Z214" s="128" t="s">
        <v>1313</v>
      </c>
      <c r="AA214" s="128"/>
      <c r="AB214" s="136"/>
      <c r="AC214" s="137"/>
      <c r="AD214" s="136"/>
      <c r="AE214" s="136"/>
      <c r="AF214" s="136"/>
      <c r="AG214" s="136"/>
      <c r="AH214" s="138">
        <v>-7319.2747355555557</v>
      </c>
      <c r="AI214" s="139" t="s">
        <v>98</v>
      </c>
      <c r="AJ214" s="139" t="s">
        <v>895</v>
      </c>
    </row>
    <row r="215" spans="1:36" ht="15.75" x14ac:dyDescent="0.25">
      <c r="A215" s="115">
        <v>19926</v>
      </c>
      <c r="B215" s="116" t="s">
        <v>36</v>
      </c>
      <c r="C215" s="117" t="s">
        <v>37</v>
      </c>
      <c r="D215" s="118" t="s">
        <v>36</v>
      </c>
      <c r="E215" s="119" t="s">
        <v>38</v>
      </c>
      <c r="F215" s="140" t="s">
        <v>39</v>
      </c>
      <c r="G215" s="118" t="s">
        <v>40</v>
      </c>
      <c r="H215" s="121" t="s">
        <v>41</v>
      </c>
      <c r="I215" s="120" t="s">
        <v>42</v>
      </c>
      <c r="J215" s="122" t="s">
        <v>43</v>
      </c>
      <c r="K215" s="123" t="s">
        <v>44</v>
      </c>
      <c r="L215" t="s">
        <v>1307</v>
      </c>
      <c r="M215" s="124" t="s">
        <v>1308</v>
      </c>
      <c r="N215" s="125" t="s">
        <v>1309</v>
      </c>
      <c r="O215" s="126" t="s">
        <v>1310</v>
      </c>
      <c r="P215" s="127" t="s">
        <v>1311</v>
      </c>
      <c r="Q215" s="128">
        <v>6305.5057399999987</v>
      </c>
      <c r="R215" s="128">
        <v>6305.5057399999987</v>
      </c>
      <c r="S215" s="129">
        <v>6305.5057399999987</v>
      </c>
      <c r="T215" s="130" t="s">
        <v>1312</v>
      </c>
      <c r="U215" s="131">
        <v>45474</v>
      </c>
      <c r="V215" s="132"/>
      <c r="W215" s="133"/>
      <c r="X215" s="134" t="s">
        <v>1325</v>
      </c>
      <c r="Y215" s="135" t="s">
        <v>912</v>
      </c>
      <c r="Z215" s="128" t="s">
        <v>1313</v>
      </c>
      <c r="AA215" s="128"/>
      <c r="AB215" s="136"/>
      <c r="AC215" s="137"/>
      <c r="AD215" s="136"/>
      <c r="AE215" s="136"/>
      <c r="AF215" s="136"/>
      <c r="AG215" s="136"/>
      <c r="AH215" s="138">
        <v>-6305.5057399999987</v>
      </c>
      <c r="AI215" s="139" t="s">
        <v>98</v>
      </c>
      <c r="AJ215" s="139" t="s">
        <v>895</v>
      </c>
    </row>
    <row r="216" spans="1:36" ht="15.75" x14ac:dyDescent="0.25">
      <c r="A216" s="115">
        <v>20009</v>
      </c>
      <c r="B216" s="116" t="s">
        <v>36</v>
      </c>
      <c r="C216" s="117" t="s">
        <v>37</v>
      </c>
      <c r="D216" s="118" t="s">
        <v>36</v>
      </c>
      <c r="E216" s="119" t="s">
        <v>38</v>
      </c>
      <c r="F216" s="120" t="s">
        <v>39</v>
      </c>
      <c r="G216" s="118" t="s">
        <v>40</v>
      </c>
      <c r="H216" s="121" t="s">
        <v>41</v>
      </c>
      <c r="I216" s="120" t="s">
        <v>1319</v>
      </c>
      <c r="J216" s="122" t="s">
        <v>1320</v>
      </c>
      <c r="K216" s="123" t="s">
        <v>1321</v>
      </c>
      <c r="L216" t="s">
        <v>1307</v>
      </c>
      <c r="M216" s="124" t="s">
        <v>1308</v>
      </c>
      <c r="N216" s="125" t="s">
        <v>1309</v>
      </c>
      <c r="O216" s="126" t="s">
        <v>1310</v>
      </c>
      <c r="P216" s="127" t="s">
        <v>1311</v>
      </c>
      <c r="Q216" s="128">
        <v>6434.369953333332</v>
      </c>
      <c r="R216" s="128">
        <v>6434.369953333332</v>
      </c>
      <c r="S216" s="129">
        <v>6434.369953333332</v>
      </c>
      <c r="T216" s="130" t="s">
        <v>1312</v>
      </c>
      <c r="U216" s="131">
        <v>45474</v>
      </c>
      <c r="V216" s="132"/>
      <c r="W216" s="133"/>
      <c r="X216" s="134" t="s">
        <v>1326</v>
      </c>
      <c r="Y216" s="135" t="s">
        <v>912</v>
      </c>
      <c r="Z216" s="128" t="s">
        <v>1313</v>
      </c>
      <c r="AA216" s="128"/>
      <c r="AB216" s="136"/>
      <c r="AC216" s="137"/>
      <c r="AD216" s="136"/>
      <c r="AE216" s="136"/>
      <c r="AF216" s="136"/>
      <c r="AG216" s="136"/>
      <c r="AH216" s="138">
        <v>-6434.369953333332</v>
      </c>
      <c r="AI216" s="139" t="s">
        <v>98</v>
      </c>
      <c r="AJ216" s="139" t="s">
        <v>895</v>
      </c>
    </row>
    <row r="217" spans="1:36" ht="15.75" x14ac:dyDescent="0.25">
      <c r="A217" s="115">
        <v>20010</v>
      </c>
      <c r="B217" s="116" t="s">
        <v>36</v>
      </c>
      <c r="C217" s="117" t="s">
        <v>37</v>
      </c>
      <c r="D217" s="118" t="s">
        <v>36</v>
      </c>
      <c r="E217" s="119" t="s">
        <v>38</v>
      </c>
      <c r="F217" s="120" t="s">
        <v>39</v>
      </c>
      <c r="G217" s="118" t="s">
        <v>40</v>
      </c>
      <c r="H217" s="121" t="s">
        <v>41</v>
      </c>
      <c r="I217" s="120" t="s">
        <v>1360</v>
      </c>
      <c r="J217" s="122" t="s">
        <v>1361</v>
      </c>
      <c r="K217" s="123" t="s">
        <v>1362</v>
      </c>
      <c r="L217" t="s">
        <v>1307</v>
      </c>
      <c r="M217" s="124" t="s">
        <v>1308</v>
      </c>
      <c r="N217" s="125" t="s">
        <v>1309</v>
      </c>
      <c r="O217" s="126" t="s">
        <v>1363</v>
      </c>
      <c r="P217" s="127" t="s">
        <v>1311</v>
      </c>
      <c r="Q217" s="128">
        <v>7548.0347761177782</v>
      </c>
      <c r="R217" s="128">
        <v>7548.0347761177782</v>
      </c>
      <c r="S217" s="129">
        <v>7548.0347761177782</v>
      </c>
      <c r="T217" s="130" t="s">
        <v>1312</v>
      </c>
      <c r="U217" s="131">
        <v>45474</v>
      </c>
      <c r="V217" s="132"/>
      <c r="W217" s="133"/>
      <c r="X217" s="134" t="s">
        <v>1364</v>
      </c>
      <c r="Y217" s="135" t="s">
        <v>912</v>
      </c>
      <c r="Z217" s="128" t="s">
        <v>1313</v>
      </c>
      <c r="AA217" s="128"/>
      <c r="AB217" s="136"/>
      <c r="AC217" s="137"/>
      <c r="AD217" s="136"/>
      <c r="AE217" s="136"/>
      <c r="AF217" s="136"/>
      <c r="AG217" s="136"/>
      <c r="AH217" s="138">
        <v>-7548.0347761177782</v>
      </c>
      <c r="AI217" s="139" t="s">
        <v>98</v>
      </c>
      <c r="AJ217" s="139" t="s">
        <v>895</v>
      </c>
    </row>
    <row r="218" spans="1:36" ht="15.75" x14ac:dyDescent="0.25">
      <c r="A218" s="115">
        <v>20403</v>
      </c>
      <c r="B218" s="116" t="s">
        <v>36</v>
      </c>
      <c r="C218" s="117" t="s">
        <v>37</v>
      </c>
      <c r="D218" s="118" t="s">
        <v>36</v>
      </c>
      <c r="E218" s="119" t="s">
        <v>38</v>
      </c>
      <c r="F218" s="120" t="s">
        <v>39</v>
      </c>
      <c r="G218" s="118" t="s">
        <v>40</v>
      </c>
      <c r="H218" s="121" t="s">
        <v>41</v>
      </c>
      <c r="I218" s="120" t="s">
        <v>524</v>
      </c>
      <c r="J218" s="122" t="s">
        <v>525</v>
      </c>
      <c r="K218" s="123" t="s">
        <v>526</v>
      </c>
      <c r="L218" t="s">
        <v>1307</v>
      </c>
      <c r="M218" s="124" t="s">
        <v>1308</v>
      </c>
      <c r="N218" s="125" t="s">
        <v>1309</v>
      </c>
      <c r="O218" s="126" t="s">
        <v>1369</v>
      </c>
      <c r="P218" s="127" t="s">
        <v>1330</v>
      </c>
      <c r="Q218" s="128">
        <v>50</v>
      </c>
      <c r="R218" s="128">
        <v>50</v>
      </c>
      <c r="S218" s="129">
        <v>50</v>
      </c>
      <c r="T218" s="130" t="s">
        <v>1370</v>
      </c>
      <c r="U218" s="131">
        <v>45478</v>
      </c>
      <c r="V218" s="132">
        <v>45478</v>
      </c>
      <c r="W218" s="133">
        <v>50</v>
      </c>
      <c r="X218" s="134" t="s">
        <v>198</v>
      </c>
      <c r="Y218" s="135" t="s">
        <v>912</v>
      </c>
      <c r="Z218" s="128" t="s">
        <v>57</v>
      </c>
      <c r="AA218" s="128"/>
      <c r="AB218" s="136"/>
      <c r="AC218" s="137"/>
      <c r="AD218" s="136"/>
      <c r="AE218" s="136"/>
      <c r="AF218" s="136"/>
      <c r="AG218" s="136"/>
      <c r="AH218" s="138">
        <v>-50</v>
      </c>
      <c r="AI218" s="139" t="s">
        <v>98</v>
      </c>
      <c r="AJ218" s="139" t="s">
        <v>895</v>
      </c>
    </row>
    <row r="219" spans="1:36" ht="15.75" x14ac:dyDescent="0.25">
      <c r="A219" s="115">
        <v>20828</v>
      </c>
      <c r="B219" s="116" t="s">
        <v>1371</v>
      </c>
      <c r="C219" s="117" t="s">
        <v>1372</v>
      </c>
      <c r="D219" s="118" t="s">
        <v>1371</v>
      </c>
      <c r="E219" s="119" t="s">
        <v>1373</v>
      </c>
      <c r="F219" s="120" t="s">
        <v>1374</v>
      </c>
      <c r="G219" s="118" t="s">
        <v>1375</v>
      </c>
      <c r="H219" s="121" t="s">
        <v>1376</v>
      </c>
      <c r="I219" s="120" t="s">
        <v>1374</v>
      </c>
      <c r="J219" s="122" t="s">
        <v>1375</v>
      </c>
      <c r="K219" s="123" t="s">
        <v>1376</v>
      </c>
      <c r="L219" t="s">
        <v>1307</v>
      </c>
      <c r="M219" s="124" t="s">
        <v>1308</v>
      </c>
      <c r="N219" s="125" t="s">
        <v>1309</v>
      </c>
      <c r="O219" s="126" t="s">
        <v>1329</v>
      </c>
      <c r="P219" s="127" t="s">
        <v>1330</v>
      </c>
      <c r="Q219" s="128">
        <v>215</v>
      </c>
      <c r="R219" s="128">
        <v>215</v>
      </c>
      <c r="S219" s="129">
        <v>215</v>
      </c>
      <c r="T219" s="130" t="s">
        <v>1377</v>
      </c>
      <c r="U219" s="131">
        <v>45485</v>
      </c>
      <c r="V219" s="132">
        <v>45485</v>
      </c>
      <c r="W219" s="133">
        <v>409</v>
      </c>
      <c r="X219" s="134" t="s">
        <v>1378</v>
      </c>
      <c r="Y219" s="135" t="s">
        <v>912</v>
      </c>
      <c r="Z219" s="128" t="s">
        <v>57</v>
      </c>
      <c r="AA219" s="128"/>
      <c r="AB219" s="136"/>
      <c r="AC219" s="137"/>
      <c r="AD219" s="136"/>
      <c r="AE219" s="136"/>
      <c r="AF219" s="136"/>
      <c r="AG219" s="136"/>
      <c r="AH219" s="138">
        <v>-215</v>
      </c>
      <c r="AI219" s="139" t="s">
        <v>98</v>
      </c>
      <c r="AJ219" s="139" t="s">
        <v>895</v>
      </c>
    </row>
    <row r="220" spans="1:36" ht="15.75" x14ac:dyDescent="0.25">
      <c r="A220" s="115">
        <v>22208</v>
      </c>
      <c r="B220" s="116" t="s">
        <v>36</v>
      </c>
      <c r="C220" s="117" t="s">
        <v>37</v>
      </c>
      <c r="D220" s="118" t="s">
        <v>36</v>
      </c>
      <c r="E220" s="119" t="s">
        <v>38</v>
      </c>
      <c r="F220" s="120" t="s">
        <v>39</v>
      </c>
      <c r="G220" s="118" t="s">
        <v>40</v>
      </c>
      <c r="H220" s="121" t="s">
        <v>41</v>
      </c>
      <c r="I220" s="120" t="s">
        <v>42</v>
      </c>
      <c r="J220" s="122" t="s">
        <v>43</v>
      </c>
      <c r="K220" s="123" t="s">
        <v>44</v>
      </c>
      <c r="L220" t="s">
        <v>1307</v>
      </c>
      <c r="M220" s="124" t="s">
        <v>1308</v>
      </c>
      <c r="N220" s="125" t="s">
        <v>1309</v>
      </c>
      <c r="O220" s="126" t="s">
        <v>1310</v>
      </c>
      <c r="P220" s="127" t="s">
        <v>1311</v>
      </c>
      <c r="Q220" s="128">
        <v>6594.2335999999996</v>
      </c>
      <c r="R220" s="128">
        <v>6594.2335999999996</v>
      </c>
      <c r="S220" s="129">
        <v>6594.2335999999996</v>
      </c>
      <c r="T220" s="130" t="s">
        <v>1312</v>
      </c>
      <c r="U220" s="131">
        <v>45505</v>
      </c>
      <c r="V220" s="132"/>
      <c r="W220" s="133"/>
      <c r="X220" s="134" t="s">
        <v>1314</v>
      </c>
      <c r="Y220" s="135" t="s">
        <v>912</v>
      </c>
      <c r="Z220" s="128" t="s">
        <v>1313</v>
      </c>
      <c r="AA220" s="128"/>
      <c r="AB220" s="136"/>
      <c r="AC220" s="137"/>
      <c r="AD220" s="136"/>
      <c r="AE220" s="136"/>
      <c r="AF220" s="136"/>
      <c r="AG220" s="136"/>
      <c r="AH220" s="138">
        <v>-6594.2335999999996</v>
      </c>
      <c r="AI220" s="139" t="s">
        <v>98</v>
      </c>
      <c r="AJ220" s="139" t="s">
        <v>895</v>
      </c>
    </row>
    <row r="221" spans="1:36" ht="15.75" x14ac:dyDescent="0.25">
      <c r="A221" s="115">
        <v>22221</v>
      </c>
      <c r="B221" s="116" t="s">
        <v>36</v>
      </c>
      <c r="C221" s="117" t="s">
        <v>37</v>
      </c>
      <c r="D221" s="118" t="s">
        <v>36</v>
      </c>
      <c r="E221" s="119" t="s">
        <v>38</v>
      </c>
      <c r="F221" s="120" t="s">
        <v>39</v>
      </c>
      <c r="G221" s="118" t="s">
        <v>40</v>
      </c>
      <c r="H221" s="121" t="s">
        <v>41</v>
      </c>
      <c r="I221" s="120" t="s">
        <v>1319</v>
      </c>
      <c r="J221" s="122" t="s">
        <v>1320</v>
      </c>
      <c r="K221" s="123" t="s">
        <v>1321</v>
      </c>
      <c r="L221" t="s">
        <v>1307</v>
      </c>
      <c r="M221" s="124" t="s">
        <v>1308</v>
      </c>
      <c r="N221" s="125" t="s">
        <v>1309</v>
      </c>
      <c r="O221" s="126" t="s">
        <v>1310</v>
      </c>
      <c r="P221" s="127" t="s">
        <v>1311</v>
      </c>
      <c r="Q221" s="128">
        <v>2928.5172533333334</v>
      </c>
      <c r="R221" s="128">
        <v>2928.5172533333334</v>
      </c>
      <c r="S221" s="129">
        <v>2928.5172533333334</v>
      </c>
      <c r="T221" s="130" t="s">
        <v>1312</v>
      </c>
      <c r="U221" s="131">
        <v>45505</v>
      </c>
      <c r="V221" s="132"/>
      <c r="W221" s="133"/>
      <c r="X221" s="134" t="s">
        <v>1379</v>
      </c>
      <c r="Y221" s="135" t="s">
        <v>912</v>
      </c>
      <c r="Z221" s="128" t="s">
        <v>1313</v>
      </c>
      <c r="AA221" s="128"/>
      <c r="AB221" s="136"/>
      <c r="AC221" s="137"/>
      <c r="AD221" s="136"/>
      <c r="AE221" s="136"/>
      <c r="AF221" s="136"/>
      <c r="AG221" s="136"/>
      <c r="AH221" s="138">
        <v>-2928.5172533333334</v>
      </c>
      <c r="AI221" s="139" t="s">
        <v>98</v>
      </c>
      <c r="AJ221" s="139" t="s">
        <v>895</v>
      </c>
    </row>
    <row r="222" spans="1:36" ht="15.75" x14ac:dyDescent="0.25">
      <c r="A222" s="115">
        <v>22225</v>
      </c>
      <c r="B222" s="116" t="s">
        <v>36</v>
      </c>
      <c r="C222" s="117" t="s">
        <v>37</v>
      </c>
      <c r="D222" s="118" t="s">
        <v>36</v>
      </c>
      <c r="E222" s="119" t="s">
        <v>38</v>
      </c>
      <c r="F222" s="120" t="s">
        <v>39</v>
      </c>
      <c r="G222" s="118" t="s">
        <v>40</v>
      </c>
      <c r="H222" s="121" t="s">
        <v>41</v>
      </c>
      <c r="I222" s="120" t="s">
        <v>524</v>
      </c>
      <c r="J222" s="122" t="s">
        <v>525</v>
      </c>
      <c r="K222" s="123" t="s">
        <v>526</v>
      </c>
      <c r="L222" t="s">
        <v>1307</v>
      </c>
      <c r="M222" s="124" t="s">
        <v>1308</v>
      </c>
      <c r="N222" s="125" t="s">
        <v>1309</v>
      </c>
      <c r="O222" s="126" t="s">
        <v>1310</v>
      </c>
      <c r="P222" s="127" t="s">
        <v>1311</v>
      </c>
      <c r="Q222" s="128">
        <v>7220.5884444444446</v>
      </c>
      <c r="R222" s="128">
        <v>7220.5884444444446</v>
      </c>
      <c r="S222" s="129">
        <v>7220.5884444444446</v>
      </c>
      <c r="T222" s="130" t="s">
        <v>1312</v>
      </c>
      <c r="U222" s="131">
        <v>45505</v>
      </c>
      <c r="V222" s="132"/>
      <c r="W222" s="133"/>
      <c r="X222" s="134" t="s">
        <v>874</v>
      </c>
      <c r="Y222" s="135" t="s">
        <v>912</v>
      </c>
      <c r="Z222" s="128" t="s">
        <v>1313</v>
      </c>
      <c r="AA222" s="128"/>
      <c r="AB222" s="136"/>
      <c r="AC222" s="137"/>
      <c r="AD222" s="136"/>
      <c r="AE222" s="136"/>
      <c r="AF222" s="136"/>
      <c r="AG222" s="136"/>
      <c r="AH222" s="138">
        <v>-7220.5884444444446</v>
      </c>
      <c r="AI222" s="139" t="s">
        <v>98</v>
      </c>
      <c r="AJ222" s="139" t="s">
        <v>895</v>
      </c>
    </row>
    <row r="223" spans="1:36" ht="15.75" x14ac:dyDescent="0.25">
      <c r="A223" s="115">
        <v>22316</v>
      </c>
      <c r="B223" s="116" t="s">
        <v>36</v>
      </c>
      <c r="C223" s="117" t="s">
        <v>37</v>
      </c>
      <c r="D223" s="118" t="s">
        <v>36</v>
      </c>
      <c r="E223" s="119" t="s">
        <v>38</v>
      </c>
      <c r="F223" s="120" t="s">
        <v>39</v>
      </c>
      <c r="G223" s="118" t="s">
        <v>40</v>
      </c>
      <c r="H223" s="121" t="s">
        <v>41</v>
      </c>
      <c r="I223" s="120" t="s">
        <v>524</v>
      </c>
      <c r="J223" s="122" t="s">
        <v>525</v>
      </c>
      <c r="K223" s="123" t="s">
        <v>526</v>
      </c>
      <c r="L223" t="s">
        <v>1307</v>
      </c>
      <c r="M223" s="124" t="s">
        <v>1308</v>
      </c>
      <c r="N223" s="125" t="s">
        <v>1309</v>
      </c>
      <c r="O223" s="126" t="s">
        <v>1310</v>
      </c>
      <c r="P223" s="127" t="s">
        <v>1311</v>
      </c>
      <c r="Q223" s="128">
        <v>6023.1259466666652</v>
      </c>
      <c r="R223" s="128">
        <v>6023.1259466666652</v>
      </c>
      <c r="S223" s="129">
        <v>6023.1259466666652</v>
      </c>
      <c r="T223" s="130" t="s">
        <v>1312</v>
      </c>
      <c r="U223" s="131">
        <v>45505</v>
      </c>
      <c r="V223" s="132"/>
      <c r="W223" s="133"/>
      <c r="X223" s="134" t="s">
        <v>1338</v>
      </c>
      <c r="Y223" s="135" t="s">
        <v>912</v>
      </c>
      <c r="Z223" s="128" t="s">
        <v>1313</v>
      </c>
      <c r="AA223" s="128"/>
      <c r="AB223" s="136"/>
      <c r="AC223" s="137"/>
      <c r="AD223" s="136"/>
      <c r="AE223" s="136"/>
      <c r="AF223" s="136"/>
      <c r="AG223" s="136"/>
      <c r="AH223" s="138">
        <v>-6023.1259466666652</v>
      </c>
      <c r="AI223" s="139" t="s">
        <v>98</v>
      </c>
      <c r="AJ223" s="139" t="s">
        <v>895</v>
      </c>
    </row>
    <row r="224" spans="1:36" ht="15.75" x14ac:dyDescent="0.25">
      <c r="A224" s="115">
        <v>22352</v>
      </c>
      <c r="B224" s="116" t="s">
        <v>36</v>
      </c>
      <c r="C224" s="117" t="s">
        <v>37</v>
      </c>
      <c r="D224" s="118" t="s">
        <v>36</v>
      </c>
      <c r="E224" s="119" t="s">
        <v>38</v>
      </c>
      <c r="F224" s="120" t="s">
        <v>39</v>
      </c>
      <c r="G224" s="118" t="s">
        <v>40</v>
      </c>
      <c r="H224" s="121" t="s">
        <v>41</v>
      </c>
      <c r="I224" s="120" t="s">
        <v>524</v>
      </c>
      <c r="J224" s="122" t="s">
        <v>525</v>
      </c>
      <c r="K224" s="123" t="s">
        <v>526</v>
      </c>
      <c r="L224" t="s">
        <v>1307</v>
      </c>
      <c r="M224" s="124" t="s">
        <v>1308</v>
      </c>
      <c r="N224" s="125" t="s">
        <v>1309</v>
      </c>
      <c r="O224" s="126" t="s">
        <v>1310</v>
      </c>
      <c r="P224" s="127" t="s">
        <v>1311</v>
      </c>
      <c r="Q224" s="128">
        <v>9585.4480800000001</v>
      </c>
      <c r="R224" s="128">
        <v>9585.4480800000001</v>
      </c>
      <c r="S224" s="129">
        <v>9585.4480800000001</v>
      </c>
      <c r="T224" s="130" t="s">
        <v>1312</v>
      </c>
      <c r="U224" s="131">
        <v>45505</v>
      </c>
      <c r="V224" s="132"/>
      <c r="W224" s="133"/>
      <c r="X224" s="134" t="s">
        <v>1318</v>
      </c>
      <c r="Y224" s="135" t="s">
        <v>912</v>
      </c>
      <c r="Z224" s="128" t="s">
        <v>1313</v>
      </c>
      <c r="AA224" s="128"/>
      <c r="AB224" s="136"/>
      <c r="AC224" s="137"/>
      <c r="AD224" s="136"/>
      <c r="AE224" s="136"/>
      <c r="AF224" s="136"/>
      <c r="AG224" s="136"/>
      <c r="AH224" s="138">
        <v>-9585.4480800000001</v>
      </c>
      <c r="AI224" s="139" t="s">
        <v>98</v>
      </c>
      <c r="AJ224" s="139" t="s">
        <v>895</v>
      </c>
    </row>
    <row r="225" spans="1:36" ht="15.75" x14ac:dyDescent="0.25">
      <c r="A225" s="115">
        <v>22367</v>
      </c>
      <c r="B225" s="116" t="s">
        <v>36</v>
      </c>
      <c r="C225" s="117" t="s">
        <v>37</v>
      </c>
      <c r="D225" s="118" t="s">
        <v>36</v>
      </c>
      <c r="E225" s="119" t="s">
        <v>38</v>
      </c>
      <c r="F225" s="120" t="s">
        <v>39</v>
      </c>
      <c r="G225" s="118" t="s">
        <v>40</v>
      </c>
      <c r="H225" s="121" t="s">
        <v>41</v>
      </c>
      <c r="I225" s="120" t="s">
        <v>1319</v>
      </c>
      <c r="J225" s="122" t="s">
        <v>1320</v>
      </c>
      <c r="K225" s="123" t="s">
        <v>1321</v>
      </c>
      <c r="L225" t="s">
        <v>1307</v>
      </c>
      <c r="M225" s="124" t="s">
        <v>1308</v>
      </c>
      <c r="N225" s="125" t="s">
        <v>1309</v>
      </c>
      <c r="O225" s="126" t="s">
        <v>1310</v>
      </c>
      <c r="P225" s="127" t="s">
        <v>1311</v>
      </c>
      <c r="Q225" s="128">
        <v>6851.0048622222239</v>
      </c>
      <c r="R225" s="128">
        <v>6851.0048622222239</v>
      </c>
      <c r="S225" s="129">
        <v>6851.0048622222239</v>
      </c>
      <c r="T225" s="130" t="s">
        <v>1312</v>
      </c>
      <c r="U225" s="131">
        <v>45505</v>
      </c>
      <c r="V225" s="132"/>
      <c r="W225" s="133"/>
      <c r="X225" s="134" t="s">
        <v>1322</v>
      </c>
      <c r="Y225" s="135" t="s">
        <v>912</v>
      </c>
      <c r="Z225" s="128" t="s">
        <v>1313</v>
      </c>
      <c r="AA225" s="128"/>
      <c r="AB225" s="136"/>
      <c r="AC225" s="137"/>
      <c r="AD225" s="136"/>
      <c r="AE225" s="136"/>
      <c r="AF225" s="136"/>
      <c r="AG225" s="136"/>
      <c r="AH225" s="138">
        <v>-6851.0048622222239</v>
      </c>
      <c r="AI225" s="139" t="s">
        <v>98</v>
      </c>
      <c r="AJ225" s="139" t="s">
        <v>895</v>
      </c>
    </row>
    <row r="226" spans="1:36" ht="15.75" x14ac:dyDescent="0.25">
      <c r="A226" s="115">
        <v>22379</v>
      </c>
      <c r="B226" s="116" t="s">
        <v>36</v>
      </c>
      <c r="C226" s="117" t="s">
        <v>37</v>
      </c>
      <c r="D226" s="118" t="s">
        <v>36</v>
      </c>
      <c r="E226" s="119" t="s">
        <v>38</v>
      </c>
      <c r="F226" s="120" t="s">
        <v>39</v>
      </c>
      <c r="G226" s="118" t="s">
        <v>40</v>
      </c>
      <c r="H226" s="121" t="s">
        <v>41</v>
      </c>
      <c r="I226" s="120" t="s">
        <v>1319</v>
      </c>
      <c r="J226" s="122" t="s">
        <v>1320</v>
      </c>
      <c r="K226" s="123" t="s">
        <v>1321</v>
      </c>
      <c r="L226" t="s">
        <v>1307</v>
      </c>
      <c r="M226" s="124" t="s">
        <v>1308</v>
      </c>
      <c r="N226" s="125" t="s">
        <v>1309</v>
      </c>
      <c r="O226" s="126" t="s">
        <v>1310</v>
      </c>
      <c r="P226" s="127" t="s">
        <v>1311</v>
      </c>
      <c r="Q226" s="128">
        <v>5263.2335999999996</v>
      </c>
      <c r="R226" s="128">
        <v>5263.2335999999996</v>
      </c>
      <c r="S226" s="129">
        <v>5263.2335999999996</v>
      </c>
      <c r="T226" s="130" t="s">
        <v>1312</v>
      </c>
      <c r="U226" s="131">
        <v>45505</v>
      </c>
      <c r="V226" s="132"/>
      <c r="W226" s="133"/>
      <c r="X226" s="134" t="s">
        <v>1380</v>
      </c>
      <c r="Y226" s="135" t="s">
        <v>912</v>
      </c>
      <c r="Z226" s="128" t="s">
        <v>1313</v>
      </c>
      <c r="AA226" s="128"/>
      <c r="AB226" s="136"/>
      <c r="AC226" s="137"/>
      <c r="AD226" s="136"/>
      <c r="AE226" s="136"/>
      <c r="AF226" s="136"/>
      <c r="AG226" s="136"/>
      <c r="AH226" s="138">
        <v>-5263.2335999999996</v>
      </c>
      <c r="AI226" s="139" t="s">
        <v>98</v>
      </c>
      <c r="AJ226" s="139" t="s">
        <v>895</v>
      </c>
    </row>
    <row r="227" spans="1:36" ht="15.75" x14ac:dyDescent="0.25">
      <c r="A227" s="115">
        <v>22400</v>
      </c>
      <c r="B227" s="116" t="s">
        <v>36</v>
      </c>
      <c r="C227" s="117" t="s">
        <v>37</v>
      </c>
      <c r="D227" s="118" t="s">
        <v>36</v>
      </c>
      <c r="E227" s="119" t="s">
        <v>38</v>
      </c>
      <c r="F227" s="120" t="s">
        <v>39</v>
      </c>
      <c r="G227" s="118" t="s">
        <v>40</v>
      </c>
      <c r="H227" s="121" t="s">
        <v>41</v>
      </c>
      <c r="I227" s="120" t="s">
        <v>301</v>
      </c>
      <c r="J227" s="122" t="s">
        <v>302</v>
      </c>
      <c r="K227" s="123" t="s">
        <v>303</v>
      </c>
      <c r="L227" t="s">
        <v>1307</v>
      </c>
      <c r="M227" s="124" t="s">
        <v>1308</v>
      </c>
      <c r="N227" s="125" t="s">
        <v>1309</v>
      </c>
      <c r="O227" s="126" t="s">
        <v>1310</v>
      </c>
      <c r="P227" s="127" t="s">
        <v>1311</v>
      </c>
      <c r="Q227" s="128">
        <v>8755.5432355555549</v>
      </c>
      <c r="R227" s="128">
        <v>8755.5432355555549</v>
      </c>
      <c r="S227" s="129">
        <v>8755.5432355555549</v>
      </c>
      <c r="T227" s="130" t="s">
        <v>1312</v>
      </c>
      <c r="U227" s="131">
        <v>45505</v>
      </c>
      <c r="V227" s="132"/>
      <c r="W227" s="133"/>
      <c r="X227" s="134" t="s">
        <v>1323</v>
      </c>
      <c r="Y227" s="135" t="s">
        <v>912</v>
      </c>
      <c r="Z227" s="128" t="s">
        <v>1313</v>
      </c>
      <c r="AA227" s="128"/>
      <c r="AB227" s="136"/>
      <c r="AC227" s="137"/>
      <c r="AD227" s="136"/>
      <c r="AE227" s="136"/>
      <c r="AF227" s="136"/>
      <c r="AG227" s="136"/>
      <c r="AH227" s="138">
        <v>-8755.5432355555549</v>
      </c>
      <c r="AI227" s="139" t="s">
        <v>98</v>
      </c>
      <c r="AJ227" s="139" t="s">
        <v>895</v>
      </c>
    </row>
    <row r="228" spans="1:36" ht="15.75" x14ac:dyDescent="0.25">
      <c r="A228" s="115">
        <v>22410</v>
      </c>
      <c r="B228" s="116" t="s">
        <v>36</v>
      </c>
      <c r="C228" s="117" t="s">
        <v>37</v>
      </c>
      <c r="D228" s="118" t="s">
        <v>36</v>
      </c>
      <c r="E228" s="119" t="s">
        <v>38</v>
      </c>
      <c r="F228" s="140" t="s">
        <v>39</v>
      </c>
      <c r="G228" s="118" t="s">
        <v>40</v>
      </c>
      <c r="H228" s="121" t="s">
        <v>41</v>
      </c>
      <c r="I228" s="120" t="s">
        <v>42</v>
      </c>
      <c r="J228" s="122" t="s">
        <v>43</v>
      </c>
      <c r="K228" s="123" t="s">
        <v>44</v>
      </c>
      <c r="L228" t="s">
        <v>1307</v>
      </c>
      <c r="M228" s="124" t="s">
        <v>1308</v>
      </c>
      <c r="N228" s="125" t="s">
        <v>1309</v>
      </c>
      <c r="O228" s="126" t="s">
        <v>1310</v>
      </c>
      <c r="P228" s="127" t="s">
        <v>1311</v>
      </c>
      <c r="Q228" s="128">
        <v>7782.1116177777767</v>
      </c>
      <c r="R228" s="128">
        <v>7782.1116177777767</v>
      </c>
      <c r="S228" s="129">
        <v>7782.1116177777767</v>
      </c>
      <c r="T228" s="130" t="s">
        <v>1312</v>
      </c>
      <c r="U228" s="131">
        <v>45505</v>
      </c>
      <c r="V228" s="132"/>
      <c r="W228" s="133"/>
      <c r="X228" s="134" t="s">
        <v>1345</v>
      </c>
      <c r="Y228" s="135" t="s">
        <v>912</v>
      </c>
      <c r="Z228" s="128" t="s">
        <v>1313</v>
      </c>
      <c r="AA228" s="128"/>
      <c r="AB228" s="136"/>
      <c r="AC228" s="137"/>
      <c r="AD228" s="136"/>
      <c r="AE228" s="136"/>
      <c r="AF228" s="136"/>
      <c r="AG228" s="136"/>
      <c r="AH228" s="138">
        <v>-7782.1116177777767</v>
      </c>
      <c r="AI228" s="139" t="s">
        <v>98</v>
      </c>
      <c r="AJ228" s="139" t="s">
        <v>895</v>
      </c>
    </row>
    <row r="229" spans="1:36" ht="15.75" x14ac:dyDescent="0.25">
      <c r="A229" s="115">
        <v>22416</v>
      </c>
      <c r="B229" s="116" t="s">
        <v>36</v>
      </c>
      <c r="C229" s="117" t="s">
        <v>37</v>
      </c>
      <c r="D229" s="118" t="s">
        <v>36</v>
      </c>
      <c r="E229" s="119" t="s">
        <v>38</v>
      </c>
      <c r="F229" s="140" t="s">
        <v>39</v>
      </c>
      <c r="G229" s="118" t="s">
        <v>40</v>
      </c>
      <c r="H229" s="121" t="s">
        <v>41</v>
      </c>
      <c r="I229" s="120" t="s">
        <v>301</v>
      </c>
      <c r="J229" s="122" t="s">
        <v>302</v>
      </c>
      <c r="K229" s="123" t="s">
        <v>303</v>
      </c>
      <c r="L229" t="s">
        <v>1307</v>
      </c>
      <c r="M229" s="124" t="s">
        <v>1308</v>
      </c>
      <c r="N229" s="125" t="s">
        <v>1309</v>
      </c>
      <c r="O229" s="126" t="s">
        <v>1324</v>
      </c>
      <c r="P229" s="127" t="s">
        <v>1311</v>
      </c>
      <c r="Q229" s="128">
        <v>9509.5852622222228</v>
      </c>
      <c r="R229" s="128">
        <v>9509.5852622222228</v>
      </c>
      <c r="S229" s="129">
        <v>9509.5852622222228</v>
      </c>
      <c r="T229" s="130" t="s">
        <v>1312</v>
      </c>
      <c r="U229" s="131">
        <v>45505</v>
      </c>
      <c r="V229" s="132"/>
      <c r="W229" s="133"/>
      <c r="X229" s="134" t="s">
        <v>258</v>
      </c>
      <c r="Y229" s="135" t="s">
        <v>912</v>
      </c>
      <c r="Z229" s="128" t="s">
        <v>1313</v>
      </c>
      <c r="AA229" s="128"/>
      <c r="AB229" s="136"/>
      <c r="AC229" s="137"/>
      <c r="AD229" s="136"/>
      <c r="AE229" s="136"/>
      <c r="AF229" s="136"/>
      <c r="AG229" s="136"/>
      <c r="AH229" s="138">
        <v>-9509.5852622222228</v>
      </c>
      <c r="AI229" s="139" t="s">
        <v>98</v>
      </c>
      <c r="AJ229" s="139" t="s">
        <v>895</v>
      </c>
    </row>
    <row r="230" spans="1:36" ht="15.75" x14ac:dyDescent="0.25">
      <c r="A230" s="115">
        <v>22420</v>
      </c>
      <c r="B230" s="116" t="s">
        <v>36</v>
      </c>
      <c r="C230" s="117" t="s">
        <v>37</v>
      </c>
      <c r="D230" s="118" t="s">
        <v>36</v>
      </c>
      <c r="E230" s="119" t="s">
        <v>38</v>
      </c>
      <c r="F230" s="140" t="s">
        <v>39</v>
      </c>
      <c r="G230" s="118" t="s">
        <v>40</v>
      </c>
      <c r="H230" s="121" t="s">
        <v>41</v>
      </c>
      <c r="I230" s="120" t="s">
        <v>524</v>
      </c>
      <c r="J230" s="122" t="s">
        <v>525</v>
      </c>
      <c r="K230" s="123" t="s">
        <v>526</v>
      </c>
      <c r="L230" t="s">
        <v>1307</v>
      </c>
      <c r="M230" s="124" t="s">
        <v>1308</v>
      </c>
      <c r="N230" s="125" t="s">
        <v>1309</v>
      </c>
      <c r="O230" s="126" t="s">
        <v>1310</v>
      </c>
      <c r="P230" s="127" t="s">
        <v>1311</v>
      </c>
      <c r="Q230" s="128">
        <v>6614.9099377777766</v>
      </c>
      <c r="R230" s="128">
        <v>6614.9099377777766</v>
      </c>
      <c r="S230" s="129">
        <v>6614.9099377777766</v>
      </c>
      <c r="T230" s="130" t="s">
        <v>1312</v>
      </c>
      <c r="U230" s="131">
        <v>45505</v>
      </c>
      <c r="V230" s="132"/>
      <c r="W230" s="133"/>
      <c r="X230" s="134" t="s">
        <v>1215</v>
      </c>
      <c r="Y230" s="135" t="s">
        <v>912</v>
      </c>
      <c r="Z230" s="128" t="s">
        <v>1313</v>
      </c>
      <c r="AA230" s="128"/>
      <c r="AB230" s="136"/>
      <c r="AC230" s="137"/>
      <c r="AD230" s="136"/>
      <c r="AE230" s="136"/>
      <c r="AF230" s="136"/>
      <c r="AG230" s="136"/>
      <c r="AH230" s="138">
        <v>-6614.9099377777766</v>
      </c>
      <c r="AI230" s="139" t="s">
        <v>98</v>
      </c>
      <c r="AJ230" s="139" t="s">
        <v>895</v>
      </c>
    </row>
    <row r="231" spans="1:36" ht="15.75" x14ac:dyDescent="0.25">
      <c r="A231" s="115">
        <v>22464</v>
      </c>
      <c r="B231" s="116" t="s">
        <v>36</v>
      </c>
      <c r="C231" s="117" t="s">
        <v>37</v>
      </c>
      <c r="D231" s="118" t="s">
        <v>36</v>
      </c>
      <c r="E231" s="119" t="s">
        <v>38</v>
      </c>
      <c r="F231" s="140" t="s">
        <v>39</v>
      </c>
      <c r="G231" s="118" t="s">
        <v>40</v>
      </c>
      <c r="H231" s="121" t="s">
        <v>41</v>
      </c>
      <c r="I231" s="120" t="s">
        <v>42</v>
      </c>
      <c r="J231" s="122" t="s">
        <v>43</v>
      </c>
      <c r="K231" s="123" t="s">
        <v>44</v>
      </c>
      <c r="L231" t="s">
        <v>1307</v>
      </c>
      <c r="M231" s="124" t="s">
        <v>1308</v>
      </c>
      <c r="N231" s="125" t="s">
        <v>1309</v>
      </c>
      <c r="O231" s="126" t="s">
        <v>1310</v>
      </c>
      <c r="P231" s="127" t="s">
        <v>1311</v>
      </c>
      <c r="Q231" s="128">
        <v>7401.68696</v>
      </c>
      <c r="R231" s="128">
        <v>7401.68696</v>
      </c>
      <c r="S231" s="129">
        <v>7401.68696</v>
      </c>
      <c r="T231" s="130" t="s">
        <v>1312</v>
      </c>
      <c r="U231" s="131">
        <v>45505</v>
      </c>
      <c r="V231" s="132"/>
      <c r="W231" s="133"/>
      <c r="X231" s="134" t="s">
        <v>1325</v>
      </c>
      <c r="Y231" s="135" t="s">
        <v>912</v>
      </c>
      <c r="Z231" s="128" t="s">
        <v>1313</v>
      </c>
      <c r="AA231" s="128"/>
      <c r="AB231" s="136"/>
      <c r="AC231" s="137"/>
      <c r="AD231" s="136"/>
      <c r="AE231" s="136"/>
      <c r="AF231" s="136"/>
      <c r="AG231" s="136"/>
      <c r="AH231" s="138">
        <v>-7401.68696</v>
      </c>
      <c r="AI231" s="139" t="s">
        <v>98</v>
      </c>
      <c r="AJ231" s="139" t="s">
        <v>895</v>
      </c>
    </row>
    <row r="232" spans="1:36" ht="15.75" x14ac:dyDescent="0.25">
      <c r="A232" s="115">
        <v>22533</v>
      </c>
      <c r="B232" s="116" t="s">
        <v>36</v>
      </c>
      <c r="C232" s="117" t="s">
        <v>37</v>
      </c>
      <c r="D232" s="118" t="s">
        <v>36</v>
      </c>
      <c r="E232" s="119" t="s">
        <v>38</v>
      </c>
      <c r="F232" s="120" t="s">
        <v>39</v>
      </c>
      <c r="G232" s="118" t="s">
        <v>40</v>
      </c>
      <c r="H232" s="121" t="s">
        <v>41</v>
      </c>
      <c r="I232" s="120" t="s">
        <v>1319</v>
      </c>
      <c r="J232" s="122" t="s">
        <v>1320</v>
      </c>
      <c r="K232" s="123" t="s">
        <v>1321</v>
      </c>
      <c r="L232" t="s">
        <v>1307</v>
      </c>
      <c r="M232" s="124" t="s">
        <v>1308</v>
      </c>
      <c r="N232" s="125" t="s">
        <v>1309</v>
      </c>
      <c r="O232" s="126" t="s">
        <v>1310</v>
      </c>
      <c r="P232" s="127" t="s">
        <v>1311</v>
      </c>
      <c r="Q232" s="128">
        <v>6804.431244444444</v>
      </c>
      <c r="R232" s="128">
        <v>6804.431244444444</v>
      </c>
      <c r="S232" s="129">
        <v>6804.431244444444</v>
      </c>
      <c r="T232" s="130" t="s">
        <v>1312</v>
      </c>
      <c r="U232" s="131">
        <v>45505</v>
      </c>
      <c r="V232" s="132"/>
      <c r="W232" s="133"/>
      <c r="X232" s="134" t="s">
        <v>1326</v>
      </c>
      <c r="Y232" s="135" t="s">
        <v>912</v>
      </c>
      <c r="Z232" s="128" t="s">
        <v>1313</v>
      </c>
      <c r="AA232" s="128"/>
      <c r="AB232" s="136"/>
      <c r="AC232" s="137"/>
      <c r="AD232" s="136"/>
      <c r="AE232" s="136"/>
      <c r="AF232" s="136"/>
      <c r="AG232" s="136"/>
      <c r="AH232" s="138">
        <v>-6804.431244444444</v>
      </c>
      <c r="AI232" s="139" t="s">
        <v>98</v>
      </c>
      <c r="AJ232" s="139" t="s">
        <v>895</v>
      </c>
    </row>
    <row r="233" spans="1:36" ht="15.75" x14ac:dyDescent="0.25">
      <c r="A233" s="115">
        <v>22534</v>
      </c>
      <c r="B233" s="116" t="s">
        <v>36</v>
      </c>
      <c r="C233" s="117" t="s">
        <v>37</v>
      </c>
      <c r="D233" s="118" t="s">
        <v>36</v>
      </c>
      <c r="E233" s="119" t="s">
        <v>38</v>
      </c>
      <c r="F233" s="120" t="s">
        <v>39</v>
      </c>
      <c r="G233" s="118" t="s">
        <v>40</v>
      </c>
      <c r="H233" s="121" t="s">
        <v>41</v>
      </c>
      <c r="I233" s="120" t="s">
        <v>1360</v>
      </c>
      <c r="J233" s="122" t="s">
        <v>1361</v>
      </c>
      <c r="K233" s="123" t="s">
        <v>1362</v>
      </c>
      <c r="L233" t="s">
        <v>1307</v>
      </c>
      <c r="M233" s="124" t="s">
        <v>1308</v>
      </c>
      <c r="N233" s="125" t="s">
        <v>1309</v>
      </c>
      <c r="O233" s="126" t="s">
        <v>1363</v>
      </c>
      <c r="P233" s="127" t="s">
        <v>1311</v>
      </c>
      <c r="Q233" s="128">
        <v>7508.5139111111102</v>
      </c>
      <c r="R233" s="128">
        <v>7508.5139111111102</v>
      </c>
      <c r="S233" s="129">
        <v>7508.5139111111102</v>
      </c>
      <c r="T233" s="130" t="s">
        <v>1312</v>
      </c>
      <c r="U233" s="131">
        <v>45505</v>
      </c>
      <c r="V233" s="132"/>
      <c r="W233" s="133"/>
      <c r="X233" s="134" t="s">
        <v>1364</v>
      </c>
      <c r="Y233" s="135" t="s">
        <v>912</v>
      </c>
      <c r="Z233" s="128" t="s">
        <v>1313</v>
      </c>
      <c r="AA233" s="128"/>
      <c r="AB233" s="136"/>
      <c r="AC233" s="137"/>
      <c r="AD233" s="136"/>
      <c r="AE233" s="136"/>
      <c r="AF233" s="136"/>
      <c r="AG233" s="136"/>
      <c r="AH233" s="138">
        <v>-7508.5139111111102</v>
      </c>
      <c r="AI233" s="139" t="s">
        <v>98</v>
      </c>
      <c r="AJ233" s="139" t="s">
        <v>895</v>
      </c>
    </row>
    <row r="234" spans="1:36" ht="15.75" x14ac:dyDescent="0.25">
      <c r="A234" s="115">
        <v>24906</v>
      </c>
      <c r="B234" s="116" t="s">
        <v>36</v>
      </c>
      <c r="C234" s="117" t="s">
        <v>37</v>
      </c>
      <c r="D234" s="118" t="s">
        <v>36</v>
      </c>
      <c r="E234" s="119" t="s">
        <v>38</v>
      </c>
      <c r="F234" s="120" t="s">
        <v>39</v>
      </c>
      <c r="G234" s="118" t="s">
        <v>40</v>
      </c>
      <c r="H234" s="121" t="s">
        <v>41</v>
      </c>
      <c r="I234" s="120" t="s">
        <v>301</v>
      </c>
      <c r="J234" s="122" t="s">
        <v>302</v>
      </c>
      <c r="K234" s="123" t="s">
        <v>303</v>
      </c>
      <c r="L234" t="s">
        <v>1307</v>
      </c>
      <c r="M234" s="124" t="s">
        <v>1308</v>
      </c>
      <c r="N234" s="125" t="s">
        <v>1309</v>
      </c>
      <c r="O234" s="126" t="s">
        <v>1310</v>
      </c>
      <c r="P234" s="127" t="s">
        <v>1311</v>
      </c>
      <c r="Q234" s="128">
        <v>9127.7952977777786</v>
      </c>
      <c r="R234" s="128">
        <v>9127.7952977777786</v>
      </c>
      <c r="S234" s="129">
        <v>9127.7952977777786</v>
      </c>
      <c r="T234" s="130" t="s">
        <v>1312</v>
      </c>
      <c r="U234" s="131">
        <v>45536</v>
      </c>
      <c r="V234" s="132"/>
      <c r="W234" s="133"/>
      <c r="X234" s="134" t="s">
        <v>1046</v>
      </c>
      <c r="Y234" s="135" t="s">
        <v>912</v>
      </c>
      <c r="Z234" s="128" t="s">
        <v>1313</v>
      </c>
      <c r="AA234" s="128"/>
      <c r="AB234" s="136"/>
      <c r="AC234" s="137"/>
      <c r="AD234" s="136"/>
      <c r="AE234" s="136"/>
      <c r="AF234" s="136"/>
      <c r="AG234" s="136"/>
      <c r="AH234" s="138">
        <v>-9127.7952977777786</v>
      </c>
      <c r="AI234" s="139" t="s">
        <v>98</v>
      </c>
      <c r="AJ234" s="139" t="s">
        <v>895</v>
      </c>
    </row>
    <row r="235" spans="1:36" ht="15.75" x14ac:dyDescent="0.25">
      <c r="A235" s="115">
        <v>24908</v>
      </c>
      <c r="B235" s="116" t="s">
        <v>36</v>
      </c>
      <c r="C235" s="117" t="s">
        <v>37</v>
      </c>
      <c r="D235" s="118" t="s">
        <v>36</v>
      </c>
      <c r="E235" s="119" t="s">
        <v>38</v>
      </c>
      <c r="F235" s="120" t="s">
        <v>39</v>
      </c>
      <c r="G235" s="118" t="s">
        <v>40</v>
      </c>
      <c r="H235" s="121" t="s">
        <v>41</v>
      </c>
      <c r="I235" s="120" t="s">
        <v>42</v>
      </c>
      <c r="J235" s="122" t="s">
        <v>43</v>
      </c>
      <c r="K235" s="123" t="s">
        <v>44</v>
      </c>
      <c r="L235" t="s">
        <v>1307</v>
      </c>
      <c r="M235" s="124" t="s">
        <v>1308</v>
      </c>
      <c r="N235" s="125" t="s">
        <v>1309</v>
      </c>
      <c r="O235" s="126" t="s">
        <v>1310</v>
      </c>
      <c r="P235" s="127" t="s">
        <v>1311</v>
      </c>
      <c r="Q235" s="128">
        <v>7613.7283466666668</v>
      </c>
      <c r="R235" s="128">
        <v>7613.7283466666668</v>
      </c>
      <c r="S235" s="129">
        <v>7613.7283466666668</v>
      </c>
      <c r="T235" s="130" t="s">
        <v>1312</v>
      </c>
      <c r="U235" s="131">
        <v>45536</v>
      </c>
      <c r="V235" s="132"/>
      <c r="W235" s="133"/>
      <c r="X235" s="134" t="s">
        <v>1314</v>
      </c>
      <c r="Y235" s="135" t="s">
        <v>912</v>
      </c>
      <c r="Z235" s="128" t="s">
        <v>1313</v>
      </c>
      <c r="AA235" s="128"/>
      <c r="AB235" s="136"/>
      <c r="AC235" s="137"/>
      <c r="AD235" s="136"/>
      <c r="AE235" s="136"/>
      <c r="AF235" s="136"/>
      <c r="AG235" s="136"/>
      <c r="AH235" s="138">
        <v>-7613.7283466666668</v>
      </c>
      <c r="AI235" s="139" t="s">
        <v>98</v>
      </c>
      <c r="AJ235" s="139" t="s">
        <v>895</v>
      </c>
    </row>
    <row r="236" spans="1:36" ht="15.75" x14ac:dyDescent="0.25">
      <c r="A236" s="115">
        <v>24914</v>
      </c>
      <c r="B236" s="116" t="s">
        <v>36</v>
      </c>
      <c r="C236" s="117" t="s">
        <v>37</v>
      </c>
      <c r="D236" s="118" t="s">
        <v>36</v>
      </c>
      <c r="E236" s="119" t="s">
        <v>38</v>
      </c>
      <c r="F236" s="120" t="s">
        <v>39</v>
      </c>
      <c r="G236" s="118" t="s">
        <v>40</v>
      </c>
      <c r="H236" s="121" t="s">
        <v>41</v>
      </c>
      <c r="I236" s="120" t="s">
        <v>1319</v>
      </c>
      <c r="J236" s="122" t="s">
        <v>1320</v>
      </c>
      <c r="K236" s="123" t="s">
        <v>1321</v>
      </c>
      <c r="L236" t="s">
        <v>1307</v>
      </c>
      <c r="M236" s="124" t="s">
        <v>1308</v>
      </c>
      <c r="N236" s="125" t="s">
        <v>1309</v>
      </c>
      <c r="O236" s="126" t="s">
        <v>1310</v>
      </c>
      <c r="P236" s="127" t="s">
        <v>1311</v>
      </c>
      <c r="Q236" s="128">
        <v>5925.2875644444448</v>
      </c>
      <c r="R236" s="128">
        <v>5925.2875644444448</v>
      </c>
      <c r="S236" s="129">
        <v>5925.2875644444448</v>
      </c>
      <c r="T236" s="130" t="s">
        <v>1312</v>
      </c>
      <c r="U236" s="131">
        <v>45536</v>
      </c>
      <c r="V236" s="132"/>
      <c r="W236" s="133"/>
      <c r="X236" s="134" t="s">
        <v>1379</v>
      </c>
      <c r="Y236" s="135" t="s">
        <v>912</v>
      </c>
      <c r="Z236" s="128" t="s">
        <v>1313</v>
      </c>
      <c r="AA236" s="128"/>
      <c r="AB236" s="136"/>
      <c r="AC236" s="137"/>
      <c r="AD236" s="136"/>
      <c r="AE236" s="136"/>
      <c r="AF236" s="136"/>
      <c r="AG236" s="136"/>
      <c r="AH236" s="138">
        <v>-5925.2875644444448</v>
      </c>
      <c r="AI236" s="139" t="s">
        <v>98</v>
      </c>
      <c r="AJ236" s="139" t="s">
        <v>895</v>
      </c>
    </row>
    <row r="237" spans="1:36" ht="15.75" x14ac:dyDescent="0.25">
      <c r="A237" s="115">
        <v>24916</v>
      </c>
      <c r="B237" s="116" t="s">
        <v>36</v>
      </c>
      <c r="C237" s="117" t="s">
        <v>37</v>
      </c>
      <c r="D237" s="118" t="s">
        <v>36</v>
      </c>
      <c r="E237" s="119" t="s">
        <v>38</v>
      </c>
      <c r="F237" s="120" t="s">
        <v>39</v>
      </c>
      <c r="G237" s="118" t="s">
        <v>40</v>
      </c>
      <c r="H237" s="121" t="s">
        <v>41</v>
      </c>
      <c r="I237" s="120" t="s">
        <v>524</v>
      </c>
      <c r="J237" s="122" t="s">
        <v>525</v>
      </c>
      <c r="K237" s="123" t="s">
        <v>526</v>
      </c>
      <c r="L237" t="s">
        <v>1307</v>
      </c>
      <c r="M237" s="124" t="s">
        <v>1308</v>
      </c>
      <c r="N237" s="125" t="s">
        <v>1309</v>
      </c>
      <c r="O237" s="126" t="s">
        <v>1310</v>
      </c>
      <c r="P237" s="127" t="s">
        <v>1311</v>
      </c>
      <c r="Q237" s="128">
        <v>8273.9946755555557</v>
      </c>
      <c r="R237" s="128">
        <v>8273.9946755555557</v>
      </c>
      <c r="S237" s="129">
        <v>8273.9946755555557</v>
      </c>
      <c r="T237" s="130" t="s">
        <v>1312</v>
      </c>
      <c r="U237" s="131">
        <v>45536</v>
      </c>
      <c r="V237" s="132"/>
      <c r="W237" s="133"/>
      <c r="X237" s="134" t="s">
        <v>874</v>
      </c>
      <c r="Y237" s="135" t="s">
        <v>912</v>
      </c>
      <c r="Z237" s="128" t="s">
        <v>1313</v>
      </c>
      <c r="AA237" s="128"/>
      <c r="AB237" s="136"/>
      <c r="AC237" s="137"/>
      <c r="AD237" s="136"/>
      <c r="AE237" s="136"/>
      <c r="AF237" s="136"/>
      <c r="AG237" s="136"/>
      <c r="AH237" s="138">
        <v>-8273.9946755555557</v>
      </c>
      <c r="AI237" s="139" t="s">
        <v>98</v>
      </c>
      <c r="AJ237" s="139" t="s">
        <v>895</v>
      </c>
    </row>
    <row r="238" spans="1:36" ht="15.75" x14ac:dyDescent="0.25">
      <c r="A238" s="115">
        <v>24955</v>
      </c>
      <c r="B238" s="116" t="s">
        <v>36</v>
      </c>
      <c r="C238" s="117" t="s">
        <v>37</v>
      </c>
      <c r="D238" s="118" t="s">
        <v>36</v>
      </c>
      <c r="E238" s="119" t="s">
        <v>38</v>
      </c>
      <c r="F238" s="120" t="s">
        <v>39</v>
      </c>
      <c r="G238" s="118" t="s">
        <v>40</v>
      </c>
      <c r="H238" s="121" t="s">
        <v>41</v>
      </c>
      <c r="I238" s="120" t="s">
        <v>524</v>
      </c>
      <c r="J238" s="122" t="s">
        <v>525</v>
      </c>
      <c r="K238" s="123" t="s">
        <v>526</v>
      </c>
      <c r="L238" t="s">
        <v>1307</v>
      </c>
      <c r="M238" s="124" t="s">
        <v>1308</v>
      </c>
      <c r="N238" s="125" t="s">
        <v>1309</v>
      </c>
      <c r="O238" s="126" t="s">
        <v>1310</v>
      </c>
      <c r="P238" s="127" t="s">
        <v>1311</v>
      </c>
      <c r="Q238" s="128">
        <v>8216.4309155555566</v>
      </c>
      <c r="R238" s="128">
        <v>8216.4309155555566</v>
      </c>
      <c r="S238" s="129">
        <v>8216.4309155555566</v>
      </c>
      <c r="T238" s="130" t="s">
        <v>1312</v>
      </c>
      <c r="U238" s="131">
        <v>45536</v>
      </c>
      <c r="V238" s="132"/>
      <c r="W238" s="133"/>
      <c r="X238" s="134" t="s">
        <v>1338</v>
      </c>
      <c r="Y238" s="135" t="s">
        <v>912</v>
      </c>
      <c r="Z238" s="128" t="s">
        <v>1313</v>
      </c>
      <c r="AA238" s="128"/>
      <c r="AB238" s="136"/>
      <c r="AC238" s="137"/>
      <c r="AD238" s="136"/>
      <c r="AE238" s="136"/>
      <c r="AF238" s="136"/>
      <c r="AG238" s="136"/>
      <c r="AH238" s="138">
        <v>-8216.4309155555566</v>
      </c>
      <c r="AI238" s="139" t="s">
        <v>98</v>
      </c>
      <c r="AJ238" s="139" t="s">
        <v>895</v>
      </c>
    </row>
    <row r="239" spans="1:36" ht="15.75" x14ac:dyDescent="0.25">
      <c r="A239" s="115">
        <v>24972</v>
      </c>
      <c r="B239" s="116" t="s">
        <v>36</v>
      </c>
      <c r="C239" s="117" t="s">
        <v>37</v>
      </c>
      <c r="D239" s="118" t="s">
        <v>36</v>
      </c>
      <c r="E239" s="119" t="s">
        <v>38</v>
      </c>
      <c r="F239" s="120" t="s">
        <v>39</v>
      </c>
      <c r="G239" s="118" t="s">
        <v>40</v>
      </c>
      <c r="H239" s="121" t="s">
        <v>41</v>
      </c>
      <c r="I239" s="120" t="s">
        <v>524</v>
      </c>
      <c r="J239" s="122" t="s">
        <v>525</v>
      </c>
      <c r="K239" s="123" t="s">
        <v>526</v>
      </c>
      <c r="L239" t="s">
        <v>1307</v>
      </c>
      <c r="M239" s="124" t="s">
        <v>1308</v>
      </c>
      <c r="N239" s="125" t="s">
        <v>1309</v>
      </c>
      <c r="O239" s="126" t="s">
        <v>1310</v>
      </c>
      <c r="P239" s="127" t="s">
        <v>1311</v>
      </c>
      <c r="Q239" s="128">
        <v>12568.870480000001</v>
      </c>
      <c r="R239" s="128">
        <v>12568.870480000001</v>
      </c>
      <c r="S239" s="129">
        <v>12568.870480000001</v>
      </c>
      <c r="T239" s="130" t="s">
        <v>1312</v>
      </c>
      <c r="U239" s="131">
        <v>45536</v>
      </c>
      <c r="V239" s="132"/>
      <c r="W239" s="133"/>
      <c r="X239" s="134" t="s">
        <v>1318</v>
      </c>
      <c r="Y239" s="135" t="s">
        <v>912</v>
      </c>
      <c r="Z239" s="128" t="s">
        <v>1313</v>
      </c>
      <c r="AA239" s="128"/>
      <c r="AB239" s="136"/>
      <c r="AC239" s="137"/>
      <c r="AD239" s="136"/>
      <c r="AE239" s="136"/>
      <c r="AF239" s="136"/>
      <c r="AG239" s="136"/>
      <c r="AH239" s="138">
        <v>-12568.870480000001</v>
      </c>
      <c r="AI239" s="139" t="s">
        <v>98</v>
      </c>
      <c r="AJ239" s="139" t="s">
        <v>895</v>
      </c>
    </row>
    <row r="240" spans="1:36" ht="15.75" x14ac:dyDescent="0.25">
      <c r="A240" s="115">
        <v>24978</v>
      </c>
      <c r="B240" s="116" t="s">
        <v>36</v>
      </c>
      <c r="C240" s="117" t="s">
        <v>37</v>
      </c>
      <c r="D240" s="118" t="s">
        <v>36</v>
      </c>
      <c r="E240" s="119" t="s">
        <v>38</v>
      </c>
      <c r="F240" s="120" t="s">
        <v>39</v>
      </c>
      <c r="G240" s="118" t="s">
        <v>40</v>
      </c>
      <c r="H240" s="121" t="s">
        <v>41</v>
      </c>
      <c r="I240" s="120" t="s">
        <v>1319</v>
      </c>
      <c r="J240" s="122" t="s">
        <v>1320</v>
      </c>
      <c r="K240" s="123" t="s">
        <v>1321</v>
      </c>
      <c r="L240" t="s">
        <v>1307</v>
      </c>
      <c r="M240" s="124" t="s">
        <v>1308</v>
      </c>
      <c r="N240" s="125" t="s">
        <v>1309</v>
      </c>
      <c r="O240" s="126" t="s">
        <v>1310</v>
      </c>
      <c r="P240" s="127" t="s">
        <v>1311</v>
      </c>
      <c r="Q240" s="128">
        <v>6844.0847111111107</v>
      </c>
      <c r="R240" s="128">
        <v>6844.0847111111107</v>
      </c>
      <c r="S240" s="129">
        <v>6844.0847111111107</v>
      </c>
      <c r="T240" s="130" t="s">
        <v>1312</v>
      </c>
      <c r="U240" s="131">
        <v>45536</v>
      </c>
      <c r="V240" s="132"/>
      <c r="W240" s="133"/>
      <c r="X240" s="134" t="s">
        <v>1322</v>
      </c>
      <c r="Y240" s="135" t="s">
        <v>912</v>
      </c>
      <c r="Z240" s="128" t="s">
        <v>1313</v>
      </c>
      <c r="AA240" s="128"/>
      <c r="AB240" s="136"/>
      <c r="AC240" s="137"/>
      <c r="AD240" s="136"/>
      <c r="AE240" s="136"/>
      <c r="AF240" s="136"/>
      <c r="AG240" s="136"/>
      <c r="AH240" s="138">
        <v>-6844.0847111111107</v>
      </c>
      <c r="AI240" s="139" t="s">
        <v>98</v>
      </c>
      <c r="AJ240" s="139" t="s">
        <v>895</v>
      </c>
    </row>
    <row r="241" spans="1:36" ht="15.75" x14ac:dyDescent="0.25">
      <c r="A241" s="115">
        <v>24979</v>
      </c>
      <c r="B241" s="116" t="s">
        <v>36</v>
      </c>
      <c r="C241" s="117" t="s">
        <v>37</v>
      </c>
      <c r="D241" s="118" t="s">
        <v>36</v>
      </c>
      <c r="E241" s="119" t="s">
        <v>38</v>
      </c>
      <c r="F241" s="120" t="s">
        <v>39</v>
      </c>
      <c r="G241" s="118" t="s">
        <v>40</v>
      </c>
      <c r="H241" s="121" t="s">
        <v>41</v>
      </c>
      <c r="I241" s="120" t="s">
        <v>1319</v>
      </c>
      <c r="J241" s="122" t="s">
        <v>1320</v>
      </c>
      <c r="K241" s="123" t="s">
        <v>1321</v>
      </c>
      <c r="L241" t="s">
        <v>1307</v>
      </c>
      <c r="M241" s="124" t="s">
        <v>1308</v>
      </c>
      <c r="N241" s="125" t="s">
        <v>1309</v>
      </c>
      <c r="O241" s="126" t="s">
        <v>1310</v>
      </c>
      <c r="P241" s="127" t="s">
        <v>1311</v>
      </c>
      <c r="Q241" s="128">
        <v>6197.4570488888885</v>
      </c>
      <c r="R241" s="128">
        <v>6197.4570488888885</v>
      </c>
      <c r="S241" s="129">
        <v>6197.4570488888885</v>
      </c>
      <c r="T241" s="130" t="s">
        <v>1312</v>
      </c>
      <c r="U241" s="131">
        <v>45536</v>
      </c>
      <c r="V241" s="132"/>
      <c r="W241" s="133"/>
      <c r="X241" s="134" t="s">
        <v>1380</v>
      </c>
      <c r="Y241" s="135" t="s">
        <v>912</v>
      </c>
      <c r="Z241" s="128" t="s">
        <v>1313</v>
      </c>
      <c r="AA241" s="128"/>
      <c r="AB241" s="136"/>
      <c r="AC241" s="137"/>
      <c r="AD241" s="136"/>
      <c r="AE241" s="136"/>
      <c r="AF241" s="136"/>
      <c r="AG241" s="136"/>
      <c r="AH241" s="138">
        <v>-6197.4570488888885</v>
      </c>
      <c r="AI241" s="139" t="s">
        <v>98</v>
      </c>
      <c r="AJ241" s="139" t="s">
        <v>895</v>
      </c>
    </row>
    <row r="242" spans="1:36" ht="15.75" x14ac:dyDescent="0.25">
      <c r="A242" s="115">
        <v>24981</v>
      </c>
      <c r="B242" s="116" t="s">
        <v>36</v>
      </c>
      <c r="C242" s="117" t="s">
        <v>37</v>
      </c>
      <c r="D242" s="118" t="s">
        <v>36</v>
      </c>
      <c r="E242" s="119" t="s">
        <v>38</v>
      </c>
      <c r="F242" s="120" t="s">
        <v>39</v>
      </c>
      <c r="G242" s="118" t="s">
        <v>40</v>
      </c>
      <c r="H242" s="121" t="s">
        <v>41</v>
      </c>
      <c r="I242" s="120" t="s">
        <v>301</v>
      </c>
      <c r="J242" s="122" t="s">
        <v>302</v>
      </c>
      <c r="K242" s="123" t="s">
        <v>303</v>
      </c>
      <c r="L242" t="s">
        <v>1307</v>
      </c>
      <c r="M242" s="124" t="s">
        <v>1308</v>
      </c>
      <c r="N242" s="125" t="s">
        <v>1309</v>
      </c>
      <c r="O242" s="126" t="s">
        <v>1310</v>
      </c>
      <c r="P242" s="127" t="s">
        <v>1311</v>
      </c>
      <c r="Q242" s="128">
        <v>7713.8531644444438</v>
      </c>
      <c r="R242" s="128">
        <v>7713.8531644444438</v>
      </c>
      <c r="S242" s="129">
        <v>7713.8531644444438</v>
      </c>
      <c r="T242" s="130" t="s">
        <v>1312</v>
      </c>
      <c r="U242" s="131">
        <v>45536</v>
      </c>
      <c r="V242" s="132"/>
      <c r="W242" s="133"/>
      <c r="X242" s="134" t="s">
        <v>1323</v>
      </c>
      <c r="Y242" s="135" t="s">
        <v>912</v>
      </c>
      <c r="Z242" s="128" t="s">
        <v>1313</v>
      </c>
      <c r="AA242" s="128"/>
      <c r="AB242" s="136"/>
      <c r="AC242" s="137"/>
      <c r="AD242" s="136"/>
      <c r="AE242" s="136"/>
      <c r="AF242" s="136"/>
      <c r="AG242" s="136"/>
      <c r="AH242" s="138">
        <v>-7713.8531644444438</v>
      </c>
      <c r="AI242" s="139" t="s">
        <v>98</v>
      </c>
      <c r="AJ242" s="139" t="s">
        <v>895</v>
      </c>
    </row>
    <row r="243" spans="1:36" ht="15.75" x14ac:dyDescent="0.25">
      <c r="A243" s="115">
        <v>24990</v>
      </c>
      <c r="B243" s="116" t="s">
        <v>36</v>
      </c>
      <c r="C243" s="117" t="s">
        <v>37</v>
      </c>
      <c r="D243" s="118" t="s">
        <v>36</v>
      </c>
      <c r="E243" s="119" t="s">
        <v>38</v>
      </c>
      <c r="F243" s="140" t="s">
        <v>39</v>
      </c>
      <c r="G243" s="118" t="s">
        <v>40</v>
      </c>
      <c r="H243" s="121" t="s">
        <v>41</v>
      </c>
      <c r="I243" s="120" t="s">
        <v>42</v>
      </c>
      <c r="J243" s="122" t="s">
        <v>43</v>
      </c>
      <c r="K243" s="123" t="s">
        <v>44</v>
      </c>
      <c r="L243" t="s">
        <v>1307</v>
      </c>
      <c r="M243" s="124" t="s">
        <v>1308</v>
      </c>
      <c r="N243" s="125" t="s">
        <v>1309</v>
      </c>
      <c r="O243" s="126" t="s">
        <v>1310</v>
      </c>
      <c r="P243" s="127" t="s">
        <v>1311</v>
      </c>
      <c r="Q243" s="128">
        <v>993.60904888888899</v>
      </c>
      <c r="R243" s="128">
        <v>993.60904888888899</v>
      </c>
      <c r="S243" s="129">
        <v>993.60904888888899</v>
      </c>
      <c r="T243" s="130" t="s">
        <v>1312</v>
      </c>
      <c r="U243" s="131">
        <v>45536</v>
      </c>
      <c r="V243" s="132"/>
      <c r="W243" s="133"/>
      <c r="X243" s="134" t="s">
        <v>1345</v>
      </c>
      <c r="Y243" s="135" t="s">
        <v>912</v>
      </c>
      <c r="Z243" s="128" t="s">
        <v>1313</v>
      </c>
      <c r="AA243" s="128"/>
      <c r="AB243" s="136"/>
      <c r="AC243" s="137"/>
      <c r="AD243" s="136"/>
      <c r="AE243" s="136"/>
      <c r="AF243" s="136"/>
      <c r="AG243" s="136"/>
      <c r="AH243" s="138">
        <v>-993.60904888888899</v>
      </c>
      <c r="AI243" s="139" t="s">
        <v>98</v>
      </c>
      <c r="AJ243" s="139" t="s">
        <v>895</v>
      </c>
    </row>
    <row r="244" spans="1:36" ht="15.75" x14ac:dyDescent="0.25">
      <c r="A244" s="115">
        <v>25009</v>
      </c>
      <c r="B244" s="116" t="s">
        <v>36</v>
      </c>
      <c r="C244" s="117" t="s">
        <v>37</v>
      </c>
      <c r="D244" s="118" t="s">
        <v>36</v>
      </c>
      <c r="E244" s="119" t="s">
        <v>38</v>
      </c>
      <c r="F244" s="140" t="s">
        <v>39</v>
      </c>
      <c r="G244" s="118" t="s">
        <v>40</v>
      </c>
      <c r="H244" s="121" t="s">
        <v>41</v>
      </c>
      <c r="I244" s="120" t="s">
        <v>301</v>
      </c>
      <c r="J244" s="122" t="s">
        <v>302</v>
      </c>
      <c r="K244" s="123" t="s">
        <v>303</v>
      </c>
      <c r="L244" t="s">
        <v>1307</v>
      </c>
      <c r="M244" s="124" t="s">
        <v>1308</v>
      </c>
      <c r="N244" s="125" t="s">
        <v>1309</v>
      </c>
      <c r="O244" s="126" t="s">
        <v>1324</v>
      </c>
      <c r="P244" s="127" t="s">
        <v>1311</v>
      </c>
      <c r="Q244" s="128">
        <v>8434.1618666666673</v>
      </c>
      <c r="R244" s="128">
        <v>8434.1618666666673</v>
      </c>
      <c r="S244" s="129">
        <v>8434.1618666666673</v>
      </c>
      <c r="T244" s="130" t="s">
        <v>1312</v>
      </c>
      <c r="U244" s="131">
        <v>45536</v>
      </c>
      <c r="V244" s="132"/>
      <c r="W244" s="133"/>
      <c r="X244" s="134" t="s">
        <v>258</v>
      </c>
      <c r="Y244" s="135" t="s">
        <v>912</v>
      </c>
      <c r="Z244" s="128" t="s">
        <v>1313</v>
      </c>
      <c r="AA244" s="128"/>
      <c r="AB244" s="136"/>
      <c r="AC244" s="137"/>
      <c r="AD244" s="136"/>
      <c r="AE244" s="136"/>
      <c r="AF244" s="136"/>
      <c r="AG244" s="136"/>
      <c r="AH244" s="138">
        <v>-8434.1618666666673</v>
      </c>
      <c r="AI244" s="139" t="s">
        <v>98</v>
      </c>
      <c r="AJ244" s="139" t="s">
        <v>895</v>
      </c>
    </row>
    <row r="245" spans="1:36" ht="15.75" x14ac:dyDescent="0.25">
      <c r="A245" s="115">
        <v>25012</v>
      </c>
      <c r="B245" s="116" t="s">
        <v>36</v>
      </c>
      <c r="C245" s="117" t="s">
        <v>37</v>
      </c>
      <c r="D245" s="118" t="s">
        <v>36</v>
      </c>
      <c r="E245" s="119" t="s">
        <v>38</v>
      </c>
      <c r="F245" s="140" t="s">
        <v>39</v>
      </c>
      <c r="G245" s="118" t="s">
        <v>40</v>
      </c>
      <c r="H245" s="121" t="s">
        <v>41</v>
      </c>
      <c r="I245" s="120" t="s">
        <v>524</v>
      </c>
      <c r="J245" s="122" t="s">
        <v>525</v>
      </c>
      <c r="K245" s="123" t="s">
        <v>526</v>
      </c>
      <c r="L245" t="s">
        <v>1307</v>
      </c>
      <c r="M245" s="124" t="s">
        <v>1308</v>
      </c>
      <c r="N245" s="125" t="s">
        <v>1309</v>
      </c>
      <c r="O245" s="126" t="s">
        <v>1310</v>
      </c>
      <c r="P245" s="127" t="s">
        <v>1311</v>
      </c>
      <c r="Q245" s="128">
        <v>6869.6368444444452</v>
      </c>
      <c r="R245" s="128">
        <v>6869.6368444444452</v>
      </c>
      <c r="S245" s="129">
        <v>6869.6368444444452</v>
      </c>
      <c r="T245" s="130" t="s">
        <v>1312</v>
      </c>
      <c r="U245" s="131">
        <v>45536</v>
      </c>
      <c r="V245" s="132"/>
      <c r="W245" s="133"/>
      <c r="X245" s="134" t="s">
        <v>1215</v>
      </c>
      <c r="Y245" s="135" t="s">
        <v>912</v>
      </c>
      <c r="Z245" s="128" t="s">
        <v>1313</v>
      </c>
      <c r="AA245" s="128"/>
      <c r="AB245" s="136"/>
      <c r="AC245" s="137"/>
      <c r="AD245" s="136"/>
      <c r="AE245" s="136"/>
      <c r="AF245" s="136"/>
      <c r="AG245" s="136"/>
      <c r="AH245" s="138">
        <v>-6869.6368444444452</v>
      </c>
      <c r="AI245" s="139" t="s">
        <v>98</v>
      </c>
      <c r="AJ245" s="139" t="s">
        <v>895</v>
      </c>
    </row>
    <row r="246" spans="1:36" ht="15.75" x14ac:dyDescent="0.25">
      <c r="A246" s="115">
        <v>25032</v>
      </c>
      <c r="B246" s="116" t="s">
        <v>36</v>
      </c>
      <c r="C246" s="117" t="s">
        <v>37</v>
      </c>
      <c r="D246" s="118" t="s">
        <v>36</v>
      </c>
      <c r="E246" s="119" t="s">
        <v>38</v>
      </c>
      <c r="F246" s="140" t="s">
        <v>39</v>
      </c>
      <c r="G246" s="118" t="s">
        <v>40</v>
      </c>
      <c r="H246" s="121" t="s">
        <v>41</v>
      </c>
      <c r="I246" s="120" t="s">
        <v>42</v>
      </c>
      <c r="J246" s="122" t="s">
        <v>43</v>
      </c>
      <c r="K246" s="123" t="s">
        <v>44</v>
      </c>
      <c r="L246" t="s">
        <v>1307</v>
      </c>
      <c r="M246" s="124" t="s">
        <v>1308</v>
      </c>
      <c r="N246" s="125" t="s">
        <v>1309</v>
      </c>
      <c r="O246" s="126" t="s">
        <v>1310</v>
      </c>
      <c r="P246" s="127" t="s">
        <v>1311</v>
      </c>
      <c r="Q246" s="128">
        <v>6085.1809066666665</v>
      </c>
      <c r="R246" s="128">
        <v>6085.1809066666665</v>
      </c>
      <c r="S246" s="129">
        <v>6085.1809066666665</v>
      </c>
      <c r="T246" s="130" t="s">
        <v>1312</v>
      </c>
      <c r="U246" s="131">
        <v>45536</v>
      </c>
      <c r="V246" s="132"/>
      <c r="W246" s="133"/>
      <c r="X246" s="134" t="s">
        <v>1325</v>
      </c>
      <c r="Y246" s="135" t="s">
        <v>912</v>
      </c>
      <c r="Z246" s="128" t="s">
        <v>1313</v>
      </c>
      <c r="AA246" s="128"/>
      <c r="AB246" s="136"/>
      <c r="AC246" s="137"/>
      <c r="AD246" s="136"/>
      <c r="AE246" s="136"/>
      <c r="AF246" s="136"/>
      <c r="AG246" s="136"/>
      <c r="AH246" s="138">
        <v>-6085.1809066666665</v>
      </c>
      <c r="AI246" s="139" t="s">
        <v>98</v>
      </c>
      <c r="AJ246" s="139" t="s">
        <v>895</v>
      </c>
    </row>
    <row r="247" spans="1:36" ht="15.75" x14ac:dyDescent="0.25">
      <c r="A247" s="115">
        <v>25108</v>
      </c>
      <c r="B247" s="116" t="s">
        <v>36</v>
      </c>
      <c r="C247" s="117" t="s">
        <v>37</v>
      </c>
      <c r="D247" s="118" t="s">
        <v>36</v>
      </c>
      <c r="E247" s="119" t="s">
        <v>38</v>
      </c>
      <c r="F247" s="120" t="s">
        <v>39</v>
      </c>
      <c r="G247" s="118" t="s">
        <v>40</v>
      </c>
      <c r="H247" s="121" t="s">
        <v>41</v>
      </c>
      <c r="I247" s="120" t="s">
        <v>1319</v>
      </c>
      <c r="J247" s="122" t="s">
        <v>1320</v>
      </c>
      <c r="K247" s="123" t="s">
        <v>1321</v>
      </c>
      <c r="L247" t="s">
        <v>1307</v>
      </c>
      <c r="M247" s="124" t="s">
        <v>1308</v>
      </c>
      <c r="N247" s="125" t="s">
        <v>1309</v>
      </c>
      <c r="O247" s="126" t="s">
        <v>1310</v>
      </c>
      <c r="P247" s="127" t="s">
        <v>1311</v>
      </c>
      <c r="Q247" s="128">
        <v>7072.6847911111117</v>
      </c>
      <c r="R247" s="128">
        <v>7072.6847911111117</v>
      </c>
      <c r="S247" s="129">
        <v>7072.6847911111117</v>
      </c>
      <c r="T247" s="130" t="s">
        <v>1312</v>
      </c>
      <c r="U247" s="131">
        <v>45536</v>
      </c>
      <c r="V247" s="132"/>
      <c r="W247" s="133"/>
      <c r="X247" s="134" t="s">
        <v>1326</v>
      </c>
      <c r="Y247" s="135" t="s">
        <v>912</v>
      </c>
      <c r="Z247" s="128" t="s">
        <v>1313</v>
      </c>
      <c r="AA247" s="128"/>
      <c r="AB247" s="136"/>
      <c r="AC247" s="137"/>
      <c r="AD247" s="136"/>
      <c r="AE247" s="136"/>
      <c r="AF247" s="136"/>
      <c r="AG247" s="136"/>
      <c r="AH247" s="138">
        <v>-7072.6847911111117</v>
      </c>
      <c r="AI247" s="139" t="s">
        <v>98</v>
      </c>
      <c r="AJ247" s="139" t="s">
        <v>895</v>
      </c>
    </row>
    <row r="248" spans="1:36" ht="15.75" x14ac:dyDescent="0.25">
      <c r="A248" s="115">
        <v>25109</v>
      </c>
      <c r="B248" s="116" t="s">
        <v>36</v>
      </c>
      <c r="C248" s="117" t="s">
        <v>37</v>
      </c>
      <c r="D248" s="118" t="s">
        <v>36</v>
      </c>
      <c r="E248" s="119" t="s">
        <v>38</v>
      </c>
      <c r="F248" s="120" t="s">
        <v>39</v>
      </c>
      <c r="G248" s="118" t="s">
        <v>40</v>
      </c>
      <c r="H248" s="121" t="s">
        <v>41</v>
      </c>
      <c r="I248" s="120" t="s">
        <v>1360</v>
      </c>
      <c r="J248" s="122" t="s">
        <v>1361</v>
      </c>
      <c r="K248" s="123" t="s">
        <v>1362</v>
      </c>
      <c r="L248" t="s">
        <v>1307</v>
      </c>
      <c r="M248" s="124" t="s">
        <v>1308</v>
      </c>
      <c r="N248" s="125" t="s">
        <v>1309</v>
      </c>
      <c r="O248" s="126" t="s">
        <v>1363</v>
      </c>
      <c r="P248" s="127" t="s">
        <v>1311</v>
      </c>
      <c r="Q248" s="128">
        <v>6563.8246844444448</v>
      </c>
      <c r="R248" s="128">
        <v>6563.8246844444448</v>
      </c>
      <c r="S248" s="129">
        <v>6563.8246844444448</v>
      </c>
      <c r="T248" s="130" t="s">
        <v>1312</v>
      </c>
      <c r="U248" s="131">
        <v>45536</v>
      </c>
      <c r="V248" s="132"/>
      <c r="W248" s="133"/>
      <c r="X248" s="134" t="s">
        <v>1364</v>
      </c>
      <c r="Y248" s="135" t="s">
        <v>912</v>
      </c>
      <c r="Z248" s="128" t="s">
        <v>1313</v>
      </c>
      <c r="AA248" s="128"/>
      <c r="AB248" s="136"/>
      <c r="AC248" s="137"/>
      <c r="AD248" s="136"/>
      <c r="AE248" s="136"/>
      <c r="AF248" s="136"/>
      <c r="AG248" s="136"/>
      <c r="AH248" s="138">
        <v>-6563.8246844444448</v>
      </c>
      <c r="AI248" s="139" t="s">
        <v>98</v>
      </c>
      <c r="AJ248" s="139" t="s">
        <v>895</v>
      </c>
    </row>
    <row r="249" spans="1:36" ht="15.75" x14ac:dyDescent="0.25">
      <c r="A249" s="115">
        <v>25958</v>
      </c>
      <c r="B249" s="116" t="s">
        <v>36</v>
      </c>
      <c r="C249" s="117" t="s">
        <v>37</v>
      </c>
      <c r="D249" s="118" t="s">
        <v>36</v>
      </c>
      <c r="E249" s="119" t="s">
        <v>38</v>
      </c>
      <c r="F249" s="140" t="s">
        <v>39</v>
      </c>
      <c r="G249" s="118" t="s">
        <v>40</v>
      </c>
      <c r="H249" s="121" t="s">
        <v>41</v>
      </c>
      <c r="I249" s="120" t="s">
        <v>42</v>
      </c>
      <c r="J249" s="122" t="s">
        <v>43</v>
      </c>
      <c r="K249" s="123" t="s">
        <v>44</v>
      </c>
      <c r="L249" t="s">
        <v>1307</v>
      </c>
      <c r="M249" s="124" t="s">
        <v>1308</v>
      </c>
      <c r="N249" s="125" t="s">
        <v>1309</v>
      </c>
      <c r="O249" s="126" t="s">
        <v>929</v>
      </c>
      <c r="P249" s="127"/>
      <c r="Q249" s="128"/>
      <c r="R249" s="128"/>
      <c r="S249" s="129">
        <v>8472.5400000000009</v>
      </c>
      <c r="T249" s="130" t="s">
        <v>1339</v>
      </c>
      <c r="U249" s="131">
        <v>45545</v>
      </c>
      <c r="V249" s="132"/>
      <c r="W249" s="133"/>
      <c r="X249" s="134" t="s">
        <v>1345</v>
      </c>
      <c r="Y249" s="135" t="s">
        <v>912</v>
      </c>
      <c r="Z249" s="128" t="s">
        <v>96</v>
      </c>
      <c r="AA249" s="128"/>
      <c r="AB249" s="136"/>
      <c r="AC249" s="137"/>
      <c r="AD249" s="136"/>
      <c r="AE249" s="136"/>
      <c r="AF249" s="136"/>
      <c r="AG249" s="136"/>
      <c r="AH249" s="138">
        <v>-8472.5400000000009</v>
      </c>
      <c r="AI249" s="139" t="s">
        <v>98</v>
      </c>
      <c r="AJ249" s="139" t="s">
        <v>895</v>
      </c>
    </row>
    <row r="250" spans="1:36" ht="15.75" x14ac:dyDescent="0.25">
      <c r="A250" s="115">
        <v>28061</v>
      </c>
      <c r="B250" s="116" t="s">
        <v>36</v>
      </c>
      <c r="C250" s="117" t="s">
        <v>37</v>
      </c>
      <c r="D250" s="118" t="s">
        <v>36</v>
      </c>
      <c r="E250" s="119" t="s">
        <v>38</v>
      </c>
      <c r="F250" s="120" t="s">
        <v>39</v>
      </c>
      <c r="G250" s="118" t="s">
        <v>40</v>
      </c>
      <c r="H250" s="121" t="s">
        <v>41</v>
      </c>
      <c r="I250" s="120" t="s">
        <v>39</v>
      </c>
      <c r="J250" s="122" t="s">
        <v>40</v>
      </c>
      <c r="K250" s="123" t="s">
        <v>41</v>
      </c>
      <c r="L250" t="s">
        <v>1307</v>
      </c>
      <c r="M250" s="124" t="s">
        <v>1308</v>
      </c>
      <c r="N250" s="125" t="s">
        <v>1309</v>
      </c>
      <c r="O250" s="126"/>
      <c r="P250" s="127"/>
      <c r="Q250" s="128"/>
      <c r="R250" s="128"/>
      <c r="S250" s="129">
        <v>4767.217714467778</v>
      </c>
      <c r="T250" s="130" t="s">
        <v>1312</v>
      </c>
      <c r="U250" s="131">
        <v>45566</v>
      </c>
      <c r="V250" s="132"/>
      <c r="W250" s="133"/>
      <c r="X250" s="134" t="s">
        <v>1364</v>
      </c>
      <c r="Y250" s="135" t="s">
        <v>912</v>
      </c>
      <c r="Z250" s="128" t="s">
        <v>1311</v>
      </c>
      <c r="AA250" s="128"/>
      <c r="AB250" s="136"/>
      <c r="AC250" s="137"/>
      <c r="AD250" s="136"/>
      <c r="AE250" s="136"/>
      <c r="AF250" s="136"/>
      <c r="AG250" s="136"/>
      <c r="AH250" s="138">
        <v>-4767.217714467778</v>
      </c>
      <c r="AI250" s="139" t="s">
        <v>98</v>
      </c>
      <c r="AJ250" s="139" t="s">
        <v>895</v>
      </c>
    </row>
    <row r="251" spans="1:36" ht="15.75" x14ac:dyDescent="0.25">
      <c r="A251" s="115">
        <v>28069</v>
      </c>
      <c r="B251" s="116" t="s">
        <v>36</v>
      </c>
      <c r="C251" s="117" t="s">
        <v>37</v>
      </c>
      <c r="D251" s="118" t="s">
        <v>36</v>
      </c>
      <c r="E251" s="119" t="s">
        <v>38</v>
      </c>
      <c r="F251" s="120" t="s">
        <v>39</v>
      </c>
      <c r="G251" s="118" t="s">
        <v>40</v>
      </c>
      <c r="H251" s="121" t="s">
        <v>41</v>
      </c>
      <c r="I251" s="120" t="s">
        <v>524</v>
      </c>
      <c r="J251" s="122" t="s">
        <v>525</v>
      </c>
      <c r="K251" s="123" t="s">
        <v>526</v>
      </c>
      <c r="L251" t="s">
        <v>1307</v>
      </c>
      <c r="M251" s="124" t="s">
        <v>1308</v>
      </c>
      <c r="N251" s="125" t="s">
        <v>1309</v>
      </c>
      <c r="O251" s="126"/>
      <c r="P251" s="127"/>
      <c r="Q251" s="128"/>
      <c r="R251" s="128"/>
      <c r="S251" s="129">
        <v>9986.4151755555558</v>
      </c>
      <c r="T251" s="130" t="s">
        <v>1312</v>
      </c>
      <c r="U251" s="131">
        <v>45566</v>
      </c>
      <c r="V251" s="132"/>
      <c r="W251" s="133"/>
      <c r="X251" s="134" t="s">
        <v>1318</v>
      </c>
      <c r="Y251" s="135" t="s">
        <v>912</v>
      </c>
      <c r="Z251" s="128" t="s">
        <v>1311</v>
      </c>
      <c r="AA251" s="128"/>
      <c r="AB251" s="136"/>
      <c r="AC251" s="137"/>
      <c r="AD251" s="136"/>
      <c r="AE251" s="136"/>
      <c r="AF251" s="136"/>
      <c r="AG251" s="136"/>
      <c r="AH251" s="138">
        <v>-9986.4151755555558</v>
      </c>
      <c r="AI251" s="139" t="s">
        <v>98</v>
      </c>
      <c r="AJ251" s="139" t="s">
        <v>895</v>
      </c>
    </row>
    <row r="252" spans="1:36" ht="15.75" x14ac:dyDescent="0.25">
      <c r="A252" s="115">
        <v>28070</v>
      </c>
      <c r="B252" s="116" t="s">
        <v>36</v>
      </c>
      <c r="C252" s="117" t="s">
        <v>37</v>
      </c>
      <c r="D252" s="118" t="s">
        <v>36</v>
      </c>
      <c r="E252" s="119" t="s">
        <v>38</v>
      </c>
      <c r="F252" s="120" t="s">
        <v>39</v>
      </c>
      <c r="G252" s="118" t="s">
        <v>40</v>
      </c>
      <c r="H252" s="121" t="s">
        <v>41</v>
      </c>
      <c r="I252" s="120" t="s">
        <v>524</v>
      </c>
      <c r="J252" s="122" t="s">
        <v>525</v>
      </c>
      <c r="K252" s="123" t="s">
        <v>526</v>
      </c>
      <c r="L252" t="s">
        <v>1307</v>
      </c>
      <c r="M252" s="124" t="s">
        <v>1308</v>
      </c>
      <c r="N252" s="125" t="s">
        <v>1309</v>
      </c>
      <c r="O252" s="126"/>
      <c r="P252" s="127"/>
      <c r="Q252" s="128"/>
      <c r="R252" s="128"/>
      <c r="S252" s="129">
        <v>9493.4438955555561</v>
      </c>
      <c r="T252" s="130" t="s">
        <v>1312</v>
      </c>
      <c r="U252" s="131">
        <v>45566</v>
      </c>
      <c r="V252" s="132"/>
      <c r="W252" s="133"/>
      <c r="X252" s="134" t="s">
        <v>874</v>
      </c>
      <c r="Y252" s="135" t="s">
        <v>912</v>
      </c>
      <c r="Z252" s="128" t="s">
        <v>1311</v>
      </c>
      <c r="AA252" s="128"/>
      <c r="AB252" s="136"/>
      <c r="AC252" s="137"/>
      <c r="AD252" s="136"/>
      <c r="AE252" s="136"/>
      <c r="AF252" s="136"/>
      <c r="AG252" s="136"/>
      <c r="AH252" s="138">
        <v>-9493.4438955555561</v>
      </c>
      <c r="AI252" s="139" t="s">
        <v>98</v>
      </c>
      <c r="AJ252" s="139" t="s">
        <v>895</v>
      </c>
    </row>
    <row r="253" spans="1:36" ht="15.75" x14ac:dyDescent="0.25">
      <c r="A253" s="115">
        <v>28072</v>
      </c>
      <c r="B253" s="116" t="s">
        <v>36</v>
      </c>
      <c r="C253" s="117" t="s">
        <v>37</v>
      </c>
      <c r="D253" s="118" t="s">
        <v>36</v>
      </c>
      <c r="E253" s="119" t="s">
        <v>38</v>
      </c>
      <c r="F253" s="120" t="s">
        <v>39</v>
      </c>
      <c r="G253" s="118" t="s">
        <v>40</v>
      </c>
      <c r="H253" s="121" t="s">
        <v>41</v>
      </c>
      <c r="I253" s="120" t="s">
        <v>301</v>
      </c>
      <c r="J253" s="122" t="s">
        <v>302</v>
      </c>
      <c r="K253" s="123" t="s">
        <v>303</v>
      </c>
      <c r="L253" t="s">
        <v>1307</v>
      </c>
      <c r="M253" s="124" t="s">
        <v>1308</v>
      </c>
      <c r="N253" s="125" t="s">
        <v>1309</v>
      </c>
      <c r="O253" s="126"/>
      <c r="P253" s="127"/>
      <c r="Q253" s="128"/>
      <c r="R253" s="128"/>
      <c r="S253" s="129">
        <v>9552.2178744444445</v>
      </c>
      <c r="T253" s="130" t="s">
        <v>1312</v>
      </c>
      <c r="U253" s="131">
        <v>45566</v>
      </c>
      <c r="V253" s="132"/>
      <c r="W253" s="133"/>
      <c r="X253" s="134" t="s">
        <v>1046</v>
      </c>
      <c r="Y253" s="135" t="s">
        <v>912</v>
      </c>
      <c r="Z253" s="128" t="s">
        <v>1311</v>
      </c>
      <c r="AA253" s="128"/>
      <c r="AB253" s="136"/>
      <c r="AC253" s="137"/>
      <c r="AD253" s="136"/>
      <c r="AE253" s="136"/>
      <c r="AF253" s="136"/>
      <c r="AG253" s="136"/>
      <c r="AH253" s="138">
        <v>-9552.2178744444445</v>
      </c>
      <c r="AI253" s="139" t="s">
        <v>98</v>
      </c>
      <c r="AJ253" s="139" t="s">
        <v>895</v>
      </c>
    </row>
    <row r="254" spans="1:36" ht="15.75" x14ac:dyDescent="0.25">
      <c r="A254" s="115">
        <v>28074</v>
      </c>
      <c r="B254" s="116" t="s">
        <v>36</v>
      </c>
      <c r="C254" s="117" t="s">
        <v>37</v>
      </c>
      <c r="D254" s="118" t="s">
        <v>36</v>
      </c>
      <c r="E254" s="119" t="s">
        <v>38</v>
      </c>
      <c r="F254" s="120" t="s">
        <v>39</v>
      </c>
      <c r="G254" s="118" t="s">
        <v>40</v>
      </c>
      <c r="H254" s="121" t="s">
        <v>41</v>
      </c>
      <c r="I254" s="120" t="s">
        <v>42</v>
      </c>
      <c r="J254" s="122" t="s">
        <v>43</v>
      </c>
      <c r="K254" s="123" t="s">
        <v>44</v>
      </c>
      <c r="L254" t="s">
        <v>1307</v>
      </c>
      <c r="M254" s="124" t="s">
        <v>1308</v>
      </c>
      <c r="N254" s="125" t="s">
        <v>1309</v>
      </c>
      <c r="O254" s="126"/>
      <c r="P254" s="127"/>
      <c r="Q254" s="128"/>
      <c r="R254" s="128"/>
      <c r="S254" s="129">
        <v>4962.2340999999997</v>
      </c>
      <c r="T254" s="130" t="s">
        <v>1312</v>
      </c>
      <c r="U254" s="131">
        <v>45566</v>
      </c>
      <c r="V254" s="132"/>
      <c r="W254" s="133"/>
      <c r="X254" s="134" t="s">
        <v>1325</v>
      </c>
      <c r="Y254" s="135" t="s">
        <v>912</v>
      </c>
      <c r="Z254" s="128" t="s">
        <v>1311</v>
      </c>
      <c r="AA254" s="128"/>
      <c r="AB254" s="136"/>
      <c r="AC254" s="137"/>
      <c r="AD254" s="136"/>
      <c r="AE254" s="136"/>
      <c r="AF254" s="136"/>
      <c r="AG254" s="136"/>
      <c r="AH254" s="138">
        <v>-4962.2340999999997</v>
      </c>
      <c r="AI254" s="139" t="s">
        <v>98</v>
      </c>
      <c r="AJ254" s="139" t="s">
        <v>895</v>
      </c>
    </row>
    <row r="255" spans="1:36" ht="15.75" x14ac:dyDescent="0.25">
      <c r="A255" s="115">
        <v>28075</v>
      </c>
      <c r="B255" s="116" t="s">
        <v>36</v>
      </c>
      <c r="C255" s="117" t="s">
        <v>37</v>
      </c>
      <c r="D255" s="118" t="s">
        <v>36</v>
      </c>
      <c r="E255" s="119" t="s">
        <v>38</v>
      </c>
      <c r="F255" s="120" t="s">
        <v>39</v>
      </c>
      <c r="G255" s="118" t="s">
        <v>40</v>
      </c>
      <c r="H255" s="121" t="s">
        <v>41</v>
      </c>
      <c r="I255" s="120" t="s">
        <v>42</v>
      </c>
      <c r="J255" s="122" t="s">
        <v>43</v>
      </c>
      <c r="K255" s="123" t="s">
        <v>44</v>
      </c>
      <c r="L255" t="s">
        <v>1307</v>
      </c>
      <c r="M255" s="124" t="s">
        <v>1308</v>
      </c>
      <c r="N255" s="125" t="s">
        <v>1309</v>
      </c>
      <c r="O255" s="126"/>
      <c r="P255" s="127"/>
      <c r="Q255" s="128"/>
      <c r="R255" s="128"/>
      <c r="S255" s="129">
        <v>5249.671905555555</v>
      </c>
      <c r="T255" s="130" t="s">
        <v>1312</v>
      </c>
      <c r="U255" s="131">
        <v>45566</v>
      </c>
      <c r="V255" s="132"/>
      <c r="W255" s="133"/>
      <c r="X255" s="134" t="s">
        <v>1314</v>
      </c>
      <c r="Y255" s="135" t="s">
        <v>912</v>
      </c>
      <c r="Z255" s="128" t="s">
        <v>1311</v>
      </c>
      <c r="AA255" s="128"/>
      <c r="AB255" s="136"/>
      <c r="AC255" s="137"/>
      <c r="AD255" s="136"/>
      <c r="AE255" s="136"/>
      <c r="AF255" s="136"/>
      <c r="AG255" s="136"/>
      <c r="AH255" s="138">
        <v>-5249.671905555555</v>
      </c>
      <c r="AI255" s="139" t="s">
        <v>98</v>
      </c>
      <c r="AJ255" s="139" t="s">
        <v>895</v>
      </c>
    </row>
    <row r="256" spans="1:36" ht="15.75" x14ac:dyDescent="0.25">
      <c r="A256" s="115">
        <v>28076</v>
      </c>
      <c r="B256" s="116" t="s">
        <v>36</v>
      </c>
      <c r="C256" s="117" t="s">
        <v>37</v>
      </c>
      <c r="D256" s="118" t="s">
        <v>36</v>
      </c>
      <c r="E256" s="119" t="s">
        <v>38</v>
      </c>
      <c r="F256" s="120" t="s">
        <v>39</v>
      </c>
      <c r="G256" s="118" t="s">
        <v>40</v>
      </c>
      <c r="H256" s="121" t="s">
        <v>41</v>
      </c>
      <c r="I256" s="120" t="s">
        <v>1319</v>
      </c>
      <c r="J256" s="122" t="s">
        <v>1320</v>
      </c>
      <c r="K256" s="123" t="s">
        <v>1321</v>
      </c>
      <c r="L256" t="s">
        <v>1307</v>
      </c>
      <c r="M256" s="124" t="s">
        <v>1308</v>
      </c>
      <c r="N256" s="125" t="s">
        <v>1309</v>
      </c>
      <c r="O256" s="126"/>
      <c r="P256" s="127"/>
      <c r="Q256" s="128"/>
      <c r="R256" s="128"/>
      <c r="S256" s="129">
        <v>6682.6083855555562</v>
      </c>
      <c r="T256" s="130" t="s">
        <v>1312</v>
      </c>
      <c r="U256" s="131">
        <v>45566</v>
      </c>
      <c r="V256" s="132"/>
      <c r="W256" s="133"/>
      <c r="X256" s="134" t="s">
        <v>1322</v>
      </c>
      <c r="Y256" s="135" t="s">
        <v>912</v>
      </c>
      <c r="Z256" s="128" t="s">
        <v>1311</v>
      </c>
      <c r="AA256" s="128"/>
      <c r="AB256" s="136"/>
      <c r="AC256" s="137"/>
      <c r="AD256" s="136"/>
      <c r="AE256" s="136"/>
      <c r="AF256" s="136"/>
      <c r="AG256" s="136"/>
      <c r="AH256" s="138">
        <v>-6682.6083855555562</v>
      </c>
      <c r="AI256" s="139" t="s">
        <v>98</v>
      </c>
      <c r="AJ256" s="139" t="s">
        <v>895</v>
      </c>
    </row>
    <row r="257" spans="1:36" ht="15.75" x14ac:dyDescent="0.25">
      <c r="A257" s="115">
        <v>28077</v>
      </c>
      <c r="B257" s="116" t="s">
        <v>36</v>
      </c>
      <c r="C257" s="117" t="s">
        <v>37</v>
      </c>
      <c r="D257" s="118" t="s">
        <v>36</v>
      </c>
      <c r="E257" s="119" t="s">
        <v>38</v>
      </c>
      <c r="F257" s="120" t="s">
        <v>39</v>
      </c>
      <c r="G257" s="118" t="s">
        <v>40</v>
      </c>
      <c r="H257" s="121" t="s">
        <v>41</v>
      </c>
      <c r="I257" s="120" t="s">
        <v>1319</v>
      </c>
      <c r="J257" s="122" t="s">
        <v>1320</v>
      </c>
      <c r="K257" s="123" t="s">
        <v>1321</v>
      </c>
      <c r="L257" t="s">
        <v>1307</v>
      </c>
      <c r="M257" s="124" t="s">
        <v>1308</v>
      </c>
      <c r="N257" s="125" t="s">
        <v>1309</v>
      </c>
      <c r="O257" s="126"/>
      <c r="P257" s="127"/>
      <c r="Q257" s="128"/>
      <c r="R257" s="128"/>
      <c r="S257" s="129">
        <v>7789.3940244444448</v>
      </c>
      <c r="T257" s="130" t="s">
        <v>1312</v>
      </c>
      <c r="U257" s="131">
        <v>45566</v>
      </c>
      <c r="V257" s="132"/>
      <c r="W257" s="133"/>
      <c r="X257" s="134" t="s">
        <v>1326</v>
      </c>
      <c r="Y257" s="135" t="s">
        <v>912</v>
      </c>
      <c r="Z257" s="128" t="s">
        <v>1311</v>
      </c>
      <c r="AA257" s="128"/>
      <c r="AB257" s="136"/>
      <c r="AC257" s="137"/>
      <c r="AD257" s="136"/>
      <c r="AE257" s="136"/>
      <c r="AF257" s="136"/>
      <c r="AG257" s="136"/>
      <c r="AH257" s="138">
        <v>-7789.3940244444448</v>
      </c>
      <c r="AI257" s="139" t="s">
        <v>98</v>
      </c>
      <c r="AJ257" s="139" t="s">
        <v>895</v>
      </c>
    </row>
    <row r="258" spans="1:36" ht="15.75" x14ac:dyDescent="0.25">
      <c r="A258" s="115">
        <v>28078</v>
      </c>
      <c r="B258" s="116" t="s">
        <v>36</v>
      </c>
      <c r="C258" s="117" t="s">
        <v>37</v>
      </c>
      <c r="D258" s="118" t="s">
        <v>36</v>
      </c>
      <c r="E258" s="119" t="s">
        <v>38</v>
      </c>
      <c r="F258" s="120" t="s">
        <v>39</v>
      </c>
      <c r="G258" s="118" t="s">
        <v>40</v>
      </c>
      <c r="H258" s="121" t="s">
        <v>41</v>
      </c>
      <c r="I258" s="120" t="s">
        <v>524</v>
      </c>
      <c r="J258" s="122" t="s">
        <v>525</v>
      </c>
      <c r="K258" s="123" t="s">
        <v>526</v>
      </c>
      <c r="L258" t="s">
        <v>1307</v>
      </c>
      <c r="M258" s="124" t="s">
        <v>1308</v>
      </c>
      <c r="N258" s="125" t="s">
        <v>1309</v>
      </c>
      <c r="O258" s="126"/>
      <c r="P258" s="127"/>
      <c r="Q258" s="128"/>
      <c r="R258" s="128"/>
      <c r="S258" s="129">
        <v>6356.6644166666665</v>
      </c>
      <c r="T258" s="130" t="s">
        <v>1312</v>
      </c>
      <c r="U258" s="131">
        <v>45566</v>
      </c>
      <c r="V258" s="132"/>
      <c r="W258" s="133"/>
      <c r="X258" s="134" t="s">
        <v>1215</v>
      </c>
      <c r="Y258" s="135" t="s">
        <v>912</v>
      </c>
      <c r="Z258" s="128" t="s">
        <v>1311</v>
      </c>
      <c r="AA258" s="128"/>
      <c r="AB258" s="136"/>
      <c r="AC258" s="137"/>
      <c r="AD258" s="136"/>
      <c r="AE258" s="136"/>
      <c r="AF258" s="136"/>
      <c r="AG258" s="136"/>
      <c r="AH258" s="138">
        <v>-6356.6644166666665</v>
      </c>
      <c r="AI258" s="139" t="s">
        <v>98</v>
      </c>
      <c r="AJ258" s="139" t="s">
        <v>895</v>
      </c>
    </row>
    <row r="259" spans="1:36" ht="15.75" x14ac:dyDescent="0.25">
      <c r="A259" s="115">
        <v>28079</v>
      </c>
      <c r="B259" s="116" t="s">
        <v>36</v>
      </c>
      <c r="C259" s="117" t="s">
        <v>37</v>
      </c>
      <c r="D259" s="118" t="s">
        <v>36</v>
      </c>
      <c r="E259" s="119" t="s">
        <v>38</v>
      </c>
      <c r="F259" s="120" t="s">
        <v>39</v>
      </c>
      <c r="G259" s="118" t="s">
        <v>40</v>
      </c>
      <c r="H259" s="121" t="s">
        <v>41</v>
      </c>
      <c r="I259" s="120" t="s">
        <v>301</v>
      </c>
      <c r="J259" s="122" t="s">
        <v>302</v>
      </c>
      <c r="K259" s="123" t="s">
        <v>303</v>
      </c>
      <c r="L259" t="s">
        <v>1307</v>
      </c>
      <c r="M259" s="124" t="s">
        <v>1308</v>
      </c>
      <c r="N259" s="125" t="s">
        <v>1309</v>
      </c>
      <c r="O259" s="126"/>
      <c r="P259" s="127"/>
      <c r="Q259" s="128"/>
      <c r="R259" s="128"/>
      <c r="S259" s="129">
        <v>9687.9161999999997</v>
      </c>
      <c r="T259" s="130" t="s">
        <v>1312</v>
      </c>
      <c r="U259" s="131">
        <v>45566</v>
      </c>
      <c r="V259" s="132"/>
      <c r="W259" s="133"/>
      <c r="X259" s="134" t="s">
        <v>1323</v>
      </c>
      <c r="Y259" s="135" t="s">
        <v>912</v>
      </c>
      <c r="Z259" s="128" t="s">
        <v>1311</v>
      </c>
      <c r="AA259" s="128"/>
      <c r="AB259" s="136"/>
      <c r="AC259" s="137"/>
      <c r="AD259" s="136"/>
      <c r="AE259" s="136"/>
      <c r="AF259" s="136"/>
      <c r="AG259" s="136"/>
      <c r="AH259" s="138">
        <v>-9687.9161999999997</v>
      </c>
      <c r="AI259" s="139" t="s">
        <v>98</v>
      </c>
      <c r="AJ259" s="139" t="s">
        <v>895</v>
      </c>
    </row>
    <row r="260" spans="1:36" ht="15.75" x14ac:dyDescent="0.25">
      <c r="A260" s="115">
        <v>28080</v>
      </c>
      <c r="B260" s="116" t="s">
        <v>36</v>
      </c>
      <c r="C260" s="117" t="s">
        <v>37</v>
      </c>
      <c r="D260" s="118" t="s">
        <v>36</v>
      </c>
      <c r="E260" s="119" t="s">
        <v>38</v>
      </c>
      <c r="F260" s="120" t="s">
        <v>39</v>
      </c>
      <c r="G260" s="118" t="s">
        <v>40</v>
      </c>
      <c r="H260" s="121" t="s">
        <v>41</v>
      </c>
      <c r="I260" s="120" t="s">
        <v>524</v>
      </c>
      <c r="J260" s="122" t="s">
        <v>525</v>
      </c>
      <c r="K260" s="123" t="s">
        <v>526</v>
      </c>
      <c r="L260" t="s">
        <v>1307</v>
      </c>
      <c r="M260" s="124" t="s">
        <v>1308</v>
      </c>
      <c r="N260" s="125" t="s">
        <v>1309</v>
      </c>
      <c r="O260" s="126"/>
      <c r="P260" s="127"/>
      <c r="Q260" s="128"/>
      <c r="R260" s="128"/>
      <c r="S260" s="129">
        <v>7630.1988744444452</v>
      </c>
      <c r="T260" s="130" t="s">
        <v>1312</v>
      </c>
      <c r="U260" s="131">
        <v>45566</v>
      </c>
      <c r="V260" s="132"/>
      <c r="W260" s="133"/>
      <c r="X260" s="134" t="s">
        <v>1338</v>
      </c>
      <c r="Y260" s="135" t="s">
        <v>912</v>
      </c>
      <c r="Z260" s="128" t="s">
        <v>1311</v>
      </c>
      <c r="AA260" s="128"/>
      <c r="AB260" s="136"/>
      <c r="AC260" s="137"/>
      <c r="AD260" s="136"/>
      <c r="AE260" s="136"/>
      <c r="AF260" s="136"/>
      <c r="AG260" s="136"/>
      <c r="AH260" s="138">
        <v>-7630.1988744444452</v>
      </c>
      <c r="AI260" s="139" t="s">
        <v>98</v>
      </c>
      <c r="AJ260" s="139" t="s">
        <v>895</v>
      </c>
    </row>
    <row r="261" spans="1:36" ht="15.75" x14ac:dyDescent="0.25">
      <c r="A261" s="115">
        <v>28081</v>
      </c>
      <c r="B261" s="116" t="s">
        <v>36</v>
      </c>
      <c r="C261" s="117" t="s">
        <v>37</v>
      </c>
      <c r="D261" s="118" t="s">
        <v>36</v>
      </c>
      <c r="E261" s="119" t="s">
        <v>38</v>
      </c>
      <c r="F261" s="120" t="s">
        <v>39</v>
      </c>
      <c r="G261" s="118" t="s">
        <v>40</v>
      </c>
      <c r="H261" s="121" t="s">
        <v>41</v>
      </c>
      <c r="I261" s="120" t="s">
        <v>1319</v>
      </c>
      <c r="J261" s="122" t="s">
        <v>1320</v>
      </c>
      <c r="K261" s="123" t="s">
        <v>1321</v>
      </c>
      <c r="L261" t="s">
        <v>1307</v>
      </c>
      <c r="M261" s="124" t="s">
        <v>1308</v>
      </c>
      <c r="N261" s="125" t="s">
        <v>1309</v>
      </c>
      <c r="O261" s="126"/>
      <c r="P261" s="127"/>
      <c r="Q261" s="128"/>
      <c r="R261" s="128"/>
      <c r="S261" s="129">
        <v>6079.9656422222224</v>
      </c>
      <c r="T261" s="130" t="s">
        <v>1312</v>
      </c>
      <c r="U261" s="131">
        <v>45566</v>
      </c>
      <c r="V261" s="132"/>
      <c r="W261" s="133"/>
      <c r="X261" s="134" t="s">
        <v>1380</v>
      </c>
      <c r="Y261" s="135" t="s">
        <v>912</v>
      </c>
      <c r="Z261" s="128" t="s">
        <v>1311</v>
      </c>
      <c r="AA261" s="128"/>
      <c r="AB261" s="136"/>
      <c r="AC261" s="137"/>
      <c r="AD261" s="136"/>
      <c r="AE261" s="136"/>
      <c r="AF261" s="136"/>
      <c r="AG261" s="136"/>
      <c r="AH261" s="138">
        <v>-6079.9656422222224</v>
      </c>
      <c r="AI261" s="139" t="s">
        <v>98</v>
      </c>
      <c r="AJ261" s="139" t="s">
        <v>895</v>
      </c>
    </row>
    <row r="262" spans="1:36" ht="15.75" x14ac:dyDescent="0.25">
      <c r="A262" s="115">
        <v>28082</v>
      </c>
      <c r="B262" s="116" t="s">
        <v>36</v>
      </c>
      <c r="C262" s="117" t="s">
        <v>37</v>
      </c>
      <c r="D262" s="118" t="s">
        <v>36</v>
      </c>
      <c r="E262" s="119" t="s">
        <v>38</v>
      </c>
      <c r="F262" s="120" t="s">
        <v>39</v>
      </c>
      <c r="G262" s="118" t="s">
        <v>40</v>
      </c>
      <c r="H262" s="121" t="s">
        <v>41</v>
      </c>
      <c r="I262" s="120" t="s">
        <v>1319</v>
      </c>
      <c r="J262" s="122" t="s">
        <v>1320</v>
      </c>
      <c r="K262" s="123" t="s">
        <v>1321</v>
      </c>
      <c r="L262" t="s">
        <v>1307</v>
      </c>
      <c r="M262" s="124" t="s">
        <v>1308</v>
      </c>
      <c r="N262" s="125" t="s">
        <v>1309</v>
      </c>
      <c r="O262" s="126"/>
      <c r="P262" s="127"/>
      <c r="Q262" s="128"/>
      <c r="R262" s="128"/>
      <c r="S262" s="129">
        <v>6408.8721377777774</v>
      </c>
      <c r="T262" s="130" t="s">
        <v>1312</v>
      </c>
      <c r="U262" s="131">
        <v>45566</v>
      </c>
      <c r="V262" s="132"/>
      <c r="W262" s="133"/>
      <c r="X262" s="134" t="s">
        <v>1379</v>
      </c>
      <c r="Y262" s="135" t="s">
        <v>912</v>
      </c>
      <c r="Z262" s="128" t="s">
        <v>1311</v>
      </c>
      <c r="AA262" s="128"/>
      <c r="AB262" s="136"/>
      <c r="AC262" s="137"/>
      <c r="AD262" s="136"/>
      <c r="AE262" s="136"/>
      <c r="AF262" s="136"/>
      <c r="AG262" s="136"/>
      <c r="AH262" s="138">
        <v>-6408.8721377777774</v>
      </c>
      <c r="AI262" s="139" t="s">
        <v>98</v>
      </c>
      <c r="AJ262" s="139" t="s">
        <v>895</v>
      </c>
    </row>
    <row r="263" spans="1:36" ht="15.75" x14ac:dyDescent="0.25">
      <c r="A263" s="115">
        <v>28089</v>
      </c>
      <c r="B263" s="116" t="s">
        <v>36</v>
      </c>
      <c r="C263" s="117" t="s">
        <v>37</v>
      </c>
      <c r="D263" s="118" t="s">
        <v>36</v>
      </c>
      <c r="E263" s="119" t="s">
        <v>38</v>
      </c>
      <c r="F263" s="120" t="s">
        <v>39</v>
      </c>
      <c r="G263" s="118" t="s">
        <v>40</v>
      </c>
      <c r="H263" s="121" t="s">
        <v>41</v>
      </c>
      <c r="I263" s="120" t="s">
        <v>301</v>
      </c>
      <c r="J263" s="122" t="s">
        <v>302</v>
      </c>
      <c r="K263" s="123" t="s">
        <v>303</v>
      </c>
      <c r="L263" t="s">
        <v>1307</v>
      </c>
      <c r="M263" s="124" t="s">
        <v>1308</v>
      </c>
      <c r="N263" s="125" t="s">
        <v>1309</v>
      </c>
      <c r="O263" s="126"/>
      <c r="P263" s="127"/>
      <c r="Q263" s="128"/>
      <c r="R263" s="128"/>
      <c r="S263" s="129">
        <v>8718.0436111111121</v>
      </c>
      <c r="T263" s="130" t="s">
        <v>1312</v>
      </c>
      <c r="U263" s="131">
        <v>45566</v>
      </c>
      <c r="V263" s="132"/>
      <c r="W263" s="133"/>
      <c r="X263" s="134" t="s">
        <v>258</v>
      </c>
      <c r="Y263" s="135" t="s">
        <v>912</v>
      </c>
      <c r="Z263" s="128" t="s">
        <v>1311</v>
      </c>
      <c r="AA263" s="128"/>
      <c r="AB263" s="136"/>
      <c r="AC263" s="137"/>
      <c r="AD263" s="136"/>
      <c r="AE263" s="136"/>
      <c r="AF263" s="136"/>
      <c r="AG263" s="136"/>
      <c r="AH263" s="138">
        <v>-8718.0436111111121</v>
      </c>
      <c r="AI263" s="139" t="s">
        <v>98</v>
      </c>
      <c r="AJ263" s="139" t="s">
        <v>895</v>
      </c>
    </row>
    <row r="264" spans="1:36" ht="15.75" x14ac:dyDescent="0.25">
      <c r="A264" s="115">
        <v>31221</v>
      </c>
      <c r="B264" s="116" t="s">
        <v>36</v>
      </c>
      <c r="C264" s="117" t="s">
        <v>37</v>
      </c>
      <c r="D264" s="118" t="s">
        <v>36</v>
      </c>
      <c r="E264" s="119" t="s">
        <v>38</v>
      </c>
      <c r="F264" s="140" t="s">
        <v>39</v>
      </c>
      <c r="G264" s="118" t="s">
        <v>40</v>
      </c>
      <c r="H264" s="121" t="s">
        <v>41</v>
      </c>
      <c r="I264" s="120" t="s">
        <v>946</v>
      </c>
      <c r="J264" s="122" t="s">
        <v>947</v>
      </c>
      <c r="K264" s="123" t="s">
        <v>948</v>
      </c>
      <c r="L264" t="s">
        <v>1307</v>
      </c>
      <c r="M264" s="124" t="s">
        <v>1308</v>
      </c>
      <c r="N264" s="125" t="s">
        <v>1309</v>
      </c>
      <c r="O264" s="126" t="s">
        <v>1369</v>
      </c>
      <c r="P264" s="127" t="s">
        <v>1330</v>
      </c>
      <c r="Q264" s="128">
        <v>30</v>
      </c>
      <c r="R264" s="128">
        <v>30</v>
      </c>
      <c r="S264" s="129">
        <v>30</v>
      </c>
      <c r="T264" s="130" t="s">
        <v>1381</v>
      </c>
      <c r="U264" s="131">
        <v>45602</v>
      </c>
      <c r="V264" s="132">
        <v>45602</v>
      </c>
      <c r="W264" s="133">
        <v>50</v>
      </c>
      <c r="X264" s="134" t="s">
        <v>198</v>
      </c>
      <c r="Y264" s="135" t="s">
        <v>912</v>
      </c>
      <c r="Z264" s="128" t="s">
        <v>57</v>
      </c>
      <c r="AA264" s="128"/>
      <c r="AB264" s="136"/>
      <c r="AC264" s="137"/>
      <c r="AD264" s="136"/>
      <c r="AE264" s="136"/>
      <c r="AF264" s="136"/>
      <c r="AG264" s="136"/>
      <c r="AH264" s="138">
        <v>-30</v>
      </c>
      <c r="AI264" s="139" t="s">
        <v>98</v>
      </c>
      <c r="AJ264" s="139" t="s">
        <v>895</v>
      </c>
    </row>
    <row r="265" spans="1:36" ht="15.75" x14ac:dyDescent="0.25">
      <c r="A265" s="115">
        <v>31222</v>
      </c>
      <c r="B265" s="116" t="s">
        <v>36</v>
      </c>
      <c r="C265" s="117" t="s">
        <v>37</v>
      </c>
      <c r="D265" s="118" t="s">
        <v>36</v>
      </c>
      <c r="E265" s="119" t="s">
        <v>38</v>
      </c>
      <c r="F265" s="187" t="s">
        <v>39</v>
      </c>
      <c r="G265" s="188" t="s">
        <v>40</v>
      </c>
      <c r="H265" s="189" t="s">
        <v>41</v>
      </c>
      <c r="I265" s="187" t="s">
        <v>524</v>
      </c>
      <c r="J265" s="188" t="s">
        <v>525</v>
      </c>
      <c r="K265" s="189" t="s">
        <v>526</v>
      </c>
      <c r="L265" t="s">
        <v>1382</v>
      </c>
      <c r="M265" s="124" t="s">
        <v>1308</v>
      </c>
      <c r="N265" s="125" t="s">
        <v>1309</v>
      </c>
      <c r="P265" s="127"/>
      <c r="S265" s="141">
        <v>9401.1187477777767</v>
      </c>
      <c r="T265" s="130" t="s">
        <v>1312</v>
      </c>
      <c r="U265" s="143">
        <v>45602</v>
      </c>
      <c r="X265" s="190" t="s">
        <v>1318</v>
      </c>
      <c r="Y265" s="135" t="s">
        <v>912</v>
      </c>
      <c r="Z265" t="s">
        <v>1383</v>
      </c>
      <c r="AB265" s="125"/>
      <c r="AC265" s="145"/>
      <c r="AD265" s="125"/>
      <c r="AE265" s="125"/>
      <c r="AF265" s="125"/>
      <c r="AG265" s="125"/>
      <c r="AH265" s="138">
        <v>-9401.1187477777767</v>
      </c>
      <c r="AI265" s="139" t="s">
        <v>58</v>
      </c>
      <c r="AJ265" s="139" t="s">
        <v>157</v>
      </c>
    </row>
    <row r="266" spans="1:36" ht="15.75" x14ac:dyDescent="0.25">
      <c r="A266" s="115">
        <v>31223</v>
      </c>
      <c r="B266" s="116" t="s">
        <v>36</v>
      </c>
      <c r="C266" s="117" t="s">
        <v>37</v>
      </c>
      <c r="D266" s="118" t="s">
        <v>36</v>
      </c>
      <c r="E266" s="119" t="s">
        <v>38</v>
      </c>
      <c r="F266" s="187" t="s">
        <v>39</v>
      </c>
      <c r="G266" s="188" t="s">
        <v>40</v>
      </c>
      <c r="H266" s="189" t="s">
        <v>41</v>
      </c>
      <c r="I266" s="187" t="s">
        <v>524</v>
      </c>
      <c r="J266" s="188" t="s">
        <v>525</v>
      </c>
      <c r="K266" s="189" t="s">
        <v>526</v>
      </c>
      <c r="L266" t="s">
        <v>1307</v>
      </c>
      <c r="M266" s="124" t="s">
        <v>1308</v>
      </c>
      <c r="N266" s="125" t="s">
        <v>1309</v>
      </c>
      <c r="P266" s="127"/>
      <c r="S266" s="141">
        <v>10243.242626666666</v>
      </c>
      <c r="T266" s="130" t="s">
        <v>1312</v>
      </c>
      <c r="U266" s="143">
        <v>45602</v>
      </c>
      <c r="X266" s="190" t="s">
        <v>874</v>
      </c>
      <c r="Y266" s="135" t="s">
        <v>912</v>
      </c>
      <c r="Z266" t="s">
        <v>1383</v>
      </c>
      <c r="AB266" s="125"/>
      <c r="AC266" s="145"/>
      <c r="AD266" s="125"/>
      <c r="AE266" s="125"/>
      <c r="AF266" s="125"/>
      <c r="AG266" s="125"/>
      <c r="AH266" s="138">
        <v>-10243.242626666666</v>
      </c>
      <c r="AI266" s="139" t="s">
        <v>98</v>
      </c>
      <c r="AJ266" s="139" t="s">
        <v>895</v>
      </c>
    </row>
    <row r="267" spans="1:36" ht="15.75" x14ac:dyDescent="0.25">
      <c r="A267" s="115">
        <v>31224</v>
      </c>
      <c r="B267" s="116" t="s">
        <v>36</v>
      </c>
      <c r="C267" s="117" t="s">
        <v>37</v>
      </c>
      <c r="D267" s="118" t="s">
        <v>36</v>
      </c>
      <c r="E267" s="119" t="s">
        <v>38</v>
      </c>
      <c r="F267" s="187" t="s">
        <v>39</v>
      </c>
      <c r="G267" s="188" t="s">
        <v>40</v>
      </c>
      <c r="H267" s="189" t="s">
        <v>41</v>
      </c>
      <c r="I267" s="187" t="s">
        <v>301</v>
      </c>
      <c r="J267" s="188" t="s">
        <v>1384</v>
      </c>
      <c r="K267" s="189" t="s">
        <v>1385</v>
      </c>
      <c r="L267" t="s">
        <v>1307</v>
      </c>
      <c r="M267" s="124" t="s">
        <v>1308</v>
      </c>
      <c r="N267" s="125" t="s">
        <v>1309</v>
      </c>
      <c r="P267" s="127"/>
      <c r="S267" s="141">
        <v>12080.949847777778</v>
      </c>
      <c r="T267" s="130" t="s">
        <v>1312</v>
      </c>
      <c r="U267" s="143">
        <v>45602</v>
      </c>
      <c r="X267" s="190" t="s">
        <v>1046</v>
      </c>
      <c r="Y267" s="135" t="s">
        <v>912</v>
      </c>
      <c r="Z267" t="s">
        <v>1383</v>
      </c>
      <c r="AB267" s="125"/>
      <c r="AC267" s="145"/>
      <c r="AD267" s="125"/>
      <c r="AE267" s="125"/>
      <c r="AF267" s="125"/>
      <c r="AG267" s="125"/>
      <c r="AH267" s="138">
        <v>-12080.949847777778</v>
      </c>
      <c r="AI267" s="139" t="s">
        <v>98</v>
      </c>
      <c r="AJ267" s="139" t="s">
        <v>895</v>
      </c>
    </row>
    <row r="268" spans="1:36" ht="15.75" x14ac:dyDescent="0.25">
      <c r="A268" s="115">
        <v>31225</v>
      </c>
      <c r="B268" s="116" t="s">
        <v>36</v>
      </c>
      <c r="C268" s="117" t="s">
        <v>37</v>
      </c>
      <c r="D268" s="118" t="s">
        <v>36</v>
      </c>
      <c r="E268" s="119" t="s">
        <v>38</v>
      </c>
      <c r="F268" s="187" t="s">
        <v>39</v>
      </c>
      <c r="G268" s="188" t="s">
        <v>40</v>
      </c>
      <c r="H268" s="189" t="s">
        <v>41</v>
      </c>
      <c r="I268" s="187" t="s">
        <v>301</v>
      </c>
      <c r="J268" s="188" t="s">
        <v>1384</v>
      </c>
      <c r="K268" s="189" t="s">
        <v>1385</v>
      </c>
      <c r="L268" t="s">
        <v>1307</v>
      </c>
      <c r="M268" s="124" t="s">
        <v>1308</v>
      </c>
      <c r="N268" s="125" t="s">
        <v>1309</v>
      </c>
      <c r="P268" s="127"/>
      <c r="S268" s="141">
        <v>11426.444860000001</v>
      </c>
      <c r="T268" s="130" t="s">
        <v>1312</v>
      </c>
      <c r="U268" s="143">
        <v>45602</v>
      </c>
      <c r="X268" s="190" t="s">
        <v>258</v>
      </c>
      <c r="Y268" s="135" t="s">
        <v>912</v>
      </c>
      <c r="Z268" t="s">
        <v>1383</v>
      </c>
      <c r="AB268" s="125"/>
      <c r="AC268" s="145"/>
      <c r="AD268" s="125"/>
      <c r="AE268" s="125"/>
      <c r="AF268" s="125"/>
      <c r="AG268" s="125"/>
      <c r="AH268" s="138">
        <v>-11426.444860000001</v>
      </c>
      <c r="AI268" s="139" t="s">
        <v>98</v>
      </c>
      <c r="AJ268" s="139" t="s">
        <v>895</v>
      </c>
    </row>
    <row r="269" spans="1:36" ht="15.75" x14ac:dyDescent="0.25">
      <c r="A269" s="115">
        <v>31226</v>
      </c>
      <c r="B269" s="116" t="s">
        <v>36</v>
      </c>
      <c r="C269" s="117" t="s">
        <v>37</v>
      </c>
      <c r="D269" s="118" t="s">
        <v>36</v>
      </c>
      <c r="E269" s="119" t="s">
        <v>38</v>
      </c>
      <c r="F269" s="187" t="s">
        <v>39</v>
      </c>
      <c r="G269" s="188" t="s">
        <v>40</v>
      </c>
      <c r="H269" s="189" t="s">
        <v>41</v>
      </c>
      <c r="I269" s="187" t="s">
        <v>1319</v>
      </c>
      <c r="J269" s="188" t="s">
        <v>1320</v>
      </c>
      <c r="K269" s="189" t="s">
        <v>1321</v>
      </c>
      <c r="L269" t="s">
        <v>1307</v>
      </c>
      <c r="M269" s="124" t="s">
        <v>1308</v>
      </c>
      <c r="N269" s="125" t="s">
        <v>1309</v>
      </c>
      <c r="P269" s="127"/>
      <c r="S269" s="141">
        <v>6178.49143</v>
      </c>
      <c r="T269" s="130" t="s">
        <v>1312</v>
      </c>
      <c r="U269" s="143">
        <v>45602</v>
      </c>
      <c r="X269" s="190" t="s">
        <v>1326</v>
      </c>
      <c r="Y269" s="135" t="s">
        <v>912</v>
      </c>
      <c r="Z269" t="s">
        <v>1383</v>
      </c>
      <c r="AB269" s="125"/>
      <c r="AC269" s="145"/>
      <c r="AD269" s="125"/>
      <c r="AE269" s="125"/>
      <c r="AF269" s="125"/>
      <c r="AG269" s="125"/>
      <c r="AH269" s="138">
        <v>-6178.49143</v>
      </c>
      <c r="AI269" s="139" t="s">
        <v>98</v>
      </c>
      <c r="AJ269" s="139" t="s">
        <v>895</v>
      </c>
    </row>
    <row r="270" spans="1:36" ht="15.75" x14ac:dyDescent="0.25">
      <c r="A270" s="115">
        <v>31227</v>
      </c>
      <c r="B270" s="116" t="s">
        <v>36</v>
      </c>
      <c r="C270" s="117" t="s">
        <v>37</v>
      </c>
      <c r="D270" s="118" t="s">
        <v>36</v>
      </c>
      <c r="E270" s="119" t="s">
        <v>38</v>
      </c>
      <c r="F270" s="187" t="s">
        <v>39</v>
      </c>
      <c r="G270" s="188" t="s">
        <v>40</v>
      </c>
      <c r="H270" s="189" t="s">
        <v>41</v>
      </c>
      <c r="I270" s="187" t="s">
        <v>524</v>
      </c>
      <c r="J270" s="188" t="s">
        <v>525</v>
      </c>
      <c r="K270" s="189" t="s">
        <v>526</v>
      </c>
      <c r="L270" t="s">
        <v>1307</v>
      </c>
      <c r="M270" s="124" t="s">
        <v>1308</v>
      </c>
      <c r="N270" s="125" t="s">
        <v>1309</v>
      </c>
      <c r="P270" s="127"/>
      <c r="S270" s="141">
        <v>7334.7519155555547</v>
      </c>
      <c r="T270" s="130" t="s">
        <v>1312</v>
      </c>
      <c r="U270" s="143">
        <v>45602</v>
      </c>
      <c r="X270" s="190" t="s">
        <v>1215</v>
      </c>
      <c r="Y270" s="135" t="s">
        <v>912</v>
      </c>
      <c r="Z270" t="s">
        <v>1383</v>
      </c>
      <c r="AB270" s="125"/>
      <c r="AC270" s="145"/>
      <c r="AD270" s="125"/>
      <c r="AE270" s="125"/>
      <c r="AF270" s="125"/>
      <c r="AG270" s="125"/>
      <c r="AH270" s="138">
        <v>-7334.7519155555547</v>
      </c>
      <c r="AI270" s="139" t="s">
        <v>98</v>
      </c>
      <c r="AJ270" s="139" t="s">
        <v>895</v>
      </c>
    </row>
    <row r="271" spans="1:36" ht="15.75" x14ac:dyDescent="0.25">
      <c r="A271" s="115">
        <v>31228</v>
      </c>
      <c r="B271" s="116" t="s">
        <v>36</v>
      </c>
      <c r="C271" s="117" t="s">
        <v>37</v>
      </c>
      <c r="D271" s="118" t="s">
        <v>36</v>
      </c>
      <c r="E271" s="119" t="s">
        <v>38</v>
      </c>
      <c r="F271" s="187" t="s">
        <v>39</v>
      </c>
      <c r="G271" s="188" t="s">
        <v>40</v>
      </c>
      <c r="H271" s="189" t="s">
        <v>41</v>
      </c>
      <c r="I271" s="187" t="s">
        <v>301</v>
      </c>
      <c r="J271" s="188" t="s">
        <v>1384</v>
      </c>
      <c r="K271" s="189" t="s">
        <v>1385</v>
      </c>
      <c r="L271" t="s">
        <v>1307</v>
      </c>
      <c r="M271" s="124" t="s">
        <v>1308</v>
      </c>
      <c r="N271" s="125" t="s">
        <v>1309</v>
      </c>
      <c r="P271" s="127"/>
      <c r="S271" s="141">
        <v>10706.285756666668</v>
      </c>
      <c r="T271" s="130" t="s">
        <v>1312</v>
      </c>
      <c r="U271" s="143">
        <v>45602</v>
      </c>
      <c r="X271" s="190" t="s">
        <v>1323</v>
      </c>
      <c r="Y271" s="135" t="s">
        <v>912</v>
      </c>
      <c r="Z271" t="s">
        <v>1383</v>
      </c>
      <c r="AB271" s="125"/>
      <c r="AC271" s="145"/>
      <c r="AD271" s="125"/>
      <c r="AE271" s="125"/>
      <c r="AF271" s="125"/>
      <c r="AG271" s="125"/>
      <c r="AH271" s="138">
        <v>-10706.285756666668</v>
      </c>
      <c r="AI271" s="139" t="s">
        <v>98</v>
      </c>
      <c r="AJ271" s="139" t="s">
        <v>895</v>
      </c>
    </row>
    <row r="272" spans="1:36" ht="15.75" x14ac:dyDescent="0.25">
      <c r="A272" s="115">
        <v>31229</v>
      </c>
      <c r="B272" s="116" t="s">
        <v>36</v>
      </c>
      <c r="C272" s="117" t="s">
        <v>37</v>
      </c>
      <c r="D272" s="118" t="s">
        <v>36</v>
      </c>
      <c r="E272" s="119" t="s">
        <v>38</v>
      </c>
      <c r="F272" s="187" t="s">
        <v>39</v>
      </c>
      <c r="G272" s="188" t="s">
        <v>40</v>
      </c>
      <c r="H272" s="189" t="s">
        <v>41</v>
      </c>
      <c r="I272" s="187" t="s">
        <v>524</v>
      </c>
      <c r="J272" s="188" t="s">
        <v>525</v>
      </c>
      <c r="K272" s="189" t="s">
        <v>526</v>
      </c>
      <c r="L272" t="s">
        <v>1307</v>
      </c>
      <c r="M272" s="124" t="s">
        <v>1308</v>
      </c>
      <c r="N272" s="125" t="s">
        <v>1309</v>
      </c>
      <c r="P272" s="127"/>
      <c r="S272" s="141">
        <v>8718.890215555557</v>
      </c>
      <c r="T272" s="130" t="s">
        <v>1312</v>
      </c>
      <c r="U272" s="143">
        <v>45602</v>
      </c>
      <c r="X272" s="190" t="s">
        <v>1338</v>
      </c>
      <c r="Y272" s="135" t="s">
        <v>912</v>
      </c>
      <c r="Z272" t="s">
        <v>1383</v>
      </c>
      <c r="AB272" s="125"/>
      <c r="AC272" s="145"/>
      <c r="AD272" s="125"/>
      <c r="AE272" s="125"/>
      <c r="AF272" s="125"/>
      <c r="AG272" s="125"/>
      <c r="AH272" s="138">
        <v>-8718.890215555557</v>
      </c>
      <c r="AI272" s="139" t="s">
        <v>98</v>
      </c>
      <c r="AJ272" s="139" t="s">
        <v>895</v>
      </c>
    </row>
    <row r="273" spans="1:36" ht="15.75" x14ac:dyDescent="0.25">
      <c r="A273" s="115">
        <v>31230</v>
      </c>
      <c r="B273" s="116" t="s">
        <v>36</v>
      </c>
      <c r="C273" s="117" t="s">
        <v>37</v>
      </c>
      <c r="D273" s="118" t="s">
        <v>36</v>
      </c>
      <c r="E273" s="119" t="s">
        <v>38</v>
      </c>
      <c r="F273" s="187" t="s">
        <v>39</v>
      </c>
      <c r="G273" s="188" t="s">
        <v>40</v>
      </c>
      <c r="H273" s="189" t="s">
        <v>41</v>
      </c>
      <c r="I273" s="187" t="s">
        <v>1319</v>
      </c>
      <c r="J273" s="188" t="s">
        <v>1320</v>
      </c>
      <c r="K273" s="189" t="s">
        <v>1321</v>
      </c>
      <c r="L273" t="s">
        <v>1307</v>
      </c>
      <c r="M273" s="124" t="s">
        <v>1308</v>
      </c>
      <c r="N273" s="125" t="s">
        <v>1309</v>
      </c>
      <c r="P273" s="127"/>
      <c r="S273" s="141">
        <v>6539.0150366666667</v>
      </c>
      <c r="T273" s="130" t="s">
        <v>1312</v>
      </c>
      <c r="U273" s="143">
        <v>45602</v>
      </c>
      <c r="X273" s="190" t="s">
        <v>1380</v>
      </c>
      <c r="Y273" s="135" t="s">
        <v>912</v>
      </c>
      <c r="Z273" t="s">
        <v>1383</v>
      </c>
      <c r="AB273" s="125"/>
      <c r="AC273" s="145"/>
      <c r="AD273" s="125"/>
      <c r="AE273" s="125"/>
      <c r="AF273" s="125"/>
      <c r="AG273" s="125"/>
      <c r="AH273" s="138">
        <v>-6539.0150366666667</v>
      </c>
      <c r="AI273" s="139" t="s">
        <v>98</v>
      </c>
      <c r="AJ273" s="139" t="s">
        <v>895</v>
      </c>
    </row>
    <row r="274" spans="1:36" ht="15.75" x14ac:dyDescent="0.25">
      <c r="A274" s="115">
        <v>31231</v>
      </c>
      <c r="B274" s="116" t="s">
        <v>36</v>
      </c>
      <c r="C274" s="117" t="s">
        <v>37</v>
      </c>
      <c r="D274" s="118" t="s">
        <v>36</v>
      </c>
      <c r="E274" s="119" t="s">
        <v>38</v>
      </c>
      <c r="F274" s="187" t="s">
        <v>39</v>
      </c>
      <c r="G274" s="188" t="s">
        <v>40</v>
      </c>
      <c r="H274" s="189" t="s">
        <v>41</v>
      </c>
      <c r="I274" s="187" t="s">
        <v>1319</v>
      </c>
      <c r="J274" s="188" t="s">
        <v>1320</v>
      </c>
      <c r="K274" s="189" t="s">
        <v>1321</v>
      </c>
      <c r="L274" t="s">
        <v>1307</v>
      </c>
      <c r="M274" s="124" t="s">
        <v>1308</v>
      </c>
      <c r="N274" s="125" t="s">
        <v>1309</v>
      </c>
      <c r="P274" s="127"/>
      <c r="S274" s="141">
        <v>7628.3885566666659</v>
      </c>
      <c r="T274" s="130" t="s">
        <v>1312</v>
      </c>
      <c r="U274" s="143">
        <v>45602</v>
      </c>
      <c r="X274" s="190" t="s">
        <v>1379</v>
      </c>
      <c r="Y274" s="135" t="s">
        <v>912</v>
      </c>
      <c r="Z274" t="s">
        <v>1383</v>
      </c>
      <c r="AB274" s="125"/>
      <c r="AC274" s="145"/>
      <c r="AD274" s="125"/>
      <c r="AE274" s="125"/>
      <c r="AF274" s="125"/>
      <c r="AG274" s="125"/>
      <c r="AH274" s="138">
        <v>-7628.3885566666659</v>
      </c>
      <c r="AI274" s="139" t="s">
        <v>98</v>
      </c>
      <c r="AJ274" s="139" t="s">
        <v>895</v>
      </c>
    </row>
    <row r="275" spans="1:36" ht="15.75" x14ac:dyDescent="0.25">
      <c r="A275" s="115">
        <v>31232</v>
      </c>
      <c r="B275" s="116" t="s">
        <v>36</v>
      </c>
      <c r="C275" s="117" t="s">
        <v>37</v>
      </c>
      <c r="D275" s="118" t="s">
        <v>36</v>
      </c>
      <c r="E275" s="119" t="s">
        <v>38</v>
      </c>
      <c r="F275" s="187" t="s">
        <v>39</v>
      </c>
      <c r="G275" s="188" t="s">
        <v>40</v>
      </c>
      <c r="H275" s="189" t="s">
        <v>41</v>
      </c>
      <c r="I275" s="187" t="s">
        <v>524</v>
      </c>
      <c r="J275" s="188" t="s">
        <v>525</v>
      </c>
      <c r="K275" s="189" t="s">
        <v>526</v>
      </c>
      <c r="L275" t="s">
        <v>1307</v>
      </c>
      <c r="M275" s="124" t="s">
        <v>1308</v>
      </c>
      <c r="N275" s="125" t="s">
        <v>1309</v>
      </c>
      <c r="P275" s="127"/>
      <c r="S275" s="141">
        <v>5288.2705166666674</v>
      </c>
      <c r="T275" s="130" t="s">
        <v>1312</v>
      </c>
      <c r="U275" s="143">
        <v>45602</v>
      </c>
      <c r="X275" s="144" t="s">
        <v>1386</v>
      </c>
      <c r="Y275" s="135" t="s">
        <v>912</v>
      </c>
      <c r="Z275" t="s">
        <v>1383</v>
      </c>
      <c r="AB275" s="125"/>
      <c r="AC275" s="145"/>
      <c r="AD275" s="125"/>
      <c r="AE275" s="125"/>
      <c r="AF275" s="125"/>
      <c r="AG275" s="125"/>
      <c r="AH275" s="138">
        <v>-5288.2705166666674</v>
      </c>
      <c r="AI275" s="139" t="s">
        <v>98</v>
      </c>
      <c r="AJ275" s="139" t="s">
        <v>895</v>
      </c>
    </row>
    <row r="276" spans="1:36" ht="15.75" x14ac:dyDescent="0.25">
      <c r="A276" s="115">
        <v>31830</v>
      </c>
      <c r="B276" s="116" t="s">
        <v>36</v>
      </c>
      <c r="C276" s="117" t="s">
        <v>37</v>
      </c>
      <c r="D276" s="118" t="s">
        <v>36</v>
      </c>
      <c r="E276" s="119" t="s">
        <v>38</v>
      </c>
      <c r="F276" s="120" t="s">
        <v>39</v>
      </c>
      <c r="G276" s="118" t="s">
        <v>40</v>
      </c>
      <c r="H276" s="121" t="s">
        <v>41</v>
      </c>
      <c r="I276" s="120" t="s">
        <v>1319</v>
      </c>
      <c r="J276" s="122" t="s">
        <v>1320</v>
      </c>
      <c r="K276" s="123" t="s">
        <v>1321</v>
      </c>
      <c r="L276" t="s">
        <v>1307</v>
      </c>
      <c r="M276" s="124" t="s">
        <v>1308</v>
      </c>
      <c r="N276" s="125" t="s">
        <v>1309</v>
      </c>
      <c r="O276" t="s">
        <v>929</v>
      </c>
      <c r="P276" s="127"/>
      <c r="S276" s="141">
        <v>13729.73</v>
      </c>
      <c r="T276" s="142" t="s">
        <v>1327</v>
      </c>
      <c r="U276" s="143">
        <v>45608.567835648151</v>
      </c>
      <c r="X276" s="144" t="s">
        <v>1322</v>
      </c>
      <c r="Y276" s="135" t="s">
        <v>912</v>
      </c>
      <c r="Z276" t="s">
        <v>96</v>
      </c>
      <c r="AA276" t="s">
        <v>1339</v>
      </c>
      <c r="AB276" s="125"/>
      <c r="AC276" s="145"/>
      <c r="AD276" s="125"/>
      <c r="AE276" s="125"/>
      <c r="AF276" s="125"/>
      <c r="AG276" s="125"/>
      <c r="AH276" s="138">
        <v>-13729.73</v>
      </c>
      <c r="AI276" s="139" t="s">
        <v>98</v>
      </c>
      <c r="AJ276" s="139" t="s">
        <v>895</v>
      </c>
    </row>
    <row r="277" spans="1:36" ht="15.75" x14ac:dyDescent="0.25">
      <c r="A277" s="115">
        <v>31831</v>
      </c>
      <c r="B277" s="116" t="s">
        <v>36</v>
      </c>
      <c r="C277" s="117" t="s">
        <v>37</v>
      </c>
      <c r="D277" s="118" t="s">
        <v>36</v>
      </c>
      <c r="E277" s="119" t="s">
        <v>38</v>
      </c>
      <c r="F277" s="120" t="s">
        <v>39</v>
      </c>
      <c r="G277" s="118" t="s">
        <v>40</v>
      </c>
      <c r="H277" s="121" t="s">
        <v>41</v>
      </c>
      <c r="I277" s="120" t="s">
        <v>42</v>
      </c>
      <c r="J277" s="122" t="s">
        <v>43</v>
      </c>
      <c r="K277" s="123" t="s">
        <v>44</v>
      </c>
      <c r="L277" t="s">
        <v>1307</v>
      </c>
      <c r="M277" s="124" t="s">
        <v>1308</v>
      </c>
      <c r="N277" s="125" t="s">
        <v>1309</v>
      </c>
      <c r="O277" t="s">
        <v>909</v>
      </c>
      <c r="P277" s="127"/>
      <c r="S277" s="141">
        <v>15271.01</v>
      </c>
      <c r="T277" s="142" t="s">
        <v>1327</v>
      </c>
      <c r="U277" s="143">
        <v>45608.567835648151</v>
      </c>
      <c r="X277" s="144" t="s">
        <v>1314</v>
      </c>
      <c r="Y277" s="135" t="s">
        <v>912</v>
      </c>
      <c r="Z277" t="s">
        <v>96</v>
      </c>
      <c r="AA277" t="s">
        <v>1339</v>
      </c>
      <c r="AB277" s="125"/>
      <c r="AC277" s="145"/>
      <c r="AD277" s="125"/>
      <c r="AE277" s="125"/>
      <c r="AF277" s="125"/>
      <c r="AG277" s="125"/>
      <c r="AH277" s="138">
        <v>-15271.01</v>
      </c>
      <c r="AI277" s="139" t="s">
        <v>98</v>
      </c>
      <c r="AJ277" s="139" t="s">
        <v>895</v>
      </c>
    </row>
    <row r="278" spans="1:36" ht="15.75" x14ac:dyDescent="0.25">
      <c r="A278" s="115">
        <v>33316</v>
      </c>
      <c r="B278" s="116" t="s">
        <v>36</v>
      </c>
      <c r="C278" s="117" t="s">
        <v>37</v>
      </c>
      <c r="D278" s="118" t="s">
        <v>36</v>
      </c>
      <c r="E278" s="119" t="s">
        <v>38</v>
      </c>
      <c r="F278" s="120" t="s">
        <v>39</v>
      </c>
      <c r="G278" s="118" t="s">
        <v>40</v>
      </c>
      <c r="H278" s="121" t="s">
        <v>41</v>
      </c>
      <c r="I278" s="120" t="s">
        <v>524</v>
      </c>
      <c r="J278" s="122" t="s">
        <v>525</v>
      </c>
      <c r="K278" s="123" t="s">
        <v>526</v>
      </c>
      <c r="L278" t="s">
        <v>1307</v>
      </c>
      <c r="M278" s="124" t="s">
        <v>1308</v>
      </c>
      <c r="N278" s="125" t="s">
        <v>1309</v>
      </c>
      <c r="O278" s="126"/>
      <c r="P278" s="127" t="s">
        <v>1310</v>
      </c>
      <c r="Q278" s="128"/>
      <c r="R278" s="128">
        <v>8290.6949999999997</v>
      </c>
      <c r="S278" s="129">
        <v>8290.6949999999997</v>
      </c>
      <c r="T278" s="130" t="s">
        <v>256</v>
      </c>
      <c r="U278" s="131">
        <v>45627</v>
      </c>
      <c r="V278" s="132"/>
      <c r="W278" s="133"/>
      <c r="X278" s="134" t="s">
        <v>1318</v>
      </c>
      <c r="Y278" s="135" t="s">
        <v>912</v>
      </c>
      <c r="Z278" s="128" t="s">
        <v>1383</v>
      </c>
      <c r="AA278" s="128"/>
      <c r="AB278" s="136"/>
      <c r="AC278" s="137"/>
      <c r="AD278" s="136"/>
      <c r="AE278" s="136"/>
      <c r="AF278" s="136"/>
      <c r="AG278" s="136"/>
      <c r="AH278" s="138">
        <v>-8290.6949999999997</v>
      </c>
      <c r="AI278" s="139" t="s">
        <v>98</v>
      </c>
      <c r="AJ278" s="139" t="s">
        <v>895</v>
      </c>
    </row>
    <row r="279" spans="1:36" ht="15.75" x14ac:dyDescent="0.25">
      <c r="A279" s="115">
        <v>33317</v>
      </c>
      <c r="B279" s="116" t="s">
        <v>36</v>
      </c>
      <c r="C279" s="117" t="s">
        <v>37</v>
      </c>
      <c r="D279" s="118" t="s">
        <v>36</v>
      </c>
      <c r="E279" s="119" t="s">
        <v>38</v>
      </c>
      <c r="F279" s="120" t="s">
        <v>39</v>
      </c>
      <c r="G279" s="118" t="s">
        <v>40</v>
      </c>
      <c r="H279" s="121" t="s">
        <v>41</v>
      </c>
      <c r="I279" s="120" t="s">
        <v>524</v>
      </c>
      <c r="J279" s="122" t="s">
        <v>525</v>
      </c>
      <c r="K279" s="123" t="s">
        <v>526</v>
      </c>
      <c r="L279" t="s">
        <v>1307</v>
      </c>
      <c r="M279" s="124" t="s">
        <v>1308</v>
      </c>
      <c r="N279" s="125" t="s">
        <v>1309</v>
      </c>
      <c r="O279" s="126"/>
      <c r="P279" s="127" t="s">
        <v>1310</v>
      </c>
      <c r="Q279" s="128"/>
      <c r="R279" s="128">
        <v>8848.5936111111114</v>
      </c>
      <c r="S279" s="129">
        <v>8848.5936111111114</v>
      </c>
      <c r="T279" s="130" t="s">
        <v>256</v>
      </c>
      <c r="U279" s="131">
        <v>45627</v>
      </c>
      <c r="V279" s="132"/>
      <c r="W279" s="133"/>
      <c r="X279" s="134" t="s">
        <v>874</v>
      </c>
      <c r="Y279" s="135" t="s">
        <v>912</v>
      </c>
      <c r="Z279" s="128" t="s">
        <v>1383</v>
      </c>
      <c r="AA279" s="128"/>
      <c r="AB279" s="136"/>
      <c r="AC279" s="137"/>
      <c r="AD279" s="136"/>
      <c r="AE279" s="136"/>
      <c r="AF279" s="136"/>
      <c r="AG279" s="136"/>
      <c r="AH279" s="138">
        <v>-8848.5936111111114</v>
      </c>
      <c r="AI279" s="139" t="s">
        <v>98</v>
      </c>
      <c r="AJ279" s="139" t="s">
        <v>895</v>
      </c>
    </row>
    <row r="280" spans="1:36" ht="15.75" x14ac:dyDescent="0.25">
      <c r="A280" s="115">
        <v>33318</v>
      </c>
      <c r="B280" s="116" t="s">
        <v>36</v>
      </c>
      <c r="C280" s="117" t="s">
        <v>37</v>
      </c>
      <c r="D280" s="118" t="s">
        <v>36</v>
      </c>
      <c r="E280" s="119" t="s">
        <v>38</v>
      </c>
      <c r="F280" s="120" t="s">
        <v>39</v>
      </c>
      <c r="G280" s="118" t="s">
        <v>40</v>
      </c>
      <c r="H280" s="121" t="s">
        <v>41</v>
      </c>
      <c r="I280" s="120" t="s">
        <v>301</v>
      </c>
      <c r="J280" s="122" t="s">
        <v>1384</v>
      </c>
      <c r="K280" s="123" t="s">
        <v>1385</v>
      </c>
      <c r="L280" t="s">
        <v>1307</v>
      </c>
      <c r="M280" s="124" t="s">
        <v>1308</v>
      </c>
      <c r="N280" s="125" t="s">
        <v>1309</v>
      </c>
      <c r="O280" s="126"/>
      <c r="P280" s="127" t="s">
        <v>1310</v>
      </c>
      <c r="Q280" s="128"/>
      <c r="R280" s="128">
        <v>9626.5819444444423</v>
      </c>
      <c r="S280" s="129">
        <v>9626.5819444444423</v>
      </c>
      <c r="T280" s="130" t="s">
        <v>256</v>
      </c>
      <c r="U280" s="131">
        <v>45627</v>
      </c>
      <c r="V280" s="132"/>
      <c r="W280" s="133"/>
      <c r="X280" s="134" t="s">
        <v>1046</v>
      </c>
      <c r="Y280" s="135" t="s">
        <v>912</v>
      </c>
      <c r="Z280" s="128" t="s">
        <v>1383</v>
      </c>
      <c r="AA280" s="128"/>
      <c r="AB280" s="136"/>
      <c r="AC280" s="137"/>
      <c r="AD280" s="136"/>
      <c r="AE280" s="136"/>
      <c r="AF280" s="136"/>
      <c r="AG280" s="136"/>
      <c r="AH280" s="138">
        <v>-9626.5819444444423</v>
      </c>
      <c r="AI280" s="139" t="s">
        <v>98</v>
      </c>
      <c r="AJ280" s="139" t="s">
        <v>895</v>
      </c>
    </row>
    <row r="281" spans="1:36" ht="15.75" x14ac:dyDescent="0.25">
      <c r="A281" s="115">
        <v>33319</v>
      </c>
      <c r="B281" s="116" t="s">
        <v>36</v>
      </c>
      <c r="C281" s="117" t="s">
        <v>37</v>
      </c>
      <c r="D281" s="118" t="s">
        <v>36</v>
      </c>
      <c r="E281" s="119" t="s">
        <v>38</v>
      </c>
      <c r="F281" s="120" t="s">
        <v>39</v>
      </c>
      <c r="G281" s="118" t="s">
        <v>40</v>
      </c>
      <c r="H281" s="121" t="s">
        <v>41</v>
      </c>
      <c r="I281" s="120" t="s">
        <v>301</v>
      </c>
      <c r="J281" s="122" t="s">
        <v>1384</v>
      </c>
      <c r="K281" s="123" t="s">
        <v>1385</v>
      </c>
      <c r="L281" t="s">
        <v>1307</v>
      </c>
      <c r="M281" s="124" t="s">
        <v>1308</v>
      </c>
      <c r="N281" s="125" t="s">
        <v>1309</v>
      </c>
      <c r="O281" s="126"/>
      <c r="P281" s="127" t="s">
        <v>1387</v>
      </c>
      <c r="Q281" s="128"/>
      <c r="R281" s="128">
        <v>8641.7966666666671</v>
      </c>
      <c r="S281" s="129">
        <v>8641.7966666666671</v>
      </c>
      <c r="T281" s="130" t="s">
        <v>256</v>
      </c>
      <c r="U281" s="131">
        <v>45627</v>
      </c>
      <c r="V281" s="132"/>
      <c r="W281" s="133"/>
      <c r="X281" s="134" t="s">
        <v>258</v>
      </c>
      <c r="Y281" s="135" t="s">
        <v>912</v>
      </c>
      <c r="Z281" s="128" t="s">
        <v>1383</v>
      </c>
      <c r="AA281" s="128"/>
      <c r="AB281" s="136"/>
      <c r="AC281" s="137"/>
      <c r="AD281" s="136"/>
      <c r="AE281" s="136"/>
      <c r="AF281" s="136"/>
      <c r="AG281" s="136"/>
      <c r="AH281" s="138">
        <v>-8641.7966666666671</v>
      </c>
      <c r="AI281" s="139" t="s">
        <v>98</v>
      </c>
      <c r="AJ281" s="139" t="s">
        <v>895</v>
      </c>
    </row>
    <row r="282" spans="1:36" ht="15.75" x14ac:dyDescent="0.25">
      <c r="A282" s="115">
        <v>33320</v>
      </c>
      <c r="B282" s="116" t="s">
        <v>36</v>
      </c>
      <c r="C282" s="117" t="s">
        <v>37</v>
      </c>
      <c r="D282" s="118" t="s">
        <v>36</v>
      </c>
      <c r="E282" s="119" t="s">
        <v>38</v>
      </c>
      <c r="F282" s="120" t="s">
        <v>39</v>
      </c>
      <c r="G282" s="118" t="s">
        <v>40</v>
      </c>
      <c r="H282" s="121" t="s">
        <v>41</v>
      </c>
      <c r="I282" s="120" t="s">
        <v>1319</v>
      </c>
      <c r="J282" s="122" t="s">
        <v>1320</v>
      </c>
      <c r="K282" s="123" t="s">
        <v>1321</v>
      </c>
      <c r="L282" t="s">
        <v>1307</v>
      </c>
      <c r="M282" s="124" t="s">
        <v>1308</v>
      </c>
      <c r="N282" s="125" t="s">
        <v>1309</v>
      </c>
      <c r="O282" s="126"/>
      <c r="P282" s="127" t="s">
        <v>1310</v>
      </c>
      <c r="Q282" s="128"/>
      <c r="R282" s="128">
        <v>6691.442222222222</v>
      </c>
      <c r="S282" s="129">
        <v>6691.442222222222</v>
      </c>
      <c r="T282" s="130" t="s">
        <v>256</v>
      </c>
      <c r="U282" s="131">
        <v>45627</v>
      </c>
      <c r="V282" s="132"/>
      <c r="W282" s="133"/>
      <c r="X282" s="134" t="s">
        <v>1326</v>
      </c>
      <c r="Y282" s="135" t="s">
        <v>912</v>
      </c>
      <c r="Z282" s="128" t="s">
        <v>1383</v>
      </c>
      <c r="AA282" s="128"/>
      <c r="AB282" s="136"/>
      <c r="AC282" s="137"/>
      <c r="AD282" s="136"/>
      <c r="AE282" s="136"/>
      <c r="AF282" s="136"/>
      <c r="AG282" s="136"/>
      <c r="AH282" s="138">
        <v>-6691.442222222222</v>
      </c>
      <c r="AI282" s="139" t="s">
        <v>98</v>
      </c>
      <c r="AJ282" s="139" t="s">
        <v>895</v>
      </c>
    </row>
    <row r="283" spans="1:36" ht="15.75" x14ac:dyDescent="0.25">
      <c r="A283" s="115">
        <v>33321</v>
      </c>
      <c r="B283" s="116" t="s">
        <v>36</v>
      </c>
      <c r="C283" s="117" t="s">
        <v>37</v>
      </c>
      <c r="D283" s="118" t="s">
        <v>36</v>
      </c>
      <c r="E283" s="119" t="s">
        <v>38</v>
      </c>
      <c r="F283" s="120" t="s">
        <v>39</v>
      </c>
      <c r="G283" s="118" t="s">
        <v>40</v>
      </c>
      <c r="H283" s="121" t="s">
        <v>41</v>
      </c>
      <c r="I283" s="120" t="s">
        <v>524</v>
      </c>
      <c r="J283" s="122" t="s">
        <v>525</v>
      </c>
      <c r="K283" s="123" t="s">
        <v>526</v>
      </c>
      <c r="L283" t="s">
        <v>1307</v>
      </c>
      <c r="M283" s="124" t="s">
        <v>1308</v>
      </c>
      <c r="N283" s="125" t="s">
        <v>1309</v>
      </c>
      <c r="O283" s="126"/>
      <c r="P283" s="127" t="s">
        <v>1310</v>
      </c>
      <c r="Q283" s="128"/>
      <c r="R283" s="128">
        <v>6332.3038888888887</v>
      </c>
      <c r="S283" s="129">
        <v>6332.3038888888887</v>
      </c>
      <c r="T283" s="130" t="s">
        <v>256</v>
      </c>
      <c r="U283" s="131">
        <v>45627</v>
      </c>
      <c r="V283" s="132"/>
      <c r="W283" s="133"/>
      <c r="X283" s="134" t="s">
        <v>1215</v>
      </c>
      <c r="Y283" s="135" t="s">
        <v>912</v>
      </c>
      <c r="Z283" s="128" t="s">
        <v>1383</v>
      </c>
      <c r="AA283" s="128"/>
      <c r="AB283" s="136"/>
      <c r="AC283" s="137"/>
      <c r="AD283" s="136"/>
      <c r="AE283" s="136"/>
      <c r="AF283" s="136"/>
      <c r="AG283" s="136"/>
      <c r="AH283" s="138">
        <v>-6332.3038888888887</v>
      </c>
      <c r="AI283" s="139" t="s">
        <v>98</v>
      </c>
      <c r="AJ283" s="139" t="s">
        <v>895</v>
      </c>
    </row>
    <row r="284" spans="1:36" ht="15.75" x14ac:dyDescent="0.25">
      <c r="A284" s="115">
        <v>33322</v>
      </c>
      <c r="B284" s="116" t="s">
        <v>36</v>
      </c>
      <c r="C284" s="117" t="s">
        <v>37</v>
      </c>
      <c r="D284" s="118" t="s">
        <v>36</v>
      </c>
      <c r="E284" s="119" t="s">
        <v>38</v>
      </c>
      <c r="F284" s="120" t="s">
        <v>39</v>
      </c>
      <c r="G284" s="118" t="s">
        <v>40</v>
      </c>
      <c r="H284" s="121" t="s">
        <v>41</v>
      </c>
      <c r="I284" s="120" t="s">
        <v>301</v>
      </c>
      <c r="J284" s="122" t="s">
        <v>1384</v>
      </c>
      <c r="K284" s="123" t="s">
        <v>1385</v>
      </c>
      <c r="L284" t="s">
        <v>1307</v>
      </c>
      <c r="M284" s="124" t="s">
        <v>1308</v>
      </c>
      <c r="N284" s="125" t="s">
        <v>1309</v>
      </c>
      <c r="O284" s="126"/>
      <c r="P284" s="127" t="s">
        <v>1310</v>
      </c>
      <c r="Q284" s="128"/>
      <c r="R284" s="128">
        <v>6281.1177777777784</v>
      </c>
      <c r="S284" s="129">
        <v>6281.1177777777784</v>
      </c>
      <c r="T284" s="130" t="s">
        <v>256</v>
      </c>
      <c r="U284" s="131">
        <v>45627</v>
      </c>
      <c r="V284" s="132"/>
      <c r="W284" s="133"/>
      <c r="X284" s="134" t="s">
        <v>1323</v>
      </c>
      <c r="Y284" s="135" t="s">
        <v>912</v>
      </c>
      <c r="Z284" s="128" t="s">
        <v>1383</v>
      </c>
      <c r="AA284" s="128"/>
      <c r="AB284" s="136"/>
      <c r="AC284" s="137"/>
      <c r="AD284" s="136"/>
      <c r="AE284" s="136"/>
      <c r="AF284" s="136"/>
      <c r="AG284" s="136"/>
      <c r="AH284" s="138">
        <v>-6281.1177777777784</v>
      </c>
      <c r="AI284" s="139" t="s">
        <v>98</v>
      </c>
      <c r="AJ284" s="139" t="s">
        <v>895</v>
      </c>
    </row>
    <row r="285" spans="1:36" ht="15.75" x14ac:dyDescent="0.25">
      <c r="A285" s="115">
        <v>33323</v>
      </c>
      <c r="B285" s="116" t="s">
        <v>36</v>
      </c>
      <c r="C285" s="117" t="s">
        <v>37</v>
      </c>
      <c r="D285" s="118" t="s">
        <v>36</v>
      </c>
      <c r="E285" s="119" t="s">
        <v>38</v>
      </c>
      <c r="F285" s="120" t="s">
        <v>39</v>
      </c>
      <c r="G285" s="118" t="s">
        <v>40</v>
      </c>
      <c r="H285" s="121" t="s">
        <v>41</v>
      </c>
      <c r="I285" s="120" t="s">
        <v>524</v>
      </c>
      <c r="J285" s="122" t="s">
        <v>525</v>
      </c>
      <c r="K285" s="123" t="s">
        <v>526</v>
      </c>
      <c r="L285" t="s">
        <v>1307</v>
      </c>
      <c r="M285" s="124" t="s">
        <v>1308</v>
      </c>
      <c r="N285" s="125" t="s">
        <v>1309</v>
      </c>
      <c r="O285" s="126"/>
      <c r="P285" s="127" t="s">
        <v>1310</v>
      </c>
      <c r="Q285" s="128"/>
      <c r="R285" s="128">
        <v>6697.7111111111117</v>
      </c>
      <c r="S285" s="129">
        <v>6697.7111111111117</v>
      </c>
      <c r="T285" s="130" t="s">
        <v>256</v>
      </c>
      <c r="U285" s="131">
        <v>45627</v>
      </c>
      <c r="V285" s="132"/>
      <c r="W285" s="133"/>
      <c r="X285" s="134" t="s">
        <v>1338</v>
      </c>
      <c r="Y285" s="135" t="s">
        <v>912</v>
      </c>
      <c r="Z285" s="128" t="s">
        <v>1383</v>
      </c>
      <c r="AA285" s="128"/>
      <c r="AB285" s="136"/>
      <c r="AC285" s="137"/>
      <c r="AD285" s="136"/>
      <c r="AE285" s="136"/>
      <c r="AF285" s="136"/>
      <c r="AG285" s="136"/>
      <c r="AH285" s="138">
        <v>-6697.7111111111117</v>
      </c>
      <c r="AI285" s="139" t="s">
        <v>98</v>
      </c>
      <c r="AJ285" s="139" t="s">
        <v>895</v>
      </c>
    </row>
    <row r="286" spans="1:36" ht="15.75" x14ac:dyDescent="0.25">
      <c r="A286" s="115">
        <v>33324</v>
      </c>
      <c r="B286" s="116" t="s">
        <v>36</v>
      </c>
      <c r="C286" s="117" t="s">
        <v>37</v>
      </c>
      <c r="D286" s="118" t="s">
        <v>36</v>
      </c>
      <c r="E286" s="119" t="s">
        <v>38</v>
      </c>
      <c r="F286" s="120" t="s">
        <v>39</v>
      </c>
      <c r="G286" s="118" t="s">
        <v>40</v>
      </c>
      <c r="H286" s="121" t="s">
        <v>41</v>
      </c>
      <c r="I286" s="120" t="s">
        <v>1319</v>
      </c>
      <c r="J286" s="122" t="s">
        <v>1320</v>
      </c>
      <c r="K286" s="123" t="s">
        <v>1321</v>
      </c>
      <c r="L286" t="s">
        <v>1307</v>
      </c>
      <c r="M286" s="124" t="s">
        <v>1308</v>
      </c>
      <c r="N286" s="125" t="s">
        <v>1309</v>
      </c>
      <c r="O286" s="126"/>
      <c r="P286" s="127" t="s">
        <v>1310</v>
      </c>
      <c r="Q286" s="128"/>
      <c r="R286" s="128">
        <v>5976.1986111111109</v>
      </c>
      <c r="S286" s="129">
        <v>5976.1986111111109</v>
      </c>
      <c r="T286" s="130" t="s">
        <v>256</v>
      </c>
      <c r="U286" s="131">
        <v>45627</v>
      </c>
      <c r="V286" s="132"/>
      <c r="W286" s="133"/>
      <c r="X286" s="134" t="s">
        <v>1380</v>
      </c>
      <c r="Y286" s="135" t="s">
        <v>912</v>
      </c>
      <c r="Z286" s="128" t="s">
        <v>1383</v>
      </c>
      <c r="AA286" s="128"/>
      <c r="AB286" s="136"/>
      <c r="AC286" s="137"/>
      <c r="AD286" s="136"/>
      <c r="AE286" s="136"/>
      <c r="AF286" s="136"/>
      <c r="AG286" s="136"/>
      <c r="AH286" s="138">
        <v>-5976.1986111111109</v>
      </c>
      <c r="AI286" s="139" t="s">
        <v>98</v>
      </c>
      <c r="AJ286" s="139" t="s">
        <v>895</v>
      </c>
    </row>
    <row r="287" spans="1:36" ht="15.75" x14ac:dyDescent="0.25">
      <c r="A287" s="115">
        <v>33325</v>
      </c>
      <c r="B287" s="116" t="s">
        <v>36</v>
      </c>
      <c r="C287" s="117" t="s">
        <v>37</v>
      </c>
      <c r="D287" s="118" t="s">
        <v>36</v>
      </c>
      <c r="E287" s="119" t="s">
        <v>38</v>
      </c>
      <c r="F287" s="120" t="s">
        <v>39</v>
      </c>
      <c r="G287" s="118" t="s">
        <v>40</v>
      </c>
      <c r="H287" s="121" t="s">
        <v>41</v>
      </c>
      <c r="I287" s="120" t="s">
        <v>1319</v>
      </c>
      <c r="J287" s="122" t="s">
        <v>1320</v>
      </c>
      <c r="K287" s="123" t="s">
        <v>1321</v>
      </c>
      <c r="L287" t="s">
        <v>1307</v>
      </c>
      <c r="M287" s="124" t="s">
        <v>1308</v>
      </c>
      <c r="N287" s="125" t="s">
        <v>1309</v>
      </c>
      <c r="O287" s="126"/>
      <c r="P287" s="127" t="s">
        <v>1310</v>
      </c>
      <c r="Q287" s="128"/>
      <c r="R287" s="128">
        <v>5977.3977777777782</v>
      </c>
      <c r="S287" s="129">
        <v>5977.3977777777782</v>
      </c>
      <c r="T287" s="130" t="s">
        <v>256</v>
      </c>
      <c r="U287" s="131">
        <v>45627</v>
      </c>
      <c r="V287" s="132"/>
      <c r="W287" s="133"/>
      <c r="X287" s="134" t="s">
        <v>1379</v>
      </c>
      <c r="Y287" s="135" t="s">
        <v>912</v>
      </c>
      <c r="Z287" s="128" t="s">
        <v>1383</v>
      </c>
      <c r="AA287" s="128"/>
      <c r="AB287" s="136"/>
      <c r="AC287" s="137"/>
      <c r="AD287" s="136"/>
      <c r="AE287" s="136"/>
      <c r="AF287" s="136"/>
      <c r="AG287" s="136"/>
      <c r="AH287" s="138">
        <v>-5977.3977777777782</v>
      </c>
      <c r="AI287" s="139" t="s">
        <v>98</v>
      </c>
      <c r="AJ287" s="139" t="s">
        <v>895</v>
      </c>
    </row>
    <row r="288" spans="1:36" ht="15.75" x14ac:dyDescent="0.25">
      <c r="A288" s="115">
        <v>33326</v>
      </c>
      <c r="B288" s="116" t="s">
        <v>36</v>
      </c>
      <c r="C288" s="117" t="s">
        <v>37</v>
      </c>
      <c r="D288" s="118" t="s">
        <v>36</v>
      </c>
      <c r="E288" s="119" t="s">
        <v>38</v>
      </c>
      <c r="F288" s="120" t="s">
        <v>39</v>
      </c>
      <c r="G288" s="118" t="s">
        <v>40</v>
      </c>
      <c r="H288" s="121" t="s">
        <v>41</v>
      </c>
      <c r="I288" s="120" t="s">
        <v>524</v>
      </c>
      <c r="J288" s="122" t="s">
        <v>525</v>
      </c>
      <c r="K288" s="123" t="s">
        <v>526</v>
      </c>
      <c r="L288" t="s">
        <v>1307</v>
      </c>
      <c r="M288" s="124" t="s">
        <v>1308</v>
      </c>
      <c r="N288" s="125" t="s">
        <v>1309</v>
      </c>
      <c r="O288" s="126"/>
      <c r="P288" s="127" t="s">
        <v>1310</v>
      </c>
      <c r="Q288" s="128"/>
      <c r="R288" s="128">
        <v>7057.1511111111113</v>
      </c>
      <c r="S288" s="129">
        <v>7057.1511111111113</v>
      </c>
      <c r="T288" s="130" t="s">
        <v>256</v>
      </c>
      <c r="U288" s="131">
        <v>45627</v>
      </c>
      <c r="V288" s="132"/>
      <c r="W288" s="133"/>
      <c r="X288" s="134" t="s">
        <v>1386</v>
      </c>
      <c r="Y288" s="135" t="s">
        <v>912</v>
      </c>
      <c r="Z288" s="128" t="s">
        <v>1383</v>
      </c>
      <c r="AA288" s="128"/>
      <c r="AB288" s="136"/>
      <c r="AC288" s="137"/>
      <c r="AD288" s="136"/>
      <c r="AE288" s="136"/>
      <c r="AF288" s="136"/>
      <c r="AG288" s="136"/>
      <c r="AH288" s="138">
        <v>-7057.1511111111113</v>
      </c>
      <c r="AI288" s="139" t="s">
        <v>98</v>
      </c>
      <c r="AJ288" s="139" t="s">
        <v>895</v>
      </c>
    </row>
  </sheetData>
  <autoFilter ref="A1:AJ288" xr:uid="{75B7A026-67BA-4FF7-8FA8-ECA8B8334C69}"/>
  <conditionalFormatting sqref="A2:A288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A9A0-116D-43CA-AA20-66A217F1E8DB}">
  <dimension ref="A1:AJ299"/>
  <sheetViews>
    <sheetView workbookViewId="0">
      <selection activeCell="H12" sqref="H12"/>
    </sheetView>
  </sheetViews>
  <sheetFormatPr defaultRowHeight="15" x14ac:dyDescent="0.25"/>
  <sheetData>
    <row r="1" spans="1:36" ht="15.75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4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6" t="s">
        <v>13</v>
      </c>
      <c r="O1" s="3" t="s">
        <v>14</v>
      </c>
      <c r="P1" s="9" t="s">
        <v>15</v>
      </c>
      <c r="Q1" s="4" t="s">
        <v>16</v>
      </c>
      <c r="R1" s="10" t="s">
        <v>17</v>
      </c>
      <c r="S1" s="11" t="s">
        <v>18</v>
      </c>
      <c r="T1" s="12" t="s">
        <v>19</v>
      </c>
      <c r="U1" s="13" t="s">
        <v>20</v>
      </c>
      <c r="V1" s="14" t="s">
        <v>21</v>
      </c>
      <c r="W1" s="15" t="s">
        <v>22</v>
      </c>
      <c r="X1" s="16" t="s">
        <v>23</v>
      </c>
      <c r="Y1" s="17" t="s">
        <v>24</v>
      </c>
      <c r="Z1" s="18" t="s">
        <v>25</v>
      </c>
      <c r="AA1" s="19" t="s">
        <v>26</v>
      </c>
      <c r="AB1" s="20" t="s">
        <v>27</v>
      </c>
      <c r="AC1" s="21" t="s">
        <v>28</v>
      </c>
      <c r="AD1" s="18" t="s">
        <v>29</v>
      </c>
      <c r="AE1" s="22" t="s">
        <v>30</v>
      </c>
      <c r="AF1" s="23" t="s">
        <v>31</v>
      </c>
      <c r="AG1" s="23" t="s">
        <v>32</v>
      </c>
      <c r="AH1" s="24" t="s">
        <v>33</v>
      </c>
      <c r="AI1" s="24" t="s">
        <v>34</v>
      </c>
      <c r="AJ1" s="25" t="s">
        <v>35</v>
      </c>
    </row>
    <row r="2" spans="1:36" ht="15.75" x14ac:dyDescent="0.25">
      <c r="A2" s="26">
        <v>13443</v>
      </c>
      <c r="B2" s="27" t="s">
        <v>36</v>
      </c>
      <c r="C2" s="28" t="s">
        <v>37</v>
      </c>
      <c r="D2" s="29" t="s">
        <v>36</v>
      </c>
      <c r="E2" s="30" t="s">
        <v>38</v>
      </c>
      <c r="F2" s="31" t="s">
        <v>39</v>
      </c>
      <c r="G2" s="32" t="s">
        <v>40</v>
      </c>
      <c r="H2" s="33" t="s">
        <v>41</v>
      </c>
      <c r="I2" s="31" t="s">
        <v>42</v>
      </c>
      <c r="J2" s="32" t="s">
        <v>43</v>
      </c>
      <c r="K2" s="33" t="s">
        <v>44</v>
      </c>
      <c r="L2" s="34" t="s">
        <v>45</v>
      </c>
      <c r="M2" s="35" t="s">
        <v>46</v>
      </c>
      <c r="N2" s="36" t="s">
        <v>47</v>
      </c>
      <c r="O2" s="31" t="s">
        <v>48</v>
      </c>
      <c r="P2" s="32" t="s">
        <v>49</v>
      </c>
      <c r="Q2" s="33" t="s">
        <v>50</v>
      </c>
      <c r="R2" s="37" t="s">
        <v>51</v>
      </c>
      <c r="S2" s="38" t="s">
        <v>52</v>
      </c>
      <c r="T2" s="39">
        <v>0</v>
      </c>
      <c r="U2" s="40">
        <v>-136.41</v>
      </c>
      <c r="V2" s="41">
        <v>-136.41</v>
      </c>
      <c r="W2" s="33" t="s">
        <v>53</v>
      </c>
      <c r="X2" s="42">
        <v>45810</v>
      </c>
      <c r="Y2" s="43"/>
      <c r="Z2" s="33" t="s">
        <v>54</v>
      </c>
      <c r="AA2" s="44" t="s">
        <v>55</v>
      </c>
      <c r="AB2" s="45" t="s">
        <v>56</v>
      </c>
      <c r="AC2" s="46" t="s">
        <v>57</v>
      </c>
      <c r="AD2" s="33"/>
      <c r="AE2" s="47">
        <v>-136.41</v>
      </c>
      <c r="AF2" s="48" t="s">
        <v>58</v>
      </c>
      <c r="AG2" s="48" t="s">
        <v>59</v>
      </c>
      <c r="AH2" s="49" t="s">
        <v>60</v>
      </c>
      <c r="AI2" s="49" t="s">
        <v>61</v>
      </c>
      <c r="AJ2" s="50" t="s">
        <v>62</v>
      </c>
    </row>
    <row r="3" spans="1:36" ht="15.75" x14ac:dyDescent="0.25">
      <c r="A3" s="26">
        <v>13207</v>
      </c>
      <c r="B3" s="27" t="s">
        <v>36</v>
      </c>
      <c r="C3" s="28" t="s">
        <v>37</v>
      </c>
      <c r="D3" s="29" t="s">
        <v>36</v>
      </c>
      <c r="E3" s="30" t="s">
        <v>38</v>
      </c>
      <c r="F3" s="31" t="s">
        <v>39</v>
      </c>
      <c r="G3" s="32" t="s">
        <v>40</v>
      </c>
      <c r="H3" s="33" t="s">
        <v>41</v>
      </c>
      <c r="I3" s="31" t="s">
        <v>42</v>
      </c>
      <c r="J3" s="32" t="s">
        <v>43</v>
      </c>
      <c r="K3" s="33" t="s">
        <v>44</v>
      </c>
      <c r="L3" s="34" t="s">
        <v>45</v>
      </c>
      <c r="M3" s="35" t="s">
        <v>46</v>
      </c>
      <c r="N3" s="36" t="s">
        <v>47</v>
      </c>
      <c r="O3" s="31" t="s">
        <v>63</v>
      </c>
      <c r="P3" s="32" t="s">
        <v>64</v>
      </c>
      <c r="Q3" s="33" t="s">
        <v>65</v>
      </c>
      <c r="R3" s="37" t="s">
        <v>51</v>
      </c>
      <c r="S3" s="38" t="s">
        <v>66</v>
      </c>
      <c r="T3" s="39">
        <v>0</v>
      </c>
      <c r="U3" s="40">
        <v>-387.35</v>
      </c>
      <c r="V3" s="41">
        <v>-387.35</v>
      </c>
      <c r="W3" s="33" t="s">
        <v>67</v>
      </c>
      <c r="X3" s="42">
        <v>45813</v>
      </c>
      <c r="Y3" s="43"/>
      <c r="Z3" s="33" t="s">
        <v>68</v>
      </c>
      <c r="AA3" s="44" t="s">
        <v>69</v>
      </c>
      <c r="AB3" s="45" t="s">
        <v>56</v>
      </c>
      <c r="AC3" s="46" t="s">
        <v>57</v>
      </c>
      <c r="AD3" s="33"/>
      <c r="AE3" s="47">
        <v>-387.35</v>
      </c>
      <c r="AF3" s="48" t="s">
        <v>58</v>
      </c>
      <c r="AG3" s="48" t="s">
        <v>59</v>
      </c>
      <c r="AH3" s="49" t="s">
        <v>70</v>
      </c>
      <c r="AI3" s="49" t="s">
        <v>71</v>
      </c>
      <c r="AJ3" s="50" t="s">
        <v>72</v>
      </c>
    </row>
    <row r="4" spans="1:36" ht="15.75" x14ac:dyDescent="0.25">
      <c r="A4" s="26">
        <v>13232</v>
      </c>
      <c r="B4" s="27" t="s">
        <v>36</v>
      </c>
      <c r="C4" s="28" t="s">
        <v>37</v>
      </c>
      <c r="D4" s="29" t="s">
        <v>36</v>
      </c>
      <c r="E4" s="30" t="s">
        <v>38</v>
      </c>
      <c r="F4" s="31" t="s">
        <v>39</v>
      </c>
      <c r="G4" s="32" t="s">
        <v>40</v>
      </c>
      <c r="H4" s="33" t="s">
        <v>41</v>
      </c>
      <c r="I4" s="31" t="s">
        <v>42</v>
      </c>
      <c r="J4" s="32" t="s">
        <v>43</v>
      </c>
      <c r="K4" s="33" t="s">
        <v>44</v>
      </c>
      <c r="L4" s="34" t="s">
        <v>45</v>
      </c>
      <c r="M4" s="35" t="s">
        <v>46</v>
      </c>
      <c r="N4" s="36" t="s">
        <v>47</v>
      </c>
      <c r="O4" s="31" t="s">
        <v>63</v>
      </c>
      <c r="P4" s="32" t="s">
        <v>64</v>
      </c>
      <c r="Q4" s="33" t="s">
        <v>65</v>
      </c>
      <c r="R4" s="37" t="s">
        <v>51</v>
      </c>
      <c r="S4" s="38" t="s">
        <v>66</v>
      </c>
      <c r="T4" s="39">
        <v>0</v>
      </c>
      <c r="U4" s="40">
        <v>-387.35</v>
      </c>
      <c r="V4" s="41">
        <v>-387.35</v>
      </c>
      <c r="W4" s="33" t="s">
        <v>67</v>
      </c>
      <c r="X4" s="42">
        <v>45813</v>
      </c>
      <c r="Y4" s="43"/>
      <c r="Z4" s="33" t="s">
        <v>68</v>
      </c>
      <c r="AA4" s="44" t="s">
        <v>69</v>
      </c>
      <c r="AB4" s="45" t="s">
        <v>56</v>
      </c>
      <c r="AC4" s="46" t="s">
        <v>57</v>
      </c>
      <c r="AD4" s="33"/>
      <c r="AE4" s="47">
        <v>-387.35</v>
      </c>
      <c r="AF4" s="48" t="s">
        <v>58</v>
      </c>
      <c r="AG4" s="48" t="s">
        <v>59</v>
      </c>
      <c r="AH4" s="49" t="s">
        <v>70</v>
      </c>
      <c r="AI4" s="49" t="s">
        <v>71</v>
      </c>
      <c r="AJ4" s="50" t="s">
        <v>72</v>
      </c>
    </row>
    <row r="5" spans="1:36" ht="15.75" x14ac:dyDescent="0.25">
      <c r="A5" s="26">
        <v>13235</v>
      </c>
      <c r="B5" s="27" t="s">
        <v>36</v>
      </c>
      <c r="C5" s="28" t="s">
        <v>37</v>
      </c>
      <c r="D5" s="29" t="s">
        <v>36</v>
      </c>
      <c r="E5" s="30" t="s">
        <v>38</v>
      </c>
      <c r="F5" s="31" t="s">
        <v>39</v>
      </c>
      <c r="G5" s="32" t="s">
        <v>40</v>
      </c>
      <c r="H5" s="33" t="s">
        <v>41</v>
      </c>
      <c r="I5" s="31" t="s">
        <v>42</v>
      </c>
      <c r="J5" s="32" t="s">
        <v>43</v>
      </c>
      <c r="K5" s="33" t="s">
        <v>44</v>
      </c>
      <c r="L5" s="34" t="s">
        <v>45</v>
      </c>
      <c r="M5" s="35" t="s">
        <v>46</v>
      </c>
      <c r="N5" s="36" t="s">
        <v>47</v>
      </c>
      <c r="O5" s="31" t="s">
        <v>63</v>
      </c>
      <c r="P5" s="32" t="s">
        <v>64</v>
      </c>
      <c r="Q5" s="33" t="s">
        <v>65</v>
      </c>
      <c r="R5" s="37" t="s">
        <v>51</v>
      </c>
      <c r="S5" s="38" t="s">
        <v>66</v>
      </c>
      <c r="T5" s="39">
        <v>774.7</v>
      </c>
      <c r="U5" s="40">
        <v>-387.35</v>
      </c>
      <c r="V5" s="41">
        <v>-387.35</v>
      </c>
      <c r="W5" s="33" t="s">
        <v>67</v>
      </c>
      <c r="X5" s="42">
        <v>45813</v>
      </c>
      <c r="Y5" s="43">
        <v>45845</v>
      </c>
      <c r="Z5" s="33" t="s">
        <v>68</v>
      </c>
      <c r="AA5" s="44" t="s">
        <v>69</v>
      </c>
      <c r="AB5" s="45" t="s">
        <v>56</v>
      </c>
      <c r="AC5" s="46" t="s">
        <v>57</v>
      </c>
      <c r="AD5" s="33"/>
      <c r="AE5" s="47">
        <v>-387.35</v>
      </c>
      <c r="AF5" s="48" t="s">
        <v>58</v>
      </c>
      <c r="AG5" s="48" t="s">
        <v>59</v>
      </c>
      <c r="AH5" s="49" t="s">
        <v>70</v>
      </c>
      <c r="AI5" s="49" t="s">
        <v>71</v>
      </c>
      <c r="AJ5" s="50" t="s">
        <v>72</v>
      </c>
    </row>
    <row r="6" spans="1:36" ht="15.75" x14ac:dyDescent="0.25">
      <c r="A6" s="26">
        <v>13157</v>
      </c>
      <c r="B6" s="27" t="s">
        <v>36</v>
      </c>
      <c r="C6" s="28" t="s">
        <v>37</v>
      </c>
      <c r="D6" s="29" t="s">
        <v>36</v>
      </c>
      <c r="E6" s="30" t="s">
        <v>38</v>
      </c>
      <c r="F6" s="31" t="s">
        <v>39</v>
      </c>
      <c r="G6" s="32" t="s">
        <v>40</v>
      </c>
      <c r="H6" s="33" t="s">
        <v>41</v>
      </c>
      <c r="I6" s="31" t="s">
        <v>42</v>
      </c>
      <c r="J6" s="32" t="s">
        <v>43</v>
      </c>
      <c r="K6" s="33" t="s">
        <v>44</v>
      </c>
      <c r="L6" s="34" t="s">
        <v>45</v>
      </c>
      <c r="M6" s="35" t="s">
        <v>46</v>
      </c>
      <c r="N6" s="36" t="s">
        <v>47</v>
      </c>
      <c r="O6" s="31" t="s">
        <v>63</v>
      </c>
      <c r="P6" s="32" t="s">
        <v>64</v>
      </c>
      <c r="Q6" s="33" t="s">
        <v>65</v>
      </c>
      <c r="R6" s="37" t="s">
        <v>51</v>
      </c>
      <c r="S6" s="38" t="s">
        <v>73</v>
      </c>
      <c r="T6" s="39">
        <v>880</v>
      </c>
      <c r="U6" s="40">
        <v>-880</v>
      </c>
      <c r="V6" s="41">
        <v>-880</v>
      </c>
      <c r="W6" s="33" t="s">
        <v>74</v>
      </c>
      <c r="X6" s="42">
        <v>45814</v>
      </c>
      <c r="Y6" s="43">
        <v>45833</v>
      </c>
      <c r="Z6" s="33" t="s">
        <v>75</v>
      </c>
      <c r="AA6" s="44" t="s">
        <v>76</v>
      </c>
      <c r="AB6" s="45" t="s">
        <v>56</v>
      </c>
      <c r="AC6" s="46" t="s">
        <v>57</v>
      </c>
      <c r="AD6" s="33"/>
      <c r="AE6" s="47">
        <v>-880</v>
      </c>
      <c r="AF6" s="48" t="s">
        <v>58</v>
      </c>
      <c r="AG6" s="48" t="s">
        <v>59</v>
      </c>
      <c r="AH6" s="49" t="s">
        <v>70</v>
      </c>
      <c r="AI6" s="49" t="s">
        <v>71</v>
      </c>
      <c r="AJ6" s="50" t="s">
        <v>72</v>
      </c>
    </row>
    <row r="7" spans="1:36" ht="15.75" x14ac:dyDescent="0.25">
      <c r="A7" s="26">
        <v>13072</v>
      </c>
      <c r="B7" s="27" t="s">
        <v>36</v>
      </c>
      <c r="C7" s="28" t="s">
        <v>37</v>
      </c>
      <c r="D7" s="29" t="s">
        <v>36</v>
      </c>
      <c r="E7" s="30" t="s">
        <v>38</v>
      </c>
      <c r="F7" s="31" t="s">
        <v>39</v>
      </c>
      <c r="G7" s="32" t="s">
        <v>40</v>
      </c>
      <c r="H7" s="33" t="s">
        <v>41</v>
      </c>
      <c r="I7" s="31" t="s">
        <v>42</v>
      </c>
      <c r="J7" s="32" t="s">
        <v>43</v>
      </c>
      <c r="K7" s="33" t="s">
        <v>44</v>
      </c>
      <c r="L7" s="34" t="s">
        <v>45</v>
      </c>
      <c r="M7" s="35" t="s">
        <v>46</v>
      </c>
      <c r="N7" s="36" t="s">
        <v>47</v>
      </c>
      <c r="O7" s="31" t="s">
        <v>63</v>
      </c>
      <c r="P7" s="32" t="s">
        <v>64</v>
      </c>
      <c r="Q7" s="33" t="s">
        <v>65</v>
      </c>
      <c r="R7" s="37" t="s">
        <v>51</v>
      </c>
      <c r="S7" s="38" t="s">
        <v>77</v>
      </c>
      <c r="T7" s="39">
        <v>0</v>
      </c>
      <c r="U7" s="40">
        <v>-90</v>
      </c>
      <c r="V7" s="41">
        <v>-90</v>
      </c>
      <c r="W7" s="33" t="s">
        <v>78</v>
      </c>
      <c r="X7" s="42">
        <v>45817</v>
      </c>
      <c r="Y7" s="43"/>
      <c r="Z7" s="33" t="s">
        <v>79</v>
      </c>
      <c r="AA7" s="44" t="s">
        <v>80</v>
      </c>
      <c r="AB7" s="45" t="s">
        <v>56</v>
      </c>
      <c r="AC7" s="46" t="s">
        <v>57</v>
      </c>
      <c r="AD7" s="33"/>
      <c r="AE7" s="47">
        <v>-90</v>
      </c>
      <c r="AF7" s="48" t="s">
        <v>58</v>
      </c>
      <c r="AG7" s="48" t="s">
        <v>59</v>
      </c>
      <c r="AH7" s="49" t="s">
        <v>70</v>
      </c>
      <c r="AI7" s="49" t="s">
        <v>71</v>
      </c>
      <c r="AJ7" s="50" t="s">
        <v>72</v>
      </c>
    </row>
    <row r="8" spans="1:36" ht="15.75" x14ac:dyDescent="0.25">
      <c r="A8" s="26">
        <v>13110</v>
      </c>
      <c r="B8" s="27" t="s">
        <v>36</v>
      </c>
      <c r="C8" s="28" t="s">
        <v>37</v>
      </c>
      <c r="D8" s="29" t="s">
        <v>36</v>
      </c>
      <c r="E8" s="30" t="s">
        <v>38</v>
      </c>
      <c r="F8" s="31" t="s">
        <v>39</v>
      </c>
      <c r="G8" s="32" t="s">
        <v>40</v>
      </c>
      <c r="H8" s="33" t="s">
        <v>41</v>
      </c>
      <c r="I8" s="31" t="s">
        <v>42</v>
      </c>
      <c r="J8" s="32" t="s">
        <v>43</v>
      </c>
      <c r="K8" s="33" t="s">
        <v>44</v>
      </c>
      <c r="L8" s="34" t="s">
        <v>45</v>
      </c>
      <c r="M8" s="35" t="s">
        <v>46</v>
      </c>
      <c r="N8" s="36" t="s">
        <v>47</v>
      </c>
      <c r="O8" s="31" t="s">
        <v>63</v>
      </c>
      <c r="P8" s="32" t="s">
        <v>64</v>
      </c>
      <c r="Q8" s="33" t="s">
        <v>65</v>
      </c>
      <c r="R8" s="37" t="s">
        <v>51</v>
      </c>
      <c r="S8" s="38" t="s">
        <v>81</v>
      </c>
      <c r="T8" s="39">
        <v>208.6</v>
      </c>
      <c r="U8" s="40">
        <v>-208.6</v>
      </c>
      <c r="V8" s="41">
        <v>-208.6</v>
      </c>
      <c r="W8" s="33" t="s">
        <v>82</v>
      </c>
      <c r="X8" s="42">
        <v>45817</v>
      </c>
      <c r="Y8" s="43">
        <v>45833</v>
      </c>
      <c r="Z8" s="33" t="s">
        <v>75</v>
      </c>
      <c r="AA8" s="44" t="s">
        <v>76</v>
      </c>
      <c r="AB8" s="45" t="s">
        <v>56</v>
      </c>
      <c r="AC8" s="46" t="s">
        <v>57</v>
      </c>
      <c r="AD8" s="33"/>
      <c r="AE8" s="47">
        <v>-208.6</v>
      </c>
      <c r="AF8" s="48" t="s">
        <v>58</v>
      </c>
      <c r="AG8" s="48" t="s">
        <v>59</v>
      </c>
      <c r="AH8" s="49" t="s">
        <v>70</v>
      </c>
      <c r="AI8" s="49" t="s">
        <v>71</v>
      </c>
      <c r="AJ8" s="50" t="s">
        <v>72</v>
      </c>
    </row>
    <row r="9" spans="1:36" ht="15.75" x14ac:dyDescent="0.25">
      <c r="A9" s="26">
        <v>13065</v>
      </c>
      <c r="B9" s="27" t="s">
        <v>36</v>
      </c>
      <c r="C9" s="28" t="s">
        <v>37</v>
      </c>
      <c r="D9" s="29" t="s">
        <v>36</v>
      </c>
      <c r="E9" s="30" t="s">
        <v>38</v>
      </c>
      <c r="F9" s="31" t="s">
        <v>39</v>
      </c>
      <c r="G9" s="32" t="s">
        <v>40</v>
      </c>
      <c r="H9" s="33" t="s">
        <v>41</v>
      </c>
      <c r="I9" s="31" t="s">
        <v>42</v>
      </c>
      <c r="J9" s="32" t="s">
        <v>43</v>
      </c>
      <c r="K9" s="33" t="s">
        <v>44</v>
      </c>
      <c r="L9" s="34" t="s">
        <v>45</v>
      </c>
      <c r="M9" s="35" t="s">
        <v>46</v>
      </c>
      <c r="N9" s="36" t="s">
        <v>47</v>
      </c>
      <c r="O9" s="31" t="s">
        <v>83</v>
      </c>
      <c r="P9" s="32" t="s">
        <v>84</v>
      </c>
      <c r="Q9" s="33" t="s">
        <v>85</v>
      </c>
      <c r="R9" s="37" t="s">
        <v>51</v>
      </c>
      <c r="S9" s="38" t="s">
        <v>86</v>
      </c>
      <c r="T9" s="39">
        <v>221.82</v>
      </c>
      <c r="U9" s="40">
        <v>-221.82</v>
      </c>
      <c r="V9" s="41">
        <v>-221.82</v>
      </c>
      <c r="W9" s="33" t="s">
        <v>87</v>
      </c>
      <c r="X9" s="42">
        <v>45817</v>
      </c>
      <c r="Y9" s="43">
        <v>45824</v>
      </c>
      <c r="Z9" s="33" t="s">
        <v>88</v>
      </c>
      <c r="AA9" s="44" t="s">
        <v>55</v>
      </c>
      <c r="AB9" s="45" t="s">
        <v>56</v>
      </c>
      <c r="AC9" s="46" t="s">
        <v>57</v>
      </c>
      <c r="AD9" s="33"/>
      <c r="AE9" s="47">
        <v>-221.82</v>
      </c>
      <c r="AF9" s="48" t="s">
        <v>58</v>
      </c>
      <c r="AG9" s="48" t="s">
        <v>59</v>
      </c>
      <c r="AH9" s="49" t="s">
        <v>89</v>
      </c>
      <c r="AI9" s="49" t="s">
        <v>61</v>
      </c>
      <c r="AJ9" s="50" t="s">
        <v>62</v>
      </c>
    </row>
    <row r="10" spans="1:36" ht="15.75" x14ac:dyDescent="0.25">
      <c r="A10" s="26">
        <v>14222</v>
      </c>
      <c r="B10" s="27" t="s">
        <v>36</v>
      </c>
      <c r="C10" s="28" t="s">
        <v>37</v>
      </c>
      <c r="D10" s="29" t="s">
        <v>36</v>
      </c>
      <c r="E10" s="30" t="s">
        <v>38</v>
      </c>
      <c r="F10" s="31" t="s">
        <v>39</v>
      </c>
      <c r="G10" s="32" t="s">
        <v>40</v>
      </c>
      <c r="H10" s="33" t="s">
        <v>41</v>
      </c>
      <c r="I10" s="31" t="s">
        <v>42</v>
      </c>
      <c r="J10" s="32" t="s">
        <v>43</v>
      </c>
      <c r="K10" s="33" t="s">
        <v>44</v>
      </c>
      <c r="L10" s="34" t="s">
        <v>45</v>
      </c>
      <c r="M10" s="35" t="s">
        <v>46</v>
      </c>
      <c r="N10" s="36" t="s">
        <v>47</v>
      </c>
      <c r="O10" s="31" t="s">
        <v>90</v>
      </c>
      <c r="P10" s="32" t="s">
        <v>91</v>
      </c>
      <c r="Q10" s="33" t="s">
        <v>92</v>
      </c>
      <c r="R10" s="38" t="s">
        <v>93</v>
      </c>
      <c r="S10" s="38"/>
      <c r="T10" s="51">
        <v>69.900000000000006</v>
      </c>
      <c r="U10" s="52"/>
      <c r="V10" s="52">
        <v>69.900000000000006</v>
      </c>
      <c r="W10" s="53" t="s">
        <v>94</v>
      </c>
      <c r="X10" s="54">
        <v>45817.611458333333</v>
      </c>
      <c r="Y10" s="55">
        <v>45817.611458333333</v>
      </c>
      <c r="Z10" s="53"/>
      <c r="AA10" s="44" t="s">
        <v>95</v>
      </c>
      <c r="AB10" s="45" t="s">
        <v>56</v>
      </c>
      <c r="AC10" s="46" t="s">
        <v>96</v>
      </c>
      <c r="AD10" s="53" t="s">
        <v>97</v>
      </c>
      <c r="AE10" s="47">
        <v>-69.900000000000006</v>
      </c>
      <c r="AF10" s="48" t="s">
        <v>98</v>
      </c>
      <c r="AG10" s="48" t="s">
        <v>99</v>
      </c>
      <c r="AH10" s="49" t="s">
        <v>100</v>
      </c>
      <c r="AI10" s="49" t="s">
        <v>101</v>
      </c>
      <c r="AJ10" s="50" t="s">
        <v>102</v>
      </c>
    </row>
    <row r="11" spans="1:36" ht="15.75" x14ac:dyDescent="0.25">
      <c r="A11" s="26">
        <v>12940</v>
      </c>
      <c r="B11" s="27" t="s">
        <v>36</v>
      </c>
      <c r="C11" s="28" t="s">
        <v>37</v>
      </c>
      <c r="D11" s="29" t="s">
        <v>36</v>
      </c>
      <c r="E11" s="30" t="s">
        <v>38</v>
      </c>
      <c r="F11" s="31" t="s">
        <v>39</v>
      </c>
      <c r="G11" s="32" t="s">
        <v>40</v>
      </c>
      <c r="H11" s="33" t="s">
        <v>41</v>
      </c>
      <c r="I11" s="31" t="s">
        <v>42</v>
      </c>
      <c r="J11" s="32" t="s">
        <v>43</v>
      </c>
      <c r="K11" s="33" t="s">
        <v>44</v>
      </c>
      <c r="L11" s="34" t="s">
        <v>45</v>
      </c>
      <c r="M11" s="35" t="s">
        <v>46</v>
      </c>
      <c r="N11" s="36" t="s">
        <v>47</v>
      </c>
      <c r="O11" s="31" t="s">
        <v>63</v>
      </c>
      <c r="P11" s="32" t="s">
        <v>64</v>
      </c>
      <c r="Q11" s="33" t="s">
        <v>65</v>
      </c>
      <c r="R11" s="37" t="s">
        <v>103</v>
      </c>
      <c r="S11" s="38" t="s">
        <v>104</v>
      </c>
      <c r="T11" s="39">
        <v>802</v>
      </c>
      <c r="U11" s="40">
        <v>-802</v>
      </c>
      <c r="V11" s="41">
        <v>-802</v>
      </c>
      <c r="W11" s="33" t="s">
        <v>105</v>
      </c>
      <c r="X11" s="42">
        <v>45819</v>
      </c>
      <c r="Y11" s="43">
        <v>45845</v>
      </c>
      <c r="Z11" s="33" t="s">
        <v>106</v>
      </c>
      <c r="AA11" s="44" t="s">
        <v>107</v>
      </c>
      <c r="AB11" s="45" t="s">
        <v>56</v>
      </c>
      <c r="AC11" s="46" t="s">
        <v>57</v>
      </c>
      <c r="AD11" s="33"/>
      <c r="AE11" s="47">
        <v>-802</v>
      </c>
      <c r="AF11" s="48" t="s">
        <v>58</v>
      </c>
      <c r="AG11" s="48" t="s">
        <v>59</v>
      </c>
      <c r="AH11" s="49" t="s">
        <v>70</v>
      </c>
      <c r="AI11" s="49" t="s">
        <v>71</v>
      </c>
      <c r="AJ11" s="50" t="s">
        <v>72</v>
      </c>
    </row>
    <row r="12" spans="1:36" ht="15.75" x14ac:dyDescent="0.25">
      <c r="A12" s="26">
        <v>12965</v>
      </c>
      <c r="B12" s="27" t="s">
        <v>36</v>
      </c>
      <c r="C12" s="28" t="s">
        <v>37</v>
      </c>
      <c r="D12" s="29" t="s">
        <v>36</v>
      </c>
      <c r="E12" s="30" t="s">
        <v>38</v>
      </c>
      <c r="F12" s="31" t="s">
        <v>39</v>
      </c>
      <c r="G12" s="32" t="s">
        <v>40</v>
      </c>
      <c r="H12" s="33" t="s">
        <v>41</v>
      </c>
      <c r="I12" s="31" t="s">
        <v>42</v>
      </c>
      <c r="J12" s="32" t="s">
        <v>43</v>
      </c>
      <c r="K12" s="33" t="s">
        <v>44</v>
      </c>
      <c r="L12" s="34" t="s">
        <v>45</v>
      </c>
      <c r="M12" s="35" t="s">
        <v>46</v>
      </c>
      <c r="N12" s="36" t="s">
        <v>47</v>
      </c>
      <c r="O12" s="31" t="s">
        <v>90</v>
      </c>
      <c r="P12" s="32" t="s">
        <v>91</v>
      </c>
      <c r="Q12" s="33" t="s">
        <v>92</v>
      </c>
      <c r="R12" s="37" t="s">
        <v>51</v>
      </c>
      <c r="S12" s="38" t="s">
        <v>108</v>
      </c>
      <c r="T12" s="39">
        <v>1794.16</v>
      </c>
      <c r="U12" s="40">
        <v>-66.45</v>
      </c>
      <c r="V12" s="41">
        <v>-66.45</v>
      </c>
      <c r="W12" s="33" t="s">
        <v>109</v>
      </c>
      <c r="X12" s="42">
        <v>45819</v>
      </c>
      <c r="Y12" s="43">
        <v>45824</v>
      </c>
      <c r="Z12" s="33" t="s">
        <v>110</v>
      </c>
      <c r="AA12" s="44" t="s">
        <v>95</v>
      </c>
      <c r="AB12" s="45" t="s">
        <v>56</v>
      </c>
      <c r="AC12" s="46" t="s">
        <v>57</v>
      </c>
      <c r="AD12" s="33"/>
      <c r="AE12" s="47">
        <v>-66.45</v>
      </c>
      <c r="AF12" s="48" t="s">
        <v>98</v>
      </c>
      <c r="AG12" s="48" t="s">
        <v>99</v>
      </c>
      <c r="AH12" s="49" t="s">
        <v>100</v>
      </c>
      <c r="AI12" s="49" t="s">
        <v>101</v>
      </c>
      <c r="AJ12" s="50" t="s">
        <v>102</v>
      </c>
    </row>
    <row r="13" spans="1:36" ht="15.75" x14ac:dyDescent="0.25">
      <c r="A13" s="26">
        <v>12493</v>
      </c>
      <c r="B13" s="27" t="s">
        <v>36</v>
      </c>
      <c r="C13" s="28" t="s">
        <v>37</v>
      </c>
      <c r="D13" s="29" t="s">
        <v>36</v>
      </c>
      <c r="E13" s="30" t="s">
        <v>38</v>
      </c>
      <c r="F13" s="31" t="s">
        <v>39</v>
      </c>
      <c r="G13" s="32" t="s">
        <v>40</v>
      </c>
      <c r="H13" s="33" t="s">
        <v>41</v>
      </c>
      <c r="I13" s="31" t="s">
        <v>42</v>
      </c>
      <c r="J13" s="32" t="s">
        <v>43</v>
      </c>
      <c r="K13" s="33" t="s">
        <v>44</v>
      </c>
      <c r="L13" s="34" t="s">
        <v>45</v>
      </c>
      <c r="M13" s="35" t="s">
        <v>46</v>
      </c>
      <c r="N13" s="36" t="s">
        <v>47</v>
      </c>
      <c r="O13" s="31" t="s">
        <v>63</v>
      </c>
      <c r="P13" s="32" t="s">
        <v>64</v>
      </c>
      <c r="Q13" s="33" t="s">
        <v>65</v>
      </c>
      <c r="R13" s="37" t="s">
        <v>51</v>
      </c>
      <c r="S13" s="38" t="s">
        <v>111</v>
      </c>
      <c r="T13" s="39">
        <v>660</v>
      </c>
      <c r="U13" s="40">
        <v>-660</v>
      </c>
      <c r="V13" s="41">
        <v>-660</v>
      </c>
      <c r="W13" s="33" t="s">
        <v>112</v>
      </c>
      <c r="X13" s="42">
        <v>45828</v>
      </c>
      <c r="Y13" s="43">
        <v>45845</v>
      </c>
      <c r="Z13" s="33" t="s">
        <v>75</v>
      </c>
      <c r="AA13" s="44" t="s">
        <v>76</v>
      </c>
      <c r="AB13" s="45" t="s">
        <v>56</v>
      </c>
      <c r="AC13" s="46" t="s">
        <v>57</v>
      </c>
      <c r="AD13" s="33"/>
      <c r="AE13" s="47">
        <v>-660</v>
      </c>
      <c r="AF13" s="48" t="s">
        <v>58</v>
      </c>
      <c r="AG13" s="48" t="s">
        <v>59</v>
      </c>
      <c r="AH13" s="49" t="s">
        <v>70</v>
      </c>
      <c r="AI13" s="49" t="s">
        <v>71</v>
      </c>
      <c r="AJ13" s="50" t="s">
        <v>72</v>
      </c>
    </row>
    <row r="14" spans="1:36" ht="15.75" x14ac:dyDescent="0.25">
      <c r="A14" s="26">
        <v>12453</v>
      </c>
      <c r="B14" s="27" t="s">
        <v>36</v>
      </c>
      <c r="C14" s="28" t="s">
        <v>37</v>
      </c>
      <c r="D14" s="29" t="s">
        <v>36</v>
      </c>
      <c r="E14" s="30" t="s">
        <v>38</v>
      </c>
      <c r="F14" s="31" t="s">
        <v>39</v>
      </c>
      <c r="G14" s="32" t="s">
        <v>40</v>
      </c>
      <c r="H14" s="33" t="s">
        <v>41</v>
      </c>
      <c r="I14" s="31" t="s">
        <v>42</v>
      </c>
      <c r="J14" s="32" t="s">
        <v>43</v>
      </c>
      <c r="K14" s="33" t="s">
        <v>44</v>
      </c>
      <c r="L14" s="34" t="s">
        <v>45</v>
      </c>
      <c r="M14" s="35" t="s">
        <v>46</v>
      </c>
      <c r="N14" s="36" t="s">
        <v>47</v>
      </c>
      <c r="O14" s="31" t="s">
        <v>63</v>
      </c>
      <c r="P14" s="32" t="s">
        <v>64</v>
      </c>
      <c r="Q14" s="33" t="s">
        <v>65</v>
      </c>
      <c r="R14" s="37" t="s">
        <v>51</v>
      </c>
      <c r="S14" s="38" t="s">
        <v>113</v>
      </c>
      <c r="T14" s="39">
        <v>380</v>
      </c>
      <c r="U14" s="40">
        <v>-380</v>
      </c>
      <c r="V14" s="41">
        <v>-380</v>
      </c>
      <c r="W14" s="33" t="s">
        <v>114</v>
      </c>
      <c r="X14" s="42">
        <v>45831</v>
      </c>
      <c r="Y14" s="43">
        <v>45845</v>
      </c>
      <c r="Z14" s="33" t="s">
        <v>75</v>
      </c>
      <c r="AA14" s="44" t="s">
        <v>76</v>
      </c>
      <c r="AB14" s="45" t="s">
        <v>56</v>
      </c>
      <c r="AC14" s="46" t="s">
        <v>57</v>
      </c>
      <c r="AD14" s="33"/>
      <c r="AE14" s="47">
        <v>-380</v>
      </c>
      <c r="AF14" s="48" t="s">
        <v>58</v>
      </c>
      <c r="AG14" s="48" t="s">
        <v>59</v>
      </c>
      <c r="AH14" s="49" t="s">
        <v>70</v>
      </c>
      <c r="AI14" s="49" t="s">
        <v>71</v>
      </c>
      <c r="AJ14" s="50" t="s">
        <v>72</v>
      </c>
    </row>
    <row r="15" spans="1:36" ht="15.75" x14ac:dyDescent="0.25">
      <c r="A15" s="26">
        <v>12383</v>
      </c>
      <c r="B15" s="27" t="s">
        <v>36</v>
      </c>
      <c r="C15" s="28" t="s">
        <v>37</v>
      </c>
      <c r="D15" s="29" t="s">
        <v>36</v>
      </c>
      <c r="E15" s="30" t="s">
        <v>38</v>
      </c>
      <c r="F15" s="31" t="s">
        <v>39</v>
      </c>
      <c r="G15" s="32" t="s">
        <v>40</v>
      </c>
      <c r="H15" s="33" t="s">
        <v>41</v>
      </c>
      <c r="I15" s="31" t="s">
        <v>42</v>
      </c>
      <c r="J15" s="32" t="s">
        <v>43</v>
      </c>
      <c r="K15" s="33" t="s">
        <v>44</v>
      </c>
      <c r="L15" s="34" t="s">
        <v>45</v>
      </c>
      <c r="M15" s="35" t="s">
        <v>46</v>
      </c>
      <c r="N15" s="36" t="s">
        <v>47</v>
      </c>
      <c r="O15" s="31" t="s">
        <v>83</v>
      </c>
      <c r="P15" s="32" t="s">
        <v>84</v>
      </c>
      <c r="Q15" s="33" t="s">
        <v>85</v>
      </c>
      <c r="R15" s="37" t="s">
        <v>51</v>
      </c>
      <c r="S15" s="38" t="s">
        <v>115</v>
      </c>
      <c r="T15" s="39">
        <v>0</v>
      </c>
      <c r="U15" s="40">
        <v>-39.979999999999997</v>
      </c>
      <c r="V15" s="41">
        <v>-39.979999999999997</v>
      </c>
      <c r="W15" s="33" t="s">
        <v>116</v>
      </c>
      <c r="X15" s="42">
        <v>45832</v>
      </c>
      <c r="Y15" s="43"/>
      <c r="Z15" s="33" t="s">
        <v>117</v>
      </c>
      <c r="AA15" s="44" t="s">
        <v>118</v>
      </c>
      <c r="AB15" s="45" t="s">
        <v>56</v>
      </c>
      <c r="AC15" s="46" t="s">
        <v>57</v>
      </c>
      <c r="AD15" s="33"/>
      <c r="AE15" s="47">
        <v>-39.979999999999997</v>
      </c>
      <c r="AF15" s="48" t="s">
        <v>58</v>
      </c>
      <c r="AG15" s="48" t="s">
        <v>59</v>
      </c>
      <c r="AH15" s="49" t="s">
        <v>89</v>
      </c>
      <c r="AI15" s="49" t="s">
        <v>61</v>
      </c>
      <c r="AJ15" s="50" t="s">
        <v>62</v>
      </c>
    </row>
    <row r="16" spans="1:36" ht="15.75" x14ac:dyDescent="0.25">
      <c r="A16" s="26">
        <v>15061</v>
      </c>
      <c r="B16" s="27" t="s">
        <v>36</v>
      </c>
      <c r="C16" s="28" t="s">
        <v>37</v>
      </c>
      <c r="D16" s="29" t="s">
        <v>36</v>
      </c>
      <c r="E16" s="30" t="s">
        <v>38</v>
      </c>
      <c r="F16" s="31" t="s">
        <v>39</v>
      </c>
      <c r="G16" s="32" t="s">
        <v>40</v>
      </c>
      <c r="H16" s="33" t="s">
        <v>41</v>
      </c>
      <c r="I16" s="31" t="s">
        <v>42</v>
      </c>
      <c r="J16" s="32" t="s">
        <v>43</v>
      </c>
      <c r="K16" s="33" t="s">
        <v>44</v>
      </c>
      <c r="L16" s="34" t="s">
        <v>45</v>
      </c>
      <c r="M16" s="35" t="s">
        <v>46</v>
      </c>
      <c r="N16" s="36" t="s">
        <v>47</v>
      </c>
      <c r="O16" s="31" t="s">
        <v>63</v>
      </c>
      <c r="P16" s="32" t="s">
        <v>64</v>
      </c>
      <c r="Q16" s="33" t="s">
        <v>65</v>
      </c>
      <c r="R16" s="37" t="s">
        <v>51</v>
      </c>
      <c r="S16" s="38" t="s">
        <v>119</v>
      </c>
      <c r="T16" s="39">
        <v>-119.7</v>
      </c>
      <c r="U16" s="40"/>
      <c r="V16" s="41">
        <v>-119.7</v>
      </c>
      <c r="W16" s="33" t="s">
        <v>120</v>
      </c>
      <c r="X16" s="42">
        <v>45839</v>
      </c>
      <c r="Y16" s="43">
        <v>45853</v>
      </c>
      <c r="Z16" s="33" t="s">
        <v>75</v>
      </c>
      <c r="AA16" s="44" t="s">
        <v>76</v>
      </c>
      <c r="AB16" s="45" t="s">
        <v>56</v>
      </c>
      <c r="AC16" s="46" t="s">
        <v>57</v>
      </c>
      <c r="AD16" s="33"/>
      <c r="AE16" s="47">
        <v>-119.7</v>
      </c>
      <c r="AF16" s="48" t="s">
        <v>58</v>
      </c>
      <c r="AG16" s="48" t="s">
        <v>59</v>
      </c>
      <c r="AH16" s="49" t="s">
        <v>70</v>
      </c>
      <c r="AI16" s="49" t="s">
        <v>71</v>
      </c>
      <c r="AJ16" s="50" t="s">
        <v>72</v>
      </c>
    </row>
    <row r="17" spans="1:36" ht="15.75" x14ac:dyDescent="0.25">
      <c r="A17" s="26">
        <v>15124</v>
      </c>
      <c r="B17" s="27" t="s">
        <v>36</v>
      </c>
      <c r="C17" s="28" t="s">
        <v>37</v>
      </c>
      <c r="D17" s="29" t="s">
        <v>36</v>
      </c>
      <c r="E17" s="30" t="s">
        <v>38</v>
      </c>
      <c r="F17" s="31" t="s">
        <v>39</v>
      </c>
      <c r="G17" s="32" t="s">
        <v>40</v>
      </c>
      <c r="H17" s="33" t="s">
        <v>41</v>
      </c>
      <c r="I17" s="31" t="s">
        <v>42</v>
      </c>
      <c r="J17" s="32" t="s">
        <v>43</v>
      </c>
      <c r="K17" s="33" t="s">
        <v>44</v>
      </c>
      <c r="L17" s="34" t="s">
        <v>45</v>
      </c>
      <c r="M17" s="35" t="s">
        <v>46</v>
      </c>
      <c r="N17" s="36" t="s">
        <v>47</v>
      </c>
      <c r="O17" s="31" t="s">
        <v>63</v>
      </c>
      <c r="P17" s="32" t="s">
        <v>64</v>
      </c>
      <c r="Q17" s="33" t="s">
        <v>65</v>
      </c>
      <c r="R17" s="37" t="s">
        <v>121</v>
      </c>
      <c r="S17" s="38" t="s">
        <v>122</v>
      </c>
      <c r="T17" s="39">
        <v>-890</v>
      </c>
      <c r="U17" s="40"/>
      <c r="V17" s="41">
        <v>-890</v>
      </c>
      <c r="W17" s="33" t="s">
        <v>123</v>
      </c>
      <c r="X17" s="42">
        <v>45839</v>
      </c>
      <c r="Y17" s="43">
        <v>45839</v>
      </c>
      <c r="Z17" s="33" t="s">
        <v>124</v>
      </c>
      <c r="AA17" s="44" t="s">
        <v>125</v>
      </c>
      <c r="AB17" s="45" t="s">
        <v>56</v>
      </c>
      <c r="AC17" s="46" t="s">
        <v>57</v>
      </c>
      <c r="AD17" s="33"/>
      <c r="AE17" s="47">
        <v>-890</v>
      </c>
      <c r="AF17" s="48" t="s">
        <v>58</v>
      </c>
      <c r="AG17" s="48" t="s">
        <v>59</v>
      </c>
      <c r="AH17" s="49" t="s">
        <v>70</v>
      </c>
      <c r="AI17" s="49" t="s">
        <v>71</v>
      </c>
      <c r="AJ17" s="50" t="s">
        <v>72</v>
      </c>
    </row>
    <row r="18" spans="1:36" ht="15.75" x14ac:dyDescent="0.25">
      <c r="A18" s="26">
        <v>15468</v>
      </c>
      <c r="B18" s="27" t="s">
        <v>36</v>
      </c>
      <c r="C18" s="28" t="s">
        <v>37</v>
      </c>
      <c r="D18" s="29" t="s">
        <v>36</v>
      </c>
      <c r="E18" s="30" t="s">
        <v>38</v>
      </c>
      <c r="F18" s="31" t="s">
        <v>39</v>
      </c>
      <c r="G18" s="32" t="s">
        <v>40</v>
      </c>
      <c r="H18" s="33" t="s">
        <v>41</v>
      </c>
      <c r="I18" s="31" t="s">
        <v>42</v>
      </c>
      <c r="J18" s="32" t="s">
        <v>43</v>
      </c>
      <c r="K18" s="33" t="s">
        <v>44</v>
      </c>
      <c r="L18" s="34" t="s">
        <v>45</v>
      </c>
      <c r="M18" s="35" t="s">
        <v>46</v>
      </c>
      <c r="N18" s="36" t="s">
        <v>47</v>
      </c>
      <c r="O18" s="31" t="s">
        <v>63</v>
      </c>
      <c r="P18" s="32" t="s">
        <v>64</v>
      </c>
      <c r="Q18" s="33" t="s">
        <v>65</v>
      </c>
      <c r="R18" s="37" t="s">
        <v>121</v>
      </c>
      <c r="S18" s="38" t="s">
        <v>126</v>
      </c>
      <c r="T18" s="39">
        <v>-1000</v>
      </c>
      <c r="U18" s="40"/>
      <c r="V18" s="41">
        <v>-1000</v>
      </c>
      <c r="W18" s="33" t="s">
        <v>127</v>
      </c>
      <c r="X18" s="42">
        <v>45839</v>
      </c>
      <c r="Y18" s="43">
        <v>45840</v>
      </c>
      <c r="Z18" s="33" t="s">
        <v>124</v>
      </c>
      <c r="AA18" s="44" t="s">
        <v>125</v>
      </c>
      <c r="AB18" s="45" t="s">
        <v>56</v>
      </c>
      <c r="AC18" s="46" t="s">
        <v>57</v>
      </c>
      <c r="AD18" s="33"/>
      <c r="AE18" s="47">
        <v>-1000</v>
      </c>
      <c r="AF18" s="48" t="s">
        <v>58</v>
      </c>
      <c r="AG18" s="48" t="s">
        <v>59</v>
      </c>
      <c r="AH18" s="49" t="s">
        <v>70</v>
      </c>
      <c r="AI18" s="49" t="s">
        <v>71</v>
      </c>
      <c r="AJ18" s="50" t="s">
        <v>72</v>
      </c>
    </row>
    <row r="19" spans="1:36" ht="15.75" x14ac:dyDescent="0.25">
      <c r="A19" s="26">
        <v>15038</v>
      </c>
      <c r="B19" s="27" t="s">
        <v>36</v>
      </c>
      <c r="C19" s="28" t="s">
        <v>37</v>
      </c>
      <c r="D19" s="29" t="s">
        <v>36</v>
      </c>
      <c r="E19" s="30" t="s">
        <v>38</v>
      </c>
      <c r="F19" s="31" t="s">
        <v>39</v>
      </c>
      <c r="G19" s="32" t="s">
        <v>40</v>
      </c>
      <c r="H19" s="33" t="s">
        <v>41</v>
      </c>
      <c r="I19" s="31" t="s">
        <v>42</v>
      </c>
      <c r="J19" s="32" t="s">
        <v>43</v>
      </c>
      <c r="K19" s="33" t="s">
        <v>44</v>
      </c>
      <c r="L19" s="34" t="s">
        <v>45</v>
      </c>
      <c r="M19" s="35" t="s">
        <v>46</v>
      </c>
      <c r="N19" s="36" t="s">
        <v>47</v>
      </c>
      <c r="O19" s="31" t="s">
        <v>63</v>
      </c>
      <c r="P19" s="32" t="s">
        <v>64</v>
      </c>
      <c r="Q19" s="33" t="s">
        <v>65</v>
      </c>
      <c r="R19" s="37" t="s">
        <v>51</v>
      </c>
      <c r="S19" s="38" t="s">
        <v>128</v>
      </c>
      <c r="T19" s="39">
        <v>-1600</v>
      </c>
      <c r="U19" s="40"/>
      <c r="V19" s="41">
        <v>-1600</v>
      </c>
      <c r="W19" s="33" t="s">
        <v>129</v>
      </c>
      <c r="X19" s="42">
        <v>45842</v>
      </c>
      <c r="Y19" s="43">
        <v>45853</v>
      </c>
      <c r="Z19" s="33" t="s">
        <v>130</v>
      </c>
      <c r="AA19" s="44" t="s">
        <v>131</v>
      </c>
      <c r="AB19" s="45" t="s">
        <v>56</v>
      </c>
      <c r="AC19" s="46" t="s">
        <v>57</v>
      </c>
      <c r="AD19" s="33"/>
      <c r="AE19" s="47">
        <v>-1600</v>
      </c>
      <c r="AF19" s="48" t="s">
        <v>58</v>
      </c>
      <c r="AG19" s="48" t="s">
        <v>59</v>
      </c>
      <c r="AH19" s="49" t="s">
        <v>70</v>
      </c>
      <c r="AI19" s="49" t="s">
        <v>71</v>
      </c>
      <c r="AJ19" s="50" t="s">
        <v>72</v>
      </c>
    </row>
    <row r="20" spans="1:36" ht="15.75" x14ac:dyDescent="0.25">
      <c r="A20" s="26">
        <v>15510</v>
      </c>
      <c r="B20" s="27" t="s">
        <v>36</v>
      </c>
      <c r="C20" s="28" t="s">
        <v>37</v>
      </c>
      <c r="D20" s="29" t="s">
        <v>36</v>
      </c>
      <c r="E20" s="30" t="s">
        <v>38</v>
      </c>
      <c r="F20" s="31" t="s">
        <v>39</v>
      </c>
      <c r="G20" s="32" t="s">
        <v>40</v>
      </c>
      <c r="H20" s="33" t="s">
        <v>41</v>
      </c>
      <c r="I20" s="31" t="s">
        <v>42</v>
      </c>
      <c r="J20" s="32" t="s">
        <v>43</v>
      </c>
      <c r="K20" s="33" t="s">
        <v>44</v>
      </c>
      <c r="L20" s="34" t="s">
        <v>45</v>
      </c>
      <c r="M20" s="35" t="s">
        <v>46</v>
      </c>
      <c r="N20" s="36" t="s">
        <v>47</v>
      </c>
      <c r="O20" s="31" t="s">
        <v>90</v>
      </c>
      <c r="P20" s="32" t="s">
        <v>91</v>
      </c>
      <c r="Q20" s="33" t="s">
        <v>92</v>
      </c>
      <c r="R20" s="37" t="s">
        <v>51</v>
      </c>
      <c r="S20" s="38" t="s">
        <v>132</v>
      </c>
      <c r="T20" s="39">
        <v>-1572.7500000000002</v>
      </c>
      <c r="U20" s="40"/>
      <c r="V20" s="41">
        <v>-65.531250000000014</v>
      </c>
      <c r="W20" s="33" t="s">
        <v>133</v>
      </c>
      <c r="X20" s="42">
        <v>45845</v>
      </c>
      <c r="Y20" s="43">
        <v>45853</v>
      </c>
      <c r="Z20" s="33" t="s">
        <v>110</v>
      </c>
      <c r="AA20" s="44" t="s">
        <v>95</v>
      </c>
      <c r="AB20" s="45" t="s">
        <v>56</v>
      </c>
      <c r="AC20" s="46" t="s">
        <v>57</v>
      </c>
      <c r="AD20" s="33"/>
      <c r="AE20" s="47">
        <v>-65.531250000000014</v>
      </c>
      <c r="AF20" s="48" t="s">
        <v>98</v>
      </c>
      <c r="AG20" s="48" t="s">
        <v>99</v>
      </c>
      <c r="AH20" s="49" t="s">
        <v>100</v>
      </c>
      <c r="AI20" s="49" t="s">
        <v>101</v>
      </c>
      <c r="AJ20" s="50" t="s">
        <v>102</v>
      </c>
    </row>
    <row r="21" spans="1:36" ht="15.75" x14ac:dyDescent="0.25">
      <c r="A21" s="26">
        <v>14923</v>
      </c>
      <c r="B21" s="27" t="s">
        <v>36</v>
      </c>
      <c r="C21" s="28" t="s">
        <v>37</v>
      </c>
      <c r="D21" s="29" t="s">
        <v>36</v>
      </c>
      <c r="E21" s="30" t="s">
        <v>38</v>
      </c>
      <c r="F21" s="31" t="s">
        <v>39</v>
      </c>
      <c r="G21" s="32" t="s">
        <v>40</v>
      </c>
      <c r="H21" s="33" t="s">
        <v>41</v>
      </c>
      <c r="I21" s="31" t="s">
        <v>42</v>
      </c>
      <c r="J21" s="32" t="s">
        <v>43</v>
      </c>
      <c r="K21" s="33" t="s">
        <v>44</v>
      </c>
      <c r="L21" s="34" t="s">
        <v>45</v>
      </c>
      <c r="M21" s="35" t="s">
        <v>46</v>
      </c>
      <c r="N21" s="36" t="s">
        <v>47</v>
      </c>
      <c r="O21" s="31" t="s">
        <v>63</v>
      </c>
      <c r="P21" s="32" t="s">
        <v>64</v>
      </c>
      <c r="Q21" s="33" t="s">
        <v>65</v>
      </c>
      <c r="R21" s="37" t="s">
        <v>51</v>
      </c>
      <c r="S21" s="38" t="s">
        <v>134</v>
      </c>
      <c r="T21" s="39">
        <v>-2484.3000000000002</v>
      </c>
      <c r="U21" s="40"/>
      <c r="V21" s="41">
        <v>-2484.3000000000002</v>
      </c>
      <c r="W21" s="33" t="s">
        <v>135</v>
      </c>
      <c r="X21" s="42">
        <v>45853</v>
      </c>
      <c r="Y21" s="43">
        <v>45884</v>
      </c>
      <c r="Z21" s="33" t="s">
        <v>136</v>
      </c>
      <c r="AA21" s="44" t="s">
        <v>137</v>
      </c>
      <c r="AB21" s="45" t="s">
        <v>56</v>
      </c>
      <c r="AC21" s="46" t="s">
        <v>57</v>
      </c>
      <c r="AD21" s="33"/>
      <c r="AE21" s="47">
        <v>-2484.3000000000002</v>
      </c>
      <c r="AF21" s="48" t="s">
        <v>58</v>
      </c>
      <c r="AG21" s="48" t="s">
        <v>59</v>
      </c>
      <c r="AH21" s="49" t="s">
        <v>70</v>
      </c>
      <c r="AI21" s="49" t="s">
        <v>71</v>
      </c>
      <c r="AJ21" s="50" t="s">
        <v>72</v>
      </c>
    </row>
    <row r="22" spans="1:36" ht="15.75" x14ac:dyDescent="0.25">
      <c r="A22" s="26">
        <v>15405</v>
      </c>
      <c r="B22" s="27" t="s">
        <v>36</v>
      </c>
      <c r="C22" s="28" t="s">
        <v>37</v>
      </c>
      <c r="D22" s="29" t="s">
        <v>36</v>
      </c>
      <c r="E22" s="30" t="s">
        <v>38</v>
      </c>
      <c r="F22" s="31" t="s">
        <v>39</v>
      </c>
      <c r="G22" s="32" t="s">
        <v>40</v>
      </c>
      <c r="H22" s="33" t="s">
        <v>41</v>
      </c>
      <c r="I22" s="31" t="s">
        <v>42</v>
      </c>
      <c r="J22" s="32" t="s">
        <v>43</v>
      </c>
      <c r="K22" s="33" t="s">
        <v>44</v>
      </c>
      <c r="L22" s="34" t="s">
        <v>45</v>
      </c>
      <c r="M22" s="35" t="s">
        <v>46</v>
      </c>
      <c r="N22" s="36" t="s">
        <v>47</v>
      </c>
      <c r="O22" s="31" t="s">
        <v>63</v>
      </c>
      <c r="P22" s="32" t="s">
        <v>64</v>
      </c>
      <c r="Q22" s="33" t="s">
        <v>65</v>
      </c>
      <c r="R22" s="37" t="s">
        <v>51</v>
      </c>
      <c r="S22" s="38" t="s">
        <v>138</v>
      </c>
      <c r="T22" s="39">
        <v>-400</v>
      </c>
      <c r="U22" s="40"/>
      <c r="V22" s="41">
        <v>-400</v>
      </c>
      <c r="W22" s="33" t="s">
        <v>139</v>
      </c>
      <c r="X22" s="42">
        <v>45853</v>
      </c>
      <c r="Y22" s="43">
        <v>45863</v>
      </c>
      <c r="Z22" s="33" t="s">
        <v>140</v>
      </c>
      <c r="AA22" s="44" t="s">
        <v>141</v>
      </c>
      <c r="AB22" s="45" t="s">
        <v>56</v>
      </c>
      <c r="AC22" s="46" t="s">
        <v>57</v>
      </c>
      <c r="AD22" s="33"/>
      <c r="AE22" s="47">
        <v>-400</v>
      </c>
      <c r="AF22" s="48" t="s">
        <v>58</v>
      </c>
      <c r="AG22" s="48" t="s">
        <v>59</v>
      </c>
      <c r="AH22" s="49" t="s">
        <v>70</v>
      </c>
      <c r="AI22" s="49" t="s">
        <v>71</v>
      </c>
      <c r="AJ22" s="50" t="s">
        <v>72</v>
      </c>
    </row>
    <row r="23" spans="1:36" ht="15.75" x14ac:dyDescent="0.25">
      <c r="A23" s="26">
        <v>15394</v>
      </c>
      <c r="B23" s="27" t="s">
        <v>36</v>
      </c>
      <c r="C23" s="28" t="s">
        <v>37</v>
      </c>
      <c r="D23" s="29" t="s">
        <v>36</v>
      </c>
      <c r="E23" s="30" t="s">
        <v>38</v>
      </c>
      <c r="F23" s="31" t="s">
        <v>39</v>
      </c>
      <c r="G23" s="32" t="s">
        <v>40</v>
      </c>
      <c r="H23" s="33" t="s">
        <v>41</v>
      </c>
      <c r="I23" s="31" t="s">
        <v>42</v>
      </c>
      <c r="J23" s="32" t="s">
        <v>43</v>
      </c>
      <c r="K23" s="33" t="s">
        <v>44</v>
      </c>
      <c r="L23" s="34" t="s">
        <v>45</v>
      </c>
      <c r="M23" s="35" t="s">
        <v>46</v>
      </c>
      <c r="N23" s="36" t="s">
        <v>47</v>
      </c>
      <c r="O23" s="31" t="s">
        <v>63</v>
      </c>
      <c r="P23" s="32" t="s">
        <v>64</v>
      </c>
      <c r="Q23" s="33" t="s">
        <v>65</v>
      </c>
      <c r="R23" s="37" t="s">
        <v>51</v>
      </c>
      <c r="S23" s="38" t="s">
        <v>142</v>
      </c>
      <c r="T23" s="39">
        <v>-1785</v>
      </c>
      <c r="U23" s="40"/>
      <c r="V23" s="41">
        <v>-1785</v>
      </c>
      <c r="W23" s="33" t="s">
        <v>143</v>
      </c>
      <c r="X23" s="42">
        <v>45854</v>
      </c>
      <c r="Y23" s="43">
        <v>45863</v>
      </c>
      <c r="Z23" s="33" t="s">
        <v>144</v>
      </c>
      <c r="AA23" s="44" t="s">
        <v>145</v>
      </c>
      <c r="AB23" s="45" t="s">
        <v>56</v>
      </c>
      <c r="AC23" s="46" t="s">
        <v>57</v>
      </c>
      <c r="AD23" s="33"/>
      <c r="AE23" s="47">
        <v>-1785</v>
      </c>
      <c r="AF23" s="48" t="s">
        <v>58</v>
      </c>
      <c r="AG23" s="48" t="s">
        <v>59</v>
      </c>
      <c r="AH23" s="49" t="s">
        <v>70</v>
      </c>
      <c r="AI23" s="49" t="s">
        <v>71</v>
      </c>
      <c r="AJ23" s="50" t="s">
        <v>72</v>
      </c>
    </row>
    <row r="24" spans="1:36" ht="15.75" x14ac:dyDescent="0.25">
      <c r="A24" s="26">
        <v>15063</v>
      </c>
      <c r="B24" s="27" t="s">
        <v>36</v>
      </c>
      <c r="C24" s="28" t="s">
        <v>37</v>
      </c>
      <c r="D24" s="29" t="s">
        <v>36</v>
      </c>
      <c r="E24" s="30" t="s">
        <v>38</v>
      </c>
      <c r="F24" s="31" t="s">
        <v>39</v>
      </c>
      <c r="G24" s="32" t="s">
        <v>40</v>
      </c>
      <c r="H24" s="33" t="s">
        <v>41</v>
      </c>
      <c r="I24" s="31" t="s">
        <v>42</v>
      </c>
      <c r="J24" s="32" t="s">
        <v>43</v>
      </c>
      <c r="K24" s="33" t="s">
        <v>44</v>
      </c>
      <c r="L24" s="34" t="s">
        <v>45</v>
      </c>
      <c r="M24" s="35" t="s">
        <v>46</v>
      </c>
      <c r="N24" s="36" t="s">
        <v>47</v>
      </c>
      <c r="O24" s="31" t="s">
        <v>63</v>
      </c>
      <c r="P24" s="32" t="s">
        <v>64</v>
      </c>
      <c r="Q24" s="33" t="s">
        <v>65</v>
      </c>
      <c r="R24" s="37" t="s">
        <v>51</v>
      </c>
      <c r="S24" s="38" t="s">
        <v>146</v>
      </c>
      <c r="T24" s="39">
        <v>-348.02</v>
      </c>
      <c r="U24" s="40"/>
      <c r="V24" s="41">
        <v>-348.02</v>
      </c>
      <c r="W24" s="33" t="s">
        <v>147</v>
      </c>
      <c r="X24" s="42">
        <v>45866</v>
      </c>
      <c r="Y24" s="43">
        <v>45884</v>
      </c>
      <c r="Z24" s="33" t="s">
        <v>75</v>
      </c>
      <c r="AA24" s="44" t="s">
        <v>76</v>
      </c>
      <c r="AB24" s="45" t="s">
        <v>56</v>
      </c>
      <c r="AC24" s="46" t="s">
        <v>57</v>
      </c>
      <c r="AD24" s="33"/>
      <c r="AE24" s="47">
        <v>-348.02</v>
      </c>
      <c r="AF24" s="48" t="s">
        <v>58</v>
      </c>
      <c r="AG24" s="48" t="s">
        <v>59</v>
      </c>
      <c r="AH24" s="49" t="s">
        <v>70</v>
      </c>
      <c r="AI24" s="49" t="s">
        <v>71</v>
      </c>
      <c r="AJ24" s="50" t="s">
        <v>72</v>
      </c>
    </row>
    <row r="25" spans="1:36" ht="15.75" x14ac:dyDescent="0.25">
      <c r="A25" s="26">
        <v>15457</v>
      </c>
      <c r="B25" s="27" t="s">
        <v>36</v>
      </c>
      <c r="C25" s="28" t="s">
        <v>37</v>
      </c>
      <c r="D25" s="29" t="s">
        <v>36</v>
      </c>
      <c r="E25" s="30" t="s">
        <v>38</v>
      </c>
      <c r="F25" s="31" t="s">
        <v>39</v>
      </c>
      <c r="G25" s="32" t="s">
        <v>40</v>
      </c>
      <c r="H25" s="33" t="s">
        <v>41</v>
      </c>
      <c r="I25" s="31" t="s">
        <v>42</v>
      </c>
      <c r="J25" s="32" t="s">
        <v>43</v>
      </c>
      <c r="K25" s="33" t="s">
        <v>44</v>
      </c>
      <c r="L25" s="34" t="s">
        <v>45</v>
      </c>
      <c r="M25" s="35" t="s">
        <v>46</v>
      </c>
      <c r="N25" s="36" t="s">
        <v>47</v>
      </c>
      <c r="O25" s="31" t="s">
        <v>63</v>
      </c>
      <c r="P25" s="32" t="s">
        <v>64</v>
      </c>
      <c r="Q25" s="33" t="s">
        <v>65</v>
      </c>
      <c r="R25" s="37" t="s">
        <v>51</v>
      </c>
      <c r="S25" s="38" t="s">
        <v>148</v>
      </c>
      <c r="T25" s="39">
        <v>-600</v>
      </c>
      <c r="U25" s="40"/>
      <c r="V25" s="41">
        <v>-600</v>
      </c>
      <c r="W25" s="33" t="s">
        <v>149</v>
      </c>
      <c r="X25" s="42">
        <v>45866</v>
      </c>
      <c r="Y25" s="43">
        <v>45884</v>
      </c>
      <c r="Z25" s="33" t="s">
        <v>75</v>
      </c>
      <c r="AA25" s="44" t="s">
        <v>76</v>
      </c>
      <c r="AB25" s="45" t="s">
        <v>56</v>
      </c>
      <c r="AC25" s="46" t="s">
        <v>57</v>
      </c>
      <c r="AD25" s="33"/>
      <c r="AE25" s="47">
        <v>-600</v>
      </c>
      <c r="AF25" s="48" t="s">
        <v>58</v>
      </c>
      <c r="AG25" s="48" t="s">
        <v>59</v>
      </c>
      <c r="AH25" s="49" t="s">
        <v>70</v>
      </c>
      <c r="AI25" s="49" t="s">
        <v>71</v>
      </c>
      <c r="AJ25" s="50" t="s">
        <v>72</v>
      </c>
    </row>
    <row r="26" spans="1:36" ht="15.75" x14ac:dyDescent="0.25">
      <c r="A26" s="26">
        <v>17568</v>
      </c>
      <c r="B26" s="32" t="s">
        <v>36</v>
      </c>
      <c r="C26" s="31" t="s">
        <v>37</v>
      </c>
      <c r="D26" s="56" t="s">
        <v>36</v>
      </c>
      <c r="E26" s="33" t="s">
        <v>38</v>
      </c>
      <c r="F26" s="31" t="s">
        <v>39</v>
      </c>
      <c r="G26" s="32" t="s">
        <v>40</v>
      </c>
      <c r="H26" s="33" t="s">
        <v>41</v>
      </c>
      <c r="I26" s="31" t="s">
        <v>42</v>
      </c>
      <c r="J26" s="32" t="s">
        <v>43</v>
      </c>
      <c r="K26" s="33" t="s">
        <v>44</v>
      </c>
      <c r="L26" s="34" t="s">
        <v>45</v>
      </c>
      <c r="M26" s="35" t="s">
        <v>46</v>
      </c>
      <c r="N26" s="36" t="s">
        <v>47</v>
      </c>
      <c r="O26" s="31" t="s">
        <v>150</v>
      </c>
      <c r="P26" s="32" t="s">
        <v>151</v>
      </c>
      <c r="Q26" s="33" t="s">
        <v>152</v>
      </c>
      <c r="R26" s="37" t="s">
        <v>51</v>
      </c>
      <c r="S26" s="38" t="s">
        <v>153</v>
      </c>
      <c r="T26" s="39">
        <v>-1000</v>
      </c>
      <c r="U26" s="40"/>
      <c r="V26" s="41">
        <v>-1000</v>
      </c>
      <c r="W26" s="33" t="s">
        <v>154</v>
      </c>
      <c r="X26" s="42">
        <v>45870</v>
      </c>
      <c r="Y26" s="43">
        <v>45874</v>
      </c>
      <c r="Z26" s="33" t="s">
        <v>155</v>
      </c>
      <c r="AA26" s="44" t="s">
        <v>156</v>
      </c>
      <c r="AB26" s="32" t="s">
        <v>56</v>
      </c>
      <c r="AC26" s="56" t="s">
        <v>57</v>
      </c>
      <c r="AD26" s="33"/>
      <c r="AE26" s="47">
        <v>-1000</v>
      </c>
      <c r="AF26" s="48" t="s">
        <v>58</v>
      </c>
      <c r="AG26" s="48" t="s">
        <v>157</v>
      </c>
      <c r="AH26" s="49" t="s">
        <v>158</v>
      </c>
      <c r="AI26" s="49" t="s">
        <v>159</v>
      </c>
      <c r="AJ26" s="50" t="s">
        <v>102</v>
      </c>
    </row>
    <row r="27" spans="1:36" ht="15.75" x14ac:dyDescent="0.25">
      <c r="A27" s="26">
        <v>17780</v>
      </c>
      <c r="B27" s="32" t="s">
        <v>36</v>
      </c>
      <c r="C27" s="31" t="s">
        <v>37</v>
      </c>
      <c r="D27" s="56" t="s">
        <v>36</v>
      </c>
      <c r="E27" s="33" t="s">
        <v>38</v>
      </c>
      <c r="F27" s="31" t="s">
        <v>39</v>
      </c>
      <c r="G27" s="32" t="s">
        <v>40</v>
      </c>
      <c r="H27" s="33" t="s">
        <v>41</v>
      </c>
      <c r="I27" s="31" t="s">
        <v>42</v>
      </c>
      <c r="J27" s="32" t="s">
        <v>43</v>
      </c>
      <c r="K27" s="33" t="s">
        <v>44</v>
      </c>
      <c r="L27" s="34" t="s">
        <v>45</v>
      </c>
      <c r="M27" s="35" t="s">
        <v>46</v>
      </c>
      <c r="N27" s="36" t="s">
        <v>47</v>
      </c>
      <c r="O27" s="31" t="s">
        <v>90</v>
      </c>
      <c r="P27" s="32" t="s">
        <v>91</v>
      </c>
      <c r="Q27" s="33" t="s">
        <v>92</v>
      </c>
      <c r="R27" s="37" t="s">
        <v>51</v>
      </c>
      <c r="S27" s="38" t="s">
        <v>160</v>
      </c>
      <c r="T27" s="39">
        <v>-69.900000000000006</v>
      </c>
      <c r="U27" s="40"/>
      <c r="V27" s="41">
        <v>-69.900000000000006</v>
      </c>
      <c r="W27" s="33" t="s">
        <v>161</v>
      </c>
      <c r="X27" s="42">
        <v>45870</v>
      </c>
      <c r="Y27" s="43">
        <v>45884</v>
      </c>
      <c r="Z27" s="33" t="s">
        <v>110</v>
      </c>
      <c r="AA27" s="44" t="s">
        <v>95</v>
      </c>
      <c r="AB27" s="32" t="s">
        <v>56</v>
      </c>
      <c r="AC27" s="56" t="s">
        <v>57</v>
      </c>
      <c r="AD27" s="33"/>
      <c r="AE27" s="47">
        <v>-66.72</v>
      </c>
      <c r="AF27" s="48" t="s">
        <v>98</v>
      </c>
      <c r="AG27" s="48" t="s">
        <v>99</v>
      </c>
      <c r="AH27" s="49" t="s">
        <v>100</v>
      </c>
      <c r="AI27" s="49" t="s">
        <v>101</v>
      </c>
      <c r="AJ27" s="50" t="s">
        <v>102</v>
      </c>
    </row>
    <row r="28" spans="1:36" ht="15.75" x14ac:dyDescent="0.25">
      <c r="A28" s="26">
        <v>18616</v>
      </c>
      <c r="B28" s="32" t="s">
        <v>36</v>
      </c>
      <c r="C28" s="31" t="s">
        <v>37</v>
      </c>
      <c r="D28" s="56" t="s">
        <v>36</v>
      </c>
      <c r="E28" s="33" t="s">
        <v>38</v>
      </c>
      <c r="F28" s="31" t="s">
        <v>39</v>
      </c>
      <c r="G28" s="32" t="s">
        <v>40</v>
      </c>
      <c r="H28" s="33" t="s">
        <v>41</v>
      </c>
      <c r="I28" s="31" t="s">
        <v>42</v>
      </c>
      <c r="J28" s="32" t="s">
        <v>43</v>
      </c>
      <c r="K28" s="33" t="s">
        <v>44</v>
      </c>
      <c r="L28" s="34" t="s">
        <v>45</v>
      </c>
      <c r="M28" s="35" t="s">
        <v>46</v>
      </c>
      <c r="N28" s="36" t="s">
        <v>47</v>
      </c>
      <c r="O28" s="31" t="s">
        <v>63</v>
      </c>
      <c r="P28" s="32" t="s">
        <v>64</v>
      </c>
      <c r="Q28" s="33" t="s">
        <v>65</v>
      </c>
      <c r="R28" s="37" t="s">
        <v>51</v>
      </c>
      <c r="S28" s="38" t="s">
        <v>162</v>
      </c>
      <c r="T28" s="39">
        <v>-768</v>
      </c>
      <c r="U28" s="40"/>
      <c r="V28" s="41">
        <v>-768</v>
      </c>
      <c r="W28" s="33" t="s">
        <v>163</v>
      </c>
      <c r="X28" s="42">
        <v>45871</v>
      </c>
      <c r="Y28" s="43">
        <v>45905</v>
      </c>
      <c r="Z28" s="33" t="s">
        <v>164</v>
      </c>
      <c r="AA28" s="44" t="s">
        <v>165</v>
      </c>
      <c r="AB28" s="32" t="s">
        <v>56</v>
      </c>
      <c r="AC28" s="56" t="s">
        <v>57</v>
      </c>
      <c r="AD28" s="33"/>
      <c r="AE28" s="47">
        <v>-768</v>
      </c>
      <c r="AF28" s="48" t="s">
        <v>58</v>
      </c>
      <c r="AG28" s="48" t="s">
        <v>59</v>
      </c>
      <c r="AH28" s="49" t="s">
        <v>70</v>
      </c>
      <c r="AI28" s="49" t="s">
        <v>71</v>
      </c>
      <c r="AJ28" s="50" t="s">
        <v>72</v>
      </c>
    </row>
    <row r="29" spans="1:36" ht="15.75" x14ac:dyDescent="0.25">
      <c r="A29" s="26">
        <v>18205</v>
      </c>
      <c r="B29" s="32" t="s">
        <v>36</v>
      </c>
      <c r="C29" s="31" t="s">
        <v>37</v>
      </c>
      <c r="D29" s="56" t="s">
        <v>36</v>
      </c>
      <c r="E29" s="33" t="s">
        <v>38</v>
      </c>
      <c r="F29" s="31" t="s">
        <v>39</v>
      </c>
      <c r="G29" s="32" t="s">
        <v>40</v>
      </c>
      <c r="H29" s="33" t="s">
        <v>41</v>
      </c>
      <c r="I29" s="31" t="s">
        <v>42</v>
      </c>
      <c r="J29" s="32" t="s">
        <v>43</v>
      </c>
      <c r="K29" s="33" t="s">
        <v>44</v>
      </c>
      <c r="L29" s="34" t="s">
        <v>45</v>
      </c>
      <c r="M29" s="35" t="s">
        <v>46</v>
      </c>
      <c r="N29" s="36" t="s">
        <v>47</v>
      </c>
      <c r="O29" s="31" t="s">
        <v>63</v>
      </c>
      <c r="P29" s="32" t="s">
        <v>64</v>
      </c>
      <c r="Q29" s="33" t="s">
        <v>65</v>
      </c>
      <c r="R29" s="37" t="s">
        <v>51</v>
      </c>
      <c r="S29" s="38" t="s">
        <v>166</v>
      </c>
      <c r="T29" s="39">
        <v>-151.5</v>
      </c>
      <c r="U29" s="40"/>
      <c r="V29" s="41">
        <v>-151.5</v>
      </c>
      <c r="W29" s="33" t="s">
        <v>167</v>
      </c>
      <c r="X29" s="42">
        <v>45881</v>
      </c>
      <c r="Y29" s="43">
        <v>45894</v>
      </c>
      <c r="Z29" s="33" t="s">
        <v>75</v>
      </c>
      <c r="AA29" s="44" t="s">
        <v>76</v>
      </c>
      <c r="AB29" s="32" t="s">
        <v>56</v>
      </c>
      <c r="AC29" s="56" t="s">
        <v>57</v>
      </c>
      <c r="AD29" s="33"/>
      <c r="AE29" s="47">
        <v>-151.5</v>
      </c>
      <c r="AF29" s="48" t="s">
        <v>58</v>
      </c>
      <c r="AG29" s="48" t="s">
        <v>59</v>
      </c>
      <c r="AH29" s="49" t="s">
        <v>70</v>
      </c>
      <c r="AI29" s="49" t="s">
        <v>71</v>
      </c>
      <c r="AJ29" s="50" t="s">
        <v>72</v>
      </c>
    </row>
    <row r="30" spans="1:36" ht="15.75" x14ac:dyDescent="0.25">
      <c r="A30" s="26">
        <v>18224</v>
      </c>
      <c r="B30" s="57" t="s">
        <v>36</v>
      </c>
      <c r="C30" s="58" t="s">
        <v>37</v>
      </c>
      <c r="D30" s="59" t="s">
        <v>36</v>
      </c>
      <c r="E30" s="60" t="s">
        <v>38</v>
      </c>
      <c r="F30" s="58" t="s">
        <v>39</v>
      </c>
      <c r="G30" s="57" t="s">
        <v>40</v>
      </c>
      <c r="H30" s="60" t="s">
        <v>41</v>
      </c>
      <c r="I30" s="58" t="s">
        <v>42</v>
      </c>
      <c r="J30" s="57" t="s">
        <v>43</v>
      </c>
      <c r="K30" s="60" t="s">
        <v>44</v>
      </c>
      <c r="L30" s="61" t="s">
        <v>45</v>
      </c>
      <c r="M30" s="62" t="s">
        <v>46</v>
      </c>
      <c r="N30" s="63" t="s">
        <v>47</v>
      </c>
      <c r="O30" s="58" t="s">
        <v>63</v>
      </c>
      <c r="P30" s="57" t="s">
        <v>64</v>
      </c>
      <c r="Q30" s="60" t="s">
        <v>65</v>
      </c>
      <c r="R30" s="64" t="s">
        <v>51</v>
      </c>
      <c r="S30" s="65" t="s">
        <v>168</v>
      </c>
      <c r="T30" s="66">
        <v>-245.8</v>
      </c>
      <c r="U30" s="67"/>
      <c r="V30" s="68">
        <v>-245.8</v>
      </c>
      <c r="W30" s="60" t="s">
        <v>169</v>
      </c>
      <c r="X30" s="69">
        <v>45883</v>
      </c>
      <c r="Y30" s="70">
        <v>45894</v>
      </c>
      <c r="Z30" s="60" t="s">
        <v>75</v>
      </c>
      <c r="AA30" s="44" t="s">
        <v>76</v>
      </c>
      <c r="AB30" s="57" t="s">
        <v>56</v>
      </c>
      <c r="AC30" s="59" t="s">
        <v>57</v>
      </c>
      <c r="AD30" s="60"/>
      <c r="AE30" s="71">
        <v>-245.8</v>
      </c>
      <c r="AF30" s="72" t="s">
        <v>58</v>
      </c>
      <c r="AG30" s="72" t="s">
        <v>59</v>
      </c>
      <c r="AH30" s="49" t="s">
        <v>70</v>
      </c>
      <c r="AI30" s="49" t="s">
        <v>71</v>
      </c>
      <c r="AJ30" s="50" t="s">
        <v>72</v>
      </c>
    </row>
    <row r="31" spans="1:36" ht="15.75" x14ac:dyDescent="0.25">
      <c r="A31" s="26">
        <v>19290</v>
      </c>
      <c r="B31" s="32" t="s">
        <v>36</v>
      </c>
      <c r="C31" s="31" t="s">
        <v>37</v>
      </c>
      <c r="D31" s="56" t="s">
        <v>36</v>
      </c>
      <c r="E31" s="33" t="s">
        <v>38</v>
      </c>
      <c r="F31" s="31" t="s">
        <v>39</v>
      </c>
      <c r="G31" s="32" t="s">
        <v>40</v>
      </c>
      <c r="H31" s="33" t="s">
        <v>41</v>
      </c>
      <c r="I31" s="31" t="s">
        <v>42</v>
      </c>
      <c r="J31" s="32" t="s">
        <v>43</v>
      </c>
      <c r="K31" s="33" t="s">
        <v>44</v>
      </c>
      <c r="L31" s="34" t="s">
        <v>45</v>
      </c>
      <c r="M31" s="35" t="s">
        <v>46</v>
      </c>
      <c r="N31" s="36" t="s">
        <v>47</v>
      </c>
      <c r="O31" s="31" t="s">
        <v>63</v>
      </c>
      <c r="P31" s="32" t="s">
        <v>64</v>
      </c>
      <c r="Q31" s="33" t="s">
        <v>65</v>
      </c>
      <c r="R31" s="37" t="s">
        <v>51</v>
      </c>
      <c r="S31" s="38" t="s">
        <v>170</v>
      </c>
      <c r="T31" s="39">
        <v>-1945</v>
      </c>
      <c r="U31" s="40"/>
      <c r="V31" s="41">
        <v>-1945</v>
      </c>
      <c r="W31" s="33" t="s">
        <v>171</v>
      </c>
      <c r="X31" s="42">
        <v>45887</v>
      </c>
      <c r="Y31" s="43"/>
      <c r="Z31" s="33" t="s">
        <v>75</v>
      </c>
      <c r="AA31" s="44" t="s">
        <v>76</v>
      </c>
      <c r="AB31" s="32" t="s">
        <v>56</v>
      </c>
      <c r="AC31" s="56" t="s">
        <v>57</v>
      </c>
      <c r="AD31" s="33"/>
      <c r="AE31" s="47">
        <v>-1945</v>
      </c>
      <c r="AF31" s="48" t="s">
        <v>58</v>
      </c>
      <c r="AG31" s="48" t="s">
        <v>59</v>
      </c>
      <c r="AH31" s="49" t="s">
        <v>70</v>
      </c>
      <c r="AI31" s="49" t="s">
        <v>71</v>
      </c>
      <c r="AJ31" s="50" t="s">
        <v>72</v>
      </c>
    </row>
    <row r="32" spans="1:36" ht="15.75" x14ac:dyDescent="0.25">
      <c r="A32" s="26">
        <v>19479</v>
      </c>
      <c r="B32" s="32" t="s">
        <v>36</v>
      </c>
      <c r="C32" s="31" t="s">
        <v>37</v>
      </c>
      <c r="D32" s="56" t="s">
        <v>36</v>
      </c>
      <c r="E32" s="33" t="s">
        <v>38</v>
      </c>
      <c r="F32" s="31" t="s">
        <v>39</v>
      </c>
      <c r="G32" s="32" t="s">
        <v>40</v>
      </c>
      <c r="H32" s="33" t="s">
        <v>41</v>
      </c>
      <c r="I32" s="31" t="s">
        <v>42</v>
      </c>
      <c r="J32" s="32" t="s">
        <v>43</v>
      </c>
      <c r="K32" s="33" t="s">
        <v>44</v>
      </c>
      <c r="L32" s="34" t="s">
        <v>45</v>
      </c>
      <c r="M32" s="35" t="s">
        <v>46</v>
      </c>
      <c r="N32" s="36" t="s">
        <v>47</v>
      </c>
      <c r="O32" s="31" t="s">
        <v>63</v>
      </c>
      <c r="P32" s="32" t="s">
        <v>64</v>
      </c>
      <c r="Q32" s="33" t="s">
        <v>65</v>
      </c>
      <c r="R32" s="37" t="s">
        <v>51</v>
      </c>
      <c r="S32" s="38" t="s">
        <v>172</v>
      </c>
      <c r="T32" s="39">
        <v>-1497.92</v>
      </c>
      <c r="U32" s="40"/>
      <c r="V32" s="41">
        <v>-1497.92</v>
      </c>
      <c r="W32" s="33" t="s">
        <v>173</v>
      </c>
      <c r="X32" s="42">
        <v>45891</v>
      </c>
      <c r="Y32" s="43"/>
      <c r="Z32" s="33" t="s">
        <v>174</v>
      </c>
      <c r="AA32" s="44" t="s">
        <v>175</v>
      </c>
      <c r="AB32" s="32" t="s">
        <v>56</v>
      </c>
      <c r="AC32" s="56" t="s">
        <v>57</v>
      </c>
      <c r="AD32" s="33"/>
      <c r="AE32" s="47">
        <v>-1497.92</v>
      </c>
      <c r="AF32" s="48" t="s">
        <v>58</v>
      </c>
      <c r="AG32" s="48" t="s">
        <v>59</v>
      </c>
      <c r="AH32" s="49" t="s">
        <v>70</v>
      </c>
      <c r="AI32" s="49" t="s">
        <v>71</v>
      </c>
      <c r="AJ32" s="50" t="s">
        <v>72</v>
      </c>
    </row>
    <row r="33" spans="1:36" ht="15.75" x14ac:dyDescent="0.25">
      <c r="A33" s="26">
        <v>19495</v>
      </c>
      <c r="B33" s="32" t="s">
        <v>36</v>
      </c>
      <c r="C33" s="31" t="s">
        <v>37</v>
      </c>
      <c r="D33" s="56" t="s">
        <v>36</v>
      </c>
      <c r="E33" s="33" t="s">
        <v>38</v>
      </c>
      <c r="F33" s="31" t="s">
        <v>39</v>
      </c>
      <c r="G33" s="32" t="s">
        <v>40</v>
      </c>
      <c r="H33" s="33" t="s">
        <v>41</v>
      </c>
      <c r="I33" s="31" t="s">
        <v>42</v>
      </c>
      <c r="J33" s="32" t="s">
        <v>43</v>
      </c>
      <c r="K33" s="33" t="s">
        <v>44</v>
      </c>
      <c r="L33" s="34" t="s">
        <v>45</v>
      </c>
      <c r="M33" s="35" t="s">
        <v>46</v>
      </c>
      <c r="N33" s="36" t="s">
        <v>47</v>
      </c>
      <c r="O33" s="31" t="s">
        <v>63</v>
      </c>
      <c r="P33" s="32" t="s">
        <v>64</v>
      </c>
      <c r="Q33" s="33" t="s">
        <v>65</v>
      </c>
      <c r="R33" s="37" t="s">
        <v>51</v>
      </c>
      <c r="S33" s="38" t="s">
        <v>176</v>
      </c>
      <c r="T33" s="39">
        <v>-559.6</v>
      </c>
      <c r="U33" s="40"/>
      <c r="V33" s="41">
        <v>-559.6</v>
      </c>
      <c r="W33" s="33" t="s">
        <v>177</v>
      </c>
      <c r="X33" s="42">
        <v>45892</v>
      </c>
      <c r="Y33" s="43"/>
      <c r="Z33" s="33" t="s">
        <v>164</v>
      </c>
      <c r="AA33" s="44" t="s">
        <v>165</v>
      </c>
      <c r="AB33" s="32" t="s">
        <v>56</v>
      </c>
      <c r="AC33" s="56" t="s">
        <v>57</v>
      </c>
      <c r="AD33" s="33"/>
      <c r="AE33" s="47">
        <v>-559.6</v>
      </c>
      <c r="AF33" s="48" t="s">
        <v>58</v>
      </c>
      <c r="AG33" s="48" t="s">
        <v>59</v>
      </c>
      <c r="AH33" s="49" t="s">
        <v>70</v>
      </c>
      <c r="AI33" s="49" t="s">
        <v>71</v>
      </c>
      <c r="AJ33" s="50" t="s">
        <v>72</v>
      </c>
    </row>
    <row r="34" spans="1:36" ht="15.75" x14ac:dyDescent="0.25">
      <c r="A34" s="26">
        <v>19496</v>
      </c>
      <c r="B34" s="32" t="s">
        <v>36</v>
      </c>
      <c r="C34" s="31" t="s">
        <v>37</v>
      </c>
      <c r="D34" s="56" t="s">
        <v>36</v>
      </c>
      <c r="E34" s="33" t="s">
        <v>38</v>
      </c>
      <c r="F34" s="31" t="s">
        <v>39</v>
      </c>
      <c r="G34" s="32" t="s">
        <v>40</v>
      </c>
      <c r="H34" s="33" t="s">
        <v>41</v>
      </c>
      <c r="I34" s="31" t="s">
        <v>42</v>
      </c>
      <c r="J34" s="32" t="s">
        <v>43</v>
      </c>
      <c r="K34" s="33" t="s">
        <v>44</v>
      </c>
      <c r="L34" s="34" t="s">
        <v>45</v>
      </c>
      <c r="M34" s="35" t="s">
        <v>46</v>
      </c>
      <c r="N34" s="36" t="s">
        <v>47</v>
      </c>
      <c r="O34" s="31" t="s">
        <v>63</v>
      </c>
      <c r="P34" s="32" t="s">
        <v>64</v>
      </c>
      <c r="Q34" s="33" t="s">
        <v>65</v>
      </c>
      <c r="R34" s="37" t="s">
        <v>51</v>
      </c>
      <c r="S34" s="38" t="s">
        <v>176</v>
      </c>
      <c r="T34" s="39">
        <v>-559.6</v>
      </c>
      <c r="U34" s="40"/>
      <c r="V34" s="41">
        <v>-559.6</v>
      </c>
      <c r="W34" s="33" t="s">
        <v>177</v>
      </c>
      <c r="X34" s="42">
        <v>45892</v>
      </c>
      <c r="Y34" s="43"/>
      <c r="Z34" s="33" t="s">
        <v>164</v>
      </c>
      <c r="AA34" s="44" t="s">
        <v>165</v>
      </c>
      <c r="AB34" s="32" t="s">
        <v>56</v>
      </c>
      <c r="AC34" s="56" t="s">
        <v>57</v>
      </c>
      <c r="AD34" s="33"/>
      <c r="AE34" s="47">
        <v>-559.6</v>
      </c>
      <c r="AF34" s="48" t="s">
        <v>58</v>
      </c>
      <c r="AG34" s="48" t="s">
        <v>59</v>
      </c>
      <c r="AH34" s="49" t="s">
        <v>70</v>
      </c>
      <c r="AI34" s="49" t="s">
        <v>71</v>
      </c>
      <c r="AJ34" s="50" t="s">
        <v>72</v>
      </c>
    </row>
    <row r="35" spans="1:36" ht="15.75" x14ac:dyDescent="0.25">
      <c r="A35" s="26">
        <v>19497</v>
      </c>
      <c r="B35" s="32" t="s">
        <v>36</v>
      </c>
      <c r="C35" s="31" t="s">
        <v>37</v>
      </c>
      <c r="D35" s="56" t="s">
        <v>36</v>
      </c>
      <c r="E35" s="33" t="s">
        <v>38</v>
      </c>
      <c r="F35" s="31" t="s">
        <v>39</v>
      </c>
      <c r="G35" s="32" t="s">
        <v>40</v>
      </c>
      <c r="H35" s="33" t="s">
        <v>41</v>
      </c>
      <c r="I35" s="31" t="s">
        <v>42</v>
      </c>
      <c r="J35" s="32" t="s">
        <v>43</v>
      </c>
      <c r="K35" s="33" t="s">
        <v>44</v>
      </c>
      <c r="L35" s="34" t="s">
        <v>45</v>
      </c>
      <c r="M35" s="35" t="s">
        <v>46</v>
      </c>
      <c r="N35" s="36" t="s">
        <v>47</v>
      </c>
      <c r="O35" s="31" t="s">
        <v>63</v>
      </c>
      <c r="P35" s="32" t="s">
        <v>64</v>
      </c>
      <c r="Q35" s="33" t="s">
        <v>65</v>
      </c>
      <c r="R35" s="37" t="s">
        <v>51</v>
      </c>
      <c r="S35" s="38" t="s">
        <v>178</v>
      </c>
      <c r="T35" s="39">
        <v>-598</v>
      </c>
      <c r="U35" s="40"/>
      <c r="V35" s="41">
        <v>-598</v>
      </c>
      <c r="W35" s="33" t="s">
        <v>179</v>
      </c>
      <c r="X35" s="42">
        <v>45892</v>
      </c>
      <c r="Y35" s="43"/>
      <c r="Z35" s="33" t="s">
        <v>180</v>
      </c>
      <c r="AA35" s="44" t="s">
        <v>181</v>
      </c>
      <c r="AB35" s="32" t="s">
        <v>56</v>
      </c>
      <c r="AC35" s="56" t="s">
        <v>57</v>
      </c>
      <c r="AD35" s="33"/>
      <c r="AE35" s="47">
        <v>-598</v>
      </c>
      <c r="AF35" s="48" t="s">
        <v>58</v>
      </c>
      <c r="AG35" s="48" t="s">
        <v>59</v>
      </c>
      <c r="AH35" s="49" t="s">
        <v>70</v>
      </c>
      <c r="AI35" s="49" t="s">
        <v>71</v>
      </c>
      <c r="AJ35" s="50" t="s">
        <v>72</v>
      </c>
    </row>
    <row r="36" spans="1:36" ht="15.75" x14ac:dyDescent="0.25">
      <c r="A36" s="26">
        <v>19507</v>
      </c>
      <c r="B36" s="32" t="s">
        <v>36</v>
      </c>
      <c r="C36" s="31" t="s">
        <v>37</v>
      </c>
      <c r="D36" s="56" t="s">
        <v>36</v>
      </c>
      <c r="E36" s="33" t="s">
        <v>38</v>
      </c>
      <c r="F36" s="31" t="s">
        <v>39</v>
      </c>
      <c r="G36" s="32" t="s">
        <v>40</v>
      </c>
      <c r="H36" s="33" t="s">
        <v>41</v>
      </c>
      <c r="I36" s="31" t="s">
        <v>42</v>
      </c>
      <c r="J36" s="32" t="s">
        <v>43</v>
      </c>
      <c r="K36" s="33" t="s">
        <v>44</v>
      </c>
      <c r="L36" s="34" t="s">
        <v>45</v>
      </c>
      <c r="M36" s="35" t="s">
        <v>46</v>
      </c>
      <c r="N36" s="36" t="s">
        <v>47</v>
      </c>
      <c r="O36" s="31" t="s">
        <v>63</v>
      </c>
      <c r="P36" s="32" t="s">
        <v>64</v>
      </c>
      <c r="Q36" s="33" t="s">
        <v>65</v>
      </c>
      <c r="R36" s="37" t="s">
        <v>51</v>
      </c>
      <c r="S36" s="38" t="s">
        <v>182</v>
      </c>
      <c r="T36" s="39">
        <v>-137</v>
      </c>
      <c r="U36" s="40"/>
      <c r="V36" s="41">
        <v>-137</v>
      </c>
      <c r="W36" s="33" t="s">
        <v>183</v>
      </c>
      <c r="X36" s="42">
        <v>45894</v>
      </c>
      <c r="Y36" s="43"/>
      <c r="Z36" s="33" t="s">
        <v>184</v>
      </c>
      <c r="AA36" s="44" t="s">
        <v>185</v>
      </c>
      <c r="AB36" s="32" t="s">
        <v>56</v>
      </c>
      <c r="AC36" s="56" t="s">
        <v>57</v>
      </c>
      <c r="AD36" s="33"/>
      <c r="AE36" s="47">
        <v>-137</v>
      </c>
      <c r="AF36" s="48" t="s">
        <v>58</v>
      </c>
      <c r="AG36" s="48" t="s">
        <v>59</v>
      </c>
      <c r="AH36" s="49" t="s">
        <v>70</v>
      </c>
      <c r="AI36" s="49" t="s">
        <v>71</v>
      </c>
      <c r="AJ36" s="50" t="s">
        <v>72</v>
      </c>
    </row>
    <row r="37" spans="1:36" ht="15.75" x14ac:dyDescent="0.25">
      <c r="A37" s="26">
        <v>19512</v>
      </c>
      <c r="B37" s="32" t="s">
        <v>36</v>
      </c>
      <c r="C37" s="31" t="s">
        <v>37</v>
      </c>
      <c r="D37" s="56" t="s">
        <v>36</v>
      </c>
      <c r="E37" s="33" t="s">
        <v>38</v>
      </c>
      <c r="F37" s="31" t="s">
        <v>39</v>
      </c>
      <c r="G37" s="32" t="s">
        <v>40</v>
      </c>
      <c r="H37" s="33" t="s">
        <v>41</v>
      </c>
      <c r="I37" s="31" t="s">
        <v>42</v>
      </c>
      <c r="J37" s="32" t="s">
        <v>43</v>
      </c>
      <c r="K37" s="33" t="s">
        <v>44</v>
      </c>
      <c r="L37" s="34" t="s">
        <v>45</v>
      </c>
      <c r="M37" s="35" t="s">
        <v>46</v>
      </c>
      <c r="N37" s="36" t="s">
        <v>47</v>
      </c>
      <c r="O37" s="31" t="s">
        <v>63</v>
      </c>
      <c r="P37" s="32" t="s">
        <v>64</v>
      </c>
      <c r="Q37" s="33" t="s">
        <v>65</v>
      </c>
      <c r="R37" s="37" t="s">
        <v>51</v>
      </c>
      <c r="S37" s="38" t="s">
        <v>186</v>
      </c>
      <c r="T37" s="39">
        <v>-621.15</v>
      </c>
      <c r="U37" s="40"/>
      <c r="V37" s="41">
        <v>-621.15</v>
      </c>
      <c r="W37" s="33" t="s">
        <v>187</v>
      </c>
      <c r="X37" s="42">
        <v>45894</v>
      </c>
      <c r="Y37" s="43"/>
      <c r="Z37" s="33" t="s">
        <v>79</v>
      </c>
      <c r="AA37" s="44" t="s">
        <v>80</v>
      </c>
      <c r="AB37" s="32" t="s">
        <v>56</v>
      </c>
      <c r="AC37" s="56" t="s">
        <v>57</v>
      </c>
      <c r="AD37" s="33"/>
      <c r="AE37" s="47">
        <v>-621.15</v>
      </c>
      <c r="AF37" s="48" t="s">
        <v>58</v>
      </c>
      <c r="AG37" s="48" t="s">
        <v>59</v>
      </c>
      <c r="AH37" s="49" t="s">
        <v>70</v>
      </c>
      <c r="AI37" s="49" t="s">
        <v>71</v>
      </c>
      <c r="AJ37" s="50" t="s">
        <v>72</v>
      </c>
    </row>
    <row r="38" spans="1:36" ht="15.75" x14ac:dyDescent="0.25">
      <c r="A38" s="26">
        <v>19591</v>
      </c>
      <c r="B38" s="32" t="s">
        <v>36</v>
      </c>
      <c r="C38" s="31" t="s">
        <v>37</v>
      </c>
      <c r="D38" s="56" t="s">
        <v>36</v>
      </c>
      <c r="E38" s="33" t="s">
        <v>38</v>
      </c>
      <c r="F38" s="31" t="s">
        <v>39</v>
      </c>
      <c r="G38" s="57" t="s">
        <v>40</v>
      </c>
      <c r="H38" s="60" t="s">
        <v>41</v>
      </c>
      <c r="I38" s="31" t="s">
        <v>42</v>
      </c>
      <c r="J38" s="32" t="s">
        <v>43</v>
      </c>
      <c r="K38" s="33" t="s">
        <v>44</v>
      </c>
      <c r="L38" s="34" t="s">
        <v>45</v>
      </c>
      <c r="M38" s="35" t="s">
        <v>46</v>
      </c>
      <c r="N38" s="36" t="s">
        <v>47</v>
      </c>
      <c r="O38" s="31" t="s">
        <v>63</v>
      </c>
      <c r="P38" s="32" t="s">
        <v>64</v>
      </c>
      <c r="Q38" s="33" t="s">
        <v>65</v>
      </c>
      <c r="R38" s="37" t="s">
        <v>51</v>
      </c>
      <c r="S38" s="38" t="s">
        <v>188</v>
      </c>
      <c r="T38" s="39">
        <v>-107.84</v>
      </c>
      <c r="U38" s="40"/>
      <c r="V38" s="41">
        <v>-107.84</v>
      </c>
      <c r="W38" s="33" t="s">
        <v>189</v>
      </c>
      <c r="X38" s="42">
        <v>45896</v>
      </c>
      <c r="Y38" s="43"/>
      <c r="Z38" s="33" t="s">
        <v>75</v>
      </c>
      <c r="AA38" s="44" t="s">
        <v>76</v>
      </c>
      <c r="AB38" s="32" t="s">
        <v>56</v>
      </c>
      <c r="AC38" s="56" t="s">
        <v>57</v>
      </c>
      <c r="AD38" s="33"/>
      <c r="AE38" s="47">
        <v>-107.84</v>
      </c>
      <c r="AF38" s="48" t="s">
        <v>58</v>
      </c>
      <c r="AG38" s="48" t="s">
        <v>59</v>
      </c>
      <c r="AH38" s="49" t="s">
        <v>70</v>
      </c>
      <c r="AI38" s="49" t="s">
        <v>71</v>
      </c>
      <c r="AJ38" s="50" t="s">
        <v>72</v>
      </c>
    </row>
    <row r="39" spans="1:36" ht="15.75" x14ac:dyDescent="0.25">
      <c r="A39" s="26">
        <v>19614</v>
      </c>
      <c r="B39" s="32" t="s">
        <v>36</v>
      </c>
      <c r="C39" s="31" t="s">
        <v>37</v>
      </c>
      <c r="D39" s="56" t="s">
        <v>36</v>
      </c>
      <c r="E39" s="33" t="s">
        <v>38</v>
      </c>
      <c r="F39" s="31" t="s">
        <v>39</v>
      </c>
      <c r="G39" s="32" t="s">
        <v>40</v>
      </c>
      <c r="H39" s="33" t="s">
        <v>41</v>
      </c>
      <c r="I39" s="31" t="s">
        <v>42</v>
      </c>
      <c r="J39" s="32" t="s">
        <v>43</v>
      </c>
      <c r="K39" s="33" t="s">
        <v>44</v>
      </c>
      <c r="L39" s="34" t="s">
        <v>45</v>
      </c>
      <c r="M39" s="35" t="s">
        <v>46</v>
      </c>
      <c r="N39" s="36" t="s">
        <v>47</v>
      </c>
      <c r="O39" s="31" t="s">
        <v>63</v>
      </c>
      <c r="P39" s="32" t="s">
        <v>64</v>
      </c>
      <c r="Q39" s="33" t="s">
        <v>65</v>
      </c>
      <c r="R39" s="37" t="s">
        <v>51</v>
      </c>
      <c r="S39" s="38" t="s">
        <v>190</v>
      </c>
      <c r="T39" s="39">
        <v>-3951</v>
      </c>
      <c r="U39" s="40"/>
      <c r="V39" s="41">
        <v>-3951</v>
      </c>
      <c r="W39" s="33" t="s">
        <v>191</v>
      </c>
      <c r="X39" s="42">
        <v>45897</v>
      </c>
      <c r="Y39" s="43"/>
      <c r="Z39" s="33" t="s">
        <v>75</v>
      </c>
      <c r="AA39" s="44" t="s">
        <v>76</v>
      </c>
      <c r="AB39" s="32" t="s">
        <v>56</v>
      </c>
      <c r="AC39" s="56" t="s">
        <v>57</v>
      </c>
      <c r="AD39" s="33"/>
      <c r="AE39" s="47">
        <v>-3951</v>
      </c>
      <c r="AF39" s="48" t="s">
        <v>58</v>
      </c>
      <c r="AG39" s="48" t="s">
        <v>59</v>
      </c>
      <c r="AH39" s="49" t="s">
        <v>70</v>
      </c>
      <c r="AI39" s="49" t="s">
        <v>71</v>
      </c>
      <c r="AJ39" s="50" t="s">
        <v>72</v>
      </c>
    </row>
    <row r="40" spans="1:36" ht="15.75" x14ac:dyDescent="0.25">
      <c r="A40" s="26">
        <v>18720</v>
      </c>
      <c r="B40" s="32" t="s">
        <v>36</v>
      </c>
      <c r="C40" s="31" t="s">
        <v>37</v>
      </c>
      <c r="D40" s="56" t="s">
        <v>36</v>
      </c>
      <c r="E40" s="33" t="s">
        <v>38</v>
      </c>
      <c r="F40" s="31" t="s">
        <v>39</v>
      </c>
      <c r="G40" s="32" t="s">
        <v>40</v>
      </c>
      <c r="H40" s="33" t="s">
        <v>41</v>
      </c>
      <c r="I40" s="31" t="s">
        <v>42</v>
      </c>
      <c r="J40" s="32" t="s">
        <v>43</v>
      </c>
      <c r="K40" s="33" t="s">
        <v>44</v>
      </c>
      <c r="L40" s="34" t="s">
        <v>45</v>
      </c>
      <c r="M40" s="35" t="s">
        <v>46</v>
      </c>
      <c r="N40" s="36" t="s">
        <v>47</v>
      </c>
      <c r="O40" s="31" t="s">
        <v>192</v>
      </c>
      <c r="P40" s="32" t="s">
        <v>193</v>
      </c>
      <c r="Q40" s="33" t="s">
        <v>194</v>
      </c>
      <c r="R40" s="37" t="s">
        <v>51</v>
      </c>
      <c r="S40" s="38" t="s">
        <v>195</v>
      </c>
      <c r="T40" s="39">
        <v>-946</v>
      </c>
      <c r="U40" s="40"/>
      <c r="V40" s="41">
        <v>-946</v>
      </c>
      <c r="W40" s="33" t="s">
        <v>196</v>
      </c>
      <c r="X40" s="42">
        <v>45898</v>
      </c>
      <c r="Y40" s="43">
        <v>45905</v>
      </c>
      <c r="Z40" s="33" t="s">
        <v>197</v>
      </c>
      <c r="AA40" s="44" t="s">
        <v>198</v>
      </c>
      <c r="AB40" s="32" t="s">
        <v>56</v>
      </c>
      <c r="AC40" s="56" t="s">
        <v>57</v>
      </c>
      <c r="AD40" s="33"/>
      <c r="AE40" s="47">
        <v>-946</v>
      </c>
      <c r="AF40" s="48" t="s">
        <v>58</v>
      </c>
      <c r="AG40" s="48" t="s">
        <v>157</v>
      </c>
      <c r="AH40" s="49" t="s">
        <v>199</v>
      </c>
      <c r="AI40" s="49" t="s">
        <v>200</v>
      </c>
      <c r="AJ40" s="50" t="s">
        <v>201</v>
      </c>
    </row>
    <row r="41" spans="1:36" ht="15.75" x14ac:dyDescent="0.25">
      <c r="A41" s="26">
        <v>19664</v>
      </c>
      <c r="B41" s="32" t="s">
        <v>36</v>
      </c>
      <c r="C41" s="31" t="s">
        <v>37</v>
      </c>
      <c r="D41" s="56" t="s">
        <v>36</v>
      </c>
      <c r="E41" s="33" t="s">
        <v>38</v>
      </c>
      <c r="F41" s="31" t="s">
        <v>39</v>
      </c>
      <c r="G41" s="32" t="s">
        <v>40</v>
      </c>
      <c r="H41" s="33" t="s">
        <v>41</v>
      </c>
      <c r="I41" s="31" t="s">
        <v>42</v>
      </c>
      <c r="J41" s="32" t="s">
        <v>43</v>
      </c>
      <c r="K41" s="33" t="s">
        <v>44</v>
      </c>
      <c r="L41" s="34" t="s">
        <v>45</v>
      </c>
      <c r="M41" s="35" t="s">
        <v>46</v>
      </c>
      <c r="N41" s="36" t="s">
        <v>47</v>
      </c>
      <c r="O41" s="31" t="s">
        <v>63</v>
      </c>
      <c r="P41" s="32" t="s">
        <v>64</v>
      </c>
      <c r="Q41" s="33" t="s">
        <v>65</v>
      </c>
      <c r="R41" s="37" t="s">
        <v>51</v>
      </c>
      <c r="S41" s="38" t="s">
        <v>202</v>
      </c>
      <c r="T41" s="39">
        <v>-1662.08</v>
      </c>
      <c r="U41" s="40"/>
      <c r="V41" s="41">
        <v>-1662.08</v>
      </c>
      <c r="W41" s="33" t="s">
        <v>203</v>
      </c>
      <c r="X41" s="42">
        <v>45898</v>
      </c>
      <c r="Y41" s="43"/>
      <c r="Z41" s="33" t="s">
        <v>75</v>
      </c>
      <c r="AA41" s="44" t="s">
        <v>76</v>
      </c>
      <c r="AB41" s="32" t="s">
        <v>56</v>
      </c>
      <c r="AC41" s="56" t="s">
        <v>57</v>
      </c>
      <c r="AD41" s="33"/>
      <c r="AE41" s="47">
        <v>-1662.08</v>
      </c>
      <c r="AF41" s="48" t="s">
        <v>58</v>
      </c>
      <c r="AG41" s="48" t="s">
        <v>59</v>
      </c>
      <c r="AH41" s="49" t="s">
        <v>70</v>
      </c>
      <c r="AI41" s="49" t="s">
        <v>71</v>
      </c>
      <c r="AJ41" s="50" t="s">
        <v>72</v>
      </c>
    </row>
    <row r="42" spans="1:36" ht="15.75" x14ac:dyDescent="0.25">
      <c r="A42" s="26">
        <v>18537</v>
      </c>
      <c r="B42" s="57" t="s">
        <v>36</v>
      </c>
      <c r="C42" s="58" t="s">
        <v>37</v>
      </c>
      <c r="D42" s="59" t="s">
        <v>36</v>
      </c>
      <c r="E42" s="60" t="s">
        <v>38</v>
      </c>
      <c r="F42" s="58" t="s">
        <v>39</v>
      </c>
      <c r="G42" s="57" t="s">
        <v>40</v>
      </c>
      <c r="H42" s="60" t="s">
        <v>41</v>
      </c>
      <c r="I42" s="58" t="s">
        <v>42</v>
      </c>
      <c r="J42" s="57" t="s">
        <v>43</v>
      </c>
      <c r="K42" s="60" t="s">
        <v>44</v>
      </c>
      <c r="L42" s="61" t="s">
        <v>45</v>
      </c>
      <c r="M42" s="62" t="s">
        <v>46</v>
      </c>
      <c r="N42" s="63" t="s">
        <v>47</v>
      </c>
      <c r="O42" s="58" t="s">
        <v>204</v>
      </c>
      <c r="P42" s="57" t="s">
        <v>205</v>
      </c>
      <c r="Q42" s="60" t="s">
        <v>206</v>
      </c>
      <c r="R42" s="64" t="s">
        <v>207</v>
      </c>
      <c r="S42" s="65" t="s">
        <v>208</v>
      </c>
      <c r="T42" s="66">
        <v>-270</v>
      </c>
      <c r="U42" s="67"/>
      <c r="V42" s="68">
        <v>-270</v>
      </c>
      <c r="W42" s="60" t="s">
        <v>209</v>
      </c>
      <c r="X42" s="69">
        <v>45899</v>
      </c>
      <c r="Y42" s="70">
        <v>45900</v>
      </c>
      <c r="Z42" s="60" t="s">
        <v>210</v>
      </c>
      <c r="AA42" s="44" t="s">
        <v>211</v>
      </c>
      <c r="AB42" s="57" t="s">
        <v>56</v>
      </c>
      <c r="AC42" s="59" t="s">
        <v>57</v>
      </c>
      <c r="AD42" s="60"/>
      <c r="AE42" s="71">
        <v>-270</v>
      </c>
      <c r="AF42" s="73" t="s">
        <v>58</v>
      </c>
      <c r="AG42" s="73" t="s">
        <v>59</v>
      </c>
      <c r="AH42" s="49" t="s">
        <v>212</v>
      </c>
      <c r="AI42" s="49" t="s">
        <v>101</v>
      </c>
      <c r="AJ42" s="50" t="s">
        <v>102</v>
      </c>
    </row>
    <row r="43" spans="1:36" ht="15.75" x14ac:dyDescent="0.25">
      <c r="A43" s="26">
        <v>18538</v>
      </c>
      <c r="B43" s="57" t="s">
        <v>36</v>
      </c>
      <c r="C43" s="58" t="s">
        <v>37</v>
      </c>
      <c r="D43" s="59" t="s">
        <v>36</v>
      </c>
      <c r="E43" s="60" t="s">
        <v>38</v>
      </c>
      <c r="F43" s="58" t="s">
        <v>39</v>
      </c>
      <c r="G43" s="57" t="s">
        <v>40</v>
      </c>
      <c r="H43" s="60" t="s">
        <v>41</v>
      </c>
      <c r="I43" s="58" t="s">
        <v>42</v>
      </c>
      <c r="J43" s="57" t="s">
        <v>43</v>
      </c>
      <c r="K43" s="60" t="s">
        <v>44</v>
      </c>
      <c r="L43" s="61" t="s">
        <v>45</v>
      </c>
      <c r="M43" s="62" t="s">
        <v>46</v>
      </c>
      <c r="N43" s="63" t="s">
        <v>47</v>
      </c>
      <c r="O43" s="58" t="s">
        <v>192</v>
      </c>
      <c r="P43" s="57" t="s">
        <v>193</v>
      </c>
      <c r="Q43" s="60" t="s">
        <v>194</v>
      </c>
      <c r="R43" s="64" t="s">
        <v>207</v>
      </c>
      <c r="S43" s="65" t="s">
        <v>208</v>
      </c>
      <c r="T43" s="66">
        <v>-320.37</v>
      </c>
      <c r="U43" s="67"/>
      <c r="V43" s="68">
        <v>-320.37</v>
      </c>
      <c r="W43" s="60" t="s">
        <v>209</v>
      </c>
      <c r="X43" s="69">
        <v>45899</v>
      </c>
      <c r="Y43" s="70">
        <v>45900</v>
      </c>
      <c r="Z43" s="60" t="s">
        <v>210</v>
      </c>
      <c r="AA43" s="44" t="s">
        <v>211</v>
      </c>
      <c r="AB43" s="57" t="s">
        <v>56</v>
      </c>
      <c r="AC43" s="59" t="s">
        <v>57</v>
      </c>
      <c r="AD43" s="60"/>
      <c r="AE43" s="71">
        <v>-320.37</v>
      </c>
      <c r="AF43" s="48" t="s">
        <v>58</v>
      </c>
      <c r="AG43" s="48" t="s">
        <v>157</v>
      </c>
      <c r="AH43" s="49" t="s">
        <v>199</v>
      </c>
      <c r="AI43" s="49" t="s">
        <v>200</v>
      </c>
      <c r="AJ43" s="50" t="s">
        <v>201</v>
      </c>
    </row>
    <row r="44" spans="1:36" ht="15.75" x14ac:dyDescent="0.25">
      <c r="A44" s="26">
        <v>20444</v>
      </c>
      <c r="B44" s="57" t="s">
        <v>36</v>
      </c>
      <c r="C44" s="58" t="s">
        <v>37</v>
      </c>
      <c r="D44" s="59" t="s">
        <v>36</v>
      </c>
      <c r="E44" s="60" t="s">
        <v>38</v>
      </c>
      <c r="F44" s="58" t="s">
        <v>39</v>
      </c>
      <c r="G44" s="57" t="s">
        <v>40</v>
      </c>
      <c r="H44" s="60" t="s">
        <v>41</v>
      </c>
      <c r="I44" s="58" t="s">
        <v>42</v>
      </c>
      <c r="J44" s="57" t="s">
        <v>43</v>
      </c>
      <c r="K44" s="60" t="s">
        <v>44</v>
      </c>
      <c r="L44" s="61" t="s">
        <v>45</v>
      </c>
      <c r="M44" s="62" t="s">
        <v>46</v>
      </c>
      <c r="N44" s="63" t="s">
        <v>47</v>
      </c>
      <c r="O44" s="58" t="s">
        <v>150</v>
      </c>
      <c r="P44" s="57" t="s">
        <v>151</v>
      </c>
      <c r="Q44" s="60" t="s">
        <v>152</v>
      </c>
      <c r="R44" s="64" t="s">
        <v>51</v>
      </c>
      <c r="S44" s="65" t="s">
        <v>213</v>
      </c>
      <c r="T44" s="66">
        <v>2000</v>
      </c>
      <c r="U44" s="67">
        <v>-1000</v>
      </c>
      <c r="V44" s="68">
        <v>-1000</v>
      </c>
      <c r="W44" s="60" t="s">
        <v>214</v>
      </c>
      <c r="X44" s="42">
        <v>45901</v>
      </c>
      <c r="Y44" s="70">
        <v>45905</v>
      </c>
      <c r="Z44" s="60" t="s">
        <v>155</v>
      </c>
      <c r="AA44" s="44" t="s">
        <v>156</v>
      </c>
      <c r="AB44" s="57" t="s">
        <v>56</v>
      </c>
      <c r="AC44" s="59" t="s">
        <v>57</v>
      </c>
      <c r="AD44" s="60"/>
      <c r="AE44" s="71">
        <v>-1000</v>
      </c>
      <c r="AF44" s="48" t="s">
        <v>58</v>
      </c>
      <c r="AG44" s="48" t="s">
        <v>157</v>
      </c>
      <c r="AH44" s="49" t="s">
        <v>158</v>
      </c>
      <c r="AI44" s="49" t="s">
        <v>159</v>
      </c>
      <c r="AJ44" s="50" t="s">
        <v>102</v>
      </c>
    </row>
    <row r="45" spans="1:36" ht="15.75" x14ac:dyDescent="0.25">
      <c r="A45" s="26">
        <v>21049</v>
      </c>
      <c r="B45" s="57" t="s">
        <v>36</v>
      </c>
      <c r="C45" s="58" t="s">
        <v>37</v>
      </c>
      <c r="D45" s="59" t="s">
        <v>36</v>
      </c>
      <c r="E45" s="60" t="s">
        <v>38</v>
      </c>
      <c r="F45" s="58" t="s">
        <v>39</v>
      </c>
      <c r="G45" s="57" t="s">
        <v>40</v>
      </c>
      <c r="H45" s="60" t="s">
        <v>41</v>
      </c>
      <c r="I45" s="58" t="s">
        <v>42</v>
      </c>
      <c r="J45" s="57" t="s">
        <v>43</v>
      </c>
      <c r="K45" s="60" t="s">
        <v>44</v>
      </c>
      <c r="L45" s="61" t="s">
        <v>45</v>
      </c>
      <c r="M45" s="62" t="s">
        <v>46</v>
      </c>
      <c r="N45" s="63" t="s">
        <v>47</v>
      </c>
      <c r="O45" s="58" t="s">
        <v>63</v>
      </c>
      <c r="P45" s="57" t="s">
        <v>64</v>
      </c>
      <c r="Q45" s="60" t="s">
        <v>65</v>
      </c>
      <c r="R45" s="64" t="s">
        <v>51</v>
      </c>
      <c r="S45" s="65" t="s">
        <v>215</v>
      </c>
      <c r="T45" s="66">
        <v>123.26</v>
      </c>
      <c r="U45" s="67">
        <v>-123.26</v>
      </c>
      <c r="V45" s="68">
        <v>-123.26</v>
      </c>
      <c r="W45" s="60" t="s">
        <v>216</v>
      </c>
      <c r="X45" s="69">
        <v>45912</v>
      </c>
      <c r="Y45" s="70">
        <v>45925</v>
      </c>
      <c r="Z45" s="60" t="s">
        <v>130</v>
      </c>
      <c r="AA45" s="44" t="s">
        <v>131</v>
      </c>
      <c r="AB45" s="57" t="s">
        <v>56</v>
      </c>
      <c r="AC45" s="59" t="s">
        <v>57</v>
      </c>
      <c r="AD45" s="60"/>
      <c r="AE45" s="71">
        <v>-123.26</v>
      </c>
      <c r="AF45" s="48" t="s">
        <v>58</v>
      </c>
      <c r="AG45" s="48" t="s">
        <v>59</v>
      </c>
      <c r="AH45" s="49" t="s">
        <v>70</v>
      </c>
      <c r="AI45" s="49" t="s">
        <v>71</v>
      </c>
      <c r="AJ45" s="50" t="s">
        <v>72</v>
      </c>
    </row>
    <row r="46" spans="1:36" ht="15.75" x14ac:dyDescent="0.25">
      <c r="A46" s="26">
        <v>21550</v>
      </c>
      <c r="B46" s="57" t="s">
        <v>36</v>
      </c>
      <c r="C46" s="58" t="s">
        <v>37</v>
      </c>
      <c r="D46" s="59" t="s">
        <v>36</v>
      </c>
      <c r="E46" s="60" t="s">
        <v>38</v>
      </c>
      <c r="F46" s="58" t="s">
        <v>39</v>
      </c>
      <c r="G46" s="57" t="s">
        <v>40</v>
      </c>
      <c r="H46" s="60" t="s">
        <v>41</v>
      </c>
      <c r="I46" s="58" t="s">
        <v>42</v>
      </c>
      <c r="J46" s="57" t="s">
        <v>43</v>
      </c>
      <c r="K46" s="60" t="s">
        <v>44</v>
      </c>
      <c r="L46" s="61" t="s">
        <v>45</v>
      </c>
      <c r="M46" s="62" t="s">
        <v>46</v>
      </c>
      <c r="N46" s="63" t="s">
        <v>47</v>
      </c>
      <c r="O46" s="58" t="s">
        <v>63</v>
      </c>
      <c r="P46" s="57" t="s">
        <v>64</v>
      </c>
      <c r="Q46" s="60" t="s">
        <v>65</v>
      </c>
      <c r="R46" s="64" t="s">
        <v>51</v>
      </c>
      <c r="S46" s="65" t="s">
        <v>217</v>
      </c>
      <c r="T46" s="66">
        <v>500</v>
      </c>
      <c r="U46" s="67">
        <v>-500</v>
      </c>
      <c r="V46" s="68">
        <v>-500</v>
      </c>
      <c r="W46" s="60" t="s">
        <v>218</v>
      </c>
      <c r="X46" s="69">
        <v>45912</v>
      </c>
      <c r="Y46" s="70">
        <v>45925</v>
      </c>
      <c r="Z46" s="60" t="s">
        <v>130</v>
      </c>
      <c r="AA46" s="44" t="s">
        <v>131</v>
      </c>
      <c r="AB46" s="57" t="s">
        <v>56</v>
      </c>
      <c r="AC46" s="59" t="s">
        <v>57</v>
      </c>
      <c r="AD46" s="60"/>
      <c r="AE46" s="71">
        <v>-500</v>
      </c>
      <c r="AF46" s="48" t="s">
        <v>58</v>
      </c>
      <c r="AG46" s="48" t="s">
        <v>59</v>
      </c>
      <c r="AH46" s="49" t="s">
        <v>70</v>
      </c>
      <c r="AI46" s="49" t="s">
        <v>71</v>
      </c>
      <c r="AJ46" s="50" t="s">
        <v>72</v>
      </c>
    </row>
    <row r="47" spans="1:36" ht="15.75" x14ac:dyDescent="0.25">
      <c r="A47" s="26">
        <v>21097</v>
      </c>
      <c r="B47" s="57" t="s">
        <v>36</v>
      </c>
      <c r="C47" s="58" t="s">
        <v>37</v>
      </c>
      <c r="D47" s="59" t="s">
        <v>36</v>
      </c>
      <c r="E47" s="60" t="s">
        <v>38</v>
      </c>
      <c r="F47" s="58" t="s">
        <v>39</v>
      </c>
      <c r="G47" s="57" t="s">
        <v>40</v>
      </c>
      <c r="H47" s="60" t="s">
        <v>41</v>
      </c>
      <c r="I47" s="58" t="s">
        <v>42</v>
      </c>
      <c r="J47" s="57" t="s">
        <v>43</v>
      </c>
      <c r="K47" s="60" t="s">
        <v>44</v>
      </c>
      <c r="L47" s="61" t="s">
        <v>45</v>
      </c>
      <c r="M47" s="62" t="s">
        <v>46</v>
      </c>
      <c r="N47" s="63" t="s">
        <v>47</v>
      </c>
      <c r="O47" s="58" t="s">
        <v>63</v>
      </c>
      <c r="P47" s="57" t="s">
        <v>64</v>
      </c>
      <c r="Q47" s="60" t="s">
        <v>65</v>
      </c>
      <c r="R47" s="64" t="s">
        <v>51</v>
      </c>
      <c r="S47" s="65" t="s">
        <v>219</v>
      </c>
      <c r="T47" s="66">
        <v>928</v>
      </c>
      <c r="U47" s="67">
        <v>-928</v>
      </c>
      <c r="V47" s="68">
        <v>-928</v>
      </c>
      <c r="W47" s="60" t="s">
        <v>220</v>
      </c>
      <c r="X47" s="69">
        <v>45918</v>
      </c>
      <c r="Y47" s="70">
        <v>45945</v>
      </c>
      <c r="Z47" s="60" t="s">
        <v>75</v>
      </c>
      <c r="AA47" s="44" t="s">
        <v>76</v>
      </c>
      <c r="AB47" s="57" t="s">
        <v>56</v>
      </c>
      <c r="AC47" s="59" t="s">
        <v>57</v>
      </c>
      <c r="AD47" s="60"/>
      <c r="AE47" s="71">
        <v>-928</v>
      </c>
      <c r="AF47" s="48" t="s">
        <v>58</v>
      </c>
      <c r="AG47" s="48" t="s">
        <v>59</v>
      </c>
      <c r="AH47" s="49" t="s">
        <v>70</v>
      </c>
      <c r="AI47" s="49" t="s">
        <v>71</v>
      </c>
      <c r="AJ47" s="50" t="s">
        <v>72</v>
      </c>
    </row>
    <row r="48" spans="1:36" ht="15.75" x14ac:dyDescent="0.25">
      <c r="A48" s="26">
        <v>21172</v>
      </c>
      <c r="B48" s="57" t="s">
        <v>36</v>
      </c>
      <c r="C48" s="58" t="s">
        <v>37</v>
      </c>
      <c r="D48" s="59" t="s">
        <v>36</v>
      </c>
      <c r="E48" s="60" t="s">
        <v>38</v>
      </c>
      <c r="F48" s="58" t="s">
        <v>39</v>
      </c>
      <c r="G48" s="57" t="s">
        <v>40</v>
      </c>
      <c r="H48" s="60" t="s">
        <v>41</v>
      </c>
      <c r="I48" s="58" t="s">
        <v>42</v>
      </c>
      <c r="J48" s="57" t="s">
        <v>43</v>
      </c>
      <c r="K48" s="60" t="s">
        <v>44</v>
      </c>
      <c r="L48" s="61" t="s">
        <v>45</v>
      </c>
      <c r="M48" s="62" t="s">
        <v>46</v>
      </c>
      <c r="N48" s="63" t="s">
        <v>47</v>
      </c>
      <c r="O48" s="31" t="s">
        <v>63</v>
      </c>
      <c r="P48" s="32" t="s">
        <v>64</v>
      </c>
      <c r="Q48" s="33" t="s">
        <v>65</v>
      </c>
      <c r="R48" s="64" t="s">
        <v>51</v>
      </c>
      <c r="S48" s="65" t="s">
        <v>221</v>
      </c>
      <c r="T48" s="66">
        <v>713.75</v>
      </c>
      <c r="U48" s="67">
        <v>-713.75</v>
      </c>
      <c r="V48" s="68">
        <v>-713.75</v>
      </c>
      <c r="W48" s="60" t="s">
        <v>222</v>
      </c>
      <c r="X48" s="69">
        <v>45920</v>
      </c>
      <c r="Y48" s="70">
        <v>45950</v>
      </c>
      <c r="Z48" s="60" t="s">
        <v>223</v>
      </c>
      <c r="AA48" s="44" t="s">
        <v>224</v>
      </c>
      <c r="AB48" s="57" t="s">
        <v>56</v>
      </c>
      <c r="AC48" s="59" t="s">
        <v>57</v>
      </c>
      <c r="AD48" s="60"/>
      <c r="AE48" s="71">
        <v>-713.75</v>
      </c>
      <c r="AF48" s="48" t="s">
        <v>58</v>
      </c>
      <c r="AG48" s="48" t="s">
        <v>59</v>
      </c>
      <c r="AH48" s="49" t="s">
        <v>70</v>
      </c>
      <c r="AI48" s="49" t="s">
        <v>71</v>
      </c>
      <c r="AJ48" s="50" t="s">
        <v>72</v>
      </c>
    </row>
    <row r="49" spans="1:36" ht="15.75" x14ac:dyDescent="0.25">
      <c r="A49" s="26">
        <v>21514</v>
      </c>
      <c r="B49" s="57" t="s">
        <v>36</v>
      </c>
      <c r="C49" s="58" t="s">
        <v>37</v>
      </c>
      <c r="D49" s="59" t="s">
        <v>36</v>
      </c>
      <c r="E49" s="60" t="s">
        <v>38</v>
      </c>
      <c r="F49" s="58" t="s">
        <v>39</v>
      </c>
      <c r="G49" s="57" t="s">
        <v>40</v>
      </c>
      <c r="H49" s="60" t="s">
        <v>41</v>
      </c>
      <c r="I49" s="58" t="s">
        <v>42</v>
      </c>
      <c r="J49" s="57" t="s">
        <v>43</v>
      </c>
      <c r="K49" s="60" t="s">
        <v>44</v>
      </c>
      <c r="L49" s="61" t="s">
        <v>45</v>
      </c>
      <c r="M49" s="62" t="s">
        <v>46</v>
      </c>
      <c r="N49" s="63" t="s">
        <v>47</v>
      </c>
      <c r="O49" s="31" t="s">
        <v>63</v>
      </c>
      <c r="P49" s="32" t="s">
        <v>64</v>
      </c>
      <c r="Q49" s="33" t="s">
        <v>65</v>
      </c>
      <c r="R49" s="64" t="s">
        <v>51</v>
      </c>
      <c r="S49" s="65" t="s">
        <v>225</v>
      </c>
      <c r="T49" s="66">
        <v>1470</v>
      </c>
      <c r="U49" s="67">
        <v>-735</v>
      </c>
      <c r="V49" s="68">
        <v>-735</v>
      </c>
      <c r="W49" s="33" t="s">
        <v>226</v>
      </c>
      <c r="X49" s="69">
        <v>45922</v>
      </c>
      <c r="Y49" s="70">
        <v>45935</v>
      </c>
      <c r="Z49" s="60" t="s">
        <v>140</v>
      </c>
      <c r="AA49" s="44" t="s">
        <v>141</v>
      </c>
      <c r="AB49" s="57" t="s">
        <v>56</v>
      </c>
      <c r="AC49" s="59" t="s">
        <v>57</v>
      </c>
      <c r="AD49" s="60"/>
      <c r="AE49" s="71">
        <v>-735</v>
      </c>
      <c r="AF49" s="48" t="s">
        <v>58</v>
      </c>
      <c r="AG49" s="48" t="s">
        <v>59</v>
      </c>
      <c r="AH49" s="49" t="s">
        <v>70</v>
      </c>
      <c r="AI49" s="49" t="s">
        <v>71</v>
      </c>
      <c r="AJ49" s="50" t="s">
        <v>72</v>
      </c>
    </row>
    <row r="50" spans="1:36" ht="15.75" x14ac:dyDescent="0.25">
      <c r="A50" s="26">
        <v>21099</v>
      </c>
      <c r="B50" s="57" t="s">
        <v>36</v>
      </c>
      <c r="C50" s="58" t="s">
        <v>37</v>
      </c>
      <c r="D50" s="59" t="s">
        <v>36</v>
      </c>
      <c r="E50" s="60" t="s">
        <v>38</v>
      </c>
      <c r="F50" s="58" t="s">
        <v>39</v>
      </c>
      <c r="G50" s="57" t="s">
        <v>40</v>
      </c>
      <c r="H50" s="60" t="s">
        <v>41</v>
      </c>
      <c r="I50" s="58" t="s">
        <v>42</v>
      </c>
      <c r="J50" s="57" t="s">
        <v>43</v>
      </c>
      <c r="K50" s="60" t="s">
        <v>44</v>
      </c>
      <c r="L50" s="61" t="s">
        <v>45</v>
      </c>
      <c r="M50" s="62" t="s">
        <v>46</v>
      </c>
      <c r="N50" s="63" t="s">
        <v>47</v>
      </c>
      <c r="O50" s="58" t="s">
        <v>63</v>
      </c>
      <c r="P50" s="57" t="s">
        <v>64</v>
      </c>
      <c r="Q50" s="60" t="s">
        <v>65</v>
      </c>
      <c r="R50" s="64" t="s">
        <v>51</v>
      </c>
      <c r="S50" s="65" t="s">
        <v>227</v>
      </c>
      <c r="T50" s="66">
        <v>110</v>
      </c>
      <c r="U50" s="67">
        <v>-110</v>
      </c>
      <c r="V50" s="68">
        <v>-110</v>
      </c>
      <c r="W50" s="60" t="s">
        <v>228</v>
      </c>
      <c r="X50" s="69">
        <v>45924</v>
      </c>
      <c r="Y50" s="70">
        <v>45935</v>
      </c>
      <c r="Z50" s="60" t="s">
        <v>75</v>
      </c>
      <c r="AA50" s="44" t="s">
        <v>76</v>
      </c>
      <c r="AB50" s="57" t="s">
        <v>56</v>
      </c>
      <c r="AC50" s="59" t="s">
        <v>57</v>
      </c>
      <c r="AD50" s="60"/>
      <c r="AE50" s="71">
        <v>-110</v>
      </c>
      <c r="AF50" s="48" t="s">
        <v>58</v>
      </c>
      <c r="AG50" s="48" t="s">
        <v>59</v>
      </c>
      <c r="AH50" s="49" t="s">
        <v>70</v>
      </c>
      <c r="AI50" s="49" t="s">
        <v>71</v>
      </c>
      <c r="AJ50" s="50" t="s">
        <v>72</v>
      </c>
    </row>
    <row r="51" spans="1:36" ht="15.75" x14ac:dyDescent="0.25">
      <c r="A51" s="26">
        <v>27882</v>
      </c>
      <c r="B51" s="57" t="s">
        <v>36</v>
      </c>
      <c r="C51" s="58" t="s">
        <v>37</v>
      </c>
      <c r="D51" s="59" t="s">
        <v>36</v>
      </c>
      <c r="E51" s="60" t="s">
        <v>38</v>
      </c>
      <c r="F51" s="58" t="s">
        <v>39</v>
      </c>
      <c r="G51" s="57" t="s">
        <v>40</v>
      </c>
      <c r="H51" s="60" t="s">
        <v>41</v>
      </c>
      <c r="I51" s="58" t="s">
        <v>42</v>
      </c>
      <c r="J51" s="57" t="s">
        <v>43</v>
      </c>
      <c r="K51" s="60" t="s">
        <v>44</v>
      </c>
      <c r="L51" s="58" t="s">
        <v>45</v>
      </c>
      <c r="M51" s="57" t="s">
        <v>46</v>
      </c>
      <c r="N51" s="60" t="s">
        <v>47</v>
      </c>
      <c r="O51" s="58" t="s">
        <v>229</v>
      </c>
      <c r="P51" s="57" t="s">
        <v>230</v>
      </c>
      <c r="Q51" s="60" t="s">
        <v>231</v>
      </c>
      <c r="R51" s="64" t="s">
        <v>207</v>
      </c>
      <c r="S51" s="65" t="s">
        <v>232</v>
      </c>
      <c r="T51" s="66">
        <v>1155.32</v>
      </c>
      <c r="U51" s="67">
        <v>-57.77</v>
      </c>
      <c r="V51" s="68">
        <v>-57.77</v>
      </c>
      <c r="W51" s="60" t="s">
        <v>233</v>
      </c>
      <c r="X51" s="69">
        <v>45962</v>
      </c>
      <c r="Y51" s="70">
        <v>45978</v>
      </c>
      <c r="Z51" s="60" t="s">
        <v>234</v>
      </c>
      <c r="AA51" s="44" t="s">
        <v>235</v>
      </c>
      <c r="AB51" s="57" t="s">
        <v>56</v>
      </c>
      <c r="AC51" s="59" t="s">
        <v>236</v>
      </c>
      <c r="AD51" s="60"/>
      <c r="AE51" s="71">
        <v>-57.77</v>
      </c>
      <c r="AF51" s="48" t="s">
        <v>98</v>
      </c>
      <c r="AG51" s="48" t="s">
        <v>99</v>
      </c>
      <c r="AH51" s="49" t="s">
        <v>237</v>
      </c>
      <c r="AI51" s="49" t="s">
        <v>238</v>
      </c>
      <c r="AJ51" s="50" t="s">
        <v>201</v>
      </c>
    </row>
    <row r="52" spans="1:36" ht="15.75" x14ac:dyDescent="0.25">
      <c r="A52" s="26">
        <v>27888</v>
      </c>
      <c r="B52" s="57" t="s">
        <v>36</v>
      </c>
      <c r="C52" s="58" t="s">
        <v>37</v>
      </c>
      <c r="D52" s="59" t="s">
        <v>36</v>
      </c>
      <c r="E52" s="60" t="s">
        <v>38</v>
      </c>
      <c r="F52" s="58" t="s">
        <v>39</v>
      </c>
      <c r="G52" s="57" t="s">
        <v>40</v>
      </c>
      <c r="H52" s="60" t="s">
        <v>41</v>
      </c>
      <c r="I52" s="58" t="s">
        <v>42</v>
      </c>
      <c r="J52" s="57" t="s">
        <v>43</v>
      </c>
      <c r="K52" s="60" t="s">
        <v>44</v>
      </c>
      <c r="L52" s="58" t="s">
        <v>45</v>
      </c>
      <c r="M52" s="57" t="s">
        <v>46</v>
      </c>
      <c r="N52" s="60" t="s">
        <v>47</v>
      </c>
      <c r="O52" s="58" t="s">
        <v>90</v>
      </c>
      <c r="P52" s="57" t="s">
        <v>91</v>
      </c>
      <c r="Q52" s="60" t="s">
        <v>92</v>
      </c>
      <c r="R52" s="64" t="s">
        <v>51</v>
      </c>
      <c r="S52" s="65" t="s">
        <v>239</v>
      </c>
      <c r="T52" s="66">
        <v>1188.3</v>
      </c>
      <c r="U52" s="67">
        <v>-69.900000000000006</v>
      </c>
      <c r="V52" s="68">
        <v>-69.900000000000006</v>
      </c>
      <c r="W52" s="60" t="s">
        <v>240</v>
      </c>
      <c r="X52" s="69">
        <v>45966</v>
      </c>
      <c r="Y52" s="70">
        <v>45978</v>
      </c>
      <c r="Z52" s="60" t="s">
        <v>110</v>
      </c>
      <c r="AA52" s="44" t="s">
        <v>95</v>
      </c>
      <c r="AB52" s="57" t="s">
        <v>56</v>
      </c>
      <c r="AC52" s="59" t="s">
        <v>236</v>
      </c>
      <c r="AD52" s="60"/>
      <c r="AE52" s="71">
        <v>-69.900000000000006</v>
      </c>
      <c r="AF52" s="48" t="s">
        <v>98</v>
      </c>
      <c r="AG52" s="48" t="s">
        <v>99</v>
      </c>
      <c r="AH52" s="49" t="s">
        <v>100</v>
      </c>
      <c r="AI52" s="49" t="s">
        <v>101</v>
      </c>
      <c r="AJ52" s="50" t="s">
        <v>102</v>
      </c>
    </row>
    <row r="53" spans="1:36" ht="15.75" x14ac:dyDescent="0.25">
      <c r="A53" s="26">
        <v>27884</v>
      </c>
      <c r="B53" s="57" t="s">
        <v>36</v>
      </c>
      <c r="C53" s="58" t="s">
        <v>37</v>
      </c>
      <c r="D53" s="59" t="s">
        <v>36</v>
      </c>
      <c r="E53" s="60" t="s">
        <v>38</v>
      </c>
      <c r="F53" s="58" t="s">
        <v>39</v>
      </c>
      <c r="G53" s="57" t="s">
        <v>40</v>
      </c>
      <c r="H53" s="60" t="s">
        <v>41</v>
      </c>
      <c r="I53" s="58" t="s">
        <v>42</v>
      </c>
      <c r="J53" s="57" t="s">
        <v>43</v>
      </c>
      <c r="K53" s="60" t="s">
        <v>44</v>
      </c>
      <c r="L53" s="58" t="s">
        <v>45</v>
      </c>
      <c r="M53" s="57" t="s">
        <v>46</v>
      </c>
      <c r="N53" s="60" t="s">
        <v>47</v>
      </c>
      <c r="O53" s="58" t="s">
        <v>63</v>
      </c>
      <c r="P53" s="57" t="s">
        <v>64</v>
      </c>
      <c r="Q53" s="60" t="s">
        <v>65</v>
      </c>
      <c r="R53" s="64" t="s">
        <v>51</v>
      </c>
      <c r="S53" s="65" t="s">
        <v>241</v>
      </c>
      <c r="T53" s="66">
        <v>3951</v>
      </c>
      <c r="U53" s="67">
        <v>-3951</v>
      </c>
      <c r="V53" s="68">
        <v>-3951</v>
      </c>
      <c r="W53" s="60" t="s">
        <v>242</v>
      </c>
      <c r="X53" s="69">
        <v>45967</v>
      </c>
      <c r="Y53" s="70">
        <v>45978</v>
      </c>
      <c r="Z53" s="60" t="s">
        <v>75</v>
      </c>
      <c r="AA53" s="44" t="s">
        <v>76</v>
      </c>
      <c r="AB53" s="57" t="s">
        <v>56</v>
      </c>
      <c r="AC53" s="59" t="s">
        <v>236</v>
      </c>
      <c r="AD53" s="60"/>
      <c r="AE53" s="71">
        <v>-3951</v>
      </c>
      <c r="AF53" s="48" t="s">
        <v>58</v>
      </c>
      <c r="AG53" s="48" t="s">
        <v>59</v>
      </c>
      <c r="AH53" s="49" t="s">
        <v>70</v>
      </c>
      <c r="AI53" s="49" t="s">
        <v>71</v>
      </c>
      <c r="AJ53" s="50" t="s">
        <v>72</v>
      </c>
    </row>
    <row r="54" spans="1:36" ht="15.75" x14ac:dyDescent="0.25">
      <c r="A54" s="26">
        <v>27883</v>
      </c>
      <c r="B54" s="57" t="s">
        <v>36</v>
      </c>
      <c r="C54" s="58" t="s">
        <v>37</v>
      </c>
      <c r="D54" s="59" t="s">
        <v>36</v>
      </c>
      <c r="E54" s="60" t="s">
        <v>38</v>
      </c>
      <c r="F54" s="58" t="s">
        <v>39</v>
      </c>
      <c r="G54" s="57" t="s">
        <v>40</v>
      </c>
      <c r="H54" s="60" t="s">
        <v>41</v>
      </c>
      <c r="I54" s="58" t="s">
        <v>42</v>
      </c>
      <c r="J54" s="57" t="s">
        <v>43</v>
      </c>
      <c r="K54" s="60" t="s">
        <v>44</v>
      </c>
      <c r="L54" s="58" t="s">
        <v>45</v>
      </c>
      <c r="M54" s="57" t="s">
        <v>46</v>
      </c>
      <c r="N54" s="60" t="s">
        <v>47</v>
      </c>
      <c r="O54" s="58" t="s">
        <v>63</v>
      </c>
      <c r="P54" s="57" t="s">
        <v>64</v>
      </c>
      <c r="Q54" s="60" t="s">
        <v>65</v>
      </c>
      <c r="R54" s="64" t="s">
        <v>51</v>
      </c>
      <c r="S54" s="65" t="s">
        <v>243</v>
      </c>
      <c r="T54" s="66">
        <v>1100</v>
      </c>
      <c r="U54" s="67">
        <v>-1100</v>
      </c>
      <c r="V54" s="68">
        <v>-1100</v>
      </c>
      <c r="W54" s="60" t="s">
        <v>244</v>
      </c>
      <c r="X54" s="69">
        <v>45968</v>
      </c>
      <c r="Y54" s="70">
        <v>45978</v>
      </c>
      <c r="Z54" s="60" t="s">
        <v>130</v>
      </c>
      <c r="AA54" s="44" t="s">
        <v>131</v>
      </c>
      <c r="AB54" s="57" t="s">
        <v>56</v>
      </c>
      <c r="AC54" s="59" t="s">
        <v>236</v>
      </c>
      <c r="AD54" s="60"/>
      <c r="AE54" s="71">
        <v>-1100</v>
      </c>
      <c r="AF54" s="48" t="s">
        <v>58</v>
      </c>
      <c r="AG54" s="48" t="s">
        <v>59</v>
      </c>
      <c r="AH54" s="49" t="s">
        <v>70</v>
      </c>
      <c r="AI54" s="49" t="s">
        <v>71</v>
      </c>
      <c r="AJ54" s="50" t="s">
        <v>72</v>
      </c>
    </row>
    <row r="55" spans="1:36" ht="15.75" x14ac:dyDescent="0.25">
      <c r="A55" s="26">
        <v>27885</v>
      </c>
      <c r="B55" s="57" t="s">
        <v>36</v>
      </c>
      <c r="C55" s="58" t="s">
        <v>37</v>
      </c>
      <c r="D55" s="59" t="s">
        <v>36</v>
      </c>
      <c r="E55" s="60" t="s">
        <v>38</v>
      </c>
      <c r="F55" s="58" t="s">
        <v>39</v>
      </c>
      <c r="G55" s="57" t="s">
        <v>40</v>
      </c>
      <c r="H55" s="60" t="s">
        <v>41</v>
      </c>
      <c r="I55" s="58" t="s">
        <v>42</v>
      </c>
      <c r="J55" s="57" t="s">
        <v>43</v>
      </c>
      <c r="K55" s="60" t="s">
        <v>44</v>
      </c>
      <c r="L55" s="58" t="s">
        <v>45</v>
      </c>
      <c r="M55" s="57" t="s">
        <v>46</v>
      </c>
      <c r="N55" s="60" t="s">
        <v>47</v>
      </c>
      <c r="O55" s="58" t="s">
        <v>63</v>
      </c>
      <c r="P55" s="57" t="s">
        <v>64</v>
      </c>
      <c r="Q55" s="60" t="s">
        <v>65</v>
      </c>
      <c r="R55" s="64" t="s">
        <v>51</v>
      </c>
      <c r="S55" s="65" t="s">
        <v>245</v>
      </c>
      <c r="T55" s="66">
        <v>104.5</v>
      </c>
      <c r="U55" s="67">
        <v>-104.5</v>
      </c>
      <c r="V55" s="68">
        <v>-104.5</v>
      </c>
      <c r="W55" s="60" t="s">
        <v>246</v>
      </c>
      <c r="X55" s="69">
        <v>45971</v>
      </c>
      <c r="Y55" s="70">
        <v>45986</v>
      </c>
      <c r="Z55" s="60" t="s">
        <v>75</v>
      </c>
      <c r="AA55" s="44" t="s">
        <v>76</v>
      </c>
      <c r="AB55" s="57" t="s">
        <v>56</v>
      </c>
      <c r="AC55" s="59" t="s">
        <v>236</v>
      </c>
      <c r="AD55" s="60"/>
      <c r="AE55" s="71">
        <v>-104.5</v>
      </c>
      <c r="AF55" s="48" t="s">
        <v>58</v>
      </c>
      <c r="AG55" s="48" t="s">
        <v>59</v>
      </c>
      <c r="AH55" s="49" t="s">
        <v>70</v>
      </c>
      <c r="AI55" s="49" t="s">
        <v>71</v>
      </c>
      <c r="AJ55" s="50" t="s">
        <v>72</v>
      </c>
    </row>
    <row r="56" spans="1:36" ht="15.75" x14ac:dyDescent="0.25">
      <c r="A56" s="26">
        <v>27886</v>
      </c>
      <c r="B56" s="32" t="s">
        <v>36</v>
      </c>
      <c r="C56" s="31" t="s">
        <v>37</v>
      </c>
      <c r="D56" s="56" t="s">
        <v>36</v>
      </c>
      <c r="E56" s="33" t="s">
        <v>38</v>
      </c>
      <c r="F56" s="31" t="s">
        <v>39</v>
      </c>
      <c r="G56" s="32" t="s">
        <v>40</v>
      </c>
      <c r="H56" s="33" t="s">
        <v>41</v>
      </c>
      <c r="I56" s="31" t="s">
        <v>42</v>
      </c>
      <c r="J56" s="32" t="s">
        <v>43</v>
      </c>
      <c r="K56" s="33" t="s">
        <v>44</v>
      </c>
      <c r="L56" s="31" t="s">
        <v>45</v>
      </c>
      <c r="M56" s="32" t="s">
        <v>46</v>
      </c>
      <c r="N56" s="33" t="s">
        <v>47</v>
      </c>
      <c r="O56" s="58" t="s">
        <v>63</v>
      </c>
      <c r="P56" s="57" t="s">
        <v>64</v>
      </c>
      <c r="Q56" s="60" t="s">
        <v>65</v>
      </c>
      <c r="R56" s="64" t="s">
        <v>51</v>
      </c>
      <c r="S56" s="65" t="s">
        <v>247</v>
      </c>
      <c r="T56" s="66">
        <v>880</v>
      </c>
      <c r="U56" s="67">
        <v>-880</v>
      </c>
      <c r="V56" s="68">
        <v>-880</v>
      </c>
      <c r="W56" s="60" t="s">
        <v>248</v>
      </c>
      <c r="X56" s="69">
        <v>45978</v>
      </c>
      <c r="Y56" s="70">
        <v>45986</v>
      </c>
      <c r="Z56" s="60" t="s">
        <v>75</v>
      </c>
      <c r="AA56" s="44" t="s">
        <v>76</v>
      </c>
      <c r="AB56" s="57" t="s">
        <v>56</v>
      </c>
      <c r="AC56" s="59" t="s">
        <v>236</v>
      </c>
      <c r="AD56" s="60"/>
      <c r="AE56" s="71">
        <v>-880</v>
      </c>
      <c r="AF56" s="48" t="s">
        <v>58</v>
      </c>
      <c r="AG56" s="48" t="s">
        <v>59</v>
      </c>
      <c r="AH56" s="49" t="s">
        <v>70</v>
      </c>
      <c r="AI56" s="49" t="s">
        <v>71</v>
      </c>
      <c r="AJ56" s="50" t="s">
        <v>72</v>
      </c>
    </row>
    <row r="57" spans="1:36" ht="15.75" x14ac:dyDescent="0.25">
      <c r="A57" s="26">
        <v>27887</v>
      </c>
      <c r="B57" s="57" t="s">
        <v>36</v>
      </c>
      <c r="C57" s="58" t="s">
        <v>37</v>
      </c>
      <c r="D57" s="59" t="s">
        <v>36</v>
      </c>
      <c r="E57" s="60" t="s">
        <v>38</v>
      </c>
      <c r="F57" s="58" t="s">
        <v>39</v>
      </c>
      <c r="G57" s="57" t="s">
        <v>40</v>
      </c>
      <c r="H57" s="60" t="s">
        <v>41</v>
      </c>
      <c r="I57" s="58" t="s">
        <v>42</v>
      </c>
      <c r="J57" s="57" t="s">
        <v>43</v>
      </c>
      <c r="K57" s="60" t="s">
        <v>44</v>
      </c>
      <c r="L57" s="58" t="s">
        <v>45</v>
      </c>
      <c r="M57" s="57" t="s">
        <v>46</v>
      </c>
      <c r="N57" s="60" t="s">
        <v>47</v>
      </c>
      <c r="O57" s="58" t="s">
        <v>63</v>
      </c>
      <c r="P57" s="57" t="s">
        <v>64</v>
      </c>
      <c r="Q57" s="60" t="s">
        <v>65</v>
      </c>
      <c r="R57" s="64" t="s">
        <v>51</v>
      </c>
      <c r="S57" s="65" t="s">
        <v>249</v>
      </c>
      <c r="T57" s="66">
        <v>1985</v>
      </c>
      <c r="U57" s="67">
        <v>-1985</v>
      </c>
      <c r="V57" s="68">
        <v>-1985</v>
      </c>
      <c r="W57" s="60" t="s">
        <v>250</v>
      </c>
      <c r="X57" s="69">
        <v>45982</v>
      </c>
      <c r="Y57" s="70">
        <v>45996</v>
      </c>
      <c r="Z57" s="60" t="s">
        <v>75</v>
      </c>
      <c r="AA57" s="44" t="s">
        <v>76</v>
      </c>
      <c r="AB57" s="57" t="s">
        <v>56</v>
      </c>
      <c r="AC57" s="59" t="s">
        <v>236</v>
      </c>
      <c r="AD57" s="60"/>
      <c r="AE57" s="71">
        <v>-1985</v>
      </c>
      <c r="AF57" s="48" t="s">
        <v>58</v>
      </c>
      <c r="AG57" s="48" t="s">
        <v>59</v>
      </c>
      <c r="AH57" s="49" t="s">
        <v>70</v>
      </c>
      <c r="AI57" s="49" t="s">
        <v>71</v>
      </c>
      <c r="AJ57" s="50" t="s">
        <v>72</v>
      </c>
    </row>
    <row r="58" spans="1:36" ht="15.75" x14ac:dyDescent="0.25">
      <c r="A58" s="26">
        <v>27880</v>
      </c>
      <c r="B58" s="57" t="s">
        <v>36</v>
      </c>
      <c r="C58" s="58" t="s">
        <v>37</v>
      </c>
      <c r="D58" s="59" t="s">
        <v>36</v>
      </c>
      <c r="E58" s="60" t="s">
        <v>38</v>
      </c>
      <c r="F58" s="58" t="s">
        <v>39</v>
      </c>
      <c r="G58" s="57" t="s">
        <v>40</v>
      </c>
      <c r="H58" s="60" t="s">
        <v>41</v>
      </c>
      <c r="I58" s="58" t="s">
        <v>42</v>
      </c>
      <c r="J58" s="57" t="s">
        <v>43</v>
      </c>
      <c r="K58" s="60" t="s">
        <v>44</v>
      </c>
      <c r="L58" s="58" t="s">
        <v>45</v>
      </c>
      <c r="M58" s="57" t="s">
        <v>46</v>
      </c>
      <c r="N58" s="60" t="s">
        <v>47</v>
      </c>
      <c r="O58" s="58" t="s">
        <v>251</v>
      </c>
      <c r="P58" s="57" t="s">
        <v>252</v>
      </c>
      <c r="Q58" s="60" t="s">
        <v>253</v>
      </c>
      <c r="R58" s="64" t="s">
        <v>207</v>
      </c>
      <c r="S58" s="65" t="s">
        <v>254</v>
      </c>
      <c r="T58" s="66">
        <v>5228.67</v>
      </c>
      <c r="U58" s="67">
        <v>-458.19</v>
      </c>
      <c r="V58" s="68">
        <v>-458.19</v>
      </c>
      <c r="W58" s="60" t="s">
        <v>255</v>
      </c>
      <c r="X58" s="69">
        <v>45989</v>
      </c>
      <c r="Y58" s="70" t="s">
        <v>256</v>
      </c>
      <c r="Z58" s="60" t="s">
        <v>257</v>
      </c>
      <c r="AA58" s="44" t="s">
        <v>258</v>
      </c>
      <c r="AB58" s="57" t="s">
        <v>56</v>
      </c>
      <c r="AC58" s="59" t="s">
        <v>236</v>
      </c>
      <c r="AD58" s="60"/>
      <c r="AE58" s="71">
        <v>-458.19</v>
      </c>
      <c r="AF58" s="48" t="s">
        <v>58</v>
      </c>
      <c r="AG58" s="48" t="s">
        <v>59</v>
      </c>
      <c r="AH58" s="49" t="s">
        <v>259</v>
      </c>
      <c r="AI58" s="49" t="s">
        <v>61</v>
      </c>
      <c r="AJ58" s="50" t="s">
        <v>62</v>
      </c>
    </row>
    <row r="59" spans="1:36" ht="15.75" x14ac:dyDescent="0.25">
      <c r="A59" s="26">
        <v>27881</v>
      </c>
      <c r="B59" s="57" t="s">
        <v>36</v>
      </c>
      <c r="C59" s="58" t="s">
        <v>37</v>
      </c>
      <c r="D59" s="59" t="s">
        <v>36</v>
      </c>
      <c r="E59" s="60" t="s">
        <v>38</v>
      </c>
      <c r="F59" s="58" t="s">
        <v>39</v>
      </c>
      <c r="G59" s="57" t="s">
        <v>40</v>
      </c>
      <c r="H59" s="60" t="s">
        <v>41</v>
      </c>
      <c r="I59" s="58" t="s">
        <v>42</v>
      </c>
      <c r="J59" s="57" t="s">
        <v>43</v>
      </c>
      <c r="K59" s="60" t="s">
        <v>44</v>
      </c>
      <c r="L59" s="58" t="s">
        <v>45</v>
      </c>
      <c r="M59" s="57" t="s">
        <v>46</v>
      </c>
      <c r="N59" s="60" t="s">
        <v>47</v>
      </c>
      <c r="O59" s="58" t="s">
        <v>192</v>
      </c>
      <c r="P59" s="57" t="s">
        <v>193</v>
      </c>
      <c r="Q59" s="60" t="s">
        <v>194</v>
      </c>
      <c r="R59" s="64" t="s">
        <v>207</v>
      </c>
      <c r="S59" s="65" t="s">
        <v>254</v>
      </c>
      <c r="T59" s="66">
        <v>5228.67</v>
      </c>
      <c r="U59" s="67">
        <v>-470.84</v>
      </c>
      <c r="V59" s="68">
        <v>-470.84</v>
      </c>
      <c r="W59" s="60" t="s">
        <v>255</v>
      </c>
      <c r="X59" s="69">
        <v>45989</v>
      </c>
      <c r="Y59" s="70" t="s">
        <v>256</v>
      </c>
      <c r="Z59" s="60" t="s">
        <v>257</v>
      </c>
      <c r="AA59" s="44" t="s">
        <v>258</v>
      </c>
      <c r="AB59" s="57" t="s">
        <v>56</v>
      </c>
      <c r="AC59" s="59" t="s">
        <v>236</v>
      </c>
      <c r="AD59" s="60"/>
      <c r="AE59" s="71">
        <v>-470.84</v>
      </c>
      <c r="AF59" s="48" t="s">
        <v>58</v>
      </c>
      <c r="AG59" s="48" t="s">
        <v>157</v>
      </c>
      <c r="AH59" s="49" t="s">
        <v>199</v>
      </c>
      <c r="AI59" s="49" t="s">
        <v>200</v>
      </c>
      <c r="AJ59" s="50" t="s">
        <v>201</v>
      </c>
    </row>
    <row r="60" spans="1:36" ht="15.75" x14ac:dyDescent="0.25">
      <c r="A60" s="26">
        <v>27891</v>
      </c>
      <c r="B60" s="57" t="s">
        <v>36</v>
      </c>
      <c r="C60" s="58" t="s">
        <v>37</v>
      </c>
      <c r="D60" s="59" t="s">
        <v>36</v>
      </c>
      <c r="E60" s="60" t="s">
        <v>38</v>
      </c>
      <c r="F60" s="58" t="s">
        <v>39</v>
      </c>
      <c r="G60" s="57" t="s">
        <v>40</v>
      </c>
      <c r="H60" s="60" t="s">
        <v>41</v>
      </c>
      <c r="I60" s="58" t="s">
        <v>42</v>
      </c>
      <c r="J60" s="57" t="s">
        <v>260</v>
      </c>
      <c r="K60" s="60" t="s">
        <v>261</v>
      </c>
      <c r="L60" s="58" t="s">
        <v>45</v>
      </c>
      <c r="M60" s="57" t="s">
        <v>46</v>
      </c>
      <c r="N60" s="60" t="s">
        <v>47</v>
      </c>
      <c r="O60" s="58" t="s">
        <v>251</v>
      </c>
      <c r="P60" s="57" t="s">
        <v>252</v>
      </c>
      <c r="Q60" s="60" t="s">
        <v>253</v>
      </c>
      <c r="R60" s="64" t="s">
        <v>207</v>
      </c>
      <c r="S60" s="65" t="s">
        <v>254</v>
      </c>
      <c r="T60" s="66">
        <v>5228.67</v>
      </c>
      <c r="U60" s="67">
        <v>-325.88</v>
      </c>
      <c r="V60" s="68">
        <v>-325.88</v>
      </c>
      <c r="W60" s="60" t="s">
        <v>255</v>
      </c>
      <c r="X60" s="69">
        <v>45989</v>
      </c>
      <c r="Y60" s="70" t="s">
        <v>256</v>
      </c>
      <c r="Z60" s="60" t="s">
        <v>257</v>
      </c>
      <c r="AA60" s="44" t="s">
        <v>258</v>
      </c>
      <c r="AB60" s="57" t="s">
        <v>56</v>
      </c>
      <c r="AC60" s="59" t="s">
        <v>236</v>
      </c>
      <c r="AD60" s="60"/>
      <c r="AE60" s="71">
        <v>-325.88</v>
      </c>
      <c r="AF60" s="48" t="s">
        <v>58</v>
      </c>
      <c r="AG60" s="48" t="s">
        <v>59</v>
      </c>
      <c r="AH60" s="49" t="s">
        <v>259</v>
      </c>
      <c r="AI60" s="49" t="s">
        <v>61</v>
      </c>
      <c r="AJ60" s="50" t="s">
        <v>62</v>
      </c>
    </row>
    <row r="61" spans="1:36" ht="15.75" x14ac:dyDescent="0.25">
      <c r="A61" s="26">
        <v>27892</v>
      </c>
      <c r="B61" s="57" t="s">
        <v>36</v>
      </c>
      <c r="C61" s="58" t="s">
        <v>37</v>
      </c>
      <c r="D61" s="59" t="s">
        <v>36</v>
      </c>
      <c r="E61" s="60" t="s">
        <v>38</v>
      </c>
      <c r="F61" s="58" t="s">
        <v>39</v>
      </c>
      <c r="G61" s="57" t="s">
        <v>40</v>
      </c>
      <c r="H61" s="60" t="s">
        <v>41</v>
      </c>
      <c r="I61" s="58" t="s">
        <v>42</v>
      </c>
      <c r="J61" s="57" t="s">
        <v>260</v>
      </c>
      <c r="K61" s="60" t="s">
        <v>261</v>
      </c>
      <c r="L61" s="58" t="s">
        <v>45</v>
      </c>
      <c r="M61" s="57" t="s">
        <v>46</v>
      </c>
      <c r="N61" s="60" t="s">
        <v>47</v>
      </c>
      <c r="O61" s="58" t="s">
        <v>192</v>
      </c>
      <c r="P61" s="57" t="s">
        <v>193</v>
      </c>
      <c r="Q61" s="60" t="s">
        <v>194</v>
      </c>
      <c r="R61" s="64" t="s">
        <v>207</v>
      </c>
      <c r="S61" s="65" t="s">
        <v>254</v>
      </c>
      <c r="T61" s="66">
        <v>5228.67</v>
      </c>
      <c r="U61" s="67">
        <v>-334.87</v>
      </c>
      <c r="V61" s="68">
        <v>-334.87</v>
      </c>
      <c r="W61" s="60" t="s">
        <v>255</v>
      </c>
      <c r="X61" s="69">
        <v>45989</v>
      </c>
      <c r="Y61" s="70" t="s">
        <v>256</v>
      </c>
      <c r="Z61" s="60" t="s">
        <v>257</v>
      </c>
      <c r="AA61" s="44" t="s">
        <v>258</v>
      </c>
      <c r="AB61" s="57" t="s">
        <v>56</v>
      </c>
      <c r="AC61" s="59" t="s">
        <v>236</v>
      </c>
      <c r="AD61" s="60"/>
      <c r="AE61" s="71">
        <v>-334.87</v>
      </c>
      <c r="AF61" s="48" t="s">
        <v>58</v>
      </c>
      <c r="AG61" s="48" t="s">
        <v>157</v>
      </c>
      <c r="AH61" s="49" t="s">
        <v>199</v>
      </c>
      <c r="AI61" s="49" t="s">
        <v>200</v>
      </c>
      <c r="AJ61" s="50" t="s">
        <v>201</v>
      </c>
    </row>
    <row r="62" spans="1:36" ht="15.75" x14ac:dyDescent="0.25">
      <c r="A62" s="26">
        <v>27878</v>
      </c>
      <c r="B62" s="57" t="s">
        <v>36</v>
      </c>
      <c r="C62" s="58" t="s">
        <v>37</v>
      </c>
      <c r="D62" s="59" t="s">
        <v>36</v>
      </c>
      <c r="E62" s="60" t="s">
        <v>38</v>
      </c>
      <c r="F62" s="58" t="s">
        <v>39</v>
      </c>
      <c r="G62" s="57" t="s">
        <v>40</v>
      </c>
      <c r="H62" s="60" t="s">
        <v>41</v>
      </c>
      <c r="I62" s="58" t="s">
        <v>42</v>
      </c>
      <c r="J62" s="57" t="s">
        <v>43</v>
      </c>
      <c r="K62" s="60" t="s">
        <v>44</v>
      </c>
      <c r="L62" s="58" t="s">
        <v>45</v>
      </c>
      <c r="M62" s="57" t="s">
        <v>46</v>
      </c>
      <c r="N62" s="60" t="s">
        <v>47</v>
      </c>
      <c r="O62" s="58" t="s">
        <v>262</v>
      </c>
      <c r="P62" s="57" t="s">
        <v>263</v>
      </c>
      <c r="Q62" s="60" t="s">
        <v>264</v>
      </c>
      <c r="R62" s="64" t="s">
        <v>207</v>
      </c>
      <c r="S62" s="65" t="s">
        <v>254</v>
      </c>
      <c r="T62" s="66">
        <v>5228.67</v>
      </c>
      <c r="U62" s="67">
        <v>-32.79</v>
      </c>
      <c r="V62" s="68">
        <v>-32.79</v>
      </c>
      <c r="W62" s="60" t="s">
        <v>255</v>
      </c>
      <c r="X62" s="69">
        <v>45989</v>
      </c>
      <c r="Y62" s="70" t="s">
        <v>256</v>
      </c>
      <c r="Z62" s="60" t="s">
        <v>257</v>
      </c>
      <c r="AA62" s="44" t="s">
        <v>258</v>
      </c>
      <c r="AB62" s="57" t="s">
        <v>56</v>
      </c>
      <c r="AC62" s="59" t="s">
        <v>236</v>
      </c>
      <c r="AD62" s="60"/>
      <c r="AE62" s="71">
        <v>-32.79</v>
      </c>
      <c r="AF62" s="48" t="s">
        <v>58</v>
      </c>
      <c r="AG62" s="48" t="s">
        <v>59</v>
      </c>
      <c r="AH62" s="49" t="s">
        <v>265</v>
      </c>
      <c r="AI62" s="49" t="s">
        <v>61</v>
      </c>
      <c r="AJ62" s="50" t="s">
        <v>62</v>
      </c>
    </row>
    <row r="63" spans="1:36" ht="15.75" x14ac:dyDescent="0.25">
      <c r="A63" s="26">
        <v>27879</v>
      </c>
      <c r="B63" s="57" t="s">
        <v>36</v>
      </c>
      <c r="C63" s="58" t="s">
        <v>37</v>
      </c>
      <c r="D63" s="59" t="s">
        <v>36</v>
      </c>
      <c r="E63" s="60" t="s">
        <v>38</v>
      </c>
      <c r="F63" s="58" t="s">
        <v>39</v>
      </c>
      <c r="G63" s="57" t="s">
        <v>40</v>
      </c>
      <c r="H63" s="60" t="s">
        <v>41</v>
      </c>
      <c r="I63" s="58" t="s">
        <v>42</v>
      </c>
      <c r="J63" s="57" t="s">
        <v>43</v>
      </c>
      <c r="K63" s="60" t="s">
        <v>44</v>
      </c>
      <c r="L63" s="58" t="s">
        <v>45</v>
      </c>
      <c r="M63" s="57" t="s">
        <v>46</v>
      </c>
      <c r="N63" s="60" t="s">
        <v>47</v>
      </c>
      <c r="O63" s="58" t="s">
        <v>63</v>
      </c>
      <c r="P63" s="57" t="s">
        <v>64</v>
      </c>
      <c r="Q63" s="60" t="s">
        <v>65</v>
      </c>
      <c r="R63" s="64" t="s">
        <v>207</v>
      </c>
      <c r="S63" s="65" t="s">
        <v>254</v>
      </c>
      <c r="T63" s="66">
        <v>5228.67</v>
      </c>
      <c r="U63" s="67">
        <v>-881.21</v>
      </c>
      <c r="V63" s="68">
        <v>-881.21</v>
      </c>
      <c r="W63" s="60" t="s">
        <v>255</v>
      </c>
      <c r="X63" s="69">
        <v>45989</v>
      </c>
      <c r="Y63" s="70" t="s">
        <v>256</v>
      </c>
      <c r="Z63" s="60" t="s">
        <v>257</v>
      </c>
      <c r="AA63" s="44" t="s">
        <v>258</v>
      </c>
      <c r="AB63" s="57" t="s">
        <v>56</v>
      </c>
      <c r="AC63" s="59" t="s">
        <v>236</v>
      </c>
      <c r="AD63" s="60"/>
      <c r="AE63" s="71">
        <v>-881.21</v>
      </c>
      <c r="AF63" s="48" t="s">
        <v>58</v>
      </c>
      <c r="AG63" s="48" t="s">
        <v>59</v>
      </c>
      <c r="AH63" s="49" t="s">
        <v>70</v>
      </c>
      <c r="AI63" s="49" t="s">
        <v>71</v>
      </c>
      <c r="AJ63" s="50" t="s">
        <v>72</v>
      </c>
    </row>
    <row r="64" spans="1:36" ht="15.75" x14ac:dyDescent="0.25">
      <c r="A64" s="26">
        <v>27889</v>
      </c>
      <c r="B64" s="57" t="s">
        <v>36</v>
      </c>
      <c r="C64" s="58" t="s">
        <v>37</v>
      </c>
      <c r="D64" s="59" t="s">
        <v>36</v>
      </c>
      <c r="E64" s="60" t="s">
        <v>38</v>
      </c>
      <c r="F64" s="58" t="s">
        <v>39</v>
      </c>
      <c r="G64" s="57" t="s">
        <v>40</v>
      </c>
      <c r="H64" s="60" t="s">
        <v>41</v>
      </c>
      <c r="I64" s="58" t="s">
        <v>42</v>
      </c>
      <c r="J64" s="57" t="s">
        <v>260</v>
      </c>
      <c r="K64" s="60" t="s">
        <v>261</v>
      </c>
      <c r="L64" s="58" t="s">
        <v>45</v>
      </c>
      <c r="M64" s="57" t="s">
        <v>46</v>
      </c>
      <c r="N64" s="60" t="s">
        <v>47</v>
      </c>
      <c r="O64" s="58" t="s">
        <v>262</v>
      </c>
      <c r="P64" s="57" t="s">
        <v>263</v>
      </c>
      <c r="Q64" s="60" t="s">
        <v>264</v>
      </c>
      <c r="R64" s="64" t="s">
        <v>207</v>
      </c>
      <c r="S64" s="65" t="s">
        <v>254</v>
      </c>
      <c r="T64" s="66">
        <v>5228.67</v>
      </c>
      <c r="U64" s="67">
        <v>-23.32</v>
      </c>
      <c r="V64" s="68">
        <v>-23.32</v>
      </c>
      <c r="W64" s="60" t="s">
        <v>255</v>
      </c>
      <c r="X64" s="69">
        <v>45989</v>
      </c>
      <c r="Y64" s="70" t="s">
        <v>256</v>
      </c>
      <c r="Z64" s="60" t="s">
        <v>257</v>
      </c>
      <c r="AA64" s="44" t="s">
        <v>258</v>
      </c>
      <c r="AB64" s="57" t="s">
        <v>56</v>
      </c>
      <c r="AC64" s="59" t="s">
        <v>236</v>
      </c>
      <c r="AD64" s="60"/>
      <c r="AE64" s="71">
        <v>-23.32</v>
      </c>
      <c r="AF64" s="48" t="s">
        <v>58</v>
      </c>
      <c r="AG64" s="48" t="s">
        <v>59</v>
      </c>
      <c r="AH64" s="49" t="s">
        <v>265</v>
      </c>
      <c r="AI64" s="49" t="s">
        <v>61</v>
      </c>
      <c r="AJ64" s="50" t="s">
        <v>62</v>
      </c>
    </row>
    <row r="65" spans="1:36" ht="15.75" x14ac:dyDescent="0.25">
      <c r="A65" s="26">
        <v>27890</v>
      </c>
      <c r="B65" s="57" t="s">
        <v>36</v>
      </c>
      <c r="C65" s="58" t="s">
        <v>37</v>
      </c>
      <c r="D65" s="59" t="s">
        <v>36</v>
      </c>
      <c r="E65" s="60" t="s">
        <v>38</v>
      </c>
      <c r="F65" s="58" t="s">
        <v>39</v>
      </c>
      <c r="G65" s="57" t="s">
        <v>40</v>
      </c>
      <c r="H65" s="60" t="s">
        <v>41</v>
      </c>
      <c r="I65" s="58" t="s">
        <v>42</v>
      </c>
      <c r="J65" s="57" t="s">
        <v>260</v>
      </c>
      <c r="K65" s="60" t="s">
        <v>261</v>
      </c>
      <c r="L65" s="58" t="s">
        <v>45</v>
      </c>
      <c r="M65" s="57" t="s">
        <v>46</v>
      </c>
      <c r="N65" s="60" t="s">
        <v>47</v>
      </c>
      <c r="O65" s="58" t="s">
        <v>63</v>
      </c>
      <c r="P65" s="57" t="s">
        <v>64</v>
      </c>
      <c r="Q65" s="60" t="s">
        <v>65</v>
      </c>
      <c r="R65" s="64" t="s">
        <v>207</v>
      </c>
      <c r="S65" s="65" t="s">
        <v>254</v>
      </c>
      <c r="T65" s="66">
        <v>5228.67</v>
      </c>
      <c r="U65" s="67">
        <v>-626.74</v>
      </c>
      <c r="V65" s="68">
        <v>-626.74</v>
      </c>
      <c r="W65" s="60" t="s">
        <v>255</v>
      </c>
      <c r="X65" s="69">
        <v>45989</v>
      </c>
      <c r="Y65" s="70" t="s">
        <v>256</v>
      </c>
      <c r="Z65" s="60" t="s">
        <v>257</v>
      </c>
      <c r="AA65" s="44" t="s">
        <v>258</v>
      </c>
      <c r="AB65" s="57" t="s">
        <v>56</v>
      </c>
      <c r="AC65" s="59" t="s">
        <v>236</v>
      </c>
      <c r="AD65" s="60"/>
      <c r="AE65" s="71">
        <v>-626.74</v>
      </c>
      <c r="AF65" s="48" t="s">
        <v>58</v>
      </c>
      <c r="AG65" s="48" t="s">
        <v>59</v>
      </c>
      <c r="AH65" s="49" t="s">
        <v>70</v>
      </c>
      <c r="AI65" s="49" t="s">
        <v>71</v>
      </c>
      <c r="AJ65" s="50" t="s">
        <v>72</v>
      </c>
    </row>
    <row r="66" spans="1:36" ht="15.75" x14ac:dyDescent="0.25">
      <c r="A66" s="26">
        <v>29480</v>
      </c>
      <c r="B66" s="57" t="s">
        <v>36</v>
      </c>
      <c r="C66" s="58" t="s">
        <v>37</v>
      </c>
      <c r="D66" s="59" t="s">
        <v>36</v>
      </c>
      <c r="E66" s="60" t="s">
        <v>38</v>
      </c>
      <c r="F66" s="58" t="s">
        <v>39</v>
      </c>
      <c r="G66" s="57" t="s">
        <v>40</v>
      </c>
      <c r="H66" s="60" t="s">
        <v>41</v>
      </c>
      <c r="I66" s="58" t="s">
        <v>42</v>
      </c>
      <c r="J66" s="57" t="s">
        <v>43</v>
      </c>
      <c r="K66" s="60" t="s">
        <v>44</v>
      </c>
      <c r="L66" s="58" t="s">
        <v>45</v>
      </c>
      <c r="M66" s="57" t="s">
        <v>46</v>
      </c>
      <c r="N66" s="60" t="s">
        <v>47</v>
      </c>
      <c r="O66" s="58" t="s">
        <v>229</v>
      </c>
      <c r="P66" s="57" t="s">
        <v>230</v>
      </c>
      <c r="Q66" s="60" t="s">
        <v>231</v>
      </c>
      <c r="R66" s="64" t="s">
        <v>207</v>
      </c>
      <c r="S66" s="65" t="s">
        <v>266</v>
      </c>
      <c r="T66" s="66">
        <v>-57.77</v>
      </c>
      <c r="U66" s="67">
        <v>-57.77</v>
      </c>
      <c r="V66" s="68">
        <v>-57.77</v>
      </c>
      <c r="W66" s="60" t="s">
        <v>267</v>
      </c>
      <c r="X66" s="69">
        <v>45992</v>
      </c>
      <c r="Y66" s="70">
        <v>46006</v>
      </c>
      <c r="Z66" s="60" t="s">
        <v>234</v>
      </c>
      <c r="AA66" s="44" t="s">
        <v>235</v>
      </c>
      <c r="AB66" s="57" t="s">
        <v>268</v>
      </c>
      <c r="AC66" s="59" t="s">
        <v>236</v>
      </c>
      <c r="AD66" s="60"/>
      <c r="AE66" s="71">
        <v>-57.77</v>
      </c>
      <c r="AF66" s="48" t="s">
        <v>98</v>
      </c>
      <c r="AG66" s="48" t="s">
        <v>99</v>
      </c>
      <c r="AH66" s="49" t="s">
        <v>237</v>
      </c>
      <c r="AI66" s="49" t="s">
        <v>238</v>
      </c>
      <c r="AJ66" s="50" t="s">
        <v>201</v>
      </c>
    </row>
    <row r="67" spans="1:36" ht="15.75" x14ac:dyDescent="0.25">
      <c r="A67" s="26">
        <v>29583</v>
      </c>
      <c r="B67" s="57" t="s">
        <v>36</v>
      </c>
      <c r="C67" s="58" t="s">
        <v>37</v>
      </c>
      <c r="D67" s="59" t="s">
        <v>36</v>
      </c>
      <c r="E67" s="60" t="s">
        <v>38</v>
      </c>
      <c r="F67" s="58" t="s">
        <v>39</v>
      </c>
      <c r="G67" s="57" t="s">
        <v>40</v>
      </c>
      <c r="H67" s="60" t="s">
        <v>41</v>
      </c>
      <c r="I67" s="58" t="s">
        <v>42</v>
      </c>
      <c r="J67" s="57" t="s">
        <v>43</v>
      </c>
      <c r="K67" s="60" t="s">
        <v>44</v>
      </c>
      <c r="L67" s="58" t="s">
        <v>45</v>
      </c>
      <c r="M67" s="57" t="s">
        <v>46</v>
      </c>
      <c r="N67" s="60" t="s">
        <v>47</v>
      </c>
      <c r="O67" s="58" t="s">
        <v>150</v>
      </c>
      <c r="P67" s="57" t="s">
        <v>151</v>
      </c>
      <c r="Q67" s="60" t="s">
        <v>152</v>
      </c>
      <c r="R67" s="64" t="s">
        <v>121</v>
      </c>
      <c r="S67" s="65" t="s">
        <v>269</v>
      </c>
      <c r="T67" s="66">
        <v>-800</v>
      </c>
      <c r="U67" s="67">
        <v>-800</v>
      </c>
      <c r="V67" s="68">
        <v>-800</v>
      </c>
      <c r="W67" s="60" t="s">
        <v>270</v>
      </c>
      <c r="X67" s="69">
        <v>45992</v>
      </c>
      <c r="Y67" s="70">
        <v>45996</v>
      </c>
      <c r="Z67" s="60" t="s">
        <v>271</v>
      </c>
      <c r="AA67" s="44" t="s">
        <v>272</v>
      </c>
      <c r="AB67" s="57" t="s">
        <v>268</v>
      </c>
      <c r="AC67" s="59" t="s">
        <v>236</v>
      </c>
      <c r="AD67" s="60"/>
      <c r="AE67" s="71">
        <v>-800</v>
      </c>
      <c r="AF67" s="48" t="s">
        <v>58</v>
      </c>
      <c r="AG67" s="48" t="s">
        <v>157</v>
      </c>
      <c r="AH67" s="49" t="s">
        <v>158</v>
      </c>
      <c r="AI67" s="49" t="s">
        <v>159</v>
      </c>
      <c r="AJ67" s="50" t="s">
        <v>102</v>
      </c>
    </row>
    <row r="68" spans="1:36" ht="15.75" x14ac:dyDescent="0.25">
      <c r="A68" s="26">
        <v>29628</v>
      </c>
      <c r="B68" s="57" t="s">
        <v>36</v>
      </c>
      <c r="C68" s="58" t="s">
        <v>37</v>
      </c>
      <c r="D68" s="59" t="s">
        <v>36</v>
      </c>
      <c r="E68" s="60" t="s">
        <v>38</v>
      </c>
      <c r="F68" s="58" t="s">
        <v>39</v>
      </c>
      <c r="G68" s="57" t="s">
        <v>40</v>
      </c>
      <c r="H68" s="60" t="s">
        <v>41</v>
      </c>
      <c r="I68" s="58" t="s">
        <v>42</v>
      </c>
      <c r="J68" s="57" t="s">
        <v>43</v>
      </c>
      <c r="K68" s="60" t="s">
        <v>44</v>
      </c>
      <c r="L68" s="58" t="s">
        <v>45</v>
      </c>
      <c r="M68" s="57" t="s">
        <v>46</v>
      </c>
      <c r="N68" s="60" t="s">
        <v>47</v>
      </c>
      <c r="O68" s="58" t="s">
        <v>63</v>
      </c>
      <c r="P68" s="57" t="s">
        <v>64</v>
      </c>
      <c r="Q68" s="60" t="s">
        <v>65</v>
      </c>
      <c r="R68" s="64" t="s">
        <v>51</v>
      </c>
      <c r="S68" s="65" t="s">
        <v>273</v>
      </c>
      <c r="T68" s="66">
        <v>-2985</v>
      </c>
      <c r="U68" s="67">
        <v>-2985</v>
      </c>
      <c r="V68" s="68">
        <v>-2985</v>
      </c>
      <c r="W68" s="60" t="s">
        <v>274</v>
      </c>
      <c r="X68" s="69">
        <v>45992</v>
      </c>
      <c r="Y68" s="70">
        <v>45996</v>
      </c>
      <c r="Z68" s="60" t="s">
        <v>140</v>
      </c>
      <c r="AA68" s="44" t="s">
        <v>141</v>
      </c>
      <c r="AB68" s="57" t="s">
        <v>268</v>
      </c>
      <c r="AC68" s="59" t="s">
        <v>236</v>
      </c>
      <c r="AD68" s="60"/>
      <c r="AE68" s="71">
        <v>-2985</v>
      </c>
      <c r="AF68" s="48" t="s">
        <v>58</v>
      </c>
      <c r="AG68" s="48" t="s">
        <v>59</v>
      </c>
      <c r="AH68" s="49" t="s">
        <v>70</v>
      </c>
      <c r="AI68" s="49" t="s">
        <v>71</v>
      </c>
      <c r="AJ68" s="50" t="s">
        <v>72</v>
      </c>
    </row>
    <row r="69" spans="1:36" ht="15.75" x14ac:dyDescent="0.25">
      <c r="A69" s="26">
        <v>29948</v>
      </c>
      <c r="B69" s="57" t="s">
        <v>36</v>
      </c>
      <c r="C69" s="58" t="s">
        <v>37</v>
      </c>
      <c r="D69" s="59" t="s">
        <v>36</v>
      </c>
      <c r="E69" s="60" t="s">
        <v>38</v>
      </c>
      <c r="F69" s="58" t="s">
        <v>39</v>
      </c>
      <c r="G69" s="57" t="s">
        <v>40</v>
      </c>
      <c r="H69" s="60" t="s">
        <v>41</v>
      </c>
      <c r="I69" s="58" t="s">
        <v>42</v>
      </c>
      <c r="J69" s="57" t="s">
        <v>43</v>
      </c>
      <c r="K69" s="60" t="s">
        <v>44</v>
      </c>
      <c r="L69" s="58" t="s">
        <v>45</v>
      </c>
      <c r="M69" s="57" t="s">
        <v>46</v>
      </c>
      <c r="N69" s="60" t="s">
        <v>47</v>
      </c>
      <c r="O69" s="58" t="s">
        <v>63</v>
      </c>
      <c r="P69" s="57" t="s">
        <v>64</v>
      </c>
      <c r="Q69" s="60" t="s">
        <v>65</v>
      </c>
      <c r="R69" s="64" t="s">
        <v>275</v>
      </c>
      <c r="S69" s="65" t="s">
        <v>276</v>
      </c>
      <c r="T69" s="66">
        <v>-600</v>
      </c>
      <c r="U69" s="67">
        <v>-600</v>
      </c>
      <c r="V69" s="68">
        <v>-600</v>
      </c>
      <c r="W69" s="60" t="s">
        <v>277</v>
      </c>
      <c r="X69" s="69">
        <v>45995</v>
      </c>
      <c r="Y69" s="70">
        <v>45995</v>
      </c>
      <c r="Z69" s="60" t="s">
        <v>257</v>
      </c>
      <c r="AA69" s="44" t="s">
        <v>258</v>
      </c>
      <c r="AB69" s="57" t="s">
        <v>268</v>
      </c>
      <c r="AC69" s="59" t="s">
        <v>236</v>
      </c>
      <c r="AD69" s="60"/>
      <c r="AE69" s="71">
        <v>-600</v>
      </c>
      <c r="AF69" s="48" t="s">
        <v>58</v>
      </c>
      <c r="AG69" s="48" t="s">
        <v>59</v>
      </c>
      <c r="AH69" s="49" t="s">
        <v>70</v>
      </c>
      <c r="AI69" s="49" t="s">
        <v>71</v>
      </c>
      <c r="AJ69" s="50" t="s">
        <v>72</v>
      </c>
    </row>
    <row r="70" spans="1:36" ht="15.75" x14ac:dyDescent="0.25">
      <c r="A70" s="26">
        <v>30487</v>
      </c>
      <c r="B70" s="57" t="s">
        <v>36</v>
      </c>
      <c r="C70" s="58" t="s">
        <v>37</v>
      </c>
      <c r="D70" s="59" t="s">
        <v>36</v>
      </c>
      <c r="E70" s="60" t="s">
        <v>38</v>
      </c>
      <c r="F70" s="58" t="s">
        <v>39</v>
      </c>
      <c r="G70" s="57" t="s">
        <v>40</v>
      </c>
      <c r="H70" s="60" t="s">
        <v>41</v>
      </c>
      <c r="I70" s="58" t="s">
        <v>42</v>
      </c>
      <c r="J70" s="57" t="s">
        <v>43</v>
      </c>
      <c r="K70" s="60" t="s">
        <v>44</v>
      </c>
      <c r="L70" s="58" t="s">
        <v>45</v>
      </c>
      <c r="M70" s="57" t="s">
        <v>46</v>
      </c>
      <c r="N70" s="60" t="s">
        <v>47</v>
      </c>
      <c r="O70" s="58" t="s">
        <v>63</v>
      </c>
      <c r="P70" s="57" t="s">
        <v>64</v>
      </c>
      <c r="Q70" s="60" t="s">
        <v>65</v>
      </c>
      <c r="R70" s="64" t="s">
        <v>51</v>
      </c>
      <c r="S70" s="65" t="s">
        <v>278</v>
      </c>
      <c r="T70" s="66">
        <v>-751.56</v>
      </c>
      <c r="U70" s="67">
        <v>-751.56</v>
      </c>
      <c r="V70" s="68">
        <v>-751.56</v>
      </c>
      <c r="W70" s="60" t="s">
        <v>279</v>
      </c>
      <c r="X70" s="69">
        <v>46002</v>
      </c>
      <c r="Y70" s="70">
        <v>46027</v>
      </c>
      <c r="Z70" s="60" t="s">
        <v>75</v>
      </c>
      <c r="AA70" s="44" t="s">
        <v>76</v>
      </c>
      <c r="AB70" s="57" t="s">
        <v>268</v>
      </c>
      <c r="AC70" s="59" t="s">
        <v>236</v>
      </c>
      <c r="AD70" s="60"/>
      <c r="AE70" s="71">
        <v>-751.56</v>
      </c>
      <c r="AF70" s="48" t="s">
        <v>58</v>
      </c>
      <c r="AG70" s="48" t="s">
        <v>59</v>
      </c>
      <c r="AH70" s="49" t="s">
        <v>70</v>
      </c>
      <c r="AI70" s="49" t="s">
        <v>71</v>
      </c>
      <c r="AJ70" s="50" t="s">
        <v>72</v>
      </c>
    </row>
    <row r="71" spans="1:36" ht="15.75" x14ac:dyDescent="0.25">
      <c r="A71" s="26">
        <v>30747</v>
      </c>
      <c r="B71" s="57" t="s">
        <v>36</v>
      </c>
      <c r="C71" s="58" t="s">
        <v>37</v>
      </c>
      <c r="D71" s="59" t="s">
        <v>36</v>
      </c>
      <c r="E71" s="60" t="s">
        <v>38</v>
      </c>
      <c r="F71" s="58" t="s">
        <v>39</v>
      </c>
      <c r="G71" s="57" t="s">
        <v>40</v>
      </c>
      <c r="H71" s="60" t="s">
        <v>41</v>
      </c>
      <c r="I71" s="58" t="s">
        <v>42</v>
      </c>
      <c r="J71" s="57" t="s">
        <v>43</v>
      </c>
      <c r="K71" s="60" t="s">
        <v>44</v>
      </c>
      <c r="L71" s="58" t="s">
        <v>45</v>
      </c>
      <c r="M71" s="57" t="s">
        <v>46</v>
      </c>
      <c r="N71" s="60" t="s">
        <v>47</v>
      </c>
      <c r="O71" s="58" t="s">
        <v>63</v>
      </c>
      <c r="P71" s="57" t="s">
        <v>64</v>
      </c>
      <c r="Q71" s="60" t="s">
        <v>65</v>
      </c>
      <c r="R71" s="64" t="s">
        <v>51</v>
      </c>
      <c r="S71" s="65" t="s">
        <v>280</v>
      </c>
      <c r="T71" s="66">
        <v>-240</v>
      </c>
      <c r="U71" s="67">
        <v>-240</v>
      </c>
      <c r="V71" s="68">
        <v>-240</v>
      </c>
      <c r="W71" s="60" t="s">
        <v>281</v>
      </c>
      <c r="X71" s="69">
        <v>46007</v>
      </c>
      <c r="Y71" s="70">
        <v>46037</v>
      </c>
      <c r="Z71" s="60" t="s">
        <v>282</v>
      </c>
      <c r="AA71" s="44" t="s">
        <v>283</v>
      </c>
      <c r="AB71" s="57" t="s">
        <v>268</v>
      </c>
      <c r="AC71" s="59" t="s">
        <v>236</v>
      </c>
      <c r="AD71" s="60"/>
      <c r="AE71" s="71">
        <v>-240</v>
      </c>
      <c r="AF71" s="48" t="s">
        <v>58</v>
      </c>
      <c r="AG71" s="48" t="s">
        <v>59</v>
      </c>
      <c r="AH71" s="49" t="s">
        <v>70</v>
      </c>
      <c r="AI71" s="49" t="s">
        <v>71</v>
      </c>
      <c r="AJ71" s="50" t="s">
        <v>72</v>
      </c>
    </row>
    <row r="72" spans="1:36" ht="15.75" x14ac:dyDescent="0.25">
      <c r="A72" s="26">
        <v>30794</v>
      </c>
      <c r="B72" s="57" t="s">
        <v>36</v>
      </c>
      <c r="C72" s="58" t="s">
        <v>37</v>
      </c>
      <c r="D72" s="59" t="s">
        <v>36</v>
      </c>
      <c r="E72" s="60" t="s">
        <v>38</v>
      </c>
      <c r="F72" s="58" t="s">
        <v>39</v>
      </c>
      <c r="G72" s="57" t="s">
        <v>40</v>
      </c>
      <c r="H72" s="60" t="s">
        <v>41</v>
      </c>
      <c r="I72" s="58" t="s">
        <v>42</v>
      </c>
      <c r="J72" s="57" t="s">
        <v>43</v>
      </c>
      <c r="K72" s="60" t="s">
        <v>44</v>
      </c>
      <c r="L72" s="58" t="s">
        <v>45</v>
      </c>
      <c r="M72" s="57" t="s">
        <v>46</v>
      </c>
      <c r="N72" s="60" t="s">
        <v>47</v>
      </c>
      <c r="O72" s="58" t="s">
        <v>63</v>
      </c>
      <c r="P72" s="57" t="s">
        <v>64</v>
      </c>
      <c r="Q72" s="60" t="s">
        <v>65</v>
      </c>
      <c r="R72" s="64" t="s">
        <v>51</v>
      </c>
      <c r="S72" s="65" t="s">
        <v>284</v>
      </c>
      <c r="T72" s="66">
        <v>-1945</v>
      </c>
      <c r="U72" s="67">
        <v>-1945</v>
      </c>
      <c r="V72" s="68">
        <v>-1945</v>
      </c>
      <c r="W72" s="60" t="s">
        <v>285</v>
      </c>
      <c r="X72" s="69">
        <v>46007</v>
      </c>
      <c r="Y72" s="70">
        <v>46034</v>
      </c>
      <c r="Z72" s="60" t="s">
        <v>75</v>
      </c>
      <c r="AA72" s="44" t="s">
        <v>76</v>
      </c>
      <c r="AB72" s="57" t="s">
        <v>268</v>
      </c>
      <c r="AC72" s="59" t="s">
        <v>236</v>
      </c>
      <c r="AD72" s="60"/>
      <c r="AE72" s="71">
        <v>-1945</v>
      </c>
      <c r="AF72" s="48" t="s">
        <v>58</v>
      </c>
      <c r="AG72" s="48" t="s">
        <v>59</v>
      </c>
      <c r="AH72" s="49" t="s">
        <v>70</v>
      </c>
      <c r="AI72" s="49" t="s">
        <v>71</v>
      </c>
      <c r="AJ72" s="50" t="s">
        <v>72</v>
      </c>
    </row>
    <row r="73" spans="1:36" ht="15.75" x14ac:dyDescent="0.25">
      <c r="A73" s="26">
        <v>31154</v>
      </c>
      <c r="B73" s="57" t="s">
        <v>36</v>
      </c>
      <c r="C73" s="58" t="s">
        <v>37</v>
      </c>
      <c r="D73" s="59" t="s">
        <v>36</v>
      </c>
      <c r="E73" s="60" t="s">
        <v>38</v>
      </c>
      <c r="F73" s="58" t="s">
        <v>39</v>
      </c>
      <c r="G73" s="57" t="s">
        <v>40</v>
      </c>
      <c r="H73" s="60" t="s">
        <v>41</v>
      </c>
      <c r="I73" s="58" t="s">
        <v>42</v>
      </c>
      <c r="J73" s="57" t="s">
        <v>43</v>
      </c>
      <c r="K73" s="60" t="s">
        <v>44</v>
      </c>
      <c r="L73" s="58" t="s">
        <v>45</v>
      </c>
      <c r="M73" s="57" t="s">
        <v>46</v>
      </c>
      <c r="N73" s="60" t="s">
        <v>47</v>
      </c>
      <c r="O73" s="58" t="s">
        <v>204</v>
      </c>
      <c r="P73" s="57" t="s">
        <v>205</v>
      </c>
      <c r="Q73" s="60" t="s">
        <v>206</v>
      </c>
      <c r="R73" s="64" t="s">
        <v>121</v>
      </c>
      <c r="S73" s="65" t="s">
        <v>286</v>
      </c>
      <c r="T73" s="66">
        <v>-103</v>
      </c>
      <c r="U73" s="67">
        <v>-103</v>
      </c>
      <c r="V73" s="68">
        <v>-103</v>
      </c>
      <c r="W73" s="60" t="s">
        <v>287</v>
      </c>
      <c r="X73" s="69">
        <v>46019</v>
      </c>
      <c r="Y73" s="70">
        <v>46019</v>
      </c>
      <c r="Z73" s="60" t="s">
        <v>288</v>
      </c>
      <c r="AA73" s="44" t="s">
        <v>289</v>
      </c>
      <c r="AB73" s="57" t="s">
        <v>268</v>
      </c>
      <c r="AC73" s="59" t="s">
        <v>236</v>
      </c>
      <c r="AD73" s="60"/>
      <c r="AE73" s="71">
        <v>-103</v>
      </c>
      <c r="AF73" s="48" t="s">
        <v>58</v>
      </c>
      <c r="AG73" s="48" t="s">
        <v>59</v>
      </c>
      <c r="AH73" s="49" t="s">
        <v>212</v>
      </c>
      <c r="AI73" s="49" t="s">
        <v>101</v>
      </c>
      <c r="AJ73" s="50" t="s">
        <v>102</v>
      </c>
    </row>
    <row r="74" spans="1:36" ht="15.75" x14ac:dyDescent="0.25">
      <c r="A74" s="26">
        <v>31190</v>
      </c>
      <c r="B74" s="57" t="s">
        <v>36</v>
      </c>
      <c r="C74" s="58" t="s">
        <v>37</v>
      </c>
      <c r="D74" s="59" t="s">
        <v>36</v>
      </c>
      <c r="E74" s="60" t="s">
        <v>38</v>
      </c>
      <c r="F74" s="58" t="s">
        <v>39</v>
      </c>
      <c r="G74" s="57" t="s">
        <v>40</v>
      </c>
      <c r="H74" s="60" t="s">
        <v>41</v>
      </c>
      <c r="I74" s="58" t="s">
        <v>42</v>
      </c>
      <c r="J74" s="57" t="s">
        <v>43</v>
      </c>
      <c r="K74" s="60" t="s">
        <v>44</v>
      </c>
      <c r="L74" s="58" t="s">
        <v>45</v>
      </c>
      <c r="M74" s="57" t="s">
        <v>46</v>
      </c>
      <c r="N74" s="60" t="s">
        <v>47</v>
      </c>
      <c r="O74" s="58" t="s">
        <v>290</v>
      </c>
      <c r="P74" s="57" t="s">
        <v>291</v>
      </c>
      <c r="Q74" s="60" t="s">
        <v>292</v>
      </c>
      <c r="R74" s="64" t="s">
        <v>293</v>
      </c>
      <c r="S74" s="65" t="s">
        <v>294</v>
      </c>
      <c r="T74" s="66">
        <v>-174.08</v>
      </c>
      <c r="U74" s="67">
        <v>-174.08</v>
      </c>
      <c r="V74" s="68">
        <v>-174.08</v>
      </c>
      <c r="W74" s="60" t="s">
        <v>295</v>
      </c>
      <c r="X74" s="69">
        <v>46020</v>
      </c>
      <c r="Y74" s="70">
        <v>46037</v>
      </c>
      <c r="Z74" s="60" t="s">
        <v>296</v>
      </c>
      <c r="AA74" s="44" t="s">
        <v>297</v>
      </c>
      <c r="AB74" s="57" t="s">
        <v>268</v>
      </c>
      <c r="AC74" s="59" t="s">
        <v>236</v>
      </c>
      <c r="AD74" s="60"/>
      <c r="AE74" s="71">
        <v>-174.08</v>
      </c>
      <c r="AF74" s="48" t="s">
        <v>58</v>
      </c>
      <c r="AG74" s="48" t="s">
        <v>157</v>
      </c>
      <c r="AH74" s="49" t="s">
        <v>298</v>
      </c>
      <c r="AI74" s="49" t="s">
        <v>101</v>
      </c>
      <c r="AJ74" s="50" t="s">
        <v>102</v>
      </c>
    </row>
    <row r="75" spans="1:36" ht="15.75" x14ac:dyDescent="0.25">
      <c r="A75" s="26">
        <v>31353</v>
      </c>
      <c r="B75" s="57" t="s">
        <v>36</v>
      </c>
      <c r="C75" s="58" t="s">
        <v>37</v>
      </c>
      <c r="D75" s="59" t="s">
        <v>36</v>
      </c>
      <c r="E75" s="60" t="s">
        <v>38</v>
      </c>
      <c r="F75" s="58" t="s">
        <v>39</v>
      </c>
      <c r="G75" s="57" t="s">
        <v>40</v>
      </c>
      <c r="H75" s="60" t="s">
        <v>41</v>
      </c>
      <c r="I75" s="58" t="s">
        <v>42</v>
      </c>
      <c r="J75" s="57" t="s">
        <v>43</v>
      </c>
      <c r="K75" s="60" t="s">
        <v>44</v>
      </c>
      <c r="L75" s="58" t="s">
        <v>45</v>
      </c>
      <c r="M75" s="57" t="s">
        <v>46</v>
      </c>
      <c r="N75" s="60" t="s">
        <v>47</v>
      </c>
      <c r="O75" s="58" t="s">
        <v>262</v>
      </c>
      <c r="P75" s="57" t="s">
        <v>263</v>
      </c>
      <c r="Q75" s="60" t="s">
        <v>264</v>
      </c>
      <c r="R75" s="64" t="s">
        <v>207</v>
      </c>
      <c r="S75" s="65" t="s">
        <v>299</v>
      </c>
      <c r="T75" s="66">
        <v>-81.59</v>
      </c>
      <c r="U75" s="67">
        <v>-81.59</v>
      </c>
      <c r="V75" s="68">
        <v>-81.59</v>
      </c>
      <c r="W75" s="60" t="s">
        <v>300</v>
      </c>
      <c r="X75" s="69">
        <v>46022</v>
      </c>
      <c r="Y75" s="70">
        <v>46022</v>
      </c>
      <c r="Z75" s="60" t="s">
        <v>257</v>
      </c>
      <c r="AA75" s="44" t="s">
        <v>258</v>
      </c>
      <c r="AB75" s="57" t="s">
        <v>268</v>
      </c>
      <c r="AC75" s="59" t="s">
        <v>236</v>
      </c>
      <c r="AD75" s="60"/>
      <c r="AE75" s="71">
        <v>-81.59</v>
      </c>
      <c r="AF75" s="48" t="s">
        <v>58</v>
      </c>
      <c r="AG75" s="48" t="s">
        <v>59</v>
      </c>
      <c r="AH75" s="49" t="s">
        <v>265</v>
      </c>
      <c r="AI75" s="49" t="s">
        <v>61</v>
      </c>
      <c r="AJ75" s="50" t="s">
        <v>62</v>
      </c>
    </row>
    <row r="76" spans="1:36" ht="15.75" x14ac:dyDescent="0.25">
      <c r="A76" s="26">
        <v>31387</v>
      </c>
      <c r="B76" s="57" t="s">
        <v>36</v>
      </c>
      <c r="C76" s="58" t="s">
        <v>37</v>
      </c>
      <c r="D76" s="59" t="s">
        <v>36</v>
      </c>
      <c r="E76" s="60" t="s">
        <v>38</v>
      </c>
      <c r="F76" s="58" t="s">
        <v>39</v>
      </c>
      <c r="G76" s="57" t="s">
        <v>40</v>
      </c>
      <c r="H76" s="60" t="s">
        <v>41</v>
      </c>
      <c r="I76" s="58" t="s">
        <v>42</v>
      </c>
      <c r="J76" s="57" t="s">
        <v>43</v>
      </c>
      <c r="K76" s="60" t="s">
        <v>44</v>
      </c>
      <c r="L76" s="58" t="s">
        <v>45</v>
      </c>
      <c r="M76" s="57" t="s">
        <v>46</v>
      </c>
      <c r="N76" s="60" t="s">
        <v>47</v>
      </c>
      <c r="O76" s="58" t="s">
        <v>204</v>
      </c>
      <c r="P76" s="57" t="s">
        <v>205</v>
      </c>
      <c r="Q76" s="60" t="s">
        <v>206</v>
      </c>
      <c r="R76" s="64" t="s">
        <v>207</v>
      </c>
      <c r="S76" s="65" t="s">
        <v>299</v>
      </c>
      <c r="T76" s="66">
        <v>-294.13</v>
      </c>
      <c r="U76" s="67">
        <v>-294.13</v>
      </c>
      <c r="V76" s="68">
        <v>-294.13</v>
      </c>
      <c r="W76" s="60" t="s">
        <v>300</v>
      </c>
      <c r="X76" s="69">
        <v>46022</v>
      </c>
      <c r="Y76" s="70">
        <v>46022</v>
      </c>
      <c r="Z76" s="60" t="s">
        <v>257</v>
      </c>
      <c r="AA76" s="44" t="s">
        <v>258</v>
      </c>
      <c r="AB76" s="57" t="s">
        <v>268</v>
      </c>
      <c r="AC76" s="59" t="s">
        <v>236</v>
      </c>
      <c r="AD76" s="60"/>
      <c r="AE76" s="71">
        <v>-294.13</v>
      </c>
      <c r="AF76" s="48" t="s">
        <v>58</v>
      </c>
      <c r="AG76" s="48" t="s">
        <v>59</v>
      </c>
      <c r="AH76" s="49" t="s">
        <v>212</v>
      </c>
      <c r="AI76" s="49" t="s">
        <v>101</v>
      </c>
      <c r="AJ76" s="50" t="s">
        <v>102</v>
      </c>
    </row>
    <row r="77" spans="1:36" ht="15.75" x14ac:dyDescent="0.25">
      <c r="A77" s="26">
        <v>31393</v>
      </c>
      <c r="B77" s="57" t="s">
        <v>36</v>
      </c>
      <c r="C77" s="58" t="s">
        <v>37</v>
      </c>
      <c r="D77" s="59" t="s">
        <v>36</v>
      </c>
      <c r="E77" s="60" t="s">
        <v>38</v>
      </c>
      <c r="F77" s="58" t="s">
        <v>39</v>
      </c>
      <c r="G77" s="57" t="s">
        <v>40</v>
      </c>
      <c r="H77" s="60" t="s">
        <v>41</v>
      </c>
      <c r="I77" s="58" t="s">
        <v>42</v>
      </c>
      <c r="J77" s="57" t="s">
        <v>43</v>
      </c>
      <c r="K77" s="60" t="s">
        <v>44</v>
      </c>
      <c r="L77" s="58" t="s">
        <v>45</v>
      </c>
      <c r="M77" s="57" t="s">
        <v>46</v>
      </c>
      <c r="N77" s="60" t="s">
        <v>47</v>
      </c>
      <c r="O77" s="58" t="s">
        <v>192</v>
      </c>
      <c r="P77" s="57" t="s">
        <v>193</v>
      </c>
      <c r="Q77" s="60" t="s">
        <v>194</v>
      </c>
      <c r="R77" s="64" t="s">
        <v>207</v>
      </c>
      <c r="S77" s="65" t="s">
        <v>299</v>
      </c>
      <c r="T77" s="66">
        <v>-376.1</v>
      </c>
      <c r="U77" s="67">
        <v>-376.1</v>
      </c>
      <c r="V77" s="68">
        <v>-376.1</v>
      </c>
      <c r="W77" s="60" t="s">
        <v>300</v>
      </c>
      <c r="X77" s="69">
        <v>46022</v>
      </c>
      <c r="Y77" s="70">
        <v>46022</v>
      </c>
      <c r="Z77" s="60" t="s">
        <v>257</v>
      </c>
      <c r="AA77" s="44" t="s">
        <v>258</v>
      </c>
      <c r="AB77" s="57" t="s">
        <v>268</v>
      </c>
      <c r="AC77" s="59" t="s">
        <v>236</v>
      </c>
      <c r="AD77" s="60"/>
      <c r="AE77" s="71">
        <v>-376.1</v>
      </c>
      <c r="AF77" s="48" t="s">
        <v>58</v>
      </c>
      <c r="AG77" s="48" t="s">
        <v>157</v>
      </c>
      <c r="AH77" s="49" t="s">
        <v>199</v>
      </c>
      <c r="AI77" s="49" t="s">
        <v>200</v>
      </c>
      <c r="AJ77" s="50" t="s">
        <v>201</v>
      </c>
    </row>
    <row r="78" spans="1:36" ht="15.75" x14ac:dyDescent="0.25">
      <c r="A78" s="26">
        <v>31395</v>
      </c>
      <c r="B78" s="57" t="s">
        <v>36</v>
      </c>
      <c r="C78" s="58" t="s">
        <v>37</v>
      </c>
      <c r="D78" s="59" t="s">
        <v>36</v>
      </c>
      <c r="E78" s="60" t="s">
        <v>38</v>
      </c>
      <c r="F78" s="58" t="s">
        <v>39</v>
      </c>
      <c r="G78" s="57" t="s">
        <v>40</v>
      </c>
      <c r="H78" s="60" t="s">
        <v>41</v>
      </c>
      <c r="I78" s="58" t="s">
        <v>42</v>
      </c>
      <c r="J78" s="57" t="s">
        <v>43</v>
      </c>
      <c r="K78" s="60" t="s">
        <v>44</v>
      </c>
      <c r="L78" s="58" t="s">
        <v>45</v>
      </c>
      <c r="M78" s="57" t="s">
        <v>46</v>
      </c>
      <c r="N78" s="60" t="s">
        <v>47</v>
      </c>
      <c r="O78" s="58" t="s">
        <v>63</v>
      </c>
      <c r="P78" s="57" t="s">
        <v>64</v>
      </c>
      <c r="Q78" s="60" t="s">
        <v>65</v>
      </c>
      <c r="R78" s="64" t="s">
        <v>207</v>
      </c>
      <c r="S78" s="65" t="s">
        <v>299</v>
      </c>
      <c r="T78" s="66">
        <v>-392.64</v>
      </c>
      <c r="U78" s="67">
        <v>-392.64</v>
      </c>
      <c r="V78" s="68">
        <v>-392.64</v>
      </c>
      <c r="W78" s="60" t="s">
        <v>300</v>
      </c>
      <c r="X78" s="69">
        <v>46022</v>
      </c>
      <c r="Y78" s="70">
        <v>46022</v>
      </c>
      <c r="Z78" s="60" t="s">
        <v>257</v>
      </c>
      <c r="AA78" s="44" t="s">
        <v>258</v>
      </c>
      <c r="AB78" s="57" t="s">
        <v>268</v>
      </c>
      <c r="AC78" s="59" t="s">
        <v>236</v>
      </c>
      <c r="AD78" s="60"/>
      <c r="AE78" s="71">
        <v>-392.64</v>
      </c>
      <c r="AF78" s="48" t="s">
        <v>58</v>
      </c>
      <c r="AG78" s="48" t="s">
        <v>59</v>
      </c>
      <c r="AH78" s="49" t="s">
        <v>70</v>
      </c>
      <c r="AI78" s="49" t="s">
        <v>71</v>
      </c>
      <c r="AJ78" s="50" t="s">
        <v>72</v>
      </c>
    </row>
    <row r="79" spans="1:36" ht="15.75" x14ac:dyDescent="0.25">
      <c r="A79" s="26">
        <v>31401</v>
      </c>
      <c r="B79" s="57" t="s">
        <v>36</v>
      </c>
      <c r="C79" s="58" t="s">
        <v>37</v>
      </c>
      <c r="D79" s="59" t="s">
        <v>36</v>
      </c>
      <c r="E79" s="60" t="s">
        <v>38</v>
      </c>
      <c r="F79" s="58" t="s">
        <v>39</v>
      </c>
      <c r="G79" s="57" t="s">
        <v>40</v>
      </c>
      <c r="H79" s="60" t="s">
        <v>41</v>
      </c>
      <c r="I79" s="58" t="s">
        <v>42</v>
      </c>
      <c r="J79" s="57" t="s">
        <v>43</v>
      </c>
      <c r="K79" s="60" t="s">
        <v>44</v>
      </c>
      <c r="L79" s="58" t="s">
        <v>45</v>
      </c>
      <c r="M79" s="57" t="s">
        <v>46</v>
      </c>
      <c r="N79" s="60" t="s">
        <v>47</v>
      </c>
      <c r="O79" s="58" t="s">
        <v>251</v>
      </c>
      <c r="P79" s="57" t="s">
        <v>252</v>
      </c>
      <c r="Q79" s="60" t="s">
        <v>253</v>
      </c>
      <c r="R79" s="64" t="s">
        <v>207</v>
      </c>
      <c r="S79" s="65" t="s">
        <v>299</v>
      </c>
      <c r="T79" s="66">
        <v>-611.9</v>
      </c>
      <c r="U79" s="67">
        <v>-611.9</v>
      </c>
      <c r="V79" s="68">
        <v>-611.9</v>
      </c>
      <c r="W79" s="60" t="s">
        <v>300</v>
      </c>
      <c r="X79" s="69">
        <v>46022</v>
      </c>
      <c r="Y79" s="70">
        <v>46022</v>
      </c>
      <c r="Z79" s="60" t="s">
        <v>257</v>
      </c>
      <c r="AA79" s="44" t="s">
        <v>258</v>
      </c>
      <c r="AB79" s="57" t="s">
        <v>268</v>
      </c>
      <c r="AC79" s="59" t="s">
        <v>236</v>
      </c>
      <c r="AD79" s="60"/>
      <c r="AE79" s="71">
        <v>-611.9</v>
      </c>
      <c r="AF79" s="48" t="s">
        <v>58</v>
      </c>
      <c r="AG79" s="48" t="s">
        <v>59</v>
      </c>
      <c r="AH79" s="49" t="s">
        <v>259</v>
      </c>
      <c r="AI79" s="49" t="s">
        <v>61</v>
      </c>
      <c r="AJ79" s="50" t="s">
        <v>62</v>
      </c>
    </row>
    <row r="80" spans="1:36" ht="15.75" x14ac:dyDescent="0.25">
      <c r="A80" s="26">
        <v>13413</v>
      </c>
      <c r="B80" s="27" t="s">
        <v>36</v>
      </c>
      <c r="C80" s="28" t="s">
        <v>37</v>
      </c>
      <c r="D80" s="29" t="s">
        <v>36</v>
      </c>
      <c r="E80" s="30" t="s">
        <v>38</v>
      </c>
      <c r="F80" s="31" t="s">
        <v>39</v>
      </c>
      <c r="G80" s="32" t="s">
        <v>40</v>
      </c>
      <c r="H80" s="33" t="s">
        <v>41</v>
      </c>
      <c r="I80" s="31" t="s">
        <v>301</v>
      </c>
      <c r="J80" s="32" t="s">
        <v>302</v>
      </c>
      <c r="K80" s="33" t="s">
        <v>303</v>
      </c>
      <c r="L80" s="34" t="s">
        <v>304</v>
      </c>
      <c r="M80" s="35" t="s">
        <v>305</v>
      </c>
      <c r="N80" s="36" t="s">
        <v>306</v>
      </c>
      <c r="O80" s="31" t="s">
        <v>63</v>
      </c>
      <c r="P80" s="32" t="s">
        <v>64</v>
      </c>
      <c r="Q80" s="33" t="s">
        <v>65</v>
      </c>
      <c r="R80" s="37" t="s">
        <v>51</v>
      </c>
      <c r="S80" s="38" t="s">
        <v>307</v>
      </c>
      <c r="T80" s="39">
        <v>20</v>
      </c>
      <c r="U80" s="40">
        <v>-20</v>
      </c>
      <c r="V80" s="41">
        <v>-20</v>
      </c>
      <c r="W80" s="33" t="s">
        <v>308</v>
      </c>
      <c r="X80" s="42">
        <v>45810</v>
      </c>
      <c r="Y80" s="43">
        <v>45824</v>
      </c>
      <c r="Z80" s="33" t="s">
        <v>184</v>
      </c>
      <c r="AA80" s="44" t="s">
        <v>185</v>
      </c>
      <c r="AB80" s="45" t="s">
        <v>56</v>
      </c>
      <c r="AC80" s="46" t="s">
        <v>57</v>
      </c>
      <c r="AD80" s="33"/>
      <c r="AE80" s="47">
        <v>-20</v>
      </c>
      <c r="AF80" s="48" t="s">
        <v>58</v>
      </c>
      <c r="AG80" s="48" t="s">
        <v>59</v>
      </c>
      <c r="AH80" s="49" t="s">
        <v>70</v>
      </c>
      <c r="AI80" s="49" t="s">
        <v>71</v>
      </c>
      <c r="AJ80" s="50" t="s">
        <v>72</v>
      </c>
    </row>
    <row r="81" spans="1:36" ht="15.75" x14ac:dyDescent="0.25">
      <c r="A81" s="26">
        <v>13237</v>
      </c>
      <c r="B81" s="27" t="s">
        <v>36</v>
      </c>
      <c r="C81" s="28" t="s">
        <v>37</v>
      </c>
      <c r="D81" s="29" t="s">
        <v>36</v>
      </c>
      <c r="E81" s="30" t="s">
        <v>38</v>
      </c>
      <c r="F81" s="31" t="s">
        <v>39</v>
      </c>
      <c r="G81" s="32" t="s">
        <v>40</v>
      </c>
      <c r="H81" s="33" t="s">
        <v>41</v>
      </c>
      <c r="I81" s="31" t="s">
        <v>301</v>
      </c>
      <c r="J81" s="32" t="s">
        <v>302</v>
      </c>
      <c r="K81" s="33" t="s">
        <v>303</v>
      </c>
      <c r="L81" s="34" t="s">
        <v>304</v>
      </c>
      <c r="M81" s="35" t="s">
        <v>305</v>
      </c>
      <c r="N81" s="36" t="s">
        <v>306</v>
      </c>
      <c r="O81" s="31" t="s">
        <v>150</v>
      </c>
      <c r="P81" s="32" t="s">
        <v>151</v>
      </c>
      <c r="Q81" s="33" t="s">
        <v>152</v>
      </c>
      <c r="R81" s="37" t="s">
        <v>121</v>
      </c>
      <c r="S81" s="38" t="s">
        <v>309</v>
      </c>
      <c r="T81" s="39">
        <v>3150</v>
      </c>
      <c r="U81" s="40">
        <v>-3150</v>
      </c>
      <c r="V81" s="41">
        <v>-3150</v>
      </c>
      <c r="W81" s="33" t="s">
        <v>310</v>
      </c>
      <c r="X81" s="42">
        <v>45813</v>
      </c>
      <c r="Y81" s="43">
        <v>45814</v>
      </c>
      <c r="Z81" s="33" t="s">
        <v>311</v>
      </c>
      <c r="AA81" s="44" t="s">
        <v>312</v>
      </c>
      <c r="AB81" s="45" t="s">
        <v>56</v>
      </c>
      <c r="AC81" s="46" t="s">
        <v>57</v>
      </c>
      <c r="AD81" s="33"/>
      <c r="AE81" s="47">
        <v>-3150</v>
      </c>
      <c r="AF81" s="48" t="s">
        <v>58</v>
      </c>
      <c r="AG81" s="48" t="s">
        <v>157</v>
      </c>
      <c r="AH81" s="49" t="s">
        <v>158</v>
      </c>
      <c r="AI81" s="49" t="s">
        <v>159</v>
      </c>
      <c r="AJ81" s="50" t="s">
        <v>102</v>
      </c>
    </row>
    <row r="82" spans="1:36" ht="15.75" x14ac:dyDescent="0.25">
      <c r="A82" s="26">
        <v>13147</v>
      </c>
      <c r="B82" s="27" t="s">
        <v>36</v>
      </c>
      <c r="C82" s="28" t="s">
        <v>37</v>
      </c>
      <c r="D82" s="29" t="s">
        <v>36</v>
      </c>
      <c r="E82" s="30" t="s">
        <v>38</v>
      </c>
      <c r="F82" s="31" t="s">
        <v>39</v>
      </c>
      <c r="G82" s="32" t="s">
        <v>40</v>
      </c>
      <c r="H82" s="33" t="s">
        <v>41</v>
      </c>
      <c r="I82" s="31" t="s">
        <v>301</v>
      </c>
      <c r="J82" s="32" t="s">
        <v>302</v>
      </c>
      <c r="K82" s="33" t="s">
        <v>303</v>
      </c>
      <c r="L82" s="34" t="s">
        <v>304</v>
      </c>
      <c r="M82" s="35" t="s">
        <v>305</v>
      </c>
      <c r="N82" s="36" t="s">
        <v>306</v>
      </c>
      <c r="O82" s="31" t="s">
        <v>313</v>
      </c>
      <c r="P82" s="32" t="s">
        <v>314</v>
      </c>
      <c r="Q82" s="33" t="s">
        <v>315</v>
      </c>
      <c r="R82" s="37" t="s">
        <v>51</v>
      </c>
      <c r="S82" s="38" t="s">
        <v>316</v>
      </c>
      <c r="T82" s="39">
        <v>0</v>
      </c>
      <c r="U82" s="40">
        <v>-295.2</v>
      </c>
      <c r="V82" s="41">
        <v>-295.2</v>
      </c>
      <c r="W82" s="33" t="s">
        <v>317</v>
      </c>
      <c r="X82" s="42">
        <v>45814</v>
      </c>
      <c r="Y82" s="43"/>
      <c r="Z82" s="33" t="s">
        <v>318</v>
      </c>
      <c r="AA82" s="44" t="s">
        <v>319</v>
      </c>
      <c r="AB82" s="45" t="s">
        <v>56</v>
      </c>
      <c r="AC82" s="46" t="s">
        <v>57</v>
      </c>
      <c r="AD82" s="33"/>
      <c r="AE82" s="47">
        <v>-295.2</v>
      </c>
      <c r="AF82" s="48" t="s">
        <v>58</v>
      </c>
      <c r="AG82" s="48" t="s">
        <v>59</v>
      </c>
      <c r="AH82" s="49" t="s">
        <v>320</v>
      </c>
      <c r="AI82" s="49" t="s">
        <v>321</v>
      </c>
      <c r="AJ82" s="50" t="s">
        <v>62</v>
      </c>
    </row>
    <row r="83" spans="1:36" ht="15.75" x14ac:dyDescent="0.25">
      <c r="A83" s="26">
        <v>12932</v>
      </c>
      <c r="B83" s="27" t="s">
        <v>36</v>
      </c>
      <c r="C83" s="28" t="s">
        <v>37</v>
      </c>
      <c r="D83" s="29" t="s">
        <v>36</v>
      </c>
      <c r="E83" s="30" t="s">
        <v>38</v>
      </c>
      <c r="F83" s="31" t="s">
        <v>39</v>
      </c>
      <c r="G83" s="32" t="s">
        <v>40</v>
      </c>
      <c r="H83" s="33" t="s">
        <v>41</v>
      </c>
      <c r="I83" s="31" t="s">
        <v>301</v>
      </c>
      <c r="J83" s="32" t="s">
        <v>302</v>
      </c>
      <c r="K83" s="33" t="s">
        <v>303</v>
      </c>
      <c r="L83" s="34" t="s">
        <v>304</v>
      </c>
      <c r="M83" s="35" t="s">
        <v>305</v>
      </c>
      <c r="N83" s="36" t="s">
        <v>306</v>
      </c>
      <c r="O83" s="31" t="s">
        <v>63</v>
      </c>
      <c r="P83" s="32" t="s">
        <v>64</v>
      </c>
      <c r="Q83" s="33" t="s">
        <v>65</v>
      </c>
      <c r="R83" s="37" t="s">
        <v>51</v>
      </c>
      <c r="S83" s="38" t="s">
        <v>322</v>
      </c>
      <c r="T83" s="39">
        <v>2550</v>
      </c>
      <c r="U83" s="40">
        <v>-2550</v>
      </c>
      <c r="V83" s="41">
        <v>-2550</v>
      </c>
      <c r="W83" s="33" t="s">
        <v>323</v>
      </c>
      <c r="X83" s="42">
        <v>45819</v>
      </c>
      <c r="Y83" s="43">
        <v>45845</v>
      </c>
      <c r="Z83" s="33" t="s">
        <v>324</v>
      </c>
      <c r="AA83" s="44" t="s">
        <v>325</v>
      </c>
      <c r="AB83" s="45" t="s">
        <v>56</v>
      </c>
      <c r="AC83" s="46" t="s">
        <v>57</v>
      </c>
      <c r="AD83" s="33"/>
      <c r="AE83" s="47">
        <v>-2550</v>
      </c>
      <c r="AF83" s="48" t="s">
        <v>58</v>
      </c>
      <c r="AG83" s="48" t="s">
        <v>59</v>
      </c>
      <c r="AH83" s="49" t="s">
        <v>70</v>
      </c>
      <c r="AI83" s="49" t="s">
        <v>71</v>
      </c>
      <c r="AJ83" s="50" t="s">
        <v>72</v>
      </c>
    </row>
    <row r="84" spans="1:36" ht="15.75" x14ac:dyDescent="0.25">
      <c r="A84" s="26">
        <v>12619</v>
      </c>
      <c r="B84" s="27" t="s">
        <v>36</v>
      </c>
      <c r="C84" s="28" t="s">
        <v>37</v>
      </c>
      <c r="D84" s="29" t="s">
        <v>36</v>
      </c>
      <c r="E84" s="30" t="s">
        <v>38</v>
      </c>
      <c r="F84" s="31" t="s">
        <v>39</v>
      </c>
      <c r="G84" s="32" t="s">
        <v>40</v>
      </c>
      <c r="H84" s="33" t="s">
        <v>41</v>
      </c>
      <c r="I84" s="31" t="s">
        <v>301</v>
      </c>
      <c r="J84" s="32" t="s">
        <v>302</v>
      </c>
      <c r="K84" s="33" t="s">
        <v>303</v>
      </c>
      <c r="L84" s="34" t="s">
        <v>304</v>
      </c>
      <c r="M84" s="35" t="s">
        <v>305</v>
      </c>
      <c r="N84" s="36" t="s">
        <v>306</v>
      </c>
      <c r="O84" s="31" t="s">
        <v>326</v>
      </c>
      <c r="P84" s="32" t="s">
        <v>327</v>
      </c>
      <c r="Q84" s="33" t="s">
        <v>328</v>
      </c>
      <c r="R84" s="37" t="s">
        <v>51</v>
      </c>
      <c r="S84" s="38" t="s">
        <v>329</v>
      </c>
      <c r="T84" s="39">
        <v>600</v>
      </c>
      <c r="U84" s="40">
        <v>-600</v>
      </c>
      <c r="V84" s="41">
        <v>-600</v>
      </c>
      <c r="W84" s="33" t="s">
        <v>330</v>
      </c>
      <c r="X84" s="42">
        <v>45825</v>
      </c>
      <c r="Y84" s="43">
        <v>45825</v>
      </c>
      <c r="Z84" s="33" t="s">
        <v>331</v>
      </c>
      <c r="AA84" s="44" t="s">
        <v>332</v>
      </c>
      <c r="AB84" s="45" t="s">
        <v>56</v>
      </c>
      <c r="AC84" s="46" t="s">
        <v>57</v>
      </c>
      <c r="AD84" s="33"/>
      <c r="AE84" s="47">
        <v>-600</v>
      </c>
      <c r="AF84" s="48" t="s">
        <v>58</v>
      </c>
      <c r="AG84" s="48" t="s">
        <v>157</v>
      </c>
      <c r="AH84" s="49" t="s">
        <v>333</v>
      </c>
      <c r="AI84" s="49" t="s">
        <v>321</v>
      </c>
      <c r="AJ84" s="50" t="s">
        <v>62</v>
      </c>
    </row>
    <row r="85" spans="1:36" ht="15.75" x14ac:dyDescent="0.25">
      <c r="A85" s="26">
        <v>12666</v>
      </c>
      <c r="B85" s="27" t="s">
        <v>36</v>
      </c>
      <c r="C85" s="28" t="s">
        <v>37</v>
      </c>
      <c r="D85" s="29" t="s">
        <v>36</v>
      </c>
      <c r="E85" s="30" t="s">
        <v>38</v>
      </c>
      <c r="F85" s="31" t="s">
        <v>39</v>
      </c>
      <c r="G85" s="32" t="s">
        <v>40</v>
      </c>
      <c r="H85" s="33" t="s">
        <v>41</v>
      </c>
      <c r="I85" s="31" t="s">
        <v>301</v>
      </c>
      <c r="J85" s="32" t="s">
        <v>302</v>
      </c>
      <c r="K85" s="33" t="s">
        <v>303</v>
      </c>
      <c r="L85" s="34" t="s">
        <v>304</v>
      </c>
      <c r="M85" s="35" t="s">
        <v>305</v>
      </c>
      <c r="N85" s="36" t="s">
        <v>306</v>
      </c>
      <c r="O85" s="31" t="s">
        <v>334</v>
      </c>
      <c r="P85" s="32" t="s">
        <v>335</v>
      </c>
      <c r="Q85" s="33" t="s">
        <v>336</v>
      </c>
      <c r="R85" s="37" t="s">
        <v>51</v>
      </c>
      <c r="S85" s="38" t="s">
        <v>337</v>
      </c>
      <c r="T85" s="39">
        <v>450</v>
      </c>
      <c r="U85" s="40">
        <v>-450</v>
      </c>
      <c r="V85" s="41">
        <v>-450</v>
      </c>
      <c r="W85" s="33" t="s">
        <v>338</v>
      </c>
      <c r="X85" s="42">
        <v>45825</v>
      </c>
      <c r="Y85" s="43">
        <v>45833</v>
      </c>
      <c r="Z85" s="33" t="s">
        <v>339</v>
      </c>
      <c r="AA85" s="44" t="s">
        <v>340</v>
      </c>
      <c r="AB85" s="45" t="s">
        <v>56</v>
      </c>
      <c r="AC85" s="46" t="s">
        <v>57</v>
      </c>
      <c r="AD85" s="33"/>
      <c r="AE85" s="47">
        <v>-450</v>
      </c>
      <c r="AF85" s="48" t="s">
        <v>58</v>
      </c>
      <c r="AG85" s="48" t="s">
        <v>157</v>
      </c>
      <c r="AH85" s="49" t="s">
        <v>341</v>
      </c>
      <c r="AI85" s="49" t="s">
        <v>238</v>
      </c>
      <c r="AJ85" s="50" t="s">
        <v>201</v>
      </c>
    </row>
    <row r="86" spans="1:36" ht="15.75" x14ac:dyDescent="0.25">
      <c r="A86" s="26">
        <v>12611</v>
      </c>
      <c r="B86" s="27" t="s">
        <v>36</v>
      </c>
      <c r="C86" s="28" t="s">
        <v>37</v>
      </c>
      <c r="D86" s="29" t="s">
        <v>36</v>
      </c>
      <c r="E86" s="30" t="s">
        <v>38</v>
      </c>
      <c r="F86" s="31" t="s">
        <v>39</v>
      </c>
      <c r="G86" s="32" t="s">
        <v>40</v>
      </c>
      <c r="H86" s="33" t="s">
        <v>41</v>
      </c>
      <c r="I86" s="31" t="s">
        <v>301</v>
      </c>
      <c r="J86" s="32" t="s">
        <v>302</v>
      </c>
      <c r="K86" s="33" t="s">
        <v>303</v>
      </c>
      <c r="L86" s="34" t="s">
        <v>304</v>
      </c>
      <c r="M86" s="35" t="s">
        <v>305</v>
      </c>
      <c r="N86" s="36" t="s">
        <v>306</v>
      </c>
      <c r="O86" s="31" t="s">
        <v>63</v>
      </c>
      <c r="P86" s="32" t="s">
        <v>64</v>
      </c>
      <c r="Q86" s="33" t="s">
        <v>65</v>
      </c>
      <c r="R86" s="37" t="s">
        <v>51</v>
      </c>
      <c r="S86" s="38" t="s">
        <v>342</v>
      </c>
      <c r="T86" s="39">
        <v>894</v>
      </c>
      <c r="U86" s="40">
        <v>-894</v>
      </c>
      <c r="V86" s="41">
        <v>-894</v>
      </c>
      <c r="W86" s="33" t="s">
        <v>343</v>
      </c>
      <c r="X86" s="42">
        <v>45825</v>
      </c>
      <c r="Y86" s="43">
        <v>45833</v>
      </c>
      <c r="Z86" s="33" t="s">
        <v>344</v>
      </c>
      <c r="AA86" s="44" t="s">
        <v>345</v>
      </c>
      <c r="AB86" s="45" t="s">
        <v>56</v>
      </c>
      <c r="AC86" s="46" t="s">
        <v>57</v>
      </c>
      <c r="AD86" s="33"/>
      <c r="AE86" s="47">
        <v>-894</v>
      </c>
      <c r="AF86" s="48" t="s">
        <v>58</v>
      </c>
      <c r="AG86" s="48" t="s">
        <v>59</v>
      </c>
      <c r="AH86" s="49" t="s">
        <v>70</v>
      </c>
      <c r="AI86" s="49" t="s">
        <v>71</v>
      </c>
      <c r="AJ86" s="50" t="s">
        <v>72</v>
      </c>
    </row>
    <row r="87" spans="1:36" ht="15.75" x14ac:dyDescent="0.25">
      <c r="A87" s="26">
        <v>12485</v>
      </c>
      <c r="B87" s="27" t="s">
        <v>36</v>
      </c>
      <c r="C87" s="28" t="s">
        <v>37</v>
      </c>
      <c r="D87" s="29" t="s">
        <v>36</v>
      </c>
      <c r="E87" s="30" t="s">
        <v>38</v>
      </c>
      <c r="F87" s="31" t="s">
        <v>39</v>
      </c>
      <c r="G87" s="32" t="s">
        <v>40</v>
      </c>
      <c r="H87" s="33" t="s">
        <v>41</v>
      </c>
      <c r="I87" s="31" t="s">
        <v>301</v>
      </c>
      <c r="J87" s="32" t="s">
        <v>302</v>
      </c>
      <c r="K87" s="33" t="s">
        <v>303</v>
      </c>
      <c r="L87" s="34" t="s">
        <v>304</v>
      </c>
      <c r="M87" s="35" t="s">
        <v>305</v>
      </c>
      <c r="N87" s="36" t="s">
        <v>306</v>
      </c>
      <c r="O87" s="31" t="s">
        <v>326</v>
      </c>
      <c r="P87" s="32" t="s">
        <v>327</v>
      </c>
      <c r="Q87" s="33" t="s">
        <v>328</v>
      </c>
      <c r="R87" s="37" t="s">
        <v>51</v>
      </c>
      <c r="S87" s="38" t="s">
        <v>346</v>
      </c>
      <c r="T87" s="39">
        <v>600</v>
      </c>
      <c r="U87" s="40">
        <v>-600</v>
      </c>
      <c r="V87" s="41">
        <v>-600</v>
      </c>
      <c r="W87" s="33" t="s">
        <v>330</v>
      </c>
      <c r="X87" s="42">
        <v>45828</v>
      </c>
      <c r="Y87" s="43">
        <v>45831</v>
      </c>
      <c r="Z87" s="33" t="s">
        <v>331</v>
      </c>
      <c r="AA87" s="44" t="s">
        <v>332</v>
      </c>
      <c r="AB87" s="45" t="s">
        <v>56</v>
      </c>
      <c r="AC87" s="46" t="s">
        <v>57</v>
      </c>
      <c r="AD87" s="33"/>
      <c r="AE87" s="47">
        <v>-600</v>
      </c>
      <c r="AF87" s="48" t="s">
        <v>58</v>
      </c>
      <c r="AG87" s="48" t="s">
        <v>157</v>
      </c>
      <c r="AH87" s="49" t="s">
        <v>333</v>
      </c>
      <c r="AI87" s="49" t="s">
        <v>321</v>
      </c>
      <c r="AJ87" s="50" t="s">
        <v>62</v>
      </c>
    </row>
    <row r="88" spans="1:36" ht="15.75" x14ac:dyDescent="0.25">
      <c r="A88" s="26">
        <v>12353</v>
      </c>
      <c r="B88" s="27" t="s">
        <v>36</v>
      </c>
      <c r="C88" s="28" t="s">
        <v>37</v>
      </c>
      <c r="D88" s="29" t="s">
        <v>36</v>
      </c>
      <c r="E88" s="30" t="s">
        <v>38</v>
      </c>
      <c r="F88" s="31" t="s">
        <v>39</v>
      </c>
      <c r="G88" s="32" t="s">
        <v>40</v>
      </c>
      <c r="H88" s="33" t="s">
        <v>41</v>
      </c>
      <c r="I88" s="31" t="s">
        <v>301</v>
      </c>
      <c r="J88" s="32" t="s">
        <v>302</v>
      </c>
      <c r="K88" s="33" t="s">
        <v>303</v>
      </c>
      <c r="L88" s="34" t="s">
        <v>304</v>
      </c>
      <c r="M88" s="35" t="s">
        <v>305</v>
      </c>
      <c r="N88" s="36" t="s">
        <v>306</v>
      </c>
      <c r="O88" s="31" t="s">
        <v>63</v>
      </c>
      <c r="P88" s="32" t="s">
        <v>64</v>
      </c>
      <c r="Q88" s="33" t="s">
        <v>65</v>
      </c>
      <c r="R88" s="37" t="s">
        <v>51</v>
      </c>
      <c r="S88" s="38" t="s">
        <v>347</v>
      </c>
      <c r="T88" s="39">
        <v>1880</v>
      </c>
      <c r="U88" s="40">
        <v>-1880</v>
      </c>
      <c r="V88" s="41">
        <v>-1880</v>
      </c>
      <c r="W88" s="33" t="s">
        <v>348</v>
      </c>
      <c r="X88" s="42">
        <v>45832</v>
      </c>
      <c r="Y88" s="43">
        <v>45845</v>
      </c>
      <c r="Z88" s="33" t="s">
        <v>344</v>
      </c>
      <c r="AA88" s="44" t="s">
        <v>345</v>
      </c>
      <c r="AB88" s="45" t="s">
        <v>56</v>
      </c>
      <c r="AC88" s="46" t="s">
        <v>57</v>
      </c>
      <c r="AD88" s="33"/>
      <c r="AE88" s="47">
        <v>-1880</v>
      </c>
      <c r="AF88" s="48" t="s">
        <v>58</v>
      </c>
      <c r="AG88" s="48" t="s">
        <v>59</v>
      </c>
      <c r="AH88" s="49" t="s">
        <v>70</v>
      </c>
      <c r="AI88" s="49" t="s">
        <v>71</v>
      </c>
      <c r="AJ88" s="50" t="s">
        <v>72</v>
      </c>
    </row>
    <row r="89" spans="1:36" ht="15.75" x14ac:dyDescent="0.25">
      <c r="A89" s="26">
        <v>12357</v>
      </c>
      <c r="B89" s="27" t="s">
        <v>36</v>
      </c>
      <c r="C89" s="28" t="s">
        <v>37</v>
      </c>
      <c r="D89" s="29" t="s">
        <v>36</v>
      </c>
      <c r="E89" s="30" t="s">
        <v>38</v>
      </c>
      <c r="F89" s="31" t="s">
        <v>39</v>
      </c>
      <c r="G89" s="32" t="s">
        <v>40</v>
      </c>
      <c r="H89" s="33" t="s">
        <v>41</v>
      </c>
      <c r="I89" s="31" t="s">
        <v>301</v>
      </c>
      <c r="J89" s="32" t="s">
        <v>302</v>
      </c>
      <c r="K89" s="33" t="s">
        <v>303</v>
      </c>
      <c r="L89" s="34" t="s">
        <v>304</v>
      </c>
      <c r="M89" s="35" t="s">
        <v>305</v>
      </c>
      <c r="N89" s="36" t="s">
        <v>306</v>
      </c>
      <c r="O89" s="31" t="s">
        <v>63</v>
      </c>
      <c r="P89" s="32" t="s">
        <v>64</v>
      </c>
      <c r="Q89" s="33" t="s">
        <v>65</v>
      </c>
      <c r="R89" s="37" t="s">
        <v>51</v>
      </c>
      <c r="S89" s="38" t="s">
        <v>349</v>
      </c>
      <c r="T89" s="39">
        <v>1800</v>
      </c>
      <c r="U89" s="40">
        <v>-1800</v>
      </c>
      <c r="V89" s="41">
        <v>-1800</v>
      </c>
      <c r="W89" s="33" t="s">
        <v>350</v>
      </c>
      <c r="X89" s="42">
        <v>45832</v>
      </c>
      <c r="Y89" s="43">
        <v>45845</v>
      </c>
      <c r="Z89" s="33" t="s">
        <v>344</v>
      </c>
      <c r="AA89" s="44" t="s">
        <v>345</v>
      </c>
      <c r="AB89" s="45" t="s">
        <v>56</v>
      </c>
      <c r="AC89" s="46" t="s">
        <v>57</v>
      </c>
      <c r="AD89" s="33"/>
      <c r="AE89" s="47">
        <v>-1800</v>
      </c>
      <c r="AF89" s="48" t="s">
        <v>58</v>
      </c>
      <c r="AG89" s="48" t="s">
        <v>59</v>
      </c>
      <c r="AH89" s="49" t="s">
        <v>70</v>
      </c>
      <c r="AI89" s="49" t="s">
        <v>71</v>
      </c>
      <c r="AJ89" s="50" t="s">
        <v>72</v>
      </c>
    </row>
    <row r="90" spans="1:36" ht="15.75" x14ac:dyDescent="0.25">
      <c r="A90" s="26">
        <v>12189</v>
      </c>
      <c r="B90" s="27" t="s">
        <v>36</v>
      </c>
      <c r="C90" s="28" t="s">
        <v>37</v>
      </c>
      <c r="D90" s="29" t="s">
        <v>36</v>
      </c>
      <c r="E90" s="30" t="s">
        <v>38</v>
      </c>
      <c r="F90" s="31" t="s">
        <v>39</v>
      </c>
      <c r="G90" s="32" t="s">
        <v>40</v>
      </c>
      <c r="H90" s="33" t="s">
        <v>41</v>
      </c>
      <c r="I90" s="31" t="s">
        <v>301</v>
      </c>
      <c r="J90" s="32" t="s">
        <v>302</v>
      </c>
      <c r="K90" s="33" t="s">
        <v>303</v>
      </c>
      <c r="L90" s="34" t="s">
        <v>304</v>
      </c>
      <c r="M90" s="35" t="s">
        <v>305</v>
      </c>
      <c r="N90" s="36" t="s">
        <v>306</v>
      </c>
      <c r="O90" s="31" t="s">
        <v>326</v>
      </c>
      <c r="P90" s="32" t="s">
        <v>327</v>
      </c>
      <c r="Q90" s="33" t="s">
        <v>328</v>
      </c>
      <c r="R90" s="37" t="s">
        <v>51</v>
      </c>
      <c r="S90" s="38" t="s">
        <v>351</v>
      </c>
      <c r="T90" s="39">
        <v>600</v>
      </c>
      <c r="U90" s="40">
        <v>-600</v>
      </c>
      <c r="V90" s="41">
        <v>-600</v>
      </c>
      <c r="W90" s="33" t="s">
        <v>330</v>
      </c>
      <c r="X90" s="42">
        <v>45835</v>
      </c>
      <c r="Y90" s="43">
        <v>45838</v>
      </c>
      <c r="Z90" s="33" t="s">
        <v>331</v>
      </c>
      <c r="AA90" s="44" t="s">
        <v>332</v>
      </c>
      <c r="AB90" s="45" t="s">
        <v>56</v>
      </c>
      <c r="AC90" s="46" t="s">
        <v>57</v>
      </c>
      <c r="AD90" s="33"/>
      <c r="AE90" s="47">
        <v>-600</v>
      </c>
      <c r="AF90" s="48" t="s">
        <v>58</v>
      </c>
      <c r="AG90" s="48" t="s">
        <v>157</v>
      </c>
      <c r="AH90" s="49" t="s">
        <v>333</v>
      </c>
      <c r="AI90" s="49" t="s">
        <v>321</v>
      </c>
      <c r="AJ90" s="50" t="s">
        <v>62</v>
      </c>
    </row>
    <row r="91" spans="1:36" ht="15.75" x14ac:dyDescent="0.25">
      <c r="A91" s="26">
        <v>14928</v>
      </c>
      <c r="B91" s="27" t="s">
        <v>36</v>
      </c>
      <c r="C91" s="28" t="s">
        <v>37</v>
      </c>
      <c r="D91" s="29" t="s">
        <v>36</v>
      </c>
      <c r="E91" s="30" t="s">
        <v>38</v>
      </c>
      <c r="F91" s="31" t="s">
        <v>39</v>
      </c>
      <c r="G91" s="32" t="s">
        <v>40</v>
      </c>
      <c r="H91" s="33" t="s">
        <v>41</v>
      </c>
      <c r="I91" s="31" t="s">
        <v>301</v>
      </c>
      <c r="J91" s="32" t="s">
        <v>302</v>
      </c>
      <c r="K91" s="33" t="s">
        <v>303</v>
      </c>
      <c r="L91" s="31" t="s">
        <v>304</v>
      </c>
      <c r="M91" s="32" t="s">
        <v>305</v>
      </c>
      <c r="N91" s="33" t="s">
        <v>306</v>
      </c>
      <c r="O91" s="31" t="s">
        <v>63</v>
      </c>
      <c r="P91" s="32" t="s">
        <v>64</v>
      </c>
      <c r="Q91" s="33" t="s">
        <v>65</v>
      </c>
      <c r="R91" s="37" t="s">
        <v>51</v>
      </c>
      <c r="S91" s="38" t="s">
        <v>352</v>
      </c>
      <c r="T91" s="39">
        <v>-1000</v>
      </c>
      <c r="U91" s="40"/>
      <c r="V91" s="41">
        <v>-1000</v>
      </c>
      <c r="W91" s="33" t="s">
        <v>353</v>
      </c>
      <c r="X91" s="42">
        <v>45839</v>
      </c>
      <c r="Y91" s="43">
        <v>45853</v>
      </c>
      <c r="Z91" s="33" t="s">
        <v>344</v>
      </c>
      <c r="AA91" s="44" t="s">
        <v>345</v>
      </c>
      <c r="AB91" s="45" t="s">
        <v>56</v>
      </c>
      <c r="AC91" s="46" t="s">
        <v>57</v>
      </c>
      <c r="AD91" s="33"/>
      <c r="AE91" s="47">
        <v>-1000</v>
      </c>
      <c r="AF91" s="48" t="s">
        <v>58</v>
      </c>
      <c r="AG91" s="48" t="s">
        <v>59</v>
      </c>
      <c r="AH91" s="49" t="s">
        <v>70</v>
      </c>
      <c r="AI91" s="49" t="s">
        <v>71</v>
      </c>
      <c r="AJ91" s="50" t="s">
        <v>72</v>
      </c>
    </row>
    <row r="92" spans="1:36" ht="15.75" x14ac:dyDescent="0.25">
      <c r="A92" s="26">
        <v>14391</v>
      </c>
      <c r="B92" s="27" t="s">
        <v>36</v>
      </c>
      <c r="C92" s="28" t="s">
        <v>37</v>
      </c>
      <c r="D92" s="29" t="s">
        <v>36</v>
      </c>
      <c r="E92" s="30" t="s">
        <v>38</v>
      </c>
      <c r="F92" s="31" t="s">
        <v>39</v>
      </c>
      <c r="G92" s="32" t="s">
        <v>40</v>
      </c>
      <c r="H92" s="33" t="s">
        <v>41</v>
      </c>
      <c r="I92" s="31" t="s">
        <v>301</v>
      </c>
      <c r="J92" s="32" t="s">
        <v>302</v>
      </c>
      <c r="K92" s="33" t="s">
        <v>303</v>
      </c>
      <c r="L92" s="31" t="s">
        <v>304</v>
      </c>
      <c r="M92" s="32" t="s">
        <v>305</v>
      </c>
      <c r="N92" s="33" t="s">
        <v>306</v>
      </c>
      <c r="O92" s="31" t="s">
        <v>83</v>
      </c>
      <c r="P92" s="32" t="s">
        <v>84</v>
      </c>
      <c r="Q92" s="33" t="s">
        <v>85</v>
      </c>
      <c r="R92" s="37" t="s">
        <v>51</v>
      </c>
      <c r="S92" s="38" t="s">
        <v>354</v>
      </c>
      <c r="T92" s="39">
        <v>-36.99</v>
      </c>
      <c r="U92" s="40"/>
      <c r="V92" s="41">
        <v>-36.99</v>
      </c>
      <c r="W92" s="33" t="s">
        <v>355</v>
      </c>
      <c r="X92" s="42">
        <v>45839</v>
      </c>
      <c r="Y92" s="43">
        <v>45884</v>
      </c>
      <c r="Z92" s="33" t="s">
        <v>356</v>
      </c>
      <c r="AA92" s="44" t="s">
        <v>357</v>
      </c>
      <c r="AB92" s="45" t="s">
        <v>56</v>
      </c>
      <c r="AC92" s="46" t="s">
        <v>57</v>
      </c>
      <c r="AD92" s="33"/>
      <c r="AE92" s="47">
        <v>-36.99</v>
      </c>
      <c r="AF92" s="48" t="s">
        <v>58</v>
      </c>
      <c r="AG92" s="48" t="s">
        <v>59</v>
      </c>
      <c r="AH92" s="49" t="s">
        <v>89</v>
      </c>
      <c r="AI92" s="49" t="s">
        <v>61</v>
      </c>
      <c r="AJ92" s="50" t="s">
        <v>62</v>
      </c>
    </row>
    <row r="93" spans="1:36" ht="15.75" x14ac:dyDescent="0.25">
      <c r="A93" s="26">
        <v>15422</v>
      </c>
      <c r="B93" s="27" t="s">
        <v>36</v>
      </c>
      <c r="C93" s="28" t="s">
        <v>37</v>
      </c>
      <c r="D93" s="29" t="s">
        <v>36</v>
      </c>
      <c r="E93" s="30" t="s">
        <v>38</v>
      </c>
      <c r="F93" s="31" t="s">
        <v>39</v>
      </c>
      <c r="G93" s="32" t="s">
        <v>40</v>
      </c>
      <c r="H93" s="33" t="s">
        <v>41</v>
      </c>
      <c r="I93" s="31" t="s">
        <v>301</v>
      </c>
      <c r="J93" s="32" t="s">
        <v>302</v>
      </c>
      <c r="K93" s="33" t="s">
        <v>303</v>
      </c>
      <c r="L93" s="31" t="s">
        <v>304</v>
      </c>
      <c r="M93" s="32" t="s">
        <v>305</v>
      </c>
      <c r="N93" s="33" t="s">
        <v>306</v>
      </c>
      <c r="O93" s="31" t="s">
        <v>63</v>
      </c>
      <c r="P93" s="32" t="s">
        <v>64</v>
      </c>
      <c r="Q93" s="33" t="s">
        <v>65</v>
      </c>
      <c r="R93" s="37" t="s">
        <v>51</v>
      </c>
      <c r="S93" s="38" t="s">
        <v>358</v>
      </c>
      <c r="T93" s="39">
        <v>-1440</v>
      </c>
      <c r="U93" s="40"/>
      <c r="V93" s="41">
        <v>-1440</v>
      </c>
      <c r="W93" s="33" t="s">
        <v>359</v>
      </c>
      <c r="X93" s="42">
        <v>45840</v>
      </c>
      <c r="Y93" s="43">
        <v>45853</v>
      </c>
      <c r="Z93" s="33" t="s">
        <v>360</v>
      </c>
      <c r="AA93" s="44" t="s">
        <v>361</v>
      </c>
      <c r="AB93" s="45" t="s">
        <v>56</v>
      </c>
      <c r="AC93" s="46" t="s">
        <v>57</v>
      </c>
      <c r="AD93" s="33"/>
      <c r="AE93" s="47">
        <v>-1440</v>
      </c>
      <c r="AF93" s="48" t="s">
        <v>58</v>
      </c>
      <c r="AG93" s="48" t="s">
        <v>59</v>
      </c>
      <c r="AH93" s="49" t="s">
        <v>70</v>
      </c>
      <c r="AI93" s="49" t="s">
        <v>71</v>
      </c>
      <c r="AJ93" s="50" t="s">
        <v>72</v>
      </c>
    </row>
    <row r="94" spans="1:36" ht="15.75" x14ac:dyDescent="0.25">
      <c r="A94" s="26">
        <v>16043</v>
      </c>
      <c r="B94" s="27" t="s">
        <v>36</v>
      </c>
      <c r="C94" s="28" t="s">
        <v>37</v>
      </c>
      <c r="D94" s="29" t="s">
        <v>36</v>
      </c>
      <c r="E94" s="30" t="s">
        <v>38</v>
      </c>
      <c r="F94" s="31" t="s">
        <v>39</v>
      </c>
      <c r="G94" s="32" t="s">
        <v>40</v>
      </c>
      <c r="H94" s="33" t="s">
        <v>41</v>
      </c>
      <c r="I94" s="31" t="s">
        <v>301</v>
      </c>
      <c r="J94" s="32" t="s">
        <v>302</v>
      </c>
      <c r="K94" s="33" t="s">
        <v>303</v>
      </c>
      <c r="L94" s="31" t="s">
        <v>304</v>
      </c>
      <c r="M94" s="32" t="s">
        <v>305</v>
      </c>
      <c r="N94" s="33" t="s">
        <v>306</v>
      </c>
      <c r="O94" s="31" t="s">
        <v>150</v>
      </c>
      <c r="P94" s="32" t="s">
        <v>151</v>
      </c>
      <c r="Q94" s="33" t="s">
        <v>152</v>
      </c>
      <c r="R94" s="37" t="s">
        <v>121</v>
      </c>
      <c r="S94" s="38" t="s">
        <v>362</v>
      </c>
      <c r="T94" s="39">
        <v>-1750</v>
      </c>
      <c r="U94" s="40"/>
      <c r="V94" s="41">
        <v>-1750</v>
      </c>
      <c r="W94" s="33" t="s">
        <v>363</v>
      </c>
      <c r="X94" s="42">
        <v>45841</v>
      </c>
      <c r="Y94" s="43">
        <v>45843</v>
      </c>
      <c r="Z94" s="33" t="s">
        <v>311</v>
      </c>
      <c r="AA94" s="44" t="s">
        <v>312</v>
      </c>
      <c r="AB94" s="45" t="s">
        <v>56</v>
      </c>
      <c r="AC94" s="46" t="s">
        <v>57</v>
      </c>
      <c r="AD94" s="33"/>
      <c r="AE94" s="47">
        <v>-1750</v>
      </c>
      <c r="AF94" s="48" t="s">
        <v>58</v>
      </c>
      <c r="AG94" s="48" t="s">
        <v>157</v>
      </c>
      <c r="AH94" s="49" t="s">
        <v>158</v>
      </c>
      <c r="AI94" s="49" t="s">
        <v>159</v>
      </c>
      <c r="AJ94" s="50" t="s">
        <v>102</v>
      </c>
    </row>
    <row r="95" spans="1:36" ht="15.75" x14ac:dyDescent="0.25">
      <c r="A95" s="26">
        <v>16039</v>
      </c>
      <c r="B95" s="27" t="s">
        <v>36</v>
      </c>
      <c r="C95" s="28" t="s">
        <v>37</v>
      </c>
      <c r="D95" s="29" t="s">
        <v>36</v>
      </c>
      <c r="E95" s="30" t="s">
        <v>38</v>
      </c>
      <c r="F95" s="31" t="s">
        <v>39</v>
      </c>
      <c r="G95" s="32" t="s">
        <v>40</v>
      </c>
      <c r="H95" s="33" t="s">
        <v>41</v>
      </c>
      <c r="I95" s="31" t="s">
        <v>301</v>
      </c>
      <c r="J95" s="32" t="s">
        <v>302</v>
      </c>
      <c r="K95" s="33" t="s">
        <v>303</v>
      </c>
      <c r="L95" s="31" t="s">
        <v>304</v>
      </c>
      <c r="M95" s="32" t="s">
        <v>305</v>
      </c>
      <c r="N95" s="33" t="s">
        <v>306</v>
      </c>
      <c r="O95" s="31" t="s">
        <v>326</v>
      </c>
      <c r="P95" s="32" t="s">
        <v>327</v>
      </c>
      <c r="Q95" s="33" t="s">
        <v>328</v>
      </c>
      <c r="R95" s="37" t="s">
        <v>51</v>
      </c>
      <c r="S95" s="38" t="s">
        <v>364</v>
      </c>
      <c r="T95" s="39">
        <v>-600</v>
      </c>
      <c r="U95" s="40"/>
      <c r="V95" s="41">
        <v>-600</v>
      </c>
      <c r="W95" s="33" t="s">
        <v>365</v>
      </c>
      <c r="X95" s="42">
        <v>45845</v>
      </c>
      <c r="Y95" s="43">
        <v>45845</v>
      </c>
      <c r="Z95" s="33" t="s">
        <v>331</v>
      </c>
      <c r="AA95" s="44" t="s">
        <v>332</v>
      </c>
      <c r="AB95" s="45" t="s">
        <v>56</v>
      </c>
      <c r="AC95" s="46" t="s">
        <v>57</v>
      </c>
      <c r="AD95" s="33"/>
      <c r="AE95" s="47">
        <v>-600</v>
      </c>
      <c r="AF95" s="48" t="s">
        <v>58</v>
      </c>
      <c r="AG95" s="48" t="s">
        <v>157</v>
      </c>
      <c r="AH95" s="49" t="s">
        <v>333</v>
      </c>
      <c r="AI95" s="49" t="s">
        <v>321</v>
      </c>
      <c r="AJ95" s="50" t="s">
        <v>62</v>
      </c>
    </row>
    <row r="96" spans="1:36" ht="15.75" x14ac:dyDescent="0.25">
      <c r="A96" s="26">
        <v>16040</v>
      </c>
      <c r="B96" s="27" t="s">
        <v>36</v>
      </c>
      <c r="C96" s="28" t="s">
        <v>37</v>
      </c>
      <c r="D96" s="29" t="s">
        <v>36</v>
      </c>
      <c r="E96" s="30" t="s">
        <v>38</v>
      </c>
      <c r="F96" s="31" t="s">
        <v>39</v>
      </c>
      <c r="G96" s="32" t="s">
        <v>40</v>
      </c>
      <c r="H96" s="33" t="s">
        <v>41</v>
      </c>
      <c r="I96" s="31" t="s">
        <v>301</v>
      </c>
      <c r="J96" s="32" t="s">
        <v>302</v>
      </c>
      <c r="K96" s="33" t="s">
        <v>303</v>
      </c>
      <c r="L96" s="31" t="s">
        <v>304</v>
      </c>
      <c r="M96" s="32" t="s">
        <v>305</v>
      </c>
      <c r="N96" s="33" t="s">
        <v>306</v>
      </c>
      <c r="O96" s="31" t="s">
        <v>326</v>
      </c>
      <c r="P96" s="32" t="s">
        <v>327</v>
      </c>
      <c r="Q96" s="33" t="s">
        <v>328</v>
      </c>
      <c r="R96" s="37" t="s">
        <v>51</v>
      </c>
      <c r="S96" s="38" t="s">
        <v>366</v>
      </c>
      <c r="T96" s="39">
        <v>-600</v>
      </c>
      <c r="U96" s="40"/>
      <c r="V96" s="41">
        <v>-600</v>
      </c>
      <c r="W96" s="33" t="s">
        <v>367</v>
      </c>
      <c r="X96" s="42">
        <v>45849</v>
      </c>
      <c r="Y96" s="43">
        <v>45852</v>
      </c>
      <c r="Z96" s="33" t="s">
        <v>331</v>
      </c>
      <c r="AA96" s="44" t="s">
        <v>332</v>
      </c>
      <c r="AB96" s="45" t="s">
        <v>56</v>
      </c>
      <c r="AC96" s="46" t="s">
        <v>57</v>
      </c>
      <c r="AD96" s="33"/>
      <c r="AE96" s="47">
        <v>-600</v>
      </c>
      <c r="AF96" s="48" t="s">
        <v>58</v>
      </c>
      <c r="AG96" s="48" t="s">
        <v>157</v>
      </c>
      <c r="AH96" s="49" t="s">
        <v>333</v>
      </c>
      <c r="AI96" s="49" t="s">
        <v>321</v>
      </c>
      <c r="AJ96" s="50" t="s">
        <v>62</v>
      </c>
    </row>
    <row r="97" spans="1:36" ht="15.75" x14ac:dyDescent="0.25">
      <c r="A97" s="26">
        <v>14641</v>
      </c>
      <c r="B97" s="27" t="s">
        <v>36</v>
      </c>
      <c r="C97" s="28" t="s">
        <v>37</v>
      </c>
      <c r="D97" s="29" t="s">
        <v>36</v>
      </c>
      <c r="E97" s="30" t="s">
        <v>38</v>
      </c>
      <c r="F97" s="31" t="s">
        <v>39</v>
      </c>
      <c r="G97" s="32" t="s">
        <v>40</v>
      </c>
      <c r="H97" s="33" t="s">
        <v>41</v>
      </c>
      <c r="I97" s="31" t="s">
        <v>301</v>
      </c>
      <c r="J97" s="32" t="s">
        <v>302</v>
      </c>
      <c r="K97" s="33" t="s">
        <v>303</v>
      </c>
      <c r="L97" s="31" t="s">
        <v>304</v>
      </c>
      <c r="M97" s="32" t="s">
        <v>305</v>
      </c>
      <c r="N97" s="33" t="s">
        <v>306</v>
      </c>
      <c r="O97" s="31" t="s">
        <v>83</v>
      </c>
      <c r="P97" s="32" t="s">
        <v>84</v>
      </c>
      <c r="Q97" s="33" t="s">
        <v>85</v>
      </c>
      <c r="R97" s="37" t="s">
        <v>51</v>
      </c>
      <c r="S97" s="38" t="s">
        <v>368</v>
      </c>
      <c r="T97" s="39">
        <v>-64.849999999999994</v>
      </c>
      <c r="U97" s="40"/>
      <c r="V97" s="41">
        <v>-64.849999999999994</v>
      </c>
      <c r="W97" s="33" t="s">
        <v>256</v>
      </c>
      <c r="X97" s="42">
        <v>45853</v>
      </c>
      <c r="Y97" s="43">
        <v>45884</v>
      </c>
      <c r="Z97" s="33" t="s">
        <v>356</v>
      </c>
      <c r="AA97" s="44" t="s">
        <v>357</v>
      </c>
      <c r="AB97" s="45" t="s">
        <v>56</v>
      </c>
      <c r="AC97" s="46" t="s">
        <v>57</v>
      </c>
      <c r="AD97" s="33"/>
      <c r="AE97" s="47">
        <v>-64.849999999999994</v>
      </c>
      <c r="AF97" s="48" t="s">
        <v>58</v>
      </c>
      <c r="AG97" s="48" t="s">
        <v>59</v>
      </c>
      <c r="AH97" s="49" t="s">
        <v>89</v>
      </c>
      <c r="AI97" s="49" t="s">
        <v>61</v>
      </c>
      <c r="AJ97" s="50" t="s">
        <v>62</v>
      </c>
    </row>
    <row r="98" spans="1:36" ht="15.75" x14ac:dyDescent="0.25">
      <c r="A98" s="26">
        <v>15180</v>
      </c>
      <c r="B98" s="27" t="s">
        <v>36</v>
      </c>
      <c r="C98" s="28" t="s">
        <v>37</v>
      </c>
      <c r="D98" s="29" t="s">
        <v>36</v>
      </c>
      <c r="E98" s="30" t="s">
        <v>38</v>
      </c>
      <c r="F98" s="31" t="s">
        <v>39</v>
      </c>
      <c r="G98" s="32" t="s">
        <v>40</v>
      </c>
      <c r="H98" s="33" t="s">
        <v>41</v>
      </c>
      <c r="I98" s="31" t="s">
        <v>301</v>
      </c>
      <c r="J98" s="32" t="s">
        <v>302</v>
      </c>
      <c r="K98" s="33" t="s">
        <v>303</v>
      </c>
      <c r="L98" s="31" t="s">
        <v>304</v>
      </c>
      <c r="M98" s="32" t="s">
        <v>305</v>
      </c>
      <c r="N98" s="33" t="s">
        <v>306</v>
      </c>
      <c r="O98" s="31" t="s">
        <v>63</v>
      </c>
      <c r="P98" s="32" t="s">
        <v>64</v>
      </c>
      <c r="Q98" s="33" t="s">
        <v>65</v>
      </c>
      <c r="R98" s="37" t="s">
        <v>51</v>
      </c>
      <c r="S98" s="38" t="s">
        <v>369</v>
      </c>
      <c r="T98" s="39">
        <v>-3952.4</v>
      </c>
      <c r="U98" s="40"/>
      <c r="V98" s="41">
        <v>-3952.4</v>
      </c>
      <c r="W98" s="33" t="s">
        <v>370</v>
      </c>
      <c r="X98" s="42">
        <v>45853</v>
      </c>
      <c r="Y98" s="43">
        <v>45886</v>
      </c>
      <c r="Z98" s="33" t="s">
        <v>371</v>
      </c>
      <c r="AA98" s="44" t="s">
        <v>372</v>
      </c>
      <c r="AB98" s="45" t="s">
        <v>56</v>
      </c>
      <c r="AC98" s="46" t="s">
        <v>57</v>
      </c>
      <c r="AD98" s="33"/>
      <c r="AE98" s="47">
        <v>-3952.4</v>
      </c>
      <c r="AF98" s="48" t="s">
        <v>58</v>
      </c>
      <c r="AG98" s="48" t="s">
        <v>59</v>
      </c>
      <c r="AH98" s="49" t="s">
        <v>70</v>
      </c>
      <c r="AI98" s="49" t="s">
        <v>71</v>
      </c>
      <c r="AJ98" s="50" t="s">
        <v>72</v>
      </c>
    </row>
    <row r="99" spans="1:36" ht="15.75" x14ac:dyDescent="0.25">
      <c r="A99" s="26">
        <v>16038</v>
      </c>
      <c r="B99" s="27" t="s">
        <v>36</v>
      </c>
      <c r="C99" s="28" t="s">
        <v>37</v>
      </c>
      <c r="D99" s="29" t="s">
        <v>36</v>
      </c>
      <c r="E99" s="30" t="s">
        <v>38</v>
      </c>
      <c r="F99" s="31" t="s">
        <v>39</v>
      </c>
      <c r="G99" s="32" t="s">
        <v>40</v>
      </c>
      <c r="H99" s="33" t="s">
        <v>41</v>
      </c>
      <c r="I99" s="31" t="s">
        <v>301</v>
      </c>
      <c r="J99" s="32" t="s">
        <v>302</v>
      </c>
      <c r="K99" s="33" t="s">
        <v>303</v>
      </c>
      <c r="L99" s="31" t="s">
        <v>304</v>
      </c>
      <c r="M99" s="32" t="s">
        <v>305</v>
      </c>
      <c r="N99" s="33" t="s">
        <v>306</v>
      </c>
      <c r="O99" s="31" t="s">
        <v>326</v>
      </c>
      <c r="P99" s="32" t="s">
        <v>327</v>
      </c>
      <c r="Q99" s="33" t="s">
        <v>328</v>
      </c>
      <c r="R99" s="37" t="s">
        <v>51</v>
      </c>
      <c r="S99" s="38" t="s">
        <v>373</v>
      </c>
      <c r="T99" s="39">
        <v>-1200</v>
      </c>
      <c r="U99" s="40"/>
      <c r="V99" s="41">
        <v>-1200</v>
      </c>
      <c r="W99" s="33" t="s">
        <v>374</v>
      </c>
      <c r="X99" s="42">
        <v>45863</v>
      </c>
      <c r="Y99" s="43">
        <v>45863</v>
      </c>
      <c r="Z99" s="33" t="s">
        <v>331</v>
      </c>
      <c r="AA99" s="44" t="s">
        <v>332</v>
      </c>
      <c r="AB99" s="45" t="s">
        <v>56</v>
      </c>
      <c r="AC99" s="46" t="s">
        <v>57</v>
      </c>
      <c r="AD99" s="33"/>
      <c r="AE99" s="47">
        <v>-1200</v>
      </c>
      <c r="AF99" s="48" t="s">
        <v>58</v>
      </c>
      <c r="AG99" s="48" t="s">
        <v>157</v>
      </c>
      <c r="AH99" s="49" t="s">
        <v>333</v>
      </c>
      <c r="AI99" s="49" t="s">
        <v>321</v>
      </c>
      <c r="AJ99" s="50" t="s">
        <v>62</v>
      </c>
    </row>
    <row r="100" spans="1:36" ht="15.75" x14ac:dyDescent="0.25">
      <c r="A100" s="26">
        <v>17581</v>
      </c>
      <c r="B100" s="32" t="s">
        <v>36</v>
      </c>
      <c r="C100" s="31" t="s">
        <v>37</v>
      </c>
      <c r="D100" s="56" t="s">
        <v>36</v>
      </c>
      <c r="E100" s="33" t="s">
        <v>38</v>
      </c>
      <c r="F100" s="31" t="s">
        <v>39</v>
      </c>
      <c r="G100" s="32" t="s">
        <v>40</v>
      </c>
      <c r="H100" s="33" t="s">
        <v>41</v>
      </c>
      <c r="I100" s="31" t="s">
        <v>301</v>
      </c>
      <c r="J100" s="32" t="s">
        <v>302</v>
      </c>
      <c r="K100" s="33" t="s">
        <v>303</v>
      </c>
      <c r="L100" s="31" t="s">
        <v>304</v>
      </c>
      <c r="M100" s="32" t="s">
        <v>305</v>
      </c>
      <c r="N100" s="33" t="s">
        <v>306</v>
      </c>
      <c r="O100" s="31" t="s">
        <v>326</v>
      </c>
      <c r="P100" s="32" t="s">
        <v>327</v>
      </c>
      <c r="Q100" s="33" t="s">
        <v>328</v>
      </c>
      <c r="R100" s="37" t="s">
        <v>51</v>
      </c>
      <c r="S100" s="38" t="s">
        <v>375</v>
      </c>
      <c r="T100" s="39">
        <v>-600</v>
      </c>
      <c r="U100" s="40"/>
      <c r="V100" s="41">
        <v>-600</v>
      </c>
      <c r="W100" s="33" t="s">
        <v>376</v>
      </c>
      <c r="X100" s="42">
        <v>45870</v>
      </c>
      <c r="Y100" s="43">
        <v>45874</v>
      </c>
      <c r="Z100" s="33" t="s">
        <v>331</v>
      </c>
      <c r="AA100" s="44" t="s">
        <v>332</v>
      </c>
      <c r="AB100" s="32" t="s">
        <v>56</v>
      </c>
      <c r="AC100" s="56" t="s">
        <v>57</v>
      </c>
      <c r="AD100" s="33"/>
      <c r="AE100" s="47">
        <v>-600</v>
      </c>
      <c r="AF100" s="48" t="s">
        <v>58</v>
      </c>
      <c r="AG100" s="48" t="s">
        <v>157</v>
      </c>
      <c r="AH100" s="49" t="s">
        <v>333</v>
      </c>
      <c r="AI100" s="49" t="s">
        <v>321</v>
      </c>
      <c r="AJ100" s="50" t="s">
        <v>62</v>
      </c>
    </row>
    <row r="101" spans="1:36" ht="15.75" x14ac:dyDescent="0.25">
      <c r="A101" s="26">
        <v>17583</v>
      </c>
      <c r="B101" s="32" t="s">
        <v>36</v>
      </c>
      <c r="C101" s="31" t="s">
        <v>37</v>
      </c>
      <c r="D101" s="56" t="s">
        <v>36</v>
      </c>
      <c r="E101" s="33" t="s">
        <v>38</v>
      </c>
      <c r="F101" s="31" t="s">
        <v>39</v>
      </c>
      <c r="G101" s="32" t="s">
        <v>40</v>
      </c>
      <c r="H101" s="33" t="s">
        <v>41</v>
      </c>
      <c r="I101" s="31" t="s">
        <v>301</v>
      </c>
      <c r="J101" s="32" t="s">
        <v>302</v>
      </c>
      <c r="K101" s="33" t="s">
        <v>303</v>
      </c>
      <c r="L101" s="31" t="s">
        <v>304</v>
      </c>
      <c r="M101" s="32" t="s">
        <v>305</v>
      </c>
      <c r="N101" s="33" t="s">
        <v>306</v>
      </c>
      <c r="O101" s="31" t="s">
        <v>150</v>
      </c>
      <c r="P101" s="32" t="s">
        <v>151</v>
      </c>
      <c r="Q101" s="33" t="s">
        <v>152</v>
      </c>
      <c r="R101" s="37" t="s">
        <v>121</v>
      </c>
      <c r="S101" s="38" t="s">
        <v>377</v>
      </c>
      <c r="T101" s="39">
        <v>-875</v>
      </c>
      <c r="U101" s="40"/>
      <c r="V101" s="41">
        <v>-875</v>
      </c>
      <c r="W101" s="33" t="s">
        <v>378</v>
      </c>
      <c r="X101" s="42">
        <v>45870</v>
      </c>
      <c r="Y101" s="43">
        <v>45874</v>
      </c>
      <c r="Z101" s="33" t="s">
        <v>311</v>
      </c>
      <c r="AA101" s="44" t="s">
        <v>312</v>
      </c>
      <c r="AB101" s="32" t="s">
        <v>56</v>
      </c>
      <c r="AC101" s="56" t="s">
        <v>57</v>
      </c>
      <c r="AD101" s="33"/>
      <c r="AE101" s="47">
        <v>-875</v>
      </c>
      <c r="AF101" s="48" t="s">
        <v>58</v>
      </c>
      <c r="AG101" s="48" t="s">
        <v>157</v>
      </c>
      <c r="AH101" s="49" t="s">
        <v>158</v>
      </c>
      <c r="AI101" s="49" t="s">
        <v>159</v>
      </c>
      <c r="AJ101" s="50" t="s">
        <v>102</v>
      </c>
    </row>
    <row r="102" spans="1:36" ht="15.75" x14ac:dyDescent="0.25">
      <c r="A102" s="26">
        <v>17674</v>
      </c>
      <c r="B102" s="32" t="s">
        <v>36</v>
      </c>
      <c r="C102" s="31" t="s">
        <v>37</v>
      </c>
      <c r="D102" s="56" t="s">
        <v>36</v>
      </c>
      <c r="E102" s="33" t="s">
        <v>38</v>
      </c>
      <c r="F102" s="31" t="s">
        <v>39</v>
      </c>
      <c r="G102" s="32" t="s">
        <v>40</v>
      </c>
      <c r="H102" s="33" t="s">
        <v>41</v>
      </c>
      <c r="I102" s="31" t="s">
        <v>301</v>
      </c>
      <c r="J102" s="32" t="s">
        <v>302</v>
      </c>
      <c r="K102" s="33" t="s">
        <v>303</v>
      </c>
      <c r="L102" s="31" t="s">
        <v>304</v>
      </c>
      <c r="M102" s="32" t="s">
        <v>305</v>
      </c>
      <c r="N102" s="33" t="s">
        <v>306</v>
      </c>
      <c r="O102" s="31" t="s">
        <v>63</v>
      </c>
      <c r="P102" s="32" t="s">
        <v>64</v>
      </c>
      <c r="Q102" s="33" t="s">
        <v>65</v>
      </c>
      <c r="R102" s="37" t="s">
        <v>51</v>
      </c>
      <c r="S102" s="38" t="s">
        <v>379</v>
      </c>
      <c r="T102" s="39">
        <v>-3640</v>
      </c>
      <c r="U102" s="40"/>
      <c r="V102" s="41">
        <v>-3640</v>
      </c>
      <c r="W102" s="33" t="s">
        <v>380</v>
      </c>
      <c r="X102" s="42">
        <v>45874</v>
      </c>
      <c r="Y102" s="43">
        <v>45880</v>
      </c>
      <c r="Z102" s="33" t="s">
        <v>360</v>
      </c>
      <c r="AA102" s="44" t="s">
        <v>361</v>
      </c>
      <c r="AB102" s="32" t="s">
        <v>56</v>
      </c>
      <c r="AC102" s="56" t="s">
        <v>57</v>
      </c>
      <c r="AD102" s="33"/>
      <c r="AE102" s="47">
        <v>-3640</v>
      </c>
      <c r="AF102" s="48" t="s">
        <v>58</v>
      </c>
      <c r="AG102" s="48" t="s">
        <v>59</v>
      </c>
      <c r="AH102" s="49" t="s">
        <v>70</v>
      </c>
      <c r="AI102" s="49" t="s">
        <v>71</v>
      </c>
      <c r="AJ102" s="50" t="s">
        <v>72</v>
      </c>
    </row>
    <row r="103" spans="1:36" ht="15.75" x14ac:dyDescent="0.25">
      <c r="A103" s="26">
        <v>18598</v>
      </c>
      <c r="B103" s="32" t="s">
        <v>36</v>
      </c>
      <c r="C103" s="31" t="s">
        <v>37</v>
      </c>
      <c r="D103" s="56" t="s">
        <v>36</v>
      </c>
      <c r="E103" s="33" t="s">
        <v>38</v>
      </c>
      <c r="F103" s="31" t="s">
        <v>39</v>
      </c>
      <c r="G103" s="32" t="s">
        <v>40</v>
      </c>
      <c r="H103" s="33" t="s">
        <v>41</v>
      </c>
      <c r="I103" s="31" t="s">
        <v>301</v>
      </c>
      <c r="J103" s="32" t="s">
        <v>302</v>
      </c>
      <c r="K103" s="33" t="s">
        <v>303</v>
      </c>
      <c r="L103" s="31" t="s">
        <v>304</v>
      </c>
      <c r="M103" s="32" t="s">
        <v>305</v>
      </c>
      <c r="N103" s="33" t="s">
        <v>306</v>
      </c>
      <c r="O103" s="31" t="s">
        <v>313</v>
      </c>
      <c r="P103" s="32" t="s">
        <v>314</v>
      </c>
      <c r="Q103" s="33" t="s">
        <v>315</v>
      </c>
      <c r="R103" s="37" t="s">
        <v>51</v>
      </c>
      <c r="S103" s="38" t="s">
        <v>381</v>
      </c>
      <c r="T103" s="39">
        <v>-142</v>
      </c>
      <c r="U103" s="40"/>
      <c r="V103" s="41">
        <v>-142</v>
      </c>
      <c r="W103" s="33" t="s">
        <v>382</v>
      </c>
      <c r="X103" s="42">
        <v>45875</v>
      </c>
      <c r="Y103" s="43">
        <v>45903</v>
      </c>
      <c r="Z103" s="33" t="s">
        <v>318</v>
      </c>
      <c r="AA103" s="44" t="s">
        <v>319</v>
      </c>
      <c r="AB103" s="32" t="s">
        <v>56</v>
      </c>
      <c r="AC103" s="56" t="s">
        <v>57</v>
      </c>
      <c r="AD103" s="33"/>
      <c r="AE103" s="47">
        <v>-142</v>
      </c>
      <c r="AF103" s="48" t="s">
        <v>58</v>
      </c>
      <c r="AG103" s="48" t="s">
        <v>59</v>
      </c>
      <c r="AH103" s="49" t="s">
        <v>320</v>
      </c>
      <c r="AI103" s="49" t="s">
        <v>321</v>
      </c>
      <c r="AJ103" s="50" t="s">
        <v>62</v>
      </c>
    </row>
    <row r="104" spans="1:36" ht="15.75" x14ac:dyDescent="0.25">
      <c r="A104" s="26">
        <v>19073</v>
      </c>
      <c r="B104" s="32" t="s">
        <v>36</v>
      </c>
      <c r="C104" s="31" t="s">
        <v>37</v>
      </c>
      <c r="D104" s="56" t="s">
        <v>36</v>
      </c>
      <c r="E104" s="33" t="s">
        <v>38</v>
      </c>
      <c r="F104" s="31" t="s">
        <v>39</v>
      </c>
      <c r="G104" s="32" t="s">
        <v>40</v>
      </c>
      <c r="H104" s="33" t="s">
        <v>41</v>
      </c>
      <c r="I104" s="31" t="s">
        <v>301</v>
      </c>
      <c r="J104" s="32" t="s">
        <v>302</v>
      </c>
      <c r="K104" s="33" t="s">
        <v>303</v>
      </c>
      <c r="L104" s="31" t="s">
        <v>304</v>
      </c>
      <c r="M104" s="32" t="s">
        <v>305</v>
      </c>
      <c r="N104" s="33" t="s">
        <v>306</v>
      </c>
      <c r="O104" s="31" t="s">
        <v>63</v>
      </c>
      <c r="P104" s="32" t="s">
        <v>64</v>
      </c>
      <c r="Q104" s="33" t="s">
        <v>65</v>
      </c>
      <c r="R104" s="37" t="s">
        <v>51</v>
      </c>
      <c r="S104" s="38" t="s">
        <v>383</v>
      </c>
      <c r="T104" s="39">
        <v>-166</v>
      </c>
      <c r="U104" s="40"/>
      <c r="V104" s="41">
        <v>-166</v>
      </c>
      <c r="W104" s="33" t="s">
        <v>384</v>
      </c>
      <c r="X104" s="42">
        <v>45877</v>
      </c>
      <c r="Y104" s="43"/>
      <c r="Z104" s="33" t="s">
        <v>385</v>
      </c>
      <c r="AA104" s="44" t="s">
        <v>386</v>
      </c>
      <c r="AB104" s="32" t="s">
        <v>56</v>
      </c>
      <c r="AC104" s="56" t="s">
        <v>57</v>
      </c>
      <c r="AD104" s="33"/>
      <c r="AE104" s="47">
        <v>-166</v>
      </c>
      <c r="AF104" s="48" t="s">
        <v>58</v>
      </c>
      <c r="AG104" s="48" t="s">
        <v>59</v>
      </c>
      <c r="AH104" s="49" t="s">
        <v>70</v>
      </c>
      <c r="AI104" s="49" t="s">
        <v>71</v>
      </c>
      <c r="AJ104" s="50" t="s">
        <v>72</v>
      </c>
    </row>
    <row r="105" spans="1:36" ht="15.75" x14ac:dyDescent="0.25">
      <c r="A105" s="26">
        <v>17708</v>
      </c>
      <c r="B105" s="32" t="s">
        <v>36</v>
      </c>
      <c r="C105" s="31" t="s">
        <v>37</v>
      </c>
      <c r="D105" s="56" t="s">
        <v>36</v>
      </c>
      <c r="E105" s="33" t="s">
        <v>38</v>
      </c>
      <c r="F105" s="31" t="s">
        <v>39</v>
      </c>
      <c r="G105" s="32" t="s">
        <v>40</v>
      </c>
      <c r="H105" s="33" t="s">
        <v>41</v>
      </c>
      <c r="I105" s="31" t="s">
        <v>301</v>
      </c>
      <c r="J105" s="32" t="s">
        <v>302</v>
      </c>
      <c r="K105" s="33" t="s">
        <v>303</v>
      </c>
      <c r="L105" s="31" t="s">
        <v>304</v>
      </c>
      <c r="M105" s="32" t="s">
        <v>305</v>
      </c>
      <c r="N105" s="33" t="s">
        <v>306</v>
      </c>
      <c r="O105" s="31" t="s">
        <v>63</v>
      </c>
      <c r="P105" s="32" t="s">
        <v>64</v>
      </c>
      <c r="Q105" s="33" t="s">
        <v>65</v>
      </c>
      <c r="R105" s="37" t="s">
        <v>51</v>
      </c>
      <c r="S105" s="38" t="s">
        <v>387</v>
      </c>
      <c r="T105" s="39">
        <v>-484</v>
      </c>
      <c r="U105" s="40"/>
      <c r="V105" s="41">
        <v>-484</v>
      </c>
      <c r="W105" s="33" t="s">
        <v>388</v>
      </c>
      <c r="X105" s="42">
        <v>45880</v>
      </c>
      <c r="Y105" s="43">
        <v>45881</v>
      </c>
      <c r="Z105" s="33" t="s">
        <v>389</v>
      </c>
      <c r="AA105" s="44" t="s">
        <v>390</v>
      </c>
      <c r="AB105" s="32" t="s">
        <v>56</v>
      </c>
      <c r="AC105" s="56" t="s">
        <v>57</v>
      </c>
      <c r="AD105" s="33"/>
      <c r="AE105" s="47">
        <v>-484</v>
      </c>
      <c r="AF105" s="48" t="s">
        <v>58</v>
      </c>
      <c r="AG105" s="48" t="s">
        <v>59</v>
      </c>
      <c r="AH105" s="49" t="s">
        <v>70</v>
      </c>
      <c r="AI105" s="49" t="s">
        <v>71</v>
      </c>
      <c r="AJ105" s="50" t="s">
        <v>72</v>
      </c>
    </row>
    <row r="106" spans="1:36" ht="15.75" x14ac:dyDescent="0.25">
      <c r="A106" s="26">
        <v>18653</v>
      </c>
      <c r="B106" s="50" t="s">
        <v>36</v>
      </c>
      <c r="C106" s="74" t="s">
        <v>37</v>
      </c>
      <c r="D106" s="75" t="s">
        <v>36</v>
      </c>
      <c r="E106" s="49" t="s">
        <v>38</v>
      </c>
      <c r="F106" s="74" t="s">
        <v>39</v>
      </c>
      <c r="G106" s="50" t="s">
        <v>40</v>
      </c>
      <c r="H106" s="49" t="s">
        <v>41</v>
      </c>
      <c r="I106" s="74" t="s">
        <v>301</v>
      </c>
      <c r="J106" s="50" t="s">
        <v>302</v>
      </c>
      <c r="K106" s="49" t="s">
        <v>303</v>
      </c>
      <c r="L106" s="74" t="s">
        <v>304</v>
      </c>
      <c r="M106" s="50" t="s">
        <v>305</v>
      </c>
      <c r="N106" s="49" t="s">
        <v>306</v>
      </c>
      <c r="O106" s="74" t="s">
        <v>63</v>
      </c>
      <c r="P106" s="50" t="s">
        <v>64</v>
      </c>
      <c r="Q106" s="49" t="s">
        <v>65</v>
      </c>
      <c r="R106" s="76" t="s">
        <v>51</v>
      </c>
      <c r="S106" s="77" t="s">
        <v>391</v>
      </c>
      <c r="T106" s="78">
        <v>-6380</v>
      </c>
      <c r="U106" s="79"/>
      <c r="V106" s="80">
        <v>-6380</v>
      </c>
      <c r="W106" s="49" t="s">
        <v>392</v>
      </c>
      <c r="X106" s="81">
        <v>45882</v>
      </c>
      <c r="Y106" s="82">
        <v>45905</v>
      </c>
      <c r="Z106" s="49" t="s">
        <v>324</v>
      </c>
      <c r="AA106" s="44" t="s">
        <v>325</v>
      </c>
      <c r="AB106" s="50" t="s">
        <v>56</v>
      </c>
      <c r="AC106" s="75" t="s">
        <v>57</v>
      </c>
      <c r="AD106" s="49"/>
      <c r="AE106" s="83">
        <v>-6380</v>
      </c>
      <c r="AF106" s="73" t="s">
        <v>58</v>
      </c>
      <c r="AG106" s="73" t="s">
        <v>59</v>
      </c>
      <c r="AH106" s="49" t="s">
        <v>70</v>
      </c>
      <c r="AI106" s="49" t="s">
        <v>71</v>
      </c>
      <c r="AJ106" s="50" t="s">
        <v>72</v>
      </c>
    </row>
    <row r="107" spans="1:36" ht="15.75" x14ac:dyDescent="0.25">
      <c r="A107" s="26">
        <v>19182</v>
      </c>
      <c r="B107" s="32" t="s">
        <v>36</v>
      </c>
      <c r="C107" s="31" t="s">
        <v>37</v>
      </c>
      <c r="D107" s="56" t="s">
        <v>36</v>
      </c>
      <c r="E107" s="33" t="s">
        <v>38</v>
      </c>
      <c r="F107" s="31" t="s">
        <v>39</v>
      </c>
      <c r="G107" s="32" t="s">
        <v>40</v>
      </c>
      <c r="H107" s="33" t="s">
        <v>41</v>
      </c>
      <c r="I107" s="31" t="s">
        <v>301</v>
      </c>
      <c r="J107" s="32" t="s">
        <v>302</v>
      </c>
      <c r="K107" s="33" t="s">
        <v>303</v>
      </c>
      <c r="L107" s="31" t="s">
        <v>304</v>
      </c>
      <c r="M107" s="32" t="s">
        <v>305</v>
      </c>
      <c r="N107" s="33" t="s">
        <v>306</v>
      </c>
      <c r="O107" s="31" t="s">
        <v>63</v>
      </c>
      <c r="P107" s="32" t="s">
        <v>64</v>
      </c>
      <c r="Q107" s="33" t="s">
        <v>65</v>
      </c>
      <c r="R107" s="37" t="s">
        <v>51</v>
      </c>
      <c r="S107" s="38" t="s">
        <v>393</v>
      </c>
      <c r="T107" s="39">
        <v>-6221.78</v>
      </c>
      <c r="U107" s="40"/>
      <c r="V107" s="41">
        <v>-6221.78</v>
      </c>
      <c r="W107" s="33" t="s">
        <v>394</v>
      </c>
      <c r="X107" s="42">
        <v>45883</v>
      </c>
      <c r="Y107" s="43"/>
      <c r="Z107" s="33" t="s">
        <v>371</v>
      </c>
      <c r="AA107" s="44" t="s">
        <v>372</v>
      </c>
      <c r="AB107" s="32" t="s">
        <v>56</v>
      </c>
      <c r="AC107" s="56" t="s">
        <v>57</v>
      </c>
      <c r="AD107" s="33"/>
      <c r="AE107" s="47">
        <v>-6221.78</v>
      </c>
      <c r="AF107" s="48" t="s">
        <v>58</v>
      </c>
      <c r="AG107" s="48" t="s">
        <v>59</v>
      </c>
      <c r="AH107" s="49" t="s">
        <v>70</v>
      </c>
      <c r="AI107" s="49" t="s">
        <v>71</v>
      </c>
      <c r="AJ107" s="50" t="s">
        <v>72</v>
      </c>
    </row>
    <row r="108" spans="1:36" ht="15.75" x14ac:dyDescent="0.25">
      <c r="A108" s="26">
        <v>18020</v>
      </c>
      <c r="B108" s="57" t="s">
        <v>36</v>
      </c>
      <c r="C108" s="58" t="s">
        <v>37</v>
      </c>
      <c r="D108" s="59" t="s">
        <v>36</v>
      </c>
      <c r="E108" s="60" t="s">
        <v>38</v>
      </c>
      <c r="F108" s="58" t="s">
        <v>39</v>
      </c>
      <c r="G108" s="57" t="s">
        <v>40</v>
      </c>
      <c r="H108" s="60" t="s">
        <v>41</v>
      </c>
      <c r="I108" s="58" t="s">
        <v>301</v>
      </c>
      <c r="J108" s="57" t="s">
        <v>302</v>
      </c>
      <c r="K108" s="60" t="s">
        <v>303</v>
      </c>
      <c r="L108" s="58" t="s">
        <v>304</v>
      </c>
      <c r="M108" s="57" t="s">
        <v>305</v>
      </c>
      <c r="N108" s="60" t="s">
        <v>306</v>
      </c>
      <c r="O108" s="58" t="s">
        <v>326</v>
      </c>
      <c r="P108" s="57" t="s">
        <v>327</v>
      </c>
      <c r="Q108" s="60" t="s">
        <v>328</v>
      </c>
      <c r="R108" s="64" t="s">
        <v>51</v>
      </c>
      <c r="S108" s="65" t="s">
        <v>395</v>
      </c>
      <c r="T108" s="66">
        <v>-1620</v>
      </c>
      <c r="U108" s="67"/>
      <c r="V108" s="68">
        <v>-1620</v>
      </c>
      <c r="W108" s="60" t="s">
        <v>396</v>
      </c>
      <c r="X108" s="69">
        <v>45884</v>
      </c>
      <c r="Y108" s="70">
        <v>45887</v>
      </c>
      <c r="Z108" s="60" t="s">
        <v>331</v>
      </c>
      <c r="AA108" s="44" t="s">
        <v>332</v>
      </c>
      <c r="AB108" s="57" t="s">
        <v>56</v>
      </c>
      <c r="AC108" s="59" t="s">
        <v>57</v>
      </c>
      <c r="AD108" s="60"/>
      <c r="AE108" s="71">
        <v>-1620</v>
      </c>
      <c r="AF108" s="72" t="s">
        <v>58</v>
      </c>
      <c r="AG108" s="72" t="s">
        <v>157</v>
      </c>
      <c r="AH108" s="49" t="s">
        <v>333</v>
      </c>
      <c r="AI108" s="49" t="s">
        <v>321</v>
      </c>
      <c r="AJ108" s="50" t="s">
        <v>62</v>
      </c>
    </row>
    <row r="109" spans="1:36" ht="15.75" x14ac:dyDescent="0.25">
      <c r="A109" s="26">
        <v>18581</v>
      </c>
      <c r="B109" s="32" t="s">
        <v>36</v>
      </c>
      <c r="C109" s="31" t="s">
        <v>37</v>
      </c>
      <c r="D109" s="56" t="s">
        <v>36</v>
      </c>
      <c r="E109" s="33" t="s">
        <v>38</v>
      </c>
      <c r="F109" s="31" t="s">
        <v>39</v>
      </c>
      <c r="G109" s="32" t="s">
        <v>40</v>
      </c>
      <c r="H109" s="33" t="s">
        <v>41</v>
      </c>
      <c r="I109" s="31" t="s">
        <v>301</v>
      </c>
      <c r="J109" s="32" t="s">
        <v>302</v>
      </c>
      <c r="K109" s="33" t="s">
        <v>303</v>
      </c>
      <c r="L109" s="31" t="s">
        <v>304</v>
      </c>
      <c r="M109" s="32" t="s">
        <v>305</v>
      </c>
      <c r="N109" s="33" t="s">
        <v>306</v>
      </c>
      <c r="O109" s="31" t="s">
        <v>83</v>
      </c>
      <c r="P109" s="32" t="s">
        <v>84</v>
      </c>
      <c r="Q109" s="33" t="s">
        <v>85</v>
      </c>
      <c r="R109" s="37" t="s">
        <v>51</v>
      </c>
      <c r="S109" s="38" t="s">
        <v>397</v>
      </c>
      <c r="T109" s="39">
        <v>-19.05</v>
      </c>
      <c r="U109" s="40"/>
      <c r="V109" s="41">
        <v>-19.05</v>
      </c>
      <c r="W109" s="33" t="s">
        <v>398</v>
      </c>
      <c r="X109" s="42">
        <v>45887</v>
      </c>
      <c r="Y109" s="43">
        <v>45902</v>
      </c>
      <c r="Z109" s="33" t="s">
        <v>399</v>
      </c>
      <c r="AA109" s="44" t="s">
        <v>400</v>
      </c>
      <c r="AB109" s="32" t="s">
        <v>56</v>
      </c>
      <c r="AC109" s="56" t="s">
        <v>57</v>
      </c>
      <c r="AD109" s="33"/>
      <c r="AE109" s="47">
        <v>-19.05</v>
      </c>
      <c r="AF109" s="48" t="s">
        <v>58</v>
      </c>
      <c r="AG109" s="48" t="s">
        <v>59</v>
      </c>
      <c r="AH109" s="49" t="s">
        <v>89</v>
      </c>
      <c r="AI109" s="49" t="s">
        <v>61</v>
      </c>
      <c r="AJ109" s="50" t="s">
        <v>62</v>
      </c>
    </row>
    <row r="110" spans="1:36" ht="15.75" x14ac:dyDescent="0.25">
      <c r="A110" s="26">
        <v>18582</v>
      </c>
      <c r="B110" s="32" t="s">
        <v>36</v>
      </c>
      <c r="C110" s="31" t="s">
        <v>37</v>
      </c>
      <c r="D110" s="56" t="s">
        <v>36</v>
      </c>
      <c r="E110" s="33" t="s">
        <v>38</v>
      </c>
      <c r="F110" s="31" t="s">
        <v>39</v>
      </c>
      <c r="G110" s="32" t="s">
        <v>40</v>
      </c>
      <c r="H110" s="33" t="s">
        <v>41</v>
      </c>
      <c r="I110" s="31" t="s">
        <v>301</v>
      </c>
      <c r="J110" s="32" t="s">
        <v>302</v>
      </c>
      <c r="K110" s="33" t="s">
        <v>303</v>
      </c>
      <c r="L110" s="31" t="s">
        <v>304</v>
      </c>
      <c r="M110" s="32" t="s">
        <v>305</v>
      </c>
      <c r="N110" s="33" t="s">
        <v>306</v>
      </c>
      <c r="O110" s="31" t="s">
        <v>83</v>
      </c>
      <c r="P110" s="32" t="s">
        <v>84</v>
      </c>
      <c r="Q110" s="33" t="s">
        <v>85</v>
      </c>
      <c r="R110" s="37" t="s">
        <v>51</v>
      </c>
      <c r="S110" s="38" t="s">
        <v>397</v>
      </c>
      <c r="T110" s="39">
        <v>-19.04</v>
      </c>
      <c r="U110" s="40"/>
      <c r="V110" s="41">
        <v>-19.04</v>
      </c>
      <c r="W110" s="33" t="s">
        <v>398</v>
      </c>
      <c r="X110" s="42">
        <v>45887</v>
      </c>
      <c r="Y110" s="43">
        <v>45902</v>
      </c>
      <c r="Z110" s="33" t="s">
        <v>399</v>
      </c>
      <c r="AA110" s="44" t="s">
        <v>400</v>
      </c>
      <c r="AB110" s="32" t="s">
        <v>56</v>
      </c>
      <c r="AC110" s="56" t="s">
        <v>57</v>
      </c>
      <c r="AD110" s="33"/>
      <c r="AE110" s="47">
        <v>-19.04</v>
      </c>
      <c r="AF110" s="48" t="s">
        <v>58</v>
      </c>
      <c r="AG110" s="48" t="s">
        <v>59</v>
      </c>
      <c r="AH110" s="49" t="s">
        <v>89</v>
      </c>
      <c r="AI110" s="49" t="s">
        <v>61</v>
      </c>
      <c r="AJ110" s="50" t="s">
        <v>62</v>
      </c>
    </row>
    <row r="111" spans="1:36" ht="15.75" x14ac:dyDescent="0.25">
      <c r="A111" s="26">
        <v>18675</v>
      </c>
      <c r="B111" s="32" t="s">
        <v>36</v>
      </c>
      <c r="C111" s="31" t="s">
        <v>37</v>
      </c>
      <c r="D111" s="56" t="s">
        <v>36</v>
      </c>
      <c r="E111" s="33" t="s">
        <v>38</v>
      </c>
      <c r="F111" s="31" t="s">
        <v>39</v>
      </c>
      <c r="G111" s="32" t="s">
        <v>40</v>
      </c>
      <c r="H111" s="33" t="s">
        <v>41</v>
      </c>
      <c r="I111" s="31" t="s">
        <v>301</v>
      </c>
      <c r="J111" s="32" t="s">
        <v>302</v>
      </c>
      <c r="K111" s="33" t="s">
        <v>303</v>
      </c>
      <c r="L111" s="31" t="s">
        <v>304</v>
      </c>
      <c r="M111" s="32" t="s">
        <v>305</v>
      </c>
      <c r="N111" s="33" t="s">
        <v>306</v>
      </c>
      <c r="O111" s="31" t="s">
        <v>334</v>
      </c>
      <c r="P111" s="32" t="s">
        <v>335</v>
      </c>
      <c r="Q111" s="33" t="s">
        <v>336</v>
      </c>
      <c r="R111" s="37" t="s">
        <v>51</v>
      </c>
      <c r="S111" s="38" t="s">
        <v>401</v>
      </c>
      <c r="T111" s="39">
        <v>-70</v>
      </c>
      <c r="U111" s="40"/>
      <c r="V111" s="41">
        <v>-70</v>
      </c>
      <c r="W111" s="33" t="s">
        <v>402</v>
      </c>
      <c r="X111" s="42">
        <v>45890</v>
      </c>
      <c r="Y111" s="43">
        <v>45905</v>
      </c>
      <c r="Z111" s="33" t="s">
        <v>403</v>
      </c>
      <c r="AA111" s="44" t="s">
        <v>404</v>
      </c>
      <c r="AB111" s="32" t="s">
        <v>56</v>
      </c>
      <c r="AC111" s="56" t="s">
        <v>57</v>
      </c>
      <c r="AD111" s="33"/>
      <c r="AE111" s="47">
        <v>-70</v>
      </c>
      <c r="AF111" s="48" t="s">
        <v>58</v>
      </c>
      <c r="AG111" s="48" t="s">
        <v>157</v>
      </c>
      <c r="AH111" s="49" t="s">
        <v>341</v>
      </c>
      <c r="AI111" s="49" t="s">
        <v>238</v>
      </c>
      <c r="AJ111" s="50" t="s">
        <v>201</v>
      </c>
    </row>
    <row r="112" spans="1:36" ht="15.75" x14ac:dyDescent="0.25">
      <c r="A112" s="26">
        <v>19483</v>
      </c>
      <c r="B112" s="32" t="s">
        <v>36</v>
      </c>
      <c r="C112" s="31" t="s">
        <v>37</v>
      </c>
      <c r="D112" s="56" t="s">
        <v>36</v>
      </c>
      <c r="E112" s="33" t="s">
        <v>38</v>
      </c>
      <c r="F112" s="31" t="s">
        <v>39</v>
      </c>
      <c r="G112" s="32" t="s">
        <v>40</v>
      </c>
      <c r="H112" s="33" t="s">
        <v>41</v>
      </c>
      <c r="I112" s="31" t="s">
        <v>301</v>
      </c>
      <c r="J112" s="32" t="s">
        <v>302</v>
      </c>
      <c r="K112" s="33" t="s">
        <v>303</v>
      </c>
      <c r="L112" s="31" t="s">
        <v>304</v>
      </c>
      <c r="M112" s="32" t="s">
        <v>305</v>
      </c>
      <c r="N112" s="33" t="s">
        <v>306</v>
      </c>
      <c r="O112" s="31" t="s">
        <v>405</v>
      </c>
      <c r="P112" s="32" t="s">
        <v>406</v>
      </c>
      <c r="Q112" s="33" t="s">
        <v>407</v>
      </c>
      <c r="R112" s="37" t="s">
        <v>51</v>
      </c>
      <c r="S112" s="38" t="s">
        <v>408</v>
      </c>
      <c r="T112" s="39">
        <v>-600</v>
      </c>
      <c r="U112" s="40"/>
      <c r="V112" s="41">
        <v>-600</v>
      </c>
      <c r="W112" s="33" t="s">
        <v>409</v>
      </c>
      <c r="X112" s="42">
        <v>45891</v>
      </c>
      <c r="Y112" s="43"/>
      <c r="Z112" s="33" t="s">
        <v>410</v>
      </c>
      <c r="AA112" s="44" t="s">
        <v>411</v>
      </c>
      <c r="AB112" s="32" t="s">
        <v>56</v>
      </c>
      <c r="AC112" s="56" t="s">
        <v>57</v>
      </c>
      <c r="AD112" s="33"/>
      <c r="AE112" s="47">
        <v>-600</v>
      </c>
      <c r="AF112" s="48" t="s">
        <v>58</v>
      </c>
      <c r="AG112" s="48" t="s">
        <v>59</v>
      </c>
      <c r="AH112" s="49" t="s">
        <v>412</v>
      </c>
      <c r="AI112" s="49" t="s">
        <v>71</v>
      </c>
      <c r="AJ112" s="50" t="s">
        <v>72</v>
      </c>
    </row>
    <row r="113" spans="1:36" ht="15.75" x14ac:dyDescent="0.25">
      <c r="A113" s="26">
        <v>18281</v>
      </c>
      <c r="B113" s="32" t="s">
        <v>36</v>
      </c>
      <c r="C113" s="31" t="s">
        <v>37</v>
      </c>
      <c r="D113" s="56" t="s">
        <v>36</v>
      </c>
      <c r="E113" s="33" t="s">
        <v>38</v>
      </c>
      <c r="F113" s="31" t="s">
        <v>39</v>
      </c>
      <c r="G113" s="32" t="s">
        <v>40</v>
      </c>
      <c r="H113" s="33" t="s">
        <v>41</v>
      </c>
      <c r="I113" s="31" t="s">
        <v>301</v>
      </c>
      <c r="J113" s="32" t="s">
        <v>302</v>
      </c>
      <c r="K113" s="33" t="s">
        <v>303</v>
      </c>
      <c r="L113" s="31" t="s">
        <v>304</v>
      </c>
      <c r="M113" s="32" t="s">
        <v>305</v>
      </c>
      <c r="N113" s="33" t="s">
        <v>306</v>
      </c>
      <c r="O113" s="31" t="s">
        <v>326</v>
      </c>
      <c r="P113" s="32" t="s">
        <v>327</v>
      </c>
      <c r="Q113" s="33" t="s">
        <v>328</v>
      </c>
      <c r="R113" s="37" t="s">
        <v>51</v>
      </c>
      <c r="S113" s="38" t="s">
        <v>413</v>
      </c>
      <c r="T113" s="39">
        <v>-600</v>
      </c>
      <c r="U113" s="40"/>
      <c r="V113" s="41">
        <v>-600</v>
      </c>
      <c r="W113" s="33" t="s">
        <v>414</v>
      </c>
      <c r="X113" s="42">
        <v>45894</v>
      </c>
      <c r="Y113" s="43">
        <v>45894</v>
      </c>
      <c r="Z113" s="33" t="s">
        <v>331</v>
      </c>
      <c r="AA113" s="44" t="s">
        <v>332</v>
      </c>
      <c r="AB113" s="32" t="s">
        <v>56</v>
      </c>
      <c r="AC113" s="56" t="s">
        <v>57</v>
      </c>
      <c r="AD113" s="33"/>
      <c r="AE113" s="47">
        <v>-600</v>
      </c>
      <c r="AF113" s="48" t="s">
        <v>58</v>
      </c>
      <c r="AG113" s="48" t="s">
        <v>157</v>
      </c>
      <c r="AH113" s="49" t="s">
        <v>333</v>
      </c>
      <c r="AI113" s="49" t="s">
        <v>321</v>
      </c>
      <c r="AJ113" s="50" t="s">
        <v>62</v>
      </c>
    </row>
    <row r="114" spans="1:36" ht="15.75" x14ac:dyDescent="0.25">
      <c r="A114" s="26">
        <v>18293</v>
      </c>
      <c r="B114" s="32" t="s">
        <v>36</v>
      </c>
      <c r="C114" s="31" t="s">
        <v>37</v>
      </c>
      <c r="D114" s="56" t="s">
        <v>36</v>
      </c>
      <c r="E114" s="33" t="s">
        <v>38</v>
      </c>
      <c r="F114" s="31" t="s">
        <v>39</v>
      </c>
      <c r="G114" s="32" t="s">
        <v>40</v>
      </c>
      <c r="H114" s="33" t="s">
        <v>41</v>
      </c>
      <c r="I114" s="31" t="s">
        <v>301</v>
      </c>
      <c r="J114" s="32" t="s">
        <v>302</v>
      </c>
      <c r="K114" s="33" t="s">
        <v>303</v>
      </c>
      <c r="L114" s="31" t="s">
        <v>304</v>
      </c>
      <c r="M114" s="32" t="s">
        <v>305</v>
      </c>
      <c r="N114" s="33" t="s">
        <v>306</v>
      </c>
      <c r="O114" s="31" t="s">
        <v>326</v>
      </c>
      <c r="P114" s="32" t="s">
        <v>327</v>
      </c>
      <c r="Q114" s="33" t="s">
        <v>328</v>
      </c>
      <c r="R114" s="37" t="s">
        <v>51</v>
      </c>
      <c r="S114" s="38" t="s">
        <v>413</v>
      </c>
      <c r="T114" s="39">
        <v>-60</v>
      </c>
      <c r="U114" s="40"/>
      <c r="V114" s="41">
        <v>-60</v>
      </c>
      <c r="W114" s="33" t="s">
        <v>414</v>
      </c>
      <c r="X114" s="42">
        <v>45894</v>
      </c>
      <c r="Y114" s="43">
        <v>45895</v>
      </c>
      <c r="Z114" s="33" t="s">
        <v>331</v>
      </c>
      <c r="AA114" s="44" t="s">
        <v>332</v>
      </c>
      <c r="AB114" s="32" t="s">
        <v>56</v>
      </c>
      <c r="AC114" s="56" t="s">
        <v>57</v>
      </c>
      <c r="AD114" s="33"/>
      <c r="AE114" s="47">
        <v>-60</v>
      </c>
      <c r="AF114" s="48" t="s">
        <v>58</v>
      </c>
      <c r="AG114" s="48" t="s">
        <v>157</v>
      </c>
      <c r="AH114" s="49" t="s">
        <v>333</v>
      </c>
      <c r="AI114" s="49" t="s">
        <v>321</v>
      </c>
      <c r="AJ114" s="50" t="s">
        <v>62</v>
      </c>
    </row>
    <row r="115" spans="1:36" ht="15.75" x14ac:dyDescent="0.25">
      <c r="A115" s="26">
        <v>19511</v>
      </c>
      <c r="B115" s="32" t="s">
        <v>36</v>
      </c>
      <c r="C115" s="31" t="s">
        <v>37</v>
      </c>
      <c r="D115" s="56" t="s">
        <v>36</v>
      </c>
      <c r="E115" s="33" t="s">
        <v>38</v>
      </c>
      <c r="F115" s="31" t="s">
        <v>39</v>
      </c>
      <c r="G115" s="32" t="s">
        <v>40</v>
      </c>
      <c r="H115" s="33" t="s">
        <v>41</v>
      </c>
      <c r="I115" s="31" t="s">
        <v>301</v>
      </c>
      <c r="J115" s="32" t="s">
        <v>302</v>
      </c>
      <c r="K115" s="33" t="s">
        <v>303</v>
      </c>
      <c r="L115" s="31" t="s">
        <v>304</v>
      </c>
      <c r="M115" s="32" t="s">
        <v>305</v>
      </c>
      <c r="N115" s="33" t="s">
        <v>306</v>
      </c>
      <c r="O115" s="31" t="s">
        <v>63</v>
      </c>
      <c r="P115" s="32" t="s">
        <v>64</v>
      </c>
      <c r="Q115" s="33" t="s">
        <v>65</v>
      </c>
      <c r="R115" s="37" t="s">
        <v>51</v>
      </c>
      <c r="S115" s="38" t="s">
        <v>415</v>
      </c>
      <c r="T115" s="39">
        <v>-193.4</v>
      </c>
      <c r="U115" s="40"/>
      <c r="V115" s="41">
        <v>-193.4</v>
      </c>
      <c r="W115" s="33" t="s">
        <v>416</v>
      </c>
      <c r="X115" s="42">
        <v>45894</v>
      </c>
      <c r="Y115" s="43"/>
      <c r="Z115" s="33" t="s">
        <v>79</v>
      </c>
      <c r="AA115" s="44" t="s">
        <v>80</v>
      </c>
      <c r="AB115" s="32" t="s">
        <v>56</v>
      </c>
      <c r="AC115" s="56" t="s">
        <v>57</v>
      </c>
      <c r="AD115" s="33"/>
      <c r="AE115" s="47">
        <v>-193.4</v>
      </c>
      <c r="AF115" s="48" t="s">
        <v>58</v>
      </c>
      <c r="AG115" s="48" t="s">
        <v>59</v>
      </c>
      <c r="AH115" s="49" t="s">
        <v>70</v>
      </c>
      <c r="AI115" s="49" t="s">
        <v>71</v>
      </c>
      <c r="AJ115" s="50" t="s">
        <v>72</v>
      </c>
    </row>
    <row r="116" spans="1:36" ht="15.75" x14ac:dyDescent="0.25">
      <c r="A116" s="26">
        <v>18577</v>
      </c>
      <c r="B116" s="32" t="s">
        <v>36</v>
      </c>
      <c r="C116" s="31" t="s">
        <v>37</v>
      </c>
      <c r="D116" s="56" t="s">
        <v>36</v>
      </c>
      <c r="E116" s="33" t="s">
        <v>38</v>
      </c>
      <c r="F116" s="31" t="s">
        <v>39</v>
      </c>
      <c r="G116" s="32" t="s">
        <v>40</v>
      </c>
      <c r="H116" s="33" t="s">
        <v>41</v>
      </c>
      <c r="I116" s="31" t="s">
        <v>301</v>
      </c>
      <c r="J116" s="32" t="s">
        <v>302</v>
      </c>
      <c r="K116" s="33" t="s">
        <v>303</v>
      </c>
      <c r="L116" s="31" t="s">
        <v>304</v>
      </c>
      <c r="M116" s="32" t="s">
        <v>305</v>
      </c>
      <c r="N116" s="33" t="s">
        <v>306</v>
      </c>
      <c r="O116" s="31" t="s">
        <v>63</v>
      </c>
      <c r="P116" s="32" t="s">
        <v>64</v>
      </c>
      <c r="Q116" s="33" t="s">
        <v>65</v>
      </c>
      <c r="R116" s="37" t="s">
        <v>51</v>
      </c>
      <c r="S116" s="38" t="s">
        <v>417</v>
      </c>
      <c r="T116" s="39">
        <v>-2750</v>
      </c>
      <c r="U116" s="40"/>
      <c r="V116" s="41">
        <v>-2750</v>
      </c>
      <c r="W116" s="33" t="s">
        <v>418</v>
      </c>
      <c r="X116" s="42">
        <v>45895</v>
      </c>
      <c r="Y116" s="43">
        <v>45901</v>
      </c>
      <c r="Z116" s="33" t="s">
        <v>419</v>
      </c>
      <c r="AA116" s="44" t="s">
        <v>420</v>
      </c>
      <c r="AB116" s="32" t="s">
        <v>56</v>
      </c>
      <c r="AC116" s="56" t="s">
        <v>57</v>
      </c>
      <c r="AD116" s="33"/>
      <c r="AE116" s="47">
        <v>-2750</v>
      </c>
      <c r="AF116" s="48" t="s">
        <v>58</v>
      </c>
      <c r="AG116" s="48" t="s">
        <v>59</v>
      </c>
      <c r="AH116" s="49" t="s">
        <v>70</v>
      </c>
      <c r="AI116" s="49" t="s">
        <v>71</v>
      </c>
      <c r="AJ116" s="50" t="s">
        <v>72</v>
      </c>
    </row>
    <row r="117" spans="1:36" ht="15.75" x14ac:dyDescent="0.25">
      <c r="A117" s="26">
        <v>19564</v>
      </c>
      <c r="B117" s="32" t="s">
        <v>36</v>
      </c>
      <c r="C117" s="31" t="s">
        <v>37</v>
      </c>
      <c r="D117" s="56" t="s">
        <v>36</v>
      </c>
      <c r="E117" s="33" t="s">
        <v>38</v>
      </c>
      <c r="F117" s="31" t="s">
        <v>39</v>
      </c>
      <c r="G117" s="32" t="s">
        <v>40</v>
      </c>
      <c r="H117" s="33" t="s">
        <v>41</v>
      </c>
      <c r="I117" s="31" t="s">
        <v>301</v>
      </c>
      <c r="J117" s="32" t="s">
        <v>302</v>
      </c>
      <c r="K117" s="33" t="s">
        <v>303</v>
      </c>
      <c r="L117" s="31" t="s">
        <v>304</v>
      </c>
      <c r="M117" s="32" t="s">
        <v>305</v>
      </c>
      <c r="N117" s="33" t="s">
        <v>306</v>
      </c>
      <c r="O117" s="31" t="s">
        <v>63</v>
      </c>
      <c r="P117" s="32" t="s">
        <v>64</v>
      </c>
      <c r="Q117" s="33" t="s">
        <v>65</v>
      </c>
      <c r="R117" s="37" t="s">
        <v>51</v>
      </c>
      <c r="S117" s="38" t="s">
        <v>421</v>
      </c>
      <c r="T117" s="39">
        <v>-2288</v>
      </c>
      <c r="U117" s="40"/>
      <c r="V117" s="41">
        <v>-2288</v>
      </c>
      <c r="W117" s="33" t="s">
        <v>422</v>
      </c>
      <c r="X117" s="42">
        <v>45895</v>
      </c>
      <c r="Y117" s="43"/>
      <c r="Z117" s="33" t="s">
        <v>423</v>
      </c>
      <c r="AA117" s="44" t="s">
        <v>424</v>
      </c>
      <c r="AB117" s="32" t="s">
        <v>56</v>
      </c>
      <c r="AC117" s="56" t="s">
        <v>57</v>
      </c>
      <c r="AD117" s="33"/>
      <c r="AE117" s="47">
        <v>-2288</v>
      </c>
      <c r="AF117" s="48" t="s">
        <v>58</v>
      </c>
      <c r="AG117" s="48" t="s">
        <v>59</v>
      </c>
      <c r="AH117" s="49" t="s">
        <v>70</v>
      </c>
      <c r="AI117" s="49" t="s">
        <v>71</v>
      </c>
      <c r="AJ117" s="50" t="s">
        <v>72</v>
      </c>
    </row>
    <row r="118" spans="1:36" ht="15.75" x14ac:dyDescent="0.25">
      <c r="A118" s="26">
        <v>19625</v>
      </c>
      <c r="B118" s="32" t="s">
        <v>36</v>
      </c>
      <c r="C118" s="31" t="s">
        <v>37</v>
      </c>
      <c r="D118" s="56" t="s">
        <v>36</v>
      </c>
      <c r="E118" s="33" t="s">
        <v>38</v>
      </c>
      <c r="F118" s="31" t="s">
        <v>39</v>
      </c>
      <c r="G118" s="32" t="s">
        <v>40</v>
      </c>
      <c r="H118" s="33" t="s">
        <v>41</v>
      </c>
      <c r="I118" s="31" t="s">
        <v>301</v>
      </c>
      <c r="J118" s="32" t="s">
        <v>302</v>
      </c>
      <c r="K118" s="33" t="s">
        <v>303</v>
      </c>
      <c r="L118" s="31" t="s">
        <v>304</v>
      </c>
      <c r="M118" s="32" t="s">
        <v>305</v>
      </c>
      <c r="N118" s="33" t="s">
        <v>306</v>
      </c>
      <c r="O118" s="31" t="s">
        <v>63</v>
      </c>
      <c r="P118" s="32" t="s">
        <v>64</v>
      </c>
      <c r="Q118" s="33" t="s">
        <v>65</v>
      </c>
      <c r="R118" s="37" t="s">
        <v>51</v>
      </c>
      <c r="S118" s="38" t="s">
        <v>425</v>
      </c>
      <c r="T118" s="39">
        <v>-4617</v>
      </c>
      <c r="U118" s="40"/>
      <c r="V118" s="41">
        <v>-4617</v>
      </c>
      <c r="W118" s="33" t="s">
        <v>426</v>
      </c>
      <c r="X118" s="42">
        <v>45897</v>
      </c>
      <c r="Y118" s="43"/>
      <c r="Z118" s="33" t="s">
        <v>324</v>
      </c>
      <c r="AA118" s="44" t="s">
        <v>325</v>
      </c>
      <c r="AB118" s="32" t="s">
        <v>56</v>
      </c>
      <c r="AC118" s="56" t="s">
        <v>57</v>
      </c>
      <c r="AD118" s="33"/>
      <c r="AE118" s="47">
        <v>-4617</v>
      </c>
      <c r="AF118" s="48" t="s">
        <v>58</v>
      </c>
      <c r="AG118" s="48" t="s">
        <v>59</v>
      </c>
      <c r="AH118" s="49" t="s">
        <v>70</v>
      </c>
      <c r="AI118" s="49" t="s">
        <v>71</v>
      </c>
      <c r="AJ118" s="50" t="s">
        <v>72</v>
      </c>
    </row>
    <row r="119" spans="1:36" ht="15.75" x14ac:dyDescent="0.25">
      <c r="A119" s="26">
        <v>21122</v>
      </c>
      <c r="B119" s="57" t="s">
        <v>36</v>
      </c>
      <c r="C119" s="58" t="s">
        <v>37</v>
      </c>
      <c r="D119" s="59" t="s">
        <v>36</v>
      </c>
      <c r="E119" s="60" t="s">
        <v>38</v>
      </c>
      <c r="F119" s="58" t="s">
        <v>39</v>
      </c>
      <c r="G119" s="57" t="s">
        <v>40</v>
      </c>
      <c r="H119" s="60" t="s">
        <v>41</v>
      </c>
      <c r="I119" s="58" t="s">
        <v>301</v>
      </c>
      <c r="J119" s="57" t="s">
        <v>302</v>
      </c>
      <c r="K119" s="60" t="s">
        <v>303</v>
      </c>
      <c r="L119" s="58" t="s">
        <v>304</v>
      </c>
      <c r="M119" s="57" t="s">
        <v>305</v>
      </c>
      <c r="N119" s="60" t="s">
        <v>306</v>
      </c>
      <c r="O119" s="58" t="s">
        <v>63</v>
      </c>
      <c r="P119" s="57" t="s">
        <v>64</v>
      </c>
      <c r="Q119" s="60" t="s">
        <v>65</v>
      </c>
      <c r="R119" s="64" t="s">
        <v>51</v>
      </c>
      <c r="S119" s="65" t="s">
        <v>427</v>
      </c>
      <c r="T119" s="66">
        <v>5400</v>
      </c>
      <c r="U119" s="67">
        <v>-5400</v>
      </c>
      <c r="V119" s="68">
        <v>-5400</v>
      </c>
      <c r="W119" s="60" t="s">
        <v>428</v>
      </c>
      <c r="X119" s="42">
        <v>45901</v>
      </c>
      <c r="Y119" s="70">
        <v>45931</v>
      </c>
      <c r="Z119" s="60" t="s">
        <v>429</v>
      </c>
      <c r="AA119" s="44" t="s">
        <v>430</v>
      </c>
      <c r="AB119" s="57" t="s">
        <v>56</v>
      </c>
      <c r="AC119" s="59" t="s">
        <v>57</v>
      </c>
      <c r="AD119" s="60"/>
      <c r="AE119" s="71">
        <v>-5400</v>
      </c>
      <c r="AF119" s="48" t="s">
        <v>58</v>
      </c>
      <c r="AG119" s="48" t="s">
        <v>59</v>
      </c>
      <c r="AH119" s="49" t="s">
        <v>70</v>
      </c>
      <c r="AI119" s="49" t="s">
        <v>71</v>
      </c>
      <c r="AJ119" s="50" t="s">
        <v>72</v>
      </c>
    </row>
    <row r="120" spans="1:36" ht="15.75" x14ac:dyDescent="0.25">
      <c r="A120" s="26">
        <v>22375</v>
      </c>
      <c r="B120" s="57" t="s">
        <v>36</v>
      </c>
      <c r="C120" s="58" t="s">
        <v>37</v>
      </c>
      <c r="D120" s="59" t="s">
        <v>36</v>
      </c>
      <c r="E120" s="60" t="s">
        <v>38</v>
      </c>
      <c r="F120" s="58" t="s">
        <v>39</v>
      </c>
      <c r="G120" s="57" t="s">
        <v>40</v>
      </c>
      <c r="H120" s="60" t="s">
        <v>41</v>
      </c>
      <c r="I120" s="58" t="s">
        <v>301</v>
      </c>
      <c r="J120" s="57" t="s">
        <v>302</v>
      </c>
      <c r="K120" s="60" t="s">
        <v>303</v>
      </c>
      <c r="L120" s="58" t="s">
        <v>304</v>
      </c>
      <c r="M120" s="57" t="s">
        <v>305</v>
      </c>
      <c r="N120" s="60" t="s">
        <v>306</v>
      </c>
      <c r="O120" s="58" t="s">
        <v>150</v>
      </c>
      <c r="P120" s="57" t="s">
        <v>151</v>
      </c>
      <c r="Q120" s="60" t="s">
        <v>152</v>
      </c>
      <c r="R120" s="64" t="s">
        <v>121</v>
      </c>
      <c r="S120" s="65" t="s">
        <v>431</v>
      </c>
      <c r="T120" s="66">
        <v>1750</v>
      </c>
      <c r="U120" s="67">
        <v>-875</v>
      </c>
      <c r="V120" s="68">
        <v>-875</v>
      </c>
      <c r="W120" s="60" t="s">
        <v>432</v>
      </c>
      <c r="X120" s="69">
        <v>45901</v>
      </c>
      <c r="Y120" s="70">
        <v>45905</v>
      </c>
      <c r="Z120" s="60" t="s">
        <v>311</v>
      </c>
      <c r="AA120" s="44" t="s">
        <v>312</v>
      </c>
      <c r="AB120" s="57" t="s">
        <v>56</v>
      </c>
      <c r="AC120" s="59" t="s">
        <v>57</v>
      </c>
      <c r="AD120" s="60"/>
      <c r="AE120" s="71">
        <v>-875</v>
      </c>
      <c r="AF120" s="48" t="s">
        <v>58</v>
      </c>
      <c r="AG120" s="48" t="s">
        <v>157</v>
      </c>
      <c r="AH120" s="49" t="s">
        <v>158</v>
      </c>
      <c r="AI120" s="49" t="s">
        <v>159</v>
      </c>
      <c r="AJ120" s="50" t="s">
        <v>102</v>
      </c>
    </row>
    <row r="121" spans="1:36" ht="15.75" x14ac:dyDescent="0.25">
      <c r="A121" s="26">
        <v>21115</v>
      </c>
      <c r="B121" s="57" t="s">
        <v>36</v>
      </c>
      <c r="C121" s="58" t="s">
        <v>37</v>
      </c>
      <c r="D121" s="59" t="s">
        <v>36</v>
      </c>
      <c r="E121" s="60" t="s">
        <v>38</v>
      </c>
      <c r="F121" s="58" t="s">
        <v>39</v>
      </c>
      <c r="G121" s="57" t="s">
        <v>40</v>
      </c>
      <c r="H121" s="60" t="s">
        <v>41</v>
      </c>
      <c r="I121" s="58" t="s">
        <v>301</v>
      </c>
      <c r="J121" s="57" t="s">
        <v>302</v>
      </c>
      <c r="K121" s="60" t="s">
        <v>303</v>
      </c>
      <c r="L121" s="58" t="s">
        <v>304</v>
      </c>
      <c r="M121" s="57" t="s">
        <v>305</v>
      </c>
      <c r="N121" s="60" t="s">
        <v>306</v>
      </c>
      <c r="O121" s="58" t="s">
        <v>63</v>
      </c>
      <c r="P121" s="57" t="s">
        <v>64</v>
      </c>
      <c r="Q121" s="60" t="s">
        <v>65</v>
      </c>
      <c r="R121" s="64" t="s">
        <v>51</v>
      </c>
      <c r="S121" s="65" t="s">
        <v>433</v>
      </c>
      <c r="T121" s="66">
        <v>1700</v>
      </c>
      <c r="U121" s="67">
        <v>-1700</v>
      </c>
      <c r="V121" s="68">
        <v>-1700</v>
      </c>
      <c r="W121" s="60" t="s">
        <v>434</v>
      </c>
      <c r="X121" s="69">
        <v>45902</v>
      </c>
      <c r="Y121" s="70">
        <v>45903</v>
      </c>
      <c r="Z121" s="60" t="s">
        <v>435</v>
      </c>
      <c r="AA121" s="44" t="s">
        <v>436</v>
      </c>
      <c r="AB121" s="57" t="s">
        <v>56</v>
      </c>
      <c r="AC121" s="59" t="s">
        <v>57</v>
      </c>
      <c r="AD121" s="60"/>
      <c r="AE121" s="71">
        <v>-1700</v>
      </c>
      <c r="AF121" s="48" t="s">
        <v>58</v>
      </c>
      <c r="AG121" s="48" t="s">
        <v>59</v>
      </c>
      <c r="AH121" s="49" t="s">
        <v>70</v>
      </c>
      <c r="AI121" s="49" t="s">
        <v>71</v>
      </c>
      <c r="AJ121" s="50" t="s">
        <v>72</v>
      </c>
    </row>
    <row r="122" spans="1:36" ht="15.75" x14ac:dyDescent="0.25">
      <c r="A122" s="26">
        <v>21494</v>
      </c>
      <c r="B122" s="57" t="s">
        <v>36</v>
      </c>
      <c r="C122" s="58" t="s">
        <v>37</v>
      </c>
      <c r="D122" s="59" t="s">
        <v>36</v>
      </c>
      <c r="E122" s="60" t="s">
        <v>38</v>
      </c>
      <c r="F122" s="58" t="s">
        <v>39</v>
      </c>
      <c r="G122" s="57" t="s">
        <v>40</v>
      </c>
      <c r="H122" s="60" t="s">
        <v>41</v>
      </c>
      <c r="I122" s="58" t="s">
        <v>301</v>
      </c>
      <c r="J122" s="57" t="s">
        <v>302</v>
      </c>
      <c r="K122" s="60" t="s">
        <v>303</v>
      </c>
      <c r="L122" s="58" t="s">
        <v>304</v>
      </c>
      <c r="M122" s="57" t="s">
        <v>305</v>
      </c>
      <c r="N122" s="60" t="s">
        <v>306</v>
      </c>
      <c r="O122" s="58" t="s">
        <v>63</v>
      </c>
      <c r="P122" s="57" t="s">
        <v>64</v>
      </c>
      <c r="Q122" s="60" t="s">
        <v>65</v>
      </c>
      <c r="R122" s="64" t="s">
        <v>51</v>
      </c>
      <c r="S122" s="65" t="s">
        <v>437</v>
      </c>
      <c r="T122" s="66">
        <v>500</v>
      </c>
      <c r="U122" s="67">
        <v>-500</v>
      </c>
      <c r="V122" s="68">
        <v>-500</v>
      </c>
      <c r="W122" s="60" t="s">
        <v>438</v>
      </c>
      <c r="X122" s="69">
        <v>45902</v>
      </c>
      <c r="Y122" s="70">
        <v>45903</v>
      </c>
      <c r="Z122" s="60" t="s">
        <v>435</v>
      </c>
      <c r="AA122" s="44" t="s">
        <v>436</v>
      </c>
      <c r="AB122" s="57" t="s">
        <v>56</v>
      </c>
      <c r="AC122" s="59" t="s">
        <v>57</v>
      </c>
      <c r="AD122" s="60"/>
      <c r="AE122" s="71">
        <v>-500</v>
      </c>
      <c r="AF122" s="48" t="s">
        <v>58</v>
      </c>
      <c r="AG122" s="48" t="s">
        <v>59</v>
      </c>
      <c r="AH122" s="49" t="s">
        <v>70</v>
      </c>
      <c r="AI122" s="49" t="s">
        <v>71</v>
      </c>
      <c r="AJ122" s="50" t="s">
        <v>72</v>
      </c>
    </row>
    <row r="123" spans="1:36" ht="15.75" x14ac:dyDescent="0.25">
      <c r="A123" s="26">
        <v>21516</v>
      </c>
      <c r="B123" s="57" t="s">
        <v>36</v>
      </c>
      <c r="C123" s="58" t="s">
        <v>37</v>
      </c>
      <c r="D123" s="59" t="s">
        <v>36</v>
      </c>
      <c r="E123" s="60" t="s">
        <v>38</v>
      </c>
      <c r="F123" s="58" t="s">
        <v>39</v>
      </c>
      <c r="G123" s="57" t="s">
        <v>40</v>
      </c>
      <c r="H123" s="60" t="s">
        <v>41</v>
      </c>
      <c r="I123" s="58" t="s">
        <v>301</v>
      </c>
      <c r="J123" s="57" t="s">
        <v>302</v>
      </c>
      <c r="K123" s="60" t="s">
        <v>303</v>
      </c>
      <c r="L123" s="58" t="s">
        <v>304</v>
      </c>
      <c r="M123" s="57" t="s">
        <v>305</v>
      </c>
      <c r="N123" s="60" t="s">
        <v>306</v>
      </c>
      <c r="O123" s="58" t="s">
        <v>63</v>
      </c>
      <c r="P123" s="57" t="s">
        <v>64</v>
      </c>
      <c r="Q123" s="60" t="s">
        <v>65</v>
      </c>
      <c r="R123" s="64" t="s">
        <v>51</v>
      </c>
      <c r="S123" s="65" t="s">
        <v>439</v>
      </c>
      <c r="T123" s="66">
        <v>3590</v>
      </c>
      <c r="U123" s="67">
        <v>-3590</v>
      </c>
      <c r="V123" s="68">
        <v>-3590</v>
      </c>
      <c r="W123" s="60" t="s">
        <v>440</v>
      </c>
      <c r="X123" s="69">
        <v>45904</v>
      </c>
      <c r="Y123" s="70">
        <v>45915</v>
      </c>
      <c r="Z123" s="60" t="s">
        <v>360</v>
      </c>
      <c r="AA123" s="44" t="s">
        <v>361</v>
      </c>
      <c r="AB123" s="57" t="s">
        <v>56</v>
      </c>
      <c r="AC123" s="59" t="s">
        <v>57</v>
      </c>
      <c r="AD123" s="60"/>
      <c r="AE123" s="71">
        <v>-3590</v>
      </c>
      <c r="AF123" s="48" t="s">
        <v>58</v>
      </c>
      <c r="AG123" s="48" t="s">
        <v>59</v>
      </c>
      <c r="AH123" s="49" t="s">
        <v>70</v>
      </c>
      <c r="AI123" s="49" t="s">
        <v>71</v>
      </c>
      <c r="AJ123" s="50" t="s">
        <v>72</v>
      </c>
    </row>
    <row r="124" spans="1:36" ht="15.75" x14ac:dyDescent="0.25">
      <c r="A124" s="26">
        <v>21542</v>
      </c>
      <c r="B124" s="57" t="s">
        <v>36</v>
      </c>
      <c r="C124" s="58" t="s">
        <v>37</v>
      </c>
      <c r="D124" s="59" t="s">
        <v>36</v>
      </c>
      <c r="E124" s="60" t="s">
        <v>38</v>
      </c>
      <c r="F124" s="58" t="s">
        <v>39</v>
      </c>
      <c r="G124" s="57" t="s">
        <v>40</v>
      </c>
      <c r="H124" s="60" t="s">
        <v>41</v>
      </c>
      <c r="I124" s="58" t="s">
        <v>301</v>
      </c>
      <c r="J124" s="57" t="s">
        <v>302</v>
      </c>
      <c r="K124" s="60" t="s">
        <v>303</v>
      </c>
      <c r="L124" s="58" t="s">
        <v>304</v>
      </c>
      <c r="M124" s="57" t="s">
        <v>305</v>
      </c>
      <c r="N124" s="60" t="s">
        <v>306</v>
      </c>
      <c r="O124" s="58" t="s">
        <v>63</v>
      </c>
      <c r="P124" s="57" t="s">
        <v>64</v>
      </c>
      <c r="Q124" s="60" t="s">
        <v>65</v>
      </c>
      <c r="R124" s="64" t="s">
        <v>51</v>
      </c>
      <c r="S124" s="65" t="s">
        <v>441</v>
      </c>
      <c r="T124" s="66">
        <v>1000</v>
      </c>
      <c r="U124" s="67">
        <v>-1000</v>
      </c>
      <c r="V124" s="68">
        <v>-1000</v>
      </c>
      <c r="W124" s="60" t="s">
        <v>442</v>
      </c>
      <c r="X124" s="69">
        <v>45904</v>
      </c>
      <c r="Y124" s="70">
        <v>45915</v>
      </c>
      <c r="Z124" s="60" t="s">
        <v>324</v>
      </c>
      <c r="AA124" s="44" t="s">
        <v>325</v>
      </c>
      <c r="AB124" s="57" t="s">
        <v>56</v>
      </c>
      <c r="AC124" s="59" t="s">
        <v>57</v>
      </c>
      <c r="AD124" s="60"/>
      <c r="AE124" s="71">
        <v>-1000</v>
      </c>
      <c r="AF124" s="48" t="s">
        <v>58</v>
      </c>
      <c r="AG124" s="48" t="s">
        <v>59</v>
      </c>
      <c r="AH124" s="49" t="s">
        <v>70</v>
      </c>
      <c r="AI124" s="49" t="s">
        <v>71</v>
      </c>
      <c r="AJ124" s="50" t="s">
        <v>72</v>
      </c>
    </row>
    <row r="125" spans="1:36" ht="15.75" x14ac:dyDescent="0.25">
      <c r="A125" s="26">
        <v>21253</v>
      </c>
      <c r="B125" s="57" t="s">
        <v>36</v>
      </c>
      <c r="C125" s="58" t="s">
        <v>37</v>
      </c>
      <c r="D125" s="59" t="s">
        <v>36</v>
      </c>
      <c r="E125" s="60" t="s">
        <v>38</v>
      </c>
      <c r="F125" s="58" t="s">
        <v>39</v>
      </c>
      <c r="G125" s="57" t="s">
        <v>40</v>
      </c>
      <c r="H125" s="60" t="s">
        <v>41</v>
      </c>
      <c r="I125" s="58" t="s">
        <v>301</v>
      </c>
      <c r="J125" s="57" t="s">
        <v>302</v>
      </c>
      <c r="K125" s="60" t="s">
        <v>303</v>
      </c>
      <c r="L125" s="58" t="s">
        <v>304</v>
      </c>
      <c r="M125" s="57" t="s">
        <v>305</v>
      </c>
      <c r="N125" s="60" t="s">
        <v>306</v>
      </c>
      <c r="O125" s="58" t="s">
        <v>326</v>
      </c>
      <c r="P125" s="57" t="s">
        <v>327</v>
      </c>
      <c r="Q125" s="60" t="s">
        <v>328</v>
      </c>
      <c r="R125" s="64" t="s">
        <v>51</v>
      </c>
      <c r="S125" s="65" t="s">
        <v>443</v>
      </c>
      <c r="T125" s="66">
        <v>760</v>
      </c>
      <c r="U125" s="67">
        <v>-760</v>
      </c>
      <c r="V125" s="68">
        <v>-760</v>
      </c>
      <c r="W125" s="60" t="s">
        <v>444</v>
      </c>
      <c r="X125" s="69">
        <v>45905</v>
      </c>
      <c r="Y125" s="70">
        <v>45905</v>
      </c>
      <c r="Z125" s="60" t="s">
        <v>331</v>
      </c>
      <c r="AA125" s="44" t="s">
        <v>332</v>
      </c>
      <c r="AB125" s="57" t="s">
        <v>56</v>
      </c>
      <c r="AC125" s="59" t="s">
        <v>57</v>
      </c>
      <c r="AD125" s="60"/>
      <c r="AE125" s="71">
        <v>-760</v>
      </c>
      <c r="AF125" s="48" t="s">
        <v>58</v>
      </c>
      <c r="AG125" s="48" t="s">
        <v>157</v>
      </c>
      <c r="AH125" s="49" t="s">
        <v>333</v>
      </c>
      <c r="AI125" s="49" t="s">
        <v>321</v>
      </c>
      <c r="AJ125" s="50" t="s">
        <v>62</v>
      </c>
    </row>
    <row r="126" spans="1:36" ht="15.75" x14ac:dyDescent="0.25">
      <c r="A126" s="26">
        <v>20704</v>
      </c>
      <c r="B126" s="57" t="s">
        <v>36</v>
      </c>
      <c r="C126" s="58" t="s">
        <v>37</v>
      </c>
      <c r="D126" s="59" t="s">
        <v>36</v>
      </c>
      <c r="E126" s="60" t="s">
        <v>38</v>
      </c>
      <c r="F126" s="58" t="s">
        <v>39</v>
      </c>
      <c r="G126" s="57" t="s">
        <v>40</v>
      </c>
      <c r="H126" s="60" t="s">
        <v>41</v>
      </c>
      <c r="I126" s="58" t="s">
        <v>301</v>
      </c>
      <c r="J126" s="57" t="s">
        <v>302</v>
      </c>
      <c r="K126" s="60" t="s">
        <v>303</v>
      </c>
      <c r="L126" s="58" t="s">
        <v>304</v>
      </c>
      <c r="M126" s="57" t="s">
        <v>305</v>
      </c>
      <c r="N126" s="60" t="s">
        <v>306</v>
      </c>
      <c r="O126" s="31" t="s">
        <v>83</v>
      </c>
      <c r="P126" s="32" t="s">
        <v>84</v>
      </c>
      <c r="Q126" s="33" t="s">
        <v>85</v>
      </c>
      <c r="R126" s="64" t="s">
        <v>51</v>
      </c>
      <c r="S126" s="65" t="s">
        <v>445</v>
      </c>
      <c r="T126" s="66">
        <v>167.61</v>
      </c>
      <c r="U126" s="67">
        <v>-55.87</v>
      </c>
      <c r="V126" s="68">
        <v>-55.87</v>
      </c>
      <c r="W126" s="60" t="s">
        <v>446</v>
      </c>
      <c r="X126" s="69">
        <v>45908</v>
      </c>
      <c r="Y126" s="70">
        <v>45945</v>
      </c>
      <c r="Z126" s="60" t="s">
        <v>356</v>
      </c>
      <c r="AA126" s="44" t="s">
        <v>357</v>
      </c>
      <c r="AB126" s="57" t="s">
        <v>56</v>
      </c>
      <c r="AC126" s="59" t="s">
        <v>57</v>
      </c>
      <c r="AD126" s="60"/>
      <c r="AE126" s="71">
        <v>-55.87</v>
      </c>
      <c r="AF126" s="48" t="s">
        <v>58</v>
      </c>
      <c r="AG126" s="48" t="s">
        <v>59</v>
      </c>
      <c r="AH126" s="49" t="s">
        <v>89</v>
      </c>
      <c r="AI126" s="49" t="s">
        <v>61</v>
      </c>
      <c r="AJ126" s="50" t="s">
        <v>62</v>
      </c>
    </row>
    <row r="127" spans="1:36" ht="15.75" x14ac:dyDescent="0.25">
      <c r="A127" s="26">
        <v>21416</v>
      </c>
      <c r="B127" s="57" t="s">
        <v>36</v>
      </c>
      <c r="C127" s="58" t="s">
        <v>37</v>
      </c>
      <c r="D127" s="59" t="s">
        <v>36</v>
      </c>
      <c r="E127" s="60" t="s">
        <v>38</v>
      </c>
      <c r="F127" s="58" t="s">
        <v>39</v>
      </c>
      <c r="G127" s="57" t="s">
        <v>40</v>
      </c>
      <c r="H127" s="60" t="s">
        <v>41</v>
      </c>
      <c r="I127" s="58" t="s">
        <v>301</v>
      </c>
      <c r="J127" s="57" t="s">
        <v>302</v>
      </c>
      <c r="K127" s="60" t="s">
        <v>303</v>
      </c>
      <c r="L127" s="58" t="s">
        <v>304</v>
      </c>
      <c r="M127" s="57" t="s">
        <v>305</v>
      </c>
      <c r="N127" s="60" t="s">
        <v>306</v>
      </c>
      <c r="O127" s="58" t="s">
        <v>63</v>
      </c>
      <c r="P127" s="57" t="s">
        <v>64</v>
      </c>
      <c r="Q127" s="60" t="s">
        <v>65</v>
      </c>
      <c r="R127" s="64" t="s">
        <v>51</v>
      </c>
      <c r="S127" s="65" t="s">
        <v>447</v>
      </c>
      <c r="T127" s="66">
        <v>1250</v>
      </c>
      <c r="U127" s="67">
        <v>-1250</v>
      </c>
      <c r="V127" s="68">
        <v>-1250</v>
      </c>
      <c r="W127" s="60" t="s">
        <v>448</v>
      </c>
      <c r="X127" s="69">
        <v>45910</v>
      </c>
      <c r="Y127" s="70">
        <v>45915</v>
      </c>
      <c r="Z127" s="60" t="s">
        <v>449</v>
      </c>
      <c r="AA127" s="44" t="s">
        <v>450</v>
      </c>
      <c r="AB127" s="57" t="s">
        <v>56</v>
      </c>
      <c r="AC127" s="59" t="s">
        <v>57</v>
      </c>
      <c r="AD127" s="60"/>
      <c r="AE127" s="71">
        <v>-1250</v>
      </c>
      <c r="AF127" s="48" t="s">
        <v>58</v>
      </c>
      <c r="AG127" s="48" t="s">
        <v>59</v>
      </c>
      <c r="AH127" s="49" t="s">
        <v>70</v>
      </c>
      <c r="AI127" s="49" t="s">
        <v>71</v>
      </c>
      <c r="AJ127" s="50" t="s">
        <v>72</v>
      </c>
    </row>
    <row r="128" spans="1:36" ht="15.75" x14ac:dyDescent="0.25">
      <c r="A128" s="26">
        <v>20454</v>
      </c>
      <c r="B128" s="57" t="s">
        <v>36</v>
      </c>
      <c r="C128" s="58" t="s">
        <v>37</v>
      </c>
      <c r="D128" s="59" t="s">
        <v>36</v>
      </c>
      <c r="E128" s="60" t="s">
        <v>38</v>
      </c>
      <c r="F128" s="58" t="s">
        <v>39</v>
      </c>
      <c r="G128" s="57" t="s">
        <v>40</v>
      </c>
      <c r="H128" s="60" t="s">
        <v>41</v>
      </c>
      <c r="I128" s="58" t="s">
        <v>301</v>
      </c>
      <c r="J128" s="57" t="s">
        <v>302</v>
      </c>
      <c r="K128" s="60" t="s">
        <v>303</v>
      </c>
      <c r="L128" s="58" t="s">
        <v>304</v>
      </c>
      <c r="M128" s="57" t="s">
        <v>305</v>
      </c>
      <c r="N128" s="60" t="s">
        <v>306</v>
      </c>
      <c r="O128" s="58" t="s">
        <v>63</v>
      </c>
      <c r="P128" s="57" t="s">
        <v>64</v>
      </c>
      <c r="Q128" s="60" t="s">
        <v>65</v>
      </c>
      <c r="R128" s="64" t="s">
        <v>51</v>
      </c>
      <c r="S128" s="65" t="s">
        <v>451</v>
      </c>
      <c r="T128" s="66">
        <v>881.79</v>
      </c>
      <c r="U128" s="67">
        <v>-881.79</v>
      </c>
      <c r="V128" s="68">
        <v>-881.79</v>
      </c>
      <c r="W128" s="60" t="s">
        <v>452</v>
      </c>
      <c r="X128" s="69">
        <v>45911</v>
      </c>
      <c r="Y128" s="70">
        <v>45915</v>
      </c>
      <c r="Z128" s="60" t="s">
        <v>449</v>
      </c>
      <c r="AA128" s="44" t="s">
        <v>450</v>
      </c>
      <c r="AB128" s="57" t="s">
        <v>56</v>
      </c>
      <c r="AC128" s="59" t="s">
        <v>57</v>
      </c>
      <c r="AD128" s="60"/>
      <c r="AE128" s="71">
        <v>-881.79</v>
      </c>
      <c r="AF128" s="48" t="s">
        <v>58</v>
      </c>
      <c r="AG128" s="48" t="s">
        <v>59</v>
      </c>
      <c r="AH128" s="49" t="s">
        <v>70</v>
      </c>
      <c r="AI128" s="49" t="s">
        <v>71</v>
      </c>
      <c r="AJ128" s="50" t="s">
        <v>72</v>
      </c>
    </row>
    <row r="129" spans="1:36" ht="15.75" x14ac:dyDescent="0.25">
      <c r="A129" s="26">
        <v>20817</v>
      </c>
      <c r="B129" s="57" t="s">
        <v>36</v>
      </c>
      <c r="C129" s="58" t="s">
        <v>37</v>
      </c>
      <c r="D129" s="59" t="s">
        <v>36</v>
      </c>
      <c r="E129" s="60" t="s">
        <v>38</v>
      </c>
      <c r="F129" s="58" t="s">
        <v>39</v>
      </c>
      <c r="G129" s="57" t="s">
        <v>40</v>
      </c>
      <c r="H129" s="60" t="s">
        <v>41</v>
      </c>
      <c r="I129" s="58" t="s">
        <v>301</v>
      </c>
      <c r="J129" s="57" t="s">
        <v>302</v>
      </c>
      <c r="K129" s="60" t="s">
        <v>303</v>
      </c>
      <c r="L129" s="58" t="s">
        <v>304</v>
      </c>
      <c r="M129" s="57" t="s">
        <v>305</v>
      </c>
      <c r="N129" s="60" t="s">
        <v>306</v>
      </c>
      <c r="O129" s="58" t="s">
        <v>63</v>
      </c>
      <c r="P129" s="57" t="s">
        <v>64</v>
      </c>
      <c r="Q129" s="60" t="s">
        <v>65</v>
      </c>
      <c r="R129" s="64" t="s">
        <v>51</v>
      </c>
      <c r="S129" s="65" t="s">
        <v>453</v>
      </c>
      <c r="T129" s="66">
        <v>1609.09</v>
      </c>
      <c r="U129" s="67">
        <v>-1609.09</v>
      </c>
      <c r="V129" s="68">
        <v>-1609.09</v>
      </c>
      <c r="W129" s="60" t="s">
        <v>454</v>
      </c>
      <c r="X129" s="69">
        <v>45912</v>
      </c>
      <c r="Y129" s="70">
        <v>45925</v>
      </c>
      <c r="Z129" s="60" t="s">
        <v>371</v>
      </c>
      <c r="AA129" s="44" t="s">
        <v>372</v>
      </c>
      <c r="AB129" s="57" t="s">
        <v>56</v>
      </c>
      <c r="AC129" s="59" t="s">
        <v>57</v>
      </c>
      <c r="AD129" s="60"/>
      <c r="AE129" s="71">
        <v>-1609.09</v>
      </c>
      <c r="AF129" s="48" t="s">
        <v>58</v>
      </c>
      <c r="AG129" s="48" t="s">
        <v>59</v>
      </c>
      <c r="AH129" s="49" t="s">
        <v>70</v>
      </c>
      <c r="AI129" s="49" t="s">
        <v>71</v>
      </c>
      <c r="AJ129" s="50" t="s">
        <v>72</v>
      </c>
    </row>
    <row r="130" spans="1:36" ht="15.75" x14ac:dyDescent="0.25">
      <c r="A130" s="26">
        <v>22379</v>
      </c>
      <c r="B130" s="57" t="s">
        <v>36</v>
      </c>
      <c r="C130" s="58" t="s">
        <v>37</v>
      </c>
      <c r="D130" s="59" t="s">
        <v>36</v>
      </c>
      <c r="E130" s="60" t="s">
        <v>38</v>
      </c>
      <c r="F130" s="58" t="s">
        <v>39</v>
      </c>
      <c r="G130" s="57" t="s">
        <v>40</v>
      </c>
      <c r="H130" s="60" t="s">
        <v>41</v>
      </c>
      <c r="I130" s="58" t="s">
        <v>301</v>
      </c>
      <c r="J130" s="57" t="s">
        <v>302</v>
      </c>
      <c r="K130" s="60" t="s">
        <v>303</v>
      </c>
      <c r="L130" s="58" t="s">
        <v>304</v>
      </c>
      <c r="M130" s="57" t="s">
        <v>305</v>
      </c>
      <c r="N130" s="60" t="s">
        <v>306</v>
      </c>
      <c r="O130" s="58" t="s">
        <v>150</v>
      </c>
      <c r="P130" s="57" t="s">
        <v>151</v>
      </c>
      <c r="Q130" s="60" t="s">
        <v>152</v>
      </c>
      <c r="R130" s="64" t="s">
        <v>121</v>
      </c>
      <c r="S130" s="65" t="s">
        <v>455</v>
      </c>
      <c r="T130" s="66">
        <v>1400</v>
      </c>
      <c r="U130" s="67">
        <v>-700</v>
      </c>
      <c r="V130" s="68">
        <v>-700</v>
      </c>
      <c r="W130" s="60" t="s">
        <v>456</v>
      </c>
      <c r="X130" s="69">
        <v>45912</v>
      </c>
      <c r="Y130" s="70">
        <v>45915</v>
      </c>
      <c r="Z130" s="60" t="s">
        <v>311</v>
      </c>
      <c r="AA130" s="44" t="s">
        <v>312</v>
      </c>
      <c r="AB130" s="57" t="s">
        <v>56</v>
      </c>
      <c r="AC130" s="59" t="s">
        <v>57</v>
      </c>
      <c r="AD130" s="60"/>
      <c r="AE130" s="71">
        <v>-700</v>
      </c>
      <c r="AF130" s="48" t="s">
        <v>58</v>
      </c>
      <c r="AG130" s="48" t="s">
        <v>157</v>
      </c>
      <c r="AH130" s="49" t="s">
        <v>158</v>
      </c>
      <c r="AI130" s="49" t="s">
        <v>159</v>
      </c>
      <c r="AJ130" s="50" t="s">
        <v>102</v>
      </c>
    </row>
    <row r="131" spans="1:36" ht="15.75" x14ac:dyDescent="0.25">
      <c r="A131" s="26">
        <v>21526</v>
      </c>
      <c r="B131" s="57" t="s">
        <v>36</v>
      </c>
      <c r="C131" s="58" t="s">
        <v>37</v>
      </c>
      <c r="D131" s="59" t="s">
        <v>36</v>
      </c>
      <c r="E131" s="60" t="s">
        <v>38</v>
      </c>
      <c r="F131" s="58" t="s">
        <v>39</v>
      </c>
      <c r="G131" s="57" t="s">
        <v>40</v>
      </c>
      <c r="H131" s="60" t="s">
        <v>41</v>
      </c>
      <c r="I131" s="58" t="s">
        <v>301</v>
      </c>
      <c r="J131" s="57" t="s">
        <v>302</v>
      </c>
      <c r="K131" s="60" t="s">
        <v>303</v>
      </c>
      <c r="L131" s="58" t="s">
        <v>304</v>
      </c>
      <c r="M131" s="57" t="s">
        <v>305</v>
      </c>
      <c r="N131" s="60" t="s">
        <v>306</v>
      </c>
      <c r="O131" s="58" t="s">
        <v>326</v>
      </c>
      <c r="P131" s="57" t="s">
        <v>327</v>
      </c>
      <c r="Q131" s="60" t="s">
        <v>328</v>
      </c>
      <c r="R131" s="64" t="s">
        <v>51</v>
      </c>
      <c r="S131" s="65" t="s">
        <v>457</v>
      </c>
      <c r="T131" s="39">
        <v>1200</v>
      </c>
      <c r="U131" s="40">
        <v>-1200</v>
      </c>
      <c r="V131" s="41">
        <v>-1200</v>
      </c>
      <c r="W131" s="60" t="s">
        <v>458</v>
      </c>
      <c r="X131" s="69">
        <v>45918</v>
      </c>
      <c r="Y131" s="70">
        <v>45919</v>
      </c>
      <c r="Z131" s="60" t="s">
        <v>331</v>
      </c>
      <c r="AA131" s="44" t="s">
        <v>332</v>
      </c>
      <c r="AB131" s="57" t="s">
        <v>56</v>
      </c>
      <c r="AC131" s="59" t="s">
        <v>57</v>
      </c>
      <c r="AD131" s="33"/>
      <c r="AE131" s="47">
        <v>-1200</v>
      </c>
      <c r="AF131" s="48" t="s">
        <v>58</v>
      </c>
      <c r="AG131" s="48" t="s">
        <v>157</v>
      </c>
      <c r="AH131" s="49" t="s">
        <v>333</v>
      </c>
      <c r="AI131" s="49" t="s">
        <v>321</v>
      </c>
      <c r="AJ131" s="50" t="s">
        <v>62</v>
      </c>
    </row>
    <row r="132" spans="1:36" ht="15.75" x14ac:dyDescent="0.25">
      <c r="A132" s="26">
        <v>21543</v>
      </c>
      <c r="B132" s="57" t="s">
        <v>36</v>
      </c>
      <c r="C132" s="58" t="s">
        <v>37</v>
      </c>
      <c r="D132" s="59" t="s">
        <v>36</v>
      </c>
      <c r="E132" s="60" t="s">
        <v>38</v>
      </c>
      <c r="F132" s="58" t="s">
        <v>39</v>
      </c>
      <c r="G132" s="57" t="s">
        <v>40</v>
      </c>
      <c r="H132" s="60" t="s">
        <v>41</v>
      </c>
      <c r="I132" s="58" t="s">
        <v>301</v>
      </c>
      <c r="J132" s="57" t="s">
        <v>302</v>
      </c>
      <c r="K132" s="60" t="s">
        <v>303</v>
      </c>
      <c r="L132" s="58" t="s">
        <v>304</v>
      </c>
      <c r="M132" s="57" t="s">
        <v>305</v>
      </c>
      <c r="N132" s="60" t="s">
        <v>306</v>
      </c>
      <c r="O132" s="31" t="s">
        <v>63</v>
      </c>
      <c r="P132" s="32" t="s">
        <v>64</v>
      </c>
      <c r="Q132" s="33" t="s">
        <v>65</v>
      </c>
      <c r="R132" s="64" t="s">
        <v>51</v>
      </c>
      <c r="S132" s="65" t="s">
        <v>459</v>
      </c>
      <c r="T132" s="66">
        <v>1400</v>
      </c>
      <c r="U132" s="67">
        <v>-1400</v>
      </c>
      <c r="V132" s="68">
        <v>-1400</v>
      </c>
      <c r="W132" s="33" t="s">
        <v>460</v>
      </c>
      <c r="X132" s="69">
        <v>45922</v>
      </c>
      <c r="Y132" s="70">
        <v>45935</v>
      </c>
      <c r="Z132" s="60" t="s">
        <v>324</v>
      </c>
      <c r="AA132" s="44" t="s">
        <v>325</v>
      </c>
      <c r="AB132" s="57" t="s">
        <v>56</v>
      </c>
      <c r="AC132" s="59" t="s">
        <v>57</v>
      </c>
      <c r="AD132" s="60"/>
      <c r="AE132" s="71">
        <v>-1400</v>
      </c>
      <c r="AF132" s="48" t="s">
        <v>58</v>
      </c>
      <c r="AG132" s="48" t="s">
        <v>59</v>
      </c>
      <c r="AH132" s="49" t="s">
        <v>70</v>
      </c>
      <c r="AI132" s="49" t="s">
        <v>71</v>
      </c>
      <c r="AJ132" s="50" t="s">
        <v>72</v>
      </c>
    </row>
    <row r="133" spans="1:36" ht="15.75" x14ac:dyDescent="0.25">
      <c r="A133" s="26">
        <v>20932</v>
      </c>
      <c r="B133" s="57" t="s">
        <v>36</v>
      </c>
      <c r="C133" s="58" t="s">
        <v>37</v>
      </c>
      <c r="D133" s="59" t="s">
        <v>36</v>
      </c>
      <c r="E133" s="60" t="s">
        <v>38</v>
      </c>
      <c r="F133" s="58" t="s">
        <v>39</v>
      </c>
      <c r="G133" s="57" t="s">
        <v>40</v>
      </c>
      <c r="H133" s="60" t="s">
        <v>41</v>
      </c>
      <c r="I133" s="58" t="s">
        <v>301</v>
      </c>
      <c r="J133" s="57" t="s">
        <v>302</v>
      </c>
      <c r="K133" s="60" t="s">
        <v>303</v>
      </c>
      <c r="L133" s="58" t="s">
        <v>304</v>
      </c>
      <c r="M133" s="57" t="s">
        <v>305</v>
      </c>
      <c r="N133" s="60" t="s">
        <v>306</v>
      </c>
      <c r="O133" s="58" t="s">
        <v>63</v>
      </c>
      <c r="P133" s="57" t="s">
        <v>64</v>
      </c>
      <c r="Q133" s="60" t="s">
        <v>65</v>
      </c>
      <c r="R133" s="64" t="s">
        <v>51</v>
      </c>
      <c r="S133" s="65" t="s">
        <v>461</v>
      </c>
      <c r="T133" s="66">
        <v>1570</v>
      </c>
      <c r="U133" s="67">
        <v>-1570</v>
      </c>
      <c r="V133" s="68">
        <v>-1570</v>
      </c>
      <c r="W133" s="60" t="s">
        <v>462</v>
      </c>
      <c r="X133" s="69">
        <v>45923</v>
      </c>
      <c r="Y133" s="70">
        <v>45935</v>
      </c>
      <c r="Z133" s="60" t="s">
        <v>344</v>
      </c>
      <c r="AA133" s="44" t="s">
        <v>345</v>
      </c>
      <c r="AB133" s="57" t="s">
        <v>56</v>
      </c>
      <c r="AC133" s="59" t="s">
        <v>57</v>
      </c>
      <c r="AD133" s="60"/>
      <c r="AE133" s="71">
        <v>-1570</v>
      </c>
      <c r="AF133" s="48" t="s">
        <v>58</v>
      </c>
      <c r="AG133" s="48" t="s">
        <v>59</v>
      </c>
      <c r="AH133" s="49" t="s">
        <v>70</v>
      </c>
      <c r="AI133" s="49" t="s">
        <v>71</v>
      </c>
      <c r="AJ133" s="50" t="s">
        <v>72</v>
      </c>
    </row>
    <row r="134" spans="1:36" ht="15.75" x14ac:dyDescent="0.25">
      <c r="A134" s="26">
        <v>21169</v>
      </c>
      <c r="B134" s="57" t="s">
        <v>36</v>
      </c>
      <c r="C134" s="58" t="s">
        <v>37</v>
      </c>
      <c r="D134" s="59" t="s">
        <v>36</v>
      </c>
      <c r="E134" s="60" t="s">
        <v>38</v>
      </c>
      <c r="F134" s="58" t="s">
        <v>39</v>
      </c>
      <c r="G134" s="57" t="s">
        <v>40</v>
      </c>
      <c r="H134" s="60" t="s">
        <v>41</v>
      </c>
      <c r="I134" s="58" t="s">
        <v>301</v>
      </c>
      <c r="J134" s="57" t="s">
        <v>302</v>
      </c>
      <c r="K134" s="60" t="s">
        <v>303</v>
      </c>
      <c r="L134" s="58" t="s">
        <v>304</v>
      </c>
      <c r="M134" s="57" t="s">
        <v>305</v>
      </c>
      <c r="N134" s="60" t="s">
        <v>306</v>
      </c>
      <c r="O134" s="58" t="s">
        <v>63</v>
      </c>
      <c r="P134" s="57" t="s">
        <v>64</v>
      </c>
      <c r="Q134" s="60" t="s">
        <v>65</v>
      </c>
      <c r="R134" s="64" t="s">
        <v>51</v>
      </c>
      <c r="S134" s="65" t="s">
        <v>463</v>
      </c>
      <c r="T134" s="66">
        <v>343.98</v>
      </c>
      <c r="U134" s="67">
        <v>-343.98</v>
      </c>
      <c r="V134" s="68">
        <v>-343.98</v>
      </c>
      <c r="W134" s="60" t="s">
        <v>464</v>
      </c>
      <c r="X134" s="69">
        <v>45930</v>
      </c>
      <c r="Y134" s="70">
        <v>45958</v>
      </c>
      <c r="Z134" s="60" t="s">
        <v>174</v>
      </c>
      <c r="AA134" s="44" t="s">
        <v>175</v>
      </c>
      <c r="AB134" s="57" t="s">
        <v>56</v>
      </c>
      <c r="AC134" s="59" t="s">
        <v>57</v>
      </c>
      <c r="AD134" s="60"/>
      <c r="AE134" s="71">
        <v>-343.98</v>
      </c>
      <c r="AF134" s="73" t="s">
        <v>58</v>
      </c>
      <c r="AG134" s="73" t="s">
        <v>59</v>
      </c>
      <c r="AH134" s="49" t="s">
        <v>70</v>
      </c>
      <c r="AI134" s="49" t="s">
        <v>71</v>
      </c>
      <c r="AJ134" s="50" t="s">
        <v>72</v>
      </c>
    </row>
    <row r="135" spans="1:36" ht="15.75" x14ac:dyDescent="0.25">
      <c r="A135" s="26">
        <v>24842</v>
      </c>
      <c r="B135" s="57" t="s">
        <v>36</v>
      </c>
      <c r="C135" s="58" t="s">
        <v>37</v>
      </c>
      <c r="D135" s="59" t="s">
        <v>36</v>
      </c>
      <c r="E135" s="60" t="s">
        <v>38</v>
      </c>
      <c r="F135" s="58" t="s">
        <v>39</v>
      </c>
      <c r="G135" s="57" t="s">
        <v>40</v>
      </c>
      <c r="H135" s="60" t="s">
        <v>41</v>
      </c>
      <c r="I135" s="58" t="s">
        <v>301</v>
      </c>
      <c r="J135" s="57" t="s">
        <v>302</v>
      </c>
      <c r="K135" s="60" t="s">
        <v>303</v>
      </c>
      <c r="L135" s="58" t="s">
        <v>304</v>
      </c>
      <c r="M135" s="57" t="s">
        <v>305</v>
      </c>
      <c r="N135" s="60" t="s">
        <v>306</v>
      </c>
      <c r="O135" s="58" t="s">
        <v>150</v>
      </c>
      <c r="P135" s="57" t="s">
        <v>151</v>
      </c>
      <c r="Q135" s="60" t="s">
        <v>152</v>
      </c>
      <c r="R135" s="64" t="s">
        <v>121</v>
      </c>
      <c r="S135" s="65" t="s">
        <v>465</v>
      </c>
      <c r="T135" s="66">
        <v>1750</v>
      </c>
      <c r="U135" s="67">
        <v>-1750</v>
      </c>
      <c r="V135" s="68">
        <v>-1750</v>
      </c>
      <c r="W135" s="60" t="s">
        <v>466</v>
      </c>
      <c r="X135" s="69">
        <v>45932</v>
      </c>
      <c r="Y135" s="70">
        <v>45937</v>
      </c>
      <c r="Z135" s="60" t="s">
        <v>311</v>
      </c>
      <c r="AA135" s="44" t="s">
        <v>312</v>
      </c>
      <c r="AB135" s="57" t="s">
        <v>56</v>
      </c>
      <c r="AC135" s="59" t="s">
        <v>236</v>
      </c>
      <c r="AD135" s="60"/>
      <c r="AE135" s="71">
        <v>-1750</v>
      </c>
      <c r="AF135" s="48" t="s">
        <v>58</v>
      </c>
      <c r="AG135" s="48" t="s">
        <v>157</v>
      </c>
      <c r="AH135" s="49" t="s">
        <v>158</v>
      </c>
      <c r="AI135" s="49" t="s">
        <v>159</v>
      </c>
      <c r="AJ135" s="50" t="s">
        <v>102</v>
      </c>
    </row>
    <row r="136" spans="1:36" ht="15.75" x14ac:dyDescent="0.25">
      <c r="A136" s="26">
        <v>24845</v>
      </c>
      <c r="B136" s="57" t="s">
        <v>36</v>
      </c>
      <c r="C136" s="58" t="s">
        <v>37</v>
      </c>
      <c r="D136" s="59" t="s">
        <v>36</v>
      </c>
      <c r="E136" s="60" t="s">
        <v>38</v>
      </c>
      <c r="F136" s="58" t="s">
        <v>39</v>
      </c>
      <c r="G136" s="57" t="s">
        <v>40</v>
      </c>
      <c r="H136" s="60" t="s">
        <v>41</v>
      </c>
      <c r="I136" s="58" t="s">
        <v>301</v>
      </c>
      <c r="J136" s="57" t="s">
        <v>302</v>
      </c>
      <c r="K136" s="60" t="s">
        <v>303</v>
      </c>
      <c r="L136" s="58" t="s">
        <v>304</v>
      </c>
      <c r="M136" s="57" t="s">
        <v>305</v>
      </c>
      <c r="N136" s="60" t="s">
        <v>306</v>
      </c>
      <c r="O136" s="58" t="s">
        <v>63</v>
      </c>
      <c r="P136" s="57" t="s">
        <v>64</v>
      </c>
      <c r="Q136" s="60" t="s">
        <v>65</v>
      </c>
      <c r="R136" s="64" t="s">
        <v>51</v>
      </c>
      <c r="S136" s="65" t="s">
        <v>467</v>
      </c>
      <c r="T136" s="66">
        <v>306.62</v>
      </c>
      <c r="U136" s="67">
        <v>-306.62</v>
      </c>
      <c r="V136" s="68">
        <v>-306.62</v>
      </c>
      <c r="W136" s="60" t="s">
        <v>468</v>
      </c>
      <c r="X136" s="69">
        <v>45933</v>
      </c>
      <c r="Y136" s="70">
        <v>45961</v>
      </c>
      <c r="Z136" s="60" t="s">
        <v>174</v>
      </c>
      <c r="AA136" s="44" t="s">
        <v>175</v>
      </c>
      <c r="AB136" s="57" t="s">
        <v>56</v>
      </c>
      <c r="AC136" s="59" t="s">
        <v>236</v>
      </c>
      <c r="AD136" s="60"/>
      <c r="AE136" s="71">
        <v>-306.62</v>
      </c>
      <c r="AF136" s="48" t="s">
        <v>58</v>
      </c>
      <c r="AG136" s="48" t="s">
        <v>59</v>
      </c>
      <c r="AH136" s="49" t="s">
        <v>70</v>
      </c>
      <c r="AI136" s="49" t="s">
        <v>71</v>
      </c>
      <c r="AJ136" s="50" t="s">
        <v>72</v>
      </c>
    </row>
    <row r="137" spans="1:36" ht="15.75" x14ac:dyDescent="0.25">
      <c r="A137" s="26">
        <v>24847</v>
      </c>
      <c r="B137" s="57" t="s">
        <v>36</v>
      </c>
      <c r="C137" s="58" t="s">
        <v>37</v>
      </c>
      <c r="D137" s="59" t="s">
        <v>36</v>
      </c>
      <c r="E137" s="60" t="s">
        <v>38</v>
      </c>
      <c r="F137" s="58" t="s">
        <v>39</v>
      </c>
      <c r="G137" s="57" t="s">
        <v>40</v>
      </c>
      <c r="H137" s="60" t="s">
        <v>41</v>
      </c>
      <c r="I137" s="58" t="s">
        <v>301</v>
      </c>
      <c r="J137" s="57" t="s">
        <v>302</v>
      </c>
      <c r="K137" s="60" t="s">
        <v>303</v>
      </c>
      <c r="L137" s="58" t="s">
        <v>304</v>
      </c>
      <c r="M137" s="57" t="s">
        <v>305</v>
      </c>
      <c r="N137" s="60" t="s">
        <v>306</v>
      </c>
      <c r="O137" s="58" t="s">
        <v>63</v>
      </c>
      <c r="P137" s="57" t="s">
        <v>64</v>
      </c>
      <c r="Q137" s="60" t="s">
        <v>65</v>
      </c>
      <c r="R137" s="64" t="s">
        <v>51</v>
      </c>
      <c r="S137" s="65" t="s">
        <v>469</v>
      </c>
      <c r="T137" s="66">
        <v>780</v>
      </c>
      <c r="U137" s="67">
        <v>-780</v>
      </c>
      <c r="V137" s="68">
        <v>-780</v>
      </c>
      <c r="W137" s="60" t="s">
        <v>470</v>
      </c>
      <c r="X137" s="69">
        <v>45936</v>
      </c>
      <c r="Y137" s="70">
        <v>45945</v>
      </c>
      <c r="Z137" s="60" t="s">
        <v>360</v>
      </c>
      <c r="AA137" s="44" t="s">
        <v>361</v>
      </c>
      <c r="AB137" s="57" t="s">
        <v>56</v>
      </c>
      <c r="AC137" s="59" t="s">
        <v>236</v>
      </c>
      <c r="AD137" s="60"/>
      <c r="AE137" s="71">
        <v>-780</v>
      </c>
      <c r="AF137" s="48" t="s">
        <v>58</v>
      </c>
      <c r="AG137" s="48" t="s">
        <v>59</v>
      </c>
      <c r="AH137" s="49" t="s">
        <v>70</v>
      </c>
      <c r="AI137" s="49" t="s">
        <v>71</v>
      </c>
      <c r="AJ137" s="50" t="s">
        <v>72</v>
      </c>
    </row>
    <row r="138" spans="1:36" ht="15.75" x14ac:dyDescent="0.25">
      <c r="A138" s="26">
        <v>24852</v>
      </c>
      <c r="B138" s="57" t="s">
        <v>36</v>
      </c>
      <c r="C138" s="58" t="s">
        <v>37</v>
      </c>
      <c r="D138" s="59" t="s">
        <v>36</v>
      </c>
      <c r="E138" s="60" t="s">
        <v>38</v>
      </c>
      <c r="F138" s="58" t="s">
        <v>39</v>
      </c>
      <c r="G138" s="57" t="s">
        <v>40</v>
      </c>
      <c r="H138" s="60" t="s">
        <v>41</v>
      </c>
      <c r="I138" s="58" t="s">
        <v>301</v>
      </c>
      <c r="J138" s="57" t="s">
        <v>302</v>
      </c>
      <c r="K138" s="60" t="s">
        <v>303</v>
      </c>
      <c r="L138" s="58" t="s">
        <v>304</v>
      </c>
      <c r="M138" s="57" t="s">
        <v>305</v>
      </c>
      <c r="N138" s="60" t="s">
        <v>306</v>
      </c>
      <c r="O138" s="58" t="s">
        <v>63</v>
      </c>
      <c r="P138" s="57" t="s">
        <v>64</v>
      </c>
      <c r="Q138" s="60" t="s">
        <v>65</v>
      </c>
      <c r="R138" s="64" t="s">
        <v>51</v>
      </c>
      <c r="S138" s="65" t="s">
        <v>471</v>
      </c>
      <c r="T138" s="66">
        <v>8326</v>
      </c>
      <c r="U138" s="67">
        <v>-8326</v>
      </c>
      <c r="V138" s="68">
        <v>-8326</v>
      </c>
      <c r="W138" s="60" t="s">
        <v>472</v>
      </c>
      <c r="X138" s="69">
        <v>45937</v>
      </c>
      <c r="Y138" s="70">
        <v>45966</v>
      </c>
      <c r="Z138" s="60" t="s">
        <v>423</v>
      </c>
      <c r="AA138" s="44" t="s">
        <v>424</v>
      </c>
      <c r="AB138" s="57" t="s">
        <v>56</v>
      </c>
      <c r="AC138" s="59" t="s">
        <v>236</v>
      </c>
      <c r="AD138" s="60"/>
      <c r="AE138" s="71">
        <v>-8326</v>
      </c>
      <c r="AF138" s="48" t="s">
        <v>58</v>
      </c>
      <c r="AG138" s="48" t="s">
        <v>59</v>
      </c>
      <c r="AH138" s="49" t="s">
        <v>70</v>
      </c>
      <c r="AI138" s="49" t="s">
        <v>71</v>
      </c>
      <c r="AJ138" s="50" t="s">
        <v>72</v>
      </c>
    </row>
    <row r="139" spans="1:36" ht="15.75" x14ac:dyDescent="0.25">
      <c r="A139" s="26">
        <v>24848</v>
      </c>
      <c r="B139" s="57" t="s">
        <v>36</v>
      </c>
      <c r="C139" s="58" t="s">
        <v>37</v>
      </c>
      <c r="D139" s="59" t="s">
        <v>36</v>
      </c>
      <c r="E139" s="60" t="s">
        <v>38</v>
      </c>
      <c r="F139" s="58" t="s">
        <v>39</v>
      </c>
      <c r="G139" s="57" t="s">
        <v>40</v>
      </c>
      <c r="H139" s="60" t="s">
        <v>41</v>
      </c>
      <c r="I139" s="58" t="s">
        <v>301</v>
      </c>
      <c r="J139" s="57" t="s">
        <v>302</v>
      </c>
      <c r="K139" s="60" t="s">
        <v>303</v>
      </c>
      <c r="L139" s="58" t="s">
        <v>304</v>
      </c>
      <c r="M139" s="57" t="s">
        <v>305</v>
      </c>
      <c r="N139" s="60" t="s">
        <v>306</v>
      </c>
      <c r="O139" s="58" t="s">
        <v>63</v>
      </c>
      <c r="P139" s="57" t="s">
        <v>64</v>
      </c>
      <c r="Q139" s="60" t="s">
        <v>65</v>
      </c>
      <c r="R139" s="64" t="s">
        <v>51</v>
      </c>
      <c r="S139" s="65" t="s">
        <v>473</v>
      </c>
      <c r="T139" s="66">
        <v>980</v>
      </c>
      <c r="U139" s="67">
        <v>-980</v>
      </c>
      <c r="V139" s="68">
        <v>-980</v>
      </c>
      <c r="W139" s="60" t="s">
        <v>474</v>
      </c>
      <c r="X139" s="69">
        <v>45940</v>
      </c>
      <c r="Y139" s="70">
        <v>45945</v>
      </c>
      <c r="Z139" s="60" t="s">
        <v>475</v>
      </c>
      <c r="AA139" s="44" t="s">
        <v>476</v>
      </c>
      <c r="AB139" s="57" t="s">
        <v>56</v>
      </c>
      <c r="AC139" s="59" t="s">
        <v>236</v>
      </c>
      <c r="AD139" s="60"/>
      <c r="AE139" s="71">
        <v>-980</v>
      </c>
      <c r="AF139" s="48" t="s">
        <v>58</v>
      </c>
      <c r="AG139" s="48" t="s">
        <v>59</v>
      </c>
      <c r="AH139" s="49" t="s">
        <v>70</v>
      </c>
      <c r="AI139" s="49" t="s">
        <v>71</v>
      </c>
      <c r="AJ139" s="50" t="s">
        <v>72</v>
      </c>
    </row>
    <row r="140" spans="1:36" ht="15.75" x14ac:dyDescent="0.25">
      <c r="A140" s="26">
        <v>24849</v>
      </c>
      <c r="B140" s="57" t="s">
        <v>36</v>
      </c>
      <c r="C140" s="58" t="s">
        <v>37</v>
      </c>
      <c r="D140" s="59" t="s">
        <v>36</v>
      </c>
      <c r="E140" s="60" t="s">
        <v>38</v>
      </c>
      <c r="F140" s="58" t="s">
        <v>39</v>
      </c>
      <c r="G140" s="57" t="s">
        <v>40</v>
      </c>
      <c r="H140" s="60" t="s">
        <v>41</v>
      </c>
      <c r="I140" s="58" t="s">
        <v>301</v>
      </c>
      <c r="J140" s="57" t="s">
        <v>302</v>
      </c>
      <c r="K140" s="60" t="s">
        <v>303</v>
      </c>
      <c r="L140" s="58" t="s">
        <v>304</v>
      </c>
      <c r="M140" s="57" t="s">
        <v>305</v>
      </c>
      <c r="N140" s="60" t="s">
        <v>306</v>
      </c>
      <c r="O140" s="58" t="s">
        <v>63</v>
      </c>
      <c r="P140" s="57" t="s">
        <v>64</v>
      </c>
      <c r="Q140" s="60" t="s">
        <v>65</v>
      </c>
      <c r="R140" s="64" t="s">
        <v>51</v>
      </c>
      <c r="S140" s="65" t="s">
        <v>477</v>
      </c>
      <c r="T140" s="66">
        <v>850</v>
      </c>
      <c r="U140" s="67">
        <v>-850</v>
      </c>
      <c r="V140" s="68">
        <v>-850</v>
      </c>
      <c r="W140" s="60" t="s">
        <v>478</v>
      </c>
      <c r="X140" s="69">
        <v>45944</v>
      </c>
      <c r="Y140" s="70">
        <v>45966</v>
      </c>
      <c r="Z140" s="60" t="s">
        <v>479</v>
      </c>
      <c r="AA140" s="44" t="s">
        <v>480</v>
      </c>
      <c r="AB140" s="57" t="s">
        <v>56</v>
      </c>
      <c r="AC140" s="59" t="s">
        <v>236</v>
      </c>
      <c r="AD140" s="60"/>
      <c r="AE140" s="71">
        <v>-850</v>
      </c>
      <c r="AF140" s="48" t="s">
        <v>58</v>
      </c>
      <c r="AG140" s="48" t="s">
        <v>59</v>
      </c>
      <c r="AH140" s="49" t="s">
        <v>70</v>
      </c>
      <c r="AI140" s="49" t="s">
        <v>71</v>
      </c>
      <c r="AJ140" s="50" t="s">
        <v>72</v>
      </c>
    </row>
    <row r="141" spans="1:36" ht="15.75" x14ac:dyDescent="0.25">
      <c r="A141" s="26">
        <v>24846</v>
      </c>
      <c r="B141" s="57" t="s">
        <v>36</v>
      </c>
      <c r="C141" s="58" t="s">
        <v>37</v>
      </c>
      <c r="D141" s="59" t="s">
        <v>36</v>
      </c>
      <c r="E141" s="60" t="s">
        <v>38</v>
      </c>
      <c r="F141" s="58" t="s">
        <v>39</v>
      </c>
      <c r="G141" s="57" t="s">
        <v>40</v>
      </c>
      <c r="H141" s="60" t="s">
        <v>41</v>
      </c>
      <c r="I141" s="58" t="s">
        <v>301</v>
      </c>
      <c r="J141" s="57" t="s">
        <v>302</v>
      </c>
      <c r="K141" s="60" t="s">
        <v>303</v>
      </c>
      <c r="L141" s="58" t="s">
        <v>304</v>
      </c>
      <c r="M141" s="57" t="s">
        <v>305</v>
      </c>
      <c r="N141" s="60" t="s">
        <v>306</v>
      </c>
      <c r="O141" s="58" t="s">
        <v>63</v>
      </c>
      <c r="P141" s="57" t="s">
        <v>64</v>
      </c>
      <c r="Q141" s="60" t="s">
        <v>65</v>
      </c>
      <c r="R141" s="64" t="s">
        <v>51</v>
      </c>
      <c r="S141" s="65" t="s">
        <v>481</v>
      </c>
      <c r="T141" s="66">
        <v>600</v>
      </c>
      <c r="U141" s="67">
        <v>-600</v>
      </c>
      <c r="V141" s="68">
        <v>-600</v>
      </c>
      <c r="W141" s="60" t="s">
        <v>482</v>
      </c>
      <c r="X141" s="69">
        <v>45945</v>
      </c>
      <c r="Y141" s="70">
        <v>45945</v>
      </c>
      <c r="Z141" s="60" t="s">
        <v>324</v>
      </c>
      <c r="AA141" s="44" t="s">
        <v>325</v>
      </c>
      <c r="AB141" s="57" t="s">
        <v>56</v>
      </c>
      <c r="AC141" s="59" t="s">
        <v>236</v>
      </c>
      <c r="AD141" s="60"/>
      <c r="AE141" s="71">
        <v>-600</v>
      </c>
      <c r="AF141" s="48" t="s">
        <v>58</v>
      </c>
      <c r="AG141" s="48" t="s">
        <v>59</v>
      </c>
      <c r="AH141" s="49" t="s">
        <v>70</v>
      </c>
      <c r="AI141" s="49" t="s">
        <v>71</v>
      </c>
      <c r="AJ141" s="50" t="s">
        <v>72</v>
      </c>
    </row>
    <row r="142" spans="1:36" ht="15.75" x14ac:dyDescent="0.25">
      <c r="A142" s="26">
        <v>24850</v>
      </c>
      <c r="B142" s="57" t="s">
        <v>36</v>
      </c>
      <c r="C142" s="58" t="s">
        <v>37</v>
      </c>
      <c r="D142" s="59" t="s">
        <v>36</v>
      </c>
      <c r="E142" s="60" t="s">
        <v>38</v>
      </c>
      <c r="F142" s="58" t="s">
        <v>39</v>
      </c>
      <c r="G142" s="57" t="s">
        <v>40</v>
      </c>
      <c r="H142" s="60" t="s">
        <v>41</v>
      </c>
      <c r="I142" s="58" t="s">
        <v>301</v>
      </c>
      <c r="J142" s="57" t="s">
        <v>302</v>
      </c>
      <c r="K142" s="60" t="s">
        <v>303</v>
      </c>
      <c r="L142" s="58" t="s">
        <v>304</v>
      </c>
      <c r="M142" s="57" t="s">
        <v>305</v>
      </c>
      <c r="N142" s="60" t="s">
        <v>306</v>
      </c>
      <c r="O142" s="58" t="s">
        <v>63</v>
      </c>
      <c r="P142" s="57" t="s">
        <v>64</v>
      </c>
      <c r="Q142" s="60" t="s">
        <v>65</v>
      </c>
      <c r="R142" s="64" t="s">
        <v>51</v>
      </c>
      <c r="S142" s="65" t="s">
        <v>483</v>
      </c>
      <c r="T142" s="66">
        <v>4696</v>
      </c>
      <c r="U142" s="67">
        <v>-4696</v>
      </c>
      <c r="V142" s="68">
        <v>-4696</v>
      </c>
      <c r="W142" s="60" t="s">
        <v>484</v>
      </c>
      <c r="X142" s="69">
        <v>45945</v>
      </c>
      <c r="Y142" s="70">
        <v>45966</v>
      </c>
      <c r="Z142" s="60" t="s">
        <v>324</v>
      </c>
      <c r="AA142" s="44" t="s">
        <v>325</v>
      </c>
      <c r="AB142" s="57" t="s">
        <v>56</v>
      </c>
      <c r="AC142" s="59" t="s">
        <v>236</v>
      </c>
      <c r="AD142" s="60"/>
      <c r="AE142" s="71">
        <v>-4696</v>
      </c>
      <c r="AF142" s="48" t="s">
        <v>58</v>
      </c>
      <c r="AG142" s="48" t="s">
        <v>59</v>
      </c>
      <c r="AH142" s="49" t="s">
        <v>70</v>
      </c>
      <c r="AI142" s="49" t="s">
        <v>71</v>
      </c>
      <c r="AJ142" s="50" t="s">
        <v>72</v>
      </c>
    </row>
    <row r="143" spans="1:36" ht="15.75" x14ac:dyDescent="0.25">
      <c r="A143" s="26">
        <v>24854</v>
      </c>
      <c r="B143" s="57" t="s">
        <v>36</v>
      </c>
      <c r="C143" s="58" t="s">
        <v>37</v>
      </c>
      <c r="D143" s="59" t="s">
        <v>36</v>
      </c>
      <c r="E143" s="60" t="s">
        <v>38</v>
      </c>
      <c r="F143" s="58" t="s">
        <v>39</v>
      </c>
      <c r="G143" s="57" t="s">
        <v>40</v>
      </c>
      <c r="H143" s="60" t="s">
        <v>41</v>
      </c>
      <c r="I143" s="58" t="s">
        <v>301</v>
      </c>
      <c r="J143" s="57" t="s">
        <v>302</v>
      </c>
      <c r="K143" s="60" t="s">
        <v>303</v>
      </c>
      <c r="L143" s="58" t="s">
        <v>304</v>
      </c>
      <c r="M143" s="57" t="s">
        <v>305</v>
      </c>
      <c r="N143" s="60" t="s">
        <v>306</v>
      </c>
      <c r="O143" s="58" t="s">
        <v>63</v>
      </c>
      <c r="P143" s="57" t="s">
        <v>64</v>
      </c>
      <c r="Q143" s="60" t="s">
        <v>65</v>
      </c>
      <c r="R143" s="64" t="s">
        <v>51</v>
      </c>
      <c r="S143" s="65" t="s">
        <v>485</v>
      </c>
      <c r="T143" s="66">
        <v>3000</v>
      </c>
      <c r="U143" s="40">
        <v>-3000</v>
      </c>
      <c r="V143" s="41">
        <v>-3000</v>
      </c>
      <c r="W143" s="33" t="s">
        <v>486</v>
      </c>
      <c r="X143" s="69">
        <v>45954</v>
      </c>
      <c r="Y143" s="70">
        <v>45976</v>
      </c>
      <c r="Z143" s="60" t="s">
        <v>344</v>
      </c>
      <c r="AA143" s="44" t="s">
        <v>345</v>
      </c>
      <c r="AB143" s="57" t="s">
        <v>56</v>
      </c>
      <c r="AC143" s="59" t="s">
        <v>236</v>
      </c>
      <c r="AD143" s="60"/>
      <c r="AE143" s="47">
        <v>-3000</v>
      </c>
      <c r="AF143" s="48" t="s">
        <v>58</v>
      </c>
      <c r="AG143" s="48" t="s">
        <v>59</v>
      </c>
      <c r="AH143" s="49" t="s">
        <v>70</v>
      </c>
      <c r="AI143" s="49" t="s">
        <v>71</v>
      </c>
      <c r="AJ143" s="50" t="s">
        <v>72</v>
      </c>
    </row>
    <row r="144" spans="1:36" ht="15.75" x14ac:dyDescent="0.25">
      <c r="A144" s="26">
        <v>24858</v>
      </c>
      <c r="B144" s="57" t="s">
        <v>36</v>
      </c>
      <c r="C144" s="58" t="s">
        <v>37</v>
      </c>
      <c r="D144" s="59" t="s">
        <v>36</v>
      </c>
      <c r="E144" s="60" t="s">
        <v>38</v>
      </c>
      <c r="F144" s="58" t="s">
        <v>39</v>
      </c>
      <c r="G144" s="57" t="s">
        <v>40</v>
      </c>
      <c r="H144" s="60" t="s">
        <v>41</v>
      </c>
      <c r="I144" s="58" t="s">
        <v>301</v>
      </c>
      <c r="J144" s="57" t="s">
        <v>302</v>
      </c>
      <c r="K144" s="60" t="s">
        <v>303</v>
      </c>
      <c r="L144" s="58" t="s">
        <v>304</v>
      </c>
      <c r="M144" s="57" t="s">
        <v>305</v>
      </c>
      <c r="N144" s="60" t="s">
        <v>306</v>
      </c>
      <c r="O144" s="58" t="s">
        <v>63</v>
      </c>
      <c r="P144" s="57" t="s">
        <v>64</v>
      </c>
      <c r="Q144" s="60" t="s">
        <v>65</v>
      </c>
      <c r="R144" s="64" t="s">
        <v>51</v>
      </c>
      <c r="S144" s="65" t="s">
        <v>487</v>
      </c>
      <c r="T144" s="66">
        <v>3218.18</v>
      </c>
      <c r="U144" s="67">
        <v>-3218.18</v>
      </c>
      <c r="V144" s="68">
        <v>-3218.18</v>
      </c>
      <c r="W144" s="60" t="s">
        <v>488</v>
      </c>
      <c r="X144" s="69">
        <v>45958</v>
      </c>
      <c r="Y144" s="70">
        <v>45986</v>
      </c>
      <c r="Z144" s="60" t="s">
        <v>371</v>
      </c>
      <c r="AA144" s="44" t="s">
        <v>372</v>
      </c>
      <c r="AB144" s="57" t="s">
        <v>56</v>
      </c>
      <c r="AC144" s="59" t="s">
        <v>236</v>
      </c>
      <c r="AD144" s="60"/>
      <c r="AE144" s="71">
        <v>-3218.18</v>
      </c>
      <c r="AF144" s="48" t="s">
        <v>58</v>
      </c>
      <c r="AG144" s="48" t="s">
        <v>59</v>
      </c>
      <c r="AH144" s="49" t="s">
        <v>70</v>
      </c>
      <c r="AI144" s="49" t="s">
        <v>71</v>
      </c>
      <c r="AJ144" s="50" t="s">
        <v>72</v>
      </c>
    </row>
    <row r="145" spans="1:36" ht="15.75" x14ac:dyDescent="0.25">
      <c r="A145" s="26">
        <v>24861</v>
      </c>
      <c r="B145" s="57" t="s">
        <v>36</v>
      </c>
      <c r="C145" s="58" t="s">
        <v>37</v>
      </c>
      <c r="D145" s="59" t="s">
        <v>36</v>
      </c>
      <c r="E145" s="60" t="s">
        <v>38</v>
      </c>
      <c r="F145" s="58" t="s">
        <v>39</v>
      </c>
      <c r="G145" s="57" t="s">
        <v>40</v>
      </c>
      <c r="H145" s="60" t="s">
        <v>41</v>
      </c>
      <c r="I145" s="58" t="s">
        <v>301</v>
      </c>
      <c r="J145" s="57" t="s">
        <v>302</v>
      </c>
      <c r="K145" s="60" t="s">
        <v>303</v>
      </c>
      <c r="L145" s="58" t="s">
        <v>304</v>
      </c>
      <c r="M145" s="57" t="s">
        <v>305</v>
      </c>
      <c r="N145" s="60" t="s">
        <v>306</v>
      </c>
      <c r="O145" s="58" t="s">
        <v>63</v>
      </c>
      <c r="P145" s="57" t="s">
        <v>64</v>
      </c>
      <c r="Q145" s="60" t="s">
        <v>65</v>
      </c>
      <c r="R145" s="64" t="s">
        <v>51</v>
      </c>
      <c r="S145" s="65" t="s">
        <v>489</v>
      </c>
      <c r="T145" s="66">
        <v>2408.5</v>
      </c>
      <c r="U145" s="67">
        <v>-2408.5</v>
      </c>
      <c r="V145" s="68">
        <v>-2408.5</v>
      </c>
      <c r="W145" s="60" t="s">
        <v>490</v>
      </c>
      <c r="X145" s="69">
        <v>45959</v>
      </c>
      <c r="Y145" s="70">
        <v>45976</v>
      </c>
      <c r="Z145" s="60" t="s">
        <v>324</v>
      </c>
      <c r="AA145" s="44" t="s">
        <v>325</v>
      </c>
      <c r="AB145" s="57" t="s">
        <v>56</v>
      </c>
      <c r="AC145" s="59" t="s">
        <v>236</v>
      </c>
      <c r="AD145" s="60"/>
      <c r="AE145" s="71">
        <v>-2408.5</v>
      </c>
      <c r="AF145" s="48" t="s">
        <v>58</v>
      </c>
      <c r="AG145" s="48" t="s">
        <v>59</v>
      </c>
      <c r="AH145" s="49" t="s">
        <v>70</v>
      </c>
      <c r="AI145" s="49" t="s">
        <v>71</v>
      </c>
      <c r="AJ145" s="50" t="s">
        <v>72</v>
      </c>
    </row>
    <row r="146" spans="1:36" ht="15.75" x14ac:dyDescent="0.25">
      <c r="A146" s="26">
        <v>24851</v>
      </c>
      <c r="B146" s="57" t="s">
        <v>36</v>
      </c>
      <c r="C146" s="58" t="s">
        <v>37</v>
      </c>
      <c r="D146" s="59" t="s">
        <v>36</v>
      </c>
      <c r="E146" s="60" t="s">
        <v>38</v>
      </c>
      <c r="F146" s="58" t="s">
        <v>39</v>
      </c>
      <c r="G146" s="57" t="s">
        <v>40</v>
      </c>
      <c r="H146" s="60" t="s">
        <v>41</v>
      </c>
      <c r="I146" s="58" t="s">
        <v>301</v>
      </c>
      <c r="J146" s="57" t="s">
        <v>302</v>
      </c>
      <c r="K146" s="60" t="s">
        <v>303</v>
      </c>
      <c r="L146" s="58" t="s">
        <v>304</v>
      </c>
      <c r="M146" s="57" t="s">
        <v>305</v>
      </c>
      <c r="N146" s="60" t="s">
        <v>306</v>
      </c>
      <c r="O146" s="58" t="s">
        <v>83</v>
      </c>
      <c r="P146" s="57" t="s">
        <v>84</v>
      </c>
      <c r="Q146" s="60" t="s">
        <v>85</v>
      </c>
      <c r="R146" s="64" t="s">
        <v>51</v>
      </c>
      <c r="S146" s="65" t="s">
        <v>491</v>
      </c>
      <c r="T146" s="66">
        <v>124.96</v>
      </c>
      <c r="U146" s="67">
        <v>-62.64</v>
      </c>
      <c r="V146" s="68">
        <v>-62.64</v>
      </c>
      <c r="W146" s="60" t="s">
        <v>492</v>
      </c>
      <c r="X146" s="69">
        <v>45961</v>
      </c>
      <c r="Y146" s="70">
        <v>45978</v>
      </c>
      <c r="Z146" s="60" t="s">
        <v>356</v>
      </c>
      <c r="AA146" s="44" t="s">
        <v>357</v>
      </c>
      <c r="AB146" s="57" t="s">
        <v>56</v>
      </c>
      <c r="AC146" s="59" t="s">
        <v>236</v>
      </c>
      <c r="AD146" s="60"/>
      <c r="AE146" s="71">
        <v>-62.64</v>
      </c>
      <c r="AF146" s="48" t="s">
        <v>58</v>
      </c>
      <c r="AG146" s="48" t="s">
        <v>59</v>
      </c>
      <c r="AH146" s="49" t="s">
        <v>89</v>
      </c>
      <c r="AI146" s="49" t="s">
        <v>61</v>
      </c>
      <c r="AJ146" s="50" t="s">
        <v>62</v>
      </c>
    </row>
    <row r="147" spans="1:36" ht="15.75" x14ac:dyDescent="0.25">
      <c r="A147" s="26">
        <v>27917</v>
      </c>
      <c r="B147" s="57" t="s">
        <v>36</v>
      </c>
      <c r="C147" s="58" t="s">
        <v>37</v>
      </c>
      <c r="D147" s="59" t="s">
        <v>36</v>
      </c>
      <c r="E147" s="60" t="s">
        <v>38</v>
      </c>
      <c r="F147" s="58" t="s">
        <v>39</v>
      </c>
      <c r="G147" s="57" t="s">
        <v>40</v>
      </c>
      <c r="H147" s="60" t="s">
        <v>41</v>
      </c>
      <c r="I147" s="58" t="s">
        <v>301</v>
      </c>
      <c r="J147" s="57" t="s">
        <v>302</v>
      </c>
      <c r="K147" s="60" t="s">
        <v>303</v>
      </c>
      <c r="L147" s="58" t="s">
        <v>304</v>
      </c>
      <c r="M147" s="57" t="s">
        <v>305</v>
      </c>
      <c r="N147" s="60" t="s">
        <v>306</v>
      </c>
      <c r="O147" s="58" t="s">
        <v>150</v>
      </c>
      <c r="P147" s="57" t="s">
        <v>151</v>
      </c>
      <c r="Q147" s="60" t="s">
        <v>152</v>
      </c>
      <c r="R147" s="64" t="s">
        <v>121</v>
      </c>
      <c r="S147" s="65" t="s">
        <v>493</v>
      </c>
      <c r="T147" s="66">
        <v>1750</v>
      </c>
      <c r="U147" s="67">
        <v>-1750</v>
      </c>
      <c r="V147" s="68">
        <v>-1750</v>
      </c>
      <c r="W147" s="60" t="s">
        <v>494</v>
      </c>
      <c r="X147" s="69">
        <v>45964</v>
      </c>
      <c r="Y147" s="70">
        <v>45966</v>
      </c>
      <c r="Z147" s="60" t="s">
        <v>311</v>
      </c>
      <c r="AA147" s="44" t="s">
        <v>312</v>
      </c>
      <c r="AB147" s="57" t="s">
        <v>56</v>
      </c>
      <c r="AC147" s="59" t="s">
        <v>236</v>
      </c>
      <c r="AD147" s="60"/>
      <c r="AE147" s="71">
        <v>-1750</v>
      </c>
      <c r="AF147" s="48" t="s">
        <v>58</v>
      </c>
      <c r="AG147" s="48" t="s">
        <v>157</v>
      </c>
      <c r="AH147" s="49" t="s">
        <v>158</v>
      </c>
      <c r="AI147" s="49" t="s">
        <v>159</v>
      </c>
      <c r="AJ147" s="50" t="s">
        <v>102</v>
      </c>
    </row>
    <row r="148" spans="1:36" ht="15.75" x14ac:dyDescent="0.25">
      <c r="A148" s="26">
        <v>27916</v>
      </c>
      <c r="B148" s="57" t="s">
        <v>36</v>
      </c>
      <c r="C148" s="58" t="s">
        <v>37</v>
      </c>
      <c r="D148" s="59" t="s">
        <v>36</v>
      </c>
      <c r="E148" s="60" t="s">
        <v>38</v>
      </c>
      <c r="F148" s="58" t="s">
        <v>39</v>
      </c>
      <c r="G148" s="57" t="s">
        <v>40</v>
      </c>
      <c r="H148" s="60" t="s">
        <v>41</v>
      </c>
      <c r="I148" s="58" t="s">
        <v>301</v>
      </c>
      <c r="J148" s="57" t="s">
        <v>302</v>
      </c>
      <c r="K148" s="60" t="s">
        <v>303</v>
      </c>
      <c r="L148" s="58" t="s">
        <v>304</v>
      </c>
      <c r="M148" s="57" t="s">
        <v>305</v>
      </c>
      <c r="N148" s="60" t="s">
        <v>306</v>
      </c>
      <c r="O148" s="58" t="s">
        <v>63</v>
      </c>
      <c r="P148" s="57" t="s">
        <v>64</v>
      </c>
      <c r="Q148" s="60" t="s">
        <v>65</v>
      </c>
      <c r="R148" s="64" t="s">
        <v>51</v>
      </c>
      <c r="S148" s="65" t="s">
        <v>495</v>
      </c>
      <c r="T148" s="66">
        <v>2985</v>
      </c>
      <c r="U148" s="67">
        <v>-1492.5</v>
      </c>
      <c r="V148" s="68">
        <v>-1492.5</v>
      </c>
      <c r="W148" s="60" t="s">
        <v>496</v>
      </c>
      <c r="X148" s="69">
        <v>45965</v>
      </c>
      <c r="Y148" s="70">
        <v>45978</v>
      </c>
      <c r="Z148" s="60" t="s">
        <v>360</v>
      </c>
      <c r="AA148" s="44" t="s">
        <v>361</v>
      </c>
      <c r="AB148" s="57" t="s">
        <v>56</v>
      </c>
      <c r="AC148" s="59" t="s">
        <v>236</v>
      </c>
      <c r="AD148" s="60"/>
      <c r="AE148" s="71">
        <v>-1492.5</v>
      </c>
      <c r="AF148" s="48" t="s">
        <v>58</v>
      </c>
      <c r="AG148" s="48" t="s">
        <v>59</v>
      </c>
      <c r="AH148" s="49" t="s">
        <v>70</v>
      </c>
      <c r="AI148" s="49" t="s">
        <v>71</v>
      </c>
      <c r="AJ148" s="50" t="s">
        <v>72</v>
      </c>
    </row>
    <row r="149" spans="1:36" ht="15.75" x14ac:dyDescent="0.25">
      <c r="A149" s="26">
        <v>16716</v>
      </c>
      <c r="B149" s="57" t="s">
        <v>36</v>
      </c>
      <c r="C149" s="58" t="s">
        <v>37</v>
      </c>
      <c r="D149" s="59" t="s">
        <v>36</v>
      </c>
      <c r="E149" s="60" t="s">
        <v>38</v>
      </c>
      <c r="F149" s="58" t="s">
        <v>39</v>
      </c>
      <c r="G149" s="57" t="s">
        <v>40</v>
      </c>
      <c r="H149" s="60" t="s">
        <v>41</v>
      </c>
      <c r="I149" s="58" t="s">
        <v>301</v>
      </c>
      <c r="J149" s="57" t="s">
        <v>302</v>
      </c>
      <c r="K149" s="60" t="s">
        <v>303</v>
      </c>
      <c r="L149" s="58" t="s">
        <v>304</v>
      </c>
      <c r="M149" s="57" t="s">
        <v>305</v>
      </c>
      <c r="N149" s="60" t="s">
        <v>306</v>
      </c>
      <c r="O149" s="58" t="s">
        <v>497</v>
      </c>
      <c r="P149" s="57" t="s">
        <v>498</v>
      </c>
      <c r="Q149" s="60" t="s">
        <v>499</v>
      </c>
      <c r="R149" s="64" t="s">
        <v>121</v>
      </c>
      <c r="S149" s="65" t="s">
        <v>500</v>
      </c>
      <c r="T149" s="66">
        <v>22000</v>
      </c>
      <c r="U149" s="67">
        <v>-82.03</v>
      </c>
      <c r="V149" s="68">
        <v>-82.03</v>
      </c>
      <c r="W149" s="60" t="s">
        <v>501</v>
      </c>
      <c r="X149" s="69">
        <v>45966</v>
      </c>
      <c r="Y149" s="70">
        <v>45978</v>
      </c>
      <c r="Z149" s="60" t="s">
        <v>410</v>
      </c>
      <c r="AA149" s="44" t="s">
        <v>411</v>
      </c>
      <c r="AB149" s="57" t="s">
        <v>56</v>
      </c>
      <c r="AC149" s="59" t="s">
        <v>236</v>
      </c>
      <c r="AD149" s="60"/>
      <c r="AE149" s="71">
        <v>-82.03</v>
      </c>
      <c r="AF149" s="48" t="s">
        <v>58</v>
      </c>
      <c r="AG149" s="48" t="s">
        <v>59</v>
      </c>
      <c r="AH149" s="49">
        <v>0</v>
      </c>
      <c r="AI149" s="49">
        <v>0</v>
      </c>
      <c r="AJ149" s="50" t="e">
        <v>#N/A</v>
      </c>
    </row>
    <row r="150" spans="1:36" ht="15.75" x14ac:dyDescent="0.25">
      <c r="A150" s="26">
        <v>27919</v>
      </c>
      <c r="B150" s="57" t="s">
        <v>36</v>
      </c>
      <c r="C150" s="58" t="s">
        <v>37</v>
      </c>
      <c r="D150" s="59" t="s">
        <v>36</v>
      </c>
      <c r="E150" s="60" t="s">
        <v>38</v>
      </c>
      <c r="F150" s="58" t="s">
        <v>39</v>
      </c>
      <c r="G150" s="57" t="s">
        <v>40</v>
      </c>
      <c r="H150" s="60" t="s">
        <v>41</v>
      </c>
      <c r="I150" s="58" t="s">
        <v>301</v>
      </c>
      <c r="J150" s="57" t="s">
        <v>302</v>
      </c>
      <c r="K150" s="60" t="s">
        <v>303</v>
      </c>
      <c r="L150" s="58" t="s">
        <v>304</v>
      </c>
      <c r="M150" s="57" t="s">
        <v>305</v>
      </c>
      <c r="N150" s="60" t="s">
        <v>306</v>
      </c>
      <c r="O150" s="58" t="s">
        <v>334</v>
      </c>
      <c r="P150" s="57" t="s">
        <v>335</v>
      </c>
      <c r="Q150" s="60" t="s">
        <v>336</v>
      </c>
      <c r="R150" s="64" t="s">
        <v>121</v>
      </c>
      <c r="S150" s="65" t="s">
        <v>500</v>
      </c>
      <c r="T150" s="66">
        <v>22000</v>
      </c>
      <c r="U150" s="67">
        <v>-517.97</v>
      </c>
      <c r="V150" s="68">
        <v>-517.97</v>
      </c>
      <c r="W150" s="60" t="s">
        <v>501</v>
      </c>
      <c r="X150" s="69">
        <v>45966</v>
      </c>
      <c r="Y150" s="70">
        <v>45978</v>
      </c>
      <c r="Z150" s="60" t="s">
        <v>410</v>
      </c>
      <c r="AA150" s="44" t="s">
        <v>411</v>
      </c>
      <c r="AB150" s="57" t="s">
        <v>56</v>
      </c>
      <c r="AC150" s="59" t="s">
        <v>236</v>
      </c>
      <c r="AD150" s="60"/>
      <c r="AE150" s="71">
        <v>-517.97</v>
      </c>
      <c r="AF150" s="48" t="s">
        <v>58</v>
      </c>
      <c r="AG150" s="48" t="s">
        <v>157</v>
      </c>
      <c r="AH150" s="49" t="s">
        <v>341</v>
      </c>
      <c r="AI150" s="49" t="s">
        <v>238</v>
      </c>
      <c r="AJ150" s="50" t="s">
        <v>201</v>
      </c>
    </row>
    <row r="151" spans="1:36" ht="15.75" x14ac:dyDescent="0.25">
      <c r="A151" s="26">
        <v>27918</v>
      </c>
      <c r="B151" s="57" t="s">
        <v>36</v>
      </c>
      <c r="C151" s="58" t="s">
        <v>37</v>
      </c>
      <c r="D151" s="59" t="s">
        <v>36</v>
      </c>
      <c r="E151" s="60" t="s">
        <v>38</v>
      </c>
      <c r="F151" s="58" t="s">
        <v>39</v>
      </c>
      <c r="G151" s="57" t="s">
        <v>40</v>
      </c>
      <c r="H151" s="60" t="s">
        <v>41</v>
      </c>
      <c r="I151" s="58" t="s">
        <v>301</v>
      </c>
      <c r="J151" s="57" t="s">
        <v>302</v>
      </c>
      <c r="K151" s="60" t="s">
        <v>303</v>
      </c>
      <c r="L151" s="58" t="s">
        <v>304</v>
      </c>
      <c r="M151" s="57" t="s">
        <v>305</v>
      </c>
      <c r="N151" s="60" t="s">
        <v>306</v>
      </c>
      <c r="O151" s="58" t="s">
        <v>63</v>
      </c>
      <c r="P151" s="57" t="s">
        <v>64</v>
      </c>
      <c r="Q151" s="60" t="s">
        <v>65</v>
      </c>
      <c r="R151" s="64" t="s">
        <v>51</v>
      </c>
      <c r="S151" s="65" t="s">
        <v>502</v>
      </c>
      <c r="T151" s="66">
        <v>3180</v>
      </c>
      <c r="U151" s="67">
        <v>-1590</v>
      </c>
      <c r="V151" s="68">
        <v>-1590</v>
      </c>
      <c r="W151" s="60" t="s">
        <v>503</v>
      </c>
      <c r="X151" s="69">
        <v>45985</v>
      </c>
      <c r="Y151" s="70" t="s">
        <v>256</v>
      </c>
      <c r="Z151" s="60" t="s">
        <v>504</v>
      </c>
      <c r="AA151" s="44" t="s">
        <v>505</v>
      </c>
      <c r="AB151" s="57" t="s">
        <v>56</v>
      </c>
      <c r="AC151" s="59" t="s">
        <v>236</v>
      </c>
      <c r="AD151" s="60"/>
      <c r="AE151" s="71">
        <v>-1590</v>
      </c>
      <c r="AF151" s="48" t="s">
        <v>58</v>
      </c>
      <c r="AG151" s="48" t="s">
        <v>59</v>
      </c>
      <c r="AH151" s="49" t="s">
        <v>70</v>
      </c>
      <c r="AI151" s="49" t="s">
        <v>71</v>
      </c>
      <c r="AJ151" s="50" t="s">
        <v>72</v>
      </c>
    </row>
    <row r="152" spans="1:36" ht="15.75" x14ac:dyDescent="0.25">
      <c r="A152" s="26">
        <v>29570</v>
      </c>
      <c r="B152" s="57" t="s">
        <v>36</v>
      </c>
      <c r="C152" s="58" t="s">
        <v>37</v>
      </c>
      <c r="D152" s="59" t="s">
        <v>36</v>
      </c>
      <c r="E152" s="60" t="s">
        <v>38</v>
      </c>
      <c r="F152" s="58" t="s">
        <v>39</v>
      </c>
      <c r="G152" s="57" t="s">
        <v>40</v>
      </c>
      <c r="H152" s="60" t="s">
        <v>41</v>
      </c>
      <c r="I152" s="58" t="s">
        <v>506</v>
      </c>
      <c r="J152" s="57" t="s">
        <v>507</v>
      </c>
      <c r="K152" s="60" t="s">
        <v>508</v>
      </c>
      <c r="L152" s="58" t="s">
        <v>509</v>
      </c>
      <c r="M152" s="57" t="s">
        <v>510</v>
      </c>
      <c r="N152" s="60" t="s">
        <v>511</v>
      </c>
      <c r="O152" s="58" t="s">
        <v>313</v>
      </c>
      <c r="P152" s="57" t="s">
        <v>314</v>
      </c>
      <c r="Q152" s="60" t="s">
        <v>315</v>
      </c>
      <c r="R152" s="64" t="s">
        <v>51</v>
      </c>
      <c r="S152" s="65" t="s">
        <v>512</v>
      </c>
      <c r="T152" s="66">
        <v>-600</v>
      </c>
      <c r="U152" s="67">
        <v>-600</v>
      </c>
      <c r="V152" s="68">
        <v>-600</v>
      </c>
      <c r="W152" s="60" t="s">
        <v>513</v>
      </c>
      <c r="X152" s="69">
        <v>45992</v>
      </c>
      <c r="Y152" s="70">
        <v>45996</v>
      </c>
      <c r="Z152" s="60" t="s">
        <v>339</v>
      </c>
      <c r="AA152" s="44" t="s">
        <v>340</v>
      </c>
      <c r="AB152" s="57" t="s">
        <v>268</v>
      </c>
      <c r="AC152" s="59" t="s">
        <v>236</v>
      </c>
      <c r="AD152" s="60"/>
      <c r="AE152" s="71">
        <v>-600</v>
      </c>
      <c r="AF152" s="48" t="s">
        <v>58</v>
      </c>
      <c r="AG152" s="48" t="s">
        <v>59</v>
      </c>
      <c r="AH152" s="49" t="s">
        <v>320</v>
      </c>
      <c r="AI152" s="49" t="s">
        <v>321</v>
      </c>
      <c r="AJ152" s="50" t="s">
        <v>62</v>
      </c>
    </row>
    <row r="153" spans="1:36" ht="15.75" x14ac:dyDescent="0.25">
      <c r="A153" s="26">
        <v>29597</v>
      </c>
      <c r="B153" s="57" t="s">
        <v>36</v>
      </c>
      <c r="C153" s="58" t="s">
        <v>37</v>
      </c>
      <c r="D153" s="59" t="s">
        <v>36</v>
      </c>
      <c r="E153" s="60" t="s">
        <v>38</v>
      </c>
      <c r="F153" s="58" t="s">
        <v>39</v>
      </c>
      <c r="G153" s="57" t="s">
        <v>40</v>
      </c>
      <c r="H153" s="60" t="s">
        <v>41</v>
      </c>
      <c r="I153" s="58" t="s">
        <v>506</v>
      </c>
      <c r="J153" s="57" t="s">
        <v>507</v>
      </c>
      <c r="K153" s="60" t="s">
        <v>508</v>
      </c>
      <c r="L153" s="58" t="s">
        <v>509</v>
      </c>
      <c r="M153" s="57" t="s">
        <v>510</v>
      </c>
      <c r="N153" s="60" t="s">
        <v>511</v>
      </c>
      <c r="O153" s="58" t="s">
        <v>150</v>
      </c>
      <c r="P153" s="57" t="s">
        <v>151</v>
      </c>
      <c r="Q153" s="60" t="s">
        <v>152</v>
      </c>
      <c r="R153" s="64" t="s">
        <v>121</v>
      </c>
      <c r="S153" s="65" t="s">
        <v>514</v>
      </c>
      <c r="T153" s="66">
        <v>-875</v>
      </c>
      <c r="U153" s="67">
        <v>-875</v>
      </c>
      <c r="V153" s="68">
        <v>-875</v>
      </c>
      <c r="W153" s="60" t="s">
        <v>515</v>
      </c>
      <c r="X153" s="69">
        <v>45992</v>
      </c>
      <c r="Y153" s="70">
        <v>45996</v>
      </c>
      <c r="Z153" s="60" t="s">
        <v>311</v>
      </c>
      <c r="AA153" s="44" t="s">
        <v>312</v>
      </c>
      <c r="AB153" s="57" t="s">
        <v>268</v>
      </c>
      <c r="AC153" s="59" t="s">
        <v>236</v>
      </c>
      <c r="AD153" s="60"/>
      <c r="AE153" s="71">
        <v>-875</v>
      </c>
      <c r="AF153" s="48" t="s">
        <v>58</v>
      </c>
      <c r="AG153" s="48" t="s">
        <v>157</v>
      </c>
      <c r="AH153" s="49" t="s">
        <v>158</v>
      </c>
      <c r="AI153" s="49" t="s">
        <v>159</v>
      </c>
      <c r="AJ153" s="50" t="s">
        <v>102</v>
      </c>
    </row>
    <row r="154" spans="1:36" ht="15.75" x14ac:dyDescent="0.25">
      <c r="A154" s="26">
        <v>29849</v>
      </c>
      <c r="B154" s="57" t="s">
        <v>36</v>
      </c>
      <c r="C154" s="58" t="s">
        <v>37</v>
      </c>
      <c r="D154" s="59" t="s">
        <v>36</v>
      </c>
      <c r="E154" s="60" t="s">
        <v>38</v>
      </c>
      <c r="F154" s="58" t="s">
        <v>39</v>
      </c>
      <c r="G154" s="57" t="s">
        <v>40</v>
      </c>
      <c r="H154" s="60" t="s">
        <v>41</v>
      </c>
      <c r="I154" s="58" t="s">
        <v>506</v>
      </c>
      <c r="J154" s="57" t="s">
        <v>507</v>
      </c>
      <c r="K154" s="60" t="s">
        <v>508</v>
      </c>
      <c r="L154" s="58" t="s">
        <v>509</v>
      </c>
      <c r="M154" s="57" t="s">
        <v>510</v>
      </c>
      <c r="N154" s="60" t="s">
        <v>511</v>
      </c>
      <c r="O154" s="58" t="s">
        <v>63</v>
      </c>
      <c r="P154" s="57" t="s">
        <v>64</v>
      </c>
      <c r="Q154" s="60" t="s">
        <v>65</v>
      </c>
      <c r="R154" s="64" t="s">
        <v>51</v>
      </c>
      <c r="S154" s="65" t="s">
        <v>516</v>
      </c>
      <c r="T154" s="66">
        <v>-2415</v>
      </c>
      <c r="U154" s="67">
        <v>-2415</v>
      </c>
      <c r="V154" s="68">
        <v>-2415</v>
      </c>
      <c r="W154" s="60" t="s">
        <v>517</v>
      </c>
      <c r="X154" s="69">
        <v>45994</v>
      </c>
      <c r="Y154" s="70">
        <v>45996</v>
      </c>
      <c r="Z154" s="60" t="s">
        <v>518</v>
      </c>
      <c r="AA154" s="44" t="s">
        <v>519</v>
      </c>
      <c r="AB154" s="57" t="s">
        <v>268</v>
      </c>
      <c r="AC154" s="59" t="s">
        <v>236</v>
      </c>
      <c r="AD154" s="60"/>
      <c r="AE154" s="71">
        <v>-2415</v>
      </c>
      <c r="AF154" s="48" t="s">
        <v>58</v>
      </c>
      <c r="AG154" s="48" t="s">
        <v>59</v>
      </c>
      <c r="AH154" s="49" t="s">
        <v>70</v>
      </c>
      <c r="AI154" s="49" t="s">
        <v>71</v>
      </c>
      <c r="AJ154" s="50" t="s">
        <v>72</v>
      </c>
    </row>
    <row r="155" spans="1:36" ht="15.75" x14ac:dyDescent="0.25">
      <c r="A155" s="26">
        <v>29850</v>
      </c>
      <c r="B155" s="57" t="s">
        <v>36</v>
      </c>
      <c r="C155" s="58" t="s">
        <v>37</v>
      </c>
      <c r="D155" s="59" t="s">
        <v>36</v>
      </c>
      <c r="E155" s="60" t="s">
        <v>38</v>
      </c>
      <c r="F155" s="58" t="s">
        <v>39</v>
      </c>
      <c r="G155" s="57" t="s">
        <v>40</v>
      </c>
      <c r="H155" s="60" t="s">
        <v>41</v>
      </c>
      <c r="I155" s="58" t="s">
        <v>506</v>
      </c>
      <c r="J155" s="57" t="s">
        <v>507</v>
      </c>
      <c r="K155" s="60" t="s">
        <v>508</v>
      </c>
      <c r="L155" s="58" t="s">
        <v>509</v>
      </c>
      <c r="M155" s="57" t="s">
        <v>510</v>
      </c>
      <c r="N155" s="60" t="s">
        <v>511</v>
      </c>
      <c r="O155" s="58" t="s">
        <v>63</v>
      </c>
      <c r="P155" s="57" t="s">
        <v>64</v>
      </c>
      <c r="Q155" s="60" t="s">
        <v>65</v>
      </c>
      <c r="R155" s="64" t="s">
        <v>51</v>
      </c>
      <c r="S155" s="65" t="s">
        <v>520</v>
      </c>
      <c r="T155" s="66">
        <v>-2415</v>
      </c>
      <c r="U155" s="67">
        <v>-2415</v>
      </c>
      <c r="V155" s="68">
        <v>-2415</v>
      </c>
      <c r="W155" s="60" t="s">
        <v>521</v>
      </c>
      <c r="X155" s="69">
        <v>45994</v>
      </c>
      <c r="Y155" s="70">
        <v>46006</v>
      </c>
      <c r="Z155" s="60" t="s">
        <v>360</v>
      </c>
      <c r="AA155" s="44" t="s">
        <v>361</v>
      </c>
      <c r="AB155" s="57" t="s">
        <v>268</v>
      </c>
      <c r="AC155" s="59" t="s">
        <v>236</v>
      </c>
      <c r="AD155" s="60"/>
      <c r="AE155" s="71">
        <v>-2415</v>
      </c>
      <c r="AF155" s="48" t="s">
        <v>58</v>
      </c>
      <c r="AG155" s="48" t="s">
        <v>59</v>
      </c>
      <c r="AH155" s="49" t="s">
        <v>70</v>
      </c>
      <c r="AI155" s="49" t="s">
        <v>71</v>
      </c>
      <c r="AJ155" s="50" t="s">
        <v>72</v>
      </c>
    </row>
    <row r="156" spans="1:36" ht="15.75" x14ac:dyDescent="0.25">
      <c r="A156" s="26">
        <v>31261</v>
      </c>
      <c r="B156" s="57" t="s">
        <v>36</v>
      </c>
      <c r="C156" s="58" t="s">
        <v>37</v>
      </c>
      <c r="D156" s="59" t="s">
        <v>36</v>
      </c>
      <c r="E156" s="60" t="s">
        <v>38</v>
      </c>
      <c r="F156" s="58" t="s">
        <v>39</v>
      </c>
      <c r="G156" s="57" t="s">
        <v>40</v>
      </c>
      <c r="H156" s="60" t="s">
        <v>41</v>
      </c>
      <c r="I156" s="58" t="s">
        <v>506</v>
      </c>
      <c r="J156" s="57" t="s">
        <v>507</v>
      </c>
      <c r="K156" s="60" t="s">
        <v>508</v>
      </c>
      <c r="L156" s="58" t="s">
        <v>509</v>
      </c>
      <c r="M156" s="57" t="s">
        <v>510</v>
      </c>
      <c r="N156" s="60" t="s">
        <v>511</v>
      </c>
      <c r="O156" s="58" t="s">
        <v>290</v>
      </c>
      <c r="P156" s="57" t="s">
        <v>291</v>
      </c>
      <c r="Q156" s="60" t="s">
        <v>292</v>
      </c>
      <c r="R156" s="64" t="s">
        <v>293</v>
      </c>
      <c r="S156" s="65" t="s">
        <v>522</v>
      </c>
      <c r="T156" s="66">
        <v>-174.08</v>
      </c>
      <c r="U156" s="67">
        <v>-174.08</v>
      </c>
      <c r="V156" s="68">
        <v>-174.08</v>
      </c>
      <c r="W156" s="60" t="s">
        <v>523</v>
      </c>
      <c r="X156" s="69">
        <v>46021</v>
      </c>
      <c r="Y156" s="70">
        <v>46038</v>
      </c>
      <c r="Z156" s="60" t="s">
        <v>296</v>
      </c>
      <c r="AA156" s="44" t="s">
        <v>297</v>
      </c>
      <c r="AB156" s="57" t="s">
        <v>268</v>
      </c>
      <c r="AC156" s="59" t="s">
        <v>236</v>
      </c>
      <c r="AD156" s="60"/>
      <c r="AE156" s="71">
        <v>-174.08</v>
      </c>
      <c r="AF156" s="48" t="s">
        <v>58</v>
      </c>
      <c r="AG156" s="48" t="s">
        <v>157</v>
      </c>
      <c r="AH156" s="49" t="s">
        <v>298</v>
      </c>
      <c r="AI156" s="49" t="s">
        <v>101</v>
      </c>
      <c r="AJ156" s="50" t="s">
        <v>102</v>
      </c>
    </row>
    <row r="157" spans="1:36" ht="15.75" x14ac:dyDescent="0.25">
      <c r="A157" s="26">
        <v>13018</v>
      </c>
      <c r="B157" s="27" t="s">
        <v>36</v>
      </c>
      <c r="C157" s="28" t="s">
        <v>37</v>
      </c>
      <c r="D157" s="29" t="s">
        <v>36</v>
      </c>
      <c r="E157" s="30" t="s">
        <v>38</v>
      </c>
      <c r="F157" s="31" t="s">
        <v>39</v>
      </c>
      <c r="G157" s="32" t="s">
        <v>40</v>
      </c>
      <c r="H157" s="33" t="s">
        <v>41</v>
      </c>
      <c r="I157" s="31" t="s">
        <v>524</v>
      </c>
      <c r="J157" s="32" t="s">
        <v>525</v>
      </c>
      <c r="K157" s="33" t="s">
        <v>526</v>
      </c>
      <c r="L157" s="34" t="s">
        <v>527</v>
      </c>
      <c r="M157" s="35" t="s">
        <v>528</v>
      </c>
      <c r="N157" s="36" t="s">
        <v>529</v>
      </c>
      <c r="O157" s="31" t="s">
        <v>63</v>
      </c>
      <c r="P157" s="32" t="s">
        <v>64</v>
      </c>
      <c r="Q157" s="33" t="s">
        <v>65</v>
      </c>
      <c r="R157" s="37" t="s">
        <v>51</v>
      </c>
      <c r="S157" s="38" t="s">
        <v>530</v>
      </c>
      <c r="T157" s="39">
        <v>2280</v>
      </c>
      <c r="U157" s="40">
        <v>-2280</v>
      </c>
      <c r="V157" s="41">
        <v>-2280</v>
      </c>
      <c r="W157" s="33" t="s">
        <v>531</v>
      </c>
      <c r="X157" s="42">
        <v>45818</v>
      </c>
      <c r="Y157" s="43">
        <v>45839</v>
      </c>
      <c r="Z157" s="33" t="s">
        <v>532</v>
      </c>
      <c r="AA157" s="44" t="s">
        <v>533</v>
      </c>
      <c r="AB157" s="45" t="s">
        <v>56</v>
      </c>
      <c r="AC157" s="46" t="s">
        <v>57</v>
      </c>
      <c r="AD157" s="33"/>
      <c r="AE157" s="47">
        <v>-2280</v>
      </c>
      <c r="AF157" s="48" t="s">
        <v>58</v>
      </c>
      <c r="AG157" s="48" t="s">
        <v>59</v>
      </c>
      <c r="AH157" s="49" t="s">
        <v>70</v>
      </c>
      <c r="AI157" s="49" t="s">
        <v>71</v>
      </c>
      <c r="AJ157" s="50" t="s">
        <v>72</v>
      </c>
    </row>
    <row r="158" spans="1:36" ht="15.75" x14ac:dyDescent="0.25">
      <c r="A158" s="26">
        <v>12673</v>
      </c>
      <c r="B158" s="27" t="s">
        <v>36</v>
      </c>
      <c r="C158" s="28" t="s">
        <v>37</v>
      </c>
      <c r="D158" s="29" t="s">
        <v>36</v>
      </c>
      <c r="E158" s="30" t="s">
        <v>38</v>
      </c>
      <c r="F158" s="31" t="s">
        <v>39</v>
      </c>
      <c r="G158" s="32" t="s">
        <v>40</v>
      </c>
      <c r="H158" s="33" t="s">
        <v>41</v>
      </c>
      <c r="I158" s="31" t="s">
        <v>524</v>
      </c>
      <c r="J158" s="32" t="s">
        <v>525</v>
      </c>
      <c r="K158" s="33" t="s">
        <v>526</v>
      </c>
      <c r="L158" s="34" t="s">
        <v>527</v>
      </c>
      <c r="M158" s="35" t="s">
        <v>528</v>
      </c>
      <c r="N158" s="36" t="s">
        <v>529</v>
      </c>
      <c r="O158" s="31" t="s">
        <v>63</v>
      </c>
      <c r="P158" s="32" t="s">
        <v>64</v>
      </c>
      <c r="Q158" s="33" t="s">
        <v>65</v>
      </c>
      <c r="R158" s="37" t="s">
        <v>121</v>
      </c>
      <c r="S158" s="38" t="s">
        <v>534</v>
      </c>
      <c r="T158" s="39">
        <v>0</v>
      </c>
      <c r="U158" s="40">
        <v>-261.8</v>
      </c>
      <c r="V158" s="41">
        <v>-261.8</v>
      </c>
      <c r="W158" s="33" t="s">
        <v>535</v>
      </c>
      <c r="X158" s="42">
        <v>45825</v>
      </c>
      <c r="Y158" s="43"/>
      <c r="Z158" s="33" t="s">
        <v>536</v>
      </c>
      <c r="AA158" s="44" t="s">
        <v>537</v>
      </c>
      <c r="AB158" s="45" t="s">
        <v>56</v>
      </c>
      <c r="AC158" s="46" t="s">
        <v>57</v>
      </c>
      <c r="AD158" s="33"/>
      <c r="AE158" s="47">
        <v>-261.8</v>
      </c>
      <c r="AF158" s="48" t="s">
        <v>58</v>
      </c>
      <c r="AG158" s="48" t="s">
        <v>59</v>
      </c>
      <c r="AH158" s="49" t="s">
        <v>70</v>
      </c>
      <c r="AI158" s="49" t="s">
        <v>71</v>
      </c>
      <c r="AJ158" s="50" t="s">
        <v>72</v>
      </c>
    </row>
    <row r="159" spans="1:36" ht="15.75" x14ac:dyDescent="0.25">
      <c r="A159" s="26">
        <v>12547</v>
      </c>
      <c r="B159" s="27" t="s">
        <v>36</v>
      </c>
      <c r="C159" s="28" t="s">
        <v>37</v>
      </c>
      <c r="D159" s="29" t="s">
        <v>36</v>
      </c>
      <c r="E159" s="30" t="s">
        <v>38</v>
      </c>
      <c r="F159" s="31" t="s">
        <v>39</v>
      </c>
      <c r="G159" s="32" t="s">
        <v>40</v>
      </c>
      <c r="H159" s="33" t="s">
        <v>41</v>
      </c>
      <c r="I159" s="31" t="s">
        <v>524</v>
      </c>
      <c r="J159" s="32" t="s">
        <v>525</v>
      </c>
      <c r="K159" s="33" t="s">
        <v>526</v>
      </c>
      <c r="L159" s="34" t="s">
        <v>527</v>
      </c>
      <c r="M159" s="35" t="s">
        <v>528</v>
      </c>
      <c r="N159" s="36" t="s">
        <v>529</v>
      </c>
      <c r="O159" s="74" t="s">
        <v>63</v>
      </c>
      <c r="P159" s="32" t="s">
        <v>64</v>
      </c>
      <c r="Q159" s="33" t="s">
        <v>65</v>
      </c>
      <c r="R159" s="37" t="s">
        <v>51</v>
      </c>
      <c r="S159" s="38" t="s">
        <v>538</v>
      </c>
      <c r="T159" s="39">
        <v>2776.82</v>
      </c>
      <c r="U159" s="40">
        <v>-2776.82</v>
      </c>
      <c r="V159" s="41">
        <v>-2776.82</v>
      </c>
      <c r="W159" s="33" t="s">
        <v>539</v>
      </c>
      <c r="X159" s="42">
        <v>45826</v>
      </c>
      <c r="Y159" s="43">
        <v>45845</v>
      </c>
      <c r="Z159" s="33" t="s">
        <v>540</v>
      </c>
      <c r="AA159" s="44" t="s">
        <v>541</v>
      </c>
      <c r="AB159" s="45" t="s">
        <v>56</v>
      </c>
      <c r="AC159" s="46" t="s">
        <v>57</v>
      </c>
      <c r="AD159" s="33"/>
      <c r="AE159" s="47">
        <v>-2776.82</v>
      </c>
      <c r="AF159" s="48" t="s">
        <v>58</v>
      </c>
      <c r="AG159" s="48" t="s">
        <v>59</v>
      </c>
      <c r="AH159" s="49" t="s">
        <v>70</v>
      </c>
      <c r="AI159" s="49" t="s">
        <v>71</v>
      </c>
      <c r="AJ159" s="50" t="s">
        <v>72</v>
      </c>
    </row>
    <row r="160" spans="1:36" ht="15.75" x14ac:dyDescent="0.25">
      <c r="A160" s="26">
        <v>12554</v>
      </c>
      <c r="B160" s="27" t="s">
        <v>36</v>
      </c>
      <c r="C160" s="28" t="s">
        <v>37</v>
      </c>
      <c r="D160" s="29" t="s">
        <v>36</v>
      </c>
      <c r="E160" s="30" t="s">
        <v>38</v>
      </c>
      <c r="F160" s="31" t="s">
        <v>39</v>
      </c>
      <c r="G160" s="32" t="s">
        <v>40</v>
      </c>
      <c r="H160" s="33" t="s">
        <v>41</v>
      </c>
      <c r="I160" s="31" t="s">
        <v>524</v>
      </c>
      <c r="J160" s="32" t="s">
        <v>525</v>
      </c>
      <c r="K160" s="33" t="s">
        <v>526</v>
      </c>
      <c r="L160" s="34" t="s">
        <v>527</v>
      </c>
      <c r="M160" s="35" t="s">
        <v>528</v>
      </c>
      <c r="N160" s="36" t="s">
        <v>529</v>
      </c>
      <c r="O160" s="74" t="s">
        <v>63</v>
      </c>
      <c r="P160" s="32" t="s">
        <v>64</v>
      </c>
      <c r="Q160" s="33" t="s">
        <v>65</v>
      </c>
      <c r="R160" s="37" t="s">
        <v>51</v>
      </c>
      <c r="S160" s="38" t="s">
        <v>542</v>
      </c>
      <c r="T160" s="39">
        <v>0</v>
      </c>
      <c r="U160" s="40">
        <v>-183.42</v>
      </c>
      <c r="V160" s="41">
        <v>-183.42</v>
      </c>
      <c r="W160" s="33" t="s">
        <v>543</v>
      </c>
      <c r="X160" s="42">
        <v>45826</v>
      </c>
      <c r="Y160" s="43"/>
      <c r="Z160" s="33" t="s">
        <v>544</v>
      </c>
      <c r="AA160" s="44" t="s">
        <v>545</v>
      </c>
      <c r="AB160" s="45" t="s">
        <v>56</v>
      </c>
      <c r="AC160" s="46" t="s">
        <v>57</v>
      </c>
      <c r="AD160" s="33"/>
      <c r="AE160" s="47">
        <v>-183.42</v>
      </c>
      <c r="AF160" s="48" t="s">
        <v>58</v>
      </c>
      <c r="AG160" s="48" t="s">
        <v>59</v>
      </c>
      <c r="AH160" s="49" t="s">
        <v>70</v>
      </c>
      <c r="AI160" s="49" t="s">
        <v>71</v>
      </c>
      <c r="AJ160" s="50" t="s">
        <v>72</v>
      </c>
    </row>
    <row r="161" spans="1:36" ht="15.75" x14ac:dyDescent="0.25">
      <c r="A161" s="26">
        <v>12591</v>
      </c>
      <c r="B161" s="27" t="s">
        <v>36</v>
      </c>
      <c r="C161" s="28" t="s">
        <v>37</v>
      </c>
      <c r="D161" s="29" t="s">
        <v>36</v>
      </c>
      <c r="E161" s="30" t="s">
        <v>38</v>
      </c>
      <c r="F161" s="31" t="s">
        <v>39</v>
      </c>
      <c r="G161" s="32" t="s">
        <v>40</v>
      </c>
      <c r="H161" s="33" t="s">
        <v>41</v>
      </c>
      <c r="I161" s="31" t="s">
        <v>524</v>
      </c>
      <c r="J161" s="32" t="s">
        <v>525</v>
      </c>
      <c r="K161" s="33" t="s">
        <v>526</v>
      </c>
      <c r="L161" s="34" t="s">
        <v>527</v>
      </c>
      <c r="M161" s="35" t="s">
        <v>528</v>
      </c>
      <c r="N161" s="36" t="s">
        <v>529</v>
      </c>
      <c r="O161" s="31" t="s">
        <v>63</v>
      </c>
      <c r="P161" s="32" t="s">
        <v>64</v>
      </c>
      <c r="Q161" s="33" t="s">
        <v>65</v>
      </c>
      <c r="R161" s="37" t="s">
        <v>51</v>
      </c>
      <c r="S161" s="38" t="s">
        <v>546</v>
      </c>
      <c r="T161" s="39">
        <v>240</v>
      </c>
      <c r="U161" s="40">
        <v>-240</v>
      </c>
      <c r="V161" s="41">
        <v>-240</v>
      </c>
      <c r="W161" s="33" t="s">
        <v>547</v>
      </c>
      <c r="X161" s="42">
        <v>45826</v>
      </c>
      <c r="Y161" s="43">
        <v>45845</v>
      </c>
      <c r="Z161" s="33" t="s">
        <v>540</v>
      </c>
      <c r="AA161" s="44" t="s">
        <v>541</v>
      </c>
      <c r="AB161" s="45" t="s">
        <v>56</v>
      </c>
      <c r="AC161" s="46" t="s">
        <v>57</v>
      </c>
      <c r="AD161" s="33"/>
      <c r="AE161" s="47">
        <v>-240</v>
      </c>
      <c r="AF161" s="48" t="s">
        <v>58</v>
      </c>
      <c r="AG161" s="48" t="s">
        <v>59</v>
      </c>
      <c r="AH161" s="49" t="s">
        <v>70</v>
      </c>
      <c r="AI161" s="49" t="s">
        <v>71</v>
      </c>
      <c r="AJ161" s="50" t="s">
        <v>72</v>
      </c>
    </row>
    <row r="162" spans="1:36" ht="15.75" x14ac:dyDescent="0.25">
      <c r="A162" s="26">
        <v>12376</v>
      </c>
      <c r="B162" s="27" t="s">
        <v>36</v>
      </c>
      <c r="C162" s="28" t="s">
        <v>37</v>
      </c>
      <c r="D162" s="29" t="s">
        <v>36</v>
      </c>
      <c r="E162" s="30" t="s">
        <v>38</v>
      </c>
      <c r="F162" s="31" t="s">
        <v>39</v>
      </c>
      <c r="G162" s="32" t="s">
        <v>40</v>
      </c>
      <c r="H162" s="33" t="s">
        <v>41</v>
      </c>
      <c r="I162" s="31" t="s">
        <v>524</v>
      </c>
      <c r="J162" s="32" t="s">
        <v>525</v>
      </c>
      <c r="K162" s="33" t="s">
        <v>526</v>
      </c>
      <c r="L162" s="34" t="s">
        <v>527</v>
      </c>
      <c r="M162" s="35" t="s">
        <v>528</v>
      </c>
      <c r="N162" s="36" t="s">
        <v>529</v>
      </c>
      <c r="O162" s="31" t="s">
        <v>63</v>
      </c>
      <c r="P162" s="32" t="s">
        <v>64</v>
      </c>
      <c r="Q162" s="33" t="s">
        <v>65</v>
      </c>
      <c r="R162" s="37" t="s">
        <v>121</v>
      </c>
      <c r="S162" s="38" t="s">
        <v>548</v>
      </c>
      <c r="T162" s="39">
        <v>700</v>
      </c>
      <c r="U162" s="40">
        <v>-700</v>
      </c>
      <c r="V162" s="41">
        <v>-700</v>
      </c>
      <c r="W162" s="33" t="s">
        <v>549</v>
      </c>
      <c r="X162" s="42">
        <v>45832</v>
      </c>
      <c r="Y162" s="43">
        <v>45841</v>
      </c>
      <c r="Z162" s="33" t="s">
        <v>410</v>
      </c>
      <c r="AA162" s="44" t="s">
        <v>411</v>
      </c>
      <c r="AB162" s="45" t="s">
        <v>56</v>
      </c>
      <c r="AC162" s="46" t="s">
        <v>57</v>
      </c>
      <c r="AD162" s="33"/>
      <c r="AE162" s="47">
        <v>-700</v>
      </c>
      <c r="AF162" s="48" t="s">
        <v>58</v>
      </c>
      <c r="AG162" s="48" t="s">
        <v>59</v>
      </c>
      <c r="AH162" s="49" t="s">
        <v>70</v>
      </c>
      <c r="AI162" s="49" t="s">
        <v>71</v>
      </c>
      <c r="AJ162" s="50" t="s">
        <v>72</v>
      </c>
    </row>
    <row r="163" spans="1:36" ht="15.75" x14ac:dyDescent="0.25">
      <c r="A163" s="26">
        <v>12404</v>
      </c>
      <c r="B163" s="27" t="s">
        <v>36</v>
      </c>
      <c r="C163" s="28" t="s">
        <v>37</v>
      </c>
      <c r="D163" s="29" t="s">
        <v>36</v>
      </c>
      <c r="E163" s="30" t="s">
        <v>38</v>
      </c>
      <c r="F163" s="31" t="s">
        <v>39</v>
      </c>
      <c r="G163" s="32" t="s">
        <v>40</v>
      </c>
      <c r="H163" s="33" t="s">
        <v>41</v>
      </c>
      <c r="I163" s="31" t="s">
        <v>524</v>
      </c>
      <c r="J163" s="32" t="s">
        <v>525</v>
      </c>
      <c r="K163" s="33" t="s">
        <v>526</v>
      </c>
      <c r="L163" s="34" t="s">
        <v>527</v>
      </c>
      <c r="M163" s="35" t="s">
        <v>528</v>
      </c>
      <c r="N163" s="36" t="s">
        <v>529</v>
      </c>
      <c r="O163" s="31" t="s">
        <v>63</v>
      </c>
      <c r="P163" s="32" t="s">
        <v>64</v>
      </c>
      <c r="Q163" s="33" t="s">
        <v>65</v>
      </c>
      <c r="R163" s="37" t="s">
        <v>121</v>
      </c>
      <c r="S163" s="38" t="s">
        <v>550</v>
      </c>
      <c r="T163" s="39">
        <v>700</v>
      </c>
      <c r="U163" s="40">
        <v>-700</v>
      </c>
      <c r="V163" s="41">
        <v>-700</v>
      </c>
      <c r="W163" s="33" t="s">
        <v>551</v>
      </c>
      <c r="X163" s="42">
        <v>45832</v>
      </c>
      <c r="Y163" s="43">
        <v>45841</v>
      </c>
      <c r="Z163" s="33" t="s">
        <v>410</v>
      </c>
      <c r="AA163" s="44" t="s">
        <v>411</v>
      </c>
      <c r="AB163" s="45" t="s">
        <v>56</v>
      </c>
      <c r="AC163" s="46" t="s">
        <v>57</v>
      </c>
      <c r="AD163" s="33"/>
      <c r="AE163" s="47">
        <v>-700</v>
      </c>
      <c r="AF163" s="48" t="s">
        <v>58</v>
      </c>
      <c r="AG163" s="48" t="s">
        <v>59</v>
      </c>
      <c r="AH163" s="49" t="s">
        <v>70</v>
      </c>
      <c r="AI163" s="49" t="s">
        <v>71</v>
      </c>
      <c r="AJ163" s="50" t="s">
        <v>72</v>
      </c>
    </row>
    <row r="164" spans="1:36" ht="15.75" x14ac:dyDescent="0.25">
      <c r="A164" s="26">
        <v>15287</v>
      </c>
      <c r="B164" s="27" t="s">
        <v>36</v>
      </c>
      <c r="C164" s="28" t="s">
        <v>37</v>
      </c>
      <c r="D164" s="29" t="s">
        <v>36</v>
      </c>
      <c r="E164" s="30" t="s">
        <v>38</v>
      </c>
      <c r="F164" s="31" t="s">
        <v>39</v>
      </c>
      <c r="G164" s="32" t="s">
        <v>40</v>
      </c>
      <c r="H164" s="33" t="s">
        <v>41</v>
      </c>
      <c r="I164" s="31" t="s">
        <v>524</v>
      </c>
      <c r="J164" s="32" t="s">
        <v>525</v>
      </c>
      <c r="K164" s="33" t="s">
        <v>526</v>
      </c>
      <c r="L164" s="31" t="s">
        <v>527</v>
      </c>
      <c r="M164" s="32" t="s">
        <v>528</v>
      </c>
      <c r="N164" s="33" t="s">
        <v>529</v>
      </c>
      <c r="O164" s="31" t="s">
        <v>552</v>
      </c>
      <c r="P164" s="32" t="s">
        <v>553</v>
      </c>
      <c r="Q164" s="33" t="s">
        <v>554</v>
      </c>
      <c r="R164" s="37" t="s">
        <v>51</v>
      </c>
      <c r="S164" s="38" t="s">
        <v>555</v>
      </c>
      <c r="T164" s="39">
        <v>-1000</v>
      </c>
      <c r="U164" s="40"/>
      <c r="V164" s="41">
        <v>-1000</v>
      </c>
      <c r="W164" s="33" t="s">
        <v>556</v>
      </c>
      <c r="X164" s="42">
        <v>45839</v>
      </c>
      <c r="Y164" s="43">
        <v>45853</v>
      </c>
      <c r="Z164" s="33" t="s">
        <v>557</v>
      </c>
      <c r="AA164" s="44" t="s">
        <v>558</v>
      </c>
      <c r="AB164" s="45" t="s">
        <v>56</v>
      </c>
      <c r="AC164" s="46" t="s">
        <v>57</v>
      </c>
      <c r="AD164" s="33"/>
      <c r="AE164" s="47">
        <v>-1000</v>
      </c>
      <c r="AF164" s="48" t="s">
        <v>58</v>
      </c>
      <c r="AG164" s="48" t="s">
        <v>157</v>
      </c>
      <c r="AH164" s="49" t="s">
        <v>559</v>
      </c>
      <c r="AI164" s="49" t="s">
        <v>238</v>
      </c>
      <c r="AJ164" s="50" t="s">
        <v>201</v>
      </c>
    </row>
    <row r="165" spans="1:36" ht="15.75" x14ac:dyDescent="0.25">
      <c r="A165" s="26">
        <v>14919</v>
      </c>
      <c r="B165" s="27" t="s">
        <v>36</v>
      </c>
      <c r="C165" s="28" t="s">
        <v>37</v>
      </c>
      <c r="D165" s="29" t="s">
        <v>36</v>
      </c>
      <c r="E165" s="30" t="s">
        <v>38</v>
      </c>
      <c r="F165" s="31" t="s">
        <v>39</v>
      </c>
      <c r="G165" s="32" t="s">
        <v>40</v>
      </c>
      <c r="H165" s="33" t="s">
        <v>41</v>
      </c>
      <c r="I165" s="31" t="s">
        <v>524</v>
      </c>
      <c r="J165" s="32" t="s">
        <v>525</v>
      </c>
      <c r="K165" s="33" t="s">
        <v>526</v>
      </c>
      <c r="L165" s="31" t="s">
        <v>527</v>
      </c>
      <c r="M165" s="32" t="s">
        <v>528</v>
      </c>
      <c r="N165" s="33" t="s">
        <v>529</v>
      </c>
      <c r="O165" s="31" t="s">
        <v>63</v>
      </c>
      <c r="P165" s="32" t="s">
        <v>64</v>
      </c>
      <c r="Q165" s="33" t="s">
        <v>65</v>
      </c>
      <c r="R165" s="37" t="s">
        <v>51</v>
      </c>
      <c r="S165" s="38" t="s">
        <v>560</v>
      </c>
      <c r="T165" s="39">
        <v>-1158</v>
      </c>
      <c r="U165" s="40"/>
      <c r="V165" s="41">
        <v>-1158</v>
      </c>
      <c r="W165" s="33" t="s">
        <v>561</v>
      </c>
      <c r="X165" s="42">
        <v>45860</v>
      </c>
      <c r="Y165" s="43">
        <v>45884</v>
      </c>
      <c r="Z165" s="33" t="s">
        <v>562</v>
      </c>
      <c r="AA165" s="44" t="s">
        <v>563</v>
      </c>
      <c r="AB165" s="45" t="s">
        <v>56</v>
      </c>
      <c r="AC165" s="46" t="s">
        <v>57</v>
      </c>
      <c r="AD165" s="33"/>
      <c r="AE165" s="47">
        <v>-1158</v>
      </c>
      <c r="AF165" s="48" t="s">
        <v>58</v>
      </c>
      <c r="AG165" s="48" t="s">
        <v>59</v>
      </c>
      <c r="AH165" s="49" t="s">
        <v>70</v>
      </c>
      <c r="AI165" s="49" t="s">
        <v>71</v>
      </c>
      <c r="AJ165" s="50" t="s">
        <v>72</v>
      </c>
    </row>
    <row r="166" spans="1:36" ht="15.75" x14ac:dyDescent="0.25">
      <c r="A166" s="26">
        <v>15171</v>
      </c>
      <c r="B166" s="27" t="s">
        <v>36</v>
      </c>
      <c r="C166" s="28" t="s">
        <v>37</v>
      </c>
      <c r="D166" s="29" t="s">
        <v>36</v>
      </c>
      <c r="E166" s="30" t="s">
        <v>38</v>
      </c>
      <c r="F166" s="31" t="s">
        <v>39</v>
      </c>
      <c r="G166" s="32" t="s">
        <v>40</v>
      </c>
      <c r="H166" s="33" t="s">
        <v>41</v>
      </c>
      <c r="I166" s="31" t="s">
        <v>524</v>
      </c>
      <c r="J166" s="32" t="s">
        <v>525</v>
      </c>
      <c r="K166" s="33" t="s">
        <v>526</v>
      </c>
      <c r="L166" s="31" t="s">
        <v>527</v>
      </c>
      <c r="M166" s="32" t="s">
        <v>528</v>
      </c>
      <c r="N166" s="33" t="s">
        <v>529</v>
      </c>
      <c r="O166" s="31" t="s">
        <v>63</v>
      </c>
      <c r="P166" s="32" t="s">
        <v>64</v>
      </c>
      <c r="Q166" s="33" t="s">
        <v>65</v>
      </c>
      <c r="R166" s="37" t="s">
        <v>51</v>
      </c>
      <c r="S166" s="38" t="s">
        <v>564</v>
      </c>
      <c r="T166" s="39">
        <v>-89.54</v>
      </c>
      <c r="U166" s="40"/>
      <c r="V166" s="41">
        <v>-89.54</v>
      </c>
      <c r="W166" s="33" t="s">
        <v>565</v>
      </c>
      <c r="X166" s="42">
        <v>45863</v>
      </c>
      <c r="Y166" s="43">
        <v>45877</v>
      </c>
      <c r="Z166" s="33" t="s">
        <v>566</v>
      </c>
      <c r="AA166" s="44" t="s">
        <v>567</v>
      </c>
      <c r="AB166" s="45" t="s">
        <v>56</v>
      </c>
      <c r="AC166" s="46" t="s">
        <v>57</v>
      </c>
      <c r="AD166" s="33"/>
      <c r="AE166" s="47">
        <v>-89.54</v>
      </c>
      <c r="AF166" s="48" t="s">
        <v>58</v>
      </c>
      <c r="AG166" s="48" t="s">
        <v>59</v>
      </c>
      <c r="AH166" s="49" t="s">
        <v>70</v>
      </c>
      <c r="AI166" s="49" t="s">
        <v>71</v>
      </c>
      <c r="AJ166" s="50" t="s">
        <v>72</v>
      </c>
    </row>
    <row r="167" spans="1:36" ht="15.75" x14ac:dyDescent="0.25">
      <c r="A167" s="26">
        <v>17777</v>
      </c>
      <c r="B167" s="32" t="s">
        <v>36</v>
      </c>
      <c r="C167" s="31" t="s">
        <v>37</v>
      </c>
      <c r="D167" s="56" t="s">
        <v>36</v>
      </c>
      <c r="E167" s="33" t="s">
        <v>38</v>
      </c>
      <c r="F167" s="31" t="s">
        <v>39</v>
      </c>
      <c r="G167" s="32" t="s">
        <v>40</v>
      </c>
      <c r="H167" s="33" t="s">
        <v>41</v>
      </c>
      <c r="I167" s="31" t="s">
        <v>524</v>
      </c>
      <c r="J167" s="32" t="s">
        <v>525</v>
      </c>
      <c r="K167" s="33" t="s">
        <v>526</v>
      </c>
      <c r="L167" s="31" t="s">
        <v>527</v>
      </c>
      <c r="M167" s="32" t="s">
        <v>528</v>
      </c>
      <c r="N167" s="33" t="s">
        <v>529</v>
      </c>
      <c r="O167" s="31" t="s">
        <v>63</v>
      </c>
      <c r="P167" s="32" t="s">
        <v>64</v>
      </c>
      <c r="Q167" s="33" t="s">
        <v>65</v>
      </c>
      <c r="R167" s="37" t="s">
        <v>51</v>
      </c>
      <c r="S167" s="38" t="s">
        <v>568</v>
      </c>
      <c r="T167" s="39">
        <v>-206.07</v>
      </c>
      <c r="U167" s="40"/>
      <c r="V167" s="41">
        <v>-206.07</v>
      </c>
      <c r="W167" s="33" t="s">
        <v>569</v>
      </c>
      <c r="X167" s="42">
        <v>45870</v>
      </c>
      <c r="Y167" s="43">
        <v>45884</v>
      </c>
      <c r="Z167" s="33" t="s">
        <v>164</v>
      </c>
      <c r="AA167" s="44" t="s">
        <v>165</v>
      </c>
      <c r="AB167" s="32" t="s">
        <v>56</v>
      </c>
      <c r="AC167" s="56" t="s">
        <v>57</v>
      </c>
      <c r="AD167" s="33"/>
      <c r="AE167" s="47">
        <v>-206.07</v>
      </c>
      <c r="AF167" s="48" t="s">
        <v>58</v>
      </c>
      <c r="AG167" s="48" t="s">
        <v>59</v>
      </c>
      <c r="AH167" s="49" t="s">
        <v>70</v>
      </c>
      <c r="AI167" s="49" t="s">
        <v>71</v>
      </c>
      <c r="AJ167" s="50" t="s">
        <v>72</v>
      </c>
    </row>
    <row r="168" spans="1:36" ht="15.75" x14ac:dyDescent="0.25">
      <c r="A168" s="26">
        <v>18129</v>
      </c>
      <c r="B168" s="32" t="s">
        <v>36</v>
      </c>
      <c r="C168" s="31" t="s">
        <v>37</v>
      </c>
      <c r="D168" s="56" t="s">
        <v>36</v>
      </c>
      <c r="E168" s="33" t="s">
        <v>38</v>
      </c>
      <c r="F168" s="31" t="s">
        <v>39</v>
      </c>
      <c r="G168" s="32" t="s">
        <v>40</v>
      </c>
      <c r="H168" s="33" t="s">
        <v>41</v>
      </c>
      <c r="I168" s="31" t="s">
        <v>524</v>
      </c>
      <c r="J168" s="32" t="s">
        <v>525</v>
      </c>
      <c r="K168" s="33" t="s">
        <v>526</v>
      </c>
      <c r="L168" s="31" t="s">
        <v>527</v>
      </c>
      <c r="M168" s="32" t="s">
        <v>528</v>
      </c>
      <c r="N168" s="33" t="s">
        <v>529</v>
      </c>
      <c r="O168" s="31" t="s">
        <v>63</v>
      </c>
      <c r="P168" s="32" t="s">
        <v>64</v>
      </c>
      <c r="Q168" s="33" t="s">
        <v>65</v>
      </c>
      <c r="R168" s="37" t="s">
        <v>51</v>
      </c>
      <c r="S168" s="38" t="s">
        <v>570</v>
      </c>
      <c r="T168" s="39">
        <v>-1965.46</v>
      </c>
      <c r="U168" s="40"/>
      <c r="V168" s="41">
        <v>-1965.46</v>
      </c>
      <c r="W168" s="33" t="s">
        <v>571</v>
      </c>
      <c r="X168" s="42">
        <v>45870</v>
      </c>
      <c r="Y168" s="43">
        <v>45894</v>
      </c>
      <c r="Z168" s="33" t="s">
        <v>572</v>
      </c>
      <c r="AA168" s="44" t="s">
        <v>573</v>
      </c>
      <c r="AB168" s="32" t="s">
        <v>56</v>
      </c>
      <c r="AC168" s="56" t="s">
        <v>57</v>
      </c>
      <c r="AD168" s="33"/>
      <c r="AE168" s="47">
        <v>-1965.46</v>
      </c>
      <c r="AF168" s="48" t="s">
        <v>58</v>
      </c>
      <c r="AG168" s="48" t="s">
        <v>59</v>
      </c>
      <c r="AH168" s="49" t="s">
        <v>70</v>
      </c>
      <c r="AI168" s="49" t="s">
        <v>71</v>
      </c>
      <c r="AJ168" s="50" t="s">
        <v>72</v>
      </c>
    </row>
    <row r="169" spans="1:36" ht="15.75" x14ac:dyDescent="0.25">
      <c r="A169" s="26">
        <v>17778</v>
      </c>
      <c r="B169" s="32" t="s">
        <v>36</v>
      </c>
      <c r="C169" s="31" t="s">
        <v>37</v>
      </c>
      <c r="D169" s="56" t="s">
        <v>36</v>
      </c>
      <c r="E169" s="33" t="s">
        <v>38</v>
      </c>
      <c r="F169" s="31" t="s">
        <v>39</v>
      </c>
      <c r="G169" s="32" t="s">
        <v>40</v>
      </c>
      <c r="H169" s="33" t="s">
        <v>41</v>
      </c>
      <c r="I169" s="31" t="s">
        <v>524</v>
      </c>
      <c r="J169" s="32" t="s">
        <v>525</v>
      </c>
      <c r="K169" s="33" t="s">
        <v>526</v>
      </c>
      <c r="L169" s="31" t="s">
        <v>527</v>
      </c>
      <c r="M169" s="32" t="s">
        <v>528</v>
      </c>
      <c r="N169" s="33" t="s">
        <v>529</v>
      </c>
      <c r="O169" s="31" t="s">
        <v>334</v>
      </c>
      <c r="P169" s="32" t="s">
        <v>335</v>
      </c>
      <c r="Q169" s="33" t="s">
        <v>336</v>
      </c>
      <c r="R169" s="37" t="s">
        <v>51</v>
      </c>
      <c r="S169" s="38" t="s">
        <v>568</v>
      </c>
      <c r="T169" s="39">
        <v>-35.42</v>
      </c>
      <c r="U169" s="40"/>
      <c r="V169" s="41">
        <v>-35.42</v>
      </c>
      <c r="W169" s="33" t="s">
        <v>569</v>
      </c>
      <c r="X169" s="42">
        <v>45870</v>
      </c>
      <c r="Y169" s="43">
        <v>45884</v>
      </c>
      <c r="Z169" s="33" t="s">
        <v>164</v>
      </c>
      <c r="AA169" s="44" t="s">
        <v>165</v>
      </c>
      <c r="AB169" s="32" t="s">
        <v>56</v>
      </c>
      <c r="AC169" s="56" t="s">
        <v>57</v>
      </c>
      <c r="AD169" s="33"/>
      <c r="AE169" s="47">
        <v>-35.42</v>
      </c>
      <c r="AF169" s="48" t="s">
        <v>58</v>
      </c>
      <c r="AG169" s="48" t="s">
        <v>157</v>
      </c>
      <c r="AH169" s="49" t="s">
        <v>341</v>
      </c>
      <c r="AI169" s="49" t="s">
        <v>238</v>
      </c>
      <c r="AJ169" s="50" t="s">
        <v>201</v>
      </c>
    </row>
    <row r="170" spans="1:36" ht="15.75" x14ac:dyDescent="0.25">
      <c r="A170" s="26">
        <v>18208</v>
      </c>
      <c r="B170" s="32" t="s">
        <v>36</v>
      </c>
      <c r="C170" s="31" t="s">
        <v>37</v>
      </c>
      <c r="D170" s="56" t="s">
        <v>36</v>
      </c>
      <c r="E170" s="33" t="s">
        <v>38</v>
      </c>
      <c r="F170" s="31" t="s">
        <v>39</v>
      </c>
      <c r="G170" s="32" t="s">
        <v>40</v>
      </c>
      <c r="H170" s="33" t="s">
        <v>41</v>
      </c>
      <c r="I170" s="31" t="s">
        <v>524</v>
      </c>
      <c r="J170" s="32" t="s">
        <v>525</v>
      </c>
      <c r="K170" s="33" t="s">
        <v>526</v>
      </c>
      <c r="L170" s="31" t="s">
        <v>527</v>
      </c>
      <c r="M170" s="32" t="s">
        <v>528</v>
      </c>
      <c r="N170" s="33" t="s">
        <v>529</v>
      </c>
      <c r="O170" s="31" t="s">
        <v>63</v>
      </c>
      <c r="P170" s="32" t="s">
        <v>64</v>
      </c>
      <c r="Q170" s="33" t="s">
        <v>65</v>
      </c>
      <c r="R170" s="37" t="s">
        <v>51</v>
      </c>
      <c r="S170" s="38" t="s">
        <v>574</v>
      </c>
      <c r="T170" s="39">
        <v>-1230</v>
      </c>
      <c r="U170" s="40"/>
      <c r="V170" s="41">
        <v>-1230</v>
      </c>
      <c r="W170" s="33" t="s">
        <v>575</v>
      </c>
      <c r="X170" s="42">
        <v>45881</v>
      </c>
      <c r="Y170" s="43">
        <v>45894</v>
      </c>
      <c r="Z170" s="33" t="s">
        <v>540</v>
      </c>
      <c r="AA170" s="44" t="s">
        <v>541</v>
      </c>
      <c r="AB170" s="32" t="s">
        <v>56</v>
      </c>
      <c r="AC170" s="56" t="s">
        <v>57</v>
      </c>
      <c r="AD170" s="33"/>
      <c r="AE170" s="47">
        <v>-1230</v>
      </c>
      <c r="AF170" s="48" t="s">
        <v>58</v>
      </c>
      <c r="AG170" s="48" t="s">
        <v>59</v>
      </c>
      <c r="AH170" s="49" t="s">
        <v>70</v>
      </c>
      <c r="AI170" s="49" t="s">
        <v>71</v>
      </c>
      <c r="AJ170" s="50" t="s">
        <v>72</v>
      </c>
    </row>
    <row r="171" spans="1:36" ht="15.75" x14ac:dyDescent="0.25">
      <c r="A171" s="26">
        <v>19157</v>
      </c>
      <c r="B171" s="32" t="s">
        <v>36</v>
      </c>
      <c r="C171" s="31" t="s">
        <v>37</v>
      </c>
      <c r="D171" s="56" t="s">
        <v>36</v>
      </c>
      <c r="E171" s="33" t="s">
        <v>38</v>
      </c>
      <c r="F171" s="31" t="s">
        <v>39</v>
      </c>
      <c r="G171" s="32" t="s">
        <v>40</v>
      </c>
      <c r="H171" s="33" t="s">
        <v>41</v>
      </c>
      <c r="I171" s="31" t="s">
        <v>524</v>
      </c>
      <c r="J171" s="32" t="s">
        <v>525</v>
      </c>
      <c r="K171" s="33" t="s">
        <v>526</v>
      </c>
      <c r="L171" s="31" t="s">
        <v>527</v>
      </c>
      <c r="M171" s="32" t="s">
        <v>528</v>
      </c>
      <c r="N171" s="33" t="s">
        <v>529</v>
      </c>
      <c r="O171" s="31" t="s">
        <v>576</v>
      </c>
      <c r="P171" s="32" t="s">
        <v>577</v>
      </c>
      <c r="Q171" s="33" t="s">
        <v>578</v>
      </c>
      <c r="R171" s="37" t="s">
        <v>51</v>
      </c>
      <c r="S171" s="38" t="s">
        <v>579</v>
      </c>
      <c r="T171" s="39">
        <v>-737.77</v>
      </c>
      <c r="U171" s="40"/>
      <c r="V171" s="41">
        <v>-737.77</v>
      </c>
      <c r="W171" s="33" t="s">
        <v>580</v>
      </c>
      <c r="X171" s="42">
        <v>45882</v>
      </c>
      <c r="Y171" s="43"/>
      <c r="Z171" s="33" t="s">
        <v>581</v>
      </c>
      <c r="AA171" s="44" t="s">
        <v>582</v>
      </c>
      <c r="AB171" s="32" t="s">
        <v>56</v>
      </c>
      <c r="AC171" s="56" t="s">
        <v>57</v>
      </c>
      <c r="AD171" s="33"/>
      <c r="AE171" s="47">
        <v>-737.77</v>
      </c>
      <c r="AF171" s="48" t="s">
        <v>58</v>
      </c>
      <c r="AG171" s="48" t="s">
        <v>59</v>
      </c>
      <c r="AH171" s="49" t="s">
        <v>583</v>
      </c>
      <c r="AI171" s="49" t="s">
        <v>61</v>
      </c>
      <c r="AJ171" s="50" t="s">
        <v>62</v>
      </c>
    </row>
    <row r="172" spans="1:36" ht="15.75" x14ac:dyDescent="0.25">
      <c r="A172" s="26">
        <v>18109</v>
      </c>
      <c r="B172" s="32" t="s">
        <v>36</v>
      </c>
      <c r="C172" s="31" t="s">
        <v>37</v>
      </c>
      <c r="D172" s="56" t="s">
        <v>36</v>
      </c>
      <c r="E172" s="33" t="s">
        <v>38</v>
      </c>
      <c r="F172" s="31" t="s">
        <v>39</v>
      </c>
      <c r="G172" s="32" t="s">
        <v>40</v>
      </c>
      <c r="H172" s="33" t="s">
        <v>41</v>
      </c>
      <c r="I172" s="31" t="s">
        <v>524</v>
      </c>
      <c r="J172" s="32" t="s">
        <v>525</v>
      </c>
      <c r="K172" s="33" t="s">
        <v>526</v>
      </c>
      <c r="L172" s="31" t="s">
        <v>527</v>
      </c>
      <c r="M172" s="32" t="s">
        <v>528</v>
      </c>
      <c r="N172" s="33" t="s">
        <v>529</v>
      </c>
      <c r="O172" s="31" t="s">
        <v>584</v>
      </c>
      <c r="P172" s="32" t="s">
        <v>585</v>
      </c>
      <c r="Q172" s="33" t="s">
        <v>586</v>
      </c>
      <c r="R172" s="37" t="s">
        <v>51</v>
      </c>
      <c r="S172" s="38" t="s">
        <v>587</v>
      </c>
      <c r="T172" s="39">
        <v>-3444.25</v>
      </c>
      <c r="U172" s="40"/>
      <c r="V172" s="41">
        <v>-3444.25</v>
      </c>
      <c r="W172" s="33" t="s">
        <v>588</v>
      </c>
      <c r="X172" s="42">
        <v>45888</v>
      </c>
      <c r="Y172" s="43">
        <v>45891</v>
      </c>
      <c r="Z172" s="33" t="s">
        <v>589</v>
      </c>
      <c r="AA172" s="44" t="s">
        <v>590</v>
      </c>
      <c r="AB172" s="32" t="s">
        <v>56</v>
      </c>
      <c r="AC172" s="56" t="s">
        <v>57</v>
      </c>
      <c r="AD172" s="33"/>
      <c r="AE172" s="47">
        <v>-3444.25</v>
      </c>
      <c r="AF172" s="48" t="s">
        <v>58</v>
      </c>
      <c r="AG172" s="48" t="s">
        <v>591</v>
      </c>
      <c r="AH172" s="49" t="s">
        <v>592</v>
      </c>
      <c r="AI172" s="49" t="s">
        <v>321</v>
      </c>
      <c r="AJ172" s="50" t="s">
        <v>62</v>
      </c>
    </row>
    <row r="173" spans="1:36" ht="15.75" x14ac:dyDescent="0.25">
      <c r="A173" s="26">
        <v>19336</v>
      </c>
      <c r="B173" s="32" t="s">
        <v>36</v>
      </c>
      <c r="C173" s="31" t="s">
        <v>37</v>
      </c>
      <c r="D173" s="56" t="s">
        <v>36</v>
      </c>
      <c r="E173" s="33" t="s">
        <v>38</v>
      </c>
      <c r="F173" s="31" t="s">
        <v>39</v>
      </c>
      <c r="G173" s="32" t="s">
        <v>40</v>
      </c>
      <c r="H173" s="33" t="s">
        <v>41</v>
      </c>
      <c r="I173" s="31" t="s">
        <v>524</v>
      </c>
      <c r="J173" s="32" t="s">
        <v>525</v>
      </c>
      <c r="K173" s="33" t="s">
        <v>526</v>
      </c>
      <c r="L173" s="31" t="s">
        <v>527</v>
      </c>
      <c r="M173" s="32" t="s">
        <v>528</v>
      </c>
      <c r="N173" s="33" t="s">
        <v>529</v>
      </c>
      <c r="O173" s="31" t="s">
        <v>576</v>
      </c>
      <c r="P173" s="32" t="s">
        <v>577</v>
      </c>
      <c r="Q173" s="33" t="s">
        <v>578</v>
      </c>
      <c r="R173" s="37" t="s">
        <v>51</v>
      </c>
      <c r="S173" s="38" t="s">
        <v>593</v>
      </c>
      <c r="T173" s="39">
        <v>-319.87</v>
      </c>
      <c r="U173" s="40"/>
      <c r="V173" s="41">
        <v>-319.87</v>
      </c>
      <c r="W173" s="33" t="s">
        <v>594</v>
      </c>
      <c r="X173" s="42">
        <v>45888</v>
      </c>
      <c r="Y173" s="43"/>
      <c r="Z173" s="33" t="s">
        <v>581</v>
      </c>
      <c r="AA173" s="44" t="s">
        <v>582</v>
      </c>
      <c r="AB173" s="32" t="s">
        <v>56</v>
      </c>
      <c r="AC173" s="56" t="s">
        <v>57</v>
      </c>
      <c r="AD173" s="33"/>
      <c r="AE173" s="47">
        <v>-319.87</v>
      </c>
      <c r="AF173" s="48" t="s">
        <v>58</v>
      </c>
      <c r="AG173" s="48" t="s">
        <v>59</v>
      </c>
      <c r="AH173" s="49" t="s">
        <v>583</v>
      </c>
      <c r="AI173" s="49" t="s">
        <v>61</v>
      </c>
      <c r="AJ173" s="50" t="s">
        <v>62</v>
      </c>
    </row>
    <row r="174" spans="1:36" ht="15.75" x14ac:dyDescent="0.25">
      <c r="A174" s="26">
        <v>19573</v>
      </c>
      <c r="B174" s="32" t="s">
        <v>36</v>
      </c>
      <c r="C174" s="31" t="s">
        <v>37</v>
      </c>
      <c r="D174" s="56" t="s">
        <v>36</v>
      </c>
      <c r="E174" s="33" t="s">
        <v>38</v>
      </c>
      <c r="F174" s="31" t="s">
        <v>39</v>
      </c>
      <c r="G174" s="32" t="s">
        <v>40</v>
      </c>
      <c r="H174" s="33" t="s">
        <v>41</v>
      </c>
      <c r="I174" s="31" t="s">
        <v>524</v>
      </c>
      <c r="J174" s="32" t="s">
        <v>525</v>
      </c>
      <c r="K174" s="33" t="s">
        <v>526</v>
      </c>
      <c r="L174" s="31" t="s">
        <v>527</v>
      </c>
      <c r="M174" s="32" t="s">
        <v>528</v>
      </c>
      <c r="N174" s="33" t="s">
        <v>529</v>
      </c>
      <c r="O174" s="31" t="s">
        <v>595</v>
      </c>
      <c r="P174" s="32" t="s">
        <v>596</v>
      </c>
      <c r="Q174" s="33" t="s">
        <v>597</v>
      </c>
      <c r="R174" s="37" t="s">
        <v>121</v>
      </c>
      <c r="S174" s="38" t="s">
        <v>598</v>
      </c>
      <c r="T174" s="39">
        <v>-222</v>
      </c>
      <c r="U174" s="40"/>
      <c r="V174" s="41">
        <v>-222</v>
      </c>
      <c r="W174" s="33" t="s">
        <v>599</v>
      </c>
      <c r="X174" s="42">
        <v>45895</v>
      </c>
      <c r="Y174" s="43"/>
      <c r="Z174" s="33" t="s">
        <v>600</v>
      </c>
      <c r="AA174" s="44" t="s">
        <v>601</v>
      </c>
      <c r="AB174" s="32" t="s">
        <v>56</v>
      </c>
      <c r="AC174" s="56" t="s">
        <v>57</v>
      </c>
      <c r="AD174" s="33"/>
      <c r="AE174" s="47">
        <v>-222</v>
      </c>
      <c r="AF174" s="48" t="s">
        <v>58</v>
      </c>
      <c r="AG174" s="48" t="s">
        <v>59</v>
      </c>
      <c r="AH174" s="49" t="s">
        <v>602</v>
      </c>
      <c r="AI174" s="49" t="s">
        <v>61</v>
      </c>
      <c r="AJ174" s="50" t="s">
        <v>62</v>
      </c>
    </row>
    <row r="175" spans="1:36" ht="15.75" x14ac:dyDescent="0.25">
      <c r="A175" s="26">
        <v>19663</v>
      </c>
      <c r="B175" s="32" t="s">
        <v>36</v>
      </c>
      <c r="C175" s="31" t="s">
        <v>37</v>
      </c>
      <c r="D175" s="56" t="s">
        <v>36</v>
      </c>
      <c r="E175" s="33" t="s">
        <v>38</v>
      </c>
      <c r="F175" s="31" t="s">
        <v>39</v>
      </c>
      <c r="G175" s="32" t="s">
        <v>40</v>
      </c>
      <c r="H175" s="33" t="s">
        <v>41</v>
      </c>
      <c r="I175" s="31" t="s">
        <v>524</v>
      </c>
      <c r="J175" s="32" t="s">
        <v>525</v>
      </c>
      <c r="K175" s="33" t="s">
        <v>526</v>
      </c>
      <c r="L175" s="31" t="s">
        <v>527</v>
      </c>
      <c r="M175" s="32" t="s">
        <v>528</v>
      </c>
      <c r="N175" s="33" t="s">
        <v>529</v>
      </c>
      <c r="O175" s="31" t="s">
        <v>63</v>
      </c>
      <c r="P175" s="32" t="s">
        <v>64</v>
      </c>
      <c r="Q175" s="33" t="s">
        <v>65</v>
      </c>
      <c r="R175" s="37" t="s">
        <v>51</v>
      </c>
      <c r="S175" s="38" t="s">
        <v>603</v>
      </c>
      <c r="T175" s="39">
        <v>-660</v>
      </c>
      <c r="U175" s="40"/>
      <c r="V175" s="41">
        <v>-660</v>
      </c>
      <c r="W175" s="33" t="s">
        <v>604</v>
      </c>
      <c r="X175" s="42">
        <v>45898</v>
      </c>
      <c r="Y175" s="43"/>
      <c r="Z175" s="33" t="s">
        <v>562</v>
      </c>
      <c r="AA175" s="44" t="s">
        <v>563</v>
      </c>
      <c r="AB175" s="32" t="s">
        <v>56</v>
      </c>
      <c r="AC175" s="56" t="s">
        <v>57</v>
      </c>
      <c r="AD175" s="33"/>
      <c r="AE175" s="47">
        <v>-660</v>
      </c>
      <c r="AF175" s="48" t="s">
        <v>58</v>
      </c>
      <c r="AG175" s="48" t="s">
        <v>59</v>
      </c>
      <c r="AH175" s="49" t="s">
        <v>70</v>
      </c>
      <c r="AI175" s="49" t="s">
        <v>71</v>
      </c>
      <c r="AJ175" s="50" t="s">
        <v>72</v>
      </c>
    </row>
    <row r="176" spans="1:36" ht="15.75" x14ac:dyDescent="0.25">
      <c r="A176" s="26">
        <v>20667</v>
      </c>
      <c r="B176" s="57" t="s">
        <v>36</v>
      </c>
      <c r="C176" s="58" t="s">
        <v>37</v>
      </c>
      <c r="D176" s="59" t="s">
        <v>36</v>
      </c>
      <c r="E176" s="60" t="s">
        <v>38</v>
      </c>
      <c r="F176" s="58" t="s">
        <v>39</v>
      </c>
      <c r="G176" s="57" t="s">
        <v>40</v>
      </c>
      <c r="H176" s="60" t="s">
        <v>41</v>
      </c>
      <c r="I176" s="58" t="s">
        <v>524</v>
      </c>
      <c r="J176" s="57" t="s">
        <v>525</v>
      </c>
      <c r="K176" s="60" t="s">
        <v>526</v>
      </c>
      <c r="L176" s="58" t="s">
        <v>527</v>
      </c>
      <c r="M176" s="57" t="s">
        <v>528</v>
      </c>
      <c r="N176" s="60" t="s">
        <v>529</v>
      </c>
      <c r="O176" s="58" t="s">
        <v>83</v>
      </c>
      <c r="P176" s="57" t="s">
        <v>84</v>
      </c>
      <c r="Q176" s="60" t="s">
        <v>85</v>
      </c>
      <c r="R176" s="64" t="s">
        <v>51</v>
      </c>
      <c r="S176" s="65" t="s">
        <v>605</v>
      </c>
      <c r="T176" s="66">
        <v>734.93</v>
      </c>
      <c r="U176" s="67">
        <v>-146.99</v>
      </c>
      <c r="V176" s="68">
        <v>-146.99</v>
      </c>
      <c r="W176" s="60" t="s">
        <v>606</v>
      </c>
      <c r="X176" s="69">
        <v>45901</v>
      </c>
      <c r="Y176" s="70">
        <v>45925</v>
      </c>
      <c r="Z176" s="60" t="s">
        <v>88</v>
      </c>
      <c r="AA176" s="44" t="s">
        <v>55</v>
      </c>
      <c r="AB176" s="57" t="s">
        <v>56</v>
      </c>
      <c r="AC176" s="59" t="s">
        <v>57</v>
      </c>
      <c r="AD176" s="60"/>
      <c r="AE176" s="71">
        <v>-146.99</v>
      </c>
      <c r="AF176" s="48" t="s">
        <v>58</v>
      </c>
      <c r="AG176" s="48" t="s">
        <v>59</v>
      </c>
      <c r="AH176" s="49" t="s">
        <v>89</v>
      </c>
      <c r="AI176" s="49" t="s">
        <v>61</v>
      </c>
      <c r="AJ176" s="50" t="s">
        <v>62</v>
      </c>
    </row>
    <row r="177" spans="1:36" ht="15.75" x14ac:dyDescent="0.25">
      <c r="A177" s="26">
        <v>21214</v>
      </c>
      <c r="B177" s="57" t="s">
        <v>36</v>
      </c>
      <c r="C177" s="58" t="s">
        <v>37</v>
      </c>
      <c r="D177" s="59" t="s">
        <v>36</v>
      </c>
      <c r="E177" s="60" t="s">
        <v>38</v>
      </c>
      <c r="F177" s="58" t="s">
        <v>39</v>
      </c>
      <c r="G177" s="57" t="s">
        <v>40</v>
      </c>
      <c r="H177" s="60" t="s">
        <v>41</v>
      </c>
      <c r="I177" s="58" t="s">
        <v>524</v>
      </c>
      <c r="J177" s="57" t="s">
        <v>525</v>
      </c>
      <c r="K177" s="60" t="s">
        <v>526</v>
      </c>
      <c r="L177" s="58" t="s">
        <v>527</v>
      </c>
      <c r="M177" s="57" t="s">
        <v>528</v>
      </c>
      <c r="N177" s="60" t="s">
        <v>529</v>
      </c>
      <c r="O177" s="58" t="s">
        <v>63</v>
      </c>
      <c r="P177" s="57" t="s">
        <v>64</v>
      </c>
      <c r="Q177" s="60" t="s">
        <v>65</v>
      </c>
      <c r="R177" s="64" t="s">
        <v>51</v>
      </c>
      <c r="S177" s="65" t="s">
        <v>607</v>
      </c>
      <c r="T177" s="66">
        <v>399.92</v>
      </c>
      <c r="U177" s="67">
        <v>-199.96</v>
      </c>
      <c r="V177" s="68">
        <v>-199.96</v>
      </c>
      <c r="W177" s="60" t="s">
        <v>608</v>
      </c>
      <c r="X177" s="69">
        <v>45902</v>
      </c>
      <c r="Y177" s="70">
        <v>45945</v>
      </c>
      <c r="Z177" s="60" t="s">
        <v>164</v>
      </c>
      <c r="AA177" s="44" t="s">
        <v>165</v>
      </c>
      <c r="AB177" s="57" t="s">
        <v>56</v>
      </c>
      <c r="AC177" s="59" t="s">
        <v>57</v>
      </c>
      <c r="AD177" s="60"/>
      <c r="AE177" s="71">
        <v>-199.96</v>
      </c>
      <c r="AF177" s="48" t="s">
        <v>58</v>
      </c>
      <c r="AG177" s="48" t="s">
        <v>59</v>
      </c>
      <c r="AH177" s="49" t="s">
        <v>70</v>
      </c>
      <c r="AI177" s="49" t="s">
        <v>71</v>
      </c>
      <c r="AJ177" s="50" t="s">
        <v>72</v>
      </c>
    </row>
    <row r="178" spans="1:36" ht="15.75" x14ac:dyDescent="0.25">
      <c r="A178" s="26">
        <v>20526</v>
      </c>
      <c r="B178" s="57" t="s">
        <v>36</v>
      </c>
      <c r="C178" s="58" t="s">
        <v>37</v>
      </c>
      <c r="D178" s="59" t="s">
        <v>36</v>
      </c>
      <c r="E178" s="60" t="s">
        <v>38</v>
      </c>
      <c r="F178" s="58" t="s">
        <v>39</v>
      </c>
      <c r="G178" s="57" t="s">
        <v>40</v>
      </c>
      <c r="H178" s="60" t="s">
        <v>41</v>
      </c>
      <c r="I178" s="58" t="s">
        <v>524</v>
      </c>
      <c r="J178" s="57" t="s">
        <v>525</v>
      </c>
      <c r="K178" s="60" t="s">
        <v>526</v>
      </c>
      <c r="L178" s="58" t="s">
        <v>527</v>
      </c>
      <c r="M178" s="57" t="s">
        <v>528</v>
      </c>
      <c r="N178" s="60" t="s">
        <v>529</v>
      </c>
      <c r="O178" s="58" t="s">
        <v>63</v>
      </c>
      <c r="P178" s="57" t="s">
        <v>64</v>
      </c>
      <c r="Q178" s="60" t="s">
        <v>65</v>
      </c>
      <c r="R178" s="64" t="s">
        <v>51</v>
      </c>
      <c r="S178" s="65" t="s">
        <v>609</v>
      </c>
      <c r="T178" s="66">
        <v>6500</v>
      </c>
      <c r="U178" s="67">
        <v>-6500</v>
      </c>
      <c r="V178" s="68">
        <v>-6500</v>
      </c>
      <c r="W178" s="60" t="s">
        <v>610</v>
      </c>
      <c r="X178" s="69">
        <v>45904</v>
      </c>
      <c r="Y178" s="70">
        <v>45908</v>
      </c>
      <c r="Z178" s="60" t="s">
        <v>611</v>
      </c>
      <c r="AA178" s="44" t="s">
        <v>612</v>
      </c>
      <c r="AB178" s="57" t="s">
        <v>56</v>
      </c>
      <c r="AC178" s="59" t="s">
        <v>57</v>
      </c>
      <c r="AD178" s="60"/>
      <c r="AE178" s="71">
        <v>-6500</v>
      </c>
      <c r="AF178" s="48" t="s">
        <v>58</v>
      </c>
      <c r="AG178" s="48" t="s">
        <v>59</v>
      </c>
      <c r="AH178" s="49" t="s">
        <v>70</v>
      </c>
      <c r="AI178" s="49" t="s">
        <v>71</v>
      </c>
      <c r="AJ178" s="50" t="s">
        <v>72</v>
      </c>
    </row>
    <row r="179" spans="1:36" ht="15.75" x14ac:dyDescent="0.25">
      <c r="A179" s="26">
        <v>20931</v>
      </c>
      <c r="B179" s="57" t="s">
        <v>36</v>
      </c>
      <c r="C179" s="58" t="s">
        <v>37</v>
      </c>
      <c r="D179" s="59" t="s">
        <v>36</v>
      </c>
      <c r="E179" s="60" t="s">
        <v>38</v>
      </c>
      <c r="F179" s="58" t="s">
        <v>39</v>
      </c>
      <c r="G179" s="57" t="s">
        <v>40</v>
      </c>
      <c r="H179" s="60" t="s">
        <v>41</v>
      </c>
      <c r="I179" s="58" t="s">
        <v>524</v>
      </c>
      <c r="J179" s="57" t="s">
        <v>525</v>
      </c>
      <c r="K179" s="60" t="s">
        <v>526</v>
      </c>
      <c r="L179" s="58" t="s">
        <v>527</v>
      </c>
      <c r="M179" s="57" t="s">
        <v>528</v>
      </c>
      <c r="N179" s="60" t="s">
        <v>529</v>
      </c>
      <c r="O179" s="58" t="s">
        <v>63</v>
      </c>
      <c r="P179" s="57" t="s">
        <v>64</v>
      </c>
      <c r="Q179" s="60" t="s">
        <v>65</v>
      </c>
      <c r="R179" s="64" t="s">
        <v>51</v>
      </c>
      <c r="S179" s="65" t="s">
        <v>613</v>
      </c>
      <c r="T179" s="66">
        <v>330</v>
      </c>
      <c r="U179" s="67">
        <v>-330</v>
      </c>
      <c r="V179" s="68">
        <v>-330</v>
      </c>
      <c r="W179" s="60" t="s">
        <v>614</v>
      </c>
      <c r="X179" s="69">
        <v>45904</v>
      </c>
      <c r="Y179" s="70">
        <v>45925</v>
      </c>
      <c r="Z179" s="60" t="s">
        <v>615</v>
      </c>
      <c r="AA179" s="44" t="s">
        <v>616</v>
      </c>
      <c r="AB179" s="57" t="s">
        <v>56</v>
      </c>
      <c r="AC179" s="59" t="s">
        <v>57</v>
      </c>
      <c r="AD179" s="60"/>
      <c r="AE179" s="71">
        <v>-330</v>
      </c>
      <c r="AF179" s="48" t="s">
        <v>58</v>
      </c>
      <c r="AG179" s="48" t="s">
        <v>59</v>
      </c>
      <c r="AH179" s="49" t="s">
        <v>70</v>
      </c>
      <c r="AI179" s="49" t="s">
        <v>71</v>
      </c>
      <c r="AJ179" s="50" t="s">
        <v>72</v>
      </c>
    </row>
    <row r="180" spans="1:36" ht="15.75" x14ac:dyDescent="0.25">
      <c r="A180" s="26">
        <v>20991</v>
      </c>
      <c r="B180" s="57" t="s">
        <v>36</v>
      </c>
      <c r="C180" s="58" t="s">
        <v>37</v>
      </c>
      <c r="D180" s="59" t="s">
        <v>36</v>
      </c>
      <c r="E180" s="60" t="s">
        <v>38</v>
      </c>
      <c r="F180" s="58" t="s">
        <v>39</v>
      </c>
      <c r="G180" s="57" t="s">
        <v>40</v>
      </c>
      <c r="H180" s="60" t="s">
        <v>41</v>
      </c>
      <c r="I180" s="58" t="s">
        <v>524</v>
      </c>
      <c r="J180" s="57" t="s">
        <v>525</v>
      </c>
      <c r="K180" s="60" t="s">
        <v>526</v>
      </c>
      <c r="L180" s="58" t="s">
        <v>527</v>
      </c>
      <c r="M180" s="57" t="s">
        <v>528</v>
      </c>
      <c r="N180" s="60" t="s">
        <v>529</v>
      </c>
      <c r="O180" s="58" t="s">
        <v>63</v>
      </c>
      <c r="P180" s="57" t="s">
        <v>64</v>
      </c>
      <c r="Q180" s="60" t="s">
        <v>65</v>
      </c>
      <c r="R180" s="64" t="s">
        <v>51</v>
      </c>
      <c r="S180" s="65" t="s">
        <v>617</v>
      </c>
      <c r="T180" s="66">
        <v>56000.1</v>
      </c>
      <c r="U180" s="67">
        <v>-18664.830000000002</v>
      </c>
      <c r="V180" s="68">
        <v>-18664.830000000002</v>
      </c>
      <c r="W180" s="60" t="s">
        <v>618</v>
      </c>
      <c r="X180" s="69">
        <v>45904</v>
      </c>
      <c r="Y180" s="70">
        <v>45934</v>
      </c>
      <c r="Z180" s="60" t="s">
        <v>619</v>
      </c>
      <c r="AA180" s="44" t="s">
        <v>620</v>
      </c>
      <c r="AB180" s="57" t="s">
        <v>56</v>
      </c>
      <c r="AC180" s="59" t="s">
        <v>57</v>
      </c>
      <c r="AD180" s="60"/>
      <c r="AE180" s="71">
        <v>-18664.830000000002</v>
      </c>
      <c r="AF180" s="48" t="s">
        <v>58</v>
      </c>
      <c r="AG180" s="48" t="s">
        <v>59</v>
      </c>
      <c r="AH180" s="49" t="s">
        <v>70</v>
      </c>
      <c r="AI180" s="49" t="s">
        <v>71</v>
      </c>
      <c r="AJ180" s="50" t="s">
        <v>72</v>
      </c>
    </row>
    <row r="181" spans="1:36" ht="15.75" x14ac:dyDescent="0.25">
      <c r="A181" s="26">
        <v>20992</v>
      </c>
      <c r="B181" s="32" t="s">
        <v>36</v>
      </c>
      <c r="C181" s="31" t="s">
        <v>37</v>
      </c>
      <c r="D181" s="56" t="s">
        <v>36</v>
      </c>
      <c r="E181" s="33" t="s">
        <v>38</v>
      </c>
      <c r="F181" s="31" t="s">
        <v>39</v>
      </c>
      <c r="G181" s="32" t="s">
        <v>40</v>
      </c>
      <c r="H181" s="33" t="s">
        <v>41</v>
      </c>
      <c r="I181" s="31" t="s">
        <v>524</v>
      </c>
      <c r="J181" s="32" t="s">
        <v>525</v>
      </c>
      <c r="K181" s="33" t="s">
        <v>526</v>
      </c>
      <c r="L181" s="31" t="s">
        <v>527</v>
      </c>
      <c r="M181" s="32" t="s">
        <v>528</v>
      </c>
      <c r="N181" s="33" t="s">
        <v>529</v>
      </c>
      <c r="O181" s="58" t="s">
        <v>63</v>
      </c>
      <c r="P181" s="57" t="s">
        <v>64</v>
      </c>
      <c r="Q181" s="60" t="s">
        <v>65</v>
      </c>
      <c r="R181" s="64" t="s">
        <v>51</v>
      </c>
      <c r="S181" s="65" t="s">
        <v>617</v>
      </c>
      <c r="T181" s="66">
        <v>56000.1</v>
      </c>
      <c r="U181" s="67">
        <v>-18670.439999999999</v>
      </c>
      <c r="V181" s="68">
        <v>-18670.439999999999</v>
      </c>
      <c r="W181" s="60" t="s">
        <v>618</v>
      </c>
      <c r="X181" s="69">
        <v>45904</v>
      </c>
      <c r="Y181" s="70">
        <v>45994</v>
      </c>
      <c r="Z181" s="60" t="s">
        <v>619</v>
      </c>
      <c r="AA181" s="44" t="s">
        <v>620</v>
      </c>
      <c r="AB181" s="57" t="s">
        <v>56</v>
      </c>
      <c r="AC181" s="59" t="s">
        <v>57</v>
      </c>
      <c r="AD181" s="60"/>
      <c r="AE181" s="71">
        <v>-18670.439999999999</v>
      </c>
      <c r="AF181" s="48" t="s">
        <v>58</v>
      </c>
      <c r="AG181" s="48" t="s">
        <v>59</v>
      </c>
      <c r="AH181" s="49" t="s">
        <v>70</v>
      </c>
      <c r="AI181" s="49" t="s">
        <v>71</v>
      </c>
      <c r="AJ181" s="50" t="s">
        <v>72</v>
      </c>
    </row>
    <row r="182" spans="1:36" ht="15.75" x14ac:dyDescent="0.25">
      <c r="A182" s="26">
        <v>21024</v>
      </c>
      <c r="B182" s="57" t="s">
        <v>36</v>
      </c>
      <c r="C182" s="58" t="s">
        <v>37</v>
      </c>
      <c r="D182" s="59" t="s">
        <v>36</v>
      </c>
      <c r="E182" s="60" t="s">
        <v>38</v>
      </c>
      <c r="F182" s="58" t="s">
        <v>39</v>
      </c>
      <c r="G182" s="57" t="s">
        <v>40</v>
      </c>
      <c r="H182" s="60" t="s">
        <v>41</v>
      </c>
      <c r="I182" s="58" t="s">
        <v>524</v>
      </c>
      <c r="J182" s="57" t="s">
        <v>525</v>
      </c>
      <c r="K182" s="60" t="s">
        <v>526</v>
      </c>
      <c r="L182" s="58" t="s">
        <v>527</v>
      </c>
      <c r="M182" s="57" t="s">
        <v>528</v>
      </c>
      <c r="N182" s="60" t="s">
        <v>529</v>
      </c>
      <c r="O182" s="58" t="s">
        <v>63</v>
      </c>
      <c r="P182" s="57" t="s">
        <v>64</v>
      </c>
      <c r="Q182" s="60" t="s">
        <v>65</v>
      </c>
      <c r="R182" s="64" t="s">
        <v>51</v>
      </c>
      <c r="S182" s="65" t="s">
        <v>617</v>
      </c>
      <c r="T182" s="66">
        <v>56000.1</v>
      </c>
      <c r="U182" s="67">
        <v>-18664.830000000002</v>
      </c>
      <c r="V182" s="68">
        <v>-18664.830000000002</v>
      </c>
      <c r="W182" s="60" t="s">
        <v>618</v>
      </c>
      <c r="X182" s="69">
        <v>45904</v>
      </c>
      <c r="Y182" s="70">
        <v>45964</v>
      </c>
      <c r="Z182" s="60" t="s">
        <v>619</v>
      </c>
      <c r="AA182" s="44" t="s">
        <v>620</v>
      </c>
      <c r="AB182" s="57" t="s">
        <v>56</v>
      </c>
      <c r="AC182" s="59" t="s">
        <v>57</v>
      </c>
      <c r="AD182" s="60"/>
      <c r="AE182" s="71">
        <v>-18664.830000000002</v>
      </c>
      <c r="AF182" s="48" t="s">
        <v>58</v>
      </c>
      <c r="AG182" s="48" t="s">
        <v>59</v>
      </c>
      <c r="AH182" s="49" t="s">
        <v>70</v>
      </c>
      <c r="AI182" s="49" t="s">
        <v>71</v>
      </c>
      <c r="AJ182" s="50" t="s">
        <v>72</v>
      </c>
    </row>
    <row r="183" spans="1:36" ht="15.75" x14ac:dyDescent="0.25">
      <c r="A183" s="26">
        <v>20987</v>
      </c>
      <c r="B183" s="57" t="s">
        <v>36</v>
      </c>
      <c r="C183" s="58" t="s">
        <v>37</v>
      </c>
      <c r="D183" s="59" t="s">
        <v>36</v>
      </c>
      <c r="E183" s="60" t="s">
        <v>38</v>
      </c>
      <c r="F183" s="58" t="s">
        <v>39</v>
      </c>
      <c r="G183" s="57" t="s">
        <v>40</v>
      </c>
      <c r="H183" s="60" t="s">
        <v>41</v>
      </c>
      <c r="I183" s="58" t="s">
        <v>524</v>
      </c>
      <c r="J183" s="57" t="s">
        <v>525</v>
      </c>
      <c r="K183" s="60" t="s">
        <v>526</v>
      </c>
      <c r="L183" s="58" t="s">
        <v>527</v>
      </c>
      <c r="M183" s="57" t="s">
        <v>528</v>
      </c>
      <c r="N183" s="60" t="s">
        <v>529</v>
      </c>
      <c r="O183" s="58" t="s">
        <v>83</v>
      </c>
      <c r="P183" s="57" t="s">
        <v>84</v>
      </c>
      <c r="Q183" s="60" t="s">
        <v>85</v>
      </c>
      <c r="R183" s="64" t="s">
        <v>51</v>
      </c>
      <c r="S183" s="65" t="s">
        <v>621</v>
      </c>
      <c r="T183" s="66">
        <v>3850</v>
      </c>
      <c r="U183" s="67">
        <v>-3850</v>
      </c>
      <c r="V183" s="68">
        <v>-3850</v>
      </c>
      <c r="W183" s="60" t="s">
        <v>622</v>
      </c>
      <c r="X183" s="69">
        <v>45904</v>
      </c>
      <c r="Y183" s="70">
        <v>45936</v>
      </c>
      <c r="Z183" s="60" t="s">
        <v>623</v>
      </c>
      <c r="AA183" s="44" t="s">
        <v>624</v>
      </c>
      <c r="AB183" s="57" t="s">
        <v>56</v>
      </c>
      <c r="AC183" s="59" t="s">
        <v>57</v>
      </c>
      <c r="AD183" s="60"/>
      <c r="AE183" s="71">
        <v>-3850</v>
      </c>
      <c r="AF183" s="48" t="s">
        <v>58</v>
      </c>
      <c r="AG183" s="48" t="s">
        <v>59</v>
      </c>
      <c r="AH183" s="49" t="s">
        <v>89</v>
      </c>
      <c r="AI183" s="49" t="s">
        <v>61</v>
      </c>
      <c r="AJ183" s="50" t="s">
        <v>62</v>
      </c>
    </row>
    <row r="184" spans="1:36" ht="15.75" x14ac:dyDescent="0.25">
      <c r="A184" s="26">
        <v>20990</v>
      </c>
      <c r="B184" s="57" t="s">
        <v>36</v>
      </c>
      <c r="C184" s="58" t="s">
        <v>37</v>
      </c>
      <c r="D184" s="59" t="s">
        <v>36</v>
      </c>
      <c r="E184" s="60" t="s">
        <v>38</v>
      </c>
      <c r="F184" s="58" t="s">
        <v>39</v>
      </c>
      <c r="G184" s="57" t="s">
        <v>40</v>
      </c>
      <c r="H184" s="60" t="s">
        <v>41</v>
      </c>
      <c r="I184" s="58" t="s">
        <v>524</v>
      </c>
      <c r="J184" s="57" t="s">
        <v>525</v>
      </c>
      <c r="K184" s="60" t="s">
        <v>526</v>
      </c>
      <c r="L184" s="58" t="s">
        <v>527</v>
      </c>
      <c r="M184" s="57" t="s">
        <v>528</v>
      </c>
      <c r="N184" s="60" t="s">
        <v>529</v>
      </c>
      <c r="O184" s="58" t="s">
        <v>576</v>
      </c>
      <c r="P184" s="57" t="s">
        <v>577</v>
      </c>
      <c r="Q184" s="60" t="s">
        <v>578</v>
      </c>
      <c r="R184" s="64" t="s">
        <v>51</v>
      </c>
      <c r="S184" s="65" t="s">
        <v>625</v>
      </c>
      <c r="T184" s="66">
        <v>737.77</v>
      </c>
      <c r="U184" s="67">
        <v>-737.77</v>
      </c>
      <c r="V184" s="68">
        <v>-737.77</v>
      </c>
      <c r="W184" s="60" t="s">
        <v>626</v>
      </c>
      <c r="X184" s="69">
        <v>45904</v>
      </c>
      <c r="Y184" s="70">
        <v>45945</v>
      </c>
      <c r="Z184" s="60" t="s">
        <v>581</v>
      </c>
      <c r="AA184" s="44" t="s">
        <v>582</v>
      </c>
      <c r="AB184" s="57" t="s">
        <v>56</v>
      </c>
      <c r="AC184" s="59" t="s">
        <v>57</v>
      </c>
      <c r="AD184" s="60"/>
      <c r="AE184" s="71">
        <v>-737.77</v>
      </c>
      <c r="AF184" s="48" t="s">
        <v>58</v>
      </c>
      <c r="AG184" s="48" t="s">
        <v>59</v>
      </c>
      <c r="AH184" s="49" t="s">
        <v>583</v>
      </c>
      <c r="AI184" s="49" t="s">
        <v>61</v>
      </c>
      <c r="AJ184" s="50" t="s">
        <v>62</v>
      </c>
    </row>
    <row r="185" spans="1:36" ht="15.75" x14ac:dyDescent="0.25">
      <c r="A185" s="26">
        <v>21306</v>
      </c>
      <c r="B185" s="57" t="s">
        <v>36</v>
      </c>
      <c r="C185" s="58" t="s">
        <v>37</v>
      </c>
      <c r="D185" s="59" t="s">
        <v>36</v>
      </c>
      <c r="E185" s="60" t="s">
        <v>38</v>
      </c>
      <c r="F185" s="58" t="s">
        <v>39</v>
      </c>
      <c r="G185" s="57" t="s">
        <v>40</v>
      </c>
      <c r="H185" s="60" t="s">
        <v>41</v>
      </c>
      <c r="I185" s="58" t="s">
        <v>524</v>
      </c>
      <c r="J185" s="57" t="s">
        <v>525</v>
      </c>
      <c r="K185" s="60" t="s">
        <v>526</v>
      </c>
      <c r="L185" s="58" t="s">
        <v>527</v>
      </c>
      <c r="M185" s="57" t="s">
        <v>528</v>
      </c>
      <c r="N185" s="60" t="s">
        <v>529</v>
      </c>
      <c r="O185" s="58" t="s">
        <v>63</v>
      </c>
      <c r="P185" s="57" t="s">
        <v>64</v>
      </c>
      <c r="Q185" s="60" t="s">
        <v>65</v>
      </c>
      <c r="R185" s="64" t="s">
        <v>51</v>
      </c>
      <c r="S185" s="65" t="s">
        <v>627</v>
      </c>
      <c r="T185" s="66">
        <v>2750</v>
      </c>
      <c r="U185" s="67">
        <v>-2750</v>
      </c>
      <c r="V185" s="68">
        <v>-2750</v>
      </c>
      <c r="W185" s="60" t="s">
        <v>628</v>
      </c>
      <c r="X185" s="69">
        <v>45908</v>
      </c>
      <c r="Y185" s="70">
        <v>45915</v>
      </c>
      <c r="Z185" s="60" t="s">
        <v>629</v>
      </c>
      <c r="AA185" s="44" t="s">
        <v>630</v>
      </c>
      <c r="AB185" s="57" t="s">
        <v>56</v>
      </c>
      <c r="AC185" s="59" t="s">
        <v>57</v>
      </c>
      <c r="AD185" s="60"/>
      <c r="AE185" s="71">
        <v>-2750</v>
      </c>
      <c r="AF185" s="48" t="s">
        <v>58</v>
      </c>
      <c r="AG185" s="48" t="s">
        <v>59</v>
      </c>
      <c r="AH185" s="49" t="s">
        <v>70</v>
      </c>
      <c r="AI185" s="49" t="s">
        <v>71</v>
      </c>
      <c r="AJ185" s="50" t="s">
        <v>72</v>
      </c>
    </row>
    <row r="186" spans="1:36" ht="15.75" x14ac:dyDescent="0.25">
      <c r="A186" s="26">
        <v>20913</v>
      </c>
      <c r="B186" s="57" t="s">
        <v>36</v>
      </c>
      <c r="C186" s="58" t="s">
        <v>37</v>
      </c>
      <c r="D186" s="59" t="s">
        <v>36</v>
      </c>
      <c r="E186" s="60" t="s">
        <v>38</v>
      </c>
      <c r="F186" s="58" t="s">
        <v>39</v>
      </c>
      <c r="G186" s="57" t="s">
        <v>40</v>
      </c>
      <c r="H186" s="60" t="s">
        <v>41</v>
      </c>
      <c r="I186" s="58" t="s">
        <v>524</v>
      </c>
      <c r="J186" s="57" t="s">
        <v>525</v>
      </c>
      <c r="K186" s="60" t="s">
        <v>526</v>
      </c>
      <c r="L186" s="58" t="s">
        <v>527</v>
      </c>
      <c r="M186" s="57" t="s">
        <v>528</v>
      </c>
      <c r="N186" s="60" t="s">
        <v>529</v>
      </c>
      <c r="O186" s="31" t="s">
        <v>63</v>
      </c>
      <c r="P186" s="32" t="s">
        <v>64</v>
      </c>
      <c r="Q186" s="33" t="s">
        <v>65</v>
      </c>
      <c r="R186" s="64" t="s">
        <v>51</v>
      </c>
      <c r="S186" s="65" t="s">
        <v>631</v>
      </c>
      <c r="T186" s="66">
        <v>1562.48</v>
      </c>
      <c r="U186" s="67">
        <v>-1562.48</v>
      </c>
      <c r="V186" s="68">
        <v>-1562.48</v>
      </c>
      <c r="W186" s="60" t="s">
        <v>632</v>
      </c>
      <c r="X186" s="69">
        <v>45912</v>
      </c>
      <c r="Y186" s="70">
        <v>45945</v>
      </c>
      <c r="Z186" s="60" t="s">
        <v>79</v>
      </c>
      <c r="AA186" s="44" t="s">
        <v>80</v>
      </c>
      <c r="AB186" s="57" t="s">
        <v>56</v>
      </c>
      <c r="AC186" s="59" t="s">
        <v>57</v>
      </c>
      <c r="AD186" s="60"/>
      <c r="AE186" s="71">
        <v>-1562.48</v>
      </c>
      <c r="AF186" s="48" t="s">
        <v>58</v>
      </c>
      <c r="AG186" s="48" t="s">
        <v>59</v>
      </c>
      <c r="AH186" s="49" t="s">
        <v>70</v>
      </c>
      <c r="AI186" s="49" t="s">
        <v>71</v>
      </c>
      <c r="AJ186" s="50" t="s">
        <v>72</v>
      </c>
    </row>
    <row r="187" spans="1:36" ht="15.75" x14ac:dyDescent="0.25">
      <c r="A187" s="26">
        <v>21218</v>
      </c>
      <c r="B187" s="57" t="s">
        <v>36</v>
      </c>
      <c r="C187" s="58" t="s">
        <v>37</v>
      </c>
      <c r="D187" s="59" t="s">
        <v>36</v>
      </c>
      <c r="E187" s="60" t="s">
        <v>38</v>
      </c>
      <c r="F187" s="58" t="s">
        <v>39</v>
      </c>
      <c r="G187" s="57" t="s">
        <v>40</v>
      </c>
      <c r="H187" s="60" t="s">
        <v>41</v>
      </c>
      <c r="I187" s="58" t="s">
        <v>524</v>
      </c>
      <c r="J187" s="57" t="s">
        <v>525</v>
      </c>
      <c r="K187" s="60" t="s">
        <v>526</v>
      </c>
      <c r="L187" s="58" t="s">
        <v>527</v>
      </c>
      <c r="M187" s="57" t="s">
        <v>528</v>
      </c>
      <c r="N187" s="60" t="s">
        <v>529</v>
      </c>
      <c r="O187" s="58" t="s">
        <v>63</v>
      </c>
      <c r="P187" s="57" t="s">
        <v>64</v>
      </c>
      <c r="Q187" s="60" t="s">
        <v>65</v>
      </c>
      <c r="R187" s="64" t="s">
        <v>51</v>
      </c>
      <c r="S187" s="65" t="s">
        <v>633</v>
      </c>
      <c r="T187" s="66">
        <v>361.21</v>
      </c>
      <c r="U187" s="67">
        <v>-361.21</v>
      </c>
      <c r="V187" s="68">
        <v>-361.21</v>
      </c>
      <c r="W187" s="60" t="s">
        <v>634</v>
      </c>
      <c r="X187" s="69">
        <v>45912</v>
      </c>
      <c r="Y187" s="70">
        <v>45942</v>
      </c>
      <c r="Z187" s="60" t="s">
        <v>164</v>
      </c>
      <c r="AA187" s="44" t="s">
        <v>165</v>
      </c>
      <c r="AB187" s="57" t="s">
        <v>56</v>
      </c>
      <c r="AC187" s="59" t="s">
        <v>57</v>
      </c>
      <c r="AD187" s="60"/>
      <c r="AE187" s="71">
        <v>-361.21</v>
      </c>
      <c r="AF187" s="48" t="s">
        <v>58</v>
      </c>
      <c r="AG187" s="48" t="s">
        <v>59</v>
      </c>
      <c r="AH187" s="49" t="s">
        <v>70</v>
      </c>
      <c r="AI187" s="49" t="s">
        <v>71</v>
      </c>
      <c r="AJ187" s="50" t="s">
        <v>72</v>
      </c>
    </row>
    <row r="188" spans="1:36" ht="15.75" x14ac:dyDescent="0.25">
      <c r="A188" s="26">
        <v>21420</v>
      </c>
      <c r="B188" s="57" t="s">
        <v>36</v>
      </c>
      <c r="C188" s="58" t="s">
        <v>37</v>
      </c>
      <c r="D188" s="59" t="s">
        <v>36</v>
      </c>
      <c r="E188" s="60" t="s">
        <v>38</v>
      </c>
      <c r="F188" s="58" t="s">
        <v>39</v>
      </c>
      <c r="G188" s="57" t="s">
        <v>40</v>
      </c>
      <c r="H188" s="60" t="s">
        <v>41</v>
      </c>
      <c r="I188" s="58" t="s">
        <v>524</v>
      </c>
      <c r="J188" s="57" t="s">
        <v>525</v>
      </c>
      <c r="K188" s="60" t="s">
        <v>526</v>
      </c>
      <c r="L188" s="58" t="s">
        <v>527</v>
      </c>
      <c r="M188" s="57" t="s">
        <v>528</v>
      </c>
      <c r="N188" s="60" t="s">
        <v>529</v>
      </c>
      <c r="O188" s="58" t="s">
        <v>63</v>
      </c>
      <c r="P188" s="57" t="s">
        <v>64</v>
      </c>
      <c r="Q188" s="60" t="s">
        <v>65</v>
      </c>
      <c r="R188" s="64" t="s">
        <v>51</v>
      </c>
      <c r="S188" s="65" t="s">
        <v>635</v>
      </c>
      <c r="T188" s="66">
        <v>1020</v>
      </c>
      <c r="U188" s="67">
        <v>-1020</v>
      </c>
      <c r="V188" s="68">
        <v>-1020</v>
      </c>
      <c r="W188" s="60" t="s">
        <v>636</v>
      </c>
      <c r="X188" s="69">
        <v>45915</v>
      </c>
      <c r="Y188" s="70">
        <v>45936</v>
      </c>
      <c r="Z188" s="60" t="s">
        <v>540</v>
      </c>
      <c r="AA188" s="44" t="s">
        <v>541</v>
      </c>
      <c r="AB188" s="57" t="s">
        <v>56</v>
      </c>
      <c r="AC188" s="59" t="s">
        <v>57</v>
      </c>
      <c r="AD188" s="60"/>
      <c r="AE188" s="71">
        <v>-1020</v>
      </c>
      <c r="AF188" s="48" t="s">
        <v>58</v>
      </c>
      <c r="AG188" s="48" t="s">
        <v>59</v>
      </c>
      <c r="AH188" s="49" t="s">
        <v>70</v>
      </c>
      <c r="AI188" s="49" t="s">
        <v>71</v>
      </c>
      <c r="AJ188" s="50" t="s">
        <v>72</v>
      </c>
    </row>
    <row r="189" spans="1:36" ht="15.75" x14ac:dyDescent="0.25">
      <c r="A189" s="26">
        <v>21263</v>
      </c>
      <c r="B189" s="57" t="s">
        <v>36</v>
      </c>
      <c r="C189" s="58" t="s">
        <v>37</v>
      </c>
      <c r="D189" s="59" t="s">
        <v>36</v>
      </c>
      <c r="E189" s="60" t="s">
        <v>38</v>
      </c>
      <c r="F189" s="58" t="s">
        <v>39</v>
      </c>
      <c r="G189" s="57" t="s">
        <v>40</v>
      </c>
      <c r="H189" s="60" t="s">
        <v>41</v>
      </c>
      <c r="I189" s="58" t="s">
        <v>524</v>
      </c>
      <c r="J189" s="57" t="s">
        <v>525</v>
      </c>
      <c r="K189" s="60" t="s">
        <v>526</v>
      </c>
      <c r="L189" s="58" t="s">
        <v>527</v>
      </c>
      <c r="M189" s="57" t="s">
        <v>528</v>
      </c>
      <c r="N189" s="60" t="s">
        <v>529</v>
      </c>
      <c r="O189" s="58" t="s">
        <v>63</v>
      </c>
      <c r="P189" s="57" t="s">
        <v>64</v>
      </c>
      <c r="Q189" s="60" t="s">
        <v>65</v>
      </c>
      <c r="R189" s="64" t="s">
        <v>51</v>
      </c>
      <c r="S189" s="65" t="s">
        <v>637</v>
      </c>
      <c r="T189" s="66">
        <v>3500</v>
      </c>
      <c r="U189" s="67">
        <v>-875</v>
      </c>
      <c r="V189" s="68">
        <v>-875</v>
      </c>
      <c r="W189" s="60" t="s">
        <v>638</v>
      </c>
      <c r="X189" s="69">
        <v>45916</v>
      </c>
      <c r="Y189" s="70">
        <v>45925</v>
      </c>
      <c r="Z189" s="60" t="s">
        <v>639</v>
      </c>
      <c r="AA189" s="44" t="s">
        <v>640</v>
      </c>
      <c r="AB189" s="57" t="s">
        <v>56</v>
      </c>
      <c r="AC189" s="59" t="s">
        <v>57</v>
      </c>
      <c r="AD189" s="60"/>
      <c r="AE189" s="71">
        <v>-875</v>
      </c>
      <c r="AF189" s="48" t="s">
        <v>58</v>
      </c>
      <c r="AG189" s="48" t="s">
        <v>59</v>
      </c>
      <c r="AH189" s="49" t="s">
        <v>70</v>
      </c>
      <c r="AI189" s="49" t="s">
        <v>71</v>
      </c>
      <c r="AJ189" s="50" t="s">
        <v>72</v>
      </c>
    </row>
    <row r="190" spans="1:36" ht="15.75" x14ac:dyDescent="0.25">
      <c r="A190" s="26">
        <v>20557</v>
      </c>
      <c r="B190" s="57" t="s">
        <v>36</v>
      </c>
      <c r="C190" s="58" t="s">
        <v>37</v>
      </c>
      <c r="D190" s="59" t="s">
        <v>36</v>
      </c>
      <c r="E190" s="60" t="s">
        <v>38</v>
      </c>
      <c r="F190" s="58" t="s">
        <v>39</v>
      </c>
      <c r="G190" s="57" t="s">
        <v>40</v>
      </c>
      <c r="H190" s="60" t="s">
        <v>41</v>
      </c>
      <c r="I190" s="58" t="s">
        <v>524</v>
      </c>
      <c r="J190" s="57" t="s">
        <v>525</v>
      </c>
      <c r="K190" s="60" t="s">
        <v>526</v>
      </c>
      <c r="L190" s="58" t="s">
        <v>527</v>
      </c>
      <c r="M190" s="57" t="s">
        <v>528</v>
      </c>
      <c r="N190" s="60" t="s">
        <v>529</v>
      </c>
      <c r="O190" s="58" t="s">
        <v>63</v>
      </c>
      <c r="P190" s="57" t="s">
        <v>64</v>
      </c>
      <c r="Q190" s="60" t="s">
        <v>65</v>
      </c>
      <c r="R190" s="64" t="s">
        <v>51</v>
      </c>
      <c r="S190" s="65" t="s">
        <v>641</v>
      </c>
      <c r="T190" s="66">
        <v>1200</v>
      </c>
      <c r="U190" s="67">
        <v>-600</v>
      </c>
      <c r="V190" s="68">
        <v>-600</v>
      </c>
      <c r="W190" s="60" t="s">
        <v>642</v>
      </c>
      <c r="X190" s="69">
        <v>45917</v>
      </c>
      <c r="Y190" s="70">
        <v>45925</v>
      </c>
      <c r="Z190" s="60" t="s">
        <v>643</v>
      </c>
      <c r="AA190" s="44" t="s">
        <v>644</v>
      </c>
      <c r="AB190" s="57" t="s">
        <v>56</v>
      </c>
      <c r="AC190" s="59" t="s">
        <v>57</v>
      </c>
      <c r="AD190" s="60"/>
      <c r="AE190" s="71">
        <v>-600</v>
      </c>
      <c r="AF190" s="48" t="s">
        <v>58</v>
      </c>
      <c r="AG190" s="48" t="s">
        <v>59</v>
      </c>
      <c r="AH190" s="49" t="s">
        <v>70</v>
      </c>
      <c r="AI190" s="49" t="s">
        <v>71</v>
      </c>
      <c r="AJ190" s="50" t="s">
        <v>72</v>
      </c>
    </row>
    <row r="191" spans="1:36" ht="15.75" x14ac:dyDescent="0.25">
      <c r="A191" s="26">
        <v>20896</v>
      </c>
      <c r="B191" s="57" t="s">
        <v>36</v>
      </c>
      <c r="C191" s="58" t="s">
        <v>37</v>
      </c>
      <c r="D191" s="59" t="s">
        <v>36</v>
      </c>
      <c r="E191" s="60" t="s">
        <v>38</v>
      </c>
      <c r="F191" s="58" t="s">
        <v>39</v>
      </c>
      <c r="G191" s="57" t="s">
        <v>40</v>
      </c>
      <c r="H191" s="60" t="s">
        <v>41</v>
      </c>
      <c r="I191" s="58" t="s">
        <v>524</v>
      </c>
      <c r="J191" s="57" t="s">
        <v>525</v>
      </c>
      <c r="K191" s="60" t="s">
        <v>526</v>
      </c>
      <c r="L191" s="58" t="s">
        <v>527</v>
      </c>
      <c r="M191" s="57" t="s">
        <v>528</v>
      </c>
      <c r="N191" s="60" t="s">
        <v>529</v>
      </c>
      <c r="O191" s="58" t="s">
        <v>63</v>
      </c>
      <c r="P191" s="57" t="s">
        <v>64</v>
      </c>
      <c r="Q191" s="60" t="s">
        <v>65</v>
      </c>
      <c r="R191" s="64" t="s">
        <v>121</v>
      </c>
      <c r="S191" s="65" t="s">
        <v>645</v>
      </c>
      <c r="T191" s="66">
        <v>895</v>
      </c>
      <c r="U191" s="67">
        <v>-895</v>
      </c>
      <c r="V191" s="68">
        <v>-895</v>
      </c>
      <c r="W191" s="60" t="s">
        <v>646</v>
      </c>
      <c r="X191" s="69">
        <v>45917</v>
      </c>
      <c r="Y191" s="70">
        <v>45917</v>
      </c>
      <c r="Z191" s="60" t="s">
        <v>647</v>
      </c>
      <c r="AA191" s="44" t="s">
        <v>648</v>
      </c>
      <c r="AB191" s="57" t="s">
        <v>56</v>
      </c>
      <c r="AC191" s="59" t="s">
        <v>57</v>
      </c>
      <c r="AD191" s="60"/>
      <c r="AE191" s="71">
        <v>-895</v>
      </c>
      <c r="AF191" s="48" t="s">
        <v>58</v>
      </c>
      <c r="AG191" s="48" t="s">
        <v>59</v>
      </c>
      <c r="AH191" s="49" t="s">
        <v>70</v>
      </c>
      <c r="AI191" s="49" t="s">
        <v>71</v>
      </c>
      <c r="AJ191" s="50" t="s">
        <v>72</v>
      </c>
    </row>
    <row r="192" spans="1:36" ht="15.75" x14ac:dyDescent="0.25">
      <c r="A192" s="26">
        <v>21054</v>
      </c>
      <c r="B192" s="57" t="s">
        <v>36</v>
      </c>
      <c r="C192" s="58" t="s">
        <v>37</v>
      </c>
      <c r="D192" s="59" t="s">
        <v>36</v>
      </c>
      <c r="E192" s="60" t="s">
        <v>38</v>
      </c>
      <c r="F192" s="58" t="s">
        <v>39</v>
      </c>
      <c r="G192" s="57" t="s">
        <v>40</v>
      </c>
      <c r="H192" s="60" t="s">
        <v>41</v>
      </c>
      <c r="I192" s="58" t="s">
        <v>524</v>
      </c>
      <c r="J192" s="57" t="s">
        <v>525</v>
      </c>
      <c r="K192" s="60" t="s">
        <v>526</v>
      </c>
      <c r="L192" s="58" t="s">
        <v>527</v>
      </c>
      <c r="M192" s="57" t="s">
        <v>528</v>
      </c>
      <c r="N192" s="60" t="s">
        <v>529</v>
      </c>
      <c r="O192" s="58" t="s">
        <v>63</v>
      </c>
      <c r="P192" s="57" t="s">
        <v>64</v>
      </c>
      <c r="Q192" s="60" t="s">
        <v>65</v>
      </c>
      <c r="R192" s="64" t="s">
        <v>51</v>
      </c>
      <c r="S192" s="65" t="s">
        <v>649</v>
      </c>
      <c r="T192" s="66">
        <v>328</v>
      </c>
      <c r="U192" s="67">
        <v>-328</v>
      </c>
      <c r="V192" s="68">
        <v>-328</v>
      </c>
      <c r="W192" s="60" t="s">
        <v>650</v>
      </c>
      <c r="X192" s="69">
        <v>45924</v>
      </c>
      <c r="Y192" s="70">
        <v>45951</v>
      </c>
      <c r="Z192" s="60" t="s">
        <v>572</v>
      </c>
      <c r="AA192" s="44" t="s">
        <v>573</v>
      </c>
      <c r="AB192" s="57" t="s">
        <v>56</v>
      </c>
      <c r="AC192" s="59" t="s">
        <v>57</v>
      </c>
      <c r="AD192" s="60"/>
      <c r="AE192" s="71">
        <v>-328</v>
      </c>
      <c r="AF192" s="48" t="s">
        <v>58</v>
      </c>
      <c r="AG192" s="48" t="s">
        <v>59</v>
      </c>
      <c r="AH192" s="49" t="s">
        <v>70</v>
      </c>
      <c r="AI192" s="49" t="s">
        <v>71</v>
      </c>
      <c r="AJ192" s="50" t="s">
        <v>72</v>
      </c>
    </row>
    <row r="193" spans="1:36" ht="15.75" x14ac:dyDescent="0.25">
      <c r="A193" s="26">
        <v>20921</v>
      </c>
      <c r="B193" s="57" t="s">
        <v>36</v>
      </c>
      <c r="C193" s="58" t="s">
        <v>37</v>
      </c>
      <c r="D193" s="59" t="s">
        <v>36</v>
      </c>
      <c r="E193" s="60" t="s">
        <v>38</v>
      </c>
      <c r="F193" s="58" t="s">
        <v>39</v>
      </c>
      <c r="G193" s="57" t="s">
        <v>40</v>
      </c>
      <c r="H193" s="60" t="s">
        <v>41</v>
      </c>
      <c r="I193" s="58" t="s">
        <v>524</v>
      </c>
      <c r="J193" s="57" t="s">
        <v>525</v>
      </c>
      <c r="K193" s="60" t="s">
        <v>526</v>
      </c>
      <c r="L193" s="58" t="s">
        <v>527</v>
      </c>
      <c r="M193" s="57" t="s">
        <v>528</v>
      </c>
      <c r="N193" s="60" t="s">
        <v>529</v>
      </c>
      <c r="O193" s="58" t="s">
        <v>63</v>
      </c>
      <c r="P193" s="57" t="s">
        <v>64</v>
      </c>
      <c r="Q193" s="60" t="s">
        <v>65</v>
      </c>
      <c r="R193" s="64" t="s">
        <v>51</v>
      </c>
      <c r="S193" s="65" t="s">
        <v>651</v>
      </c>
      <c r="T193" s="66">
        <v>2185</v>
      </c>
      <c r="U193" s="67">
        <v>-2185</v>
      </c>
      <c r="V193" s="68">
        <v>-2185</v>
      </c>
      <c r="W193" s="60" t="s">
        <v>652</v>
      </c>
      <c r="X193" s="69">
        <v>45925</v>
      </c>
      <c r="Y193" s="70">
        <v>45955</v>
      </c>
      <c r="Z193" s="60" t="s">
        <v>562</v>
      </c>
      <c r="AA193" s="44" t="s">
        <v>563</v>
      </c>
      <c r="AB193" s="57" t="s">
        <v>56</v>
      </c>
      <c r="AC193" s="59" t="s">
        <v>57</v>
      </c>
      <c r="AD193" s="60"/>
      <c r="AE193" s="71">
        <v>-2185</v>
      </c>
      <c r="AF193" s="48" t="s">
        <v>58</v>
      </c>
      <c r="AG193" s="48" t="s">
        <v>59</v>
      </c>
      <c r="AH193" s="49" t="s">
        <v>70</v>
      </c>
      <c r="AI193" s="49" t="s">
        <v>71</v>
      </c>
      <c r="AJ193" s="50" t="s">
        <v>72</v>
      </c>
    </row>
    <row r="194" spans="1:36" ht="15.75" x14ac:dyDescent="0.25">
      <c r="A194" s="26">
        <v>21361</v>
      </c>
      <c r="B194" s="57" t="s">
        <v>36</v>
      </c>
      <c r="C194" s="58" t="s">
        <v>37</v>
      </c>
      <c r="D194" s="59" t="s">
        <v>36</v>
      </c>
      <c r="E194" s="60" t="s">
        <v>38</v>
      </c>
      <c r="F194" s="58" t="s">
        <v>39</v>
      </c>
      <c r="G194" s="57" t="s">
        <v>40</v>
      </c>
      <c r="H194" s="60" t="s">
        <v>41</v>
      </c>
      <c r="I194" s="58" t="s">
        <v>524</v>
      </c>
      <c r="J194" s="57" t="s">
        <v>525</v>
      </c>
      <c r="K194" s="60" t="s">
        <v>526</v>
      </c>
      <c r="L194" s="58" t="s">
        <v>527</v>
      </c>
      <c r="M194" s="57" t="s">
        <v>528</v>
      </c>
      <c r="N194" s="60" t="s">
        <v>529</v>
      </c>
      <c r="O194" s="58" t="s">
        <v>63</v>
      </c>
      <c r="P194" s="57" t="s">
        <v>64</v>
      </c>
      <c r="Q194" s="60" t="s">
        <v>65</v>
      </c>
      <c r="R194" s="64" t="s">
        <v>51</v>
      </c>
      <c r="S194" s="65" t="s">
        <v>653</v>
      </c>
      <c r="T194" s="66">
        <v>2950</v>
      </c>
      <c r="U194" s="67">
        <v>-421.43</v>
      </c>
      <c r="V194" s="68">
        <v>-421.43</v>
      </c>
      <c r="W194" s="60" t="s">
        <v>654</v>
      </c>
      <c r="X194" s="69">
        <v>45929</v>
      </c>
      <c r="Y194" s="70">
        <v>45935</v>
      </c>
      <c r="Z194" s="60" t="s">
        <v>655</v>
      </c>
      <c r="AA194" s="44" t="s">
        <v>656</v>
      </c>
      <c r="AB194" s="57" t="s">
        <v>56</v>
      </c>
      <c r="AC194" s="59" t="s">
        <v>57</v>
      </c>
      <c r="AD194" s="60"/>
      <c r="AE194" s="71">
        <v>-421.43</v>
      </c>
      <c r="AF194" s="48" t="s">
        <v>58</v>
      </c>
      <c r="AG194" s="48" t="s">
        <v>59</v>
      </c>
      <c r="AH194" s="49" t="s">
        <v>70</v>
      </c>
      <c r="AI194" s="49" t="s">
        <v>71</v>
      </c>
      <c r="AJ194" s="50" t="s">
        <v>72</v>
      </c>
    </row>
    <row r="195" spans="1:36" ht="15.75" x14ac:dyDescent="0.25">
      <c r="A195" s="26">
        <v>22372</v>
      </c>
      <c r="B195" s="57" t="s">
        <v>36</v>
      </c>
      <c r="C195" s="58" t="s">
        <v>37</v>
      </c>
      <c r="D195" s="59" t="s">
        <v>36</v>
      </c>
      <c r="E195" s="60" t="s">
        <v>38</v>
      </c>
      <c r="F195" s="58" t="s">
        <v>39</v>
      </c>
      <c r="G195" s="57" t="s">
        <v>40</v>
      </c>
      <c r="H195" s="60" t="s">
        <v>41</v>
      </c>
      <c r="I195" s="58" t="s">
        <v>524</v>
      </c>
      <c r="J195" s="57" t="s">
        <v>525</v>
      </c>
      <c r="K195" s="60" t="s">
        <v>526</v>
      </c>
      <c r="L195" s="58" t="s">
        <v>527</v>
      </c>
      <c r="M195" s="57" t="s">
        <v>528</v>
      </c>
      <c r="N195" s="60" t="s">
        <v>529</v>
      </c>
      <c r="O195" s="74" t="s">
        <v>576</v>
      </c>
      <c r="P195" s="32" t="s">
        <v>577</v>
      </c>
      <c r="Q195" s="33" t="s">
        <v>578</v>
      </c>
      <c r="R195" s="64" t="s">
        <v>51</v>
      </c>
      <c r="S195" s="65" t="s">
        <v>657</v>
      </c>
      <c r="T195" s="66">
        <v>737.77</v>
      </c>
      <c r="U195" s="67">
        <v>-737.77</v>
      </c>
      <c r="V195" s="68">
        <v>-737.77</v>
      </c>
      <c r="W195" s="60" t="s">
        <v>658</v>
      </c>
      <c r="X195" s="69">
        <v>45930</v>
      </c>
      <c r="Y195" s="70">
        <v>45945</v>
      </c>
      <c r="Z195" s="60" t="s">
        <v>581</v>
      </c>
      <c r="AA195" s="44" t="s">
        <v>582</v>
      </c>
      <c r="AB195" s="57" t="s">
        <v>56</v>
      </c>
      <c r="AC195" s="59" t="s">
        <v>57</v>
      </c>
      <c r="AD195" s="60"/>
      <c r="AE195" s="71">
        <v>-737.77</v>
      </c>
      <c r="AF195" s="48" t="s">
        <v>58</v>
      </c>
      <c r="AG195" s="48" t="s">
        <v>59</v>
      </c>
      <c r="AH195" s="49" t="s">
        <v>583</v>
      </c>
      <c r="AI195" s="49" t="s">
        <v>61</v>
      </c>
      <c r="AJ195" s="50" t="s">
        <v>62</v>
      </c>
    </row>
    <row r="196" spans="1:36" ht="15.75" x14ac:dyDescent="0.25">
      <c r="A196" s="26">
        <v>24869</v>
      </c>
      <c r="B196" s="57" t="s">
        <v>36</v>
      </c>
      <c r="C196" s="58" t="s">
        <v>37</v>
      </c>
      <c r="D196" s="59" t="s">
        <v>36</v>
      </c>
      <c r="E196" s="60" t="s">
        <v>38</v>
      </c>
      <c r="F196" s="58" t="s">
        <v>39</v>
      </c>
      <c r="G196" s="57" t="s">
        <v>40</v>
      </c>
      <c r="H196" s="60" t="s">
        <v>41</v>
      </c>
      <c r="I196" s="58" t="s">
        <v>524</v>
      </c>
      <c r="J196" s="57" t="s">
        <v>525</v>
      </c>
      <c r="K196" s="60" t="s">
        <v>526</v>
      </c>
      <c r="L196" s="58" t="s">
        <v>527</v>
      </c>
      <c r="M196" s="57" t="s">
        <v>528</v>
      </c>
      <c r="N196" s="60" t="s">
        <v>529</v>
      </c>
      <c r="O196" s="58" t="s">
        <v>63</v>
      </c>
      <c r="P196" s="57" t="s">
        <v>64</v>
      </c>
      <c r="Q196" s="60" t="s">
        <v>65</v>
      </c>
      <c r="R196" s="64" t="s">
        <v>51</v>
      </c>
      <c r="S196" s="65" t="s">
        <v>659</v>
      </c>
      <c r="T196" s="66">
        <v>460</v>
      </c>
      <c r="U196" s="67">
        <v>-460</v>
      </c>
      <c r="V196" s="68">
        <v>-460</v>
      </c>
      <c r="W196" s="60" t="s">
        <v>660</v>
      </c>
      <c r="X196" s="69">
        <v>45936</v>
      </c>
      <c r="Y196" s="70">
        <v>45945</v>
      </c>
      <c r="Z196" s="60" t="s">
        <v>532</v>
      </c>
      <c r="AA196" s="44" t="s">
        <v>533</v>
      </c>
      <c r="AB196" s="57" t="s">
        <v>56</v>
      </c>
      <c r="AC196" s="59" t="s">
        <v>236</v>
      </c>
      <c r="AD196" s="60"/>
      <c r="AE196" s="71">
        <v>-460</v>
      </c>
      <c r="AF196" s="48" t="s">
        <v>58</v>
      </c>
      <c r="AG196" s="48" t="s">
        <v>59</v>
      </c>
      <c r="AH196" s="49" t="s">
        <v>70</v>
      </c>
      <c r="AI196" s="49" t="s">
        <v>71</v>
      </c>
      <c r="AJ196" s="50" t="s">
        <v>72</v>
      </c>
    </row>
    <row r="197" spans="1:36" ht="15.75" x14ac:dyDescent="0.25">
      <c r="A197" s="26">
        <v>24870</v>
      </c>
      <c r="B197" s="57" t="s">
        <v>36</v>
      </c>
      <c r="C197" s="58" t="s">
        <v>37</v>
      </c>
      <c r="D197" s="59" t="s">
        <v>36</v>
      </c>
      <c r="E197" s="60" t="s">
        <v>38</v>
      </c>
      <c r="F197" s="58" t="s">
        <v>39</v>
      </c>
      <c r="G197" s="57" t="s">
        <v>40</v>
      </c>
      <c r="H197" s="60" t="s">
        <v>41</v>
      </c>
      <c r="I197" s="58" t="s">
        <v>524</v>
      </c>
      <c r="J197" s="57" t="s">
        <v>525</v>
      </c>
      <c r="K197" s="60" t="s">
        <v>526</v>
      </c>
      <c r="L197" s="58" t="s">
        <v>527</v>
      </c>
      <c r="M197" s="57" t="s">
        <v>528</v>
      </c>
      <c r="N197" s="60" t="s">
        <v>529</v>
      </c>
      <c r="O197" s="58" t="s">
        <v>63</v>
      </c>
      <c r="P197" s="57" t="s">
        <v>64</v>
      </c>
      <c r="Q197" s="60" t="s">
        <v>65</v>
      </c>
      <c r="R197" s="64" t="s">
        <v>51</v>
      </c>
      <c r="S197" s="65" t="s">
        <v>661</v>
      </c>
      <c r="T197" s="66">
        <v>306</v>
      </c>
      <c r="U197" s="67">
        <v>-306</v>
      </c>
      <c r="V197" s="68">
        <v>-306</v>
      </c>
      <c r="W197" s="60" t="s">
        <v>662</v>
      </c>
      <c r="X197" s="69">
        <v>45936</v>
      </c>
      <c r="Y197" s="70">
        <v>45945</v>
      </c>
      <c r="Z197" s="60" t="s">
        <v>532</v>
      </c>
      <c r="AA197" s="44" t="s">
        <v>533</v>
      </c>
      <c r="AB197" s="57" t="s">
        <v>56</v>
      </c>
      <c r="AC197" s="59" t="s">
        <v>236</v>
      </c>
      <c r="AD197" s="60"/>
      <c r="AE197" s="71">
        <v>-306</v>
      </c>
      <c r="AF197" s="48" t="s">
        <v>58</v>
      </c>
      <c r="AG197" s="48" t="s">
        <v>59</v>
      </c>
      <c r="AH197" s="49" t="s">
        <v>70</v>
      </c>
      <c r="AI197" s="49" t="s">
        <v>71</v>
      </c>
      <c r="AJ197" s="50" t="s">
        <v>72</v>
      </c>
    </row>
    <row r="198" spans="1:36" ht="15.75" x14ac:dyDescent="0.25">
      <c r="A198" s="26">
        <v>24875</v>
      </c>
      <c r="B198" s="57" t="s">
        <v>36</v>
      </c>
      <c r="C198" s="58" t="s">
        <v>37</v>
      </c>
      <c r="D198" s="59" t="s">
        <v>36</v>
      </c>
      <c r="E198" s="60" t="s">
        <v>38</v>
      </c>
      <c r="F198" s="58" t="s">
        <v>39</v>
      </c>
      <c r="G198" s="57" t="s">
        <v>40</v>
      </c>
      <c r="H198" s="60" t="s">
        <v>41</v>
      </c>
      <c r="I198" s="58" t="s">
        <v>524</v>
      </c>
      <c r="J198" s="57" t="s">
        <v>525</v>
      </c>
      <c r="K198" s="60" t="s">
        <v>526</v>
      </c>
      <c r="L198" s="58" t="s">
        <v>527</v>
      </c>
      <c r="M198" s="57" t="s">
        <v>528</v>
      </c>
      <c r="N198" s="60" t="s">
        <v>529</v>
      </c>
      <c r="O198" s="58" t="s">
        <v>63</v>
      </c>
      <c r="P198" s="57" t="s">
        <v>64</v>
      </c>
      <c r="Q198" s="60" t="s">
        <v>65</v>
      </c>
      <c r="R198" s="64" t="s">
        <v>51</v>
      </c>
      <c r="S198" s="65" t="s">
        <v>663</v>
      </c>
      <c r="T198" s="66">
        <v>1848</v>
      </c>
      <c r="U198" s="67">
        <v>-924</v>
      </c>
      <c r="V198" s="68">
        <v>-924</v>
      </c>
      <c r="W198" s="60" t="s">
        <v>664</v>
      </c>
      <c r="X198" s="69">
        <v>45945</v>
      </c>
      <c r="Y198" s="70">
        <v>45976</v>
      </c>
      <c r="Z198" s="60" t="s">
        <v>562</v>
      </c>
      <c r="AA198" s="44" t="s">
        <v>563</v>
      </c>
      <c r="AB198" s="57" t="s">
        <v>56</v>
      </c>
      <c r="AC198" s="59" t="s">
        <v>236</v>
      </c>
      <c r="AD198" s="60"/>
      <c r="AE198" s="71">
        <v>-924</v>
      </c>
      <c r="AF198" s="48" t="s">
        <v>58</v>
      </c>
      <c r="AG198" s="48" t="s">
        <v>59</v>
      </c>
      <c r="AH198" s="49" t="s">
        <v>70</v>
      </c>
      <c r="AI198" s="49" t="s">
        <v>71</v>
      </c>
      <c r="AJ198" s="50" t="s">
        <v>72</v>
      </c>
    </row>
    <row r="199" spans="1:36" ht="15.75" x14ac:dyDescent="0.25">
      <c r="A199" s="26">
        <v>24873</v>
      </c>
      <c r="B199" s="57" t="s">
        <v>36</v>
      </c>
      <c r="C199" s="58" t="s">
        <v>37</v>
      </c>
      <c r="D199" s="59" t="s">
        <v>36</v>
      </c>
      <c r="E199" s="60" t="s">
        <v>38</v>
      </c>
      <c r="F199" s="58" t="s">
        <v>39</v>
      </c>
      <c r="G199" s="57" t="s">
        <v>40</v>
      </c>
      <c r="H199" s="60" t="s">
        <v>41</v>
      </c>
      <c r="I199" s="58" t="s">
        <v>524</v>
      </c>
      <c r="J199" s="57" t="s">
        <v>525</v>
      </c>
      <c r="K199" s="60" t="s">
        <v>526</v>
      </c>
      <c r="L199" s="58" t="s">
        <v>527</v>
      </c>
      <c r="M199" s="57" t="s">
        <v>528</v>
      </c>
      <c r="N199" s="60" t="s">
        <v>529</v>
      </c>
      <c r="O199" s="58" t="s">
        <v>665</v>
      </c>
      <c r="P199" s="57" t="s">
        <v>666</v>
      </c>
      <c r="Q199" s="60" t="s">
        <v>667</v>
      </c>
      <c r="R199" s="64" t="s">
        <v>51</v>
      </c>
      <c r="S199" s="65" t="s">
        <v>668</v>
      </c>
      <c r="T199" s="66">
        <v>321.39999999999998</v>
      </c>
      <c r="U199" s="67">
        <v>-75.55</v>
      </c>
      <c r="V199" s="68">
        <v>-75.55</v>
      </c>
      <c r="W199" s="60" t="s">
        <v>669</v>
      </c>
      <c r="X199" s="69">
        <v>45947</v>
      </c>
      <c r="Y199" s="70">
        <v>45976</v>
      </c>
      <c r="Z199" s="60" t="s">
        <v>164</v>
      </c>
      <c r="AA199" s="44" t="s">
        <v>165</v>
      </c>
      <c r="AB199" s="57" t="s">
        <v>56</v>
      </c>
      <c r="AC199" s="59" t="s">
        <v>236</v>
      </c>
      <c r="AD199" s="60"/>
      <c r="AE199" s="71">
        <v>-75.55</v>
      </c>
      <c r="AF199" s="48" t="s">
        <v>58</v>
      </c>
      <c r="AG199" s="48" t="s">
        <v>59</v>
      </c>
      <c r="AH199" s="49" t="s">
        <v>670</v>
      </c>
      <c r="AI199" s="49" t="s">
        <v>71</v>
      </c>
      <c r="AJ199" s="50" t="s">
        <v>72</v>
      </c>
    </row>
    <row r="200" spans="1:36" ht="15.75" x14ac:dyDescent="0.25">
      <c r="A200" s="26">
        <v>24876</v>
      </c>
      <c r="B200" s="57" t="s">
        <v>36</v>
      </c>
      <c r="C200" s="58" t="s">
        <v>37</v>
      </c>
      <c r="D200" s="59" t="s">
        <v>36</v>
      </c>
      <c r="E200" s="60" t="s">
        <v>38</v>
      </c>
      <c r="F200" s="58" t="s">
        <v>39</v>
      </c>
      <c r="G200" s="57" t="s">
        <v>40</v>
      </c>
      <c r="H200" s="60" t="s">
        <v>41</v>
      </c>
      <c r="I200" s="58" t="s">
        <v>524</v>
      </c>
      <c r="J200" s="57" t="s">
        <v>525</v>
      </c>
      <c r="K200" s="60" t="s">
        <v>526</v>
      </c>
      <c r="L200" s="58" t="s">
        <v>527</v>
      </c>
      <c r="M200" s="57" t="s">
        <v>528</v>
      </c>
      <c r="N200" s="60" t="s">
        <v>529</v>
      </c>
      <c r="O200" s="58" t="s">
        <v>63</v>
      </c>
      <c r="P200" s="57" t="s">
        <v>64</v>
      </c>
      <c r="Q200" s="60" t="s">
        <v>65</v>
      </c>
      <c r="R200" s="64" t="s">
        <v>51</v>
      </c>
      <c r="S200" s="65" t="s">
        <v>668</v>
      </c>
      <c r="T200" s="66">
        <v>321.39999999999998</v>
      </c>
      <c r="U200" s="67">
        <v>-124.41</v>
      </c>
      <c r="V200" s="68">
        <v>-124.41</v>
      </c>
      <c r="W200" s="60" t="s">
        <v>669</v>
      </c>
      <c r="X200" s="69">
        <v>45947</v>
      </c>
      <c r="Y200" s="70">
        <v>45976</v>
      </c>
      <c r="Z200" s="60" t="s">
        <v>164</v>
      </c>
      <c r="AA200" s="44" t="s">
        <v>165</v>
      </c>
      <c r="AB200" s="57" t="s">
        <v>56</v>
      </c>
      <c r="AC200" s="59" t="s">
        <v>236</v>
      </c>
      <c r="AD200" s="60"/>
      <c r="AE200" s="71">
        <v>-124.41</v>
      </c>
      <c r="AF200" s="48" t="s">
        <v>58</v>
      </c>
      <c r="AG200" s="48" t="s">
        <v>59</v>
      </c>
      <c r="AH200" s="49" t="s">
        <v>70</v>
      </c>
      <c r="AI200" s="49" t="s">
        <v>71</v>
      </c>
      <c r="AJ200" s="50" t="s">
        <v>72</v>
      </c>
    </row>
    <row r="201" spans="1:36" ht="15.75" x14ac:dyDescent="0.25">
      <c r="A201" s="26">
        <v>24868</v>
      </c>
      <c r="B201" s="57" t="s">
        <v>36</v>
      </c>
      <c r="C201" s="58" t="s">
        <v>37</v>
      </c>
      <c r="D201" s="59" t="s">
        <v>36</v>
      </c>
      <c r="E201" s="60" t="s">
        <v>38</v>
      </c>
      <c r="F201" s="58" t="s">
        <v>39</v>
      </c>
      <c r="G201" s="57" t="s">
        <v>40</v>
      </c>
      <c r="H201" s="60" t="s">
        <v>41</v>
      </c>
      <c r="I201" s="58" t="s">
        <v>524</v>
      </c>
      <c r="J201" s="57" t="s">
        <v>525</v>
      </c>
      <c r="K201" s="60" t="s">
        <v>526</v>
      </c>
      <c r="L201" s="58" t="s">
        <v>527</v>
      </c>
      <c r="M201" s="57" t="s">
        <v>528</v>
      </c>
      <c r="N201" s="60" t="s">
        <v>529</v>
      </c>
      <c r="O201" s="58" t="s">
        <v>63</v>
      </c>
      <c r="P201" s="57" t="s">
        <v>64</v>
      </c>
      <c r="Q201" s="60" t="s">
        <v>65</v>
      </c>
      <c r="R201" s="64" t="s">
        <v>121</v>
      </c>
      <c r="S201" s="65" t="s">
        <v>671</v>
      </c>
      <c r="T201" s="66">
        <v>2500</v>
      </c>
      <c r="U201" s="67">
        <v>-2500</v>
      </c>
      <c r="V201" s="68">
        <v>-2500</v>
      </c>
      <c r="W201" s="60" t="s">
        <v>672</v>
      </c>
      <c r="X201" s="69">
        <v>45950</v>
      </c>
      <c r="Y201" s="70">
        <v>45955</v>
      </c>
      <c r="Z201" s="60" t="s">
        <v>611</v>
      </c>
      <c r="AA201" s="44" t="s">
        <v>612</v>
      </c>
      <c r="AB201" s="57" t="s">
        <v>56</v>
      </c>
      <c r="AC201" s="59" t="s">
        <v>236</v>
      </c>
      <c r="AD201" s="60"/>
      <c r="AE201" s="71">
        <v>-2500</v>
      </c>
      <c r="AF201" s="48" t="s">
        <v>58</v>
      </c>
      <c r="AG201" s="48" t="s">
        <v>59</v>
      </c>
      <c r="AH201" s="49" t="s">
        <v>70</v>
      </c>
      <c r="AI201" s="49" t="s">
        <v>71</v>
      </c>
      <c r="AJ201" s="50" t="s">
        <v>72</v>
      </c>
    </row>
    <row r="202" spans="1:36" ht="15.75" x14ac:dyDescent="0.25">
      <c r="A202" s="26">
        <v>24872</v>
      </c>
      <c r="B202" s="57" t="s">
        <v>36</v>
      </c>
      <c r="C202" s="58" t="s">
        <v>37</v>
      </c>
      <c r="D202" s="59" t="s">
        <v>36</v>
      </c>
      <c r="E202" s="60" t="s">
        <v>38</v>
      </c>
      <c r="F202" s="58" t="s">
        <v>39</v>
      </c>
      <c r="G202" s="57" t="s">
        <v>40</v>
      </c>
      <c r="H202" s="60" t="s">
        <v>41</v>
      </c>
      <c r="I202" s="58" t="s">
        <v>524</v>
      </c>
      <c r="J202" s="57" t="s">
        <v>525</v>
      </c>
      <c r="K202" s="60" t="s">
        <v>526</v>
      </c>
      <c r="L202" s="58" t="s">
        <v>527</v>
      </c>
      <c r="M202" s="57" t="s">
        <v>528</v>
      </c>
      <c r="N202" s="60" t="s">
        <v>529</v>
      </c>
      <c r="O202" s="58" t="s">
        <v>63</v>
      </c>
      <c r="P202" s="57" t="s">
        <v>64</v>
      </c>
      <c r="Q202" s="60" t="s">
        <v>65</v>
      </c>
      <c r="R202" s="64" t="s">
        <v>51</v>
      </c>
      <c r="S202" s="65" t="s">
        <v>673</v>
      </c>
      <c r="T202" s="66">
        <v>8790</v>
      </c>
      <c r="U202" s="67">
        <v>-4395</v>
      </c>
      <c r="V202" s="68">
        <v>-4395</v>
      </c>
      <c r="W202" s="60" t="s">
        <v>674</v>
      </c>
      <c r="X202" s="69">
        <v>45951</v>
      </c>
      <c r="Y202" s="70">
        <v>45976</v>
      </c>
      <c r="Z202" s="60" t="s">
        <v>675</v>
      </c>
      <c r="AA202" s="44" t="s">
        <v>676</v>
      </c>
      <c r="AB202" s="57" t="s">
        <v>56</v>
      </c>
      <c r="AC202" s="59" t="s">
        <v>236</v>
      </c>
      <c r="AD202" s="60"/>
      <c r="AE202" s="71">
        <v>-4395</v>
      </c>
      <c r="AF202" s="48" t="s">
        <v>58</v>
      </c>
      <c r="AG202" s="48" t="s">
        <v>59</v>
      </c>
      <c r="AH202" s="49" t="s">
        <v>70</v>
      </c>
      <c r="AI202" s="49" t="s">
        <v>71</v>
      </c>
      <c r="AJ202" s="50" t="s">
        <v>72</v>
      </c>
    </row>
    <row r="203" spans="1:36" ht="15.75" x14ac:dyDescent="0.25">
      <c r="A203" s="26">
        <v>24874</v>
      </c>
      <c r="B203" s="57" t="s">
        <v>36</v>
      </c>
      <c r="C203" s="58" t="s">
        <v>37</v>
      </c>
      <c r="D203" s="59" t="s">
        <v>36</v>
      </c>
      <c r="E203" s="60" t="s">
        <v>38</v>
      </c>
      <c r="F203" s="58" t="s">
        <v>39</v>
      </c>
      <c r="G203" s="57" t="s">
        <v>40</v>
      </c>
      <c r="H203" s="60" t="s">
        <v>41</v>
      </c>
      <c r="I203" s="58" t="s">
        <v>524</v>
      </c>
      <c r="J203" s="57" t="s">
        <v>525</v>
      </c>
      <c r="K203" s="60" t="s">
        <v>526</v>
      </c>
      <c r="L203" s="58" t="s">
        <v>527</v>
      </c>
      <c r="M203" s="57" t="s">
        <v>528</v>
      </c>
      <c r="N203" s="60" t="s">
        <v>529</v>
      </c>
      <c r="O203" s="58" t="s">
        <v>63</v>
      </c>
      <c r="P203" s="57" t="s">
        <v>64</v>
      </c>
      <c r="Q203" s="60" t="s">
        <v>65</v>
      </c>
      <c r="R203" s="64" t="s">
        <v>51</v>
      </c>
      <c r="S203" s="65" t="s">
        <v>677</v>
      </c>
      <c r="T203" s="66">
        <v>6669</v>
      </c>
      <c r="U203" s="67">
        <v>-3334.5</v>
      </c>
      <c r="V203" s="68">
        <v>-3334.5</v>
      </c>
      <c r="W203" s="60" t="s">
        <v>256</v>
      </c>
      <c r="X203" s="69">
        <v>45951</v>
      </c>
      <c r="Y203" s="70">
        <v>46006</v>
      </c>
      <c r="Z203" s="60" t="s">
        <v>675</v>
      </c>
      <c r="AA203" s="44" t="s">
        <v>676</v>
      </c>
      <c r="AB203" s="57" t="s">
        <v>56</v>
      </c>
      <c r="AC203" s="59" t="s">
        <v>236</v>
      </c>
      <c r="AD203" s="60"/>
      <c r="AE203" s="71">
        <v>-3334.5</v>
      </c>
      <c r="AF203" s="48" t="s">
        <v>58</v>
      </c>
      <c r="AG203" s="48" t="s">
        <v>59</v>
      </c>
      <c r="AH203" s="49" t="s">
        <v>70</v>
      </c>
      <c r="AI203" s="49" t="s">
        <v>71</v>
      </c>
      <c r="AJ203" s="50" t="s">
        <v>72</v>
      </c>
    </row>
    <row r="204" spans="1:36" ht="15.75" x14ac:dyDescent="0.25">
      <c r="A204" s="26">
        <v>24913</v>
      </c>
      <c r="B204" s="57" t="s">
        <v>36</v>
      </c>
      <c r="C204" s="58" t="s">
        <v>37</v>
      </c>
      <c r="D204" s="59" t="s">
        <v>36</v>
      </c>
      <c r="E204" s="60" t="s">
        <v>38</v>
      </c>
      <c r="F204" s="58" t="s">
        <v>39</v>
      </c>
      <c r="G204" s="57" t="s">
        <v>40</v>
      </c>
      <c r="H204" s="60" t="s">
        <v>41</v>
      </c>
      <c r="I204" s="58" t="s">
        <v>524</v>
      </c>
      <c r="J204" s="57" t="s">
        <v>525</v>
      </c>
      <c r="K204" s="60" t="s">
        <v>526</v>
      </c>
      <c r="L204" s="58" t="s">
        <v>527</v>
      </c>
      <c r="M204" s="57" t="s">
        <v>528</v>
      </c>
      <c r="N204" s="60" t="s">
        <v>529</v>
      </c>
      <c r="O204" s="58" t="s">
        <v>63</v>
      </c>
      <c r="P204" s="57" t="s">
        <v>64</v>
      </c>
      <c r="Q204" s="60" t="s">
        <v>65</v>
      </c>
      <c r="R204" s="64" t="s">
        <v>51</v>
      </c>
      <c r="S204" s="65" t="s">
        <v>673</v>
      </c>
      <c r="T204" s="66">
        <v>8790</v>
      </c>
      <c r="U204" s="67">
        <v>-4395</v>
      </c>
      <c r="V204" s="68">
        <v>-4395</v>
      </c>
      <c r="W204" s="60" t="s">
        <v>674</v>
      </c>
      <c r="X204" s="69">
        <v>45951</v>
      </c>
      <c r="Y204" s="70">
        <v>46006</v>
      </c>
      <c r="Z204" s="60" t="s">
        <v>675</v>
      </c>
      <c r="AA204" s="44" t="s">
        <v>676</v>
      </c>
      <c r="AB204" s="57" t="s">
        <v>56</v>
      </c>
      <c r="AC204" s="59" t="s">
        <v>236</v>
      </c>
      <c r="AD204" s="60"/>
      <c r="AE204" s="71">
        <v>-4395</v>
      </c>
      <c r="AF204" s="48" t="s">
        <v>58</v>
      </c>
      <c r="AG204" s="48" t="s">
        <v>59</v>
      </c>
      <c r="AH204" s="49" t="s">
        <v>70</v>
      </c>
      <c r="AI204" s="49" t="s">
        <v>71</v>
      </c>
      <c r="AJ204" s="50" t="s">
        <v>72</v>
      </c>
    </row>
    <row r="205" spans="1:36" ht="15.75" x14ac:dyDescent="0.25">
      <c r="A205" s="26">
        <v>24916</v>
      </c>
      <c r="B205" s="57" t="s">
        <v>36</v>
      </c>
      <c r="C205" s="58" t="s">
        <v>37</v>
      </c>
      <c r="D205" s="59" t="s">
        <v>36</v>
      </c>
      <c r="E205" s="60" t="s">
        <v>38</v>
      </c>
      <c r="F205" s="58" t="s">
        <v>39</v>
      </c>
      <c r="G205" s="57" t="s">
        <v>40</v>
      </c>
      <c r="H205" s="60" t="s">
        <v>41</v>
      </c>
      <c r="I205" s="58" t="s">
        <v>524</v>
      </c>
      <c r="J205" s="57" t="s">
        <v>525</v>
      </c>
      <c r="K205" s="60" t="s">
        <v>526</v>
      </c>
      <c r="L205" s="58" t="s">
        <v>527</v>
      </c>
      <c r="M205" s="57" t="s">
        <v>528</v>
      </c>
      <c r="N205" s="60" t="s">
        <v>529</v>
      </c>
      <c r="O205" s="58" t="s">
        <v>63</v>
      </c>
      <c r="P205" s="57" t="s">
        <v>64</v>
      </c>
      <c r="Q205" s="60" t="s">
        <v>65</v>
      </c>
      <c r="R205" s="64" t="s">
        <v>51</v>
      </c>
      <c r="S205" s="65" t="s">
        <v>677</v>
      </c>
      <c r="T205" s="66">
        <v>6669</v>
      </c>
      <c r="U205" s="67">
        <v>-3334.5</v>
      </c>
      <c r="V205" s="68">
        <v>-3334.5</v>
      </c>
      <c r="W205" s="60" t="s">
        <v>256</v>
      </c>
      <c r="X205" s="69">
        <v>45951</v>
      </c>
      <c r="Y205" s="70">
        <v>45976</v>
      </c>
      <c r="Z205" s="60" t="s">
        <v>675</v>
      </c>
      <c r="AA205" s="44" t="s">
        <v>676</v>
      </c>
      <c r="AB205" s="57" t="s">
        <v>56</v>
      </c>
      <c r="AC205" s="59" t="s">
        <v>236</v>
      </c>
      <c r="AD205" s="60"/>
      <c r="AE205" s="71">
        <v>-3334.5</v>
      </c>
      <c r="AF205" s="48" t="s">
        <v>58</v>
      </c>
      <c r="AG205" s="48" t="s">
        <v>59</v>
      </c>
      <c r="AH205" s="49" t="s">
        <v>70</v>
      </c>
      <c r="AI205" s="49" t="s">
        <v>71</v>
      </c>
      <c r="AJ205" s="50" t="s">
        <v>72</v>
      </c>
    </row>
    <row r="206" spans="1:36" ht="15.75" x14ac:dyDescent="0.25">
      <c r="A206" s="26">
        <v>24871</v>
      </c>
      <c r="B206" s="57" t="s">
        <v>36</v>
      </c>
      <c r="C206" s="58" t="s">
        <v>37</v>
      </c>
      <c r="D206" s="59" t="s">
        <v>36</v>
      </c>
      <c r="E206" s="60" t="s">
        <v>38</v>
      </c>
      <c r="F206" s="58" t="s">
        <v>39</v>
      </c>
      <c r="G206" s="57" t="s">
        <v>40</v>
      </c>
      <c r="H206" s="60" t="s">
        <v>41</v>
      </c>
      <c r="I206" s="58" t="s">
        <v>524</v>
      </c>
      <c r="J206" s="57" t="s">
        <v>525</v>
      </c>
      <c r="K206" s="60" t="s">
        <v>526</v>
      </c>
      <c r="L206" s="58" t="s">
        <v>527</v>
      </c>
      <c r="M206" s="57" t="s">
        <v>528</v>
      </c>
      <c r="N206" s="60" t="s">
        <v>529</v>
      </c>
      <c r="O206" s="58" t="s">
        <v>63</v>
      </c>
      <c r="P206" s="57" t="s">
        <v>64</v>
      </c>
      <c r="Q206" s="60" t="s">
        <v>65</v>
      </c>
      <c r="R206" s="64" t="s">
        <v>51</v>
      </c>
      <c r="S206" s="65" t="s">
        <v>678</v>
      </c>
      <c r="T206" s="66">
        <v>212</v>
      </c>
      <c r="U206" s="67">
        <v>-212</v>
      </c>
      <c r="V206" s="68">
        <v>-212</v>
      </c>
      <c r="W206" s="60" t="s">
        <v>679</v>
      </c>
      <c r="X206" s="69">
        <v>45960</v>
      </c>
      <c r="Y206" s="70">
        <v>45986</v>
      </c>
      <c r="Z206" s="60" t="s">
        <v>164</v>
      </c>
      <c r="AA206" s="44" t="s">
        <v>165</v>
      </c>
      <c r="AB206" s="57" t="s">
        <v>56</v>
      </c>
      <c r="AC206" s="59" t="s">
        <v>236</v>
      </c>
      <c r="AD206" s="60"/>
      <c r="AE206" s="71">
        <v>-212</v>
      </c>
      <c r="AF206" s="48" t="s">
        <v>58</v>
      </c>
      <c r="AG206" s="48" t="s">
        <v>59</v>
      </c>
      <c r="AH206" s="49" t="s">
        <v>70</v>
      </c>
      <c r="AI206" s="49" t="s">
        <v>71</v>
      </c>
      <c r="AJ206" s="50" t="s">
        <v>72</v>
      </c>
    </row>
    <row r="207" spans="1:36" ht="15.75" x14ac:dyDescent="0.25">
      <c r="A207" s="26">
        <v>24917</v>
      </c>
      <c r="B207" s="57" t="s">
        <v>36</v>
      </c>
      <c r="C207" s="58" t="s">
        <v>37</v>
      </c>
      <c r="D207" s="59" t="s">
        <v>36</v>
      </c>
      <c r="E207" s="60" t="s">
        <v>38</v>
      </c>
      <c r="F207" s="58" t="s">
        <v>39</v>
      </c>
      <c r="G207" s="57" t="s">
        <v>40</v>
      </c>
      <c r="H207" s="60" t="s">
        <v>41</v>
      </c>
      <c r="I207" s="58" t="s">
        <v>524</v>
      </c>
      <c r="J207" s="57" t="s">
        <v>525</v>
      </c>
      <c r="K207" s="60" t="s">
        <v>526</v>
      </c>
      <c r="L207" s="58" t="s">
        <v>527</v>
      </c>
      <c r="M207" s="57" t="s">
        <v>528</v>
      </c>
      <c r="N207" s="60" t="s">
        <v>529</v>
      </c>
      <c r="O207" s="58" t="s">
        <v>63</v>
      </c>
      <c r="P207" s="57" t="s">
        <v>64</v>
      </c>
      <c r="Q207" s="60" t="s">
        <v>65</v>
      </c>
      <c r="R207" s="64" t="s">
        <v>51</v>
      </c>
      <c r="S207" s="65" t="s">
        <v>680</v>
      </c>
      <c r="T207" s="66">
        <v>1869</v>
      </c>
      <c r="U207" s="67">
        <v>-934.5</v>
      </c>
      <c r="V207" s="68">
        <v>-934.5</v>
      </c>
      <c r="W207" s="60" t="s">
        <v>681</v>
      </c>
      <c r="X207" s="69">
        <v>45960</v>
      </c>
      <c r="Y207" s="70">
        <v>45986</v>
      </c>
      <c r="Z207" s="60" t="s">
        <v>562</v>
      </c>
      <c r="AA207" s="44" t="s">
        <v>563</v>
      </c>
      <c r="AB207" s="57" t="s">
        <v>56</v>
      </c>
      <c r="AC207" s="59" t="s">
        <v>236</v>
      </c>
      <c r="AD207" s="60"/>
      <c r="AE207" s="71">
        <v>-934.5</v>
      </c>
      <c r="AF207" s="48" t="s">
        <v>58</v>
      </c>
      <c r="AG207" s="48" t="s">
        <v>59</v>
      </c>
      <c r="AH207" s="49" t="s">
        <v>70</v>
      </c>
      <c r="AI207" s="49" t="s">
        <v>71</v>
      </c>
      <c r="AJ207" s="50" t="s">
        <v>72</v>
      </c>
    </row>
    <row r="208" spans="1:36" ht="15.75" x14ac:dyDescent="0.25">
      <c r="A208" s="26">
        <v>27939</v>
      </c>
      <c r="B208" s="57" t="s">
        <v>36</v>
      </c>
      <c r="C208" s="58" t="s">
        <v>37</v>
      </c>
      <c r="D208" s="59" t="s">
        <v>36</v>
      </c>
      <c r="E208" s="60" t="s">
        <v>38</v>
      </c>
      <c r="F208" s="58" t="s">
        <v>39</v>
      </c>
      <c r="G208" s="57" t="s">
        <v>40</v>
      </c>
      <c r="H208" s="60" t="s">
        <v>41</v>
      </c>
      <c r="I208" s="58" t="s">
        <v>524</v>
      </c>
      <c r="J208" s="57" t="s">
        <v>525</v>
      </c>
      <c r="K208" s="60" t="s">
        <v>526</v>
      </c>
      <c r="L208" s="58" t="s">
        <v>527</v>
      </c>
      <c r="M208" s="57" t="s">
        <v>528</v>
      </c>
      <c r="N208" s="60" t="s">
        <v>529</v>
      </c>
      <c r="O208" s="58" t="s">
        <v>63</v>
      </c>
      <c r="P208" s="57" t="s">
        <v>64</v>
      </c>
      <c r="Q208" s="60" t="s">
        <v>65</v>
      </c>
      <c r="R208" s="64" t="s">
        <v>51</v>
      </c>
      <c r="S208" s="65" t="s">
        <v>682</v>
      </c>
      <c r="T208" s="66">
        <v>2951.63</v>
      </c>
      <c r="U208" s="67">
        <v>-2951.63</v>
      </c>
      <c r="V208" s="68">
        <v>-2951.63</v>
      </c>
      <c r="W208" s="60" t="s">
        <v>683</v>
      </c>
      <c r="X208" s="69">
        <v>45965</v>
      </c>
      <c r="Y208" s="70">
        <v>45986</v>
      </c>
      <c r="Z208" s="60" t="s">
        <v>684</v>
      </c>
      <c r="AA208" s="44" t="s">
        <v>685</v>
      </c>
      <c r="AB208" s="57" t="s">
        <v>56</v>
      </c>
      <c r="AC208" s="59" t="s">
        <v>236</v>
      </c>
      <c r="AD208" s="60"/>
      <c r="AE208" s="71">
        <v>-2951.63</v>
      </c>
      <c r="AF208" s="48" t="s">
        <v>58</v>
      </c>
      <c r="AG208" s="48" t="s">
        <v>59</v>
      </c>
      <c r="AH208" s="49" t="s">
        <v>70</v>
      </c>
      <c r="AI208" s="49" t="s">
        <v>71</v>
      </c>
      <c r="AJ208" s="50" t="s">
        <v>72</v>
      </c>
    </row>
    <row r="209" spans="1:36" ht="15.75" x14ac:dyDescent="0.25">
      <c r="A209" s="26">
        <v>16717</v>
      </c>
      <c r="B209" s="57" t="s">
        <v>36</v>
      </c>
      <c r="C209" s="58" t="s">
        <v>37</v>
      </c>
      <c r="D209" s="59" t="s">
        <v>36</v>
      </c>
      <c r="E209" s="60" t="s">
        <v>38</v>
      </c>
      <c r="F209" s="58" t="s">
        <v>39</v>
      </c>
      <c r="G209" s="57" t="s">
        <v>40</v>
      </c>
      <c r="H209" s="60" t="s">
        <v>41</v>
      </c>
      <c r="I209" s="58" t="s">
        <v>524</v>
      </c>
      <c r="J209" s="57" t="s">
        <v>525</v>
      </c>
      <c r="K209" s="60" t="s">
        <v>526</v>
      </c>
      <c r="L209" s="58" t="s">
        <v>527</v>
      </c>
      <c r="M209" s="57" t="s">
        <v>528</v>
      </c>
      <c r="N209" s="60" t="s">
        <v>529</v>
      </c>
      <c r="O209" s="58" t="s">
        <v>497</v>
      </c>
      <c r="P209" s="57" t="s">
        <v>498</v>
      </c>
      <c r="Q209" s="60" t="s">
        <v>499</v>
      </c>
      <c r="R209" s="64" t="s">
        <v>121</v>
      </c>
      <c r="S209" s="65" t="s">
        <v>500</v>
      </c>
      <c r="T209" s="66">
        <v>22000</v>
      </c>
      <c r="U209" s="67">
        <v>-95.7</v>
      </c>
      <c r="V209" s="68">
        <v>-95.7</v>
      </c>
      <c r="W209" s="60" t="s">
        <v>501</v>
      </c>
      <c r="X209" s="69">
        <v>45966</v>
      </c>
      <c r="Y209" s="70">
        <v>45978</v>
      </c>
      <c r="Z209" s="60" t="s">
        <v>410</v>
      </c>
      <c r="AA209" s="44" t="s">
        <v>411</v>
      </c>
      <c r="AB209" s="57" t="s">
        <v>56</v>
      </c>
      <c r="AC209" s="59" t="s">
        <v>236</v>
      </c>
      <c r="AD209" s="60"/>
      <c r="AE209" s="71">
        <v>-95.7</v>
      </c>
      <c r="AF209" s="48" t="s">
        <v>58</v>
      </c>
      <c r="AG209" s="48" t="s">
        <v>59</v>
      </c>
      <c r="AH209" s="49">
        <v>0</v>
      </c>
      <c r="AI209" s="49">
        <v>0</v>
      </c>
      <c r="AJ209" s="50" t="e">
        <v>#N/A</v>
      </c>
    </row>
    <row r="210" spans="1:36" ht="15.75" x14ac:dyDescent="0.25">
      <c r="A210" s="26">
        <v>27940</v>
      </c>
      <c r="B210" s="57" t="s">
        <v>36</v>
      </c>
      <c r="C210" s="58" t="s">
        <v>37</v>
      </c>
      <c r="D210" s="59" t="s">
        <v>36</v>
      </c>
      <c r="E210" s="60" t="s">
        <v>38</v>
      </c>
      <c r="F210" s="58" t="s">
        <v>39</v>
      </c>
      <c r="G210" s="57" t="s">
        <v>40</v>
      </c>
      <c r="H210" s="60" t="s">
        <v>41</v>
      </c>
      <c r="I210" s="58" t="s">
        <v>524</v>
      </c>
      <c r="J210" s="57" t="s">
        <v>525</v>
      </c>
      <c r="K210" s="60" t="s">
        <v>526</v>
      </c>
      <c r="L210" s="58" t="s">
        <v>527</v>
      </c>
      <c r="M210" s="57" t="s">
        <v>528</v>
      </c>
      <c r="N210" s="60" t="s">
        <v>529</v>
      </c>
      <c r="O210" s="58" t="s">
        <v>63</v>
      </c>
      <c r="P210" s="57" t="s">
        <v>64</v>
      </c>
      <c r="Q210" s="60" t="s">
        <v>65</v>
      </c>
      <c r="R210" s="64" t="s">
        <v>51</v>
      </c>
      <c r="S210" s="65" t="s">
        <v>686</v>
      </c>
      <c r="T210" s="66">
        <v>94</v>
      </c>
      <c r="U210" s="67">
        <v>-94</v>
      </c>
      <c r="V210" s="68">
        <v>-94</v>
      </c>
      <c r="W210" s="60" t="s">
        <v>687</v>
      </c>
      <c r="X210" s="69">
        <v>45966</v>
      </c>
      <c r="Y210" s="70">
        <v>45996</v>
      </c>
      <c r="Z210" s="60" t="s">
        <v>164</v>
      </c>
      <c r="AA210" s="44" t="s">
        <v>165</v>
      </c>
      <c r="AB210" s="57" t="s">
        <v>56</v>
      </c>
      <c r="AC210" s="59" t="s">
        <v>236</v>
      </c>
      <c r="AD210" s="60"/>
      <c r="AE210" s="71">
        <v>-94</v>
      </c>
      <c r="AF210" s="48" t="s">
        <v>58</v>
      </c>
      <c r="AG210" s="48" t="s">
        <v>59</v>
      </c>
      <c r="AH210" s="49" t="s">
        <v>70</v>
      </c>
      <c r="AI210" s="49" t="s">
        <v>71</v>
      </c>
      <c r="AJ210" s="50" t="s">
        <v>72</v>
      </c>
    </row>
    <row r="211" spans="1:36" ht="15.75" x14ac:dyDescent="0.25">
      <c r="A211" s="26">
        <v>27944</v>
      </c>
      <c r="B211" s="57" t="s">
        <v>36</v>
      </c>
      <c r="C211" s="58" t="s">
        <v>37</v>
      </c>
      <c r="D211" s="59" t="s">
        <v>36</v>
      </c>
      <c r="E211" s="60" t="s">
        <v>38</v>
      </c>
      <c r="F211" s="58" t="s">
        <v>39</v>
      </c>
      <c r="G211" s="57" t="s">
        <v>40</v>
      </c>
      <c r="H211" s="60" t="s">
        <v>41</v>
      </c>
      <c r="I211" s="58" t="s">
        <v>524</v>
      </c>
      <c r="J211" s="57" t="s">
        <v>525</v>
      </c>
      <c r="K211" s="60" t="s">
        <v>526</v>
      </c>
      <c r="L211" s="58" t="s">
        <v>527</v>
      </c>
      <c r="M211" s="57" t="s">
        <v>528</v>
      </c>
      <c r="N211" s="60" t="s">
        <v>529</v>
      </c>
      <c r="O211" s="58" t="s">
        <v>63</v>
      </c>
      <c r="P211" s="57" t="s">
        <v>64</v>
      </c>
      <c r="Q211" s="60" t="s">
        <v>65</v>
      </c>
      <c r="R211" s="64" t="s">
        <v>51</v>
      </c>
      <c r="S211" s="65" t="s">
        <v>688</v>
      </c>
      <c r="T211" s="66">
        <v>231.68</v>
      </c>
      <c r="U211" s="67">
        <v>-231.68</v>
      </c>
      <c r="V211" s="68">
        <v>-231.68</v>
      </c>
      <c r="W211" s="60" t="s">
        <v>689</v>
      </c>
      <c r="X211" s="69">
        <v>45966</v>
      </c>
      <c r="Y211" s="70">
        <v>45996</v>
      </c>
      <c r="Z211" s="60" t="s">
        <v>79</v>
      </c>
      <c r="AA211" s="44" t="s">
        <v>80</v>
      </c>
      <c r="AB211" s="57" t="s">
        <v>56</v>
      </c>
      <c r="AC211" s="59" t="s">
        <v>236</v>
      </c>
      <c r="AD211" s="60"/>
      <c r="AE211" s="71">
        <v>-231.68</v>
      </c>
      <c r="AF211" s="48" t="s">
        <v>58</v>
      </c>
      <c r="AG211" s="48" t="s">
        <v>59</v>
      </c>
      <c r="AH211" s="49" t="s">
        <v>70</v>
      </c>
      <c r="AI211" s="49" t="s">
        <v>71</v>
      </c>
      <c r="AJ211" s="50" t="s">
        <v>72</v>
      </c>
    </row>
    <row r="212" spans="1:36" ht="15.75" x14ac:dyDescent="0.25">
      <c r="A212" s="26">
        <v>27949</v>
      </c>
      <c r="B212" s="57" t="s">
        <v>36</v>
      </c>
      <c r="C212" s="58" t="s">
        <v>37</v>
      </c>
      <c r="D212" s="59" t="s">
        <v>36</v>
      </c>
      <c r="E212" s="60" t="s">
        <v>38</v>
      </c>
      <c r="F212" s="58" t="s">
        <v>39</v>
      </c>
      <c r="G212" s="57" t="s">
        <v>40</v>
      </c>
      <c r="H212" s="60" t="s">
        <v>41</v>
      </c>
      <c r="I212" s="58" t="s">
        <v>524</v>
      </c>
      <c r="J212" s="57" t="s">
        <v>525</v>
      </c>
      <c r="K212" s="60" t="s">
        <v>526</v>
      </c>
      <c r="L212" s="58" t="s">
        <v>527</v>
      </c>
      <c r="M212" s="57" t="s">
        <v>528</v>
      </c>
      <c r="N212" s="60" t="s">
        <v>529</v>
      </c>
      <c r="O212" s="58" t="s">
        <v>334</v>
      </c>
      <c r="P212" s="57" t="s">
        <v>335</v>
      </c>
      <c r="Q212" s="60" t="s">
        <v>336</v>
      </c>
      <c r="R212" s="64" t="s">
        <v>121</v>
      </c>
      <c r="S212" s="65" t="s">
        <v>500</v>
      </c>
      <c r="T212" s="66">
        <v>22000</v>
      </c>
      <c r="U212" s="67">
        <v>-604.29999999999995</v>
      </c>
      <c r="V212" s="68">
        <v>-604.29999999999995</v>
      </c>
      <c r="W212" s="60" t="s">
        <v>501</v>
      </c>
      <c r="X212" s="69">
        <v>45966</v>
      </c>
      <c r="Y212" s="70">
        <v>45978</v>
      </c>
      <c r="Z212" s="60" t="s">
        <v>410</v>
      </c>
      <c r="AA212" s="44" t="s">
        <v>411</v>
      </c>
      <c r="AB212" s="57" t="s">
        <v>56</v>
      </c>
      <c r="AC212" s="59" t="s">
        <v>236</v>
      </c>
      <c r="AD212" s="60"/>
      <c r="AE212" s="71">
        <v>-604.29999999999995</v>
      </c>
      <c r="AF212" s="48" t="s">
        <v>58</v>
      </c>
      <c r="AG212" s="48" t="s">
        <v>157</v>
      </c>
      <c r="AH212" s="49" t="s">
        <v>341</v>
      </c>
      <c r="AI212" s="49" t="s">
        <v>238</v>
      </c>
      <c r="AJ212" s="50" t="s">
        <v>201</v>
      </c>
    </row>
    <row r="213" spans="1:36" ht="15.75" x14ac:dyDescent="0.25">
      <c r="A213" s="26">
        <v>27937</v>
      </c>
      <c r="B213" s="57" t="s">
        <v>36</v>
      </c>
      <c r="C213" s="58" t="s">
        <v>37</v>
      </c>
      <c r="D213" s="59" t="s">
        <v>36</v>
      </c>
      <c r="E213" s="60" t="s">
        <v>38</v>
      </c>
      <c r="F213" s="58" t="s">
        <v>39</v>
      </c>
      <c r="G213" s="57" t="s">
        <v>40</v>
      </c>
      <c r="H213" s="60" t="s">
        <v>41</v>
      </c>
      <c r="I213" s="58" t="s">
        <v>524</v>
      </c>
      <c r="J213" s="57" t="s">
        <v>525</v>
      </c>
      <c r="K213" s="60" t="s">
        <v>526</v>
      </c>
      <c r="L213" s="58" t="s">
        <v>527</v>
      </c>
      <c r="M213" s="57" t="s">
        <v>528</v>
      </c>
      <c r="N213" s="60" t="s">
        <v>529</v>
      </c>
      <c r="O213" s="58" t="s">
        <v>63</v>
      </c>
      <c r="P213" s="57" t="s">
        <v>64</v>
      </c>
      <c r="Q213" s="60" t="s">
        <v>65</v>
      </c>
      <c r="R213" s="64" t="s">
        <v>51</v>
      </c>
      <c r="S213" s="65" t="s">
        <v>690</v>
      </c>
      <c r="T213" s="66">
        <v>1200</v>
      </c>
      <c r="U213" s="67">
        <v>-1200</v>
      </c>
      <c r="V213" s="68">
        <v>-1200</v>
      </c>
      <c r="W213" s="60" t="s">
        <v>691</v>
      </c>
      <c r="X213" s="69">
        <v>45968</v>
      </c>
      <c r="Y213" s="70">
        <v>45986</v>
      </c>
      <c r="Z213" s="60" t="s">
        <v>562</v>
      </c>
      <c r="AA213" s="44" t="s">
        <v>563</v>
      </c>
      <c r="AB213" s="57" t="s">
        <v>56</v>
      </c>
      <c r="AC213" s="59" t="s">
        <v>236</v>
      </c>
      <c r="AD213" s="60"/>
      <c r="AE213" s="71">
        <v>-1200</v>
      </c>
      <c r="AF213" s="48" t="s">
        <v>58</v>
      </c>
      <c r="AG213" s="48" t="s">
        <v>59</v>
      </c>
      <c r="AH213" s="49" t="s">
        <v>70</v>
      </c>
      <c r="AI213" s="49" t="s">
        <v>71</v>
      </c>
      <c r="AJ213" s="50" t="s">
        <v>72</v>
      </c>
    </row>
    <row r="214" spans="1:36" ht="15.75" x14ac:dyDescent="0.25">
      <c r="A214" s="26">
        <v>27947</v>
      </c>
      <c r="B214" s="57" t="s">
        <v>36</v>
      </c>
      <c r="C214" s="58" t="s">
        <v>37</v>
      </c>
      <c r="D214" s="59" t="s">
        <v>36</v>
      </c>
      <c r="E214" s="60" t="s">
        <v>38</v>
      </c>
      <c r="F214" s="58" t="s">
        <v>39</v>
      </c>
      <c r="G214" s="57" t="s">
        <v>40</v>
      </c>
      <c r="H214" s="60" t="s">
        <v>41</v>
      </c>
      <c r="I214" s="58" t="s">
        <v>524</v>
      </c>
      <c r="J214" s="57" t="s">
        <v>525</v>
      </c>
      <c r="K214" s="60" t="s">
        <v>526</v>
      </c>
      <c r="L214" s="58" t="s">
        <v>527</v>
      </c>
      <c r="M214" s="57" t="s">
        <v>528</v>
      </c>
      <c r="N214" s="60" t="s">
        <v>529</v>
      </c>
      <c r="O214" s="58" t="s">
        <v>63</v>
      </c>
      <c r="P214" s="57" t="s">
        <v>64</v>
      </c>
      <c r="Q214" s="60" t="s">
        <v>65</v>
      </c>
      <c r="R214" s="64" t="s">
        <v>51</v>
      </c>
      <c r="S214" s="65" t="s">
        <v>692</v>
      </c>
      <c r="T214" s="66">
        <v>7146.46</v>
      </c>
      <c r="U214" s="67">
        <v>-3573.23</v>
      </c>
      <c r="V214" s="68">
        <v>-3573.23</v>
      </c>
      <c r="W214" s="60" t="s">
        <v>693</v>
      </c>
      <c r="X214" s="69">
        <v>45968</v>
      </c>
      <c r="Y214" s="70">
        <v>45978</v>
      </c>
      <c r="Z214" s="60" t="s">
        <v>694</v>
      </c>
      <c r="AA214" s="44" t="s">
        <v>695</v>
      </c>
      <c r="AB214" s="57" t="s">
        <v>56</v>
      </c>
      <c r="AC214" s="59" t="s">
        <v>236</v>
      </c>
      <c r="AD214" s="60"/>
      <c r="AE214" s="71">
        <v>-3573.23</v>
      </c>
      <c r="AF214" s="48" t="s">
        <v>58</v>
      </c>
      <c r="AG214" s="48" t="s">
        <v>59</v>
      </c>
      <c r="AH214" s="49" t="s">
        <v>70</v>
      </c>
      <c r="AI214" s="49" t="s">
        <v>71</v>
      </c>
      <c r="AJ214" s="50" t="s">
        <v>72</v>
      </c>
    </row>
    <row r="215" spans="1:36" ht="15.75" x14ac:dyDescent="0.25">
      <c r="A215" s="26">
        <v>27948</v>
      </c>
      <c r="B215" s="57" t="s">
        <v>36</v>
      </c>
      <c r="C215" s="58" t="s">
        <v>37</v>
      </c>
      <c r="D215" s="59" t="s">
        <v>36</v>
      </c>
      <c r="E215" s="60" t="s">
        <v>38</v>
      </c>
      <c r="F215" s="58" t="s">
        <v>39</v>
      </c>
      <c r="G215" s="57" t="s">
        <v>40</v>
      </c>
      <c r="H215" s="60" t="s">
        <v>41</v>
      </c>
      <c r="I215" s="58" t="s">
        <v>524</v>
      </c>
      <c r="J215" s="57" t="s">
        <v>525</v>
      </c>
      <c r="K215" s="60" t="s">
        <v>526</v>
      </c>
      <c r="L215" s="58" t="s">
        <v>527</v>
      </c>
      <c r="M215" s="57" t="s">
        <v>528</v>
      </c>
      <c r="N215" s="60" t="s">
        <v>529</v>
      </c>
      <c r="O215" s="58" t="s">
        <v>63</v>
      </c>
      <c r="P215" s="57" t="s">
        <v>64</v>
      </c>
      <c r="Q215" s="60" t="s">
        <v>65</v>
      </c>
      <c r="R215" s="64" t="s">
        <v>51</v>
      </c>
      <c r="S215" s="65" t="s">
        <v>696</v>
      </c>
      <c r="T215" s="66">
        <v>450</v>
      </c>
      <c r="U215" s="67">
        <v>-450</v>
      </c>
      <c r="V215" s="68">
        <v>-450</v>
      </c>
      <c r="W215" s="60" t="s">
        <v>697</v>
      </c>
      <c r="X215" s="69">
        <v>45968</v>
      </c>
      <c r="Y215" s="70">
        <v>45985</v>
      </c>
      <c r="Z215" s="60" t="s">
        <v>694</v>
      </c>
      <c r="AA215" s="44" t="s">
        <v>695</v>
      </c>
      <c r="AB215" s="57" t="s">
        <v>56</v>
      </c>
      <c r="AC215" s="59" t="s">
        <v>236</v>
      </c>
      <c r="AD215" s="60"/>
      <c r="AE215" s="71">
        <v>-450</v>
      </c>
      <c r="AF215" s="48" t="s">
        <v>58</v>
      </c>
      <c r="AG215" s="48" t="s">
        <v>59</v>
      </c>
      <c r="AH215" s="49" t="s">
        <v>70</v>
      </c>
      <c r="AI215" s="49" t="s">
        <v>71</v>
      </c>
      <c r="AJ215" s="50" t="s">
        <v>72</v>
      </c>
    </row>
    <row r="216" spans="1:36" ht="15.75" x14ac:dyDescent="0.25">
      <c r="A216" s="26">
        <v>27935</v>
      </c>
      <c r="B216" s="57" t="s">
        <v>36</v>
      </c>
      <c r="C216" s="58" t="s">
        <v>37</v>
      </c>
      <c r="D216" s="59" t="s">
        <v>36</v>
      </c>
      <c r="E216" s="60" t="s">
        <v>38</v>
      </c>
      <c r="F216" s="58" t="s">
        <v>39</v>
      </c>
      <c r="G216" s="57" t="s">
        <v>40</v>
      </c>
      <c r="H216" s="60" t="s">
        <v>41</v>
      </c>
      <c r="I216" s="58" t="s">
        <v>524</v>
      </c>
      <c r="J216" s="57" t="s">
        <v>525</v>
      </c>
      <c r="K216" s="60" t="s">
        <v>526</v>
      </c>
      <c r="L216" s="58" t="s">
        <v>527</v>
      </c>
      <c r="M216" s="57" t="s">
        <v>528</v>
      </c>
      <c r="N216" s="60" t="s">
        <v>529</v>
      </c>
      <c r="O216" s="58" t="s">
        <v>63</v>
      </c>
      <c r="P216" s="57" t="s">
        <v>64</v>
      </c>
      <c r="Q216" s="60" t="s">
        <v>65</v>
      </c>
      <c r="R216" s="64" t="s">
        <v>51</v>
      </c>
      <c r="S216" s="65" t="s">
        <v>698</v>
      </c>
      <c r="T216" s="66">
        <v>4000</v>
      </c>
      <c r="U216" s="67">
        <v>-800</v>
      </c>
      <c r="V216" s="68">
        <v>-800</v>
      </c>
      <c r="W216" s="60" t="s">
        <v>699</v>
      </c>
      <c r="X216" s="69">
        <v>45971</v>
      </c>
      <c r="Y216" s="70">
        <v>45978</v>
      </c>
      <c r="Z216" s="60" t="s">
        <v>655</v>
      </c>
      <c r="AA216" s="44" t="s">
        <v>656</v>
      </c>
      <c r="AB216" s="57" t="s">
        <v>56</v>
      </c>
      <c r="AC216" s="59" t="s">
        <v>236</v>
      </c>
      <c r="AD216" s="60"/>
      <c r="AE216" s="71">
        <v>-800</v>
      </c>
      <c r="AF216" s="48" t="s">
        <v>58</v>
      </c>
      <c r="AG216" s="48" t="s">
        <v>59</v>
      </c>
      <c r="AH216" s="49" t="s">
        <v>70</v>
      </c>
      <c r="AI216" s="49" t="s">
        <v>71</v>
      </c>
      <c r="AJ216" s="50" t="s">
        <v>72</v>
      </c>
    </row>
    <row r="217" spans="1:36" ht="15.75" x14ac:dyDescent="0.25">
      <c r="A217" s="26">
        <v>27938</v>
      </c>
      <c r="B217" s="57" t="s">
        <v>36</v>
      </c>
      <c r="C217" s="58" t="s">
        <v>37</v>
      </c>
      <c r="D217" s="59" t="s">
        <v>36</v>
      </c>
      <c r="E217" s="60" t="s">
        <v>38</v>
      </c>
      <c r="F217" s="58" t="s">
        <v>39</v>
      </c>
      <c r="G217" s="57" t="s">
        <v>40</v>
      </c>
      <c r="H217" s="60" t="s">
        <v>41</v>
      </c>
      <c r="I217" s="58" t="s">
        <v>524</v>
      </c>
      <c r="J217" s="57" t="s">
        <v>525</v>
      </c>
      <c r="K217" s="60" t="s">
        <v>526</v>
      </c>
      <c r="L217" s="58" t="s">
        <v>527</v>
      </c>
      <c r="M217" s="57" t="s">
        <v>528</v>
      </c>
      <c r="N217" s="60" t="s">
        <v>529</v>
      </c>
      <c r="O217" s="58" t="s">
        <v>63</v>
      </c>
      <c r="P217" s="57" t="s">
        <v>64</v>
      </c>
      <c r="Q217" s="60" t="s">
        <v>65</v>
      </c>
      <c r="R217" s="64" t="s">
        <v>51</v>
      </c>
      <c r="S217" s="65" t="s">
        <v>700</v>
      </c>
      <c r="T217" s="66">
        <v>620</v>
      </c>
      <c r="U217" s="67">
        <v>-620</v>
      </c>
      <c r="V217" s="68">
        <v>-620</v>
      </c>
      <c r="W217" s="60" t="s">
        <v>701</v>
      </c>
      <c r="X217" s="69">
        <v>45971</v>
      </c>
      <c r="Y217" s="70">
        <v>45986</v>
      </c>
      <c r="Z217" s="60" t="s">
        <v>540</v>
      </c>
      <c r="AA217" s="44" t="s">
        <v>541</v>
      </c>
      <c r="AB217" s="57" t="s">
        <v>56</v>
      </c>
      <c r="AC217" s="59" t="s">
        <v>236</v>
      </c>
      <c r="AD217" s="60"/>
      <c r="AE217" s="71">
        <v>-620</v>
      </c>
      <c r="AF217" s="48" t="s">
        <v>58</v>
      </c>
      <c r="AG217" s="48" t="s">
        <v>59</v>
      </c>
      <c r="AH217" s="49" t="s">
        <v>70</v>
      </c>
      <c r="AI217" s="49" t="s">
        <v>71</v>
      </c>
      <c r="AJ217" s="50" t="s">
        <v>72</v>
      </c>
    </row>
    <row r="218" spans="1:36" ht="15.75" x14ac:dyDescent="0.25">
      <c r="A218" s="26">
        <v>27945</v>
      </c>
      <c r="B218" s="57" t="s">
        <v>36</v>
      </c>
      <c r="C218" s="58" t="s">
        <v>37</v>
      </c>
      <c r="D218" s="59" t="s">
        <v>36</v>
      </c>
      <c r="E218" s="60" t="s">
        <v>38</v>
      </c>
      <c r="F218" s="58" t="s">
        <v>39</v>
      </c>
      <c r="G218" s="57" t="s">
        <v>40</v>
      </c>
      <c r="H218" s="60" t="s">
        <v>41</v>
      </c>
      <c r="I218" s="58" t="s">
        <v>524</v>
      </c>
      <c r="J218" s="57" t="s">
        <v>525</v>
      </c>
      <c r="K218" s="60" t="s">
        <v>526</v>
      </c>
      <c r="L218" s="58" t="s">
        <v>527</v>
      </c>
      <c r="M218" s="57" t="s">
        <v>528</v>
      </c>
      <c r="N218" s="60" t="s">
        <v>529</v>
      </c>
      <c r="O218" s="58" t="s">
        <v>63</v>
      </c>
      <c r="P218" s="57" t="s">
        <v>64</v>
      </c>
      <c r="Q218" s="60" t="s">
        <v>65</v>
      </c>
      <c r="R218" s="64" t="s">
        <v>51</v>
      </c>
      <c r="S218" s="65" t="s">
        <v>702</v>
      </c>
      <c r="T218" s="66">
        <v>784.65</v>
      </c>
      <c r="U218" s="67">
        <v>-784.65</v>
      </c>
      <c r="V218" s="68">
        <v>-784.65</v>
      </c>
      <c r="W218" s="60" t="s">
        <v>703</v>
      </c>
      <c r="X218" s="69">
        <v>45975</v>
      </c>
      <c r="Y218" s="70" t="s">
        <v>256</v>
      </c>
      <c r="Z218" s="60" t="s">
        <v>79</v>
      </c>
      <c r="AA218" s="44" t="s">
        <v>80</v>
      </c>
      <c r="AB218" s="57" t="s">
        <v>56</v>
      </c>
      <c r="AC218" s="59" t="s">
        <v>236</v>
      </c>
      <c r="AD218" s="60"/>
      <c r="AE218" s="71">
        <v>-784.65</v>
      </c>
      <c r="AF218" s="48" t="s">
        <v>58</v>
      </c>
      <c r="AG218" s="48" t="s">
        <v>59</v>
      </c>
      <c r="AH218" s="49" t="s">
        <v>70</v>
      </c>
      <c r="AI218" s="49" t="s">
        <v>71</v>
      </c>
      <c r="AJ218" s="50" t="s">
        <v>72</v>
      </c>
    </row>
    <row r="219" spans="1:36" ht="15.75" x14ac:dyDescent="0.25">
      <c r="A219" s="26">
        <v>27946</v>
      </c>
      <c r="B219" s="57" t="s">
        <v>36</v>
      </c>
      <c r="C219" s="58" t="s">
        <v>37</v>
      </c>
      <c r="D219" s="59" t="s">
        <v>36</v>
      </c>
      <c r="E219" s="60" t="s">
        <v>38</v>
      </c>
      <c r="F219" s="58" t="s">
        <v>39</v>
      </c>
      <c r="G219" s="57" t="s">
        <v>40</v>
      </c>
      <c r="H219" s="60" t="s">
        <v>41</v>
      </c>
      <c r="I219" s="58" t="s">
        <v>524</v>
      </c>
      <c r="J219" s="57" t="s">
        <v>525</v>
      </c>
      <c r="K219" s="60" t="s">
        <v>526</v>
      </c>
      <c r="L219" s="58" t="s">
        <v>527</v>
      </c>
      <c r="M219" s="57" t="s">
        <v>528</v>
      </c>
      <c r="N219" s="60" t="s">
        <v>529</v>
      </c>
      <c r="O219" s="58" t="s">
        <v>63</v>
      </c>
      <c r="P219" s="57" t="s">
        <v>64</v>
      </c>
      <c r="Q219" s="60" t="s">
        <v>65</v>
      </c>
      <c r="R219" s="64" t="s">
        <v>51</v>
      </c>
      <c r="S219" s="65" t="s">
        <v>704</v>
      </c>
      <c r="T219" s="66">
        <v>844.2</v>
      </c>
      <c r="U219" s="67">
        <v>-844.2</v>
      </c>
      <c r="V219" s="68">
        <v>-844.2</v>
      </c>
      <c r="W219" s="60" t="s">
        <v>705</v>
      </c>
      <c r="X219" s="69">
        <v>45975</v>
      </c>
      <c r="Y219" s="70" t="s">
        <v>256</v>
      </c>
      <c r="Z219" s="60" t="s">
        <v>79</v>
      </c>
      <c r="AA219" s="44" t="s">
        <v>80</v>
      </c>
      <c r="AB219" s="57" t="s">
        <v>56</v>
      </c>
      <c r="AC219" s="59" t="s">
        <v>236</v>
      </c>
      <c r="AD219" s="60"/>
      <c r="AE219" s="71">
        <v>-844.2</v>
      </c>
      <c r="AF219" s="48" t="s">
        <v>58</v>
      </c>
      <c r="AG219" s="48" t="s">
        <v>59</v>
      </c>
      <c r="AH219" s="49" t="s">
        <v>70</v>
      </c>
      <c r="AI219" s="49" t="s">
        <v>71</v>
      </c>
      <c r="AJ219" s="50" t="s">
        <v>72</v>
      </c>
    </row>
    <row r="220" spans="1:36" ht="15.75" x14ac:dyDescent="0.25">
      <c r="A220" s="26">
        <v>27936</v>
      </c>
      <c r="B220" s="57" t="s">
        <v>36</v>
      </c>
      <c r="C220" s="58" t="s">
        <v>37</v>
      </c>
      <c r="D220" s="59" t="s">
        <v>36</v>
      </c>
      <c r="E220" s="60" t="s">
        <v>38</v>
      </c>
      <c r="F220" s="58" t="s">
        <v>39</v>
      </c>
      <c r="G220" s="57" t="s">
        <v>40</v>
      </c>
      <c r="H220" s="60" t="s">
        <v>41</v>
      </c>
      <c r="I220" s="58" t="s">
        <v>524</v>
      </c>
      <c r="J220" s="57" t="s">
        <v>525</v>
      </c>
      <c r="K220" s="60" t="s">
        <v>526</v>
      </c>
      <c r="L220" s="58" t="s">
        <v>527</v>
      </c>
      <c r="M220" s="57" t="s">
        <v>528</v>
      </c>
      <c r="N220" s="60" t="s">
        <v>529</v>
      </c>
      <c r="O220" s="58" t="s">
        <v>63</v>
      </c>
      <c r="P220" s="57" t="s">
        <v>64</v>
      </c>
      <c r="Q220" s="60" t="s">
        <v>65</v>
      </c>
      <c r="R220" s="64" t="s">
        <v>51</v>
      </c>
      <c r="S220" s="65" t="s">
        <v>706</v>
      </c>
      <c r="T220" s="66">
        <v>320</v>
      </c>
      <c r="U220" s="67">
        <v>-320</v>
      </c>
      <c r="V220" s="68">
        <v>-320</v>
      </c>
      <c r="W220" s="60" t="s">
        <v>707</v>
      </c>
      <c r="X220" s="69">
        <v>45979</v>
      </c>
      <c r="Y220" s="70" t="s">
        <v>256</v>
      </c>
      <c r="Z220" s="60" t="s">
        <v>708</v>
      </c>
      <c r="AA220" s="44" t="s">
        <v>709</v>
      </c>
      <c r="AB220" s="57" t="s">
        <v>56</v>
      </c>
      <c r="AC220" s="59" t="s">
        <v>236</v>
      </c>
      <c r="AD220" s="60"/>
      <c r="AE220" s="71">
        <v>-320</v>
      </c>
      <c r="AF220" s="48" t="s">
        <v>58</v>
      </c>
      <c r="AG220" s="48" t="s">
        <v>59</v>
      </c>
      <c r="AH220" s="49" t="s">
        <v>70</v>
      </c>
      <c r="AI220" s="49" t="s">
        <v>71</v>
      </c>
      <c r="AJ220" s="50" t="s">
        <v>72</v>
      </c>
    </row>
    <row r="221" spans="1:36" ht="15.75" x14ac:dyDescent="0.25">
      <c r="A221" s="26">
        <v>27941</v>
      </c>
      <c r="B221" s="57" t="s">
        <v>36</v>
      </c>
      <c r="C221" s="58" t="s">
        <v>37</v>
      </c>
      <c r="D221" s="59" t="s">
        <v>36</v>
      </c>
      <c r="E221" s="60" t="s">
        <v>38</v>
      </c>
      <c r="F221" s="58" t="s">
        <v>39</v>
      </c>
      <c r="G221" s="57" t="s">
        <v>40</v>
      </c>
      <c r="H221" s="60" t="s">
        <v>41</v>
      </c>
      <c r="I221" s="58" t="s">
        <v>524</v>
      </c>
      <c r="J221" s="57" t="s">
        <v>525</v>
      </c>
      <c r="K221" s="60" t="s">
        <v>526</v>
      </c>
      <c r="L221" s="58" t="s">
        <v>527</v>
      </c>
      <c r="M221" s="57" t="s">
        <v>528</v>
      </c>
      <c r="N221" s="60" t="s">
        <v>529</v>
      </c>
      <c r="O221" s="58" t="s">
        <v>63</v>
      </c>
      <c r="P221" s="57" t="s">
        <v>64</v>
      </c>
      <c r="Q221" s="60" t="s">
        <v>65</v>
      </c>
      <c r="R221" s="64" t="s">
        <v>51</v>
      </c>
      <c r="S221" s="65" t="s">
        <v>710</v>
      </c>
      <c r="T221" s="66">
        <v>19.2</v>
      </c>
      <c r="U221" s="67">
        <v>-19.2</v>
      </c>
      <c r="V221" s="68">
        <v>-19.2</v>
      </c>
      <c r="W221" s="60" t="s">
        <v>711</v>
      </c>
      <c r="X221" s="69">
        <v>45979</v>
      </c>
      <c r="Y221" s="70" t="s">
        <v>256</v>
      </c>
      <c r="Z221" s="60" t="s">
        <v>164</v>
      </c>
      <c r="AA221" s="44" t="s">
        <v>165</v>
      </c>
      <c r="AB221" s="57" t="s">
        <v>56</v>
      </c>
      <c r="AC221" s="59" t="s">
        <v>236</v>
      </c>
      <c r="AD221" s="60"/>
      <c r="AE221" s="71">
        <v>-19.2</v>
      </c>
      <c r="AF221" s="48" t="s">
        <v>58</v>
      </c>
      <c r="AG221" s="48" t="s">
        <v>59</v>
      </c>
      <c r="AH221" s="49" t="s">
        <v>70</v>
      </c>
      <c r="AI221" s="49" t="s">
        <v>71</v>
      </c>
      <c r="AJ221" s="50" t="s">
        <v>72</v>
      </c>
    </row>
    <row r="222" spans="1:36" ht="15.75" x14ac:dyDescent="0.25">
      <c r="A222" s="26">
        <v>27942</v>
      </c>
      <c r="B222" s="57" t="s">
        <v>36</v>
      </c>
      <c r="C222" s="58" t="s">
        <v>37</v>
      </c>
      <c r="D222" s="59" t="s">
        <v>36</v>
      </c>
      <c r="E222" s="60" t="s">
        <v>38</v>
      </c>
      <c r="F222" s="58" t="s">
        <v>39</v>
      </c>
      <c r="G222" s="57" t="s">
        <v>40</v>
      </c>
      <c r="H222" s="60" t="s">
        <v>41</v>
      </c>
      <c r="I222" s="58" t="s">
        <v>524</v>
      </c>
      <c r="J222" s="57" t="s">
        <v>525</v>
      </c>
      <c r="K222" s="60" t="s">
        <v>526</v>
      </c>
      <c r="L222" s="58" t="s">
        <v>527</v>
      </c>
      <c r="M222" s="57" t="s">
        <v>528</v>
      </c>
      <c r="N222" s="60" t="s">
        <v>529</v>
      </c>
      <c r="O222" s="58" t="s">
        <v>63</v>
      </c>
      <c r="P222" s="57" t="s">
        <v>64</v>
      </c>
      <c r="Q222" s="60" t="s">
        <v>65</v>
      </c>
      <c r="R222" s="64" t="s">
        <v>121</v>
      </c>
      <c r="S222" s="65" t="s">
        <v>712</v>
      </c>
      <c r="T222" s="66">
        <v>790</v>
      </c>
      <c r="U222" s="67">
        <v>-197.5</v>
      </c>
      <c r="V222" s="68">
        <v>-197.5</v>
      </c>
      <c r="W222" s="60" t="s">
        <v>713</v>
      </c>
      <c r="X222" s="69">
        <v>45982</v>
      </c>
      <c r="Y222" s="70">
        <v>45986</v>
      </c>
      <c r="Z222" s="60" t="s">
        <v>714</v>
      </c>
      <c r="AA222" s="44" t="s">
        <v>715</v>
      </c>
      <c r="AB222" s="57" t="s">
        <v>56</v>
      </c>
      <c r="AC222" s="59" t="s">
        <v>236</v>
      </c>
      <c r="AD222" s="60"/>
      <c r="AE222" s="71">
        <v>-197.5</v>
      </c>
      <c r="AF222" s="48" t="s">
        <v>58</v>
      </c>
      <c r="AG222" s="48" t="s">
        <v>59</v>
      </c>
      <c r="AH222" s="49" t="s">
        <v>70</v>
      </c>
      <c r="AI222" s="49" t="s">
        <v>71</v>
      </c>
      <c r="AJ222" s="50" t="s">
        <v>72</v>
      </c>
    </row>
    <row r="223" spans="1:36" ht="15.75" x14ac:dyDescent="0.25">
      <c r="A223" s="26">
        <v>27943</v>
      </c>
      <c r="B223" s="57" t="s">
        <v>36</v>
      </c>
      <c r="C223" s="58" t="s">
        <v>37</v>
      </c>
      <c r="D223" s="59" t="s">
        <v>36</v>
      </c>
      <c r="E223" s="60" t="s">
        <v>38</v>
      </c>
      <c r="F223" s="58" t="s">
        <v>39</v>
      </c>
      <c r="G223" s="57" t="s">
        <v>40</v>
      </c>
      <c r="H223" s="60" t="s">
        <v>41</v>
      </c>
      <c r="I223" s="58" t="s">
        <v>524</v>
      </c>
      <c r="J223" s="57" t="s">
        <v>525</v>
      </c>
      <c r="K223" s="60" t="s">
        <v>526</v>
      </c>
      <c r="L223" s="58" t="s">
        <v>527</v>
      </c>
      <c r="M223" s="57" t="s">
        <v>528</v>
      </c>
      <c r="N223" s="60" t="s">
        <v>529</v>
      </c>
      <c r="O223" s="58" t="s">
        <v>665</v>
      </c>
      <c r="P223" s="57" t="s">
        <v>666</v>
      </c>
      <c r="Q223" s="60" t="s">
        <v>667</v>
      </c>
      <c r="R223" s="64" t="s">
        <v>121</v>
      </c>
      <c r="S223" s="65" t="s">
        <v>712</v>
      </c>
      <c r="T223" s="66">
        <v>790</v>
      </c>
      <c r="U223" s="67">
        <v>-197.5</v>
      </c>
      <c r="V223" s="68">
        <v>-197.5</v>
      </c>
      <c r="W223" s="60" t="s">
        <v>713</v>
      </c>
      <c r="X223" s="69">
        <v>45982</v>
      </c>
      <c r="Y223" s="70">
        <v>45986</v>
      </c>
      <c r="Z223" s="60" t="s">
        <v>714</v>
      </c>
      <c r="AA223" s="44" t="s">
        <v>715</v>
      </c>
      <c r="AB223" s="57" t="s">
        <v>56</v>
      </c>
      <c r="AC223" s="59" t="s">
        <v>236</v>
      </c>
      <c r="AD223" s="60"/>
      <c r="AE223" s="71">
        <v>-197.5</v>
      </c>
      <c r="AF223" s="48" t="s">
        <v>58</v>
      </c>
      <c r="AG223" s="48" t="s">
        <v>59</v>
      </c>
      <c r="AH223" s="49" t="s">
        <v>670</v>
      </c>
      <c r="AI223" s="49" t="s">
        <v>71</v>
      </c>
      <c r="AJ223" s="50" t="s">
        <v>72</v>
      </c>
    </row>
    <row r="224" spans="1:36" ht="15.75" x14ac:dyDescent="0.25">
      <c r="A224" s="26">
        <v>27951</v>
      </c>
      <c r="B224" s="57" t="s">
        <v>36</v>
      </c>
      <c r="C224" s="58" t="s">
        <v>37</v>
      </c>
      <c r="D224" s="59" t="s">
        <v>36</v>
      </c>
      <c r="E224" s="60" t="s">
        <v>38</v>
      </c>
      <c r="F224" s="58" t="s">
        <v>39</v>
      </c>
      <c r="G224" s="57" t="s">
        <v>40</v>
      </c>
      <c r="H224" s="60" t="s">
        <v>41</v>
      </c>
      <c r="I224" s="58" t="s">
        <v>524</v>
      </c>
      <c r="J224" s="57" t="s">
        <v>525</v>
      </c>
      <c r="K224" s="60" t="s">
        <v>526</v>
      </c>
      <c r="L224" s="58" t="s">
        <v>527</v>
      </c>
      <c r="M224" s="57" t="s">
        <v>528</v>
      </c>
      <c r="N224" s="60" t="s">
        <v>529</v>
      </c>
      <c r="O224" s="58" t="s">
        <v>63</v>
      </c>
      <c r="P224" s="57" t="s">
        <v>64</v>
      </c>
      <c r="Q224" s="60" t="s">
        <v>65</v>
      </c>
      <c r="R224" s="64" t="s">
        <v>51</v>
      </c>
      <c r="S224" s="65" t="s">
        <v>716</v>
      </c>
      <c r="T224" s="66">
        <v>4200</v>
      </c>
      <c r="U224" s="67">
        <v>-1400</v>
      </c>
      <c r="V224" s="68">
        <v>-1400</v>
      </c>
      <c r="W224" s="60" t="s">
        <v>717</v>
      </c>
      <c r="X224" s="69">
        <v>45988</v>
      </c>
      <c r="Y224" s="70" t="s">
        <v>256</v>
      </c>
      <c r="Z224" s="60" t="s">
        <v>410</v>
      </c>
      <c r="AA224" s="44" t="s">
        <v>411</v>
      </c>
      <c r="AB224" s="57" t="s">
        <v>56</v>
      </c>
      <c r="AC224" s="59" t="s">
        <v>236</v>
      </c>
      <c r="AD224" s="60"/>
      <c r="AE224" s="71">
        <v>-1400</v>
      </c>
      <c r="AF224" s="48" t="s">
        <v>58</v>
      </c>
      <c r="AG224" s="48" t="s">
        <v>59</v>
      </c>
      <c r="AH224" s="49" t="s">
        <v>70</v>
      </c>
      <c r="AI224" s="49" t="s">
        <v>71</v>
      </c>
      <c r="AJ224" s="50" t="s">
        <v>72</v>
      </c>
    </row>
    <row r="225" spans="1:36" ht="15.75" x14ac:dyDescent="0.25">
      <c r="A225" s="26">
        <v>29580</v>
      </c>
      <c r="B225" s="57" t="s">
        <v>36</v>
      </c>
      <c r="C225" s="58" t="s">
        <v>37</v>
      </c>
      <c r="D225" s="59" t="s">
        <v>36</v>
      </c>
      <c r="E225" s="60" t="s">
        <v>38</v>
      </c>
      <c r="F225" s="58" t="s">
        <v>39</v>
      </c>
      <c r="G225" s="57" t="s">
        <v>40</v>
      </c>
      <c r="H225" s="60" t="s">
        <v>41</v>
      </c>
      <c r="I225" s="58" t="s">
        <v>524</v>
      </c>
      <c r="J225" s="57" t="s">
        <v>525</v>
      </c>
      <c r="K225" s="60" t="s">
        <v>526</v>
      </c>
      <c r="L225" s="58" t="s">
        <v>527</v>
      </c>
      <c r="M225" s="57" t="s">
        <v>528</v>
      </c>
      <c r="N225" s="60" t="s">
        <v>529</v>
      </c>
      <c r="O225" s="58" t="s">
        <v>63</v>
      </c>
      <c r="P225" s="57" t="s">
        <v>64</v>
      </c>
      <c r="Q225" s="60" t="s">
        <v>65</v>
      </c>
      <c r="R225" s="64" t="s">
        <v>51</v>
      </c>
      <c r="S225" s="65" t="s">
        <v>718</v>
      </c>
      <c r="T225" s="66">
        <v>-742.86</v>
      </c>
      <c r="U225" s="67">
        <v>-742.86</v>
      </c>
      <c r="V225" s="68">
        <v>-742.86</v>
      </c>
      <c r="W225" s="60" t="s">
        <v>719</v>
      </c>
      <c r="X225" s="69">
        <v>45992</v>
      </c>
      <c r="Y225" s="70">
        <v>45996</v>
      </c>
      <c r="Z225" s="60" t="s">
        <v>655</v>
      </c>
      <c r="AA225" s="44" t="s">
        <v>656</v>
      </c>
      <c r="AB225" s="57" t="s">
        <v>268</v>
      </c>
      <c r="AC225" s="59" t="s">
        <v>236</v>
      </c>
      <c r="AD225" s="60"/>
      <c r="AE225" s="71">
        <v>-742.86</v>
      </c>
      <c r="AF225" s="48" t="s">
        <v>58</v>
      </c>
      <c r="AG225" s="48" t="s">
        <v>59</v>
      </c>
      <c r="AH225" s="49" t="s">
        <v>70</v>
      </c>
      <c r="AI225" s="49" t="s">
        <v>71</v>
      </c>
      <c r="AJ225" s="50" t="s">
        <v>72</v>
      </c>
    </row>
    <row r="226" spans="1:36" ht="15.75" x14ac:dyDescent="0.25">
      <c r="A226" s="26">
        <v>30666</v>
      </c>
      <c r="B226" s="57" t="s">
        <v>36</v>
      </c>
      <c r="C226" s="58" t="s">
        <v>37</v>
      </c>
      <c r="D226" s="59" t="s">
        <v>36</v>
      </c>
      <c r="E226" s="60" t="s">
        <v>38</v>
      </c>
      <c r="F226" s="58" t="s">
        <v>39</v>
      </c>
      <c r="G226" s="57" t="s">
        <v>40</v>
      </c>
      <c r="H226" s="60" t="s">
        <v>41</v>
      </c>
      <c r="I226" s="58" t="s">
        <v>524</v>
      </c>
      <c r="J226" s="57" t="s">
        <v>525</v>
      </c>
      <c r="K226" s="60" t="s">
        <v>526</v>
      </c>
      <c r="L226" s="58" t="s">
        <v>527</v>
      </c>
      <c r="M226" s="57" t="s">
        <v>528</v>
      </c>
      <c r="N226" s="60" t="s">
        <v>529</v>
      </c>
      <c r="O226" s="58" t="s">
        <v>63</v>
      </c>
      <c r="P226" s="57" t="s">
        <v>64</v>
      </c>
      <c r="Q226" s="60" t="s">
        <v>65</v>
      </c>
      <c r="R226" s="64" t="s">
        <v>51</v>
      </c>
      <c r="S226" s="65" t="s">
        <v>720</v>
      </c>
      <c r="T226" s="66">
        <v>-1698</v>
      </c>
      <c r="U226" s="67">
        <v>-1698</v>
      </c>
      <c r="V226" s="68">
        <v>-1698</v>
      </c>
      <c r="W226" s="60" t="s">
        <v>721</v>
      </c>
      <c r="X226" s="69">
        <v>46006</v>
      </c>
      <c r="Y226" s="70">
        <v>46009</v>
      </c>
      <c r="Z226" s="60" t="s">
        <v>722</v>
      </c>
      <c r="AA226" s="44" t="s">
        <v>723</v>
      </c>
      <c r="AB226" s="57" t="s">
        <v>268</v>
      </c>
      <c r="AC226" s="59" t="s">
        <v>236</v>
      </c>
      <c r="AD226" s="60"/>
      <c r="AE226" s="71">
        <v>-1698</v>
      </c>
      <c r="AF226" s="48" t="s">
        <v>58</v>
      </c>
      <c r="AG226" s="48" t="s">
        <v>59</v>
      </c>
      <c r="AH226" s="49" t="s">
        <v>70</v>
      </c>
      <c r="AI226" s="49" t="s">
        <v>71</v>
      </c>
      <c r="AJ226" s="50" t="s">
        <v>72</v>
      </c>
    </row>
    <row r="227" spans="1:36" ht="15.75" x14ac:dyDescent="0.25">
      <c r="A227" s="26">
        <v>31275</v>
      </c>
      <c r="B227" s="57" t="s">
        <v>36</v>
      </c>
      <c r="C227" s="58" t="s">
        <v>37</v>
      </c>
      <c r="D227" s="59" t="s">
        <v>36</v>
      </c>
      <c r="E227" s="60" t="s">
        <v>38</v>
      </c>
      <c r="F227" s="58" t="s">
        <v>39</v>
      </c>
      <c r="G227" s="57" t="s">
        <v>40</v>
      </c>
      <c r="H227" s="60" t="s">
        <v>41</v>
      </c>
      <c r="I227" s="58" t="s">
        <v>524</v>
      </c>
      <c r="J227" s="57" t="s">
        <v>525</v>
      </c>
      <c r="K227" s="60" t="s">
        <v>526</v>
      </c>
      <c r="L227" s="58" t="s">
        <v>527</v>
      </c>
      <c r="M227" s="57" t="s">
        <v>528</v>
      </c>
      <c r="N227" s="60" t="s">
        <v>529</v>
      </c>
      <c r="O227" s="58" t="s">
        <v>63</v>
      </c>
      <c r="P227" s="57" t="s">
        <v>64</v>
      </c>
      <c r="Q227" s="60" t="s">
        <v>65</v>
      </c>
      <c r="R227" s="64" t="s">
        <v>51</v>
      </c>
      <c r="S227" s="65" t="s">
        <v>724</v>
      </c>
      <c r="T227" s="66">
        <v>-230</v>
      </c>
      <c r="U227" s="67">
        <v>-230</v>
      </c>
      <c r="V227" s="68">
        <v>-230</v>
      </c>
      <c r="W227" s="60" t="s">
        <v>725</v>
      </c>
      <c r="X227" s="69">
        <v>46021</v>
      </c>
      <c r="Y227" s="70">
        <v>46034</v>
      </c>
      <c r="Z227" s="60" t="s">
        <v>532</v>
      </c>
      <c r="AA227" s="44" t="s">
        <v>533</v>
      </c>
      <c r="AB227" s="57" t="s">
        <v>268</v>
      </c>
      <c r="AC227" s="59" t="s">
        <v>236</v>
      </c>
      <c r="AD227" s="60"/>
      <c r="AE227" s="71">
        <v>-230</v>
      </c>
      <c r="AF227" s="48" t="s">
        <v>58</v>
      </c>
      <c r="AG227" s="48" t="s">
        <v>59</v>
      </c>
      <c r="AH227" s="49" t="s">
        <v>70</v>
      </c>
      <c r="AI227" s="49" t="s">
        <v>71</v>
      </c>
      <c r="AJ227" s="50" t="s">
        <v>72</v>
      </c>
    </row>
    <row r="228" spans="1:36" ht="15.75" x14ac:dyDescent="0.25">
      <c r="A228" s="26">
        <v>14140</v>
      </c>
      <c r="B228" s="32" t="s">
        <v>726</v>
      </c>
      <c r="C228" s="31" t="s">
        <v>727</v>
      </c>
      <c r="D228" s="56" t="s">
        <v>726</v>
      </c>
      <c r="E228" s="33" t="s">
        <v>728</v>
      </c>
      <c r="F228" s="31" t="s">
        <v>729</v>
      </c>
      <c r="G228" s="84" t="s">
        <v>730</v>
      </c>
      <c r="H228" s="85" t="s">
        <v>731</v>
      </c>
      <c r="I228" s="31" t="s">
        <v>732</v>
      </c>
      <c r="J228" s="32" t="s">
        <v>733</v>
      </c>
      <c r="K228" s="33" t="s">
        <v>734</v>
      </c>
      <c r="L228" s="31" t="s">
        <v>735</v>
      </c>
      <c r="M228" s="32" t="s">
        <v>736</v>
      </c>
      <c r="N228" s="33" t="s">
        <v>737</v>
      </c>
      <c r="O228" s="31" t="s">
        <v>738</v>
      </c>
      <c r="P228" s="32" t="s">
        <v>739</v>
      </c>
      <c r="Q228" s="33" t="s">
        <v>740</v>
      </c>
      <c r="R228" s="37" t="s">
        <v>741</v>
      </c>
      <c r="S228" s="38"/>
      <c r="T228" s="39">
        <v>7407.47</v>
      </c>
      <c r="U228" s="40"/>
      <c r="V228" s="41">
        <v>-7407.47</v>
      </c>
      <c r="W228" s="33" t="s">
        <v>742</v>
      </c>
      <c r="X228" s="42">
        <v>45809</v>
      </c>
      <c r="Y228" s="43"/>
      <c r="Z228" s="33"/>
      <c r="AA228" s="44" t="s">
        <v>743</v>
      </c>
      <c r="AB228" s="45" t="s">
        <v>56</v>
      </c>
      <c r="AC228" s="46" t="s">
        <v>57</v>
      </c>
      <c r="AD228" s="33" t="s">
        <v>744</v>
      </c>
      <c r="AE228" s="47">
        <v>-7407.47</v>
      </c>
      <c r="AF228" s="48" t="s">
        <v>58</v>
      </c>
      <c r="AG228" s="48" t="s">
        <v>59</v>
      </c>
      <c r="AH228" s="49" t="s">
        <v>259</v>
      </c>
      <c r="AI228" s="49" t="s">
        <v>61</v>
      </c>
      <c r="AJ228" s="50" t="s">
        <v>62</v>
      </c>
    </row>
    <row r="229" spans="1:36" ht="15.75" x14ac:dyDescent="0.25">
      <c r="A229" s="26">
        <v>13184</v>
      </c>
      <c r="B229" s="32" t="s">
        <v>726</v>
      </c>
      <c r="C229" s="31" t="s">
        <v>727</v>
      </c>
      <c r="D229" s="56" t="s">
        <v>726</v>
      </c>
      <c r="E229" s="33" t="s">
        <v>728</v>
      </c>
      <c r="F229" s="31" t="s">
        <v>729</v>
      </c>
      <c r="G229" s="84" t="s">
        <v>730</v>
      </c>
      <c r="H229" s="85" t="s">
        <v>731</v>
      </c>
      <c r="I229" s="31" t="s">
        <v>732</v>
      </c>
      <c r="J229" s="32" t="s">
        <v>733</v>
      </c>
      <c r="K229" s="33" t="s">
        <v>734</v>
      </c>
      <c r="L229" s="34" t="s">
        <v>735</v>
      </c>
      <c r="M229" s="35" t="s">
        <v>736</v>
      </c>
      <c r="N229" s="36" t="s">
        <v>737</v>
      </c>
      <c r="O229" s="86" t="s">
        <v>262</v>
      </c>
      <c r="P229" s="87" t="s">
        <v>263</v>
      </c>
      <c r="Q229" s="53" t="s">
        <v>264</v>
      </c>
      <c r="R229" s="37" t="s">
        <v>103</v>
      </c>
      <c r="S229" s="38" t="s">
        <v>745</v>
      </c>
      <c r="T229" s="39">
        <v>7012.56</v>
      </c>
      <c r="U229" s="40">
        <v>-7012.56</v>
      </c>
      <c r="V229" s="41">
        <v>-7012.56</v>
      </c>
      <c r="W229" s="33" t="s">
        <v>746</v>
      </c>
      <c r="X229" s="42">
        <v>45814</v>
      </c>
      <c r="Y229" s="43">
        <v>45845</v>
      </c>
      <c r="Z229" s="33" t="s">
        <v>619</v>
      </c>
      <c r="AA229" s="44" t="s">
        <v>747</v>
      </c>
      <c r="AB229" s="45" t="s">
        <v>56</v>
      </c>
      <c r="AC229" s="46" t="s">
        <v>57</v>
      </c>
      <c r="AD229" s="33"/>
      <c r="AE229" s="47">
        <v>-7012.56</v>
      </c>
      <c r="AF229" s="48" t="s">
        <v>58</v>
      </c>
      <c r="AG229" s="48" t="s">
        <v>59</v>
      </c>
      <c r="AH229" s="49" t="s">
        <v>265</v>
      </c>
      <c r="AI229" s="49" t="s">
        <v>61</v>
      </c>
      <c r="AJ229" s="50" t="s">
        <v>62</v>
      </c>
    </row>
    <row r="230" spans="1:36" ht="15.75" x14ac:dyDescent="0.25">
      <c r="A230" s="26">
        <v>16791</v>
      </c>
      <c r="B230" s="32" t="s">
        <v>726</v>
      </c>
      <c r="C230" s="31" t="s">
        <v>727</v>
      </c>
      <c r="D230" s="56" t="s">
        <v>726</v>
      </c>
      <c r="E230" s="33" t="s">
        <v>728</v>
      </c>
      <c r="F230" s="31" t="s">
        <v>729</v>
      </c>
      <c r="G230" s="32" t="s">
        <v>730</v>
      </c>
      <c r="H230" s="85" t="s">
        <v>731</v>
      </c>
      <c r="I230" s="31" t="s">
        <v>732</v>
      </c>
      <c r="J230" s="32" t="s">
        <v>733</v>
      </c>
      <c r="K230" s="33" t="s">
        <v>734</v>
      </c>
      <c r="L230" s="31" t="s">
        <v>735</v>
      </c>
      <c r="M230" s="32" t="s">
        <v>736</v>
      </c>
      <c r="N230" s="33" t="s">
        <v>737</v>
      </c>
      <c r="O230" s="31" t="s">
        <v>738</v>
      </c>
      <c r="P230" s="32" t="s">
        <v>739</v>
      </c>
      <c r="Q230" s="33" t="s">
        <v>740</v>
      </c>
      <c r="R230" s="37" t="s">
        <v>741</v>
      </c>
      <c r="S230" s="38"/>
      <c r="T230" s="39">
        <v>8073.91</v>
      </c>
      <c r="U230" s="40"/>
      <c r="V230" s="41">
        <v>-8073.91</v>
      </c>
      <c r="W230" s="33" t="s">
        <v>748</v>
      </c>
      <c r="X230" s="42">
        <v>45839</v>
      </c>
      <c r="Y230" s="43"/>
      <c r="Z230" s="33"/>
      <c r="AA230" s="44" t="s">
        <v>743</v>
      </c>
      <c r="AB230" s="32" t="s">
        <v>56</v>
      </c>
      <c r="AC230" s="56" t="s">
        <v>57</v>
      </c>
      <c r="AD230" s="33"/>
      <c r="AE230" s="47">
        <v>-8073.91</v>
      </c>
      <c r="AF230" s="48" t="s">
        <v>58</v>
      </c>
      <c r="AG230" s="48" t="s">
        <v>59</v>
      </c>
      <c r="AH230" s="49" t="s">
        <v>259</v>
      </c>
      <c r="AI230" s="49" t="s">
        <v>61</v>
      </c>
      <c r="AJ230" s="50" t="s">
        <v>62</v>
      </c>
    </row>
    <row r="231" spans="1:36" ht="15.75" x14ac:dyDescent="0.25">
      <c r="A231" s="26">
        <v>14386</v>
      </c>
      <c r="B231" s="32" t="s">
        <v>726</v>
      </c>
      <c r="C231" s="31" t="s">
        <v>727</v>
      </c>
      <c r="D231" s="56" t="s">
        <v>726</v>
      </c>
      <c r="E231" s="33" t="s">
        <v>728</v>
      </c>
      <c r="F231" s="31" t="s">
        <v>729</v>
      </c>
      <c r="G231" s="84" t="s">
        <v>730</v>
      </c>
      <c r="H231" s="85" t="s">
        <v>731</v>
      </c>
      <c r="I231" s="31" t="s">
        <v>732</v>
      </c>
      <c r="J231" s="32" t="s">
        <v>733</v>
      </c>
      <c r="K231" s="33" t="s">
        <v>734</v>
      </c>
      <c r="L231" s="31" t="s">
        <v>735</v>
      </c>
      <c r="M231" s="32" t="s">
        <v>736</v>
      </c>
      <c r="N231" s="33" t="s">
        <v>737</v>
      </c>
      <c r="O231" s="31" t="s">
        <v>83</v>
      </c>
      <c r="P231" s="32" t="s">
        <v>84</v>
      </c>
      <c r="Q231" s="33" t="s">
        <v>85</v>
      </c>
      <c r="R231" s="37" t="s">
        <v>121</v>
      </c>
      <c r="S231" s="38" t="s">
        <v>749</v>
      </c>
      <c r="T231" s="39">
        <v>-58.97</v>
      </c>
      <c r="U231" s="40"/>
      <c r="V231" s="41">
        <v>-58.97</v>
      </c>
      <c r="W231" s="33" t="s">
        <v>750</v>
      </c>
      <c r="X231" s="42">
        <v>45846</v>
      </c>
      <c r="Y231" s="43">
        <v>45874</v>
      </c>
      <c r="Z231" s="33" t="s">
        <v>54</v>
      </c>
      <c r="AA231" s="44" t="s">
        <v>55</v>
      </c>
      <c r="AB231" s="45" t="s">
        <v>56</v>
      </c>
      <c r="AC231" s="46" t="s">
        <v>57</v>
      </c>
      <c r="AD231" s="33"/>
      <c r="AE231" s="47">
        <v>-58.97</v>
      </c>
      <c r="AF231" s="48" t="s">
        <v>58</v>
      </c>
      <c r="AG231" s="48" t="s">
        <v>59</v>
      </c>
      <c r="AH231" s="49" t="s">
        <v>89</v>
      </c>
      <c r="AI231" s="49" t="s">
        <v>61</v>
      </c>
      <c r="AJ231" s="50" t="s">
        <v>62</v>
      </c>
    </row>
    <row r="232" spans="1:36" ht="15.75" x14ac:dyDescent="0.25">
      <c r="A232" s="26">
        <v>15072</v>
      </c>
      <c r="B232" s="32" t="s">
        <v>726</v>
      </c>
      <c r="C232" s="31" t="s">
        <v>727</v>
      </c>
      <c r="D232" s="56" t="s">
        <v>726</v>
      </c>
      <c r="E232" s="33" t="s">
        <v>728</v>
      </c>
      <c r="F232" s="31" t="s">
        <v>729</v>
      </c>
      <c r="G232" s="84" t="s">
        <v>730</v>
      </c>
      <c r="H232" s="85" t="s">
        <v>731</v>
      </c>
      <c r="I232" s="31" t="s">
        <v>732</v>
      </c>
      <c r="J232" s="32" t="s">
        <v>733</v>
      </c>
      <c r="K232" s="33" t="s">
        <v>734</v>
      </c>
      <c r="L232" s="31" t="s">
        <v>735</v>
      </c>
      <c r="M232" s="32" t="s">
        <v>736</v>
      </c>
      <c r="N232" s="33" t="s">
        <v>737</v>
      </c>
      <c r="O232" s="31" t="s">
        <v>63</v>
      </c>
      <c r="P232" s="32" t="s">
        <v>64</v>
      </c>
      <c r="Q232" s="33" t="s">
        <v>65</v>
      </c>
      <c r="R232" s="37" t="s">
        <v>51</v>
      </c>
      <c r="S232" s="38" t="s">
        <v>751</v>
      </c>
      <c r="T232" s="39">
        <v>-1491</v>
      </c>
      <c r="U232" s="40"/>
      <c r="V232" s="41">
        <v>-1491</v>
      </c>
      <c r="W232" s="33" t="s">
        <v>752</v>
      </c>
      <c r="X232" s="42">
        <v>45846</v>
      </c>
      <c r="Y232" s="43">
        <v>45884</v>
      </c>
      <c r="Z232" s="33" t="s">
        <v>753</v>
      </c>
      <c r="AA232" s="44" t="s">
        <v>754</v>
      </c>
      <c r="AB232" s="45" t="s">
        <v>56</v>
      </c>
      <c r="AC232" s="46" t="s">
        <v>57</v>
      </c>
      <c r="AD232" s="33"/>
      <c r="AE232" s="47">
        <v>-1491</v>
      </c>
      <c r="AF232" s="48" t="s">
        <v>58</v>
      </c>
      <c r="AG232" s="48" t="s">
        <v>59</v>
      </c>
      <c r="AH232" s="49" t="s">
        <v>70</v>
      </c>
      <c r="AI232" s="49" t="s">
        <v>71</v>
      </c>
      <c r="AJ232" s="50" t="s">
        <v>72</v>
      </c>
    </row>
    <row r="233" spans="1:36" ht="15.75" x14ac:dyDescent="0.25">
      <c r="A233" s="26">
        <v>14875</v>
      </c>
      <c r="B233" s="32" t="s">
        <v>726</v>
      </c>
      <c r="C233" s="31" t="s">
        <v>727</v>
      </c>
      <c r="D233" s="56" t="s">
        <v>726</v>
      </c>
      <c r="E233" s="33" t="s">
        <v>728</v>
      </c>
      <c r="F233" s="31" t="s">
        <v>729</v>
      </c>
      <c r="G233" s="84" t="s">
        <v>730</v>
      </c>
      <c r="H233" s="85" t="s">
        <v>731</v>
      </c>
      <c r="I233" s="31" t="s">
        <v>732</v>
      </c>
      <c r="J233" s="32" t="s">
        <v>733</v>
      </c>
      <c r="K233" s="33" t="s">
        <v>734</v>
      </c>
      <c r="L233" s="31" t="s">
        <v>735</v>
      </c>
      <c r="M233" s="32" t="s">
        <v>736</v>
      </c>
      <c r="N233" s="33" t="s">
        <v>737</v>
      </c>
      <c r="O233" s="31" t="s">
        <v>63</v>
      </c>
      <c r="P233" s="32" t="s">
        <v>64</v>
      </c>
      <c r="Q233" s="33" t="s">
        <v>65</v>
      </c>
      <c r="R233" s="37" t="s">
        <v>51</v>
      </c>
      <c r="S233" s="38" t="s">
        <v>755</v>
      </c>
      <c r="T233" s="39">
        <v>-670.04</v>
      </c>
      <c r="U233" s="40"/>
      <c r="V233" s="41">
        <v>-670.04</v>
      </c>
      <c r="W233" s="33" t="s">
        <v>756</v>
      </c>
      <c r="X233" s="42">
        <v>45853</v>
      </c>
      <c r="Y233" s="43">
        <v>45881</v>
      </c>
      <c r="Z233" s="33" t="s">
        <v>757</v>
      </c>
      <c r="AA233" s="44" t="s">
        <v>758</v>
      </c>
      <c r="AB233" s="45" t="s">
        <v>56</v>
      </c>
      <c r="AC233" s="46" t="s">
        <v>57</v>
      </c>
      <c r="AD233" s="33"/>
      <c r="AE233" s="47">
        <v>-670.04</v>
      </c>
      <c r="AF233" s="48" t="s">
        <v>58</v>
      </c>
      <c r="AG233" s="48" t="s">
        <v>59</v>
      </c>
      <c r="AH233" s="49" t="s">
        <v>70</v>
      </c>
      <c r="AI233" s="49" t="s">
        <v>71</v>
      </c>
      <c r="AJ233" s="50" t="s">
        <v>72</v>
      </c>
    </row>
    <row r="234" spans="1:36" ht="15.75" x14ac:dyDescent="0.25">
      <c r="A234" s="26">
        <v>14889</v>
      </c>
      <c r="B234" s="32" t="s">
        <v>726</v>
      </c>
      <c r="C234" s="31" t="s">
        <v>727</v>
      </c>
      <c r="D234" s="56" t="s">
        <v>726</v>
      </c>
      <c r="E234" s="33" t="s">
        <v>728</v>
      </c>
      <c r="F234" s="31" t="s">
        <v>729</v>
      </c>
      <c r="G234" s="84" t="s">
        <v>730</v>
      </c>
      <c r="H234" s="85" t="s">
        <v>731</v>
      </c>
      <c r="I234" s="31" t="s">
        <v>732</v>
      </c>
      <c r="J234" s="32" t="s">
        <v>733</v>
      </c>
      <c r="K234" s="33" t="s">
        <v>734</v>
      </c>
      <c r="L234" s="31" t="s">
        <v>735</v>
      </c>
      <c r="M234" s="32" t="s">
        <v>736</v>
      </c>
      <c r="N234" s="33" t="s">
        <v>737</v>
      </c>
      <c r="O234" s="31" t="s">
        <v>63</v>
      </c>
      <c r="P234" s="32" t="s">
        <v>64</v>
      </c>
      <c r="Q234" s="33" t="s">
        <v>65</v>
      </c>
      <c r="R234" s="37" t="s">
        <v>103</v>
      </c>
      <c r="S234" s="38" t="s">
        <v>759</v>
      </c>
      <c r="T234" s="39">
        <v>-830</v>
      </c>
      <c r="U234" s="40"/>
      <c r="V234" s="41">
        <v>-830</v>
      </c>
      <c r="W234" s="33" t="s">
        <v>760</v>
      </c>
      <c r="X234" s="42">
        <v>45854</v>
      </c>
      <c r="Y234" s="43">
        <v>45884</v>
      </c>
      <c r="Z234" s="33" t="s">
        <v>761</v>
      </c>
      <c r="AA234" s="44" t="s">
        <v>762</v>
      </c>
      <c r="AB234" s="45" t="s">
        <v>56</v>
      </c>
      <c r="AC234" s="46" t="s">
        <v>57</v>
      </c>
      <c r="AD234" s="33"/>
      <c r="AE234" s="47">
        <v>-830</v>
      </c>
      <c r="AF234" s="48" t="s">
        <v>58</v>
      </c>
      <c r="AG234" s="48" t="s">
        <v>59</v>
      </c>
      <c r="AH234" s="49" t="s">
        <v>70</v>
      </c>
      <c r="AI234" s="49" t="s">
        <v>71</v>
      </c>
      <c r="AJ234" s="50" t="s">
        <v>72</v>
      </c>
    </row>
    <row r="235" spans="1:36" ht="15.75" x14ac:dyDescent="0.25">
      <c r="A235" s="26">
        <v>15426</v>
      </c>
      <c r="B235" s="32" t="s">
        <v>726</v>
      </c>
      <c r="C235" s="31" t="s">
        <v>727</v>
      </c>
      <c r="D235" s="56" t="s">
        <v>726</v>
      </c>
      <c r="E235" s="33" t="s">
        <v>728</v>
      </c>
      <c r="F235" s="31" t="s">
        <v>729</v>
      </c>
      <c r="G235" s="84" t="s">
        <v>730</v>
      </c>
      <c r="H235" s="85" t="s">
        <v>731</v>
      </c>
      <c r="I235" s="31" t="s">
        <v>732</v>
      </c>
      <c r="J235" s="32" t="s">
        <v>733</v>
      </c>
      <c r="K235" s="33" t="s">
        <v>734</v>
      </c>
      <c r="L235" s="31" t="s">
        <v>735</v>
      </c>
      <c r="M235" s="32" t="s">
        <v>736</v>
      </c>
      <c r="N235" s="33" t="s">
        <v>737</v>
      </c>
      <c r="O235" s="31" t="s">
        <v>63</v>
      </c>
      <c r="P235" s="32" t="s">
        <v>64</v>
      </c>
      <c r="Q235" s="33" t="s">
        <v>65</v>
      </c>
      <c r="R235" s="37" t="s">
        <v>103</v>
      </c>
      <c r="S235" s="38" t="s">
        <v>111</v>
      </c>
      <c r="T235" s="39">
        <v>-300</v>
      </c>
      <c r="U235" s="40"/>
      <c r="V235" s="41">
        <v>-300</v>
      </c>
      <c r="W235" s="33" t="s">
        <v>763</v>
      </c>
      <c r="X235" s="42">
        <v>45866</v>
      </c>
      <c r="Y235" s="43">
        <v>45884</v>
      </c>
      <c r="Z235" s="33" t="s">
        <v>764</v>
      </c>
      <c r="AA235" s="44" t="s">
        <v>765</v>
      </c>
      <c r="AB235" s="45" t="s">
        <v>56</v>
      </c>
      <c r="AC235" s="46" t="s">
        <v>57</v>
      </c>
      <c r="AD235" s="33"/>
      <c r="AE235" s="47">
        <v>-300</v>
      </c>
      <c r="AF235" s="48" t="s">
        <v>58</v>
      </c>
      <c r="AG235" s="48" t="s">
        <v>59</v>
      </c>
      <c r="AH235" s="49" t="s">
        <v>70</v>
      </c>
      <c r="AI235" s="49" t="s">
        <v>71</v>
      </c>
      <c r="AJ235" s="50" t="s">
        <v>72</v>
      </c>
    </row>
    <row r="236" spans="1:36" ht="15.75" x14ac:dyDescent="0.25">
      <c r="A236" s="26">
        <v>16792</v>
      </c>
      <c r="B236" s="32" t="s">
        <v>726</v>
      </c>
      <c r="C236" s="31" t="s">
        <v>727</v>
      </c>
      <c r="D236" s="56" t="s">
        <v>726</v>
      </c>
      <c r="E236" s="33" t="s">
        <v>728</v>
      </c>
      <c r="F236" s="31" t="s">
        <v>729</v>
      </c>
      <c r="G236" s="32" t="s">
        <v>730</v>
      </c>
      <c r="H236" s="85" t="s">
        <v>731</v>
      </c>
      <c r="I236" s="31" t="s">
        <v>732</v>
      </c>
      <c r="J236" s="32" t="s">
        <v>733</v>
      </c>
      <c r="K236" s="33" t="s">
        <v>734</v>
      </c>
      <c r="L236" s="31" t="s">
        <v>735</v>
      </c>
      <c r="M236" s="32" t="s">
        <v>736</v>
      </c>
      <c r="N236" s="33" t="s">
        <v>737</v>
      </c>
      <c r="O236" s="31" t="s">
        <v>738</v>
      </c>
      <c r="P236" s="32" t="s">
        <v>739</v>
      </c>
      <c r="Q236" s="33" t="s">
        <v>740</v>
      </c>
      <c r="R236" s="37" t="s">
        <v>741</v>
      </c>
      <c r="S236" s="38"/>
      <c r="T236" s="39">
        <v>9787.73</v>
      </c>
      <c r="U236" s="40"/>
      <c r="V236" s="41">
        <v>-9787.73</v>
      </c>
      <c r="W236" s="33" t="s">
        <v>748</v>
      </c>
      <c r="X236" s="42">
        <v>45870</v>
      </c>
      <c r="Y236" s="43"/>
      <c r="Z236" s="33"/>
      <c r="AA236" s="44" t="s">
        <v>743</v>
      </c>
      <c r="AB236" s="32" t="s">
        <v>56</v>
      </c>
      <c r="AC236" s="56" t="s">
        <v>57</v>
      </c>
      <c r="AD236" s="33"/>
      <c r="AE236" s="47">
        <v>-9787.73</v>
      </c>
      <c r="AF236" s="48" t="s">
        <v>58</v>
      </c>
      <c r="AG236" s="48" t="s">
        <v>59</v>
      </c>
      <c r="AH236" s="49" t="s">
        <v>259</v>
      </c>
      <c r="AI236" s="49" t="s">
        <v>61</v>
      </c>
      <c r="AJ236" s="50" t="s">
        <v>62</v>
      </c>
    </row>
    <row r="237" spans="1:36" ht="15.75" x14ac:dyDescent="0.25">
      <c r="A237" s="26">
        <v>18630</v>
      </c>
      <c r="B237" s="32" t="s">
        <v>726</v>
      </c>
      <c r="C237" s="31" t="s">
        <v>727</v>
      </c>
      <c r="D237" s="56" t="s">
        <v>726</v>
      </c>
      <c r="E237" s="33" t="s">
        <v>728</v>
      </c>
      <c r="F237" s="31" t="s">
        <v>729</v>
      </c>
      <c r="G237" s="32" t="s">
        <v>730</v>
      </c>
      <c r="H237" s="85" t="s">
        <v>731</v>
      </c>
      <c r="I237" s="31" t="s">
        <v>732</v>
      </c>
      <c r="J237" s="32" t="s">
        <v>733</v>
      </c>
      <c r="K237" s="33" t="s">
        <v>734</v>
      </c>
      <c r="L237" s="31" t="s">
        <v>735</v>
      </c>
      <c r="M237" s="32" t="s">
        <v>736</v>
      </c>
      <c r="N237" s="33" t="s">
        <v>737</v>
      </c>
      <c r="O237" s="31" t="s">
        <v>63</v>
      </c>
      <c r="P237" s="32" t="s">
        <v>64</v>
      </c>
      <c r="Q237" s="33" t="s">
        <v>65</v>
      </c>
      <c r="R237" s="37" t="s">
        <v>103</v>
      </c>
      <c r="S237" s="38" t="s">
        <v>766</v>
      </c>
      <c r="T237" s="39">
        <v>-469.86</v>
      </c>
      <c r="U237" s="40"/>
      <c r="V237" s="41">
        <v>-469.86</v>
      </c>
      <c r="W237" s="33" t="s">
        <v>767</v>
      </c>
      <c r="X237" s="42">
        <v>45874</v>
      </c>
      <c r="Y237" s="43">
        <v>45905</v>
      </c>
      <c r="Z237" s="33" t="s">
        <v>768</v>
      </c>
      <c r="AA237" s="44" t="s">
        <v>769</v>
      </c>
      <c r="AB237" s="32" t="s">
        <v>56</v>
      </c>
      <c r="AC237" s="56" t="s">
        <v>57</v>
      </c>
      <c r="AD237" s="33"/>
      <c r="AE237" s="47">
        <v>-469.86</v>
      </c>
      <c r="AF237" s="48" t="s">
        <v>58</v>
      </c>
      <c r="AG237" s="48" t="s">
        <v>59</v>
      </c>
      <c r="AH237" s="49" t="s">
        <v>70</v>
      </c>
      <c r="AI237" s="49" t="s">
        <v>71</v>
      </c>
      <c r="AJ237" s="50" t="s">
        <v>72</v>
      </c>
    </row>
    <row r="238" spans="1:36" ht="15.75" x14ac:dyDescent="0.25">
      <c r="A238" s="26">
        <v>19340</v>
      </c>
      <c r="B238" s="32" t="s">
        <v>726</v>
      </c>
      <c r="C238" s="31" t="s">
        <v>727</v>
      </c>
      <c r="D238" s="56" t="s">
        <v>726</v>
      </c>
      <c r="E238" s="33" t="s">
        <v>728</v>
      </c>
      <c r="F238" s="31" t="s">
        <v>729</v>
      </c>
      <c r="G238" s="32" t="s">
        <v>730</v>
      </c>
      <c r="H238" s="85" t="s">
        <v>731</v>
      </c>
      <c r="I238" s="31" t="s">
        <v>732</v>
      </c>
      <c r="J238" s="32" t="s">
        <v>733</v>
      </c>
      <c r="K238" s="33" t="s">
        <v>734</v>
      </c>
      <c r="L238" s="31" t="s">
        <v>735</v>
      </c>
      <c r="M238" s="32" t="s">
        <v>736</v>
      </c>
      <c r="N238" s="33" t="s">
        <v>737</v>
      </c>
      <c r="O238" s="86" t="s">
        <v>262</v>
      </c>
      <c r="P238" s="87" t="s">
        <v>263</v>
      </c>
      <c r="Q238" s="53" t="s">
        <v>264</v>
      </c>
      <c r="R238" s="37" t="s">
        <v>51</v>
      </c>
      <c r="S238" s="38" t="s">
        <v>770</v>
      </c>
      <c r="T238" s="39">
        <v>-52488.95</v>
      </c>
      <c r="U238" s="40"/>
      <c r="V238" s="41">
        <v>-52488.95</v>
      </c>
      <c r="W238" s="33" t="s">
        <v>771</v>
      </c>
      <c r="X238" s="42">
        <v>45888</v>
      </c>
      <c r="Y238" s="43"/>
      <c r="Z238" s="33" t="s">
        <v>619</v>
      </c>
      <c r="AA238" s="44" t="s">
        <v>747</v>
      </c>
      <c r="AB238" s="32" t="s">
        <v>56</v>
      </c>
      <c r="AC238" s="56" t="s">
        <v>57</v>
      </c>
      <c r="AD238" s="33"/>
      <c r="AE238" s="47">
        <v>-52488.95</v>
      </c>
      <c r="AF238" s="48" t="s">
        <v>58</v>
      </c>
      <c r="AG238" s="48" t="s">
        <v>59</v>
      </c>
      <c r="AH238" s="49" t="s">
        <v>265</v>
      </c>
      <c r="AI238" s="49" t="s">
        <v>61</v>
      </c>
      <c r="AJ238" s="50" t="s">
        <v>62</v>
      </c>
    </row>
    <row r="239" spans="1:36" ht="15.75" x14ac:dyDescent="0.25">
      <c r="A239" s="26">
        <v>19342</v>
      </c>
      <c r="B239" s="32" t="s">
        <v>726</v>
      </c>
      <c r="C239" s="31" t="s">
        <v>727</v>
      </c>
      <c r="D239" s="56" t="s">
        <v>726</v>
      </c>
      <c r="E239" s="33" t="s">
        <v>728</v>
      </c>
      <c r="F239" s="31" t="s">
        <v>729</v>
      </c>
      <c r="G239" s="32" t="s">
        <v>730</v>
      </c>
      <c r="H239" s="85" t="s">
        <v>731</v>
      </c>
      <c r="I239" s="31" t="s">
        <v>732</v>
      </c>
      <c r="J239" s="32" t="s">
        <v>733</v>
      </c>
      <c r="K239" s="33" t="s">
        <v>734</v>
      </c>
      <c r="L239" s="31" t="s">
        <v>735</v>
      </c>
      <c r="M239" s="32" t="s">
        <v>736</v>
      </c>
      <c r="N239" s="33" t="s">
        <v>737</v>
      </c>
      <c r="O239" s="86" t="s">
        <v>262</v>
      </c>
      <c r="P239" s="87" t="s">
        <v>263</v>
      </c>
      <c r="Q239" s="53" t="s">
        <v>264</v>
      </c>
      <c r="R239" s="37" t="s">
        <v>51</v>
      </c>
      <c r="S239" s="38" t="s">
        <v>770</v>
      </c>
      <c r="T239" s="39">
        <v>-52488.95</v>
      </c>
      <c r="U239" s="40"/>
      <c r="V239" s="41">
        <v>-52488.95</v>
      </c>
      <c r="W239" s="33" t="s">
        <v>771</v>
      </c>
      <c r="X239" s="42">
        <v>45888</v>
      </c>
      <c r="Y239" s="43"/>
      <c r="Z239" s="33" t="s">
        <v>619</v>
      </c>
      <c r="AA239" s="44" t="s">
        <v>747</v>
      </c>
      <c r="AB239" s="32" t="s">
        <v>56</v>
      </c>
      <c r="AC239" s="56" t="s">
        <v>57</v>
      </c>
      <c r="AD239" s="33"/>
      <c r="AE239" s="47">
        <v>-52488.95</v>
      </c>
      <c r="AF239" s="48" t="s">
        <v>58</v>
      </c>
      <c r="AG239" s="48" t="s">
        <v>59</v>
      </c>
      <c r="AH239" s="49" t="s">
        <v>265</v>
      </c>
      <c r="AI239" s="49" t="s">
        <v>61</v>
      </c>
      <c r="AJ239" s="50" t="s">
        <v>62</v>
      </c>
    </row>
    <row r="240" spans="1:36" ht="15.75" x14ac:dyDescent="0.25">
      <c r="A240" s="26">
        <v>19344</v>
      </c>
      <c r="B240" s="32" t="s">
        <v>726</v>
      </c>
      <c r="C240" s="31" t="s">
        <v>727</v>
      </c>
      <c r="D240" s="56" t="s">
        <v>726</v>
      </c>
      <c r="E240" s="33" t="s">
        <v>728</v>
      </c>
      <c r="F240" s="31" t="s">
        <v>729</v>
      </c>
      <c r="G240" s="32" t="s">
        <v>730</v>
      </c>
      <c r="H240" s="85" t="s">
        <v>731</v>
      </c>
      <c r="I240" s="31" t="s">
        <v>732</v>
      </c>
      <c r="J240" s="32" t="s">
        <v>733</v>
      </c>
      <c r="K240" s="33" t="s">
        <v>734</v>
      </c>
      <c r="L240" s="31" t="s">
        <v>735</v>
      </c>
      <c r="M240" s="32" t="s">
        <v>736</v>
      </c>
      <c r="N240" s="33" t="s">
        <v>737</v>
      </c>
      <c r="O240" s="86" t="s">
        <v>262</v>
      </c>
      <c r="P240" s="87" t="s">
        <v>263</v>
      </c>
      <c r="Q240" s="53" t="s">
        <v>264</v>
      </c>
      <c r="R240" s="37" t="s">
        <v>51</v>
      </c>
      <c r="S240" s="38" t="s">
        <v>770</v>
      </c>
      <c r="T240" s="39">
        <v>-52504.71</v>
      </c>
      <c r="U240" s="40"/>
      <c r="V240" s="41">
        <v>-52504.71</v>
      </c>
      <c r="W240" s="33" t="s">
        <v>771</v>
      </c>
      <c r="X240" s="42">
        <v>45888</v>
      </c>
      <c r="Y240" s="43"/>
      <c r="Z240" s="33" t="s">
        <v>619</v>
      </c>
      <c r="AA240" s="44" t="s">
        <v>747</v>
      </c>
      <c r="AB240" s="32" t="s">
        <v>56</v>
      </c>
      <c r="AC240" s="56" t="s">
        <v>57</v>
      </c>
      <c r="AD240" s="33"/>
      <c r="AE240" s="47">
        <v>-52504.71</v>
      </c>
      <c r="AF240" s="48" t="s">
        <v>58</v>
      </c>
      <c r="AG240" s="48" t="s">
        <v>59</v>
      </c>
      <c r="AH240" s="49" t="s">
        <v>265</v>
      </c>
      <c r="AI240" s="49" t="s">
        <v>61</v>
      </c>
      <c r="AJ240" s="50" t="s">
        <v>62</v>
      </c>
    </row>
    <row r="241" spans="1:36" ht="15.75" x14ac:dyDescent="0.25">
      <c r="A241" s="26">
        <v>19450</v>
      </c>
      <c r="B241" s="32" t="s">
        <v>726</v>
      </c>
      <c r="C241" s="31" t="s">
        <v>727</v>
      </c>
      <c r="D241" s="56" t="s">
        <v>726</v>
      </c>
      <c r="E241" s="33" t="s">
        <v>728</v>
      </c>
      <c r="F241" s="31" t="s">
        <v>729</v>
      </c>
      <c r="G241" s="32" t="s">
        <v>730</v>
      </c>
      <c r="H241" s="85" t="s">
        <v>731</v>
      </c>
      <c r="I241" s="31" t="s">
        <v>732</v>
      </c>
      <c r="J241" s="32" t="s">
        <v>733</v>
      </c>
      <c r="K241" s="33" t="s">
        <v>734</v>
      </c>
      <c r="L241" s="31" t="s">
        <v>735</v>
      </c>
      <c r="M241" s="32" t="s">
        <v>736</v>
      </c>
      <c r="N241" s="33" t="s">
        <v>737</v>
      </c>
      <c r="O241" s="31" t="s">
        <v>83</v>
      </c>
      <c r="P241" s="32" t="s">
        <v>84</v>
      </c>
      <c r="Q241" s="33" t="s">
        <v>85</v>
      </c>
      <c r="R241" s="37" t="s">
        <v>51</v>
      </c>
      <c r="S241" s="38" t="s">
        <v>772</v>
      </c>
      <c r="T241" s="39">
        <v>-387.5</v>
      </c>
      <c r="U241" s="40"/>
      <c r="V241" s="41">
        <v>-387.5</v>
      </c>
      <c r="W241" s="33" t="s">
        <v>773</v>
      </c>
      <c r="X241" s="42">
        <v>45891</v>
      </c>
      <c r="Y241" s="43"/>
      <c r="Z241" s="33" t="s">
        <v>88</v>
      </c>
      <c r="AA241" s="44" t="s">
        <v>55</v>
      </c>
      <c r="AB241" s="32" t="s">
        <v>56</v>
      </c>
      <c r="AC241" s="56" t="s">
        <v>57</v>
      </c>
      <c r="AD241" s="33"/>
      <c r="AE241" s="47">
        <v>-387.5</v>
      </c>
      <c r="AF241" s="48" t="s">
        <v>58</v>
      </c>
      <c r="AG241" s="48" t="s">
        <v>59</v>
      </c>
      <c r="AH241" s="49" t="s">
        <v>89</v>
      </c>
      <c r="AI241" s="49" t="s">
        <v>61</v>
      </c>
      <c r="AJ241" s="50" t="s">
        <v>62</v>
      </c>
    </row>
    <row r="242" spans="1:36" ht="15.75" x14ac:dyDescent="0.25">
      <c r="A242" s="26">
        <v>19571</v>
      </c>
      <c r="B242" s="32" t="s">
        <v>726</v>
      </c>
      <c r="C242" s="31" t="s">
        <v>727</v>
      </c>
      <c r="D242" s="56" t="s">
        <v>726</v>
      </c>
      <c r="E242" s="33" t="s">
        <v>728</v>
      </c>
      <c r="F242" s="31" t="s">
        <v>729</v>
      </c>
      <c r="G242" s="32" t="s">
        <v>730</v>
      </c>
      <c r="H242" s="85" t="s">
        <v>731</v>
      </c>
      <c r="I242" s="31" t="s">
        <v>732</v>
      </c>
      <c r="J242" s="32" t="s">
        <v>733</v>
      </c>
      <c r="K242" s="33" t="s">
        <v>734</v>
      </c>
      <c r="L242" s="31" t="s">
        <v>735</v>
      </c>
      <c r="M242" s="32" t="s">
        <v>736</v>
      </c>
      <c r="N242" s="33" t="s">
        <v>737</v>
      </c>
      <c r="O242" s="31" t="s">
        <v>63</v>
      </c>
      <c r="P242" s="32" t="s">
        <v>64</v>
      </c>
      <c r="Q242" s="33" t="s">
        <v>65</v>
      </c>
      <c r="R242" s="37" t="s">
        <v>103</v>
      </c>
      <c r="S242" s="38" t="s">
        <v>774</v>
      </c>
      <c r="T242" s="39">
        <v>-6733.91</v>
      </c>
      <c r="U242" s="40"/>
      <c r="V242" s="41">
        <v>-6733.91</v>
      </c>
      <c r="W242" s="33" t="s">
        <v>775</v>
      </c>
      <c r="X242" s="42">
        <v>45895</v>
      </c>
      <c r="Y242" s="43"/>
      <c r="Z242" s="33" t="s">
        <v>753</v>
      </c>
      <c r="AA242" s="44" t="s">
        <v>754</v>
      </c>
      <c r="AB242" s="32" t="s">
        <v>56</v>
      </c>
      <c r="AC242" s="56" t="s">
        <v>57</v>
      </c>
      <c r="AD242" s="33"/>
      <c r="AE242" s="47">
        <v>-6733.91</v>
      </c>
      <c r="AF242" s="48" t="s">
        <v>58</v>
      </c>
      <c r="AG242" s="48" t="s">
        <v>59</v>
      </c>
      <c r="AH242" s="49" t="s">
        <v>70</v>
      </c>
      <c r="AI242" s="49" t="s">
        <v>71</v>
      </c>
      <c r="AJ242" s="50" t="s">
        <v>72</v>
      </c>
    </row>
    <row r="243" spans="1:36" ht="15.75" x14ac:dyDescent="0.25">
      <c r="A243" s="26">
        <v>19572</v>
      </c>
      <c r="B243" s="32" t="s">
        <v>726</v>
      </c>
      <c r="C243" s="31" t="s">
        <v>727</v>
      </c>
      <c r="D243" s="56" t="s">
        <v>726</v>
      </c>
      <c r="E243" s="33" t="s">
        <v>728</v>
      </c>
      <c r="F243" s="31" t="s">
        <v>729</v>
      </c>
      <c r="G243" s="32" t="s">
        <v>730</v>
      </c>
      <c r="H243" s="85" t="s">
        <v>731</v>
      </c>
      <c r="I243" s="31" t="s">
        <v>732</v>
      </c>
      <c r="J243" s="32" t="s">
        <v>733</v>
      </c>
      <c r="K243" s="33" t="s">
        <v>734</v>
      </c>
      <c r="L243" s="31" t="s">
        <v>735</v>
      </c>
      <c r="M243" s="32" t="s">
        <v>736</v>
      </c>
      <c r="N243" s="33" t="s">
        <v>737</v>
      </c>
      <c r="O243" s="86" t="s">
        <v>262</v>
      </c>
      <c r="P243" s="87" t="s">
        <v>263</v>
      </c>
      <c r="Q243" s="53" t="s">
        <v>264</v>
      </c>
      <c r="R243" s="37" t="s">
        <v>103</v>
      </c>
      <c r="S243" s="38" t="s">
        <v>776</v>
      </c>
      <c r="T243" s="39">
        <v>-7765.61</v>
      </c>
      <c r="U243" s="40"/>
      <c r="V243" s="41">
        <v>-7765.61</v>
      </c>
      <c r="W243" s="33" t="s">
        <v>777</v>
      </c>
      <c r="X243" s="42">
        <v>45895</v>
      </c>
      <c r="Y243" s="43"/>
      <c r="Z243" s="33" t="s">
        <v>619</v>
      </c>
      <c r="AA243" s="44" t="s">
        <v>747</v>
      </c>
      <c r="AB243" s="32" t="s">
        <v>56</v>
      </c>
      <c r="AC243" s="56" t="s">
        <v>57</v>
      </c>
      <c r="AD243" s="33"/>
      <c r="AE243" s="47">
        <v>-7765.61</v>
      </c>
      <c r="AF243" s="48" t="s">
        <v>58</v>
      </c>
      <c r="AG243" s="48" t="s">
        <v>59</v>
      </c>
      <c r="AH243" s="49" t="s">
        <v>265</v>
      </c>
      <c r="AI243" s="49" t="s">
        <v>61</v>
      </c>
      <c r="AJ243" s="50" t="s">
        <v>62</v>
      </c>
    </row>
    <row r="244" spans="1:36" ht="15.75" x14ac:dyDescent="0.25">
      <c r="A244" s="26">
        <v>19587</v>
      </c>
      <c r="B244" s="32" t="s">
        <v>726</v>
      </c>
      <c r="C244" s="31" t="s">
        <v>727</v>
      </c>
      <c r="D244" s="56" t="s">
        <v>726</v>
      </c>
      <c r="E244" s="33" t="s">
        <v>728</v>
      </c>
      <c r="F244" s="31" t="s">
        <v>729</v>
      </c>
      <c r="G244" s="32" t="s">
        <v>730</v>
      </c>
      <c r="H244" s="85" t="s">
        <v>731</v>
      </c>
      <c r="I244" s="31" t="s">
        <v>732</v>
      </c>
      <c r="J244" s="32" t="s">
        <v>733</v>
      </c>
      <c r="K244" s="33" t="s">
        <v>734</v>
      </c>
      <c r="L244" s="31" t="s">
        <v>735</v>
      </c>
      <c r="M244" s="32" t="s">
        <v>736</v>
      </c>
      <c r="N244" s="33" t="s">
        <v>737</v>
      </c>
      <c r="O244" s="31" t="s">
        <v>83</v>
      </c>
      <c r="P244" s="32" t="s">
        <v>84</v>
      </c>
      <c r="Q244" s="33" t="s">
        <v>85</v>
      </c>
      <c r="R244" s="37" t="s">
        <v>103</v>
      </c>
      <c r="S244" s="38" t="s">
        <v>778</v>
      </c>
      <c r="T244" s="39">
        <v>-306</v>
      </c>
      <c r="U244" s="40"/>
      <c r="V244" s="41">
        <v>-306</v>
      </c>
      <c r="W244" s="33" t="s">
        <v>779</v>
      </c>
      <c r="X244" s="42">
        <v>45896</v>
      </c>
      <c r="Y244" s="43"/>
      <c r="Z244" s="33" t="s">
        <v>780</v>
      </c>
      <c r="AA244" s="44" t="s">
        <v>781</v>
      </c>
      <c r="AB244" s="32" t="s">
        <v>56</v>
      </c>
      <c r="AC244" s="56" t="s">
        <v>57</v>
      </c>
      <c r="AD244" s="33"/>
      <c r="AE244" s="47">
        <v>-306</v>
      </c>
      <c r="AF244" s="48" t="s">
        <v>58</v>
      </c>
      <c r="AG244" s="48" t="s">
        <v>59</v>
      </c>
      <c r="AH244" s="49" t="s">
        <v>89</v>
      </c>
      <c r="AI244" s="49" t="s">
        <v>61</v>
      </c>
      <c r="AJ244" s="50" t="s">
        <v>62</v>
      </c>
    </row>
    <row r="245" spans="1:36" ht="15.75" x14ac:dyDescent="0.25">
      <c r="A245" s="26">
        <v>19665</v>
      </c>
      <c r="B245" s="32" t="s">
        <v>726</v>
      </c>
      <c r="C245" s="31" t="s">
        <v>727</v>
      </c>
      <c r="D245" s="56" t="s">
        <v>726</v>
      </c>
      <c r="E245" s="33" t="s">
        <v>728</v>
      </c>
      <c r="F245" s="31" t="s">
        <v>729</v>
      </c>
      <c r="G245" s="32" t="s">
        <v>730</v>
      </c>
      <c r="H245" s="85" t="s">
        <v>731</v>
      </c>
      <c r="I245" s="31" t="s">
        <v>732</v>
      </c>
      <c r="J245" s="32" t="s">
        <v>733</v>
      </c>
      <c r="K245" s="33" t="s">
        <v>734</v>
      </c>
      <c r="L245" s="31" t="s">
        <v>735</v>
      </c>
      <c r="M245" s="32" t="s">
        <v>736</v>
      </c>
      <c r="N245" s="33" t="s">
        <v>737</v>
      </c>
      <c r="O245" s="31" t="s">
        <v>63</v>
      </c>
      <c r="P245" s="32" t="s">
        <v>64</v>
      </c>
      <c r="Q245" s="33" t="s">
        <v>65</v>
      </c>
      <c r="R245" s="37" t="s">
        <v>51</v>
      </c>
      <c r="S245" s="38" t="s">
        <v>782</v>
      </c>
      <c r="T245" s="39">
        <v>-2511</v>
      </c>
      <c r="U245" s="40"/>
      <c r="V245" s="41">
        <v>-2511</v>
      </c>
      <c r="W245" s="33" t="s">
        <v>783</v>
      </c>
      <c r="X245" s="42">
        <v>45898</v>
      </c>
      <c r="Y245" s="43"/>
      <c r="Z245" s="33" t="s">
        <v>753</v>
      </c>
      <c r="AA245" s="44" t="s">
        <v>754</v>
      </c>
      <c r="AB245" s="32" t="s">
        <v>56</v>
      </c>
      <c r="AC245" s="56" t="s">
        <v>57</v>
      </c>
      <c r="AD245" s="33"/>
      <c r="AE245" s="47">
        <v>-2511</v>
      </c>
      <c r="AF245" s="48" t="s">
        <v>58</v>
      </c>
      <c r="AG245" s="48" t="s">
        <v>59</v>
      </c>
      <c r="AH245" s="49" t="s">
        <v>70</v>
      </c>
      <c r="AI245" s="49" t="s">
        <v>71</v>
      </c>
      <c r="AJ245" s="50" t="s">
        <v>72</v>
      </c>
    </row>
    <row r="246" spans="1:36" ht="15.75" x14ac:dyDescent="0.25">
      <c r="A246" s="26">
        <v>19667</v>
      </c>
      <c r="B246" s="32" t="s">
        <v>726</v>
      </c>
      <c r="C246" s="31" t="s">
        <v>727</v>
      </c>
      <c r="D246" s="56" t="s">
        <v>726</v>
      </c>
      <c r="E246" s="33" t="s">
        <v>728</v>
      </c>
      <c r="F246" s="31" t="s">
        <v>729</v>
      </c>
      <c r="G246" s="32" t="s">
        <v>730</v>
      </c>
      <c r="H246" s="85" t="s">
        <v>731</v>
      </c>
      <c r="I246" s="31" t="s">
        <v>732</v>
      </c>
      <c r="J246" s="32" t="s">
        <v>733</v>
      </c>
      <c r="K246" s="33" t="s">
        <v>734</v>
      </c>
      <c r="L246" s="31" t="s">
        <v>735</v>
      </c>
      <c r="M246" s="32" t="s">
        <v>736</v>
      </c>
      <c r="N246" s="33" t="s">
        <v>737</v>
      </c>
      <c r="O246" s="31" t="s">
        <v>63</v>
      </c>
      <c r="P246" s="32" t="s">
        <v>64</v>
      </c>
      <c r="Q246" s="33" t="s">
        <v>65</v>
      </c>
      <c r="R246" s="37" t="s">
        <v>51</v>
      </c>
      <c r="S246" s="38" t="s">
        <v>782</v>
      </c>
      <c r="T246" s="39">
        <v>-2511</v>
      </c>
      <c r="U246" s="40"/>
      <c r="V246" s="41">
        <v>-2511</v>
      </c>
      <c r="W246" s="33" t="s">
        <v>783</v>
      </c>
      <c r="X246" s="42">
        <v>45898</v>
      </c>
      <c r="Y246" s="43"/>
      <c r="Z246" s="33" t="s">
        <v>753</v>
      </c>
      <c r="AA246" s="44" t="s">
        <v>754</v>
      </c>
      <c r="AB246" s="32" t="s">
        <v>56</v>
      </c>
      <c r="AC246" s="56" t="s">
        <v>57</v>
      </c>
      <c r="AD246" s="33"/>
      <c r="AE246" s="47">
        <v>-2511</v>
      </c>
      <c r="AF246" s="48" t="s">
        <v>58</v>
      </c>
      <c r="AG246" s="48" t="s">
        <v>59</v>
      </c>
      <c r="AH246" s="49" t="s">
        <v>70</v>
      </c>
      <c r="AI246" s="49" t="s">
        <v>71</v>
      </c>
      <c r="AJ246" s="50" t="s">
        <v>72</v>
      </c>
    </row>
    <row r="247" spans="1:36" ht="15.75" x14ac:dyDescent="0.25">
      <c r="A247" s="26">
        <v>20663</v>
      </c>
      <c r="B247" s="57" t="s">
        <v>726</v>
      </c>
      <c r="C247" s="58" t="s">
        <v>727</v>
      </c>
      <c r="D247" s="59" t="s">
        <v>726</v>
      </c>
      <c r="E247" s="60" t="s">
        <v>728</v>
      </c>
      <c r="F247" s="58" t="s">
        <v>729</v>
      </c>
      <c r="G247" s="57" t="s">
        <v>730</v>
      </c>
      <c r="H247" s="88" t="s">
        <v>731</v>
      </c>
      <c r="I247" s="58" t="s">
        <v>732</v>
      </c>
      <c r="J247" s="57" t="s">
        <v>733</v>
      </c>
      <c r="K247" s="60" t="s">
        <v>734</v>
      </c>
      <c r="L247" s="58" t="s">
        <v>735</v>
      </c>
      <c r="M247" s="57" t="s">
        <v>736</v>
      </c>
      <c r="N247" s="60" t="s">
        <v>737</v>
      </c>
      <c r="O247" s="58" t="s">
        <v>83</v>
      </c>
      <c r="P247" s="57" t="s">
        <v>84</v>
      </c>
      <c r="Q247" s="60" t="s">
        <v>85</v>
      </c>
      <c r="R247" s="64" t="s">
        <v>51</v>
      </c>
      <c r="S247" s="65" t="s">
        <v>605</v>
      </c>
      <c r="T247" s="66">
        <v>734.93</v>
      </c>
      <c r="U247" s="67">
        <v>-146.99</v>
      </c>
      <c r="V247" s="68">
        <v>-146.99</v>
      </c>
      <c r="W247" s="60" t="s">
        <v>606</v>
      </c>
      <c r="X247" s="69">
        <v>45901</v>
      </c>
      <c r="Y247" s="70">
        <v>45925</v>
      </c>
      <c r="Z247" s="60" t="s">
        <v>88</v>
      </c>
      <c r="AA247" s="44" t="s">
        <v>55</v>
      </c>
      <c r="AB247" s="57" t="s">
        <v>56</v>
      </c>
      <c r="AC247" s="59" t="s">
        <v>57</v>
      </c>
      <c r="AD247" s="60"/>
      <c r="AE247" s="71">
        <v>-146.99</v>
      </c>
      <c r="AF247" s="48" t="s">
        <v>58</v>
      </c>
      <c r="AG247" s="48" t="s">
        <v>59</v>
      </c>
      <c r="AH247" s="49" t="s">
        <v>89</v>
      </c>
      <c r="AI247" s="49" t="s">
        <v>61</v>
      </c>
      <c r="AJ247" s="50" t="s">
        <v>62</v>
      </c>
    </row>
    <row r="248" spans="1:36" ht="15.75" x14ac:dyDescent="0.25">
      <c r="A248" s="26">
        <v>23061</v>
      </c>
      <c r="B248" s="57" t="s">
        <v>726</v>
      </c>
      <c r="C248" s="58" t="s">
        <v>727</v>
      </c>
      <c r="D248" s="59" t="s">
        <v>726</v>
      </c>
      <c r="E248" s="60" t="s">
        <v>728</v>
      </c>
      <c r="F248" s="58" t="s">
        <v>729</v>
      </c>
      <c r="G248" s="57" t="s">
        <v>730</v>
      </c>
      <c r="H248" s="88" t="s">
        <v>731</v>
      </c>
      <c r="I248" s="58" t="s">
        <v>732</v>
      </c>
      <c r="J248" s="57" t="s">
        <v>733</v>
      </c>
      <c r="K248" s="60" t="s">
        <v>734</v>
      </c>
      <c r="L248" s="58" t="s">
        <v>735</v>
      </c>
      <c r="M248" s="57" t="s">
        <v>736</v>
      </c>
      <c r="N248" s="60" t="s">
        <v>737</v>
      </c>
      <c r="O248" s="58" t="s">
        <v>738</v>
      </c>
      <c r="P248" s="57" t="s">
        <v>739</v>
      </c>
      <c r="Q248" s="60" t="s">
        <v>740</v>
      </c>
      <c r="R248" s="64" t="s">
        <v>741</v>
      </c>
      <c r="S248" s="65"/>
      <c r="T248" s="66">
        <v>4370.54</v>
      </c>
      <c r="U248" s="67"/>
      <c r="V248" s="68">
        <v>-4370.54</v>
      </c>
      <c r="W248" s="60" t="s">
        <v>784</v>
      </c>
      <c r="X248" s="69">
        <v>45901</v>
      </c>
      <c r="Y248" s="70"/>
      <c r="Z248" s="60"/>
      <c r="AA248" s="44" t="s">
        <v>743</v>
      </c>
      <c r="AB248" s="57" t="s">
        <v>56</v>
      </c>
      <c r="AC248" s="59" t="s">
        <v>57</v>
      </c>
      <c r="AD248" s="60"/>
      <c r="AE248" s="71">
        <v>-4370.54</v>
      </c>
      <c r="AF248" s="48" t="s">
        <v>58</v>
      </c>
      <c r="AG248" s="48" t="s">
        <v>59</v>
      </c>
      <c r="AH248" s="49" t="s">
        <v>259</v>
      </c>
      <c r="AI248" s="49" t="s">
        <v>61</v>
      </c>
      <c r="AJ248" s="50" t="s">
        <v>62</v>
      </c>
    </row>
    <row r="249" spans="1:36" ht="15.75" x14ac:dyDescent="0.25">
      <c r="A249" s="26">
        <v>20697</v>
      </c>
      <c r="B249" s="57" t="s">
        <v>726</v>
      </c>
      <c r="C249" s="58" t="s">
        <v>727</v>
      </c>
      <c r="D249" s="59" t="s">
        <v>726</v>
      </c>
      <c r="E249" s="60" t="s">
        <v>728</v>
      </c>
      <c r="F249" s="58" t="s">
        <v>729</v>
      </c>
      <c r="G249" s="57" t="s">
        <v>730</v>
      </c>
      <c r="H249" s="88" t="s">
        <v>731</v>
      </c>
      <c r="I249" s="58" t="s">
        <v>732</v>
      </c>
      <c r="J249" s="57" t="s">
        <v>733</v>
      </c>
      <c r="K249" s="60" t="s">
        <v>734</v>
      </c>
      <c r="L249" s="58" t="s">
        <v>735</v>
      </c>
      <c r="M249" s="57" t="s">
        <v>736</v>
      </c>
      <c r="N249" s="60" t="s">
        <v>737</v>
      </c>
      <c r="O249" s="58" t="s">
        <v>83</v>
      </c>
      <c r="P249" s="57" t="s">
        <v>84</v>
      </c>
      <c r="Q249" s="60" t="s">
        <v>85</v>
      </c>
      <c r="R249" s="64" t="s">
        <v>51</v>
      </c>
      <c r="S249" s="65" t="s">
        <v>785</v>
      </c>
      <c r="T249" s="66">
        <v>594.20000000000005</v>
      </c>
      <c r="U249" s="67">
        <v>-297.10000000000002</v>
      </c>
      <c r="V249" s="68">
        <v>-297.10000000000002</v>
      </c>
      <c r="W249" s="60" t="s">
        <v>786</v>
      </c>
      <c r="X249" s="69">
        <v>45905</v>
      </c>
      <c r="Y249" s="70">
        <v>45935</v>
      </c>
      <c r="Z249" s="60" t="s">
        <v>780</v>
      </c>
      <c r="AA249" s="44" t="s">
        <v>781</v>
      </c>
      <c r="AB249" s="57" t="s">
        <v>56</v>
      </c>
      <c r="AC249" s="59" t="s">
        <v>57</v>
      </c>
      <c r="AD249" s="60"/>
      <c r="AE249" s="71">
        <v>-297.10000000000002</v>
      </c>
      <c r="AF249" s="48" t="s">
        <v>58</v>
      </c>
      <c r="AG249" s="48" t="s">
        <v>59</v>
      </c>
      <c r="AH249" s="49" t="s">
        <v>89</v>
      </c>
      <c r="AI249" s="49" t="s">
        <v>61</v>
      </c>
      <c r="AJ249" s="50" t="s">
        <v>62</v>
      </c>
    </row>
    <row r="250" spans="1:36" ht="15.75" x14ac:dyDescent="0.25">
      <c r="A250" s="26">
        <v>21236</v>
      </c>
      <c r="B250" s="57" t="s">
        <v>726</v>
      </c>
      <c r="C250" s="58" t="s">
        <v>727</v>
      </c>
      <c r="D250" s="59" t="s">
        <v>726</v>
      </c>
      <c r="E250" s="60" t="s">
        <v>728</v>
      </c>
      <c r="F250" s="58" t="s">
        <v>729</v>
      </c>
      <c r="G250" s="57" t="s">
        <v>730</v>
      </c>
      <c r="H250" s="88" t="s">
        <v>731</v>
      </c>
      <c r="I250" s="58" t="s">
        <v>732</v>
      </c>
      <c r="J250" s="57" t="s">
        <v>733</v>
      </c>
      <c r="K250" s="60" t="s">
        <v>734</v>
      </c>
      <c r="L250" s="58" t="s">
        <v>735</v>
      </c>
      <c r="M250" s="57" t="s">
        <v>736</v>
      </c>
      <c r="N250" s="60" t="s">
        <v>737</v>
      </c>
      <c r="O250" s="58" t="s">
        <v>63</v>
      </c>
      <c r="P250" s="57" t="s">
        <v>64</v>
      </c>
      <c r="Q250" s="60" t="s">
        <v>65</v>
      </c>
      <c r="R250" s="64" t="s">
        <v>103</v>
      </c>
      <c r="S250" s="65" t="s">
        <v>787</v>
      </c>
      <c r="T250" s="66">
        <v>5876.12</v>
      </c>
      <c r="U250" s="67">
        <v>-734.52</v>
      </c>
      <c r="V250" s="68">
        <v>-734.52</v>
      </c>
      <c r="W250" s="60" t="s">
        <v>788</v>
      </c>
      <c r="X250" s="69">
        <v>45905</v>
      </c>
      <c r="Y250" s="70">
        <v>45930</v>
      </c>
      <c r="Z250" s="60" t="s">
        <v>429</v>
      </c>
      <c r="AA250" s="44" t="s">
        <v>430</v>
      </c>
      <c r="AB250" s="57" t="s">
        <v>56</v>
      </c>
      <c r="AC250" s="59" t="s">
        <v>57</v>
      </c>
      <c r="AD250" s="60"/>
      <c r="AE250" s="71">
        <v>-734.52</v>
      </c>
      <c r="AF250" s="48" t="s">
        <v>58</v>
      </c>
      <c r="AG250" s="48" t="s">
        <v>59</v>
      </c>
      <c r="AH250" s="49" t="s">
        <v>70</v>
      </c>
      <c r="AI250" s="49" t="s">
        <v>71</v>
      </c>
      <c r="AJ250" s="50" t="s">
        <v>72</v>
      </c>
    </row>
    <row r="251" spans="1:36" ht="15.75" x14ac:dyDescent="0.25">
      <c r="A251" s="26">
        <v>21106</v>
      </c>
      <c r="B251" s="57" t="s">
        <v>726</v>
      </c>
      <c r="C251" s="58" t="s">
        <v>727</v>
      </c>
      <c r="D251" s="59" t="s">
        <v>726</v>
      </c>
      <c r="E251" s="60" t="s">
        <v>728</v>
      </c>
      <c r="F251" s="58" t="s">
        <v>729</v>
      </c>
      <c r="G251" s="57" t="s">
        <v>730</v>
      </c>
      <c r="H251" s="88" t="s">
        <v>731</v>
      </c>
      <c r="I251" s="58" t="s">
        <v>732</v>
      </c>
      <c r="J251" s="57" t="s">
        <v>733</v>
      </c>
      <c r="K251" s="60" t="s">
        <v>734</v>
      </c>
      <c r="L251" s="58" t="s">
        <v>735</v>
      </c>
      <c r="M251" s="57" t="s">
        <v>736</v>
      </c>
      <c r="N251" s="60" t="s">
        <v>737</v>
      </c>
      <c r="O251" s="58" t="s">
        <v>63</v>
      </c>
      <c r="P251" s="57" t="s">
        <v>64</v>
      </c>
      <c r="Q251" s="60" t="s">
        <v>65</v>
      </c>
      <c r="R251" s="64" t="s">
        <v>51</v>
      </c>
      <c r="S251" s="65" t="s">
        <v>789</v>
      </c>
      <c r="T251" s="66">
        <v>7188</v>
      </c>
      <c r="U251" s="67">
        <v>-3594</v>
      </c>
      <c r="V251" s="68">
        <v>-3594</v>
      </c>
      <c r="W251" s="60" t="s">
        <v>790</v>
      </c>
      <c r="X251" s="69">
        <v>45909</v>
      </c>
      <c r="Y251" s="70">
        <v>45945</v>
      </c>
      <c r="Z251" s="60" t="s">
        <v>753</v>
      </c>
      <c r="AA251" s="44" t="s">
        <v>754</v>
      </c>
      <c r="AB251" s="57" t="s">
        <v>56</v>
      </c>
      <c r="AC251" s="59" t="s">
        <v>57</v>
      </c>
      <c r="AD251" s="60"/>
      <c r="AE251" s="71">
        <v>-3594</v>
      </c>
      <c r="AF251" s="48" t="s">
        <v>58</v>
      </c>
      <c r="AG251" s="48" t="s">
        <v>59</v>
      </c>
      <c r="AH251" s="49" t="s">
        <v>70</v>
      </c>
      <c r="AI251" s="49" t="s">
        <v>71</v>
      </c>
      <c r="AJ251" s="50" t="s">
        <v>72</v>
      </c>
    </row>
    <row r="252" spans="1:36" ht="15.75" x14ac:dyDescent="0.25">
      <c r="A252" s="26">
        <v>21124</v>
      </c>
      <c r="B252" s="57" t="s">
        <v>726</v>
      </c>
      <c r="C252" s="58" t="s">
        <v>727</v>
      </c>
      <c r="D252" s="59" t="s">
        <v>726</v>
      </c>
      <c r="E252" s="60" t="s">
        <v>728</v>
      </c>
      <c r="F252" s="58" t="s">
        <v>729</v>
      </c>
      <c r="G252" s="57" t="s">
        <v>730</v>
      </c>
      <c r="H252" s="88" t="s">
        <v>731</v>
      </c>
      <c r="I252" s="58" t="s">
        <v>732</v>
      </c>
      <c r="J252" s="57" t="s">
        <v>733</v>
      </c>
      <c r="K252" s="60" t="s">
        <v>734</v>
      </c>
      <c r="L252" s="58" t="s">
        <v>735</v>
      </c>
      <c r="M252" s="57" t="s">
        <v>736</v>
      </c>
      <c r="N252" s="60" t="s">
        <v>737</v>
      </c>
      <c r="O252" s="58" t="s">
        <v>63</v>
      </c>
      <c r="P252" s="57" t="s">
        <v>64</v>
      </c>
      <c r="Q252" s="60" t="s">
        <v>65</v>
      </c>
      <c r="R252" s="64" t="s">
        <v>103</v>
      </c>
      <c r="S252" s="65" t="s">
        <v>791</v>
      </c>
      <c r="T252" s="66">
        <v>2496</v>
      </c>
      <c r="U252" s="67">
        <v>-2496</v>
      </c>
      <c r="V252" s="68">
        <v>-2496</v>
      </c>
      <c r="W252" s="60" t="s">
        <v>792</v>
      </c>
      <c r="X252" s="69">
        <v>45911</v>
      </c>
      <c r="Y252" s="70">
        <v>45935</v>
      </c>
      <c r="Z252" s="60" t="s">
        <v>768</v>
      </c>
      <c r="AA252" s="44" t="s">
        <v>769</v>
      </c>
      <c r="AB252" s="57" t="s">
        <v>56</v>
      </c>
      <c r="AC252" s="59" t="s">
        <v>57</v>
      </c>
      <c r="AD252" s="60"/>
      <c r="AE252" s="71">
        <v>-2496</v>
      </c>
      <c r="AF252" s="48" t="s">
        <v>58</v>
      </c>
      <c r="AG252" s="48" t="s">
        <v>59</v>
      </c>
      <c r="AH252" s="49" t="s">
        <v>70</v>
      </c>
      <c r="AI252" s="49" t="s">
        <v>71</v>
      </c>
      <c r="AJ252" s="50" t="s">
        <v>72</v>
      </c>
    </row>
    <row r="253" spans="1:36" ht="15.75" x14ac:dyDescent="0.25">
      <c r="A253" s="26">
        <v>20848</v>
      </c>
      <c r="B253" s="57" t="s">
        <v>726</v>
      </c>
      <c r="C253" s="58" t="s">
        <v>727</v>
      </c>
      <c r="D253" s="59" t="s">
        <v>726</v>
      </c>
      <c r="E253" s="60" t="s">
        <v>728</v>
      </c>
      <c r="F253" s="58" t="s">
        <v>729</v>
      </c>
      <c r="G253" s="57" t="s">
        <v>730</v>
      </c>
      <c r="H253" s="88" t="s">
        <v>731</v>
      </c>
      <c r="I253" s="58" t="s">
        <v>732</v>
      </c>
      <c r="J253" s="57" t="s">
        <v>733</v>
      </c>
      <c r="K253" s="60" t="s">
        <v>734</v>
      </c>
      <c r="L253" s="58" t="s">
        <v>735</v>
      </c>
      <c r="M253" s="57" t="s">
        <v>736</v>
      </c>
      <c r="N253" s="60" t="s">
        <v>737</v>
      </c>
      <c r="O253" s="58" t="s">
        <v>63</v>
      </c>
      <c r="P253" s="57" t="s">
        <v>64</v>
      </c>
      <c r="Q253" s="60" t="s">
        <v>65</v>
      </c>
      <c r="R253" s="64" t="s">
        <v>103</v>
      </c>
      <c r="S253" s="65" t="s">
        <v>538</v>
      </c>
      <c r="T253" s="66">
        <v>110</v>
      </c>
      <c r="U253" s="67">
        <v>-110</v>
      </c>
      <c r="V253" s="68">
        <v>-110</v>
      </c>
      <c r="W253" s="60" t="s">
        <v>793</v>
      </c>
      <c r="X253" s="69">
        <v>45915</v>
      </c>
      <c r="Y253" s="70">
        <v>45945</v>
      </c>
      <c r="Z253" s="60" t="s">
        <v>794</v>
      </c>
      <c r="AA253" s="44" t="s">
        <v>795</v>
      </c>
      <c r="AB253" s="57" t="s">
        <v>56</v>
      </c>
      <c r="AC253" s="59" t="s">
        <v>57</v>
      </c>
      <c r="AD253" s="60"/>
      <c r="AE253" s="71">
        <v>-110</v>
      </c>
      <c r="AF253" s="48" t="s">
        <v>58</v>
      </c>
      <c r="AG253" s="48" t="s">
        <v>59</v>
      </c>
      <c r="AH253" s="49" t="s">
        <v>70</v>
      </c>
      <c r="AI253" s="49" t="s">
        <v>71</v>
      </c>
      <c r="AJ253" s="50" t="s">
        <v>72</v>
      </c>
    </row>
    <row r="254" spans="1:36" ht="15.75" x14ac:dyDescent="0.25">
      <c r="A254" s="26">
        <v>21084</v>
      </c>
      <c r="B254" s="57" t="s">
        <v>726</v>
      </c>
      <c r="C254" s="58" t="s">
        <v>727</v>
      </c>
      <c r="D254" s="59" t="s">
        <v>726</v>
      </c>
      <c r="E254" s="60" t="s">
        <v>728</v>
      </c>
      <c r="F254" s="58" t="s">
        <v>729</v>
      </c>
      <c r="G254" s="57" t="s">
        <v>730</v>
      </c>
      <c r="H254" s="88" t="s">
        <v>731</v>
      </c>
      <c r="I254" s="58" t="s">
        <v>732</v>
      </c>
      <c r="J254" s="57" t="s">
        <v>733</v>
      </c>
      <c r="K254" s="60" t="s">
        <v>734</v>
      </c>
      <c r="L254" s="58" t="s">
        <v>735</v>
      </c>
      <c r="M254" s="57" t="s">
        <v>736</v>
      </c>
      <c r="N254" s="60" t="s">
        <v>737</v>
      </c>
      <c r="O254" s="58" t="s">
        <v>63</v>
      </c>
      <c r="P254" s="57" t="s">
        <v>64</v>
      </c>
      <c r="Q254" s="60" t="s">
        <v>65</v>
      </c>
      <c r="R254" s="64" t="s">
        <v>51</v>
      </c>
      <c r="S254" s="65" t="s">
        <v>796</v>
      </c>
      <c r="T254" s="66">
        <v>2015</v>
      </c>
      <c r="U254" s="67">
        <v>-671.67</v>
      </c>
      <c r="V254" s="68">
        <v>-671.67</v>
      </c>
      <c r="W254" s="60" t="s">
        <v>797</v>
      </c>
      <c r="X254" s="69">
        <v>45916</v>
      </c>
      <c r="Y254" s="70">
        <v>45946</v>
      </c>
      <c r="Z254" s="60" t="s">
        <v>798</v>
      </c>
      <c r="AA254" s="44" t="s">
        <v>799</v>
      </c>
      <c r="AB254" s="57" t="s">
        <v>56</v>
      </c>
      <c r="AC254" s="59" t="s">
        <v>57</v>
      </c>
      <c r="AD254" s="60"/>
      <c r="AE254" s="71">
        <v>-671.67</v>
      </c>
      <c r="AF254" s="48" t="s">
        <v>58</v>
      </c>
      <c r="AG254" s="48" t="s">
        <v>59</v>
      </c>
      <c r="AH254" s="49" t="s">
        <v>70</v>
      </c>
      <c r="AI254" s="49" t="s">
        <v>71</v>
      </c>
      <c r="AJ254" s="50" t="s">
        <v>72</v>
      </c>
    </row>
    <row r="255" spans="1:36" ht="15.75" x14ac:dyDescent="0.25">
      <c r="A255" s="26">
        <v>23181</v>
      </c>
      <c r="B255" s="57" t="s">
        <v>726</v>
      </c>
      <c r="C255" s="58" t="s">
        <v>727</v>
      </c>
      <c r="D255" s="59" t="s">
        <v>726</v>
      </c>
      <c r="E255" s="60" t="s">
        <v>728</v>
      </c>
      <c r="F255" s="58" t="s">
        <v>729</v>
      </c>
      <c r="G255" s="57" t="s">
        <v>730</v>
      </c>
      <c r="H255" s="88" t="s">
        <v>731</v>
      </c>
      <c r="I255" s="58" t="s">
        <v>732</v>
      </c>
      <c r="J255" s="57" t="s">
        <v>733</v>
      </c>
      <c r="K255" s="60" t="s">
        <v>734</v>
      </c>
      <c r="L255" s="58" t="s">
        <v>735</v>
      </c>
      <c r="M255" s="57" t="s">
        <v>736</v>
      </c>
      <c r="N255" s="60" t="s">
        <v>737</v>
      </c>
      <c r="O255" s="58" t="s">
        <v>83</v>
      </c>
      <c r="P255" s="57" t="s">
        <v>84</v>
      </c>
      <c r="Q255" s="60" t="s">
        <v>85</v>
      </c>
      <c r="R255" s="64" t="s">
        <v>51</v>
      </c>
      <c r="S255" s="65" t="s">
        <v>800</v>
      </c>
      <c r="T255" s="39">
        <v>249</v>
      </c>
      <c r="U255" s="40">
        <v>-249</v>
      </c>
      <c r="V255" s="41">
        <v>-83</v>
      </c>
      <c r="W255" s="60" t="s">
        <v>801</v>
      </c>
      <c r="X255" s="69">
        <v>45917</v>
      </c>
      <c r="Y255" s="70">
        <v>45933</v>
      </c>
      <c r="Z255" s="60" t="s">
        <v>802</v>
      </c>
      <c r="AA255" s="44" t="s">
        <v>803</v>
      </c>
      <c r="AB255" s="57" t="s">
        <v>56</v>
      </c>
      <c r="AC255" s="59" t="s">
        <v>57</v>
      </c>
      <c r="AD255" s="33"/>
      <c r="AE255" s="47">
        <v>-83</v>
      </c>
      <c r="AF255" s="48" t="s">
        <v>58</v>
      </c>
      <c r="AG255" s="48" t="s">
        <v>59</v>
      </c>
      <c r="AH255" s="49" t="s">
        <v>89</v>
      </c>
      <c r="AI255" s="49" t="s">
        <v>61</v>
      </c>
      <c r="AJ255" s="50" t="s">
        <v>62</v>
      </c>
    </row>
    <row r="256" spans="1:36" ht="15.75" x14ac:dyDescent="0.25">
      <c r="A256" s="26">
        <v>21108</v>
      </c>
      <c r="B256" s="57" t="s">
        <v>726</v>
      </c>
      <c r="C256" s="58" t="s">
        <v>727</v>
      </c>
      <c r="D256" s="59" t="s">
        <v>726</v>
      </c>
      <c r="E256" s="60" t="s">
        <v>728</v>
      </c>
      <c r="F256" s="58" t="s">
        <v>729</v>
      </c>
      <c r="G256" s="57" t="s">
        <v>730</v>
      </c>
      <c r="H256" s="88" t="s">
        <v>731</v>
      </c>
      <c r="I256" s="58" t="s">
        <v>732</v>
      </c>
      <c r="J256" s="57" t="s">
        <v>733</v>
      </c>
      <c r="K256" s="60" t="s">
        <v>734</v>
      </c>
      <c r="L256" s="58" t="s">
        <v>735</v>
      </c>
      <c r="M256" s="57" t="s">
        <v>736</v>
      </c>
      <c r="N256" s="60" t="s">
        <v>737</v>
      </c>
      <c r="O256" s="58" t="s">
        <v>63</v>
      </c>
      <c r="P256" s="57" t="s">
        <v>64</v>
      </c>
      <c r="Q256" s="60" t="s">
        <v>65</v>
      </c>
      <c r="R256" s="64" t="s">
        <v>51</v>
      </c>
      <c r="S256" s="65" t="s">
        <v>804</v>
      </c>
      <c r="T256" s="66">
        <v>4080</v>
      </c>
      <c r="U256" s="67">
        <v>-1020</v>
      </c>
      <c r="V256" s="68">
        <v>-1020</v>
      </c>
      <c r="W256" s="60" t="s">
        <v>805</v>
      </c>
      <c r="X256" s="69">
        <v>45918</v>
      </c>
      <c r="Y256" s="70">
        <v>45946</v>
      </c>
      <c r="Z256" s="60" t="s">
        <v>753</v>
      </c>
      <c r="AA256" s="44" t="s">
        <v>754</v>
      </c>
      <c r="AB256" s="57" t="s">
        <v>56</v>
      </c>
      <c r="AC256" s="59" t="s">
        <v>57</v>
      </c>
      <c r="AD256" s="60"/>
      <c r="AE256" s="71">
        <v>-1020</v>
      </c>
      <c r="AF256" s="48" t="s">
        <v>58</v>
      </c>
      <c r="AG256" s="48" t="s">
        <v>59</v>
      </c>
      <c r="AH256" s="49" t="s">
        <v>70</v>
      </c>
      <c r="AI256" s="49" t="s">
        <v>71</v>
      </c>
      <c r="AJ256" s="50" t="s">
        <v>72</v>
      </c>
    </row>
    <row r="257" spans="1:36" ht="15.75" x14ac:dyDescent="0.25">
      <c r="A257" s="26">
        <v>21109</v>
      </c>
      <c r="B257" s="57" t="s">
        <v>726</v>
      </c>
      <c r="C257" s="58" t="s">
        <v>727</v>
      </c>
      <c r="D257" s="59" t="s">
        <v>726</v>
      </c>
      <c r="E257" s="60" t="s">
        <v>728</v>
      </c>
      <c r="F257" s="58" t="s">
        <v>729</v>
      </c>
      <c r="G257" s="57" t="s">
        <v>730</v>
      </c>
      <c r="H257" s="88" t="s">
        <v>731</v>
      </c>
      <c r="I257" s="58" t="s">
        <v>732</v>
      </c>
      <c r="J257" s="57" t="s">
        <v>733</v>
      </c>
      <c r="K257" s="60" t="s">
        <v>734</v>
      </c>
      <c r="L257" s="58" t="s">
        <v>735</v>
      </c>
      <c r="M257" s="57" t="s">
        <v>736</v>
      </c>
      <c r="N257" s="60" t="s">
        <v>737</v>
      </c>
      <c r="O257" s="58" t="s">
        <v>63</v>
      </c>
      <c r="P257" s="57" t="s">
        <v>64</v>
      </c>
      <c r="Q257" s="60" t="s">
        <v>65</v>
      </c>
      <c r="R257" s="64" t="s">
        <v>51</v>
      </c>
      <c r="S257" s="65" t="s">
        <v>804</v>
      </c>
      <c r="T257" s="66">
        <v>4080</v>
      </c>
      <c r="U257" s="67">
        <v>-1020</v>
      </c>
      <c r="V257" s="68">
        <v>-1020</v>
      </c>
      <c r="W257" s="60" t="s">
        <v>805</v>
      </c>
      <c r="X257" s="69">
        <v>45918</v>
      </c>
      <c r="Y257" s="70">
        <v>45960</v>
      </c>
      <c r="Z257" s="60" t="s">
        <v>753</v>
      </c>
      <c r="AA257" s="44" t="s">
        <v>754</v>
      </c>
      <c r="AB257" s="57" t="s">
        <v>56</v>
      </c>
      <c r="AC257" s="59" t="s">
        <v>57</v>
      </c>
      <c r="AD257" s="60"/>
      <c r="AE257" s="71">
        <v>-1020</v>
      </c>
      <c r="AF257" s="48" t="s">
        <v>58</v>
      </c>
      <c r="AG257" s="48" t="s">
        <v>59</v>
      </c>
      <c r="AH257" s="49" t="s">
        <v>70</v>
      </c>
      <c r="AI257" s="49" t="s">
        <v>71</v>
      </c>
      <c r="AJ257" s="50" t="s">
        <v>72</v>
      </c>
    </row>
    <row r="258" spans="1:36" ht="15.75" x14ac:dyDescent="0.25">
      <c r="A258" s="26">
        <v>20700</v>
      </c>
      <c r="B258" s="57" t="s">
        <v>726</v>
      </c>
      <c r="C258" s="58" t="s">
        <v>727</v>
      </c>
      <c r="D258" s="59" t="s">
        <v>726</v>
      </c>
      <c r="E258" s="60" t="s">
        <v>728</v>
      </c>
      <c r="F258" s="58" t="s">
        <v>729</v>
      </c>
      <c r="G258" s="57" t="s">
        <v>730</v>
      </c>
      <c r="H258" s="88" t="s">
        <v>731</v>
      </c>
      <c r="I258" s="58" t="s">
        <v>732</v>
      </c>
      <c r="J258" s="57" t="s">
        <v>733</v>
      </c>
      <c r="K258" s="60" t="s">
        <v>734</v>
      </c>
      <c r="L258" s="58" t="s">
        <v>735</v>
      </c>
      <c r="M258" s="57" t="s">
        <v>736</v>
      </c>
      <c r="N258" s="60" t="s">
        <v>737</v>
      </c>
      <c r="O258" s="58" t="s">
        <v>83</v>
      </c>
      <c r="P258" s="57" t="s">
        <v>84</v>
      </c>
      <c r="Q258" s="60" t="s">
        <v>85</v>
      </c>
      <c r="R258" s="64" t="s">
        <v>51</v>
      </c>
      <c r="S258" s="65" t="s">
        <v>806</v>
      </c>
      <c r="T258" s="66">
        <v>211.68</v>
      </c>
      <c r="U258" s="67">
        <v>-211.68</v>
      </c>
      <c r="V258" s="68">
        <v>-105.84</v>
      </c>
      <c r="W258" s="60" t="s">
        <v>807</v>
      </c>
      <c r="X258" s="69">
        <v>45923</v>
      </c>
      <c r="Y258" s="70">
        <v>45945</v>
      </c>
      <c r="Z258" s="60" t="s">
        <v>780</v>
      </c>
      <c r="AA258" s="44" t="s">
        <v>781</v>
      </c>
      <c r="AB258" s="57" t="s">
        <v>56</v>
      </c>
      <c r="AC258" s="59" t="s">
        <v>57</v>
      </c>
      <c r="AD258" s="60"/>
      <c r="AE258" s="71">
        <v>-105.84</v>
      </c>
      <c r="AF258" s="48" t="s">
        <v>58</v>
      </c>
      <c r="AG258" s="48" t="s">
        <v>59</v>
      </c>
      <c r="AH258" s="49" t="s">
        <v>89</v>
      </c>
      <c r="AI258" s="49" t="s">
        <v>61</v>
      </c>
      <c r="AJ258" s="50" t="s">
        <v>62</v>
      </c>
    </row>
    <row r="259" spans="1:36" ht="15.75" x14ac:dyDescent="0.25">
      <c r="A259" s="26">
        <v>20867</v>
      </c>
      <c r="B259" s="57" t="s">
        <v>726</v>
      </c>
      <c r="C259" s="58" t="s">
        <v>727</v>
      </c>
      <c r="D259" s="59" t="s">
        <v>726</v>
      </c>
      <c r="E259" s="60" t="s">
        <v>728</v>
      </c>
      <c r="F259" s="58" t="s">
        <v>729</v>
      </c>
      <c r="G259" s="57" t="s">
        <v>730</v>
      </c>
      <c r="H259" s="88" t="s">
        <v>731</v>
      </c>
      <c r="I259" s="58" t="s">
        <v>732</v>
      </c>
      <c r="J259" s="57" t="s">
        <v>733</v>
      </c>
      <c r="K259" s="60" t="s">
        <v>734</v>
      </c>
      <c r="L259" s="58" t="s">
        <v>735</v>
      </c>
      <c r="M259" s="57" t="s">
        <v>736</v>
      </c>
      <c r="N259" s="60" t="s">
        <v>737</v>
      </c>
      <c r="O259" s="58" t="s">
        <v>63</v>
      </c>
      <c r="P259" s="57" t="s">
        <v>64</v>
      </c>
      <c r="Q259" s="60" t="s">
        <v>65</v>
      </c>
      <c r="R259" s="64" t="s">
        <v>103</v>
      </c>
      <c r="S259" s="65" t="s">
        <v>808</v>
      </c>
      <c r="T259" s="66">
        <v>560</v>
      </c>
      <c r="U259" s="67">
        <v>-560</v>
      </c>
      <c r="V259" s="68">
        <v>-560</v>
      </c>
      <c r="W259" s="60" t="s">
        <v>809</v>
      </c>
      <c r="X259" s="69">
        <v>45925</v>
      </c>
      <c r="Y259" s="70">
        <v>45955</v>
      </c>
      <c r="Z259" s="60" t="s">
        <v>794</v>
      </c>
      <c r="AA259" s="44" t="s">
        <v>795</v>
      </c>
      <c r="AB259" s="57" t="s">
        <v>56</v>
      </c>
      <c r="AC259" s="59" t="s">
        <v>57</v>
      </c>
      <c r="AD259" s="60"/>
      <c r="AE259" s="71">
        <v>-560</v>
      </c>
      <c r="AF259" s="48" t="s">
        <v>58</v>
      </c>
      <c r="AG259" s="48" t="s">
        <v>59</v>
      </c>
      <c r="AH259" s="49" t="s">
        <v>70</v>
      </c>
      <c r="AI259" s="49" t="s">
        <v>71</v>
      </c>
      <c r="AJ259" s="50" t="s">
        <v>72</v>
      </c>
    </row>
    <row r="260" spans="1:36" ht="15.75" x14ac:dyDescent="0.25">
      <c r="A260" s="26">
        <v>21000</v>
      </c>
      <c r="B260" s="57" t="s">
        <v>726</v>
      </c>
      <c r="C260" s="58" t="s">
        <v>727</v>
      </c>
      <c r="D260" s="59" t="s">
        <v>726</v>
      </c>
      <c r="E260" s="60" t="s">
        <v>728</v>
      </c>
      <c r="F260" s="58" t="s">
        <v>729</v>
      </c>
      <c r="G260" s="57" t="s">
        <v>730</v>
      </c>
      <c r="H260" s="88" t="s">
        <v>731</v>
      </c>
      <c r="I260" s="58" t="s">
        <v>732</v>
      </c>
      <c r="J260" s="57" t="s">
        <v>733</v>
      </c>
      <c r="K260" s="60" t="s">
        <v>734</v>
      </c>
      <c r="L260" s="58" t="s">
        <v>735</v>
      </c>
      <c r="M260" s="57" t="s">
        <v>736</v>
      </c>
      <c r="N260" s="60" t="s">
        <v>737</v>
      </c>
      <c r="O260" s="58" t="s">
        <v>63</v>
      </c>
      <c r="P260" s="57" t="s">
        <v>64</v>
      </c>
      <c r="Q260" s="60" t="s">
        <v>65</v>
      </c>
      <c r="R260" s="64" t="s">
        <v>103</v>
      </c>
      <c r="S260" s="65" t="s">
        <v>810</v>
      </c>
      <c r="T260" s="66">
        <v>660</v>
      </c>
      <c r="U260" s="67">
        <v>-165</v>
      </c>
      <c r="V260" s="68">
        <v>-165</v>
      </c>
      <c r="W260" s="60" t="s">
        <v>811</v>
      </c>
      <c r="X260" s="69">
        <v>45926</v>
      </c>
      <c r="Y260" s="70">
        <v>45955</v>
      </c>
      <c r="Z260" s="60" t="s">
        <v>812</v>
      </c>
      <c r="AA260" s="44" t="s">
        <v>813</v>
      </c>
      <c r="AB260" s="57" t="s">
        <v>56</v>
      </c>
      <c r="AC260" s="59" t="s">
        <v>57</v>
      </c>
      <c r="AD260" s="60"/>
      <c r="AE260" s="71">
        <v>-165</v>
      </c>
      <c r="AF260" s="48" t="s">
        <v>58</v>
      </c>
      <c r="AG260" s="48" t="s">
        <v>59</v>
      </c>
      <c r="AH260" s="49" t="s">
        <v>70</v>
      </c>
      <c r="AI260" s="49" t="s">
        <v>71</v>
      </c>
      <c r="AJ260" s="50" t="s">
        <v>72</v>
      </c>
    </row>
    <row r="261" spans="1:36" ht="15.75" x14ac:dyDescent="0.25">
      <c r="A261" s="26">
        <v>24168</v>
      </c>
      <c r="B261" s="57" t="s">
        <v>726</v>
      </c>
      <c r="C261" s="58" t="s">
        <v>727</v>
      </c>
      <c r="D261" s="59" t="s">
        <v>726</v>
      </c>
      <c r="E261" s="60" t="s">
        <v>728</v>
      </c>
      <c r="F261" s="58" t="s">
        <v>729</v>
      </c>
      <c r="G261" s="57" t="s">
        <v>730</v>
      </c>
      <c r="H261" s="60" t="s">
        <v>731</v>
      </c>
      <c r="I261" s="58" t="s">
        <v>732</v>
      </c>
      <c r="J261" s="57" t="s">
        <v>733</v>
      </c>
      <c r="K261" s="60" t="s">
        <v>734</v>
      </c>
      <c r="L261" s="58" t="s">
        <v>735</v>
      </c>
      <c r="M261" s="57" t="s">
        <v>736</v>
      </c>
      <c r="N261" s="60" t="s">
        <v>737</v>
      </c>
      <c r="O261" s="58" t="s">
        <v>63</v>
      </c>
      <c r="P261" s="57" t="s">
        <v>64</v>
      </c>
      <c r="Q261" s="60" t="s">
        <v>65</v>
      </c>
      <c r="R261" s="64" t="s">
        <v>51</v>
      </c>
      <c r="S261" s="65" t="s">
        <v>814</v>
      </c>
      <c r="T261" s="66">
        <v>1650.84</v>
      </c>
      <c r="U261" s="67">
        <v>-1650.84</v>
      </c>
      <c r="V261" s="68">
        <v>-1650.84</v>
      </c>
      <c r="W261" s="60" t="s">
        <v>815</v>
      </c>
      <c r="X261" s="69">
        <v>45940</v>
      </c>
      <c r="Y261" s="70">
        <v>45970</v>
      </c>
      <c r="Z261" s="60" t="s">
        <v>619</v>
      </c>
      <c r="AA261" s="44" t="s">
        <v>620</v>
      </c>
      <c r="AB261" s="57" t="s">
        <v>56</v>
      </c>
      <c r="AC261" s="59" t="s">
        <v>236</v>
      </c>
      <c r="AD261" s="60"/>
      <c r="AE261" s="71">
        <v>-1650.84</v>
      </c>
      <c r="AF261" s="48" t="s">
        <v>58</v>
      </c>
      <c r="AG261" s="48" t="s">
        <v>59</v>
      </c>
      <c r="AH261" s="49" t="s">
        <v>70</v>
      </c>
      <c r="AI261" s="49" t="s">
        <v>71</v>
      </c>
      <c r="AJ261" s="50" t="s">
        <v>72</v>
      </c>
    </row>
    <row r="262" spans="1:36" ht="15.75" x14ac:dyDescent="0.25">
      <c r="A262" s="26">
        <v>23863</v>
      </c>
      <c r="B262" s="57" t="s">
        <v>726</v>
      </c>
      <c r="C262" s="58" t="s">
        <v>727</v>
      </c>
      <c r="D262" s="59" t="s">
        <v>726</v>
      </c>
      <c r="E262" s="60" t="s">
        <v>728</v>
      </c>
      <c r="F262" s="58" t="s">
        <v>729</v>
      </c>
      <c r="G262" s="57" t="s">
        <v>730</v>
      </c>
      <c r="H262" s="60" t="s">
        <v>731</v>
      </c>
      <c r="I262" s="58" t="s">
        <v>732</v>
      </c>
      <c r="J262" s="57" t="s">
        <v>733</v>
      </c>
      <c r="K262" s="60" t="s">
        <v>734</v>
      </c>
      <c r="L262" s="58" t="s">
        <v>735</v>
      </c>
      <c r="M262" s="57" t="s">
        <v>736</v>
      </c>
      <c r="N262" s="60" t="s">
        <v>737</v>
      </c>
      <c r="O262" s="58" t="s">
        <v>83</v>
      </c>
      <c r="P262" s="57" t="s">
        <v>84</v>
      </c>
      <c r="Q262" s="60" t="s">
        <v>85</v>
      </c>
      <c r="R262" s="64" t="s">
        <v>51</v>
      </c>
      <c r="S262" s="65" t="s">
        <v>816</v>
      </c>
      <c r="T262" s="66">
        <v>193.18</v>
      </c>
      <c r="U262" s="67">
        <v>-96.59</v>
      </c>
      <c r="V262" s="68">
        <v>-96.59</v>
      </c>
      <c r="W262" s="60" t="s">
        <v>817</v>
      </c>
      <c r="X262" s="69">
        <v>45944</v>
      </c>
      <c r="Y262" s="70">
        <v>45955</v>
      </c>
      <c r="Z262" s="60" t="s">
        <v>88</v>
      </c>
      <c r="AA262" s="44" t="s">
        <v>55</v>
      </c>
      <c r="AB262" s="57" t="s">
        <v>56</v>
      </c>
      <c r="AC262" s="59" t="s">
        <v>236</v>
      </c>
      <c r="AD262" s="60"/>
      <c r="AE262" s="71">
        <v>-96.59</v>
      </c>
      <c r="AF262" s="48" t="s">
        <v>58</v>
      </c>
      <c r="AG262" s="48" t="s">
        <v>59</v>
      </c>
      <c r="AH262" s="49" t="s">
        <v>89</v>
      </c>
      <c r="AI262" s="49" t="s">
        <v>61</v>
      </c>
      <c r="AJ262" s="50" t="s">
        <v>62</v>
      </c>
    </row>
    <row r="263" spans="1:36" ht="15.75" x14ac:dyDescent="0.25">
      <c r="A263" s="26">
        <v>24176</v>
      </c>
      <c r="B263" s="57" t="s">
        <v>726</v>
      </c>
      <c r="C263" s="58" t="s">
        <v>727</v>
      </c>
      <c r="D263" s="59" t="s">
        <v>726</v>
      </c>
      <c r="E263" s="60" t="s">
        <v>728</v>
      </c>
      <c r="F263" s="58" t="s">
        <v>729</v>
      </c>
      <c r="G263" s="57" t="s">
        <v>730</v>
      </c>
      <c r="H263" s="60" t="s">
        <v>731</v>
      </c>
      <c r="I263" s="58" t="s">
        <v>732</v>
      </c>
      <c r="J263" s="57" t="s">
        <v>733</v>
      </c>
      <c r="K263" s="60" t="s">
        <v>734</v>
      </c>
      <c r="L263" s="58" t="s">
        <v>735</v>
      </c>
      <c r="M263" s="57" t="s">
        <v>736</v>
      </c>
      <c r="N263" s="60" t="s">
        <v>737</v>
      </c>
      <c r="O263" s="58" t="s">
        <v>63</v>
      </c>
      <c r="P263" s="57" t="s">
        <v>64</v>
      </c>
      <c r="Q263" s="60" t="s">
        <v>65</v>
      </c>
      <c r="R263" s="64" t="s">
        <v>51</v>
      </c>
      <c r="S263" s="65" t="s">
        <v>818</v>
      </c>
      <c r="T263" s="66">
        <v>11356.89</v>
      </c>
      <c r="U263" s="67">
        <v>-11356.89</v>
      </c>
      <c r="V263" s="68">
        <v>-11356.89</v>
      </c>
      <c r="W263" s="60" t="s">
        <v>819</v>
      </c>
      <c r="X263" s="69">
        <v>45945</v>
      </c>
      <c r="Y263" s="70">
        <v>45975</v>
      </c>
      <c r="Z263" s="60" t="s">
        <v>619</v>
      </c>
      <c r="AA263" s="44" t="s">
        <v>620</v>
      </c>
      <c r="AB263" s="57" t="s">
        <v>56</v>
      </c>
      <c r="AC263" s="59" t="s">
        <v>236</v>
      </c>
      <c r="AD263" s="60"/>
      <c r="AE263" s="71">
        <v>-11356.89</v>
      </c>
      <c r="AF263" s="48" t="s">
        <v>58</v>
      </c>
      <c r="AG263" s="48" t="s">
        <v>59</v>
      </c>
      <c r="AH263" s="49" t="s">
        <v>70</v>
      </c>
      <c r="AI263" s="49" t="s">
        <v>71</v>
      </c>
      <c r="AJ263" s="50" t="s">
        <v>72</v>
      </c>
    </row>
    <row r="264" spans="1:36" ht="15.75" x14ac:dyDescent="0.25">
      <c r="A264" s="26">
        <v>23865</v>
      </c>
      <c r="B264" s="57" t="s">
        <v>726</v>
      </c>
      <c r="C264" s="58" t="s">
        <v>727</v>
      </c>
      <c r="D264" s="59" t="s">
        <v>726</v>
      </c>
      <c r="E264" s="60" t="s">
        <v>728</v>
      </c>
      <c r="F264" s="58" t="s">
        <v>729</v>
      </c>
      <c r="G264" s="57" t="s">
        <v>730</v>
      </c>
      <c r="H264" s="60" t="s">
        <v>731</v>
      </c>
      <c r="I264" s="58" t="s">
        <v>732</v>
      </c>
      <c r="J264" s="57" t="s">
        <v>733</v>
      </c>
      <c r="K264" s="60" t="s">
        <v>734</v>
      </c>
      <c r="L264" s="58" t="s">
        <v>735</v>
      </c>
      <c r="M264" s="57" t="s">
        <v>736</v>
      </c>
      <c r="N264" s="60" t="s">
        <v>737</v>
      </c>
      <c r="O264" s="58" t="s">
        <v>83</v>
      </c>
      <c r="P264" s="57" t="s">
        <v>84</v>
      </c>
      <c r="Q264" s="60" t="s">
        <v>85</v>
      </c>
      <c r="R264" s="64" t="s">
        <v>103</v>
      </c>
      <c r="S264" s="65" t="s">
        <v>820</v>
      </c>
      <c r="T264" s="66">
        <v>2500</v>
      </c>
      <c r="U264" s="67">
        <v>-2500</v>
      </c>
      <c r="V264" s="68">
        <v>-2500</v>
      </c>
      <c r="W264" s="60" t="s">
        <v>821</v>
      </c>
      <c r="X264" s="69">
        <v>45946</v>
      </c>
      <c r="Y264" s="70">
        <v>45946</v>
      </c>
      <c r="Z264" s="60" t="s">
        <v>822</v>
      </c>
      <c r="AA264" s="44" t="s">
        <v>823</v>
      </c>
      <c r="AB264" s="57" t="s">
        <v>56</v>
      </c>
      <c r="AC264" s="59" t="s">
        <v>236</v>
      </c>
      <c r="AD264" s="60"/>
      <c r="AE264" s="71">
        <v>-2500</v>
      </c>
      <c r="AF264" s="48" t="s">
        <v>58</v>
      </c>
      <c r="AG264" s="48" t="s">
        <v>59</v>
      </c>
      <c r="AH264" s="49" t="s">
        <v>89</v>
      </c>
      <c r="AI264" s="49" t="s">
        <v>61</v>
      </c>
      <c r="AJ264" s="50" t="s">
        <v>62</v>
      </c>
    </row>
    <row r="265" spans="1:36" ht="15.75" x14ac:dyDescent="0.25">
      <c r="A265" s="26">
        <v>25486</v>
      </c>
      <c r="B265" s="57" t="s">
        <v>726</v>
      </c>
      <c r="C265" s="58" t="s">
        <v>727</v>
      </c>
      <c r="D265" s="59" t="s">
        <v>726</v>
      </c>
      <c r="E265" s="60" t="s">
        <v>728</v>
      </c>
      <c r="F265" s="58" t="s">
        <v>729</v>
      </c>
      <c r="G265" s="57" t="s">
        <v>730</v>
      </c>
      <c r="H265" s="60" t="s">
        <v>731</v>
      </c>
      <c r="I265" s="58" t="s">
        <v>732</v>
      </c>
      <c r="J265" s="57" t="s">
        <v>733</v>
      </c>
      <c r="K265" s="60" t="s">
        <v>734</v>
      </c>
      <c r="L265" s="58" t="s">
        <v>735</v>
      </c>
      <c r="M265" s="57" t="s">
        <v>736</v>
      </c>
      <c r="N265" s="60" t="s">
        <v>737</v>
      </c>
      <c r="O265" s="58" t="s">
        <v>738</v>
      </c>
      <c r="P265" s="57" t="s">
        <v>739</v>
      </c>
      <c r="Q265" s="60" t="s">
        <v>740</v>
      </c>
      <c r="R265" s="64" t="s">
        <v>741</v>
      </c>
      <c r="S265" s="65" t="s">
        <v>824</v>
      </c>
      <c r="T265" s="66">
        <v>2787.59</v>
      </c>
      <c r="U265" s="67">
        <v>-2787.59</v>
      </c>
      <c r="V265" s="68">
        <v>-2787.59</v>
      </c>
      <c r="W265" s="60" t="s">
        <v>825</v>
      </c>
      <c r="X265" s="69">
        <v>45961</v>
      </c>
      <c r="Y265" s="70">
        <v>45961</v>
      </c>
      <c r="Z265" s="60"/>
      <c r="AA265" s="44" t="s">
        <v>743</v>
      </c>
      <c r="AB265" s="57" t="s">
        <v>56</v>
      </c>
      <c r="AC265" s="59" t="s">
        <v>236</v>
      </c>
      <c r="AD265" s="60"/>
      <c r="AE265" s="71">
        <v>-2787.59</v>
      </c>
      <c r="AF265" s="48" t="s">
        <v>58</v>
      </c>
      <c r="AG265" s="48" t="s">
        <v>59</v>
      </c>
      <c r="AH265" s="49" t="s">
        <v>259</v>
      </c>
      <c r="AI265" s="49" t="s">
        <v>61</v>
      </c>
      <c r="AJ265" s="50" t="s">
        <v>62</v>
      </c>
    </row>
    <row r="266" spans="1:36" ht="15.75" x14ac:dyDescent="0.25">
      <c r="A266" s="26">
        <v>26926</v>
      </c>
      <c r="B266" s="57" t="s">
        <v>726</v>
      </c>
      <c r="C266" s="58" t="s">
        <v>727</v>
      </c>
      <c r="D266" s="59" t="s">
        <v>726</v>
      </c>
      <c r="E266" s="60" t="s">
        <v>728</v>
      </c>
      <c r="F266" s="58" t="s">
        <v>729</v>
      </c>
      <c r="G266" s="57" t="s">
        <v>730</v>
      </c>
      <c r="H266" s="60" t="s">
        <v>731</v>
      </c>
      <c r="I266" s="58" t="s">
        <v>732</v>
      </c>
      <c r="J266" s="57" t="s">
        <v>733</v>
      </c>
      <c r="K266" s="60" t="s">
        <v>734</v>
      </c>
      <c r="L266" s="58" t="s">
        <v>735</v>
      </c>
      <c r="M266" s="57" t="s">
        <v>736</v>
      </c>
      <c r="N266" s="60" t="s">
        <v>737</v>
      </c>
      <c r="O266" s="58" t="s">
        <v>83</v>
      </c>
      <c r="P266" s="57" t="s">
        <v>84</v>
      </c>
      <c r="Q266" s="60" t="s">
        <v>85</v>
      </c>
      <c r="R266" s="64" t="s">
        <v>103</v>
      </c>
      <c r="S266" s="65" t="s">
        <v>826</v>
      </c>
      <c r="T266" s="66">
        <v>2500</v>
      </c>
      <c r="U266" s="67">
        <v>-2500</v>
      </c>
      <c r="V266" s="68">
        <v>-2500</v>
      </c>
      <c r="W266" s="60" t="s">
        <v>827</v>
      </c>
      <c r="X266" s="69">
        <v>45962</v>
      </c>
      <c r="Y266" s="70">
        <v>45975</v>
      </c>
      <c r="Z266" s="60" t="s">
        <v>822</v>
      </c>
      <c r="AA266" s="44" t="s">
        <v>823</v>
      </c>
      <c r="AB266" s="57" t="s">
        <v>56</v>
      </c>
      <c r="AC266" s="59" t="s">
        <v>236</v>
      </c>
      <c r="AD266" s="60"/>
      <c r="AE266" s="71">
        <v>-2500</v>
      </c>
      <c r="AF266" s="48" t="s">
        <v>58</v>
      </c>
      <c r="AG266" s="48" t="s">
        <v>59</v>
      </c>
      <c r="AH266" s="49" t="s">
        <v>89</v>
      </c>
      <c r="AI266" s="49" t="s">
        <v>61</v>
      </c>
      <c r="AJ266" s="50" t="s">
        <v>62</v>
      </c>
    </row>
    <row r="267" spans="1:36" ht="15.75" x14ac:dyDescent="0.25">
      <c r="A267" s="26">
        <v>26927</v>
      </c>
      <c r="B267" s="57" t="s">
        <v>726</v>
      </c>
      <c r="C267" s="58" t="s">
        <v>727</v>
      </c>
      <c r="D267" s="59" t="s">
        <v>726</v>
      </c>
      <c r="E267" s="60" t="s">
        <v>728</v>
      </c>
      <c r="F267" s="58" t="s">
        <v>729</v>
      </c>
      <c r="G267" s="57" t="s">
        <v>730</v>
      </c>
      <c r="H267" s="60" t="s">
        <v>731</v>
      </c>
      <c r="I267" s="58" t="s">
        <v>732</v>
      </c>
      <c r="J267" s="57" t="s">
        <v>733</v>
      </c>
      <c r="K267" s="60" t="s">
        <v>734</v>
      </c>
      <c r="L267" s="58" t="s">
        <v>735</v>
      </c>
      <c r="M267" s="57" t="s">
        <v>736</v>
      </c>
      <c r="N267" s="60" t="s">
        <v>737</v>
      </c>
      <c r="O267" s="58" t="s">
        <v>83</v>
      </c>
      <c r="P267" s="57" t="s">
        <v>84</v>
      </c>
      <c r="Q267" s="60" t="s">
        <v>85</v>
      </c>
      <c r="R267" s="64" t="s">
        <v>103</v>
      </c>
      <c r="S267" s="65" t="s">
        <v>828</v>
      </c>
      <c r="T267" s="66">
        <v>1250</v>
      </c>
      <c r="U267" s="67">
        <v>-1250</v>
      </c>
      <c r="V267" s="68">
        <v>-1250</v>
      </c>
      <c r="W267" s="60" t="s">
        <v>829</v>
      </c>
      <c r="X267" s="69">
        <v>45972</v>
      </c>
      <c r="Y267" s="70">
        <v>45992</v>
      </c>
      <c r="Z267" s="60" t="s">
        <v>822</v>
      </c>
      <c r="AA267" s="44" t="s">
        <v>823</v>
      </c>
      <c r="AB267" s="57" t="s">
        <v>56</v>
      </c>
      <c r="AC267" s="59" t="s">
        <v>236</v>
      </c>
      <c r="AD267" s="60"/>
      <c r="AE267" s="71">
        <v>-1250</v>
      </c>
      <c r="AF267" s="48" t="s">
        <v>58</v>
      </c>
      <c r="AG267" s="48" t="s">
        <v>59</v>
      </c>
      <c r="AH267" s="49" t="s">
        <v>89</v>
      </c>
      <c r="AI267" s="49" t="s">
        <v>61</v>
      </c>
      <c r="AJ267" s="50" t="s">
        <v>62</v>
      </c>
    </row>
    <row r="268" spans="1:36" ht="15.75" x14ac:dyDescent="0.25">
      <c r="A268" s="26">
        <v>26930</v>
      </c>
      <c r="B268" s="57" t="s">
        <v>726</v>
      </c>
      <c r="C268" s="58" t="s">
        <v>727</v>
      </c>
      <c r="D268" s="59" t="s">
        <v>726</v>
      </c>
      <c r="E268" s="60" t="s">
        <v>728</v>
      </c>
      <c r="F268" s="58" t="s">
        <v>729</v>
      </c>
      <c r="G268" s="57" t="s">
        <v>730</v>
      </c>
      <c r="H268" s="60" t="s">
        <v>731</v>
      </c>
      <c r="I268" s="58" t="s">
        <v>732</v>
      </c>
      <c r="J268" s="57" t="s">
        <v>733</v>
      </c>
      <c r="K268" s="60" t="s">
        <v>734</v>
      </c>
      <c r="L268" s="58" t="s">
        <v>735</v>
      </c>
      <c r="M268" s="57" t="s">
        <v>736</v>
      </c>
      <c r="N268" s="60" t="s">
        <v>737</v>
      </c>
      <c r="O268" s="58" t="s">
        <v>63</v>
      </c>
      <c r="P268" s="57" t="s">
        <v>64</v>
      </c>
      <c r="Q268" s="60" t="s">
        <v>65</v>
      </c>
      <c r="R268" s="64" t="s">
        <v>51</v>
      </c>
      <c r="S268" s="65" t="s">
        <v>830</v>
      </c>
      <c r="T268" s="66">
        <v>17751.78</v>
      </c>
      <c r="U268" s="67">
        <v>-17751.78</v>
      </c>
      <c r="V268" s="68">
        <v>-17751.78</v>
      </c>
      <c r="W268" s="60" t="s">
        <v>831</v>
      </c>
      <c r="X268" s="69">
        <v>45973</v>
      </c>
      <c r="Y268" s="70" t="s">
        <v>256</v>
      </c>
      <c r="Z268" s="60" t="s">
        <v>619</v>
      </c>
      <c r="AA268" s="44" t="s">
        <v>620</v>
      </c>
      <c r="AB268" s="57" t="s">
        <v>56</v>
      </c>
      <c r="AC268" s="59" t="s">
        <v>236</v>
      </c>
      <c r="AD268" s="60"/>
      <c r="AE268" s="71">
        <v>-17751.78</v>
      </c>
      <c r="AF268" s="48" t="s">
        <v>58</v>
      </c>
      <c r="AG268" s="48" t="s">
        <v>59</v>
      </c>
      <c r="AH268" s="49" t="s">
        <v>70</v>
      </c>
      <c r="AI268" s="49" t="s">
        <v>71</v>
      </c>
      <c r="AJ268" s="50" t="s">
        <v>72</v>
      </c>
    </row>
    <row r="269" spans="1:36" ht="15.75" x14ac:dyDescent="0.25">
      <c r="A269" s="26">
        <v>26929</v>
      </c>
      <c r="B269" s="57" t="s">
        <v>726</v>
      </c>
      <c r="C269" s="58" t="s">
        <v>727</v>
      </c>
      <c r="D269" s="59" t="s">
        <v>726</v>
      </c>
      <c r="E269" s="60" t="s">
        <v>728</v>
      </c>
      <c r="F269" s="58" t="s">
        <v>729</v>
      </c>
      <c r="G269" s="57" t="s">
        <v>730</v>
      </c>
      <c r="H269" s="60" t="s">
        <v>731</v>
      </c>
      <c r="I269" s="58" t="s">
        <v>732</v>
      </c>
      <c r="J269" s="57" t="s">
        <v>733</v>
      </c>
      <c r="K269" s="60" t="s">
        <v>734</v>
      </c>
      <c r="L269" s="58" t="s">
        <v>735</v>
      </c>
      <c r="M269" s="57" t="s">
        <v>736</v>
      </c>
      <c r="N269" s="60" t="s">
        <v>737</v>
      </c>
      <c r="O269" s="58" t="s">
        <v>63</v>
      </c>
      <c r="P269" s="57" t="s">
        <v>64</v>
      </c>
      <c r="Q269" s="60" t="s">
        <v>65</v>
      </c>
      <c r="R269" s="64" t="s">
        <v>51</v>
      </c>
      <c r="S269" s="65" t="s">
        <v>832</v>
      </c>
      <c r="T269" s="66">
        <v>1144.3800000000001</v>
      </c>
      <c r="U269" s="67">
        <v>-381.46</v>
      </c>
      <c r="V269" s="68">
        <v>-381.46</v>
      </c>
      <c r="W269" s="60" t="s">
        <v>833</v>
      </c>
      <c r="X269" s="69">
        <v>45980</v>
      </c>
      <c r="Y269" s="70" t="s">
        <v>256</v>
      </c>
      <c r="Z269" s="60" t="s">
        <v>619</v>
      </c>
      <c r="AA269" s="44" t="s">
        <v>620</v>
      </c>
      <c r="AB269" s="57" t="s">
        <v>56</v>
      </c>
      <c r="AC269" s="59" t="s">
        <v>236</v>
      </c>
      <c r="AD269" s="60"/>
      <c r="AE269" s="71">
        <v>-381.46</v>
      </c>
      <c r="AF269" s="48" t="s">
        <v>58</v>
      </c>
      <c r="AG269" s="48" t="s">
        <v>59</v>
      </c>
      <c r="AH269" s="49" t="s">
        <v>70</v>
      </c>
      <c r="AI269" s="49" t="s">
        <v>71</v>
      </c>
      <c r="AJ269" s="50" t="s">
        <v>72</v>
      </c>
    </row>
    <row r="270" spans="1:36" ht="15.75" x14ac:dyDescent="0.25">
      <c r="A270" s="26">
        <v>26928</v>
      </c>
      <c r="B270" s="57" t="s">
        <v>726</v>
      </c>
      <c r="C270" s="58" t="s">
        <v>727</v>
      </c>
      <c r="D270" s="59" t="s">
        <v>726</v>
      </c>
      <c r="E270" s="60" t="s">
        <v>728</v>
      </c>
      <c r="F270" s="58" t="s">
        <v>729</v>
      </c>
      <c r="G270" s="57" t="s">
        <v>730</v>
      </c>
      <c r="H270" s="60" t="s">
        <v>731</v>
      </c>
      <c r="I270" s="58" t="s">
        <v>732</v>
      </c>
      <c r="J270" s="57" t="s">
        <v>733</v>
      </c>
      <c r="K270" s="60" t="s">
        <v>734</v>
      </c>
      <c r="L270" s="58" t="s">
        <v>735</v>
      </c>
      <c r="M270" s="57" t="s">
        <v>736</v>
      </c>
      <c r="N270" s="60" t="s">
        <v>737</v>
      </c>
      <c r="O270" s="58" t="s">
        <v>83</v>
      </c>
      <c r="P270" s="57" t="s">
        <v>84</v>
      </c>
      <c r="Q270" s="60" t="s">
        <v>85</v>
      </c>
      <c r="R270" s="64" t="s">
        <v>51</v>
      </c>
      <c r="S270" s="65" t="s">
        <v>834</v>
      </c>
      <c r="T270" s="66">
        <v>386.36</v>
      </c>
      <c r="U270" s="67">
        <v>-96.59</v>
      </c>
      <c r="V270" s="68">
        <v>-96.59</v>
      </c>
      <c r="W270" s="60" t="s">
        <v>835</v>
      </c>
      <c r="X270" s="69">
        <v>45985</v>
      </c>
      <c r="Y270" s="70" t="s">
        <v>256</v>
      </c>
      <c r="Z270" s="60" t="s">
        <v>88</v>
      </c>
      <c r="AA270" s="44" t="s">
        <v>55</v>
      </c>
      <c r="AB270" s="57" t="s">
        <v>56</v>
      </c>
      <c r="AC270" s="59" t="s">
        <v>236</v>
      </c>
      <c r="AD270" s="60"/>
      <c r="AE270" s="71">
        <v>-96.59</v>
      </c>
      <c r="AF270" s="48" t="s">
        <v>58</v>
      </c>
      <c r="AG270" s="48" t="s">
        <v>59</v>
      </c>
      <c r="AH270" s="49" t="s">
        <v>89</v>
      </c>
      <c r="AI270" s="49" t="s">
        <v>61</v>
      </c>
      <c r="AJ270" s="50" t="s">
        <v>62</v>
      </c>
    </row>
    <row r="271" spans="1:36" ht="15.75" x14ac:dyDescent="0.25">
      <c r="A271" s="26">
        <v>29020</v>
      </c>
      <c r="B271" s="57" t="s">
        <v>726</v>
      </c>
      <c r="C271" s="58" t="s">
        <v>727</v>
      </c>
      <c r="D271" s="59" t="s">
        <v>726</v>
      </c>
      <c r="E271" s="60" t="s">
        <v>728</v>
      </c>
      <c r="F271" s="58" t="s">
        <v>729</v>
      </c>
      <c r="G271" s="57" t="s">
        <v>730</v>
      </c>
      <c r="H271" s="60" t="s">
        <v>731</v>
      </c>
      <c r="I271" s="58" t="s">
        <v>732</v>
      </c>
      <c r="J271" s="57" t="s">
        <v>733</v>
      </c>
      <c r="K271" s="60" t="s">
        <v>734</v>
      </c>
      <c r="L271" s="58" t="s">
        <v>735</v>
      </c>
      <c r="M271" s="57" t="s">
        <v>736</v>
      </c>
      <c r="N271" s="60" t="s">
        <v>737</v>
      </c>
      <c r="O271" s="58" t="s">
        <v>738</v>
      </c>
      <c r="P271" s="57" t="s">
        <v>739</v>
      </c>
      <c r="Q271" s="60" t="s">
        <v>740</v>
      </c>
      <c r="R271" s="64" t="s">
        <v>741</v>
      </c>
      <c r="S271" s="65" t="s">
        <v>836</v>
      </c>
      <c r="T271" s="39">
        <v>4455.04</v>
      </c>
      <c r="U271" s="40"/>
      <c r="V271" s="41">
        <v>-4455.04</v>
      </c>
      <c r="W271" s="60" t="s">
        <v>837</v>
      </c>
      <c r="X271" s="69">
        <v>45991</v>
      </c>
      <c r="Y271" s="70"/>
      <c r="Z271" s="60"/>
      <c r="AA271" s="44" t="s">
        <v>743</v>
      </c>
      <c r="AB271" s="57" t="s">
        <v>56</v>
      </c>
      <c r="AC271" s="59" t="s">
        <v>236</v>
      </c>
      <c r="AD271" s="33"/>
      <c r="AE271" s="47">
        <v>-4455.04</v>
      </c>
      <c r="AF271" s="48" t="s">
        <v>58</v>
      </c>
      <c r="AG271" s="48" t="s">
        <v>59</v>
      </c>
      <c r="AH271" s="49" t="s">
        <v>259</v>
      </c>
      <c r="AI271" s="49" t="s">
        <v>61</v>
      </c>
      <c r="AJ271" s="50" t="s">
        <v>62</v>
      </c>
    </row>
    <row r="272" spans="1:36" ht="15.75" x14ac:dyDescent="0.25">
      <c r="A272" s="26">
        <v>30255</v>
      </c>
      <c r="B272" s="57" t="s">
        <v>726</v>
      </c>
      <c r="C272" s="58" t="s">
        <v>727</v>
      </c>
      <c r="D272" s="59" t="s">
        <v>726</v>
      </c>
      <c r="E272" s="60" t="s">
        <v>728</v>
      </c>
      <c r="F272" s="58" t="s">
        <v>729</v>
      </c>
      <c r="G272" s="57" t="s">
        <v>730</v>
      </c>
      <c r="H272" s="60" t="s">
        <v>731</v>
      </c>
      <c r="I272" s="58" t="s">
        <v>732</v>
      </c>
      <c r="J272" s="57" t="s">
        <v>733</v>
      </c>
      <c r="K272" s="60" t="s">
        <v>734</v>
      </c>
      <c r="L272" s="58" t="s">
        <v>735</v>
      </c>
      <c r="M272" s="57" t="s">
        <v>736</v>
      </c>
      <c r="N272" s="60" t="s">
        <v>737</v>
      </c>
      <c r="O272" s="58" t="s">
        <v>63</v>
      </c>
      <c r="P272" s="57" t="s">
        <v>64</v>
      </c>
      <c r="Q272" s="60" t="s">
        <v>65</v>
      </c>
      <c r="R272" s="64" t="s">
        <v>103</v>
      </c>
      <c r="S272" s="65" t="s">
        <v>838</v>
      </c>
      <c r="T272" s="66">
        <v>-800</v>
      </c>
      <c r="U272" s="67">
        <v>-800</v>
      </c>
      <c r="V272" s="68">
        <v>-800</v>
      </c>
      <c r="W272" s="60" t="s">
        <v>839</v>
      </c>
      <c r="X272" s="69">
        <v>46000</v>
      </c>
      <c r="Y272" s="70">
        <v>46027</v>
      </c>
      <c r="Z272" s="60" t="s">
        <v>840</v>
      </c>
      <c r="AA272" s="44" t="s">
        <v>841</v>
      </c>
      <c r="AB272" s="57" t="s">
        <v>268</v>
      </c>
      <c r="AC272" s="59" t="s">
        <v>236</v>
      </c>
      <c r="AD272" s="60"/>
      <c r="AE272" s="71">
        <v>-800</v>
      </c>
      <c r="AF272" s="48" t="s">
        <v>58</v>
      </c>
      <c r="AG272" s="48" t="s">
        <v>59</v>
      </c>
      <c r="AH272" s="49" t="s">
        <v>70</v>
      </c>
      <c r="AI272" s="49" t="s">
        <v>71</v>
      </c>
      <c r="AJ272" s="50" t="s">
        <v>72</v>
      </c>
    </row>
    <row r="273" spans="1:36" ht="15.75" x14ac:dyDescent="0.25">
      <c r="A273" s="26">
        <v>30751</v>
      </c>
      <c r="B273" s="57" t="s">
        <v>726</v>
      </c>
      <c r="C273" s="58" t="s">
        <v>727</v>
      </c>
      <c r="D273" s="59" t="s">
        <v>726</v>
      </c>
      <c r="E273" s="60" t="s">
        <v>728</v>
      </c>
      <c r="F273" s="58" t="s">
        <v>729</v>
      </c>
      <c r="G273" s="57" t="s">
        <v>730</v>
      </c>
      <c r="H273" s="60" t="s">
        <v>731</v>
      </c>
      <c r="I273" s="58" t="s">
        <v>732</v>
      </c>
      <c r="J273" s="57" t="s">
        <v>733</v>
      </c>
      <c r="K273" s="60" t="s">
        <v>734</v>
      </c>
      <c r="L273" s="58" t="s">
        <v>735</v>
      </c>
      <c r="M273" s="57" t="s">
        <v>736</v>
      </c>
      <c r="N273" s="60" t="s">
        <v>737</v>
      </c>
      <c r="O273" s="58" t="s">
        <v>63</v>
      </c>
      <c r="P273" s="57" t="s">
        <v>64</v>
      </c>
      <c r="Q273" s="60" t="s">
        <v>65</v>
      </c>
      <c r="R273" s="64" t="s">
        <v>103</v>
      </c>
      <c r="S273" s="65" t="s">
        <v>842</v>
      </c>
      <c r="T273" s="66">
        <v>-280</v>
      </c>
      <c r="U273" s="67">
        <v>-280</v>
      </c>
      <c r="V273" s="68">
        <v>-280</v>
      </c>
      <c r="W273" s="60" t="s">
        <v>843</v>
      </c>
      <c r="X273" s="69">
        <v>46007</v>
      </c>
      <c r="Y273" s="70">
        <v>46009</v>
      </c>
      <c r="Z273" s="60" t="s">
        <v>844</v>
      </c>
      <c r="AA273" s="44" t="s">
        <v>845</v>
      </c>
      <c r="AB273" s="57" t="s">
        <v>268</v>
      </c>
      <c r="AC273" s="59" t="s">
        <v>236</v>
      </c>
      <c r="AD273" s="60"/>
      <c r="AE273" s="71">
        <v>-280</v>
      </c>
      <c r="AF273" s="48" t="s">
        <v>58</v>
      </c>
      <c r="AG273" s="48" t="s">
        <v>59</v>
      </c>
      <c r="AH273" s="49" t="s">
        <v>70</v>
      </c>
      <c r="AI273" s="49" t="s">
        <v>71</v>
      </c>
      <c r="AJ273" s="50" t="s">
        <v>72</v>
      </c>
    </row>
    <row r="274" spans="1:36" ht="15.75" x14ac:dyDescent="0.25">
      <c r="A274" s="26">
        <v>31617</v>
      </c>
      <c r="B274" s="57" t="s">
        <v>726</v>
      </c>
      <c r="C274" s="58" t="s">
        <v>727</v>
      </c>
      <c r="D274" s="59" t="s">
        <v>726</v>
      </c>
      <c r="E274" s="60" t="s">
        <v>728</v>
      </c>
      <c r="F274" s="58" t="s">
        <v>729</v>
      </c>
      <c r="G274" s="57" t="s">
        <v>730</v>
      </c>
      <c r="H274" s="60" t="s">
        <v>731</v>
      </c>
      <c r="I274" s="58" t="s">
        <v>732</v>
      </c>
      <c r="J274" s="57" t="s">
        <v>733</v>
      </c>
      <c r="K274" s="60" t="s">
        <v>734</v>
      </c>
      <c r="L274" s="58" t="s">
        <v>735</v>
      </c>
      <c r="M274" s="57" t="s">
        <v>736</v>
      </c>
      <c r="N274" s="60" t="s">
        <v>737</v>
      </c>
      <c r="O274" s="58" t="s">
        <v>738</v>
      </c>
      <c r="P274" s="57" t="s">
        <v>739</v>
      </c>
      <c r="Q274" s="60" t="s">
        <v>740</v>
      </c>
      <c r="R274" s="64" t="s">
        <v>741</v>
      </c>
      <c r="S274" s="65" t="s">
        <v>846</v>
      </c>
      <c r="T274" s="66">
        <v>-3105.27</v>
      </c>
      <c r="U274" s="67">
        <v>-3105.27</v>
      </c>
      <c r="V274" s="68">
        <v>-3105.27</v>
      </c>
      <c r="W274" s="33" t="s">
        <v>847</v>
      </c>
      <c r="X274" s="69">
        <v>46022</v>
      </c>
      <c r="Y274" s="70">
        <v>46022</v>
      </c>
      <c r="Z274" s="60"/>
      <c r="AA274" s="44" t="s">
        <v>743</v>
      </c>
      <c r="AB274" s="57" t="s">
        <v>56</v>
      </c>
      <c r="AC274" s="59" t="s">
        <v>236</v>
      </c>
      <c r="AD274" s="60" t="s">
        <v>848</v>
      </c>
      <c r="AE274" s="71">
        <v>-3105.27</v>
      </c>
      <c r="AF274" s="48" t="s">
        <v>58</v>
      </c>
      <c r="AG274" s="48" t="s">
        <v>59</v>
      </c>
      <c r="AH274" s="49" t="s">
        <v>259</v>
      </c>
      <c r="AI274" s="49" t="s">
        <v>61</v>
      </c>
      <c r="AJ274" s="50" t="s">
        <v>62</v>
      </c>
    </row>
    <row r="275" spans="1:36" ht="15.75" x14ac:dyDescent="0.25">
      <c r="A275" s="26">
        <v>13283</v>
      </c>
      <c r="B275" s="27" t="s">
        <v>36</v>
      </c>
      <c r="C275" s="28" t="s">
        <v>37</v>
      </c>
      <c r="D275" s="29" t="s">
        <v>36</v>
      </c>
      <c r="E275" s="30" t="s">
        <v>38</v>
      </c>
      <c r="F275" s="31" t="s">
        <v>39</v>
      </c>
      <c r="G275" s="32" t="s">
        <v>40</v>
      </c>
      <c r="H275" s="33" t="s">
        <v>41</v>
      </c>
      <c r="I275" s="31" t="s">
        <v>524</v>
      </c>
      <c r="J275" s="32" t="s">
        <v>525</v>
      </c>
      <c r="K275" s="33" t="s">
        <v>526</v>
      </c>
      <c r="L275" s="34" t="s">
        <v>849</v>
      </c>
      <c r="M275" s="35" t="s">
        <v>850</v>
      </c>
      <c r="N275" s="36" t="s">
        <v>851</v>
      </c>
      <c r="O275" s="86" t="s">
        <v>262</v>
      </c>
      <c r="P275" s="87" t="s">
        <v>263</v>
      </c>
      <c r="Q275" s="53" t="s">
        <v>264</v>
      </c>
      <c r="R275" s="37" t="s">
        <v>51</v>
      </c>
      <c r="S275" s="38" t="s">
        <v>852</v>
      </c>
      <c r="T275" s="39">
        <v>13897.37</v>
      </c>
      <c r="U275" s="40">
        <v>-6948.69</v>
      </c>
      <c r="V275" s="41">
        <v>-6948.69</v>
      </c>
      <c r="W275" s="33" t="s">
        <v>853</v>
      </c>
      <c r="X275" s="42">
        <v>45812</v>
      </c>
      <c r="Y275" s="43">
        <v>45842</v>
      </c>
      <c r="Z275" s="33" t="s">
        <v>619</v>
      </c>
      <c r="AA275" s="44" t="s">
        <v>747</v>
      </c>
      <c r="AB275" s="45" t="s">
        <v>56</v>
      </c>
      <c r="AC275" s="46" t="s">
        <v>57</v>
      </c>
      <c r="AD275" s="33"/>
      <c r="AE275" s="47">
        <v>-6948.69</v>
      </c>
      <c r="AF275" s="48" t="s">
        <v>58</v>
      </c>
      <c r="AG275" s="48" t="s">
        <v>59</v>
      </c>
      <c r="AH275" s="49" t="s">
        <v>265</v>
      </c>
      <c r="AI275" s="49" t="s">
        <v>61</v>
      </c>
      <c r="AJ275" s="50" t="s">
        <v>62</v>
      </c>
    </row>
    <row r="276" spans="1:36" ht="15.75" x14ac:dyDescent="0.25">
      <c r="A276" s="26">
        <v>13106</v>
      </c>
      <c r="B276" s="27" t="s">
        <v>36</v>
      </c>
      <c r="C276" s="28" t="s">
        <v>37</v>
      </c>
      <c r="D276" s="29" t="s">
        <v>36</v>
      </c>
      <c r="E276" s="30" t="s">
        <v>38</v>
      </c>
      <c r="F276" s="31" t="s">
        <v>39</v>
      </c>
      <c r="G276" s="32" t="s">
        <v>40</v>
      </c>
      <c r="H276" s="33" t="s">
        <v>41</v>
      </c>
      <c r="I276" s="31" t="s">
        <v>524</v>
      </c>
      <c r="J276" s="32" t="s">
        <v>525</v>
      </c>
      <c r="K276" s="33" t="s">
        <v>526</v>
      </c>
      <c r="L276" s="34" t="s">
        <v>849</v>
      </c>
      <c r="M276" s="35" t="s">
        <v>850</v>
      </c>
      <c r="N276" s="36" t="s">
        <v>851</v>
      </c>
      <c r="O276" s="31" t="s">
        <v>83</v>
      </c>
      <c r="P276" s="32" t="s">
        <v>84</v>
      </c>
      <c r="Q276" s="33" t="s">
        <v>85</v>
      </c>
      <c r="R276" s="37" t="s">
        <v>51</v>
      </c>
      <c r="S276" s="38" t="s">
        <v>854</v>
      </c>
      <c r="T276" s="39">
        <v>175</v>
      </c>
      <c r="U276" s="40">
        <v>-175</v>
      </c>
      <c r="V276" s="41">
        <v>-175</v>
      </c>
      <c r="W276" s="33" t="s">
        <v>855</v>
      </c>
      <c r="X276" s="42">
        <v>45817</v>
      </c>
      <c r="Y276" s="43">
        <v>45831</v>
      </c>
      <c r="Z276" s="33" t="s">
        <v>856</v>
      </c>
      <c r="AA276" s="44" t="s">
        <v>857</v>
      </c>
      <c r="AB276" s="45" t="s">
        <v>56</v>
      </c>
      <c r="AC276" s="46" t="s">
        <v>57</v>
      </c>
      <c r="AD276" s="33"/>
      <c r="AE276" s="47">
        <v>-175</v>
      </c>
      <c r="AF276" s="48" t="s">
        <v>58</v>
      </c>
      <c r="AG276" s="48" t="s">
        <v>59</v>
      </c>
      <c r="AH276" s="49" t="s">
        <v>89</v>
      </c>
      <c r="AI276" s="49" t="s">
        <v>61</v>
      </c>
      <c r="AJ276" s="50" t="s">
        <v>62</v>
      </c>
    </row>
    <row r="277" spans="1:36" ht="15.75" x14ac:dyDescent="0.25">
      <c r="A277" s="26">
        <v>13008</v>
      </c>
      <c r="B277" s="27" t="s">
        <v>36</v>
      </c>
      <c r="C277" s="28" t="s">
        <v>37</v>
      </c>
      <c r="D277" s="29" t="s">
        <v>36</v>
      </c>
      <c r="E277" s="30" t="s">
        <v>38</v>
      </c>
      <c r="F277" s="31" t="s">
        <v>39</v>
      </c>
      <c r="G277" s="32" t="s">
        <v>40</v>
      </c>
      <c r="H277" s="33" t="s">
        <v>41</v>
      </c>
      <c r="I277" s="31" t="s">
        <v>524</v>
      </c>
      <c r="J277" s="32" t="s">
        <v>525</v>
      </c>
      <c r="K277" s="33" t="s">
        <v>526</v>
      </c>
      <c r="L277" s="34" t="s">
        <v>849</v>
      </c>
      <c r="M277" s="35" t="s">
        <v>850</v>
      </c>
      <c r="N277" s="36" t="s">
        <v>851</v>
      </c>
      <c r="O277" s="31" t="s">
        <v>63</v>
      </c>
      <c r="P277" s="32" t="s">
        <v>64</v>
      </c>
      <c r="Q277" s="33" t="s">
        <v>65</v>
      </c>
      <c r="R277" s="37" t="s">
        <v>51</v>
      </c>
      <c r="S277" s="38" t="s">
        <v>858</v>
      </c>
      <c r="T277" s="39">
        <v>0</v>
      </c>
      <c r="U277" s="40">
        <v>-339.94</v>
      </c>
      <c r="V277" s="41">
        <v>-339.94</v>
      </c>
      <c r="W277" s="33" t="s">
        <v>859</v>
      </c>
      <c r="X277" s="42">
        <v>45818</v>
      </c>
      <c r="Y277" s="43"/>
      <c r="Z277" s="33" t="s">
        <v>544</v>
      </c>
      <c r="AA277" s="44" t="s">
        <v>545</v>
      </c>
      <c r="AB277" s="45" t="s">
        <v>56</v>
      </c>
      <c r="AC277" s="46" t="s">
        <v>57</v>
      </c>
      <c r="AD277" s="33"/>
      <c r="AE277" s="47">
        <v>-339.94</v>
      </c>
      <c r="AF277" s="48" t="s">
        <v>58</v>
      </c>
      <c r="AG277" s="48" t="s">
        <v>59</v>
      </c>
      <c r="AH277" s="49" t="s">
        <v>70</v>
      </c>
      <c r="AI277" s="49" t="s">
        <v>71</v>
      </c>
      <c r="AJ277" s="50" t="s">
        <v>72</v>
      </c>
    </row>
    <row r="278" spans="1:36" ht="15.75" x14ac:dyDescent="0.25">
      <c r="A278" s="26">
        <v>12497</v>
      </c>
      <c r="B278" s="27" t="s">
        <v>36</v>
      </c>
      <c r="C278" s="28" t="s">
        <v>37</v>
      </c>
      <c r="D278" s="29" t="s">
        <v>36</v>
      </c>
      <c r="E278" s="30" t="s">
        <v>38</v>
      </c>
      <c r="F278" s="31" t="s">
        <v>39</v>
      </c>
      <c r="G278" s="32" t="s">
        <v>40</v>
      </c>
      <c r="H278" s="33" t="s">
        <v>41</v>
      </c>
      <c r="I278" s="31" t="s">
        <v>524</v>
      </c>
      <c r="J278" s="32" t="s">
        <v>525</v>
      </c>
      <c r="K278" s="33" t="s">
        <v>526</v>
      </c>
      <c r="L278" s="34" t="s">
        <v>849</v>
      </c>
      <c r="M278" s="35" t="s">
        <v>850</v>
      </c>
      <c r="N278" s="36" t="s">
        <v>851</v>
      </c>
      <c r="O278" s="31" t="s">
        <v>83</v>
      </c>
      <c r="P278" s="32" t="s">
        <v>84</v>
      </c>
      <c r="Q278" s="33" t="s">
        <v>85</v>
      </c>
      <c r="R278" s="37" t="s">
        <v>51</v>
      </c>
      <c r="S278" s="38" t="s">
        <v>860</v>
      </c>
      <c r="T278" s="39">
        <v>476.32</v>
      </c>
      <c r="U278" s="40">
        <v>-107.52</v>
      </c>
      <c r="V278" s="41">
        <v>-107.52</v>
      </c>
      <c r="W278" s="33" t="s">
        <v>861</v>
      </c>
      <c r="X278" s="42">
        <v>45828</v>
      </c>
      <c r="Y278" s="43">
        <v>45845</v>
      </c>
      <c r="Z278" s="33" t="s">
        <v>54</v>
      </c>
      <c r="AA278" s="44" t="s">
        <v>55</v>
      </c>
      <c r="AB278" s="45" t="s">
        <v>56</v>
      </c>
      <c r="AC278" s="46" t="s">
        <v>57</v>
      </c>
      <c r="AD278" s="33"/>
      <c r="AE278" s="47">
        <v>-107.52</v>
      </c>
      <c r="AF278" s="48" t="s">
        <v>58</v>
      </c>
      <c r="AG278" s="48" t="s">
        <v>59</v>
      </c>
      <c r="AH278" s="49" t="s">
        <v>89</v>
      </c>
      <c r="AI278" s="49" t="s">
        <v>61</v>
      </c>
      <c r="AJ278" s="50" t="s">
        <v>62</v>
      </c>
    </row>
    <row r="279" spans="1:36" ht="15.75" x14ac:dyDescent="0.25">
      <c r="A279" s="26">
        <v>15286</v>
      </c>
      <c r="B279" s="27" t="s">
        <v>36</v>
      </c>
      <c r="C279" s="28" t="s">
        <v>37</v>
      </c>
      <c r="D279" s="29" t="s">
        <v>36</v>
      </c>
      <c r="E279" s="30" t="s">
        <v>38</v>
      </c>
      <c r="F279" s="31" t="s">
        <v>39</v>
      </c>
      <c r="G279" s="32" t="s">
        <v>40</v>
      </c>
      <c r="H279" s="33" t="s">
        <v>41</v>
      </c>
      <c r="I279" s="31" t="s">
        <v>524</v>
      </c>
      <c r="J279" s="32" t="s">
        <v>525</v>
      </c>
      <c r="K279" s="33" t="s">
        <v>526</v>
      </c>
      <c r="L279" s="31" t="s">
        <v>849</v>
      </c>
      <c r="M279" s="32" t="s">
        <v>850</v>
      </c>
      <c r="N279" s="33" t="s">
        <v>851</v>
      </c>
      <c r="O279" s="31" t="s">
        <v>552</v>
      </c>
      <c r="P279" s="32" t="s">
        <v>553</v>
      </c>
      <c r="Q279" s="33" t="s">
        <v>554</v>
      </c>
      <c r="R279" s="37" t="s">
        <v>51</v>
      </c>
      <c r="S279" s="38" t="s">
        <v>555</v>
      </c>
      <c r="T279" s="39">
        <v>-500</v>
      </c>
      <c r="U279" s="40"/>
      <c r="V279" s="41">
        <v>-500</v>
      </c>
      <c r="W279" s="33" t="s">
        <v>556</v>
      </c>
      <c r="X279" s="42">
        <v>45839</v>
      </c>
      <c r="Y279" s="43">
        <v>45853</v>
      </c>
      <c r="Z279" s="33" t="s">
        <v>557</v>
      </c>
      <c r="AA279" s="44" t="s">
        <v>558</v>
      </c>
      <c r="AB279" s="45" t="s">
        <v>56</v>
      </c>
      <c r="AC279" s="46" t="s">
        <v>57</v>
      </c>
      <c r="AD279" s="33"/>
      <c r="AE279" s="47">
        <v>-500</v>
      </c>
      <c r="AF279" s="48" t="s">
        <v>58</v>
      </c>
      <c r="AG279" s="48" t="s">
        <v>157</v>
      </c>
      <c r="AH279" s="49" t="s">
        <v>559</v>
      </c>
      <c r="AI279" s="49" t="s">
        <v>238</v>
      </c>
      <c r="AJ279" s="50" t="s">
        <v>201</v>
      </c>
    </row>
    <row r="280" spans="1:36" ht="15.75" x14ac:dyDescent="0.25">
      <c r="A280" s="26">
        <v>14384</v>
      </c>
      <c r="B280" s="27" t="s">
        <v>36</v>
      </c>
      <c r="C280" s="28" t="s">
        <v>37</v>
      </c>
      <c r="D280" s="29" t="s">
        <v>36</v>
      </c>
      <c r="E280" s="30" t="s">
        <v>38</v>
      </c>
      <c r="F280" s="31" t="s">
        <v>39</v>
      </c>
      <c r="G280" s="32" t="s">
        <v>40</v>
      </c>
      <c r="H280" s="33" t="s">
        <v>41</v>
      </c>
      <c r="I280" s="31" t="s">
        <v>524</v>
      </c>
      <c r="J280" s="32" t="s">
        <v>525</v>
      </c>
      <c r="K280" s="33" t="s">
        <v>526</v>
      </c>
      <c r="L280" s="31" t="s">
        <v>849</v>
      </c>
      <c r="M280" s="32" t="s">
        <v>850</v>
      </c>
      <c r="N280" s="33" t="s">
        <v>851</v>
      </c>
      <c r="O280" s="31" t="s">
        <v>83</v>
      </c>
      <c r="P280" s="32" t="s">
        <v>84</v>
      </c>
      <c r="Q280" s="33" t="s">
        <v>85</v>
      </c>
      <c r="R280" s="37" t="s">
        <v>121</v>
      </c>
      <c r="S280" s="38" t="s">
        <v>749</v>
      </c>
      <c r="T280" s="39">
        <v>-58.97</v>
      </c>
      <c r="U280" s="40"/>
      <c r="V280" s="41">
        <v>-58.97</v>
      </c>
      <c r="W280" s="33" t="s">
        <v>750</v>
      </c>
      <c r="X280" s="42">
        <v>45846</v>
      </c>
      <c r="Y280" s="43">
        <v>45874</v>
      </c>
      <c r="Z280" s="33" t="s">
        <v>54</v>
      </c>
      <c r="AA280" s="44" t="s">
        <v>55</v>
      </c>
      <c r="AB280" s="45" t="s">
        <v>56</v>
      </c>
      <c r="AC280" s="46" t="s">
        <v>57</v>
      </c>
      <c r="AD280" s="33"/>
      <c r="AE280" s="47">
        <v>-58.97</v>
      </c>
      <c r="AF280" s="48" t="s">
        <v>58</v>
      </c>
      <c r="AG280" s="48" t="s">
        <v>59</v>
      </c>
      <c r="AH280" s="49" t="s">
        <v>89</v>
      </c>
      <c r="AI280" s="49" t="s">
        <v>61</v>
      </c>
      <c r="AJ280" s="50" t="s">
        <v>62</v>
      </c>
    </row>
    <row r="281" spans="1:36" ht="15.75" x14ac:dyDescent="0.25">
      <c r="A281" s="26">
        <v>15070</v>
      </c>
      <c r="B281" s="27" t="s">
        <v>36</v>
      </c>
      <c r="C281" s="28" t="s">
        <v>37</v>
      </c>
      <c r="D281" s="29" t="s">
        <v>36</v>
      </c>
      <c r="E281" s="30" t="s">
        <v>38</v>
      </c>
      <c r="F281" s="31" t="s">
        <v>39</v>
      </c>
      <c r="G281" s="32" t="s">
        <v>40</v>
      </c>
      <c r="H281" s="33" t="s">
        <v>41</v>
      </c>
      <c r="I281" s="31" t="s">
        <v>524</v>
      </c>
      <c r="J281" s="32" t="s">
        <v>525</v>
      </c>
      <c r="K281" s="33" t="s">
        <v>526</v>
      </c>
      <c r="L281" s="31" t="s">
        <v>849</v>
      </c>
      <c r="M281" s="32" t="s">
        <v>850</v>
      </c>
      <c r="N281" s="33" t="s">
        <v>851</v>
      </c>
      <c r="O281" s="31" t="s">
        <v>63</v>
      </c>
      <c r="P281" s="32" t="s">
        <v>64</v>
      </c>
      <c r="Q281" s="33" t="s">
        <v>65</v>
      </c>
      <c r="R281" s="37" t="s">
        <v>51</v>
      </c>
      <c r="S281" s="38" t="s">
        <v>751</v>
      </c>
      <c r="T281" s="39">
        <v>-1491</v>
      </c>
      <c r="U281" s="40"/>
      <c r="V281" s="41">
        <v>-1491</v>
      </c>
      <c r="W281" s="33" t="s">
        <v>752</v>
      </c>
      <c r="X281" s="42">
        <v>45846</v>
      </c>
      <c r="Y281" s="43">
        <v>45884</v>
      </c>
      <c r="Z281" s="33" t="s">
        <v>753</v>
      </c>
      <c r="AA281" s="44" t="s">
        <v>754</v>
      </c>
      <c r="AB281" s="45" t="s">
        <v>56</v>
      </c>
      <c r="AC281" s="46" t="s">
        <v>57</v>
      </c>
      <c r="AD281" s="33"/>
      <c r="AE281" s="47">
        <v>-1491</v>
      </c>
      <c r="AF281" s="48" t="s">
        <v>58</v>
      </c>
      <c r="AG281" s="48" t="s">
        <v>59</v>
      </c>
      <c r="AH281" s="49" t="s">
        <v>70</v>
      </c>
      <c r="AI281" s="49" t="s">
        <v>71</v>
      </c>
      <c r="AJ281" s="50" t="s">
        <v>72</v>
      </c>
    </row>
    <row r="282" spans="1:36" ht="15.75" x14ac:dyDescent="0.25">
      <c r="A282" s="26">
        <v>19662</v>
      </c>
      <c r="B282" s="32" t="s">
        <v>36</v>
      </c>
      <c r="C282" s="31" t="s">
        <v>37</v>
      </c>
      <c r="D282" s="56" t="s">
        <v>36</v>
      </c>
      <c r="E282" s="33" t="s">
        <v>38</v>
      </c>
      <c r="F282" s="31" t="s">
        <v>39</v>
      </c>
      <c r="G282" s="32" t="s">
        <v>40</v>
      </c>
      <c r="H282" s="33" t="s">
        <v>41</v>
      </c>
      <c r="I282" s="31" t="s">
        <v>524</v>
      </c>
      <c r="J282" s="32" t="s">
        <v>525</v>
      </c>
      <c r="K282" s="33" t="s">
        <v>526</v>
      </c>
      <c r="L282" s="31" t="s">
        <v>849</v>
      </c>
      <c r="M282" s="32" t="s">
        <v>850</v>
      </c>
      <c r="N282" s="33" t="s">
        <v>851</v>
      </c>
      <c r="O282" s="31" t="s">
        <v>63</v>
      </c>
      <c r="P282" s="32" t="s">
        <v>64</v>
      </c>
      <c r="Q282" s="33" t="s">
        <v>65</v>
      </c>
      <c r="R282" s="37" t="s">
        <v>51</v>
      </c>
      <c r="S282" s="38" t="s">
        <v>603</v>
      </c>
      <c r="T282" s="39">
        <v>-660</v>
      </c>
      <c r="U282" s="40"/>
      <c r="V282" s="41">
        <v>-660</v>
      </c>
      <c r="W282" s="33" t="s">
        <v>604</v>
      </c>
      <c r="X282" s="42">
        <v>45898</v>
      </c>
      <c r="Y282" s="43"/>
      <c r="Z282" s="33" t="s">
        <v>562</v>
      </c>
      <c r="AA282" s="44" t="s">
        <v>563</v>
      </c>
      <c r="AB282" s="32" t="s">
        <v>56</v>
      </c>
      <c r="AC282" s="56" t="s">
        <v>57</v>
      </c>
      <c r="AD282" s="33"/>
      <c r="AE282" s="47">
        <v>-660</v>
      </c>
      <c r="AF282" s="48" t="s">
        <v>58</v>
      </c>
      <c r="AG282" s="48" t="s">
        <v>59</v>
      </c>
      <c r="AH282" s="49" t="s">
        <v>70</v>
      </c>
      <c r="AI282" s="49" t="s">
        <v>71</v>
      </c>
      <c r="AJ282" s="50" t="s">
        <v>72</v>
      </c>
    </row>
    <row r="283" spans="1:36" ht="15.75" x14ac:dyDescent="0.25">
      <c r="A283" s="26">
        <v>21135</v>
      </c>
      <c r="B283" s="57" t="s">
        <v>36</v>
      </c>
      <c r="C283" s="58" t="s">
        <v>37</v>
      </c>
      <c r="D283" s="59" t="s">
        <v>36</v>
      </c>
      <c r="E283" s="60" t="s">
        <v>38</v>
      </c>
      <c r="F283" s="58" t="s">
        <v>39</v>
      </c>
      <c r="G283" s="57" t="s">
        <v>40</v>
      </c>
      <c r="H283" s="60" t="s">
        <v>41</v>
      </c>
      <c r="I283" s="58" t="s">
        <v>524</v>
      </c>
      <c r="J283" s="57" t="s">
        <v>525</v>
      </c>
      <c r="K283" s="60" t="s">
        <v>526</v>
      </c>
      <c r="L283" s="58" t="s">
        <v>849</v>
      </c>
      <c r="M283" s="57" t="s">
        <v>850</v>
      </c>
      <c r="N283" s="60" t="s">
        <v>851</v>
      </c>
      <c r="O283" s="58" t="s">
        <v>63</v>
      </c>
      <c r="P283" s="57" t="s">
        <v>64</v>
      </c>
      <c r="Q283" s="60" t="s">
        <v>65</v>
      </c>
      <c r="R283" s="64" t="s">
        <v>51</v>
      </c>
      <c r="S283" s="65" t="s">
        <v>862</v>
      </c>
      <c r="T283" s="66">
        <v>1245</v>
      </c>
      <c r="U283" s="67">
        <v>-1245</v>
      </c>
      <c r="V283" s="68">
        <v>-1245</v>
      </c>
      <c r="W283" s="60" t="s">
        <v>863</v>
      </c>
      <c r="X283" s="69">
        <v>45901</v>
      </c>
      <c r="Y283" s="70">
        <v>45915</v>
      </c>
      <c r="Z283" s="60" t="s">
        <v>864</v>
      </c>
      <c r="AA283" s="44" t="s">
        <v>865</v>
      </c>
      <c r="AB283" s="57" t="s">
        <v>56</v>
      </c>
      <c r="AC283" s="59" t="s">
        <v>57</v>
      </c>
      <c r="AD283" s="60"/>
      <c r="AE283" s="71">
        <v>-1245</v>
      </c>
      <c r="AF283" s="48" t="s">
        <v>58</v>
      </c>
      <c r="AG283" s="48" t="s">
        <v>59</v>
      </c>
      <c r="AH283" s="49" t="s">
        <v>70</v>
      </c>
      <c r="AI283" s="49" t="s">
        <v>71</v>
      </c>
      <c r="AJ283" s="50" t="s">
        <v>72</v>
      </c>
    </row>
    <row r="284" spans="1:36" ht="15.75" x14ac:dyDescent="0.25">
      <c r="A284" s="26">
        <v>21517</v>
      </c>
      <c r="B284" s="57" t="s">
        <v>36</v>
      </c>
      <c r="C284" s="58" t="s">
        <v>37</v>
      </c>
      <c r="D284" s="59" t="s">
        <v>36</v>
      </c>
      <c r="E284" s="60" t="s">
        <v>38</v>
      </c>
      <c r="F284" s="58" t="s">
        <v>39</v>
      </c>
      <c r="G284" s="57" t="s">
        <v>40</v>
      </c>
      <c r="H284" s="60" t="s">
        <v>41</v>
      </c>
      <c r="I284" s="58" t="s">
        <v>524</v>
      </c>
      <c r="J284" s="57" t="s">
        <v>525</v>
      </c>
      <c r="K284" s="60" t="s">
        <v>526</v>
      </c>
      <c r="L284" s="58" t="s">
        <v>849</v>
      </c>
      <c r="M284" s="57" t="s">
        <v>850</v>
      </c>
      <c r="N284" s="60" t="s">
        <v>851</v>
      </c>
      <c r="O284" s="58" t="s">
        <v>63</v>
      </c>
      <c r="P284" s="57" t="s">
        <v>64</v>
      </c>
      <c r="Q284" s="60" t="s">
        <v>65</v>
      </c>
      <c r="R284" s="64" t="s">
        <v>51</v>
      </c>
      <c r="S284" s="65" t="s">
        <v>866</v>
      </c>
      <c r="T284" s="66">
        <v>1130</v>
      </c>
      <c r="U284" s="67">
        <v>-1130</v>
      </c>
      <c r="V284" s="68">
        <v>-1130</v>
      </c>
      <c r="W284" s="60" t="s">
        <v>867</v>
      </c>
      <c r="X284" s="69">
        <v>45901</v>
      </c>
      <c r="Y284" s="70">
        <v>45915</v>
      </c>
      <c r="Z284" s="60" t="s">
        <v>864</v>
      </c>
      <c r="AA284" s="44" t="s">
        <v>865</v>
      </c>
      <c r="AB284" s="57" t="s">
        <v>56</v>
      </c>
      <c r="AC284" s="59" t="s">
        <v>57</v>
      </c>
      <c r="AD284" s="60"/>
      <c r="AE284" s="71">
        <v>-1130</v>
      </c>
      <c r="AF284" s="48" t="s">
        <v>58</v>
      </c>
      <c r="AG284" s="48" t="s">
        <v>59</v>
      </c>
      <c r="AH284" s="49" t="s">
        <v>70</v>
      </c>
      <c r="AI284" s="49" t="s">
        <v>71</v>
      </c>
      <c r="AJ284" s="50" t="s">
        <v>72</v>
      </c>
    </row>
    <row r="285" spans="1:36" ht="15.75" x14ac:dyDescent="0.25">
      <c r="A285" s="26">
        <v>20480</v>
      </c>
      <c r="B285" s="57" t="s">
        <v>36</v>
      </c>
      <c r="C285" s="58" t="s">
        <v>37</v>
      </c>
      <c r="D285" s="59" t="s">
        <v>36</v>
      </c>
      <c r="E285" s="60" t="s">
        <v>38</v>
      </c>
      <c r="F285" s="58" t="s">
        <v>39</v>
      </c>
      <c r="G285" s="57" t="s">
        <v>40</v>
      </c>
      <c r="H285" s="60" t="s">
        <v>41</v>
      </c>
      <c r="I285" s="58" t="s">
        <v>524</v>
      </c>
      <c r="J285" s="57" t="s">
        <v>525</v>
      </c>
      <c r="K285" s="60" t="s">
        <v>526</v>
      </c>
      <c r="L285" s="58" t="s">
        <v>849</v>
      </c>
      <c r="M285" s="57" t="s">
        <v>850</v>
      </c>
      <c r="N285" s="60" t="s">
        <v>851</v>
      </c>
      <c r="O285" s="58" t="s">
        <v>868</v>
      </c>
      <c r="P285" s="57" t="s">
        <v>869</v>
      </c>
      <c r="Q285" s="60" t="s">
        <v>870</v>
      </c>
      <c r="R285" s="64" t="s">
        <v>275</v>
      </c>
      <c r="S285" s="65" t="s">
        <v>871</v>
      </c>
      <c r="T285" s="66">
        <v>100</v>
      </c>
      <c r="U285" s="67">
        <v>-100</v>
      </c>
      <c r="V285" s="68">
        <v>-100</v>
      </c>
      <c r="W285" s="60" t="s">
        <v>872</v>
      </c>
      <c r="X285" s="69">
        <v>45905</v>
      </c>
      <c r="Y285" s="70">
        <v>45905</v>
      </c>
      <c r="Z285" s="60" t="s">
        <v>873</v>
      </c>
      <c r="AA285" s="44" t="s">
        <v>874</v>
      </c>
      <c r="AB285" s="57" t="s">
        <v>56</v>
      </c>
      <c r="AC285" s="59" t="s">
        <v>57</v>
      </c>
      <c r="AD285" s="60"/>
      <c r="AE285" s="71">
        <v>-100</v>
      </c>
      <c r="AF285" s="48" t="s">
        <v>58</v>
      </c>
      <c r="AG285" s="48" t="s">
        <v>157</v>
      </c>
      <c r="AH285" s="49" t="s">
        <v>875</v>
      </c>
      <c r="AI285" s="49" t="s">
        <v>159</v>
      </c>
      <c r="AJ285" s="50" t="s">
        <v>102</v>
      </c>
    </row>
    <row r="286" spans="1:36" ht="15.75" x14ac:dyDescent="0.25">
      <c r="A286" s="26">
        <v>21086</v>
      </c>
      <c r="B286" s="57" t="s">
        <v>36</v>
      </c>
      <c r="C286" s="58" t="s">
        <v>37</v>
      </c>
      <c r="D286" s="59" t="s">
        <v>36</v>
      </c>
      <c r="E286" s="60" t="s">
        <v>38</v>
      </c>
      <c r="F286" s="58" t="s">
        <v>39</v>
      </c>
      <c r="G286" s="57" t="s">
        <v>40</v>
      </c>
      <c r="H286" s="60" t="s">
        <v>41</v>
      </c>
      <c r="I286" s="58" t="s">
        <v>524</v>
      </c>
      <c r="J286" s="57" t="s">
        <v>525</v>
      </c>
      <c r="K286" s="60" t="s">
        <v>526</v>
      </c>
      <c r="L286" s="58" t="s">
        <v>849</v>
      </c>
      <c r="M286" s="57" t="s">
        <v>850</v>
      </c>
      <c r="N286" s="60" t="s">
        <v>851</v>
      </c>
      <c r="O286" s="58" t="s">
        <v>63</v>
      </c>
      <c r="P286" s="57" t="s">
        <v>64</v>
      </c>
      <c r="Q286" s="60" t="s">
        <v>65</v>
      </c>
      <c r="R286" s="64" t="s">
        <v>51</v>
      </c>
      <c r="S286" s="65" t="s">
        <v>796</v>
      </c>
      <c r="T286" s="66">
        <v>2015</v>
      </c>
      <c r="U286" s="67">
        <v>-671.67</v>
      </c>
      <c r="V286" s="68">
        <v>-671.67</v>
      </c>
      <c r="W286" s="60" t="s">
        <v>797</v>
      </c>
      <c r="X286" s="69">
        <v>45916</v>
      </c>
      <c r="Y286" s="70">
        <v>45946</v>
      </c>
      <c r="Z286" s="60" t="s">
        <v>798</v>
      </c>
      <c r="AA286" s="44" t="s">
        <v>799</v>
      </c>
      <c r="AB286" s="57" t="s">
        <v>56</v>
      </c>
      <c r="AC286" s="59" t="s">
        <v>57</v>
      </c>
      <c r="AD286" s="60"/>
      <c r="AE286" s="71">
        <v>-671.67</v>
      </c>
      <c r="AF286" s="48" t="s">
        <v>58</v>
      </c>
      <c r="AG286" s="48" t="s">
        <v>59</v>
      </c>
      <c r="AH286" s="49" t="s">
        <v>70</v>
      </c>
      <c r="AI286" s="49" t="s">
        <v>71</v>
      </c>
      <c r="AJ286" s="50" t="s">
        <v>72</v>
      </c>
    </row>
    <row r="287" spans="1:36" ht="15.75" x14ac:dyDescent="0.25">
      <c r="A287" s="26">
        <v>23182</v>
      </c>
      <c r="B287" s="57" t="s">
        <v>36</v>
      </c>
      <c r="C287" s="58" t="s">
        <v>37</v>
      </c>
      <c r="D287" s="59" t="s">
        <v>36</v>
      </c>
      <c r="E287" s="60" t="s">
        <v>38</v>
      </c>
      <c r="F287" s="58" t="s">
        <v>39</v>
      </c>
      <c r="G287" s="57" t="s">
        <v>40</v>
      </c>
      <c r="H287" s="60" t="s">
        <v>41</v>
      </c>
      <c r="I287" s="58" t="s">
        <v>524</v>
      </c>
      <c r="J287" s="57" t="s">
        <v>525</v>
      </c>
      <c r="K287" s="60" t="s">
        <v>526</v>
      </c>
      <c r="L287" s="58" t="s">
        <v>849</v>
      </c>
      <c r="M287" s="57" t="s">
        <v>850</v>
      </c>
      <c r="N287" s="60" t="s">
        <v>851</v>
      </c>
      <c r="O287" s="58" t="s">
        <v>83</v>
      </c>
      <c r="P287" s="57" t="s">
        <v>84</v>
      </c>
      <c r="Q287" s="60" t="s">
        <v>85</v>
      </c>
      <c r="R287" s="64" t="s">
        <v>51</v>
      </c>
      <c r="S287" s="65" t="s">
        <v>800</v>
      </c>
      <c r="T287" s="66">
        <v>249</v>
      </c>
      <c r="U287" s="67">
        <v>-249</v>
      </c>
      <c r="V287" s="68">
        <v>-83</v>
      </c>
      <c r="W287" s="33" t="s">
        <v>801</v>
      </c>
      <c r="X287" s="69">
        <v>45917</v>
      </c>
      <c r="Y287" s="70">
        <v>45933</v>
      </c>
      <c r="Z287" s="60" t="s">
        <v>802</v>
      </c>
      <c r="AA287" s="44" t="s">
        <v>803</v>
      </c>
      <c r="AB287" s="57" t="s">
        <v>56</v>
      </c>
      <c r="AC287" s="59" t="s">
        <v>57</v>
      </c>
      <c r="AD287" s="60"/>
      <c r="AE287" s="71">
        <v>-83</v>
      </c>
      <c r="AF287" s="48" t="s">
        <v>58</v>
      </c>
      <c r="AG287" s="48" t="s">
        <v>59</v>
      </c>
      <c r="AH287" s="49" t="s">
        <v>89</v>
      </c>
      <c r="AI287" s="49" t="s">
        <v>61</v>
      </c>
      <c r="AJ287" s="50" t="s">
        <v>62</v>
      </c>
    </row>
    <row r="288" spans="1:36" ht="15.75" x14ac:dyDescent="0.25">
      <c r="A288" s="26">
        <v>24859</v>
      </c>
      <c r="B288" s="57" t="s">
        <v>36</v>
      </c>
      <c r="C288" s="58" t="s">
        <v>37</v>
      </c>
      <c r="D288" s="59" t="s">
        <v>36</v>
      </c>
      <c r="E288" s="60" t="s">
        <v>38</v>
      </c>
      <c r="F288" s="58" t="s">
        <v>39</v>
      </c>
      <c r="G288" s="57" t="s">
        <v>40</v>
      </c>
      <c r="H288" s="60" t="s">
        <v>41</v>
      </c>
      <c r="I288" s="58" t="s">
        <v>524</v>
      </c>
      <c r="J288" s="57" t="s">
        <v>525</v>
      </c>
      <c r="K288" s="60" t="s">
        <v>526</v>
      </c>
      <c r="L288" s="58" t="s">
        <v>849</v>
      </c>
      <c r="M288" s="57" t="s">
        <v>850</v>
      </c>
      <c r="N288" s="60" t="s">
        <v>851</v>
      </c>
      <c r="O288" s="58" t="s">
        <v>229</v>
      </c>
      <c r="P288" s="57" t="s">
        <v>230</v>
      </c>
      <c r="Q288" s="60" t="s">
        <v>231</v>
      </c>
      <c r="R288" s="64" t="s">
        <v>207</v>
      </c>
      <c r="S288" s="65" t="s">
        <v>876</v>
      </c>
      <c r="T288" s="66">
        <v>1155.32</v>
      </c>
      <c r="U288" s="67">
        <v>-34.659999999999997</v>
      </c>
      <c r="V288" s="68">
        <v>-34.659999999999997</v>
      </c>
      <c r="W288" s="60" t="s">
        <v>877</v>
      </c>
      <c r="X288" s="69">
        <v>45931</v>
      </c>
      <c r="Y288" s="70">
        <v>45945</v>
      </c>
      <c r="Z288" s="60" t="s">
        <v>234</v>
      </c>
      <c r="AA288" s="44" t="s">
        <v>235</v>
      </c>
      <c r="AB288" s="57" t="s">
        <v>56</v>
      </c>
      <c r="AC288" s="59" t="s">
        <v>236</v>
      </c>
      <c r="AD288" s="60"/>
      <c r="AE288" s="71">
        <v>-34.659999999999997</v>
      </c>
      <c r="AF288" s="48" t="s">
        <v>98</v>
      </c>
      <c r="AG288" s="48" t="s">
        <v>99</v>
      </c>
      <c r="AH288" s="49" t="s">
        <v>237</v>
      </c>
      <c r="AI288" s="49" t="s">
        <v>238</v>
      </c>
      <c r="AJ288" s="50" t="s">
        <v>201</v>
      </c>
    </row>
    <row r="289" spans="1:36" ht="15.75" x14ac:dyDescent="0.25">
      <c r="A289" s="26">
        <v>24865</v>
      </c>
      <c r="B289" s="57" t="s">
        <v>36</v>
      </c>
      <c r="C289" s="58" t="s">
        <v>37</v>
      </c>
      <c r="D289" s="59" t="s">
        <v>36</v>
      </c>
      <c r="E289" s="60" t="s">
        <v>38</v>
      </c>
      <c r="F289" s="58" t="s">
        <v>39</v>
      </c>
      <c r="G289" s="57" t="s">
        <v>40</v>
      </c>
      <c r="H289" s="60" t="s">
        <v>41</v>
      </c>
      <c r="I289" s="58" t="s">
        <v>524</v>
      </c>
      <c r="J289" s="57" t="s">
        <v>525</v>
      </c>
      <c r="K289" s="60" t="s">
        <v>526</v>
      </c>
      <c r="L289" s="58" t="s">
        <v>849</v>
      </c>
      <c r="M289" s="57" t="s">
        <v>850</v>
      </c>
      <c r="N289" s="60" t="s">
        <v>851</v>
      </c>
      <c r="O289" s="58" t="s">
        <v>63</v>
      </c>
      <c r="P289" s="57" t="s">
        <v>64</v>
      </c>
      <c r="Q289" s="60" t="s">
        <v>65</v>
      </c>
      <c r="R289" s="64" t="s">
        <v>51</v>
      </c>
      <c r="S289" s="65" t="s">
        <v>663</v>
      </c>
      <c r="T289" s="66">
        <v>1848</v>
      </c>
      <c r="U289" s="67">
        <v>-924</v>
      </c>
      <c r="V289" s="68">
        <v>-924</v>
      </c>
      <c r="W289" s="60" t="s">
        <v>664</v>
      </c>
      <c r="X289" s="69">
        <v>45945</v>
      </c>
      <c r="Y289" s="70">
        <v>45976</v>
      </c>
      <c r="Z289" s="60" t="s">
        <v>562</v>
      </c>
      <c r="AA289" s="44" t="s">
        <v>563</v>
      </c>
      <c r="AB289" s="57" t="s">
        <v>56</v>
      </c>
      <c r="AC289" s="59" t="s">
        <v>236</v>
      </c>
      <c r="AD289" s="60"/>
      <c r="AE289" s="71">
        <v>-924</v>
      </c>
      <c r="AF289" s="48" t="s">
        <v>58</v>
      </c>
      <c r="AG289" s="48" t="s">
        <v>59</v>
      </c>
      <c r="AH289" s="49" t="s">
        <v>70</v>
      </c>
      <c r="AI289" s="49" t="s">
        <v>71</v>
      </c>
      <c r="AJ289" s="50" t="s">
        <v>72</v>
      </c>
    </row>
    <row r="290" spans="1:36" ht="15.75" x14ac:dyDescent="0.25">
      <c r="A290" s="26">
        <v>24866</v>
      </c>
      <c r="B290" s="57" t="s">
        <v>36</v>
      </c>
      <c r="C290" s="58" t="s">
        <v>37</v>
      </c>
      <c r="D290" s="59" t="s">
        <v>36</v>
      </c>
      <c r="E290" s="60" t="s">
        <v>38</v>
      </c>
      <c r="F290" s="58" t="s">
        <v>39</v>
      </c>
      <c r="G290" s="57" t="s">
        <v>40</v>
      </c>
      <c r="H290" s="60" t="s">
        <v>41</v>
      </c>
      <c r="I290" s="58" t="s">
        <v>524</v>
      </c>
      <c r="J290" s="57" t="s">
        <v>525</v>
      </c>
      <c r="K290" s="60" t="s">
        <v>526</v>
      </c>
      <c r="L290" s="58" t="s">
        <v>849</v>
      </c>
      <c r="M290" s="57" t="s">
        <v>850</v>
      </c>
      <c r="N290" s="60" t="s">
        <v>851</v>
      </c>
      <c r="O290" s="58" t="s">
        <v>63</v>
      </c>
      <c r="P290" s="57" t="s">
        <v>64</v>
      </c>
      <c r="Q290" s="60" t="s">
        <v>65</v>
      </c>
      <c r="R290" s="64" t="s">
        <v>51</v>
      </c>
      <c r="S290" s="65" t="s">
        <v>878</v>
      </c>
      <c r="T290" s="66">
        <v>3987.33</v>
      </c>
      <c r="U290" s="67">
        <v>-3987.33</v>
      </c>
      <c r="V290" s="68">
        <v>-3987.33</v>
      </c>
      <c r="W290" s="60" t="s">
        <v>879</v>
      </c>
      <c r="X290" s="69">
        <v>45957</v>
      </c>
      <c r="Y290" s="70">
        <v>45987</v>
      </c>
      <c r="Z290" s="60" t="s">
        <v>619</v>
      </c>
      <c r="AA290" s="44" t="s">
        <v>620</v>
      </c>
      <c r="AB290" s="57" t="s">
        <v>56</v>
      </c>
      <c r="AC290" s="59" t="s">
        <v>236</v>
      </c>
      <c r="AD290" s="60"/>
      <c r="AE290" s="71">
        <v>-3987.33</v>
      </c>
      <c r="AF290" s="48" t="s">
        <v>58</v>
      </c>
      <c r="AG290" s="48" t="s">
        <v>59</v>
      </c>
      <c r="AH290" s="49" t="s">
        <v>70</v>
      </c>
      <c r="AI290" s="49" t="s">
        <v>71</v>
      </c>
      <c r="AJ290" s="50" t="s">
        <v>72</v>
      </c>
    </row>
    <row r="291" spans="1:36" ht="15.75" x14ac:dyDescent="0.25">
      <c r="A291" s="26">
        <v>24867</v>
      </c>
      <c r="B291" s="57" t="s">
        <v>36</v>
      </c>
      <c r="C291" s="58" t="s">
        <v>37</v>
      </c>
      <c r="D291" s="59" t="s">
        <v>36</v>
      </c>
      <c r="E291" s="60" t="s">
        <v>38</v>
      </c>
      <c r="F291" s="58" t="s">
        <v>39</v>
      </c>
      <c r="G291" s="57" t="s">
        <v>40</v>
      </c>
      <c r="H291" s="60" t="s">
        <v>41</v>
      </c>
      <c r="I291" s="58" t="s">
        <v>524</v>
      </c>
      <c r="J291" s="57" t="s">
        <v>525</v>
      </c>
      <c r="K291" s="60" t="s">
        <v>526</v>
      </c>
      <c r="L291" s="58" t="s">
        <v>849</v>
      </c>
      <c r="M291" s="57" t="s">
        <v>850</v>
      </c>
      <c r="N291" s="60" t="s">
        <v>851</v>
      </c>
      <c r="O291" s="58" t="s">
        <v>63</v>
      </c>
      <c r="P291" s="57" t="s">
        <v>64</v>
      </c>
      <c r="Q291" s="60" t="s">
        <v>65</v>
      </c>
      <c r="R291" s="64" t="s">
        <v>51</v>
      </c>
      <c r="S291" s="65" t="s">
        <v>680</v>
      </c>
      <c r="T291" s="66">
        <v>1869</v>
      </c>
      <c r="U291" s="67">
        <v>-934.5</v>
      </c>
      <c r="V291" s="68">
        <v>-934.5</v>
      </c>
      <c r="W291" s="60" t="s">
        <v>681</v>
      </c>
      <c r="X291" s="69">
        <v>45960</v>
      </c>
      <c r="Y291" s="70">
        <v>45986</v>
      </c>
      <c r="Z291" s="60" t="s">
        <v>562</v>
      </c>
      <c r="AA291" s="44" t="s">
        <v>563</v>
      </c>
      <c r="AB291" s="57" t="s">
        <v>56</v>
      </c>
      <c r="AC291" s="59" t="s">
        <v>236</v>
      </c>
      <c r="AD291" s="60"/>
      <c r="AE291" s="71">
        <v>-934.5</v>
      </c>
      <c r="AF291" s="48" t="s">
        <v>58</v>
      </c>
      <c r="AG291" s="48" t="s">
        <v>59</v>
      </c>
      <c r="AH291" s="49" t="s">
        <v>70</v>
      </c>
      <c r="AI291" s="49" t="s">
        <v>71</v>
      </c>
      <c r="AJ291" s="50" t="s">
        <v>72</v>
      </c>
    </row>
    <row r="292" spans="1:36" ht="15.75" x14ac:dyDescent="0.25">
      <c r="A292" s="26">
        <v>24860</v>
      </c>
      <c r="B292" s="57" t="s">
        <v>36</v>
      </c>
      <c r="C292" s="58" t="s">
        <v>37</v>
      </c>
      <c r="D292" s="59" t="s">
        <v>36</v>
      </c>
      <c r="E292" s="60" t="s">
        <v>38</v>
      </c>
      <c r="F292" s="58" t="s">
        <v>39</v>
      </c>
      <c r="G292" s="57" t="s">
        <v>40</v>
      </c>
      <c r="H292" s="60" t="s">
        <v>41</v>
      </c>
      <c r="I292" s="58" t="s">
        <v>524</v>
      </c>
      <c r="J292" s="57" t="s">
        <v>525</v>
      </c>
      <c r="K292" s="60" t="s">
        <v>526</v>
      </c>
      <c r="L292" s="58" t="s">
        <v>849</v>
      </c>
      <c r="M292" s="57" t="s">
        <v>850</v>
      </c>
      <c r="N292" s="60" t="s">
        <v>851</v>
      </c>
      <c r="O292" s="58" t="s">
        <v>83</v>
      </c>
      <c r="P292" s="57" t="s">
        <v>84</v>
      </c>
      <c r="Q292" s="60" t="s">
        <v>85</v>
      </c>
      <c r="R292" s="64" t="s">
        <v>51</v>
      </c>
      <c r="S292" s="65" t="s">
        <v>880</v>
      </c>
      <c r="T292" s="66">
        <v>400</v>
      </c>
      <c r="U292" s="67">
        <v>-297</v>
      </c>
      <c r="V292" s="68">
        <v>-297</v>
      </c>
      <c r="W292" s="60" t="s">
        <v>881</v>
      </c>
      <c r="X292" s="69">
        <v>45961</v>
      </c>
      <c r="Y292" s="70">
        <v>45971</v>
      </c>
      <c r="Z292" s="60" t="s">
        <v>882</v>
      </c>
      <c r="AA292" s="44" t="s">
        <v>883</v>
      </c>
      <c r="AB292" s="57" t="s">
        <v>56</v>
      </c>
      <c r="AC292" s="59" t="s">
        <v>236</v>
      </c>
      <c r="AD292" s="60"/>
      <c r="AE292" s="71">
        <v>-297</v>
      </c>
      <c r="AF292" s="48" t="s">
        <v>58</v>
      </c>
      <c r="AG292" s="48" t="s">
        <v>59</v>
      </c>
      <c r="AH292" s="49" t="s">
        <v>89</v>
      </c>
      <c r="AI292" s="49" t="s">
        <v>61</v>
      </c>
      <c r="AJ292" s="50" t="s">
        <v>62</v>
      </c>
    </row>
    <row r="293" spans="1:36" ht="15.75" x14ac:dyDescent="0.25">
      <c r="A293" s="26">
        <v>24862</v>
      </c>
      <c r="B293" s="57" t="s">
        <v>36</v>
      </c>
      <c r="C293" s="58" t="s">
        <v>37</v>
      </c>
      <c r="D293" s="59" t="s">
        <v>36</v>
      </c>
      <c r="E293" s="60" t="s">
        <v>38</v>
      </c>
      <c r="F293" s="58" t="s">
        <v>39</v>
      </c>
      <c r="G293" s="57" t="s">
        <v>40</v>
      </c>
      <c r="H293" s="60" t="s">
        <v>41</v>
      </c>
      <c r="I293" s="58" t="s">
        <v>524</v>
      </c>
      <c r="J293" s="57" t="s">
        <v>525</v>
      </c>
      <c r="K293" s="60" t="s">
        <v>526</v>
      </c>
      <c r="L293" s="58" t="s">
        <v>849</v>
      </c>
      <c r="M293" s="57" t="s">
        <v>850</v>
      </c>
      <c r="N293" s="60" t="s">
        <v>851</v>
      </c>
      <c r="O293" s="58" t="s">
        <v>83</v>
      </c>
      <c r="P293" s="57" t="s">
        <v>84</v>
      </c>
      <c r="Q293" s="60" t="s">
        <v>85</v>
      </c>
      <c r="R293" s="64" t="s">
        <v>51</v>
      </c>
      <c r="S293" s="65" t="s">
        <v>884</v>
      </c>
      <c r="T293" s="66">
        <v>296.25</v>
      </c>
      <c r="U293" s="67">
        <v>-103.07</v>
      </c>
      <c r="V293" s="68">
        <v>-103.07</v>
      </c>
      <c r="W293" s="60" t="s">
        <v>885</v>
      </c>
      <c r="X293" s="69">
        <v>45961</v>
      </c>
      <c r="Y293" s="70">
        <v>45976</v>
      </c>
      <c r="Z293" s="60" t="s">
        <v>88</v>
      </c>
      <c r="AA293" s="44" t="s">
        <v>55</v>
      </c>
      <c r="AB293" s="57" t="s">
        <v>56</v>
      </c>
      <c r="AC293" s="59" t="s">
        <v>236</v>
      </c>
      <c r="AD293" s="60"/>
      <c r="AE293" s="71">
        <v>-103.07</v>
      </c>
      <c r="AF293" s="48" t="s">
        <v>58</v>
      </c>
      <c r="AG293" s="48" t="s">
        <v>59</v>
      </c>
      <c r="AH293" s="49" t="s">
        <v>89</v>
      </c>
      <c r="AI293" s="49" t="s">
        <v>61</v>
      </c>
      <c r="AJ293" s="50" t="s">
        <v>62</v>
      </c>
    </row>
    <row r="294" spans="1:36" ht="15.75" x14ac:dyDescent="0.25">
      <c r="A294" s="26">
        <v>27934</v>
      </c>
      <c r="B294" s="57" t="s">
        <v>36</v>
      </c>
      <c r="C294" s="58" t="s">
        <v>37</v>
      </c>
      <c r="D294" s="59" t="s">
        <v>36</v>
      </c>
      <c r="E294" s="60" t="s">
        <v>38</v>
      </c>
      <c r="F294" s="58" t="s">
        <v>39</v>
      </c>
      <c r="G294" s="57" t="s">
        <v>40</v>
      </c>
      <c r="H294" s="60" t="s">
        <v>41</v>
      </c>
      <c r="I294" s="58" t="s">
        <v>524</v>
      </c>
      <c r="J294" s="57" t="s">
        <v>525</v>
      </c>
      <c r="K294" s="60" t="s">
        <v>526</v>
      </c>
      <c r="L294" s="58" t="s">
        <v>849</v>
      </c>
      <c r="M294" s="57" t="s">
        <v>850</v>
      </c>
      <c r="N294" s="60" t="s">
        <v>851</v>
      </c>
      <c r="O294" s="58" t="s">
        <v>229</v>
      </c>
      <c r="P294" s="57" t="s">
        <v>230</v>
      </c>
      <c r="Q294" s="60" t="s">
        <v>231</v>
      </c>
      <c r="R294" s="64" t="s">
        <v>207</v>
      </c>
      <c r="S294" s="65" t="s">
        <v>232</v>
      </c>
      <c r="T294" s="66">
        <v>1155.32</v>
      </c>
      <c r="U294" s="67">
        <v>-11.55</v>
      </c>
      <c r="V294" s="68">
        <v>-11.55</v>
      </c>
      <c r="W294" s="60" t="s">
        <v>233</v>
      </c>
      <c r="X294" s="69">
        <v>45962</v>
      </c>
      <c r="Y294" s="70">
        <v>45978</v>
      </c>
      <c r="Z294" s="60" t="s">
        <v>234</v>
      </c>
      <c r="AA294" s="44" t="s">
        <v>235</v>
      </c>
      <c r="AB294" s="57" t="s">
        <v>56</v>
      </c>
      <c r="AC294" s="59" t="s">
        <v>236</v>
      </c>
      <c r="AD294" s="60"/>
      <c r="AE294" s="71">
        <v>-11.55</v>
      </c>
      <c r="AF294" s="48" t="s">
        <v>98</v>
      </c>
      <c r="AG294" s="48" t="s">
        <v>99</v>
      </c>
      <c r="AH294" s="49" t="s">
        <v>237</v>
      </c>
      <c r="AI294" s="49" t="s">
        <v>238</v>
      </c>
      <c r="AJ294" s="50" t="s">
        <v>201</v>
      </c>
    </row>
    <row r="295" spans="1:36" ht="15.75" x14ac:dyDescent="0.25">
      <c r="A295" s="26">
        <v>29451</v>
      </c>
      <c r="B295" s="57" t="s">
        <v>36</v>
      </c>
      <c r="C295" s="58" t="s">
        <v>37</v>
      </c>
      <c r="D295" s="59" t="s">
        <v>36</v>
      </c>
      <c r="E295" s="60" t="s">
        <v>38</v>
      </c>
      <c r="F295" s="58" t="s">
        <v>39</v>
      </c>
      <c r="G295" s="57" t="s">
        <v>40</v>
      </c>
      <c r="H295" s="60" t="s">
        <v>41</v>
      </c>
      <c r="I295" s="58" t="s">
        <v>524</v>
      </c>
      <c r="J295" s="57" t="s">
        <v>525</v>
      </c>
      <c r="K295" s="60" t="s">
        <v>526</v>
      </c>
      <c r="L295" s="58" t="s">
        <v>849</v>
      </c>
      <c r="M295" s="57" t="s">
        <v>850</v>
      </c>
      <c r="N295" s="60" t="s">
        <v>851</v>
      </c>
      <c r="O295" s="58" t="s">
        <v>229</v>
      </c>
      <c r="P295" s="57" t="s">
        <v>230</v>
      </c>
      <c r="Q295" s="60" t="s">
        <v>231</v>
      </c>
      <c r="R295" s="64" t="s">
        <v>207</v>
      </c>
      <c r="S295" s="65" t="s">
        <v>266</v>
      </c>
      <c r="T295" s="66">
        <v>-11.55</v>
      </c>
      <c r="U295" s="67">
        <v>-11.55</v>
      </c>
      <c r="V295" s="68">
        <v>-11.55</v>
      </c>
      <c r="W295" s="60" t="s">
        <v>267</v>
      </c>
      <c r="X295" s="69">
        <v>45992</v>
      </c>
      <c r="Y295" s="70">
        <v>46006</v>
      </c>
      <c r="Z295" s="60" t="s">
        <v>234</v>
      </c>
      <c r="AA295" s="44" t="s">
        <v>235</v>
      </c>
      <c r="AB295" s="57" t="s">
        <v>268</v>
      </c>
      <c r="AC295" s="59" t="s">
        <v>236</v>
      </c>
      <c r="AD295" s="33"/>
      <c r="AE295" s="71">
        <v>-11.55</v>
      </c>
      <c r="AF295" s="48" t="s">
        <v>98</v>
      </c>
      <c r="AG295" s="48" t="s">
        <v>99</v>
      </c>
      <c r="AH295" s="49" t="s">
        <v>237</v>
      </c>
      <c r="AI295" s="49" t="s">
        <v>238</v>
      </c>
      <c r="AJ295" s="50" t="s">
        <v>201</v>
      </c>
    </row>
    <row r="296" spans="1:36" ht="15.75" x14ac:dyDescent="0.25">
      <c r="A296" s="26">
        <v>30309</v>
      </c>
      <c r="B296" s="57" t="s">
        <v>36</v>
      </c>
      <c r="C296" s="58" t="s">
        <v>37</v>
      </c>
      <c r="D296" s="59" t="s">
        <v>36</v>
      </c>
      <c r="E296" s="60" t="s">
        <v>38</v>
      </c>
      <c r="F296" s="58" t="s">
        <v>39</v>
      </c>
      <c r="G296" s="57" t="s">
        <v>40</v>
      </c>
      <c r="H296" s="60" t="s">
        <v>41</v>
      </c>
      <c r="I296" s="58" t="s">
        <v>524</v>
      </c>
      <c r="J296" s="57" t="s">
        <v>525</v>
      </c>
      <c r="K296" s="60" t="s">
        <v>526</v>
      </c>
      <c r="L296" s="58" t="s">
        <v>849</v>
      </c>
      <c r="M296" s="57" t="s">
        <v>850</v>
      </c>
      <c r="N296" s="60" t="s">
        <v>851</v>
      </c>
      <c r="O296" s="31" t="s">
        <v>83</v>
      </c>
      <c r="P296" s="32" t="s">
        <v>84</v>
      </c>
      <c r="Q296" s="33" t="s">
        <v>85</v>
      </c>
      <c r="R296" s="64" t="s">
        <v>51</v>
      </c>
      <c r="S296" s="65" t="s">
        <v>886</v>
      </c>
      <c r="T296" s="66">
        <v>-122</v>
      </c>
      <c r="U296" s="67">
        <v>-122</v>
      </c>
      <c r="V296" s="68">
        <v>-122</v>
      </c>
      <c r="W296" s="60" t="s">
        <v>887</v>
      </c>
      <c r="X296" s="69">
        <v>46001</v>
      </c>
      <c r="Y296" s="70">
        <v>46009</v>
      </c>
      <c r="Z296" s="60" t="s">
        <v>856</v>
      </c>
      <c r="AA296" s="44" t="s">
        <v>857</v>
      </c>
      <c r="AB296" s="57" t="s">
        <v>268</v>
      </c>
      <c r="AC296" s="59" t="s">
        <v>236</v>
      </c>
      <c r="AD296" s="60"/>
      <c r="AE296" s="71">
        <v>-122</v>
      </c>
      <c r="AF296" s="48" t="s">
        <v>58</v>
      </c>
      <c r="AG296" s="48" t="s">
        <v>59</v>
      </c>
      <c r="AH296" s="49" t="s">
        <v>89</v>
      </c>
      <c r="AI296" s="49" t="s">
        <v>61</v>
      </c>
      <c r="AJ296" s="50" t="s">
        <v>62</v>
      </c>
    </row>
    <row r="297" spans="1:36" ht="15.75" x14ac:dyDescent="0.25">
      <c r="A297" s="26">
        <v>19957</v>
      </c>
      <c r="B297" s="57" t="s">
        <v>36</v>
      </c>
      <c r="C297" s="58" t="s">
        <v>37</v>
      </c>
      <c r="D297" s="59" t="s">
        <v>36</v>
      </c>
      <c r="E297" s="60" t="s">
        <v>38</v>
      </c>
      <c r="F297" s="58" t="s">
        <v>39</v>
      </c>
      <c r="G297" s="57" t="s">
        <v>40</v>
      </c>
      <c r="H297" s="60" t="s">
        <v>41</v>
      </c>
      <c r="I297" s="58" t="s">
        <v>524</v>
      </c>
      <c r="J297" s="57" t="s">
        <v>525</v>
      </c>
      <c r="K297" s="60" t="s">
        <v>526</v>
      </c>
      <c r="L297" s="58" t="s">
        <v>849</v>
      </c>
      <c r="M297" s="57" t="s">
        <v>850</v>
      </c>
      <c r="N297" s="60" t="s">
        <v>851</v>
      </c>
      <c r="O297" s="58" t="s">
        <v>888</v>
      </c>
      <c r="P297" s="57" t="s">
        <v>889</v>
      </c>
      <c r="Q297" s="60" t="s">
        <v>890</v>
      </c>
      <c r="R297" s="64" t="s">
        <v>275</v>
      </c>
      <c r="S297" s="65" t="s">
        <v>891</v>
      </c>
      <c r="T297" s="66">
        <v>-2221.94</v>
      </c>
      <c r="U297" s="67">
        <v>-2221.94</v>
      </c>
      <c r="V297" s="68">
        <v>-2221.94</v>
      </c>
      <c r="W297" s="60" t="s">
        <v>892</v>
      </c>
      <c r="X297" s="69">
        <v>46003</v>
      </c>
      <c r="Y297" s="70">
        <v>46006</v>
      </c>
      <c r="Z297" s="60" t="s">
        <v>893</v>
      </c>
      <c r="AA297" s="44" t="s">
        <v>894</v>
      </c>
      <c r="AB297" s="57" t="s">
        <v>268</v>
      </c>
      <c r="AC297" s="59" t="s">
        <v>236</v>
      </c>
      <c r="AD297" s="60"/>
      <c r="AE297" s="71">
        <v>-2221.94</v>
      </c>
      <c r="AF297" s="48" t="s">
        <v>98</v>
      </c>
      <c r="AG297" s="48" t="s">
        <v>895</v>
      </c>
      <c r="AH297" s="49">
        <v>0</v>
      </c>
      <c r="AI297" s="49">
        <v>0</v>
      </c>
      <c r="AJ297" s="50" t="e">
        <v>#N/A</v>
      </c>
    </row>
    <row r="298" spans="1:36" ht="15.75" x14ac:dyDescent="0.25">
      <c r="A298" s="26">
        <v>30541</v>
      </c>
      <c r="B298" s="57" t="s">
        <v>36</v>
      </c>
      <c r="C298" s="58" t="s">
        <v>37</v>
      </c>
      <c r="D298" s="59" t="s">
        <v>36</v>
      </c>
      <c r="E298" s="60" t="s">
        <v>38</v>
      </c>
      <c r="F298" s="58" t="s">
        <v>39</v>
      </c>
      <c r="G298" s="57" t="s">
        <v>40</v>
      </c>
      <c r="H298" s="60" t="s">
        <v>41</v>
      </c>
      <c r="I298" s="58" t="s">
        <v>524</v>
      </c>
      <c r="J298" s="57" t="s">
        <v>525</v>
      </c>
      <c r="K298" s="60" t="s">
        <v>526</v>
      </c>
      <c r="L298" s="58" t="s">
        <v>849</v>
      </c>
      <c r="M298" s="57" t="s">
        <v>850</v>
      </c>
      <c r="N298" s="60" t="s">
        <v>851</v>
      </c>
      <c r="O298" s="58" t="s">
        <v>63</v>
      </c>
      <c r="P298" s="57" t="s">
        <v>64</v>
      </c>
      <c r="Q298" s="60" t="s">
        <v>65</v>
      </c>
      <c r="R298" s="64" t="s">
        <v>51</v>
      </c>
      <c r="S298" s="65" t="s">
        <v>896</v>
      </c>
      <c r="T298" s="66">
        <v>-450</v>
      </c>
      <c r="U298" s="67">
        <v>-450</v>
      </c>
      <c r="V298" s="68">
        <v>-450</v>
      </c>
      <c r="W298" s="60" t="s">
        <v>897</v>
      </c>
      <c r="X298" s="69">
        <v>46003</v>
      </c>
      <c r="Y298" s="70">
        <v>46009</v>
      </c>
      <c r="Z298" s="60" t="s">
        <v>898</v>
      </c>
      <c r="AA298" s="44" t="s">
        <v>899</v>
      </c>
      <c r="AB298" s="57" t="s">
        <v>268</v>
      </c>
      <c r="AC298" s="59" t="s">
        <v>236</v>
      </c>
      <c r="AD298" s="60"/>
      <c r="AE298" s="71">
        <v>-450</v>
      </c>
      <c r="AF298" s="48" t="s">
        <v>58</v>
      </c>
      <c r="AG298" s="48" t="s">
        <v>59</v>
      </c>
      <c r="AH298" s="49" t="s">
        <v>70</v>
      </c>
      <c r="AI298" s="49" t="s">
        <v>71</v>
      </c>
      <c r="AJ298" s="50" t="s">
        <v>72</v>
      </c>
    </row>
    <row r="299" spans="1:36" ht="15.75" x14ac:dyDescent="0.25">
      <c r="A299" s="26">
        <v>30560</v>
      </c>
      <c r="B299" s="57" t="s">
        <v>36</v>
      </c>
      <c r="C299" s="58" t="s">
        <v>37</v>
      </c>
      <c r="D299" s="59" t="s">
        <v>36</v>
      </c>
      <c r="E299" s="60" t="s">
        <v>38</v>
      </c>
      <c r="F299" s="58" t="s">
        <v>39</v>
      </c>
      <c r="G299" s="57" t="s">
        <v>40</v>
      </c>
      <c r="H299" s="60" t="s">
        <v>41</v>
      </c>
      <c r="I299" s="58" t="s">
        <v>524</v>
      </c>
      <c r="J299" s="57" t="s">
        <v>525</v>
      </c>
      <c r="K299" s="60" t="s">
        <v>526</v>
      </c>
      <c r="L299" s="58" t="s">
        <v>849</v>
      </c>
      <c r="M299" s="57" t="s">
        <v>850</v>
      </c>
      <c r="N299" s="60" t="s">
        <v>851</v>
      </c>
      <c r="O299" s="58" t="s">
        <v>63</v>
      </c>
      <c r="P299" s="57" t="s">
        <v>64</v>
      </c>
      <c r="Q299" s="60" t="s">
        <v>65</v>
      </c>
      <c r="R299" s="64" t="s">
        <v>51</v>
      </c>
      <c r="S299" s="65" t="s">
        <v>900</v>
      </c>
      <c r="T299" s="66">
        <v>-2516</v>
      </c>
      <c r="U299" s="67">
        <v>-2516</v>
      </c>
      <c r="V299" s="68">
        <v>-2516</v>
      </c>
      <c r="W299" s="60" t="s">
        <v>901</v>
      </c>
      <c r="X299" s="69">
        <v>46003</v>
      </c>
      <c r="Y299" s="70">
        <v>46009</v>
      </c>
      <c r="Z299" s="60" t="s">
        <v>898</v>
      </c>
      <c r="AA299" s="44" t="s">
        <v>899</v>
      </c>
      <c r="AB299" s="57" t="s">
        <v>268</v>
      </c>
      <c r="AC299" s="59" t="s">
        <v>236</v>
      </c>
      <c r="AD299" s="60"/>
      <c r="AE299" s="71">
        <v>-2516</v>
      </c>
      <c r="AF299" s="48" t="s">
        <v>58</v>
      </c>
      <c r="AG299" s="48" t="s">
        <v>59</v>
      </c>
      <c r="AH299" s="49" t="s">
        <v>70</v>
      </c>
      <c r="AI299" s="49" t="s">
        <v>71</v>
      </c>
      <c r="AJ299" s="50" t="s">
        <v>72</v>
      </c>
    </row>
  </sheetData>
  <autoFilter ref="A1:AJ299" xr:uid="{C54CA9A0-116D-43CA-AA20-66A217F1E8DB}"/>
  <conditionalFormatting sqref="A1:A79">
    <cfRule type="duplicateValues" dxfId="15" priority="5"/>
  </conditionalFormatting>
  <conditionalFormatting sqref="A80:A156">
    <cfRule type="duplicateValues" dxfId="14" priority="6"/>
  </conditionalFormatting>
  <conditionalFormatting sqref="A157:A227">
    <cfRule type="duplicateValues" dxfId="13" priority="3"/>
  </conditionalFormatting>
  <conditionalFormatting sqref="A228:A274">
    <cfRule type="duplicateValues" dxfId="12" priority="2"/>
  </conditionalFormatting>
  <conditionalFormatting sqref="A275:A299">
    <cfRule type="duplicateValues" dxfId="11" priority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3919-1DCE-4A57-8369-4E57AED431B1}">
  <dimension ref="A1:AI142"/>
  <sheetViews>
    <sheetView workbookViewId="0"/>
  </sheetViews>
  <sheetFormatPr defaultRowHeight="15" x14ac:dyDescent="0.25"/>
  <sheetData>
    <row r="1" spans="1:35" x14ac:dyDescent="0.25">
      <c r="A1" s="162" t="s">
        <v>0</v>
      </c>
      <c r="B1" s="163" t="s">
        <v>1</v>
      </c>
      <c r="C1" s="164" t="s">
        <v>2</v>
      </c>
      <c r="D1" s="164" t="s">
        <v>3</v>
      </c>
      <c r="E1" s="164" t="s">
        <v>4</v>
      </c>
      <c r="F1" s="164" t="s">
        <v>5</v>
      </c>
      <c r="G1" s="164" t="s">
        <v>6</v>
      </c>
      <c r="H1" s="164" t="s">
        <v>7</v>
      </c>
      <c r="I1" s="164" t="s">
        <v>8</v>
      </c>
      <c r="J1" s="164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4" t="s">
        <v>14</v>
      </c>
      <c r="P1" s="164" t="s">
        <v>15</v>
      </c>
      <c r="Q1" s="164" t="s">
        <v>16</v>
      </c>
      <c r="R1" s="164" t="s">
        <v>17</v>
      </c>
      <c r="S1" s="162" t="s">
        <v>18</v>
      </c>
      <c r="T1" s="166" t="s">
        <v>19</v>
      </c>
      <c r="U1" s="166" t="s">
        <v>20</v>
      </c>
      <c r="V1" s="167" t="s">
        <v>21</v>
      </c>
      <c r="W1" s="164" t="s">
        <v>22</v>
      </c>
      <c r="X1" s="168" t="s">
        <v>23</v>
      </c>
      <c r="Y1" s="168" t="s">
        <v>24</v>
      </c>
      <c r="Z1" s="164" t="s">
        <v>25</v>
      </c>
      <c r="AA1" s="164" t="s">
        <v>26</v>
      </c>
      <c r="AB1" s="162" t="s">
        <v>27</v>
      </c>
      <c r="AC1" s="164" t="s">
        <v>28</v>
      </c>
      <c r="AD1" s="164" t="s">
        <v>29</v>
      </c>
      <c r="AE1" s="169" t="s">
        <v>30</v>
      </c>
      <c r="AF1" s="162" t="s">
        <v>33</v>
      </c>
      <c r="AG1" s="162" t="s">
        <v>982</v>
      </c>
      <c r="AH1" s="162" t="s">
        <v>35</v>
      </c>
      <c r="AI1" s="162" t="s">
        <v>983</v>
      </c>
    </row>
    <row r="2" spans="1:35" x14ac:dyDescent="0.25">
      <c r="A2" s="170">
        <v>134</v>
      </c>
      <c r="B2" s="171" t="s">
        <v>36</v>
      </c>
      <c r="C2" s="172" t="s">
        <v>37</v>
      </c>
      <c r="D2" s="172" t="s">
        <v>36</v>
      </c>
      <c r="E2" s="172" t="s">
        <v>38</v>
      </c>
      <c r="F2" s="172" t="s">
        <v>39</v>
      </c>
      <c r="G2" s="172" t="s">
        <v>40</v>
      </c>
      <c r="H2" s="173" t="s">
        <v>41</v>
      </c>
      <c r="I2" s="172" t="s">
        <v>42</v>
      </c>
      <c r="J2" s="172" t="s">
        <v>43</v>
      </c>
      <c r="K2" s="174" t="s">
        <v>44</v>
      </c>
      <c r="L2" s="174" t="s">
        <v>45</v>
      </c>
      <c r="M2" s="174" t="s">
        <v>46</v>
      </c>
      <c r="N2" s="174" t="s">
        <v>47</v>
      </c>
      <c r="O2" s="173" t="s">
        <v>984</v>
      </c>
      <c r="P2" s="173" t="s">
        <v>985</v>
      </c>
      <c r="Q2" s="175" t="s">
        <v>986</v>
      </c>
      <c r="R2" s="176" t="s">
        <v>207</v>
      </c>
      <c r="S2" s="173" t="s">
        <v>987</v>
      </c>
      <c r="T2" s="177">
        <v>1155.32</v>
      </c>
      <c r="U2" s="177">
        <v>-57.77</v>
      </c>
      <c r="V2" s="178">
        <v>-57.77</v>
      </c>
      <c r="W2" s="179" t="s">
        <v>988</v>
      </c>
      <c r="X2" s="180">
        <v>46024</v>
      </c>
      <c r="Y2" s="181">
        <v>46037</v>
      </c>
      <c r="Z2" s="176" t="s">
        <v>234</v>
      </c>
      <c r="AA2" s="182" t="s">
        <v>235</v>
      </c>
      <c r="AB2" s="176" t="s">
        <v>56</v>
      </c>
      <c r="AC2" s="176" t="s">
        <v>236</v>
      </c>
      <c r="AD2" s="176" t="s">
        <v>256</v>
      </c>
      <c r="AE2" s="183">
        <v>-57.77</v>
      </c>
      <c r="AF2" s="175" t="s">
        <v>989</v>
      </c>
      <c r="AG2" s="175" t="s">
        <v>990</v>
      </c>
      <c r="AH2" s="175" t="s">
        <v>201</v>
      </c>
      <c r="AI2" s="175" t="s">
        <v>991</v>
      </c>
    </row>
    <row r="3" spans="1:35" x14ac:dyDescent="0.25">
      <c r="A3" s="170">
        <v>160</v>
      </c>
      <c r="B3" s="171" t="s">
        <v>36</v>
      </c>
      <c r="C3" s="172" t="s">
        <v>37</v>
      </c>
      <c r="D3" s="172" t="s">
        <v>36</v>
      </c>
      <c r="E3" s="172" t="s">
        <v>38</v>
      </c>
      <c r="F3" s="172" t="s">
        <v>39</v>
      </c>
      <c r="G3" s="172" t="s">
        <v>40</v>
      </c>
      <c r="H3" s="173" t="s">
        <v>41</v>
      </c>
      <c r="I3" s="172" t="s">
        <v>42</v>
      </c>
      <c r="J3" s="172" t="s">
        <v>43</v>
      </c>
      <c r="K3" s="172" t="s">
        <v>44</v>
      </c>
      <c r="L3" s="174" t="s">
        <v>45</v>
      </c>
      <c r="M3" s="174" t="s">
        <v>46</v>
      </c>
      <c r="N3" s="174" t="s">
        <v>47</v>
      </c>
      <c r="O3" s="173" t="s">
        <v>63</v>
      </c>
      <c r="P3" s="173" t="s">
        <v>64</v>
      </c>
      <c r="Q3" s="175" t="s">
        <v>65</v>
      </c>
      <c r="R3" s="176" t="s">
        <v>51</v>
      </c>
      <c r="S3" s="173" t="s">
        <v>992</v>
      </c>
      <c r="T3" s="177">
        <v>3830</v>
      </c>
      <c r="U3" s="177">
        <v>-1915</v>
      </c>
      <c r="V3" s="178">
        <v>-1915</v>
      </c>
      <c r="W3" s="179" t="s">
        <v>993</v>
      </c>
      <c r="X3" s="180">
        <v>46030</v>
      </c>
      <c r="Y3" s="181">
        <v>46037</v>
      </c>
      <c r="Z3" s="176" t="s">
        <v>140</v>
      </c>
      <c r="AA3" s="182" t="s">
        <v>141</v>
      </c>
      <c r="AB3" s="176" t="s">
        <v>56</v>
      </c>
      <c r="AC3" s="176" t="s">
        <v>236</v>
      </c>
      <c r="AD3" s="176" t="s">
        <v>256</v>
      </c>
      <c r="AE3" s="183">
        <v>-1915</v>
      </c>
      <c r="AF3" s="175" t="s">
        <v>70</v>
      </c>
      <c r="AG3" s="175" t="s">
        <v>71</v>
      </c>
      <c r="AH3" s="175" t="s">
        <v>72</v>
      </c>
      <c r="AI3" s="175" t="s">
        <v>991</v>
      </c>
    </row>
    <row r="4" spans="1:35" x14ac:dyDescent="0.25">
      <c r="A4" s="170">
        <v>183</v>
      </c>
      <c r="B4" s="171" t="s">
        <v>36</v>
      </c>
      <c r="C4" s="172" t="s">
        <v>37</v>
      </c>
      <c r="D4" s="172" t="s">
        <v>36</v>
      </c>
      <c r="E4" s="172" t="s">
        <v>38</v>
      </c>
      <c r="F4" s="172" t="s">
        <v>39</v>
      </c>
      <c r="G4" s="172" t="s">
        <v>40</v>
      </c>
      <c r="H4" s="173" t="s">
        <v>41</v>
      </c>
      <c r="I4" s="172" t="s">
        <v>42</v>
      </c>
      <c r="J4" s="172" t="s">
        <v>43</v>
      </c>
      <c r="K4" s="172" t="s">
        <v>44</v>
      </c>
      <c r="L4" s="172" t="s">
        <v>45</v>
      </c>
      <c r="M4" s="172" t="s">
        <v>46</v>
      </c>
      <c r="N4" s="172" t="s">
        <v>47</v>
      </c>
      <c r="O4" s="173" t="s">
        <v>994</v>
      </c>
      <c r="P4" s="173" t="s">
        <v>995</v>
      </c>
      <c r="Q4" s="175" t="s">
        <v>996</v>
      </c>
      <c r="R4" s="176" t="s">
        <v>293</v>
      </c>
      <c r="S4" s="173" t="s">
        <v>997</v>
      </c>
      <c r="T4" s="177">
        <v>295.83</v>
      </c>
      <c r="U4" s="177">
        <v>-295.83</v>
      </c>
      <c r="V4" s="178">
        <v>-295.83</v>
      </c>
      <c r="W4" s="179" t="s">
        <v>998</v>
      </c>
      <c r="X4" s="180">
        <v>46036</v>
      </c>
      <c r="Y4" s="181">
        <v>46037</v>
      </c>
      <c r="Z4" s="176" t="s">
        <v>296</v>
      </c>
      <c r="AA4" s="182" t="s">
        <v>297</v>
      </c>
      <c r="AB4" s="176" t="s">
        <v>56</v>
      </c>
      <c r="AC4" s="176" t="s">
        <v>236</v>
      </c>
      <c r="AD4" s="176" t="s">
        <v>256</v>
      </c>
      <c r="AE4" s="183">
        <v>-295.83</v>
      </c>
      <c r="AF4" s="175" t="s">
        <v>999</v>
      </c>
      <c r="AG4" s="175" t="s">
        <v>238</v>
      </c>
      <c r="AH4" s="175" t="s">
        <v>201</v>
      </c>
      <c r="AI4" s="175" t="s">
        <v>991</v>
      </c>
    </row>
    <row r="5" spans="1:35" x14ac:dyDescent="0.25">
      <c r="A5" s="170">
        <v>302</v>
      </c>
      <c r="B5" s="171" t="s">
        <v>36</v>
      </c>
      <c r="C5" s="172" t="s">
        <v>37</v>
      </c>
      <c r="D5" s="172" t="s">
        <v>36</v>
      </c>
      <c r="E5" s="172" t="s">
        <v>38</v>
      </c>
      <c r="F5" s="172" t="s">
        <v>39</v>
      </c>
      <c r="G5" s="172" t="s">
        <v>40</v>
      </c>
      <c r="H5" s="173" t="s">
        <v>41</v>
      </c>
      <c r="I5" s="172" t="s">
        <v>42</v>
      </c>
      <c r="J5" s="172" t="s">
        <v>43</v>
      </c>
      <c r="K5" s="172" t="s">
        <v>44</v>
      </c>
      <c r="L5" s="174" t="s">
        <v>45</v>
      </c>
      <c r="M5" s="174" t="s">
        <v>46</v>
      </c>
      <c r="N5" s="174" t="s">
        <v>47</v>
      </c>
      <c r="O5" s="173" t="s">
        <v>63</v>
      </c>
      <c r="P5" s="173" t="s">
        <v>64</v>
      </c>
      <c r="Q5" s="175" t="s">
        <v>65</v>
      </c>
      <c r="R5" s="176" t="s">
        <v>51</v>
      </c>
      <c r="S5" s="173" t="s">
        <v>1000</v>
      </c>
      <c r="T5" s="177">
        <v>2600</v>
      </c>
      <c r="U5" s="177">
        <v>-2600</v>
      </c>
      <c r="V5" s="178">
        <v>-2600</v>
      </c>
      <c r="W5" s="179" t="s">
        <v>1001</v>
      </c>
      <c r="X5" s="181">
        <v>46035</v>
      </c>
      <c r="Y5" s="181">
        <v>46036</v>
      </c>
      <c r="Z5" s="176" t="s">
        <v>1002</v>
      </c>
      <c r="AA5" s="182" t="s">
        <v>1003</v>
      </c>
      <c r="AB5" s="176" t="s">
        <v>56</v>
      </c>
      <c r="AC5" s="176" t="s">
        <v>236</v>
      </c>
      <c r="AD5" s="176" t="s">
        <v>256</v>
      </c>
      <c r="AE5" s="183">
        <v>-2600</v>
      </c>
      <c r="AF5" s="175" t="s">
        <v>70</v>
      </c>
      <c r="AG5" s="175" t="s">
        <v>71</v>
      </c>
      <c r="AH5" s="175" t="s">
        <v>72</v>
      </c>
      <c r="AI5" s="175" t="s">
        <v>991</v>
      </c>
    </row>
    <row r="6" spans="1:35" x14ac:dyDescent="0.25">
      <c r="A6" s="170">
        <v>363</v>
      </c>
      <c r="B6" s="171" t="s">
        <v>36</v>
      </c>
      <c r="C6" s="172" t="s">
        <v>37</v>
      </c>
      <c r="D6" s="172" t="s">
        <v>36</v>
      </c>
      <c r="E6" s="172" t="s">
        <v>38</v>
      </c>
      <c r="F6" s="172" t="s">
        <v>39</v>
      </c>
      <c r="G6" s="172" t="s">
        <v>40</v>
      </c>
      <c r="H6" s="173" t="s">
        <v>41</v>
      </c>
      <c r="I6" s="172" t="s">
        <v>42</v>
      </c>
      <c r="J6" s="172" t="s">
        <v>43</v>
      </c>
      <c r="K6" s="172" t="s">
        <v>44</v>
      </c>
      <c r="L6" s="174" t="s">
        <v>45</v>
      </c>
      <c r="M6" s="174" t="s">
        <v>46</v>
      </c>
      <c r="N6" s="174" t="s">
        <v>47</v>
      </c>
      <c r="O6" s="173" t="s">
        <v>63</v>
      </c>
      <c r="P6" s="173" t="s">
        <v>64</v>
      </c>
      <c r="Q6" s="175" t="s">
        <v>65</v>
      </c>
      <c r="R6" s="176" t="s">
        <v>51</v>
      </c>
      <c r="S6" s="173" t="s">
        <v>1004</v>
      </c>
      <c r="T6" s="177">
        <v>130</v>
      </c>
      <c r="U6" s="177">
        <v>-130</v>
      </c>
      <c r="V6" s="178">
        <v>-130</v>
      </c>
      <c r="W6" s="179" t="s">
        <v>1005</v>
      </c>
      <c r="X6" s="181">
        <v>46040</v>
      </c>
      <c r="Y6" s="181">
        <v>46047</v>
      </c>
      <c r="Z6" s="176" t="s">
        <v>144</v>
      </c>
      <c r="AA6" s="182" t="s">
        <v>145</v>
      </c>
      <c r="AB6" s="176" t="s">
        <v>56</v>
      </c>
      <c r="AC6" s="176" t="s">
        <v>236</v>
      </c>
      <c r="AD6" s="176" t="s">
        <v>256</v>
      </c>
      <c r="AE6" s="183">
        <v>-130</v>
      </c>
      <c r="AF6" s="175" t="s">
        <v>70</v>
      </c>
      <c r="AG6" s="175" t="s">
        <v>71</v>
      </c>
      <c r="AH6" s="175" t="s">
        <v>72</v>
      </c>
      <c r="AI6" s="175" t="s">
        <v>991</v>
      </c>
    </row>
    <row r="7" spans="1:35" x14ac:dyDescent="0.25">
      <c r="A7" s="170">
        <v>364</v>
      </c>
      <c r="B7" s="171" t="s">
        <v>36</v>
      </c>
      <c r="C7" s="172" t="s">
        <v>37</v>
      </c>
      <c r="D7" s="172" t="s">
        <v>36</v>
      </c>
      <c r="E7" s="172" t="s">
        <v>38</v>
      </c>
      <c r="F7" s="172" t="s">
        <v>39</v>
      </c>
      <c r="G7" s="172" t="s">
        <v>40</v>
      </c>
      <c r="H7" s="173" t="s">
        <v>41</v>
      </c>
      <c r="I7" s="172" t="s">
        <v>42</v>
      </c>
      <c r="J7" s="172" t="s">
        <v>43</v>
      </c>
      <c r="K7" s="172" t="s">
        <v>44</v>
      </c>
      <c r="L7" s="174" t="s">
        <v>45</v>
      </c>
      <c r="M7" s="174" t="s">
        <v>46</v>
      </c>
      <c r="N7" s="174" t="s">
        <v>47</v>
      </c>
      <c r="O7" s="173" t="s">
        <v>63</v>
      </c>
      <c r="P7" s="173" t="s">
        <v>64</v>
      </c>
      <c r="Q7" s="175" t="s">
        <v>65</v>
      </c>
      <c r="R7" s="176" t="s">
        <v>51</v>
      </c>
      <c r="S7" s="173" t="s">
        <v>1006</v>
      </c>
      <c r="T7" s="177">
        <v>1841</v>
      </c>
      <c r="U7" s="177">
        <v>-1841</v>
      </c>
      <c r="V7" s="178">
        <v>-1841</v>
      </c>
      <c r="W7" s="179" t="s">
        <v>1007</v>
      </c>
      <c r="X7" s="181">
        <v>46035</v>
      </c>
      <c r="Y7" s="181">
        <v>46047</v>
      </c>
      <c r="Z7" s="176" t="s">
        <v>130</v>
      </c>
      <c r="AA7" s="182" t="s">
        <v>131</v>
      </c>
      <c r="AB7" s="176" t="s">
        <v>56</v>
      </c>
      <c r="AC7" s="176" t="s">
        <v>236</v>
      </c>
      <c r="AD7" s="176" t="s">
        <v>256</v>
      </c>
      <c r="AE7" s="183">
        <v>-1841</v>
      </c>
      <c r="AF7" s="175" t="s">
        <v>70</v>
      </c>
      <c r="AG7" s="175" t="s">
        <v>71</v>
      </c>
      <c r="AH7" s="175" t="s">
        <v>72</v>
      </c>
      <c r="AI7" s="175" t="s">
        <v>991</v>
      </c>
    </row>
    <row r="8" spans="1:35" x14ac:dyDescent="0.25">
      <c r="A8" s="170">
        <v>365</v>
      </c>
      <c r="B8" s="171" t="s">
        <v>36</v>
      </c>
      <c r="C8" s="172" t="s">
        <v>37</v>
      </c>
      <c r="D8" s="172" t="s">
        <v>36</v>
      </c>
      <c r="E8" s="172" t="s">
        <v>38</v>
      </c>
      <c r="F8" s="172" t="s">
        <v>39</v>
      </c>
      <c r="G8" s="172" t="s">
        <v>40</v>
      </c>
      <c r="H8" s="173" t="s">
        <v>41</v>
      </c>
      <c r="I8" s="172" t="s">
        <v>42</v>
      </c>
      <c r="J8" s="172" t="s">
        <v>43</v>
      </c>
      <c r="K8" s="172" t="s">
        <v>44</v>
      </c>
      <c r="L8" s="174" t="s">
        <v>45</v>
      </c>
      <c r="M8" s="174" t="s">
        <v>46</v>
      </c>
      <c r="N8" s="174" t="s">
        <v>47</v>
      </c>
      <c r="O8" s="173" t="s">
        <v>63</v>
      </c>
      <c r="P8" s="173" t="s">
        <v>64</v>
      </c>
      <c r="Q8" s="175" t="s">
        <v>65</v>
      </c>
      <c r="R8" s="176" t="s">
        <v>51</v>
      </c>
      <c r="S8" s="173" t="s">
        <v>1008</v>
      </c>
      <c r="T8" s="177">
        <v>5400</v>
      </c>
      <c r="U8" s="177">
        <v>-5400</v>
      </c>
      <c r="V8" s="178">
        <v>-5400</v>
      </c>
      <c r="W8" s="179" t="s">
        <v>1009</v>
      </c>
      <c r="X8" s="181">
        <v>46045</v>
      </c>
      <c r="Y8" s="181">
        <v>46048</v>
      </c>
      <c r="Z8" s="176" t="s">
        <v>1010</v>
      </c>
      <c r="AA8" s="182" t="s">
        <v>1011</v>
      </c>
      <c r="AB8" s="176" t="s">
        <v>56</v>
      </c>
      <c r="AC8" s="176" t="s">
        <v>236</v>
      </c>
      <c r="AD8" s="176" t="s">
        <v>256</v>
      </c>
      <c r="AE8" s="183">
        <v>-5400</v>
      </c>
      <c r="AF8" s="175" t="s">
        <v>70</v>
      </c>
      <c r="AG8" s="175" t="s">
        <v>71</v>
      </c>
      <c r="AH8" s="175" t="s">
        <v>72</v>
      </c>
      <c r="AI8" s="175" t="s">
        <v>991</v>
      </c>
    </row>
    <row r="9" spans="1:35" x14ac:dyDescent="0.25">
      <c r="A9" s="170">
        <v>492</v>
      </c>
      <c r="B9" s="171" t="s">
        <v>36</v>
      </c>
      <c r="C9" s="172" t="s">
        <v>37</v>
      </c>
      <c r="D9" s="172" t="s">
        <v>36</v>
      </c>
      <c r="E9" s="172" t="s">
        <v>38</v>
      </c>
      <c r="F9" s="172" t="s">
        <v>39</v>
      </c>
      <c r="G9" s="172" t="s">
        <v>40</v>
      </c>
      <c r="H9" s="173" t="s">
        <v>41</v>
      </c>
      <c r="I9" s="172" t="s">
        <v>42</v>
      </c>
      <c r="J9" s="172" t="s">
        <v>43</v>
      </c>
      <c r="K9" s="172" t="s">
        <v>44</v>
      </c>
      <c r="L9" s="174" t="s">
        <v>45</v>
      </c>
      <c r="M9" s="174" t="s">
        <v>46</v>
      </c>
      <c r="N9" s="174" t="s">
        <v>47</v>
      </c>
      <c r="O9" s="173" t="s">
        <v>63</v>
      </c>
      <c r="P9" s="173" t="s">
        <v>64</v>
      </c>
      <c r="Q9" s="175" t="s">
        <v>65</v>
      </c>
      <c r="R9" s="176" t="s">
        <v>51</v>
      </c>
      <c r="S9" s="173" t="s">
        <v>1012</v>
      </c>
      <c r="T9" s="177">
        <v>300</v>
      </c>
      <c r="U9" s="177">
        <v>-300</v>
      </c>
      <c r="V9" s="178">
        <v>-300</v>
      </c>
      <c r="W9" s="179" t="s">
        <v>1013</v>
      </c>
      <c r="X9" s="181">
        <v>46052</v>
      </c>
      <c r="Y9" s="181">
        <v>46052</v>
      </c>
      <c r="Z9" s="176" t="s">
        <v>1014</v>
      </c>
      <c r="AA9" s="182" t="s">
        <v>1015</v>
      </c>
      <c r="AB9" s="176" t="s">
        <v>56</v>
      </c>
      <c r="AC9" s="176" t="s">
        <v>236</v>
      </c>
      <c r="AD9" s="176" t="s">
        <v>256</v>
      </c>
      <c r="AE9" s="183">
        <v>-300</v>
      </c>
      <c r="AF9" s="175" t="s">
        <v>70</v>
      </c>
      <c r="AG9" s="175" t="s">
        <v>71</v>
      </c>
      <c r="AH9" s="175" t="s">
        <v>72</v>
      </c>
      <c r="AI9" s="175" t="s">
        <v>991</v>
      </c>
    </row>
    <row r="10" spans="1:35" x14ac:dyDescent="0.25">
      <c r="A10" s="170">
        <v>799</v>
      </c>
      <c r="B10" s="171" t="s">
        <v>36</v>
      </c>
      <c r="C10" s="172" t="s">
        <v>37</v>
      </c>
      <c r="D10" s="172" t="s">
        <v>36</v>
      </c>
      <c r="E10" s="172" t="s">
        <v>38</v>
      </c>
      <c r="F10" s="172" t="s">
        <v>39</v>
      </c>
      <c r="G10" s="172" t="s">
        <v>40</v>
      </c>
      <c r="H10" s="173" t="s">
        <v>41</v>
      </c>
      <c r="I10" s="172" t="s">
        <v>42</v>
      </c>
      <c r="J10" s="172" t="s">
        <v>43</v>
      </c>
      <c r="K10" s="172" t="s">
        <v>44</v>
      </c>
      <c r="L10" s="174" t="s">
        <v>45</v>
      </c>
      <c r="M10" s="174" t="s">
        <v>46</v>
      </c>
      <c r="N10" s="174" t="s">
        <v>47</v>
      </c>
      <c r="O10" s="173" t="s">
        <v>229</v>
      </c>
      <c r="P10" s="173" t="s">
        <v>230</v>
      </c>
      <c r="Q10" s="175" t="s">
        <v>231</v>
      </c>
      <c r="R10" s="176" t="s">
        <v>207</v>
      </c>
      <c r="S10" s="173" t="s">
        <v>1016</v>
      </c>
      <c r="T10" s="177">
        <v>920</v>
      </c>
      <c r="U10" s="177">
        <v>-9.1999999999999993</v>
      </c>
      <c r="V10" s="178">
        <v>-9.1999999999999993</v>
      </c>
      <c r="W10" s="179" t="s">
        <v>1017</v>
      </c>
      <c r="X10" s="181">
        <v>46054</v>
      </c>
      <c r="Y10" s="181">
        <v>46063</v>
      </c>
      <c r="Z10" s="176" t="s">
        <v>1018</v>
      </c>
      <c r="AA10" s="182" t="s">
        <v>1019</v>
      </c>
      <c r="AB10" s="176" t="s">
        <v>56</v>
      </c>
      <c r="AC10" s="176" t="s">
        <v>236</v>
      </c>
      <c r="AD10" s="176" t="s">
        <v>256</v>
      </c>
      <c r="AE10" s="183">
        <v>-9.1999999999999993</v>
      </c>
      <c r="AF10" s="175" t="s">
        <v>237</v>
      </c>
      <c r="AG10" s="175" t="s">
        <v>238</v>
      </c>
      <c r="AH10" s="175" t="s">
        <v>102</v>
      </c>
      <c r="AI10" s="175" t="s">
        <v>1020</v>
      </c>
    </row>
    <row r="11" spans="1:35" x14ac:dyDescent="0.25">
      <c r="A11" s="170">
        <v>1089</v>
      </c>
      <c r="B11" s="171" t="s">
        <v>36</v>
      </c>
      <c r="C11" s="172" t="s">
        <v>37</v>
      </c>
      <c r="D11" s="172" t="s">
        <v>36</v>
      </c>
      <c r="E11" s="172" t="s">
        <v>38</v>
      </c>
      <c r="F11" s="172" t="s">
        <v>39</v>
      </c>
      <c r="G11" s="172" t="s">
        <v>40</v>
      </c>
      <c r="H11" s="173" t="s">
        <v>41</v>
      </c>
      <c r="I11" s="172" t="s">
        <v>42</v>
      </c>
      <c r="J11" s="172" t="s">
        <v>43</v>
      </c>
      <c r="K11" s="172" t="s">
        <v>44</v>
      </c>
      <c r="L11" s="174" t="s">
        <v>45</v>
      </c>
      <c r="M11" s="174" t="s">
        <v>46</v>
      </c>
      <c r="N11" s="174" t="s">
        <v>47</v>
      </c>
      <c r="O11" s="173" t="s">
        <v>984</v>
      </c>
      <c r="P11" s="173" t="s">
        <v>985</v>
      </c>
      <c r="Q11" s="175" t="s">
        <v>986</v>
      </c>
      <c r="R11" s="176" t="s">
        <v>207</v>
      </c>
      <c r="S11" s="173" t="s">
        <v>1021</v>
      </c>
      <c r="T11" s="177">
        <v>1155.32</v>
      </c>
      <c r="U11" s="177">
        <v>-33.04</v>
      </c>
      <c r="V11" s="178">
        <v>-33.04</v>
      </c>
      <c r="W11" s="179" t="s">
        <v>1022</v>
      </c>
      <c r="X11" s="181">
        <v>46055</v>
      </c>
      <c r="Y11" s="181">
        <v>46069</v>
      </c>
      <c r="Z11" s="176" t="s">
        <v>234</v>
      </c>
      <c r="AA11" s="182" t="s">
        <v>235</v>
      </c>
      <c r="AB11" s="176" t="s">
        <v>56</v>
      </c>
      <c r="AC11" s="176" t="s">
        <v>236</v>
      </c>
      <c r="AD11" s="176" t="s">
        <v>256</v>
      </c>
      <c r="AE11" s="183">
        <v>-33.04</v>
      </c>
      <c r="AF11" s="175" t="s">
        <v>989</v>
      </c>
      <c r="AG11" s="175" t="s">
        <v>990</v>
      </c>
      <c r="AH11" s="175" t="s">
        <v>201</v>
      </c>
      <c r="AI11" s="175" t="s">
        <v>991</v>
      </c>
    </row>
    <row r="12" spans="1:35" x14ac:dyDescent="0.25">
      <c r="A12" s="170">
        <v>1136</v>
      </c>
      <c r="B12" s="171" t="s">
        <v>36</v>
      </c>
      <c r="C12" s="172" t="s">
        <v>37</v>
      </c>
      <c r="D12" s="172" t="s">
        <v>36</v>
      </c>
      <c r="E12" s="172" t="s">
        <v>38</v>
      </c>
      <c r="F12" s="172" t="s">
        <v>39</v>
      </c>
      <c r="G12" s="172" t="s">
        <v>40</v>
      </c>
      <c r="H12" s="173" t="s">
        <v>41</v>
      </c>
      <c r="I12" s="172" t="s">
        <v>42</v>
      </c>
      <c r="J12" s="172" t="s">
        <v>43</v>
      </c>
      <c r="K12" s="172" t="s">
        <v>44</v>
      </c>
      <c r="L12" s="174" t="s">
        <v>45</v>
      </c>
      <c r="M12" s="174" t="s">
        <v>46</v>
      </c>
      <c r="N12" s="174" t="s">
        <v>47</v>
      </c>
      <c r="O12" s="173" t="s">
        <v>63</v>
      </c>
      <c r="P12" s="173" t="s">
        <v>64</v>
      </c>
      <c r="Q12" s="175" t="s">
        <v>65</v>
      </c>
      <c r="R12" s="176" t="s">
        <v>51</v>
      </c>
      <c r="S12" s="173" t="s">
        <v>1023</v>
      </c>
      <c r="T12" s="177">
        <v>2376.5</v>
      </c>
      <c r="U12" s="177">
        <v>-2376.5</v>
      </c>
      <c r="V12" s="178">
        <v>-2376.5</v>
      </c>
      <c r="W12" s="179" t="s">
        <v>1024</v>
      </c>
      <c r="X12" s="181">
        <v>46059</v>
      </c>
      <c r="Y12" s="181">
        <v>46068</v>
      </c>
      <c r="Z12" s="176" t="s">
        <v>130</v>
      </c>
      <c r="AA12" s="182" t="s">
        <v>131</v>
      </c>
      <c r="AB12" s="176" t="s">
        <v>56</v>
      </c>
      <c r="AC12" s="176" t="s">
        <v>236</v>
      </c>
      <c r="AD12" s="176" t="s">
        <v>256</v>
      </c>
      <c r="AE12" s="183">
        <v>-2376.5</v>
      </c>
      <c r="AF12" s="175" t="s">
        <v>70</v>
      </c>
      <c r="AG12" s="175" t="s">
        <v>71</v>
      </c>
      <c r="AH12" s="175" t="s">
        <v>72</v>
      </c>
      <c r="AI12" s="175" t="s">
        <v>991</v>
      </c>
    </row>
    <row r="13" spans="1:35" x14ac:dyDescent="0.25">
      <c r="A13" s="170">
        <v>1404</v>
      </c>
      <c r="B13" s="171" t="s">
        <v>36</v>
      </c>
      <c r="C13" s="172" t="s">
        <v>37</v>
      </c>
      <c r="D13" s="172" t="s">
        <v>36</v>
      </c>
      <c r="E13" s="172" t="s">
        <v>38</v>
      </c>
      <c r="F13" s="172" t="s">
        <v>39</v>
      </c>
      <c r="G13" s="172" t="s">
        <v>40</v>
      </c>
      <c r="H13" s="173" t="s">
        <v>41</v>
      </c>
      <c r="I13" s="172" t="s">
        <v>42</v>
      </c>
      <c r="J13" s="172" t="s">
        <v>43</v>
      </c>
      <c r="K13" s="172" t="s">
        <v>44</v>
      </c>
      <c r="L13" s="174" t="s">
        <v>45</v>
      </c>
      <c r="M13" s="174" t="s">
        <v>46</v>
      </c>
      <c r="N13" s="174" t="s">
        <v>47</v>
      </c>
      <c r="O13" s="173" t="s">
        <v>63</v>
      </c>
      <c r="P13" s="173" t="s">
        <v>64</v>
      </c>
      <c r="Q13" s="175" t="s">
        <v>65</v>
      </c>
      <c r="R13" s="176" t="s">
        <v>51</v>
      </c>
      <c r="S13" s="173" t="s">
        <v>1025</v>
      </c>
      <c r="T13" s="177">
        <v>1020</v>
      </c>
      <c r="U13" s="177">
        <v>-1020</v>
      </c>
      <c r="V13" s="178">
        <v>-1020</v>
      </c>
      <c r="W13" s="179" t="s">
        <v>1026</v>
      </c>
      <c r="X13" s="181">
        <v>46072</v>
      </c>
      <c r="Y13" s="181">
        <v>46078</v>
      </c>
      <c r="Z13" s="176" t="s">
        <v>140</v>
      </c>
      <c r="AA13" s="182" t="s">
        <v>141</v>
      </c>
      <c r="AB13" s="176" t="s">
        <v>56</v>
      </c>
      <c r="AC13" s="176" t="s">
        <v>236</v>
      </c>
      <c r="AD13" s="176" t="s">
        <v>256</v>
      </c>
      <c r="AE13" s="183">
        <v>-1020</v>
      </c>
      <c r="AF13" s="175" t="s">
        <v>70</v>
      </c>
      <c r="AG13" s="175" t="s">
        <v>71</v>
      </c>
      <c r="AH13" s="175" t="s">
        <v>72</v>
      </c>
      <c r="AI13" s="175" t="s">
        <v>991</v>
      </c>
    </row>
    <row r="14" spans="1:35" x14ac:dyDescent="0.25">
      <c r="A14" s="170">
        <v>1418</v>
      </c>
      <c r="B14" s="171" t="s">
        <v>36</v>
      </c>
      <c r="C14" s="172" t="s">
        <v>37</v>
      </c>
      <c r="D14" s="172" t="s">
        <v>36</v>
      </c>
      <c r="E14" s="172" t="s">
        <v>38</v>
      </c>
      <c r="F14" s="172" t="s">
        <v>39</v>
      </c>
      <c r="G14" s="172" t="s">
        <v>40</v>
      </c>
      <c r="H14" s="173" t="s">
        <v>41</v>
      </c>
      <c r="I14" s="172" t="s">
        <v>42</v>
      </c>
      <c r="J14" s="172" t="s">
        <v>43</v>
      </c>
      <c r="K14" s="172" t="s">
        <v>44</v>
      </c>
      <c r="L14" s="174" t="s">
        <v>45</v>
      </c>
      <c r="M14" s="174" t="s">
        <v>46</v>
      </c>
      <c r="N14" s="174" t="s">
        <v>47</v>
      </c>
      <c r="O14" s="173" t="s">
        <v>83</v>
      </c>
      <c r="P14" s="173" t="s">
        <v>84</v>
      </c>
      <c r="Q14" s="175" t="s">
        <v>85</v>
      </c>
      <c r="R14" s="176" t="s">
        <v>51</v>
      </c>
      <c r="S14" s="173" t="s">
        <v>1027</v>
      </c>
      <c r="T14" s="177">
        <v>579.54</v>
      </c>
      <c r="U14" s="177">
        <v>-82.79</v>
      </c>
      <c r="V14" s="178">
        <v>-82.79</v>
      </c>
      <c r="W14" s="179" t="s">
        <v>1028</v>
      </c>
      <c r="X14" s="181">
        <v>46077</v>
      </c>
      <c r="Y14" s="181">
        <v>46078</v>
      </c>
      <c r="Z14" s="176" t="s">
        <v>88</v>
      </c>
      <c r="AA14" s="182" t="s">
        <v>55</v>
      </c>
      <c r="AB14" s="176" t="s">
        <v>56</v>
      </c>
      <c r="AC14" s="176" t="s">
        <v>236</v>
      </c>
      <c r="AD14" s="176" t="s">
        <v>256</v>
      </c>
      <c r="AE14" s="183">
        <v>-82.79</v>
      </c>
      <c r="AF14" s="175" t="s">
        <v>89</v>
      </c>
      <c r="AG14" s="175" t="s">
        <v>61</v>
      </c>
      <c r="AH14" s="175" t="s">
        <v>72</v>
      </c>
      <c r="AI14" s="175" t="s">
        <v>991</v>
      </c>
    </row>
    <row r="15" spans="1:35" x14ac:dyDescent="0.25">
      <c r="A15" s="170">
        <v>1428</v>
      </c>
      <c r="B15" s="171" t="s">
        <v>36</v>
      </c>
      <c r="C15" s="172" t="s">
        <v>37</v>
      </c>
      <c r="D15" s="172" t="s">
        <v>36</v>
      </c>
      <c r="E15" s="172" t="s">
        <v>38</v>
      </c>
      <c r="F15" s="172" t="s">
        <v>39</v>
      </c>
      <c r="G15" s="172" t="s">
        <v>40</v>
      </c>
      <c r="H15" s="173" t="s">
        <v>41</v>
      </c>
      <c r="I15" s="172" t="s">
        <v>42</v>
      </c>
      <c r="J15" s="172" t="s">
        <v>43</v>
      </c>
      <c r="K15" s="172" t="s">
        <v>44</v>
      </c>
      <c r="L15" s="174" t="s">
        <v>45</v>
      </c>
      <c r="M15" s="174" t="s">
        <v>46</v>
      </c>
      <c r="N15" s="174" t="s">
        <v>47</v>
      </c>
      <c r="O15" s="173" t="s">
        <v>63</v>
      </c>
      <c r="P15" s="173" t="s">
        <v>64</v>
      </c>
      <c r="Q15" s="175" t="s">
        <v>65</v>
      </c>
      <c r="R15" s="176" t="s">
        <v>51</v>
      </c>
      <c r="S15" s="173" t="s">
        <v>1029</v>
      </c>
      <c r="T15" s="177">
        <v>3890</v>
      </c>
      <c r="U15" s="177">
        <v>-3890</v>
      </c>
      <c r="V15" s="178">
        <v>-3890</v>
      </c>
      <c r="W15" s="179" t="s">
        <v>1030</v>
      </c>
      <c r="X15" s="181">
        <v>46044</v>
      </c>
      <c r="Y15" s="181">
        <v>46078</v>
      </c>
      <c r="Z15" s="176" t="s">
        <v>75</v>
      </c>
      <c r="AA15" s="182" t="s">
        <v>76</v>
      </c>
      <c r="AB15" s="176" t="s">
        <v>56</v>
      </c>
      <c r="AC15" s="176" t="s">
        <v>236</v>
      </c>
      <c r="AD15" s="176" t="s">
        <v>256</v>
      </c>
      <c r="AE15" s="183">
        <v>-3890</v>
      </c>
      <c r="AF15" s="175" t="s">
        <v>70</v>
      </c>
      <c r="AG15" s="175" t="s">
        <v>71</v>
      </c>
      <c r="AH15" s="175" t="s">
        <v>72</v>
      </c>
      <c r="AI15" s="175" t="s">
        <v>991</v>
      </c>
    </row>
    <row r="16" spans="1:35" x14ac:dyDescent="0.25">
      <c r="A16" s="170">
        <v>1430</v>
      </c>
      <c r="B16" s="171" t="s">
        <v>36</v>
      </c>
      <c r="C16" s="172" t="s">
        <v>37</v>
      </c>
      <c r="D16" s="172" t="s">
        <v>36</v>
      </c>
      <c r="E16" s="172" t="s">
        <v>38</v>
      </c>
      <c r="F16" s="172" t="s">
        <v>39</v>
      </c>
      <c r="G16" s="172" t="s">
        <v>40</v>
      </c>
      <c r="H16" s="173" t="s">
        <v>41</v>
      </c>
      <c r="I16" s="172" t="s">
        <v>42</v>
      </c>
      <c r="J16" s="172" t="s">
        <v>43</v>
      </c>
      <c r="K16" s="172" t="s">
        <v>44</v>
      </c>
      <c r="L16" s="174" t="s">
        <v>45</v>
      </c>
      <c r="M16" s="174" t="s">
        <v>46</v>
      </c>
      <c r="N16" s="174" t="s">
        <v>47</v>
      </c>
      <c r="O16" s="173" t="s">
        <v>63</v>
      </c>
      <c r="P16" s="173" t="s">
        <v>64</v>
      </c>
      <c r="Q16" s="175" t="s">
        <v>65</v>
      </c>
      <c r="R16" s="176" t="s">
        <v>51</v>
      </c>
      <c r="S16" s="173" t="s">
        <v>1031</v>
      </c>
      <c r="T16" s="177">
        <v>12900</v>
      </c>
      <c r="U16" s="177">
        <v>-1505</v>
      </c>
      <c r="V16" s="178">
        <v>-1505</v>
      </c>
      <c r="W16" s="179" t="s">
        <v>1032</v>
      </c>
      <c r="X16" s="181">
        <v>46048</v>
      </c>
      <c r="Y16" s="181">
        <v>46078</v>
      </c>
      <c r="Z16" s="176" t="s">
        <v>1033</v>
      </c>
      <c r="AA16" s="182" t="s">
        <v>1034</v>
      </c>
      <c r="AB16" s="176" t="s">
        <v>56</v>
      </c>
      <c r="AC16" s="176" t="s">
        <v>236</v>
      </c>
      <c r="AD16" s="176" t="s">
        <v>256</v>
      </c>
      <c r="AE16" s="183">
        <v>-1505</v>
      </c>
      <c r="AF16" s="175" t="s">
        <v>70</v>
      </c>
      <c r="AG16" s="175" t="s">
        <v>71</v>
      </c>
      <c r="AH16" s="175" t="s">
        <v>72</v>
      </c>
      <c r="AI16" s="175" t="s">
        <v>991</v>
      </c>
    </row>
    <row r="17" spans="1:35" x14ac:dyDescent="0.25">
      <c r="A17" s="170">
        <v>1682</v>
      </c>
      <c r="B17" s="173" t="s">
        <v>36</v>
      </c>
      <c r="C17" s="172" t="s">
        <v>37</v>
      </c>
      <c r="D17" s="172" t="s">
        <v>36</v>
      </c>
      <c r="E17" s="172" t="s">
        <v>38</v>
      </c>
      <c r="F17" s="172" t="s">
        <v>39</v>
      </c>
      <c r="G17" s="172" t="s">
        <v>40</v>
      </c>
      <c r="H17" s="173" t="s">
        <v>41</v>
      </c>
      <c r="I17" s="172" t="s">
        <v>42</v>
      </c>
      <c r="J17" s="172" t="s">
        <v>43</v>
      </c>
      <c r="K17" s="172" t="s">
        <v>44</v>
      </c>
      <c r="L17" s="174" t="s">
        <v>45</v>
      </c>
      <c r="M17" s="174" t="s">
        <v>46</v>
      </c>
      <c r="N17" s="174" t="s">
        <v>47</v>
      </c>
      <c r="O17" s="173" t="s">
        <v>63</v>
      </c>
      <c r="P17" s="173" t="s">
        <v>64</v>
      </c>
      <c r="Q17" s="175" t="s">
        <v>65</v>
      </c>
      <c r="R17" s="176" t="s">
        <v>51</v>
      </c>
      <c r="S17" s="173" t="s">
        <v>1035</v>
      </c>
      <c r="T17" s="177">
        <v>3205</v>
      </c>
      <c r="U17" s="177">
        <v>-3205</v>
      </c>
      <c r="V17" s="178">
        <v>-3205</v>
      </c>
      <c r="W17" s="179" t="s">
        <v>1036</v>
      </c>
      <c r="X17" s="181">
        <v>46058</v>
      </c>
      <c r="Y17" s="181">
        <v>46086</v>
      </c>
      <c r="Z17" s="176" t="s">
        <v>504</v>
      </c>
      <c r="AA17" s="182" t="s">
        <v>505</v>
      </c>
      <c r="AB17" s="176" t="s">
        <v>56</v>
      </c>
      <c r="AC17" s="173" t="s">
        <v>236</v>
      </c>
      <c r="AD17" s="176" t="s">
        <v>256</v>
      </c>
      <c r="AE17" s="183">
        <v>-3205</v>
      </c>
      <c r="AF17" s="175" t="s">
        <v>70</v>
      </c>
      <c r="AG17" s="175" t="s">
        <v>71</v>
      </c>
      <c r="AH17" s="175" t="s">
        <v>72</v>
      </c>
      <c r="AI17" s="175" t="s">
        <v>991</v>
      </c>
    </row>
    <row r="18" spans="1:35" x14ac:dyDescent="0.25">
      <c r="A18" s="170">
        <v>1693</v>
      </c>
      <c r="B18" s="173" t="s">
        <v>36</v>
      </c>
      <c r="C18" s="172" t="s">
        <v>37</v>
      </c>
      <c r="D18" s="172" t="s">
        <v>36</v>
      </c>
      <c r="E18" s="172" t="s">
        <v>38</v>
      </c>
      <c r="F18" s="172" t="s">
        <v>39</v>
      </c>
      <c r="G18" s="172" t="s">
        <v>40</v>
      </c>
      <c r="H18" s="173" t="s">
        <v>41</v>
      </c>
      <c r="I18" s="172" t="s">
        <v>42</v>
      </c>
      <c r="J18" s="172" t="s">
        <v>43</v>
      </c>
      <c r="K18" s="172" t="s">
        <v>44</v>
      </c>
      <c r="L18" s="174" t="s">
        <v>45</v>
      </c>
      <c r="M18" s="174" t="s">
        <v>46</v>
      </c>
      <c r="N18" s="174" t="s">
        <v>47</v>
      </c>
      <c r="O18" s="173" t="s">
        <v>63</v>
      </c>
      <c r="P18" s="173" t="s">
        <v>64</v>
      </c>
      <c r="Q18" s="175" t="s">
        <v>65</v>
      </c>
      <c r="R18" s="176" t="s">
        <v>51</v>
      </c>
      <c r="S18" s="173" t="s">
        <v>1037</v>
      </c>
      <c r="T18" s="177">
        <v>300</v>
      </c>
      <c r="U18" s="177">
        <v>-300</v>
      </c>
      <c r="V18" s="178">
        <v>-300</v>
      </c>
      <c r="W18" s="179" t="s">
        <v>1038</v>
      </c>
      <c r="X18" s="181">
        <v>46079</v>
      </c>
      <c r="Y18" s="181">
        <v>46086</v>
      </c>
      <c r="Z18" s="176" t="s">
        <v>1039</v>
      </c>
      <c r="AA18" s="182" t="s">
        <v>1040</v>
      </c>
      <c r="AB18" s="176" t="s">
        <v>56</v>
      </c>
      <c r="AC18" s="173" t="s">
        <v>236</v>
      </c>
      <c r="AD18" s="176" t="s">
        <v>256</v>
      </c>
      <c r="AE18" s="183">
        <v>-300</v>
      </c>
      <c r="AF18" s="175" t="s">
        <v>70</v>
      </c>
      <c r="AG18" s="175" t="s">
        <v>71</v>
      </c>
      <c r="AH18" s="175" t="s">
        <v>72</v>
      </c>
      <c r="AI18" s="175" t="s">
        <v>991</v>
      </c>
    </row>
    <row r="19" spans="1:35" x14ac:dyDescent="0.25">
      <c r="A19" s="170">
        <v>1805</v>
      </c>
      <c r="B19" s="173" t="s">
        <v>36</v>
      </c>
      <c r="C19" s="172" t="s">
        <v>37</v>
      </c>
      <c r="D19" s="172" t="s">
        <v>36</v>
      </c>
      <c r="E19" s="172" t="s">
        <v>38</v>
      </c>
      <c r="F19" s="172" t="s">
        <v>39</v>
      </c>
      <c r="G19" s="172" t="s">
        <v>40</v>
      </c>
      <c r="H19" s="173" t="s">
        <v>41</v>
      </c>
      <c r="I19" s="172" t="s">
        <v>42</v>
      </c>
      <c r="J19" s="172" t="s">
        <v>43</v>
      </c>
      <c r="K19" s="172" t="s">
        <v>44</v>
      </c>
      <c r="L19" s="174" t="s">
        <v>45</v>
      </c>
      <c r="M19" s="174" t="s">
        <v>46</v>
      </c>
      <c r="N19" s="174" t="s">
        <v>47</v>
      </c>
      <c r="O19" s="173" t="s">
        <v>334</v>
      </c>
      <c r="P19" s="173" t="s">
        <v>335</v>
      </c>
      <c r="Q19" s="175" t="s">
        <v>336</v>
      </c>
      <c r="R19" s="176" t="s">
        <v>207</v>
      </c>
      <c r="S19" s="173" t="s">
        <v>1041</v>
      </c>
      <c r="T19" s="177">
        <v>4137.82</v>
      </c>
      <c r="U19" s="177">
        <v>-84.99</v>
      </c>
      <c r="V19" s="178">
        <v>-84.99</v>
      </c>
      <c r="W19" s="179" t="s">
        <v>1042</v>
      </c>
      <c r="X19" s="184">
        <v>46080</v>
      </c>
      <c r="Y19" s="181">
        <v>46080</v>
      </c>
      <c r="Z19" s="176" t="s">
        <v>257</v>
      </c>
      <c r="AA19" s="182" t="s">
        <v>258</v>
      </c>
      <c r="AB19" s="176" t="s">
        <v>56</v>
      </c>
      <c r="AC19" s="173" t="s">
        <v>236</v>
      </c>
      <c r="AD19" s="176" t="s">
        <v>256</v>
      </c>
      <c r="AE19" s="183">
        <v>-84.99</v>
      </c>
      <c r="AF19" s="175" t="s">
        <v>341</v>
      </c>
      <c r="AG19" s="175" t="s">
        <v>238</v>
      </c>
      <c r="AH19" s="175" t="s">
        <v>201</v>
      </c>
      <c r="AI19" s="175" t="s">
        <v>991</v>
      </c>
    </row>
    <row r="20" spans="1:35" x14ac:dyDescent="0.25">
      <c r="A20" s="170">
        <v>1806</v>
      </c>
      <c r="B20" s="173" t="s">
        <v>36</v>
      </c>
      <c r="C20" s="172" t="s">
        <v>37</v>
      </c>
      <c r="D20" s="172" t="s">
        <v>36</v>
      </c>
      <c r="E20" s="172" t="s">
        <v>38</v>
      </c>
      <c r="F20" s="172" t="s">
        <v>39</v>
      </c>
      <c r="G20" s="173" t="s">
        <v>40</v>
      </c>
      <c r="H20" s="173" t="s">
        <v>41</v>
      </c>
      <c r="I20" s="172" t="s">
        <v>42</v>
      </c>
      <c r="J20" s="172" t="s">
        <v>43</v>
      </c>
      <c r="K20" s="172" t="s">
        <v>44</v>
      </c>
      <c r="L20" s="174" t="s">
        <v>45</v>
      </c>
      <c r="M20" s="174" t="s">
        <v>46</v>
      </c>
      <c r="N20" s="174" t="s">
        <v>47</v>
      </c>
      <c r="O20" s="173" t="s">
        <v>192</v>
      </c>
      <c r="P20" s="173" t="s">
        <v>193</v>
      </c>
      <c r="Q20" s="175" t="s">
        <v>194</v>
      </c>
      <c r="R20" s="176" t="s">
        <v>207</v>
      </c>
      <c r="S20" s="173" t="s">
        <v>1041</v>
      </c>
      <c r="T20" s="177">
        <v>4137.82</v>
      </c>
      <c r="U20" s="177">
        <v>-272.66000000000003</v>
      </c>
      <c r="V20" s="178">
        <v>-272.66000000000003</v>
      </c>
      <c r="W20" s="179" t="s">
        <v>1042</v>
      </c>
      <c r="X20" s="184">
        <v>46080</v>
      </c>
      <c r="Y20" s="181">
        <v>46080</v>
      </c>
      <c r="Z20" s="176" t="s">
        <v>257</v>
      </c>
      <c r="AA20" s="182" t="s">
        <v>258</v>
      </c>
      <c r="AB20" s="176" t="s">
        <v>56</v>
      </c>
      <c r="AC20" s="173" t="s">
        <v>236</v>
      </c>
      <c r="AD20" s="176" t="s">
        <v>256</v>
      </c>
      <c r="AE20" s="183">
        <v>-272.66000000000003</v>
      </c>
      <c r="AF20" s="175" t="s">
        <v>199</v>
      </c>
      <c r="AG20" s="175" t="s">
        <v>200</v>
      </c>
      <c r="AH20" s="175" t="s">
        <v>201</v>
      </c>
      <c r="AI20" s="175" t="s">
        <v>991</v>
      </c>
    </row>
    <row r="21" spans="1:35" x14ac:dyDescent="0.25">
      <c r="A21" s="170">
        <v>1807</v>
      </c>
      <c r="B21" s="173" t="s">
        <v>36</v>
      </c>
      <c r="C21" s="172" t="s">
        <v>37</v>
      </c>
      <c r="D21" s="172" t="s">
        <v>36</v>
      </c>
      <c r="E21" s="172" t="s">
        <v>38</v>
      </c>
      <c r="F21" s="172" t="s">
        <v>39</v>
      </c>
      <c r="G21" s="173" t="s">
        <v>40</v>
      </c>
      <c r="H21" s="173" t="s">
        <v>41</v>
      </c>
      <c r="I21" s="172" t="s">
        <v>42</v>
      </c>
      <c r="J21" s="172" t="s">
        <v>43</v>
      </c>
      <c r="K21" s="172" t="s">
        <v>44</v>
      </c>
      <c r="L21" s="174" t="s">
        <v>45</v>
      </c>
      <c r="M21" s="174" t="s">
        <v>46</v>
      </c>
      <c r="N21" s="174" t="s">
        <v>47</v>
      </c>
      <c r="O21" s="173" t="s">
        <v>204</v>
      </c>
      <c r="P21" s="173" t="s">
        <v>205</v>
      </c>
      <c r="Q21" s="175" t="s">
        <v>206</v>
      </c>
      <c r="R21" s="176" t="s">
        <v>207</v>
      </c>
      <c r="S21" s="173" t="s">
        <v>1041</v>
      </c>
      <c r="T21" s="177">
        <v>4137.82</v>
      </c>
      <c r="U21" s="177">
        <v>-108.66</v>
      </c>
      <c r="V21" s="178">
        <v>-108.66</v>
      </c>
      <c r="W21" s="179" t="s">
        <v>1042</v>
      </c>
      <c r="X21" s="184">
        <v>46080</v>
      </c>
      <c r="Y21" s="181">
        <v>46080</v>
      </c>
      <c r="Z21" s="176" t="s">
        <v>257</v>
      </c>
      <c r="AA21" s="182" t="s">
        <v>258</v>
      </c>
      <c r="AB21" s="176" t="s">
        <v>56</v>
      </c>
      <c r="AC21" s="173" t="s">
        <v>236</v>
      </c>
      <c r="AD21" s="176" t="s">
        <v>256</v>
      </c>
      <c r="AE21" s="183">
        <v>-108.66</v>
      </c>
      <c r="AF21" s="175" t="s">
        <v>212</v>
      </c>
      <c r="AG21" s="175" t="s">
        <v>101</v>
      </c>
      <c r="AH21" s="175" t="s">
        <v>201</v>
      </c>
      <c r="AI21" s="175" t="s">
        <v>991</v>
      </c>
    </row>
    <row r="22" spans="1:35" x14ac:dyDescent="0.25">
      <c r="A22" s="170">
        <v>1808</v>
      </c>
      <c r="B22" s="173" t="s">
        <v>36</v>
      </c>
      <c r="C22" s="172" t="s">
        <v>37</v>
      </c>
      <c r="D22" s="172" t="s">
        <v>36</v>
      </c>
      <c r="E22" s="172" t="s">
        <v>38</v>
      </c>
      <c r="F22" s="172" t="s">
        <v>39</v>
      </c>
      <c r="G22" s="173" t="s">
        <v>40</v>
      </c>
      <c r="H22" s="173" t="s">
        <v>41</v>
      </c>
      <c r="I22" s="172" t="s">
        <v>42</v>
      </c>
      <c r="J22" s="172" t="s">
        <v>43</v>
      </c>
      <c r="K22" s="172" t="s">
        <v>44</v>
      </c>
      <c r="L22" s="174" t="s">
        <v>45</v>
      </c>
      <c r="M22" s="174" t="s">
        <v>46</v>
      </c>
      <c r="N22" s="174" t="s">
        <v>47</v>
      </c>
      <c r="O22" s="173" t="s">
        <v>251</v>
      </c>
      <c r="P22" s="173" t="s">
        <v>252</v>
      </c>
      <c r="Q22" s="175" t="s">
        <v>253</v>
      </c>
      <c r="R22" s="176" t="s">
        <v>207</v>
      </c>
      <c r="S22" s="173" t="s">
        <v>1041</v>
      </c>
      <c r="T22" s="177">
        <v>4137.82</v>
      </c>
      <c r="U22" s="177">
        <v>-1300</v>
      </c>
      <c r="V22" s="178">
        <v>-1300</v>
      </c>
      <c r="W22" s="179" t="s">
        <v>1042</v>
      </c>
      <c r="X22" s="184">
        <v>46080</v>
      </c>
      <c r="Y22" s="181">
        <v>46080</v>
      </c>
      <c r="Z22" s="176" t="s">
        <v>257</v>
      </c>
      <c r="AA22" s="182" t="s">
        <v>258</v>
      </c>
      <c r="AB22" s="176" t="s">
        <v>56</v>
      </c>
      <c r="AC22" s="173" t="s">
        <v>236</v>
      </c>
      <c r="AD22" s="176" t="s">
        <v>256</v>
      </c>
      <c r="AE22" s="183">
        <v>-1300</v>
      </c>
      <c r="AF22" s="175" t="s">
        <v>259</v>
      </c>
      <c r="AG22" s="175" t="s">
        <v>61</v>
      </c>
      <c r="AH22" s="175" t="s">
        <v>62</v>
      </c>
      <c r="AI22" s="175" t="s">
        <v>1020</v>
      </c>
    </row>
    <row r="23" spans="1:35" x14ac:dyDescent="0.25">
      <c r="A23" s="170">
        <v>1809</v>
      </c>
      <c r="B23" s="173" t="s">
        <v>36</v>
      </c>
      <c r="C23" s="172" t="s">
        <v>37</v>
      </c>
      <c r="D23" s="172" t="s">
        <v>36</v>
      </c>
      <c r="E23" s="172" t="s">
        <v>38</v>
      </c>
      <c r="F23" s="172" t="s">
        <v>39</v>
      </c>
      <c r="G23" s="172" t="s">
        <v>40</v>
      </c>
      <c r="H23" s="173" t="s">
        <v>41</v>
      </c>
      <c r="I23" s="172" t="s">
        <v>42</v>
      </c>
      <c r="J23" s="172" t="s">
        <v>43</v>
      </c>
      <c r="K23" s="172" t="s">
        <v>44</v>
      </c>
      <c r="L23" s="174" t="s">
        <v>45</v>
      </c>
      <c r="M23" s="174" t="s">
        <v>46</v>
      </c>
      <c r="N23" s="174" t="s">
        <v>47</v>
      </c>
      <c r="O23" s="173" t="s">
        <v>262</v>
      </c>
      <c r="P23" s="173" t="s">
        <v>263</v>
      </c>
      <c r="Q23" s="175" t="s">
        <v>264</v>
      </c>
      <c r="R23" s="176" t="s">
        <v>207</v>
      </c>
      <c r="S23" s="173" t="s">
        <v>1041</v>
      </c>
      <c r="T23" s="177">
        <v>4137.82</v>
      </c>
      <c r="U23" s="177">
        <v>-302.60000000000002</v>
      </c>
      <c r="V23" s="178">
        <v>-302.60000000000002</v>
      </c>
      <c r="W23" s="179" t="s">
        <v>1042</v>
      </c>
      <c r="X23" s="184">
        <v>46080</v>
      </c>
      <c r="Y23" s="181">
        <v>46080</v>
      </c>
      <c r="Z23" s="176" t="s">
        <v>257</v>
      </c>
      <c r="AA23" s="182" t="s">
        <v>258</v>
      </c>
      <c r="AB23" s="176" t="s">
        <v>56</v>
      </c>
      <c r="AC23" s="173" t="s">
        <v>236</v>
      </c>
      <c r="AD23" s="176" t="s">
        <v>256</v>
      </c>
      <c r="AE23" s="183">
        <v>-302.60000000000002</v>
      </c>
      <c r="AF23" s="175" t="s">
        <v>265</v>
      </c>
      <c r="AG23" s="175" t="s">
        <v>61</v>
      </c>
      <c r="AH23" s="175" t="s">
        <v>72</v>
      </c>
      <c r="AI23" s="175" t="s">
        <v>991</v>
      </c>
    </row>
    <row r="24" spans="1:35" x14ac:dyDescent="0.25">
      <c r="A24" s="170">
        <v>1869</v>
      </c>
      <c r="B24" s="173" t="s">
        <v>36</v>
      </c>
      <c r="C24" s="172" t="s">
        <v>37</v>
      </c>
      <c r="D24" s="172" t="s">
        <v>36</v>
      </c>
      <c r="E24" s="172" t="s">
        <v>38</v>
      </c>
      <c r="F24" s="172" t="s">
        <v>39</v>
      </c>
      <c r="G24" s="172" t="s">
        <v>40</v>
      </c>
      <c r="H24" s="173" t="s">
        <v>41</v>
      </c>
      <c r="I24" s="172" t="s">
        <v>42</v>
      </c>
      <c r="J24" s="172" t="s">
        <v>43</v>
      </c>
      <c r="K24" s="172" t="s">
        <v>44</v>
      </c>
      <c r="L24" s="174" t="s">
        <v>45</v>
      </c>
      <c r="M24" s="174" t="s">
        <v>46</v>
      </c>
      <c r="N24" s="174" t="s">
        <v>47</v>
      </c>
      <c r="O24" s="173" t="s">
        <v>334</v>
      </c>
      <c r="P24" s="173" t="s">
        <v>335</v>
      </c>
      <c r="Q24" s="175" t="s">
        <v>336</v>
      </c>
      <c r="R24" s="176" t="s">
        <v>207</v>
      </c>
      <c r="S24" s="173" t="s">
        <v>1043</v>
      </c>
      <c r="T24" s="177">
        <v>1046.27</v>
      </c>
      <c r="U24" s="177">
        <v>-40.33</v>
      </c>
      <c r="V24" s="178">
        <v>-40.33</v>
      </c>
      <c r="W24" s="179" t="s">
        <v>1044</v>
      </c>
      <c r="X24" s="184">
        <v>46076</v>
      </c>
      <c r="Y24" s="181">
        <v>46076</v>
      </c>
      <c r="Z24" s="176" t="s">
        <v>1045</v>
      </c>
      <c r="AA24" s="182" t="s">
        <v>1046</v>
      </c>
      <c r="AB24" s="176" t="s">
        <v>56</v>
      </c>
      <c r="AC24" s="173" t="s">
        <v>236</v>
      </c>
      <c r="AD24" s="176" t="s">
        <v>256</v>
      </c>
      <c r="AE24" s="183">
        <v>-40.33</v>
      </c>
      <c r="AF24" s="175" t="s">
        <v>341</v>
      </c>
      <c r="AG24" s="175" t="s">
        <v>238</v>
      </c>
      <c r="AH24" s="175" t="s">
        <v>201</v>
      </c>
      <c r="AI24" s="175" t="s">
        <v>991</v>
      </c>
    </row>
    <row r="25" spans="1:35" x14ac:dyDescent="0.25">
      <c r="A25" s="170">
        <v>1870</v>
      </c>
      <c r="B25" s="173" t="s">
        <v>36</v>
      </c>
      <c r="C25" s="172" t="s">
        <v>37</v>
      </c>
      <c r="D25" s="172" t="s">
        <v>36</v>
      </c>
      <c r="E25" s="172" t="s">
        <v>38</v>
      </c>
      <c r="F25" s="172" t="s">
        <v>39</v>
      </c>
      <c r="G25" s="172" t="s">
        <v>40</v>
      </c>
      <c r="H25" s="173" t="s">
        <v>41</v>
      </c>
      <c r="I25" s="172" t="s">
        <v>42</v>
      </c>
      <c r="J25" s="172" t="s">
        <v>43</v>
      </c>
      <c r="K25" s="172" t="s">
        <v>44</v>
      </c>
      <c r="L25" s="174" t="s">
        <v>45</v>
      </c>
      <c r="M25" s="174" t="s">
        <v>46</v>
      </c>
      <c r="N25" s="174" t="s">
        <v>47</v>
      </c>
      <c r="O25" s="173" t="s">
        <v>192</v>
      </c>
      <c r="P25" s="173" t="s">
        <v>193</v>
      </c>
      <c r="Q25" s="175" t="s">
        <v>194</v>
      </c>
      <c r="R25" s="176" t="s">
        <v>207</v>
      </c>
      <c r="S25" s="173" t="s">
        <v>1043</v>
      </c>
      <c r="T25" s="177">
        <v>1046.27</v>
      </c>
      <c r="U25" s="177">
        <v>-49.48</v>
      </c>
      <c r="V25" s="178">
        <v>-49.48</v>
      </c>
      <c r="W25" s="179" t="s">
        <v>1044</v>
      </c>
      <c r="X25" s="184">
        <v>46076</v>
      </c>
      <c r="Y25" s="181">
        <v>46076</v>
      </c>
      <c r="Z25" s="176" t="s">
        <v>1045</v>
      </c>
      <c r="AA25" s="182" t="s">
        <v>1046</v>
      </c>
      <c r="AB25" s="176" t="s">
        <v>56</v>
      </c>
      <c r="AC25" s="173" t="s">
        <v>236</v>
      </c>
      <c r="AD25" s="176" t="s">
        <v>256</v>
      </c>
      <c r="AE25" s="183">
        <v>-49.48</v>
      </c>
      <c r="AF25" s="175" t="s">
        <v>199</v>
      </c>
      <c r="AG25" s="175" t="s">
        <v>200</v>
      </c>
      <c r="AH25" s="175" t="s">
        <v>201</v>
      </c>
      <c r="AI25" s="175" t="s">
        <v>991</v>
      </c>
    </row>
    <row r="26" spans="1:35" x14ac:dyDescent="0.25">
      <c r="A26" s="170">
        <v>1871</v>
      </c>
      <c r="B26" s="173" t="s">
        <v>36</v>
      </c>
      <c r="C26" s="172" t="s">
        <v>37</v>
      </c>
      <c r="D26" s="172" t="s">
        <v>36</v>
      </c>
      <c r="E26" s="172" t="s">
        <v>38</v>
      </c>
      <c r="F26" s="172" t="s">
        <v>39</v>
      </c>
      <c r="G26" s="172" t="s">
        <v>40</v>
      </c>
      <c r="H26" s="173" t="s">
        <v>41</v>
      </c>
      <c r="I26" s="172" t="s">
        <v>42</v>
      </c>
      <c r="J26" s="172" t="s">
        <v>43</v>
      </c>
      <c r="K26" s="172" t="s">
        <v>44</v>
      </c>
      <c r="L26" s="174" t="s">
        <v>45</v>
      </c>
      <c r="M26" s="174" t="s">
        <v>46</v>
      </c>
      <c r="N26" s="174" t="s">
        <v>47</v>
      </c>
      <c r="O26" s="173" t="s">
        <v>204</v>
      </c>
      <c r="P26" s="173" t="s">
        <v>205</v>
      </c>
      <c r="Q26" s="175" t="s">
        <v>206</v>
      </c>
      <c r="R26" s="176" t="s">
        <v>207</v>
      </c>
      <c r="S26" s="173" t="s">
        <v>1043</v>
      </c>
      <c r="T26" s="177">
        <v>1046.27</v>
      </c>
      <c r="U26" s="177">
        <v>-512.98</v>
      </c>
      <c r="V26" s="178">
        <v>-512.98</v>
      </c>
      <c r="W26" s="179" t="s">
        <v>1044</v>
      </c>
      <c r="X26" s="184">
        <v>46076</v>
      </c>
      <c r="Y26" s="181">
        <v>46076</v>
      </c>
      <c r="Z26" s="176" t="s">
        <v>1045</v>
      </c>
      <c r="AA26" s="182" t="s">
        <v>1046</v>
      </c>
      <c r="AB26" s="176" t="s">
        <v>56</v>
      </c>
      <c r="AC26" s="173" t="s">
        <v>236</v>
      </c>
      <c r="AD26" s="176" t="s">
        <v>256</v>
      </c>
      <c r="AE26" s="183">
        <v>-512.98</v>
      </c>
      <c r="AF26" s="175" t="s">
        <v>212</v>
      </c>
      <c r="AG26" s="175" t="s">
        <v>101</v>
      </c>
      <c r="AH26" s="175" t="s">
        <v>201</v>
      </c>
      <c r="AI26" s="175" t="s">
        <v>991</v>
      </c>
    </row>
    <row r="27" spans="1:35" x14ac:dyDescent="0.25">
      <c r="A27" s="170">
        <v>2190</v>
      </c>
      <c r="B27" s="173" t="s">
        <v>36</v>
      </c>
      <c r="C27" s="172" t="s">
        <v>37</v>
      </c>
      <c r="D27" s="173" t="s">
        <v>36</v>
      </c>
      <c r="E27" s="173" t="s">
        <v>38</v>
      </c>
      <c r="F27" s="172" t="s">
        <v>39</v>
      </c>
      <c r="G27" s="172" t="s">
        <v>40</v>
      </c>
      <c r="H27" s="173" t="s">
        <v>41</v>
      </c>
      <c r="I27" s="172" t="s">
        <v>42</v>
      </c>
      <c r="J27" s="172" t="s">
        <v>43</v>
      </c>
      <c r="K27" s="172" t="s">
        <v>44</v>
      </c>
      <c r="L27" s="174" t="s">
        <v>45</v>
      </c>
      <c r="M27" s="174" t="s">
        <v>46</v>
      </c>
      <c r="N27" s="174" t="s">
        <v>47</v>
      </c>
      <c r="O27" s="173" t="s">
        <v>63</v>
      </c>
      <c r="P27" s="173" t="s">
        <v>64</v>
      </c>
      <c r="Q27" s="175" t="s">
        <v>65</v>
      </c>
      <c r="R27" s="176" t="s">
        <v>121</v>
      </c>
      <c r="S27" s="173" t="s">
        <v>1047</v>
      </c>
      <c r="T27" s="177">
        <v>1483.7</v>
      </c>
      <c r="U27" s="177">
        <v>-741.85</v>
      </c>
      <c r="V27" s="178">
        <v>-741.85</v>
      </c>
      <c r="W27" s="179" t="s">
        <v>1048</v>
      </c>
      <c r="X27" s="184">
        <v>46065</v>
      </c>
      <c r="Y27" s="181">
        <v>46096</v>
      </c>
      <c r="Z27" s="176" t="s">
        <v>1049</v>
      </c>
      <c r="AA27" s="182" t="s">
        <v>1050</v>
      </c>
      <c r="AB27" s="176" t="s">
        <v>56</v>
      </c>
      <c r="AC27" s="176" t="s">
        <v>236</v>
      </c>
      <c r="AD27" s="176" t="s">
        <v>256</v>
      </c>
      <c r="AE27" s="183">
        <v>-741.85</v>
      </c>
      <c r="AF27" s="175" t="s">
        <v>70</v>
      </c>
      <c r="AG27" s="175" t="s">
        <v>71</v>
      </c>
      <c r="AH27" s="175" t="s">
        <v>72</v>
      </c>
      <c r="AI27" s="175" t="s">
        <v>991</v>
      </c>
    </row>
    <row r="28" spans="1:35" x14ac:dyDescent="0.25">
      <c r="A28" s="170">
        <v>2199</v>
      </c>
      <c r="B28" s="173" t="s">
        <v>36</v>
      </c>
      <c r="C28" s="172" t="s">
        <v>37</v>
      </c>
      <c r="D28" s="173" t="s">
        <v>36</v>
      </c>
      <c r="E28" s="173" t="s">
        <v>38</v>
      </c>
      <c r="F28" s="172" t="s">
        <v>39</v>
      </c>
      <c r="G28" s="172" t="s">
        <v>40</v>
      </c>
      <c r="H28" s="173" t="s">
        <v>41</v>
      </c>
      <c r="I28" s="172" t="s">
        <v>42</v>
      </c>
      <c r="J28" s="172" t="s">
        <v>43</v>
      </c>
      <c r="K28" s="172" t="s">
        <v>44</v>
      </c>
      <c r="L28" s="174" t="s">
        <v>45</v>
      </c>
      <c r="M28" s="174" t="s">
        <v>46</v>
      </c>
      <c r="N28" s="174" t="s">
        <v>47</v>
      </c>
      <c r="O28" s="173" t="s">
        <v>63</v>
      </c>
      <c r="P28" s="173" t="s">
        <v>64</v>
      </c>
      <c r="Q28" s="175" t="s">
        <v>65</v>
      </c>
      <c r="R28" s="176" t="s">
        <v>51</v>
      </c>
      <c r="S28" s="173" t="s">
        <v>1051</v>
      </c>
      <c r="T28" s="177">
        <v>2326.6999999999998</v>
      </c>
      <c r="U28" s="177">
        <v>-581.67999999999995</v>
      </c>
      <c r="V28" s="178">
        <v>-581.67999999999995</v>
      </c>
      <c r="W28" s="179" t="s">
        <v>1052</v>
      </c>
      <c r="X28" s="184">
        <v>46064</v>
      </c>
      <c r="Y28" s="181">
        <v>46096</v>
      </c>
      <c r="Z28" s="176" t="s">
        <v>1053</v>
      </c>
      <c r="AA28" s="182" t="s">
        <v>1054</v>
      </c>
      <c r="AB28" s="176" t="s">
        <v>56</v>
      </c>
      <c r="AC28" s="176" t="s">
        <v>236</v>
      </c>
      <c r="AD28" s="176" t="s">
        <v>256</v>
      </c>
      <c r="AE28" s="183">
        <v>-581.67999999999995</v>
      </c>
      <c r="AF28" s="175" t="s">
        <v>70</v>
      </c>
      <c r="AG28" s="175" t="s">
        <v>71</v>
      </c>
      <c r="AH28" s="175" t="s">
        <v>72</v>
      </c>
      <c r="AI28" s="175" t="s">
        <v>991</v>
      </c>
    </row>
    <row r="29" spans="1:35" x14ac:dyDescent="0.25">
      <c r="A29" s="170">
        <v>2326</v>
      </c>
      <c r="B29" s="173" t="s">
        <v>36</v>
      </c>
      <c r="C29" s="172" t="s">
        <v>37</v>
      </c>
      <c r="D29" s="173" t="s">
        <v>36</v>
      </c>
      <c r="E29" s="173" t="s">
        <v>38</v>
      </c>
      <c r="F29" s="172" t="s">
        <v>39</v>
      </c>
      <c r="G29" s="172" t="s">
        <v>40</v>
      </c>
      <c r="H29" s="173" t="s">
        <v>41</v>
      </c>
      <c r="I29" s="172" t="s">
        <v>42</v>
      </c>
      <c r="J29" s="172" t="s">
        <v>43</v>
      </c>
      <c r="K29" s="172" t="s">
        <v>44</v>
      </c>
      <c r="L29" s="174" t="s">
        <v>45</v>
      </c>
      <c r="M29" s="174" t="s">
        <v>46</v>
      </c>
      <c r="N29" s="174" t="s">
        <v>47</v>
      </c>
      <c r="O29" s="173" t="s">
        <v>63</v>
      </c>
      <c r="P29" s="173" t="s">
        <v>64</v>
      </c>
      <c r="Q29" s="175" t="s">
        <v>65</v>
      </c>
      <c r="R29" s="176" t="s">
        <v>51</v>
      </c>
      <c r="S29" s="173" t="s">
        <v>1031</v>
      </c>
      <c r="T29" s="177">
        <v>12900</v>
      </c>
      <c r="U29" s="177">
        <v>-1505</v>
      </c>
      <c r="V29" s="178">
        <v>-1505</v>
      </c>
      <c r="W29" s="179" t="s">
        <v>1032</v>
      </c>
      <c r="X29" s="184">
        <v>46048</v>
      </c>
      <c r="Y29" s="181">
        <v>46096</v>
      </c>
      <c r="Z29" s="176" t="s">
        <v>1033</v>
      </c>
      <c r="AA29" s="182" t="s">
        <v>1034</v>
      </c>
      <c r="AB29" s="176" t="s">
        <v>56</v>
      </c>
      <c r="AC29" s="176" t="s">
        <v>236</v>
      </c>
      <c r="AD29" s="176" t="s">
        <v>256</v>
      </c>
      <c r="AE29" s="183">
        <v>-1505</v>
      </c>
      <c r="AF29" s="175" t="s">
        <v>70</v>
      </c>
      <c r="AG29" s="175" t="s">
        <v>71</v>
      </c>
      <c r="AH29" s="175" t="s">
        <v>72</v>
      </c>
      <c r="AI29" s="175" t="s">
        <v>991</v>
      </c>
    </row>
    <row r="30" spans="1:35" x14ac:dyDescent="0.25">
      <c r="A30" s="170">
        <v>2345</v>
      </c>
      <c r="B30" s="173" t="s">
        <v>36</v>
      </c>
      <c r="C30" s="172" t="s">
        <v>37</v>
      </c>
      <c r="D30" s="173" t="s">
        <v>36</v>
      </c>
      <c r="E30" s="173" t="s">
        <v>38</v>
      </c>
      <c r="F30" s="172" t="s">
        <v>39</v>
      </c>
      <c r="G30" s="172" t="s">
        <v>40</v>
      </c>
      <c r="H30" s="173" t="s">
        <v>41</v>
      </c>
      <c r="I30" s="172" t="s">
        <v>42</v>
      </c>
      <c r="J30" s="172" t="s">
        <v>43</v>
      </c>
      <c r="K30" s="172" t="s">
        <v>44</v>
      </c>
      <c r="L30" s="174" t="s">
        <v>45</v>
      </c>
      <c r="M30" s="174" t="s">
        <v>46</v>
      </c>
      <c r="N30" s="174" t="s">
        <v>47</v>
      </c>
      <c r="O30" s="173" t="s">
        <v>63</v>
      </c>
      <c r="P30" s="173" t="s">
        <v>64</v>
      </c>
      <c r="Q30" s="175" t="s">
        <v>65</v>
      </c>
      <c r="R30" s="176" t="s">
        <v>51</v>
      </c>
      <c r="S30" s="173" t="s">
        <v>1055</v>
      </c>
      <c r="T30" s="177">
        <v>1894.75</v>
      </c>
      <c r="U30" s="177">
        <v>-1894.75</v>
      </c>
      <c r="V30" s="178">
        <v>-1894.75</v>
      </c>
      <c r="W30" s="179" t="s">
        <v>1056</v>
      </c>
      <c r="X30" s="184">
        <v>46029</v>
      </c>
      <c r="Y30" s="181">
        <v>46029</v>
      </c>
      <c r="Z30" s="176" t="s">
        <v>1057</v>
      </c>
      <c r="AA30" s="182" t="s">
        <v>1058</v>
      </c>
      <c r="AB30" s="176" t="s">
        <v>56</v>
      </c>
      <c r="AC30" s="176" t="s">
        <v>236</v>
      </c>
      <c r="AD30" s="176" t="s">
        <v>256</v>
      </c>
      <c r="AE30" s="183">
        <v>-1894.75</v>
      </c>
      <c r="AF30" s="175" t="s">
        <v>70</v>
      </c>
      <c r="AG30" s="175" t="s">
        <v>71</v>
      </c>
      <c r="AH30" s="175" t="s">
        <v>72</v>
      </c>
      <c r="AI30" s="175" t="s">
        <v>991</v>
      </c>
    </row>
    <row r="31" spans="1:35" x14ac:dyDescent="0.25">
      <c r="A31" s="170">
        <v>2467</v>
      </c>
      <c r="B31" s="173" t="s">
        <v>36</v>
      </c>
      <c r="C31" s="172" t="s">
        <v>37</v>
      </c>
      <c r="D31" s="173" t="s">
        <v>36</v>
      </c>
      <c r="E31" s="173" t="s">
        <v>38</v>
      </c>
      <c r="F31" s="172" t="s">
        <v>39</v>
      </c>
      <c r="G31" s="172" t="s">
        <v>40</v>
      </c>
      <c r="H31" s="173" t="s">
        <v>41</v>
      </c>
      <c r="I31" s="172" t="s">
        <v>42</v>
      </c>
      <c r="J31" s="172" t="s">
        <v>43</v>
      </c>
      <c r="K31" s="172" t="s">
        <v>44</v>
      </c>
      <c r="L31" s="174" t="s">
        <v>45</v>
      </c>
      <c r="M31" s="174" t="s">
        <v>46</v>
      </c>
      <c r="N31" s="174" t="s">
        <v>47</v>
      </c>
      <c r="O31" s="173" t="s">
        <v>63</v>
      </c>
      <c r="P31" s="173" t="s">
        <v>64</v>
      </c>
      <c r="Q31" s="175" t="s">
        <v>65</v>
      </c>
      <c r="R31" s="176" t="s">
        <v>51</v>
      </c>
      <c r="S31" s="173" t="s">
        <v>1059</v>
      </c>
      <c r="T31" s="177">
        <v>3870</v>
      </c>
      <c r="U31" s="177">
        <v>-1935</v>
      </c>
      <c r="V31" s="178">
        <v>-1935</v>
      </c>
      <c r="W31" s="179" t="s">
        <v>1060</v>
      </c>
      <c r="X31" s="184">
        <v>46036</v>
      </c>
      <c r="Y31" s="181">
        <v>46037</v>
      </c>
      <c r="Z31" s="176" t="s">
        <v>1033</v>
      </c>
      <c r="AA31" s="182" t="s">
        <v>1034</v>
      </c>
      <c r="AB31" s="176" t="s">
        <v>56</v>
      </c>
      <c r="AC31" s="176" t="s">
        <v>236</v>
      </c>
      <c r="AD31" s="176" t="s">
        <v>256</v>
      </c>
      <c r="AE31" s="183">
        <v>-1935</v>
      </c>
      <c r="AF31" s="175" t="s">
        <v>70</v>
      </c>
      <c r="AG31" s="175" t="s">
        <v>71</v>
      </c>
      <c r="AH31" s="175" t="s">
        <v>72</v>
      </c>
      <c r="AI31" s="175" t="s">
        <v>991</v>
      </c>
    </row>
    <row r="32" spans="1:35" x14ac:dyDescent="0.25">
      <c r="A32" s="170">
        <v>2670</v>
      </c>
      <c r="B32" s="173" t="s">
        <v>36</v>
      </c>
      <c r="C32" s="172" t="s">
        <v>37</v>
      </c>
      <c r="D32" s="173" t="s">
        <v>36</v>
      </c>
      <c r="E32" s="173" t="s">
        <v>38</v>
      </c>
      <c r="F32" s="172" t="s">
        <v>39</v>
      </c>
      <c r="G32" s="172" t="s">
        <v>40</v>
      </c>
      <c r="H32" s="173" t="s">
        <v>41</v>
      </c>
      <c r="I32" s="172" t="s">
        <v>42</v>
      </c>
      <c r="J32" s="172" t="s">
        <v>43</v>
      </c>
      <c r="K32" s="172" t="s">
        <v>44</v>
      </c>
      <c r="L32" s="174" t="s">
        <v>45</v>
      </c>
      <c r="M32" s="174" t="s">
        <v>46</v>
      </c>
      <c r="N32" s="174" t="s">
        <v>47</v>
      </c>
      <c r="O32" s="173" t="s">
        <v>63</v>
      </c>
      <c r="P32" s="173" t="s">
        <v>64</v>
      </c>
      <c r="Q32" s="175" t="s">
        <v>65</v>
      </c>
      <c r="R32" s="176" t="s">
        <v>51</v>
      </c>
      <c r="S32" s="173" t="s">
        <v>1006</v>
      </c>
      <c r="T32" s="177">
        <v>4400</v>
      </c>
      <c r="U32" s="177">
        <v>-4400</v>
      </c>
      <c r="V32" s="178">
        <v>-4400</v>
      </c>
      <c r="W32" s="179" t="s">
        <v>1061</v>
      </c>
      <c r="X32" s="184">
        <v>46045</v>
      </c>
      <c r="Y32" s="181">
        <v>46048</v>
      </c>
      <c r="Z32" s="176" t="s">
        <v>1062</v>
      </c>
      <c r="AA32" s="182" t="s">
        <v>1063</v>
      </c>
      <c r="AB32" s="176" t="s">
        <v>56</v>
      </c>
      <c r="AC32" s="176" t="s">
        <v>236</v>
      </c>
      <c r="AD32" s="176" t="s">
        <v>256</v>
      </c>
      <c r="AE32" s="183">
        <v>-4400</v>
      </c>
      <c r="AF32" s="175" t="s">
        <v>70</v>
      </c>
      <c r="AG32" s="175" t="s">
        <v>71</v>
      </c>
      <c r="AH32" s="175" t="s">
        <v>72</v>
      </c>
      <c r="AI32" s="175" t="s">
        <v>991</v>
      </c>
    </row>
    <row r="33" spans="1:35" x14ac:dyDescent="0.25">
      <c r="A33" s="170">
        <v>2926</v>
      </c>
      <c r="B33" s="171" t="s">
        <v>36</v>
      </c>
      <c r="C33" s="172" t="s">
        <v>37</v>
      </c>
      <c r="D33" s="172" t="s">
        <v>36</v>
      </c>
      <c r="E33" s="172" t="s">
        <v>38</v>
      </c>
      <c r="F33" s="172" t="s">
        <v>39</v>
      </c>
      <c r="G33" s="172" t="s">
        <v>40</v>
      </c>
      <c r="H33" s="173" t="s">
        <v>41</v>
      </c>
      <c r="I33" s="172" t="s">
        <v>42</v>
      </c>
      <c r="J33" s="172" t="s">
        <v>43</v>
      </c>
      <c r="K33" s="172" t="s">
        <v>44</v>
      </c>
      <c r="L33" s="174" t="s">
        <v>45</v>
      </c>
      <c r="M33" s="174" t="s">
        <v>46</v>
      </c>
      <c r="N33" s="174" t="s">
        <v>47</v>
      </c>
      <c r="O33" s="173" t="s">
        <v>313</v>
      </c>
      <c r="P33" s="173" t="s">
        <v>314</v>
      </c>
      <c r="Q33" s="175" t="s">
        <v>315</v>
      </c>
      <c r="R33" s="176" t="s">
        <v>51</v>
      </c>
      <c r="S33" s="173" t="s">
        <v>1064</v>
      </c>
      <c r="T33" s="177">
        <v>60</v>
      </c>
      <c r="U33" s="177">
        <v>-60</v>
      </c>
      <c r="V33" s="178">
        <v>-60</v>
      </c>
      <c r="W33" s="179" t="s">
        <v>1065</v>
      </c>
      <c r="X33" s="184">
        <v>46052</v>
      </c>
      <c r="Y33" s="181">
        <v>46058</v>
      </c>
      <c r="Z33" s="176" t="s">
        <v>403</v>
      </c>
      <c r="AA33" s="182" t="s">
        <v>404</v>
      </c>
      <c r="AB33" s="176" t="s">
        <v>56</v>
      </c>
      <c r="AC33" s="176" t="s">
        <v>236</v>
      </c>
      <c r="AD33" s="176" t="s">
        <v>256</v>
      </c>
      <c r="AE33" s="183">
        <v>-60</v>
      </c>
      <c r="AF33" s="175" t="s">
        <v>320</v>
      </c>
      <c r="AG33" s="175" t="s">
        <v>321</v>
      </c>
      <c r="AH33" s="175" t="s">
        <v>62</v>
      </c>
      <c r="AI33" s="175" t="s">
        <v>1020</v>
      </c>
    </row>
    <row r="34" spans="1:35" x14ac:dyDescent="0.25">
      <c r="A34" s="170">
        <v>2955</v>
      </c>
      <c r="B34" s="173" t="s">
        <v>36</v>
      </c>
      <c r="C34" s="173" t="s">
        <v>37</v>
      </c>
      <c r="D34" s="173" t="s">
        <v>36</v>
      </c>
      <c r="E34" s="173" t="s">
        <v>38</v>
      </c>
      <c r="F34" s="173" t="s">
        <v>39</v>
      </c>
      <c r="G34" s="173" t="s">
        <v>40</v>
      </c>
      <c r="H34" s="173" t="s">
        <v>41</v>
      </c>
      <c r="I34" s="173" t="s">
        <v>42</v>
      </c>
      <c r="J34" s="173" t="s">
        <v>43</v>
      </c>
      <c r="K34" s="173" t="s">
        <v>44</v>
      </c>
      <c r="L34" s="173" t="s">
        <v>45</v>
      </c>
      <c r="M34" s="173" t="s">
        <v>46</v>
      </c>
      <c r="N34" s="173" t="s">
        <v>47</v>
      </c>
      <c r="O34" s="173" t="s">
        <v>63</v>
      </c>
      <c r="P34" s="173" t="s">
        <v>64</v>
      </c>
      <c r="Q34" s="175" t="s">
        <v>65</v>
      </c>
      <c r="R34" s="176" t="s">
        <v>51</v>
      </c>
      <c r="S34" s="173" t="s">
        <v>1031</v>
      </c>
      <c r="T34" s="177">
        <v>12900</v>
      </c>
      <c r="U34" s="177">
        <v>-1935</v>
      </c>
      <c r="V34" s="178">
        <v>-1935</v>
      </c>
      <c r="W34" s="179" t="s">
        <v>1032</v>
      </c>
      <c r="X34" s="184">
        <v>46048</v>
      </c>
      <c r="Y34" s="181">
        <v>46048</v>
      </c>
      <c r="Z34" s="176" t="s">
        <v>1033</v>
      </c>
      <c r="AA34" s="182" t="s">
        <v>1034</v>
      </c>
      <c r="AB34" s="176" t="s">
        <v>56</v>
      </c>
      <c r="AC34" s="176" t="s">
        <v>236</v>
      </c>
      <c r="AD34" s="176" t="s">
        <v>256</v>
      </c>
      <c r="AE34" s="183">
        <v>-1935</v>
      </c>
      <c r="AF34" s="175" t="s">
        <v>70</v>
      </c>
      <c r="AG34" s="175" t="s">
        <v>71</v>
      </c>
      <c r="AH34" s="175" t="s">
        <v>72</v>
      </c>
      <c r="AI34" s="175" t="s">
        <v>991</v>
      </c>
    </row>
    <row r="35" spans="1:35" x14ac:dyDescent="0.25">
      <c r="A35" s="170">
        <v>2957</v>
      </c>
      <c r="B35" s="171" t="s">
        <v>36</v>
      </c>
      <c r="C35" s="172" t="s">
        <v>37</v>
      </c>
      <c r="D35" s="172" t="s">
        <v>36</v>
      </c>
      <c r="E35" s="172" t="s">
        <v>38</v>
      </c>
      <c r="F35" s="172" t="s">
        <v>39</v>
      </c>
      <c r="G35" s="172" t="s">
        <v>40</v>
      </c>
      <c r="H35" s="173" t="s">
        <v>41</v>
      </c>
      <c r="I35" s="172" t="s">
        <v>42</v>
      </c>
      <c r="J35" s="172" t="s">
        <v>43</v>
      </c>
      <c r="K35" s="172" t="s">
        <v>44</v>
      </c>
      <c r="L35" s="174" t="s">
        <v>45</v>
      </c>
      <c r="M35" s="174" t="s">
        <v>46</v>
      </c>
      <c r="N35" s="174" t="s">
        <v>47</v>
      </c>
      <c r="O35" s="173" t="s">
        <v>63</v>
      </c>
      <c r="P35" s="173" t="s">
        <v>64</v>
      </c>
      <c r="Q35" s="175" t="s">
        <v>65</v>
      </c>
      <c r="R35" s="176" t="s">
        <v>51</v>
      </c>
      <c r="S35" s="173" t="s">
        <v>1031</v>
      </c>
      <c r="T35" s="177">
        <v>12900</v>
      </c>
      <c r="U35" s="177">
        <v>-1505</v>
      </c>
      <c r="V35" s="178">
        <v>-1505</v>
      </c>
      <c r="W35" s="179" t="s">
        <v>1032</v>
      </c>
      <c r="X35" s="184">
        <v>46048</v>
      </c>
      <c r="Y35" s="181">
        <v>46058</v>
      </c>
      <c r="Z35" s="176" t="s">
        <v>1033</v>
      </c>
      <c r="AA35" s="182" t="s">
        <v>1034</v>
      </c>
      <c r="AB35" s="176" t="s">
        <v>56</v>
      </c>
      <c r="AC35" s="176" t="s">
        <v>236</v>
      </c>
      <c r="AD35" s="176" t="s">
        <v>256</v>
      </c>
      <c r="AE35" s="183">
        <v>-1505</v>
      </c>
      <c r="AF35" s="175" t="s">
        <v>70</v>
      </c>
      <c r="AG35" s="175" t="s">
        <v>71</v>
      </c>
      <c r="AH35" s="175" t="s">
        <v>72</v>
      </c>
      <c r="AI35" s="175" t="s">
        <v>991</v>
      </c>
    </row>
    <row r="36" spans="1:35" x14ac:dyDescent="0.25">
      <c r="A36" s="170">
        <v>3013</v>
      </c>
      <c r="B36" s="171" t="s">
        <v>36</v>
      </c>
      <c r="C36" s="172" t="s">
        <v>37</v>
      </c>
      <c r="D36" s="172" t="s">
        <v>36</v>
      </c>
      <c r="E36" s="172" t="s">
        <v>38</v>
      </c>
      <c r="F36" s="172" t="s">
        <v>39</v>
      </c>
      <c r="G36" s="172" t="s">
        <v>40</v>
      </c>
      <c r="H36" s="173" t="s">
        <v>41</v>
      </c>
      <c r="I36" s="172" t="s">
        <v>42</v>
      </c>
      <c r="J36" s="172" t="s">
        <v>43</v>
      </c>
      <c r="K36" s="172" t="s">
        <v>44</v>
      </c>
      <c r="L36" s="174" t="s">
        <v>45</v>
      </c>
      <c r="M36" s="174" t="s">
        <v>46</v>
      </c>
      <c r="N36" s="174" t="s">
        <v>47</v>
      </c>
      <c r="O36" s="173" t="s">
        <v>83</v>
      </c>
      <c r="P36" s="173" t="s">
        <v>84</v>
      </c>
      <c r="Q36" s="175" t="s">
        <v>85</v>
      </c>
      <c r="R36" s="176" t="s">
        <v>51</v>
      </c>
      <c r="S36" s="173" t="s">
        <v>1066</v>
      </c>
      <c r="T36" s="177">
        <v>645</v>
      </c>
      <c r="U36" s="177">
        <v>-322.5</v>
      </c>
      <c r="V36" s="178">
        <v>-322.5</v>
      </c>
      <c r="W36" s="179" t="s">
        <v>1067</v>
      </c>
      <c r="X36" s="184">
        <v>46049</v>
      </c>
      <c r="Y36" s="181">
        <v>46062</v>
      </c>
      <c r="Z36" s="176" t="s">
        <v>1068</v>
      </c>
      <c r="AA36" s="182" t="s">
        <v>803</v>
      </c>
      <c r="AB36" s="176" t="s">
        <v>56</v>
      </c>
      <c r="AC36" s="176" t="s">
        <v>236</v>
      </c>
      <c r="AD36" s="176" t="s">
        <v>256</v>
      </c>
      <c r="AE36" s="183">
        <v>-322.5</v>
      </c>
      <c r="AF36" s="175" t="s">
        <v>89</v>
      </c>
      <c r="AG36" s="175" t="s">
        <v>61</v>
      </c>
      <c r="AH36" s="175" t="s">
        <v>72</v>
      </c>
      <c r="AI36" s="175" t="s">
        <v>991</v>
      </c>
    </row>
    <row r="37" spans="1:35" x14ac:dyDescent="0.25">
      <c r="A37" s="170">
        <v>3209</v>
      </c>
      <c r="B37" s="171" t="s">
        <v>36</v>
      </c>
      <c r="C37" s="172" t="s">
        <v>37</v>
      </c>
      <c r="D37" s="172" t="s">
        <v>36</v>
      </c>
      <c r="E37" s="172" t="s">
        <v>38</v>
      </c>
      <c r="F37" s="172" t="s">
        <v>39</v>
      </c>
      <c r="G37" s="172" t="s">
        <v>40</v>
      </c>
      <c r="H37" s="173" t="s">
        <v>41</v>
      </c>
      <c r="I37" s="172" t="s">
        <v>42</v>
      </c>
      <c r="J37" s="172" t="s">
        <v>43</v>
      </c>
      <c r="K37" s="172" t="s">
        <v>44</v>
      </c>
      <c r="L37" s="174" t="s">
        <v>45</v>
      </c>
      <c r="M37" s="174" t="s">
        <v>46</v>
      </c>
      <c r="N37" s="174" t="s">
        <v>47</v>
      </c>
      <c r="O37" s="173" t="s">
        <v>334</v>
      </c>
      <c r="P37" s="173" t="s">
        <v>335</v>
      </c>
      <c r="Q37" s="175" t="s">
        <v>336</v>
      </c>
      <c r="R37" s="176" t="s">
        <v>207</v>
      </c>
      <c r="S37" s="173" t="s">
        <v>1069</v>
      </c>
      <c r="T37" s="177">
        <v>1979.55</v>
      </c>
      <c r="U37" s="177">
        <v>-169.04</v>
      </c>
      <c r="V37" s="178">
        <v>-169.04</v>
      </c>
      <c r="W37" s="179" t="s">
        <v>1070</v>
      </c>
      <c r="X37" s="184">
        <v>46053</v>
      </c>
      <c r="Y37" s="181">
        <v>46053</v>
      </c>
      <c r="Z37" s="176" t="s">
        <v>1045</v>
      </c>
      <c r="AA37" s="182" t="s">
        <v>1046</v>
      </c>
      <c r="AB37" s="176" t="s">
        <v>56</v>
      </c>
      <c r="AC37" s="176" t="s">
        <v>236</v>
      </c>
      <c r="AD37" s="176" t="s">
        <v>256</v>
      </c>
      <c r="AE37" s="183">
        <v>-169.04</v>
      </c>
      <c r="AF37" s="175" t="s">
        <v>341</v>
      </c>
      <c r="AG37" s="175" t="s">
        <v>238</v>
      </c>
      <c r="AH37" s="175" t="s">
        <v>201</v>
      </c>
      <c r="AI37" s="175" t="s">
        <v>991</v>
      </c>
    </row>
    <row r="38" spans="1:35" x14ac:dyDescent="0.25">
      <c r="A38" s="170">
        <v>3210</v>
      </c>
      <c r="B38" s="171" t="s">
        <v>36</v>
      </c>
      <c r="C38" s="172" t="s">
        <v>37</v>
      </c>
      <c r="D38" s="172" t="s">
        <v>36</v>
      </c>
      <c r="E38" s="172" t="s">
        <v>38</v>
      </c>
      <c r="F38" s="172" t="s">
        <v>39</v>
      </c>
      <c r="G38" s="172" t="s">
        <v>40</v>
      </c>
      <c r="H38" s="173" t="s">
        <v>41</v>
      </c>
      <c r="I38" s="172" t="s">
        <v>42</v>
      </c>
      <c r="J38" s="172" t="s">
        <v>43</v>
      </c>
      <c r="K38" s="172" t="s">
        <v>44</v>
      </c>
      <c r="L38" s="174" t="s">
        <v>45</v>
      </c>
      <c r="M38" s="174" t="s">
        <v>46</v>
      </c>
      <c r="N38" s="174" t="s">
        <v>47</v>
      </c>
      <c r="O38" s="173" t="s">
        <v>192</v>
      </c>
      <c r="P38" s="173" t="s">
        <v>193</v>
      </c>
      <c r="Q38" s="175" t="s">
        <v>194</v>
      </c>
      <c r="R38" s="176" t="s">
        <v>207</v>
      </c>
      <c r="S38" s="173" t="s">
        <v>1069</v>
      </c>
      <c r="T38" s="177">
        <v>1979.55</v>
      </c>
      <c r="U38" s="177">
        <v>-108.09</v>
      </c>
      <c r="V38" s="178">
        <v>-108.09</v>
      </c>
      <c r="W38" s="179" t="s">
        <v>1070</v>
      </c>
      <c r="X38" s="184">
        <v>46053</v>
      </c>
      <c r="Y38" s="181">
        <v>46053</v>
      </c>
      <c r="Z38" s="176" t="s">
        <v>1045</v>
      </c>
      <c r="AA38" s="182" t="s">
        <v>1046</v>
      </c>
      <c r="AB38" s="176" t="s">
        <v>56</v>
      </c>
      <c r="AC38" s="176" t="s">
        <v>236</v>
      </c>
      <c r="AD38" s="176" t="s">
        <v>256</v>
      </c>
      <c r="AE38" s="183">
        <v>-108.09</v>
      </c>
      <c r="AF38" s="175" t="s">
        <v>199</v>
      </c>
      <c r="AG38" s="175" t="s">
        <v>200</v>
      </c>
      <c r="AH38" s="175" t="s">
        <v>201</v>
      </c>
      <c r="AI38" s="175" t="s">
        <v>991</v>
      </c>
    </row>
    <row r="39" spans="1:35" x14ac:dyDescent="0.25">
      <c r="A39" s="170">
        <v>3211</v>
      </c>
      <c r="B39" s="171" t="s">
        <v>36</v>
      </c>
      <c r="C39" s="172" t="s">
        <v>37</v>
      </c>
      <c r="D39" s="172" t="s">
        <v>36</v>
      </c>
      <c r="E39" s="172" t="s">
        <v>38</v>
      </c>
      <c r="F39" s="172" t="s">
        <v>39</v>
      </c>
      <c r="G39" s="172" t="s">
        <v>40</v>
      </c>
      <c r="H39" s="173" t="s">
        <v>41</v>
      </c>
      <c r="I39" s="172" t="s">
        <v>42</v>
      </c>
      <c r="J39" s="172" t="s">
        <v>43</v>
      </c>
      <c r="K39" s="172" t="s">
        <v>44</v>
      </c>
      <c r="L39" s="174" t="s">
        <v>45</v>
      </c>
      <c r="M39" s="174" t="s">
        <v>46</v>
      </c>
      <c r="N39" s="174" t="s">
        <v>47</v>
      </c>
      <c r="O39" s="173" t="s">
        <v>204</v>
      </c>
      <c r="P39" s="173" t="s">
        <v>205</v>
      </c>
      <c r="Q39" s="175" t="s">
        <v>206</v>
      </c>
      <c r="R39" s="176" t="s">
        <v>207</v>
      </c>
      <c r="S39" s="173" t="s">
        <v>1069</v>
      </c>
      <c r="T39" s="177">
        <v>1979.55</v>
      </c>
      <c r="U39" s="177">
        <v>-117.72</v>
      </c>
      <c r="V39" s="178">
        <v>-117.72</v>
      </c>
      <c r="W39" s="179" t="s">
        <v>1070</v>
      </c>
      <c r="X39" s="184">
        <v>46053</v>
      </c>
      <c r="Y39" s="181">
        <v>46053</v>
      </c>
      <c r="Z39" s="176" t="s">
        <v>1045</v>
      </c>
      <c r="AA39" s="182" t="s">
        <v>1046</v>
      </c>
      <c r="AB39" s="176" t="s">
        <v>56</v>
      </c>
      <c r="AC39" s="176" t="s">
        <v>236</v>
      </c>
      <c r="AD39" s="176" t="s">
        <v>256</v>
      </c>
      <c r="AE39" s="183">
        <v>-117.72</v>
      </c>
      <c r="AF39" s="175" t="s">
        <v>212</v>
      </c>
      <c r="AG39" s="175" t="s">
        <v>101</v>
      </c>
      <c r="AH39" s="175" t="s">
        <v>201</v>
      </c>
      <c r="AI39" s="175" t="s">
        <v>991</v>
      </c>
    </row>
    <row r="40" spans="1:35" x14ac:dyDescent="0.25">
      <c r="A40" s="170">
        <v>3212</v>
      </c>
      <c r="B40" s="171" t="s">
        <v>36</v>
      </c>
      <c r="C40" s="172" t="s">
        <v>37</v>
      </c>
      <c r="D40" s="172" t="s">
        <v>36</v>
      </c>
      <c r="E40" s="172" t="s">
        <v>38</v>
      </c>
      <c r="F40" s="172" t="s">
        <v>39</v>
      </c>
      <c r="G40" s="172" t="s">
        <v>40</v>
      </c>
      <c r="H40" s="173" t="s">
        <v>41</v>
      </c>
      <c r="I40" s="172" t="s">
        <v>42</v>
      </c>
      <c r="J40" s="172" t="s">
        <v>43</v>
      </c>
      <c r="K40" s="172" t="s">
        <v>44</v>
      </c>
      <c r="L40" s="174" t="s">
        <v>45</v>
      </c>
      <c r="M40" s="174" t="s">
        <v>46</v>
      </c>
      <c r="N40" s="174" t="s">
        <v>47</v>
      </c>
      <c r="O40" s="173" t="s">
        <v>251</v>
      </c>
      <c r="P40" s="173" t="s">
        <v>252</v>
      </c>
      <c r="Q40" s="175" t="s">
        <v>253</v>
      </c>
      <c r="R40" s="176" t="s">
        <v>207</v>
      </c>
      <c r="S40" s="173" t="s">
        <v>1069</v>
      </c>
      <c r="T40" s="177">
        <v>1979.55</v>
      </c>
      <c r="U40" s="177">
        <v>-494.87</v>
      </c>
      <c r="V40" s="178">
        <v>-494.87</v>
      </c>
      <c r="W40" s="179" t="s">
        <v>1070</v>
      </c>
      <c r="X40" s="184">
        <v>46053</v>
      </c>
      <c r="Y40" s="181">
        <v>46053</v>
      </c>
      <c r="Z40" s="176" t="s">
        <v>1045</v>
      </c>
      <c r="AA40" s="182" t="s">
        <v>1046</v>
      </c>
      <c r="AB40" s="176" t="s">
        <v>56</v>
      </c>
      <c r="AC40" s="176" t="s">
        <v>236</v>
      </c>
      <c r="AD40" s="176" t="s">
        <v>256</v>
      </c>
      <c r="AE40" s="183">
        <v>-494.87</v>
      </c>
      <c r="AF40" s="175" t="s">
        <v>259</v>
      </c>
      <c r="AG40" s="175" t="s">
        <v>61</v>
      </c>
      <c r="AH40" s="175" t="s">
        <v>62</v>
      </c>
      <c r="AI40" s="175" t="s">
        <v>1020</v>
      </c>
    </row>
    <row r="41" spans="1:35" x14ac:dyDescent="0.25">
      <c r="A41" s="170">
        <v>3213</v>
      </c>
      <c r="B41" s="171" t="s">
        <v>36</v>
      </c>
      <c r="C41" s="172" t="s">
        <v>37</v>
      </c>
      <c r="D41" s="172" t="s">
        <v>36</v>
      </c>
      <c r="E41" s="172" t="s">
        <v>38</v>
      </c>
      <c r="F41" s="172" t="s">
        <v>39</v>
      </c>
      <c r="G41" s="172" t="s">
        <v>40</v>
      </c>
      <c r="H41" s="173" t="s">
        <v>41</v>
      </c>
      <c r="I41" s="172" t="s">
        <v>42</v>
      </c>
      <c r="J41" s="172" t="s">
        <v>43</v>
      </c>
      <c r="K41" s="172" t="s">
        <v>44</v>
      </c>
      <c r="L41" s="174" t="s">
        <v>45</v>
      </c>
      <c r="M41" s="174" t="s">
        <v>46</v>
      </c>
      <c r="N41" s="174" t="s">
        <v>47</v>
      </c>
      <c r="O41" s="173" t="s">
        <v>262</v>
      </c>
      <c r="P41" s="173" t="s">
        <v>263</v>
      </c>
      <c r="Q41" s="175" t="s">
        <v>264</v>
      </c>
      <c r="R41" s="176" t="s">
        <v>207</v>
      </c>
      <c r="S41" s="173" t="s">
        <v>1069</v>
      </c>
      <c r="T41" s="177">
        <v>1979.55</v>
      </c>
      <c r="U41" s="177">
        <v>-94.41</v>
      </c>
      <c r="V41" s="178">
        <v>-94.41</v>
      </c>
      <c r="W41" s="179" t="s">
        <v>1070</v>
      </c>
      <c r="X41" s="184">
        <v>46053</v>
      </c>
      <c r="Y41" s="181">
        <v>46053</v>
      </c>
      <c r="Z41" s="176" t="s">
        <v>1045</v>
      </c>
      <c r="AA41" s="182" t="s">
        <v>1046</v>
      </c>
      <c r="AB41" s="176" t="s">
        <v>56</v>
      </c>
      <c r="AC41" s="176" t="s">
        <v>236</v>
      </c>
      <c r="AD41" s="176" t="s">
        <v>256</v>
      </c>
      <c r="AE41" s="183">
        <v>-94.41</v>
      </c>
      <c r="AF41" s="175" t="s">
        <v>265</v>
      </c>
      <c r="AG41" s="175" t="s">
        <v>61</v>
      </c>
      <c r="AH41" s="175" t="s">
        <v>72</v>
      </c>
      <c r="AI41" s="175" t="s">
        <v>991</v>
      </c>
    </row>
    <row r="42" spans="1:35" x14ac:dyDescent="0.25">
      <c r="A42" s="170">
        <v>3226</v>
      </c>
      <c r="B42" s="171" t="s">
        <v>36</v>
      </c>
      <c r="C42" s="172" t="s">
        <v>37</v>
      </c>
      <c r="D42" s="172" t="s">
        <v>36</v>
      </c>
      <c r="E42" s="172" t="s">
        <v>38</v>
      </c>
      <c r="F42" s="172" t="s">
        <v>39</v>
      </c>
      <c r="G42" s="172" t="s">
        <v>40</v>
      </c>
      <c r="H42" s="173" t="s">
        <v>41</v>
      </c>
      <c r="I42" s="172" t="s">
        <v>42</v>
      </c>
      <c r="J42" s="172" t="s">
        <v>43</v>
      </c>
      <c r="K42" s="172" t="s">
        <v>44</v>
      </c>
      <c r="L42" s="174" t="s">
        <v>45</v>
      </c>
      <c r="M42" s="174" t="s">
        <v>46</v>
      </c>
      <c r="N42" s="174" t="s">
        <v>47</v>
      </c>
      <c r="O42" s="173" t="s">
        <v>192</v>
      </c>
      <c r="P42" s="173" t="s">
        <v>193</v>
      </c>
      <c r="Q42" s="175" t="s">
        <v>194</v>
      </c>
      <c r="R42" s="176" t="s">
        <v>207</v>
      </c>
      <c r="S42" s="173" t="s">
        <v>1071</v>
      </c>
      <c r="T42" s="177">
        <v>868.6</v>
      </c>
      <c r="U42" s="177">
        <v>-105.19</v>
      </c>
      <c r="V42" s="178">
        <v>-105.19</v>
      </c>
      <c r="W42" s="179" t="s">
        <v>1072</v>
      </c>
      <c r="X42" s="184">
        <v>46035</v>
      </c>
      <c r="Y42" s="181">
        <v>46035</v>
      </c>
      <c r="Z42" s="176" t="s">
        <v>257</v>
      </c>
      <c r="AA42" s="182" t="s">
        <v>258</v>
      </c>
      <c r="AB42" s="176" t="s">
        <v>56</v>
      </c>
      <c r="AC42" s="176" t="s">
        <v>236</v>
      </c>
      <c r="AD42" s="176" t="s">
        <v>256</v>
      </c>
      <c r="AE42" s="183">
        <v>-105.19</v>
      </c>
      <c r="AF42" s="175" t="s">
        <v>199</v>
      </c>
      <c r="AG42" s="175" t="s">
        <v>200</v>
      </c>
      <c r="AH42" s="175" t="s">
        <v>201</v>
      </c>
      <c r="AI42" s="175" t="s">
        <v>991</v>
      </c>
    </row>
    <row r="43" spans="1:35" x14ac:dyDescent="0.25">
      <c r="A43" s="170">
        <v>3227</v>
      </c>
      <c r="B43" s="171" t="s">
        <v>36</v>
      </c>
      <c r="C43" s="172" t="s">
        <v>37</v>
      </c>
      <c r="D43" s="172" t="s">
        <v>36</v>
      </c>
      <c r="E43" s="172" t="s">
        <v>38</v>
      </c>
      <c r="F43" s="172" t="s">
        <v>39</v>
      </c>
      <c r="G43" s="172" t="s">
        <v>40</v>
      </c>
      <c r="H43" s="173" t="s">
        <v>41</v>
      </c>
      <c r="I43" s="172" t="s">
        <v>42</v>
      </c>
      <c r="J43" s="172" t="s">
        <v>43</v>
      </c>
      <c r="K43" s="172" t="s">
        <v>44</v>
      </c>
      <c r="L43" s="174" t="s">
        <v>45</v>
      </c>
      <c r="M43" s="174" t="s">
        <v>46</v>
      </c>
      <c r="N43" s="174" t="s">
        <v>47</v>
      </c>
      <c r="O43" s="173" t="s">
        <v>204</v>
      </c>
      <c r="P43" s="173" t="s">
        <v>205</v>
      </c>
      <c r="Q43" s="175" t="s">
        <v>206</v>
      </c>
      <c r="R43" s="176" t="s">
        <v>207</v>
      </c>
      <c r="S43" s="173" t="s">
        <v>1071</v>
      </c>
      <c r="T43" s="177">
        <v>868.6</v>
      </c>
      <c r="U43" s="177">
        <v>-242.58</v>
      </c>
      <c r="V43" s="178">
        <v>-242.58</v>
      </c>
      <c r="W43" s="179" t="s">
        <v>1072</v>
      </c>
      <c r="X43" s="184">
        <v>46035</v>
      </c>
      <c r="Y43" s="181">
        <v>46035</v>
      </c>
      <c r="Z43" s="176" t="s">
        <v>257</v>
      </c>
      <c r="AA43" s="182" t="s">
        <v>258</v>
      </c>
      <c r="AB43" s="176" t="s">
        <v>56</v>
      </c>
      <c r="AC43" s="176" t="s">
        <v>236</v>
      </c>
      <c r="AD43" s="176" t="s">
        <v>256</v>
      </c>
      <c r="AE43" s="183">
        <v>-242.58</v>
      </c>
      <c r="AF43" s="175" t="s">
        <v>212</v>
      </c>
      <c r="AG43" s="175" t="s">
        <v>101</v>
      </c>
      <c r="AH43" s="175" t="s">
        <v>201</v>
      </c>
      <c r="AI43" s="175" t="s">
        <v>991</v>
      </c>
    </row>
    <row r="44" spans="1:35" x14ac:dyDescent="0.25">
      <c r="A44" s="170">
        <v>3228</v>
      </c>
      <c r="B44" s="171" t="s">
        <v>36</v>
      </c>
      <c r="C44" s="172" t="s">
        <v>37</v>
      </c>
      <c r="D44" s="172" t="s">
        <v>36</v>
      </c>
      <c r="E44" s="172" t="s">
        <v>38</v>
      </c>
      <c r="F44" s="172" t="s">
        <v>39</v>
      </c>
      <c r="G44" s="172" t="s">
        <v>40</v>
      </c>
      <c r="H44" s="173" t="s">
        <v>41</v>
      </c>
      <c r="I44" s="172" t="s">
        <v>42</v>
      </c>
      <c r="J44" s="172" t="s">
        <v>43</v>
      </c>
      <c r="K44" s="172" t="s">
        <v>44</v>
      </c>
      <c r="L44" s="172" t="s">
        <v>45</v>
      </c>
      <c r="M44" s="172" t="s">
        <v>46</v>
      </c>
      <c r="N44" s="172" t="s">
        <v>47</v>
      </c>
      <c r="O44" s="173" t="s">
        <v>262</v>
      </c>
      <c r="P44" s="173" t="s">
        <v>263</v>
      </c>
      <c r="Q44" s="175" t="s">
        <v>264</v>
      </c>
      <c r="R44" s="176" t="s">
        <v>207</v>
      </c>
      <c r="S44" s="173" t="s">
        <v>1071</v>
      </c>
      <c r="T44" s="177">
        <v>868.6</v>
      </c>
      <c r="U44" s="177">
        <v>-267.95999999999998</v>
      </c>
      <c r="V44" s="178">
        <v>-267.95999999999998</v>
      </c>
      <c r="W44" s="179" t="s">
        <v>1072</v>
      </c>
      <c r="X44" s="184">
        <v>46035</v>
      </c>
      <c r="Y44" s="181">
        <v>46035</v>
      </c>
      <c r="Z44" s="176" t="s">
        <v>257</v>
      </c>
      <c r="AA44" s="182" t="s">
        <v>258</v>
      </c>
      <c r="AB44" s="176" t="s">
        <v>56</v>
      </c>
      <c r="AC44" s="176" t="s">
        <v>236</v>
      </c>
      <c r="AD44" s="176" t="s">
        <v>256</v>
      </c>
      <c r="AE44" s="183">
        <v>-267.95999999999998</v>
      </c>
      <c r="AF44" s="175" t="s">
        <v>265</v>
      </c>
      <c r="AG44" s="175" t="s">
        <v>61</v>
      </c>
      <c r="AH44" s="175" t="s">
        <v>72</v>
      </c>
      <c r="AI44" s="175" t="s">
        <v>991</v>
      </c>
    </row>
    <row r="45" spans="1:35" x14ac:dyDescent="0.25">
      <c r="A45" s="170">
        <v>3403</v>
      </c>
      <c r="B45" s="171" t="s">
        <v>36</v>
      </c>
      <c r="C45" s="172" t="s">
        <v>37</v>
      </c>
      <c r="D45" s="172" t="s">
        <v>36</v>
      </c>
      <c r="E45" s="172" t="s">
        <v>38</v>
      </c>
      <c r="F45" s="172" t="s">
        <v>39</v>
      </c>
      <c r="G45" s="172" t="s">
        <v>40</v>
      </c>
      <c r="H45" s="173" t="s">
        <v>41</v>
      </c>
      <c r="I45" s="172" t="s">
        <v>42</v>
      </c>
      <c r="J45" s="172" t="s">
        <v>43</v>
      </c>
      <c r="K45" s="172" t="s">
        <v>44</v>
      </c>
      <c r="L45" s="174" t="s">
        <v>45</v>
      </c>
      <c r="M45" s="174" t="s">
        <v>46</v>
      </c>
      <c r="N45" s="174" t="s">
        <v>47</v>
      </c>
      <c r="O45" s="173" t="s">
        <v>63</v>
      </c>
      <c r="P45" s="173" t="s">
        <v>64</v>
      </c>
      <c r="Q45" s="175" t="s">
        <v>65</v>
      </c>
      <c r="R45" s="176" t="s">
        <v>51</v>
      </c>
      <c r="S45" s="173" t="s">
        <v>1073</v>
      </c>
      <c r="T45" s="177">
        <v>262</v>
      </c>
      <c r="U45" s="177">
        <v>-262</v>
      </c>
      <c r="V45" s="178">
        <v>-262</v>
      </c>
      <c r="W45" s="179" t="s">
        <v>1074</v>
      </c>
      <c r="X45" s="181">
        <v>46050</v>
      </c>
      <c r="Y45" s="181">
        <v>46068</v>
      </c>
      <c r="Z45" s="176" t="s">
        <v>1075</v>
      </c>
      <c r="AA45" s="182" t="s">
        <v>1076</v>
      </c>
      <c r="AB45" s="176" t="s">
        <v>56</v>
      </c>
      <c r="AC45" s="176" t="s">
        <v>236</v>
      </c>
      <c r="AD45" s="176" t="s">
        <v>256</v>
      </c>
      <c r="AE45" s="183">
        <v>-262</v>
      </c>
      <c r="AF45" s="175" t="s">
        <v>70</v>
      </c>
      <c r="AG45" s="175" t="s">
        <v>71</v>
      </c>
      <c r="AH45" s="175" t="s">
        <v>72</v>
      </c>
      <c r="AI45" s="175" t="s">
        <v>991</v>
      </c>
    </row>
    <row r="46" spans="1:35" x14ac:dyDescent="0.25">
      <c r="A46" s="170">
        <v>3409</v>
      </c>
      <c r="B46" s="171" t="s">
        <v>36</v>
      </c>
      <c r="C46" s="172" t="s">
        <v>37</v>
      </c>
      <c r="D46" s="172" t="s">
        <v>36</v>
      </c>
      <c r="E46" s="172" t="s">
        <v>38</v>
      </c>
      <c r="F46" s="172" t="s">
        <v>39</v>
      </c>
      <c r="G46" s="172" t="s">
        <v>40</v>
      </c>
      <c r="H46" s="173" t="s">
        <v>41</v>
      </c>
      <c r="I46" s="172" t="s">
        <v>42</v>
      </c>
      <c r="J46" s="172" t="s">
        <v>43</v>
      </c>
      <c r="K46" s="172" t="s">
        <v>44</v>
      </c>
      <c r="L46" s="174" t="s">
        <v>45</v>
      </c>
      <c r="M46" s="174" t="s">
        <v>46</v>
      </c>
      <c r="N46" s="174" t="s">
        <v>47</v>
      </c>
      <c r="O46" s="173" t="s">
        <v>83</v>
      </c>
      <c r="P46" s="173" t="s">
        <v>84</v>
      </c>
      <c r="Q46" s="175" t="s">
        <v>85</v>
      </c>
      <c r="R46" s="176" t="s">
        <v>51</v>
      </c>
      <c r="S46" s="173" t="s">
        <v>1077</v>
      </c>
      <c r="T46" s="177">
        <v>129.47</v>
      </c>
      <c r="U46" s="177">
        <v>-25.91</v>
      </c>
      <c r="V46" s="178">
        <v>-25.91</v>
      </c>
      <c r="W46" s="179" t="s">
        <v>1078</v>
      </c>
      <c r="X46" s="181">
        <v>46041</v>
      </c>
      <c r="Y46" s="181">
        <v>46069</v>
      </c>
      <c r="Z46" s="176" t="s">
        <v>356</v>
      </c>
      <c r="AA46" s="182" t="s">
        <v>357</v>
      </c>
      <c r="AB46" s="176" t="s">
        <v>56</v>
      </c>
      <c r="AC46" s="176" t="s">
        <v>236</v>
      </c>
      <c r="AD46" s="176" t="s">
        <v>256</v>
      </c>
      <c r="AE46" s="183">
        <v>-25.91</v>
      </c>
      <c r="AF46" s="175" t="s">
        <v>89</v>
      </c>
      <c r="AG46" s="175" t="s">
        <v>61</v>
      </c>
      <c r="AH46" s="175" t="s">
        <v>72</v>
      </c>
      <c r="AI46" s="175" t="s">
        <v>991</v>
      </c>
    </row>
    <row r="47" spans="1:35" x14ac:dyDescent="0.25">
      <c r="A47" s="170">
        <v>3640</v>
      </c>
      <c r="B47" s="171" t="s">
        <v>36</v>
      </c>
      <c r="C47" s="172" t="s">
        <v>37</v>
      </c>
      <c r="D47" s="172" t="s">
        <v>36</v>
      </c>
      <c r="E47" s="172" t="s">
        <v>38</v>
      </c>
      <c r="F47" s="172" t="s">
        <v>39</v>
      </c>
      <c r="G47" s="172" t="s">
        <v>40</v>
      </c>
      <c r="H47" s="173" t="s">
        <v>41</v>
      </c>
      <c r="I47" s="172" t="s">
        <v>42</v>
      </c>
      <c r="J47" s="172" t="s">
        <v>43</v>
      </c>
      <c r="K47" s="172" t="s">
        <v>44</v>
      </c>
      <c r="L47" s="174" t="s">
        <v>45</v>
      </c>
      <c r="M47" s="174" t="s">
        <v>46</v>
      </c>
      <c r="N47" s="174" t="s">
        <v>47</v>
      </c>
      <c r="O47" s="173" t="s">
        <v>63</v>
      </c>
      <c r="P47" s="173" t="s">
        <v>64</v>
      </c>
      <c r="Q47" s="175" t="s">
        <v>65</v>
      </c>
      <c r="R47" s="176" t="s">
        <v>51</v>
      </c>
      <c r="S47" s="173" t="s">
        <v>1079</v>
      </c>
      <c r="T47" s="177">
        <v>5000</v>
      </c>
      <c r="U47" s="177">
        <v>-5000</v>
      </c>
      <c r="V47" s="178">
        <v>-5000</v>
      </c>
      <c r="W47" s="179" t="s">
        <v>1080</v>
      </c>
      <c r="X47" s="181">
        <v>46073</v>
      </c>
      <c r="Y47" s="181">
        <v>46078</v>
      </c>
      <c r="Z47" s="176" t="s">
        <v>140</v>
      </c>
      <c r="AA47" s="182" t="s">
        <v>141</v>
      </c>
      <c r="AB47" s="176" t="s">
        <v>56</v>
      </c>
      <c r="AC47" s="176" t="s">
        <v>236</v>
      </c>
      <c r="AD47" s="176" t="s">
        <v>256</v>
      </c>
      <c r="AE47" s="183">
        <v>-5000</v>
      </c>
      <c r="AF47" s="175" t="s">
        <v>70</v>
      </c>
      <c r="AG47" s="175" t="s">
        <v>71</v>
      </c>
      <c r="AH47" s="175" t="s">
        <v>72</v>
      </c>
      <c r="AI47" s="175" t="s">
        <v>991</v>
      </c>
    </row>
    <row r="48" spans="1:35" x14ac:dyDescent="0.25">
      <c r="A48" s="170">
        <v>3735</v>
      </c>
      <c r="B48" s="171" t="s">
        <v>36</v>
      </c>
      <c r="C48" s="172" t="s">
        <v>37</v>
      </c>
      <c r="D48" s="172" t="s">
        <v>36</v>
      </c>
      <c r="E48" s="172" t="s">
        <v>38</v>
      </c>
      <c r="F48" s="172" t="s">
        <v>39</v>
      </c>
      <c r="G48" s="172" t="s">
        <v>40</v>
      </c>
      <c r="H48" s="173" t="s">
        <v>41</v>
      </c>
      <c r="I48" s="172" t="s">
        <v>42</v>
      </c>
      <c r="J48" s="172" t="s">
        <v>43</v>
      </c>
      <c r="K48" s="172" t="s">
        <v>44</v>
      </c>
      <c r="L48" s="174" t="s">
        <v>45</v>
      </c>
      <c r="M48" s="174" t="s">
        <v>46</v>
      </c>
      <c r="N48" s="174" t="s">
        <v>47</v>
      </c>
      <c r="O48" s="173" t="s">
        <v>63</v>
      </c>
      <c r="P48" s="173" t="s">
        <v>64</v>
      </c>
      <c r="Q48" s="175" t="s">
        <v>65</v>
      </c>
      <c r="R48" s="176" t="s">
        <v>51</v>
      </c>
      <c r="S48" s="173" t="s">
        <v>1081</v>
      </c>
      <c r="T48" s="177">
        <v>381.87</v>
      </c>
      <c r="U48" s="177">
        <v>-76.37</v>
      </c>
      <c r="V48" s="178">
        <v>-76.37</v>
      </c>
      <c r="W48" s="179" t="s">
        <v>1082</v>
      </c>
      <c r="X48" s="181">
        <v>46050</v>
      </c>
      <c r="Y48" s="181">
        <v>46080</v>
      </c>
      <c r="Z48" s="176" t="s">
        <v>1083</v>
      </c>
      <c r="AA48" s="182" t="s">
        <v>1084</v>
      </c>
      <c r="AB48" s="176" t="s">
        <v>56</v>
      </c>
      <c r="AC48" s="176" t="s">
        <v>236</v>
      </c>
      <c r="AD48" s="176" t="s">
        <v>256</v>
      </c>
      <c r="AE48" s="183">
        <v>-76.37</v>
      </c>
      <c r="AF48" s="175" t="s">
        <v>70</v>
      </c>
      <c r="AG48" s="175" t="s">
        <v>71</v>
      </c>
      <c r="AH48" s="175" t="s">
        <v>72</v>
      </c>
      <c r="AI48" s="175" t="s">
        <v>991</v>
      </c>
    </row>
    <row r="49" spans="1:35" x14ac:dyDescent="0.25">
      <c r="A49" s="170">
        <v>3882</v>
      </c>
      <c r="B49" s="171" t="s">
        <v>36</v>
      </c>
      <c r="C49" s="172" t="s">
        <v>37</v>
      </c>
      <c r="D49" s="172" t="s">
        <v>36</v>
      </c>
      <c r="E49" s="172" t="s">
        <v>38</v>
      </c>
      <c r="F49" s="172" t="s">
        <v>39</v>
      </c>
      <c r="G49" s="172" t="s">
        <v>40</v>
      </c>
      <c r="H49" s="173" t="s">
        <v>41</v>
      </c>
      <c r="I49" s="172" t="s">
        <v>42</v>
      </c>
      <c r="J49" s="172" t="s">
        <v>43</v>
      </c>
      <c r="K49" s="172" t="s">
        <v>44</v>
      </c>
      <c r="L49" s="174" t="s">
        <v>45</v>
      </c>
      <c r="M49" s="174" t="s">
        <v>46</v>
      </c>
      <c r="N49" s="174" t="s">
        <v>47</v>
      </c>
      <c r="O49" s="173" t="s">
        <v>63</v>
      </c>
      <c r="P49" s="173" t="s">
        <v>64</v>
      </c>
      <c r="Q49" s="175" t="s">
        <v>65</v>
      </c>
      <c r="R49" s="176" t="s">
        <v>51</v>
      </c>
      <c r="S49" s="173" t="s">
        <v>1085</v>
      </c>
      <c r="T49" s="177">
        <v>123</v>
      </c>
      <c r="U49" s="177">
        <v>-123</v>
      </c>
      <c r="V49" s="178">
        <v>-123</v>
      </c>
      <c r="W49" s="179" t="s">
        <v>1086</v>
      </c>
      <c r="X49" s="181">
        <v>46056</v>
      </c>
      <c r="Y49" s="181">
        <v>46086</v>
      </c>
      <c r="Z49" s="176" t="s">
        <v>79</v>
      </c>
      <c r="AA49" s="182" t="s">
        <v>80</v>
      </c>
      <c r="AB49" s="176" t="s">
        <v>56</v>
      </c>
      <c r="AC49" s="176" t="s">
        <v>236</v>
      </c>
      <c r="AD49" s="176" t="s">
        <v>256</v>
      </c>
      <c r="AE49" s="183">
        <v>-123</v>
      </c>
      <c r="AF49" s="175" t="s">
        <v>70</v>
      </c>
      <c r="AG49" s="175" t="s">
        <v>71</v>
      </c>
      <c r="AH49" s="175" t="s">
        <v>72</v>
      </c>
      <c r="AI49" s="175" t="s">
        <v>991</v>
      </c>
    </row>
    <row r="50" spans="1:35" x14ac:dyDescent="0.25">
      <c r="A50" s="170">
        <v>4281</v>
      </c>
      <c r="B50" s="171" t="s">
        <v>36</v>
      </c>
      <c r="C50" s="172" t="s">
        <v>37</v>
      </c>
      <c r="D50" s="172" t="s">
        <v>36</v>
      </c>
      <c r="E50" s="172" t="s">
        <v>38</v>
      </c>
      <c r="F50" s="172" t="s">
        <v>39</v>
      </c>
      <c r="G50" s="172" t="s">
        <v>40</v>
      </c>
      <c r="H50" s="173" t="s">
        <v>41</v>
      </c>
      <c r="I50" s="172" t="s">
        <v>42</v>
      </c>
      <c r="J50" s="172" t="s">
        <v>43</v>
      </c>
      <c r="K50" s="172" t="s">
        <v>44</v>
      </c>
      <c r="L50" s="174" t="s">
        <v>45</v>
      </c>
      <c r="M50" s="174" t="s">
        <v>46</v>
      </c>
      <c r="N50" s="174" t="s">
        <v>47</v>
      </c>
      <c r="O50" s="173" t="s">
        <v>63</v>
      </c>
      <c r="P50" s="173" t="s">
        <v>64</v>
      </c>
      <c r="Q50" s="175" t="s">
        <v>65</v>
      </c>
      <c r="R50" s="176" t="s">
        <v>121</v>
      </c>
      <c r="S50" s="173" t="s">
        <v>1087</v>
      </c>
      <c r="T50" s="177">
        <v>51.99</v>
      </c>
      <c r="U50" s="177">
        <v>-51.99</v>
      </c>
      <c r="V50" s="178">
        <v>-51.99</v>
      </c>
      <c r="W50" s="179" t="s">
        <v>1088</v>
      </c>
      <c r="X50" s="181">
        <v>46077</v>
      </c>
      <c r="Y50" s="181">
        <v>46096</v>
      </c>
      <c r="Z50" s="176" t="s">
        <v>1089</v>
      </c>
      <c r="AA50" s="182" t="s">
        <v>1090</v>
      </c>
      <c r="AB50" s="176" t="s">
        <v>56</v>
      </c>
      <c r="AC50" s="173" t="s">
        <v>236</v>
      </c>
      <c r="AD50" s="176" t="s">
        <v>256</v>
      </c>
      <c r="AE50" s="183">
        <v>-51.99</v>
      </c>
      <c r="AF50" s="175" t="s">
        <v>70</v>
      </c>
      <c r="AG50" s="175" t="s">
        <v>71</v>
      </c>
      <c r="AH50" s="175" t="s">
        <v>72</v>
      </c>
      <c r="AI50" s="175" t="s">
        <v>991</v>
      </c>
    </row>
    <row r="51" spans="1:35" x14ac:dyDescent="0.25">
      <c r="A51" s="170">
        <v>6216</v>
      </c>
      <c r="B51" s="173" t="s">
        <v>1091</v>
      </c>
      <c r="C51" s="173" t="s">
        <v>37</v>
      </c>
      <c r="D51" s="173" t="s">
        <v>1091</v>
      </c>
      <c r="E51" s="172" t="s">
        <v>1092</v>
      </c>
      <c r="F51" s="173" t="s">
        <v>39</v>
      </c>
      <c r="G51" s="173" t="s">
        <v>40</v>
      </c>
      <c r="H51" s="173" t="s">
        <v>41</v>
      </c>
      <c r="I51" s="173" t="s">
        <v>1093</v>
      </c>
      <c r="J51" s="173" t="s">
        <v>43</v>
      </c>
      <c r="K51" s="173" t="s">
        <v>1094</v>
      </c>
      <c r="L51" s="173" t="s">
        <v>1093</v>
      </c>
      <c r="M51" s="173" t="s">
        <v>46</v>
      </c>
      <c r="N51" s="173" t="s">
        <v>1095</v>
      </c>
      <c r="O51" s="173" t="s">
        <v>63</v>
      </c>
      <c r="P51" s="173" t="s">
        <v>64</v>
      </c>
      <c r="Q51" s="175" t="s">
        <v>65</v>
      </c>
      <c r="R51" s="176" t="s">
        <v>51</v>
      </c>
      <c r="S51" s="176" t="s">
        <v>1096</v>
      </c>
      <c r="T51" s="178">
        <v>380</v>
      </c>
      <c r="U51" s="178">
        <v>0</v>
      </c>
      <c r="V51" s="178">
        <v>-380</v>
      </c>
      <c r="W51" s="185" t="s">
        <v>1097</v>
      </c>
      <c r="X51" s="184">
        <v>46106</v>
      </c>
      <c r="Y51" s="181" t="s">
        <v>1098</v>
      </c>
      <c r="Z51" s="176" t="s">
        <v>75</v>
      </c>
      <c r="AA51" s="182" t="s">
        <v>76</v>
      </c>
      <c r="AB51" s="182" t="s">
        <v>1099</v>
      </c>
      <c r="AC51" s="176" t="s">
        <v>236</v>
      </c>
      <c r="AD51" s="176" t="s">
        <v>1100</v>
      </c>
      <c r="AE51" s="186">
        <v>-380</v>
      </c>
      <c r="AF51" s="175" t="s">
        <v>70</v>
      </c>
      <c r="AG51" s="175" t="s">
        <v>71</v>
      </c>
      <c r="AH51" s="175" t="s">
        <v>72</v>
      </c>
      <c r="AI51" s="175" t="s">
        <v>991</v>
      </c>
    </row>
    <row r="52" spans="1:35" x14ac:dyDescent="0.25">
      <c r="A52" s="170">
        <v>6402</v>
      </c>
      <c r="B52" s="173" t="s">
        <v>1091</v>
      </c>
      <c r="C52" s="173" t="s">
        <v>37</v>
      </c>
      <c r="D52" s="173" t="s">
        <v>1091</v>
      </c>
      <c r="E52" s="172" t="s">
        <v>1092</v>
      </c>
      <c r="F52" s="173" t="s">
        <v>39</v>
      </c>
      <c r="G52" s="173" t="s">
        <v>40</v>
      </c>
      <c r="H52" s="173" t="s">
        <v>41</v>
      </c>
      <c r="I52" s="173" t="s">
        <v>1093</v>
      </c>
      <c r="J52" s="173" t="s">
        <v>43</v>
      </c>
      <c r="K52" s="173" t="s">
        <v>1094</v>
      </c>
      <c r="L52" s="173" t="s">
        <v>1093</v>
      </c>
      <c r="M52" s="173" t="s">
        <v>46</v>
      </c>
      <c r="N52" s="173" t="s">
        <v>1095</v>
      </c>
      <c r="O52" s="173" t="s">
        <v>63</v>
      </c>
      <c r="P52" s="173" t="s">
        <v>64</v>
      </c>
      <c r="Q52" s="175" t="s">
        <v>65</v>
      </c>
      <c r="R52" s="176" t="s">
        <v>275</v>
      </c>
      <c r="S52" s="176" t="s">
        <v>1101</v>
      </c>
      <c r="T52" s="178">
        <v>350</v>
      </c>
      <c r="U52" s="178">
        <v>350</v>
      </c>
      <c r="V52" s="178">
        <v>-350</v>
      </c>
      <c r="W52" s="185" t="s">
        <v>1102</v>
      </c>
      <c r="X52" s="184">
        <v>46104</v>
      </c>
      <c r="Y52" s="181" t="s">
        <v>1103</v>
      </c>
      <c r="Z52" s="176" t="s">
        <v>257</v>
      </c>
      <c r="AA52" s="182" t="s">
        <v>258</v>
      </c>
      <c r="AB52" s="182" t="s">
        <v>1099</v>
      </c>
      <c r="AC52" s="176" t="s">
        <v>236</v>
      </c>
      <c r="AD52" s="176" t="s">
        <v>256</v>
      </c>
      <c r="AE52" s="186">
        <v>-350</v>
      </c>
      <c r="AF52" s="175" t="s">
        <v>70</v>
      </c>
      <c r="AG52" s="175" t="s">
        <v>71</v>
      </c>
      <c r="AH52" s="175" t="s">
        <v>72</v>
      </c>
      <c r="AI52" s="175" t="s">
        <v>991</v>
      </c>
    </row>
    <row r="53" spans="1:35" x14ac:dyDescent="0.25">
      <c r="A53" s="170">
        <v>6451</v>
      </c>
      <c r="B53" s="173" t="s">
        <v>1091</v>
      </c>
      <c r="C53" s="173" t="s">
        <v>37</v>
      </c>
      <c r="D53" s="173" t="s">
        <v>1091</v>
      </c>
      <c r="E53" s="172" t="s">
        <v>1092</v>
      </c>
      <c r="F53" s="173" t="s">
        <v>39</v>
      </c>
      <c r="G53" s="173" t="s">
        <v>40</v>
      </c>
      <c r="H53" s="173" t="s">
        <v>41</v>
      </c>
      <c r="I53" s="173" t="s">
        <v>1093</v>
      </c>
      <c r="J53" s="173" t="s">
        <v>43</v>
      </c>
      <c r="K53" s="173" t="s">
        <v>1094</v>
      </c>
      <c r="L53" s="173" t="s">
        <v>1093</v>
      </c>
      <c r="M53" s="173" t="s">
        <v>46</v>
      </c>
      <c r="N53" s="173" t="s">
        <v>1095</v>
      </c>
      <c r="O53" s="173" t="s">
        <v>63</v>
      </c>
      <c r="P53" s="173" t="s">
        <v>64</v>
      </c>
      <c r="Q53" s="175" t="s">
        <v>65</v>
      </c>
      <c r="R53" s="176" t="s">
        <v>121</v>
      </c>
      <c r="S53" s="176" t="s">
        <v>1104</v>
      </c>
      <c r="T53" s="178">
        <v>2000</v>
      </c>
      <c r="U53" s="178">
        <v>2000</v>
      </c>
      <c r="V53" s="178">
        <v>-2000</v>
      </c>
      <c r="W53" s="185" t="s">
        <v>1105</v>
      </c>
      <c r="X53" s="184">
        <v>46104</v>
      </c>
      <c r="Y53" s="181" t="s">
        <v>1103</v>
      </c>
      <c r="Z53" s="176" t="s">
        <v>1106</v>
      </c>
      <c r="AA53" s="182" t="s">
        <v>1107</v>
      </c>
      <c r="AB53" s="182" t="s">
        <v>1099</v>
      </c>
      <c r="AC53" s="176" t="s">
        <v>236</v>
      </c>
      <c r="AD53" s="176" t="s">
        <v>1108</v>
      </c>
      <c r="AE53" s="186">
        <v>-2000</v>
      </c>
      <c r="AF53" s="175" t="s">
        <v>70</v>
      </c>
      <c r="AG53" s="175" t="s">
        <v>71</v>
      </c>
      <c r="AH53" s="175" t="s">
        <v>72</v>
      </c>
      <c r="AI53" s="175" t="s">
        <v>991</v>
      </c>
    </row>
    <row r="54" spans="1:35" x14ac:dyDescent="0.25">
      <c r="A54" s="170">
        <v>6453</v>
      </c>
      <c r="B54" s="173" t="s">
        <v>1091</v>
      </c>
      <c r="C54" s="173" t="s">
        <v>37</v>
      </c>
      <c r="D54" s="173" t="s">
        <v>1091</v>
      </c>
      <c r="E54" s="172" t="s">
        <v>1092</v>
      </c>
      <c r="F54" s="173" t="s">
        <v>39</v>
      </c>
      <c r="G54" s="173" t="s">
        <v>40</v>
      </c>
      <c r="H54" s="173" t="s">
        <v>41</v>
      </c>
      <c r="I54" s="173" t="s">
        <v>1093</v>
      </c>
      <c r="J54" s="173" t="s">
        <v>43</v>
      </c>
      <c r="K54" s="173" t="s">
        <v>1094</v>
      </c>
      <c r="L54" s="173" t="s">
        <v>1093</v>
      </c>
      <c r="M54" s="173" t="s">
        <v>46</v>
      </c>
      <c r="N54" s="173" t="s">
        <v>1095</v>
      </c>
      <c r="O54" s="173" t="s">
        <v>204</v>
      </c>
      <c r="P54" s="173" t="s">
        <v>205</v>
      </c>
      <c r="Q54" s="175" t="s">
        <v>206</v>
      </c>
      <c r="R54" s="176" t="s">
        <v>121</v>
      </c>
      <c r="S54" s="176" t="s">
        <v>1109</v>
      </c>
      <c r="T54" s="178">
        <v>103.08</v>
      </c>
      <c r="U54" s="178">
        <v>103.08</v>
      </c>
      <c r="V54" s="178">
        <v>-103.08</v>
      </c>
      <c r="W54" s="185" t="s">
        <v>1110</v>
      </c>
      <c r="X54" s="184">
        <v>46090</v>
      </c>
      <c r="Y54" s="181" t="s">
        <v>1111</v>
      </c>
      <c r="Z54" s="176" t="s">
        <v>288</v>
      </c>
      <c r="AA54" s="182" t="s">
        <v>289</v>
      </c>
      <c r="AB54" s="182" t="s">
        <v>1099</v>
      </c>
      <c r="AC54" s="176" t="s">
        <v>236</v>
      </c>
      <c r="AD54" s="176" t="s">
        <v>1112</v>
      </c>
      <c r="AE54" s="186">
        <v>-103.08</v>
      </c>
      <c r="AF54" s="175" t="s">
        <v>212</v>
      </c>
      <c r="AG54" s="175" t="s">
        <v>101</v>
      </c>
      <c r="AH54" s="175" t="s">
        <v>201</v>
      </c>
      <c r="AI54" s="175" t="s">
        <v>991</v>
      </c>
    </row>
    <row r="55" spans="1:35" x14ac:dyDescent="0.25">
      <c r="A55" s="170">
        <v>7137</v>
      </c>
      <c r="B55" s="173" t="s">
        <v>1091</v>
      </c>
      <c r="C55" s="173" t="s">
        <v>37</v>
      </c>
      <c r="D55" s="173" t="s">
        <v>1091</v>
      </c>
      <c r="E55" s="173" t="s">
        <v>1092</v>
      </c>
      <c r="F55" s="173" t="s">
        <v>39</v>
      </c>
      <c r="G55" s="173" t="s">
        <v>40</v>
      </c>
      <c r="H55" s="173" t="s">
        <v>41</v>
      </c>
      <c r="I55" s="173" t="s">
        <v>1093</v>
      </c>
      <c r="J55" s="173" t="s">
        <v>43</v>
      </c>
      <c r="K55" s="173" t="s">
        <v>1094</v>
      </c>
      <c r="L55" s="173" t="s">
        <v>1093</v>
      </c>
      <c r="M55" s="173" t="s">
        <v>46</v>
      </c>
      <c r="N55" s="173" t="s">
        <v>1095</v>
      </c>
      <c r="O55" s="173" t="s">
        <v>63</v>
      </c>
      <c r="P55" s="173" t="s">
        <v>64</v>
      </c>
      <c r="Q55" s="175" t="s">
        <v>65</v>
      </c>
      <c r="R55" s="176" t="s">
        <v>51</v>
      </c>
      <c r="S55" s="176" t="s">
        <v>1113</v>
      </c>
      <c r="T55" s="178">
        <v>2000</v>
      </c>
      <c r="U55" s="178">
        <v>2000</v>
      </c>
      <c r="V55" s="178">
        <v>-1000</v>
      </c>
      <c r="W55" s="185" t="s">
        <v>1114</v>
      </c>
      <c r="X55" s="184">
        <v>46107</v>
      </c>
      <c r="Y55" s="181" t="s">
        <v>1115</v>
      </c>
      <c r="Z55" s="176" t="s">
        <v>140</v>
      </c>
      <c r="AA55" s="182" t="s">
        <v>141</v>
      </c>
      <c r="AB55" s="182" t="s">
        <v>1099</v>
      </c>
      <c r="AC55" s="176" t="s">
        <v>236</v>
      </c>
      <c r="AD55" s="176" t="s">
        <v>1116</v>
      </c>
      <c r="AE55" s="186">
        <v>-1000</v>
      </c>
      <c r="AF55" s="175" t="s">
        <v>70</v>
      </c>
      <c r="AG55" s="175" t="s">
        <v>71</v>
      </c>
      <c r="AH55" s="175" t="s">
        <v>72</v>
      </c>
      <c r="AI55" s="175" t="s">
        <v>991</v>
      </c>
    </row>
    <row r="56" spans="1:35" x14ac:dyDescent="0.25">
      <c r="A56" s="170">
        <v>7251</v>
      </c>
      <c r="B56" s="173" t="s">
        <v>1091</v>
      </c>
      <c r="C56" s="173" t="s">
        <v>37</v>
      </c>
      <c r="D56" s="173" t="s">
        <v>1091</v>
      </c>
      <c r="E56" s="173" t="s">
        <v>1092</v>
      </c>
      <c r="F56" s="173" t="s">
        <v>39</v>
      </c>
      <c r="G56" s="173" t="s">
        <v>40</v>
      </c>
      <c r="H56" s="173" t="s">
        <v>41</v>
      </c>
      <c r="I56" s="173" t="s">
        <v>1093</v>
      </c>
      <c r="J56" s="173" t="s">
        <v>43</v>
      </c>
      <c r="K56" s="173" t="s">
        <v>1094</v>
      </c>
      <c r="L56" s="173" t="s">
        <v>1093</v>
      </c>
      <c r="M56" s="173" t="s">
        <v>46</v>
      </c>
      <c r="N56" s="173" t="s">
        <v>1095</v>
      </c>
      <c r="O56" s="173" t="s">
        <v>90</v>
      </c>
      <c r="P56" s="173" t="s">
        <v>91</v>
      </c>
      <c r="Q56" s="175" t="s">
        <v>92</v>
      </c>
      <c r="R56" s="176" t="s">
        <v>51</v>
      </c>
      <c r="S56" s="176" t="s">
        <v>1117</v>
      </c>
      <c r="T56" s="178">
        <v>1118.4000000000001</v>
      </c>
      <c r="U56" s="178">
        <v>1118.4000000000001</v>
      </c>
      <c r="V56" s="178">
        <v>-69.900000000000006</v>
      </c>
      <c r="W56" s="185" t="s">
        <v>1118</v>
      </c>
      <c r="X56" s="184">
        <v>46091</v>
      </c>
      <c r="Y56" s="181" t="s">
        <v>1119</v>
      </c>
      <c r="Z56" s="176" t="s">
        <v>110</v>
      </c>
      <c r="AA56" s="182" t="s">
        <v>95</v>
      </c>
      <c r="AB56" s="182" t="s">
        <v>1099</v>
      </c>
      <c r="AC56" s="176" t="s">
        <v>236</v>
      </c>
      <c r="AD56" s="176" t="s">
        <v>256</v>
      </c>
      <c r="AE56" s="186">
        <v>-69.900000000000006</v>
      </c>
      <c r="AF56" s="175" t="s">
        <v>100</v>
      </c>
      <c r="AG56" s="175" t="s">
        <v>101</v>
      </c>
      <c r="AH56" s="175" t="s">
        <v>102</v>
      </c>
      <c r="AI56" s="175" t="s">
        <v>1020</v>
      </c>
    </row>
    <row r="57" spans="1:35" x14ac:dyDescent="0.25">
      <c r="A57" s="170">
        <v>7313</v>
      </c>
      <c r="B57" s="173" t="s">
        <v>1091</v>
      </c>
      <c r="C57" s="173" t="s">
        <v>37</v>
      </c>
      <c r="D57" s="173" t="s">
        <v>1091</v>
      </c>
      <c r="E57" s="173" t="s">
        <v>1092</v>
      </c>
      <c r="F57" s="173" t="s">
        <v>39</v>
      </c>
      <c r="G57" s="173" t="s">
        <v>40</v>
      </c>
      <c r="H57" s="173" t="s">
        <v>41</v>
      </c>
      <c r="I57" s="173" t="s">
        <v>1093</v>
      </c>
      <c r="J57" s="173" t="s">
        <v>43</v>
      </c>
      <c r="K57" s="173" t="s">
        <v>1094</v>
      </c>
      <c r="L57" s="173" t="s">
        <v>1093</v>
      </c>
      <c r="M57" s="173" t="s">
        <v>46</v>
      </c>
      <c r="N57" s="173" t="s">
        <v>1095</v>
      </c>
      <c r="O57" s="173" t="s">
        <v>63</v>
      </c>
      <c r="P57" s="173" t="s">
        <v>64</v>
      </c>
      <c r="Q57" s="175" t="s">
        <v>65</v>
      </c>
      <c r="R57" s="176" t="s">
        <v>51</v>
      </c>
      <c r="S57" s="176" t="s">
        <v>1120</v>
      </c>
      <c r="T57" s="178">
        <v>3138</v>
      </c>
      <c r="U57" s="178">
        <v>0</v>
      </c>
      <c r="V57" s="178">
        <v>-3138</v>
      </c>
      <c r="W57" s="185" t="s">
        <v>1121</v>
      </c>
      <c r="X57" s="184">
        <v>46098</v>
      </c>
      <c r="Y57" s="181" t="s">
        <v>1098</v>
      </c>
      <c r="Z57" s="176" t="s">
        <v>75</v>
      </c>
      <c r="AA57" s="182" t="s">
        <v>76</v>
      </c>
      <c r="AB57" s="182" t="s">
        <v>1099</v>
      </c>
      <c r="AC57" s="176" t="s">
        <v>236</v>
      </c>
      <c r="AD57" s="176" t="s">
        <v>1122</v>
      </c>
      <c r="AE57" s="186">
        <v>-3138</v>
      </c>
      <c r="AF57" s="175" t="s">
        <v>70</v>
      </c>
      <c r="AG57" s="175" t="s">
        <v>71</v>
      </c>
      <c r="AH57" s="175" t="s">
        <v>72</v>
      </c>
      <c r="AI57" s="175" t="s">
        <v>991</v>
      </c>
    </row>
    <row r="58" spans="1:35" x14ac:dyDescent="0.25">
      <c r="A58" s="170">
        <v>7628</v>
      </c>
      <c r="B58" s="173" t="s">
        <v>1091</v>
      </c>
      <c r="C58" s="173" t="s">
        <v>37</v>
      </c>
      <c r="D58" s="173" t="s">
        <v>1091</v>
      </c>
      <c r="E58" s="173" t="s">
        <v>1092</v>
      </c>
      <c r="F58" s="173" t="s">
        <v>39</v>
      </c>
      <c r="G58" s="173" t="s">
        <v>40</v>
      </c>
      <c r="H58" s="173" t="s">
        <v>41</v>
      </c>
      <c r="I58" s="173" t="s">
        <v>1093</v>
      </c>
      <c r="J58" s="173" t="s">
        <v>43</v>
      </c>
      <c r="K58" s="173" t="s">
        <v>1094</v>
      </c>
      <c r="L58" s="173" t="s">
        <v>1093</v>
      </c>
      <c r="M58" s="173" t="s">
        <v>46</v>
      </c>
      <c r="N58" s="173" t="s">
        <v>1095</v>
      </c>
      <c r="O58" s="173" t="s">
        <v>229</v>
      </c>
      <c r="P58" s="173" t="s">
        <v>230</v>
      </c>
      <c r="Q58" s="175" t="s">
        <v>231</v>
      </c>
      <c r="R58" s="176" t="s">
        <v>207</v>
      </c>
      <c r="S58" s="176" t="s">
        <v>1123</v>
      </c>
      <c r="T58" s="178">
        <v>1155.32</v>
      </c>
      <c r="U58" s="178">
        <v>1155.32</v>
      </c>
      <c r="V58" s="178">
        <v>-33.04</v>
      </c>
      <c r="W58" s="185" t="s">
        <v>1124</v>
      </c>
      <c r="X58" s="184">
        <v>46083</v>
      </c>
      <c r="Y58" s="181" t="s">
        <v>1119</v>
      </c>
      <c r="Z58" s="176" t="s">
        <v>234</v>
      </c>
      <c r="AA58" s="182" t="s">
        <v>235</v>
      </c>
      <c r="AB58" s="182" t="s">
        <v>1099</v>
      </c>
      <c r="AC58" s="176" t="s">
        <v>236</v>
      </c>
      <c r="AD58" s="176" t="s">
        <v>1125</v>
      </c>
      <c r="AE58" s="186">
        <v>-33.04</v>
      </c>
      <c r="AF58" s="175" t="s">
        <v>237</v>
      </c>
      <c r="AG58" s="175" t="s">
        <v>238</v>
      </c>
      <c r="AH58" s="175" t="s">
        <v>102</v>
      </c>
      <c r="AI58" s="175" t="s">
        <v>1020</v>
      </c>
    </row>
    <row r="59" spans="1:35" x14ac:dyDescent="0.25">
      <c r="A59" s="170">
        <v>7711</v>
      </c>
      <c r="B59" s="173" t="s">
        <v>1091</v>
      </c>
      <c r="C59" s="173" t="s">
        <v>37</v>
      </c>
      <c r="D59" s="173" t="s">
        <v>1091</v>
      </c>
      <c r="E59" s="173" t="s">
        <v>1092</v>
      </c>
      <c r="F59" s="173" t="s">
        <v>39</v>
      </c>
      <c r="G59" s="173" t="s">
        <v>40</v>
      </c>
      <c r="H59" s="173" t="s">
        <v>41</v>
      </c>
      <c r="I59" s="173" t="s">
        <v>1093</v>
      </c>
      <c r="J59" s="173" t="s">
        <v>43</v>
      </c>
      <c r="K59" s="173" t="s">
        <v>1094</v>
      </c>
      <c r="L59" s="173" t="s">
        <v>1093</v>
      </c>
      <c r="M59" s="173" t="s">
        <v>46</v>
      </c>
      <c r="N59" s="173" t="s">
        <v>1095</v>
      </c>
      <c r="O59" s="173" t="s">
        <v>63</v>
      </c>
      <c r="P59" s="173" t="s">
        <v>64</v>
      </c>
      <c r="Q59" s="175" t="s">
        <v>65</v>
      </c>
      <c r="R59" s="176" t="s">
        <v>51</v>
      </c>
      <c r="S59" s="176" t="s">
        <v>1126</v>
      </c>
      <c r="T59" s="178">
        <v>1800</v>
      </c>
      <c r="U59" s="178">
        <v>1800</v>
      </c>
      <c r="V59" s="178">
        <v>-1800</v>
      </c>
      <c r="W59" s="185" t="s">
        <v>1127</v>
      </c>
      <c r="X59" s="184">
        <v>46086</v>
      </c>
      <c r="Y59" s="181" t="s">
        <v>1119</v>
      </c>
      <c r="Z59" s="176" t="s">
        <v>1128</v>
      </c>
      <c r="AA59" s="182" t="s">
        <v>1129</v>
      </c>
      <c r="AB59" s="182" t="s">
        <v>1099</v>
      </c>
      <c r="AC59" s="176" t="s">
        <v>236</v>
      </c>
      <c r="AD59" s="176" t="s">
        <v>1130</v>
      </c>
      <c r="AE59" s="186">
        <v>-1800</v>
      </c>
      <c r="AF59" s="175" t="s">
        <v>70</v>
      </c>
      <c r="AG59" s="175" t="s">
        <v>71</v>
      </c>
      <c r="AH59" s="175" t="s">
        <v>72</v>
      </c>
      <c r="AI59" s="175" t="s">
        <v>991</v>
      </c>
    </row>
    <row r="60" spans="1:35" x14ac:dyDescent="0.25">
      <c r="A60" s="170">
        <v>7849</v>
      </c>
      <c r="B60" s="173" t="s">
        <v>1091</v>
      </c>
      <c r="C60" s="173" t="s">
        <v>37</v>
      </c>
      <c r="D60" s="173" t="s">
        <v>1091</v>
      </c>
      <c r="E60" s="173" t="s">
        <v>1092</v>
      </c>
      <c r="F60" s="173" t="s">
        <v>39</v>
      </c>
      <c r="G60" s="173" t="s">
        <v>40</v>
      </c>
      <c r="H60" s="173" t="s">
        <v>41</v>
      </c>
      <c r="I60" s="173" t="s">
        <v>1093</v>
      </c>
      <c r="J60" s="173" t="s">
        <v>43</v>
      </c>
      <c r="K60" s="173" t="s">
        <v>1094</v>
      </c>
      <c r="L60" s="173" t="s">
        <v>1093</v>
      </c>
      <c r="M60" s="173" t="s">
        <v>46</v>
      </c>
      <c r="N60" s="173" t="s">
        <v>1095</v>
      </c>
      <c r="O60" s="173" t="s">
        <v>63</v>
      </c>
      <c r="P60" s="173" t="s">
        <v>64</v>
      </c>
      <c r="Q60" s="175" t="s">
        <v>65</v>
      </c>
      <c r="R60" s="176" t="s">
        <v>51</v>
      </c>
      <c r="S60" s="176" t="s">
        <v>1131</v>
      </c>
      <c r="T60" s="178">
        <v>655</v>
      </c>
      <c r="U60" s="178">
        <v>655</v>
      </c>
      <c r="V60" s="178">
        <v>-393</v>
      </c>
      <c r="W60" s="185" t="s">
        <v>1132</v>
      </c>
      <c r="X60" s="184">
        <v>46085</v>
      </c>
      <c r="Y60" s="181" t="s">
        <v>1133</v>
      </c>
      <c r="Z60" s="176" t="s">
        <v>1075</v>
      </c>
      <c r="AA60" s="182" t="s">
        <v>1076</v>
      </c>
      <c r="AB60" s="182" t="s">
        <v>1099</v>
      </c>
      <c r="AC60" s="176" t="s">
        <v>236</v>
      </c>
      <c r="AD60" s="176" t="s">
        <v>1134</v>
      </c>
      <c r="AE60" s="186">
        <v>-393</v>
      </c>
      <c r="AF60" s="175" t="s">
        <v>70</v>
      </c>
      <c r="AG60" s="175" t="s">
        <v>71</v>
      </c>
      <c r="AH60" s="175" t="s">
        <v>72</v>
      </c>
      <c r="AI60" s="175" t="s">
        <v>991</v>
      </c>
    </row>
    <row r="61" spans="1:35" x14ac:dyDescent="0.25">
      <c r="A61" s="170">
        <v>7878</v>
      </c>
      <c r="B61" s="173" t="s">
        <v>1091</v>
      </c>
      <c r="C61" s="173" t="s">
        <v>37</v>
      </c>
      <c r="D61" s="173" t="s">
        <v>1091</v>
      </c>
      <c r="E61" s="173" t="s">
        <v>1092</v>
      </c>
      <c r="F61" s="173" t="s">
        <v>39</v>
      </c>
      <c r="G61" s="173" t="s">
        <v>40</v>
      </c>
      <c r="H61" s="173" t="s">
        <v>41</v>
      </c>
      <c r="I61" s="173" t="s">
        <v>1093</v>
      </c>
      <c r="J61" s="173" t="s">
        <v>43</v>
      </c>
      <c r="K61" s="173" t="s">
        <v>1094</v>
      </c>
      <c r="L61" s="173" t="s">
        <v>1093</v>
      </c>
      <c r="M61" s="173" t="s">
        <v>46</v>
      </c>
      <c r="N61" s="173" t="s">
        <v>1095</v>
      </c>
      <c r="O61" s="173" t="s">
        <v>63</v>
      </c>
      <c r="P61" s="173" t="s">
        <v>64</v>
      </c>
      <c r="Q61" s="175" t="s">
        <v>65</v>
      </c>
      <c r="R61" s="176" t="s">
        <v>51</v>
      </c>
      <c r="S61" s="176" t="s">
        <v>1135</v>
      </c>
      <c r="T61" s="178">
        <v>1200</v>
      </c>
      <c r="U61" s="178">
        <v>1200</v>
      </c>
      <c r="V61" s="178">
        <v>-600</v>
      </c>
      <c r="W61" s="185" t="s">
        <v>1136</v>
      </c>
      <c r="X61" s="184">
        <v>46094</v>
      </c>
      <c r="Y61" s="181" t="s">
        <v>1133</v>
      </c>
      <c r="Z61" s="176" t="s">
        <v>694</v>
      </c>
      <c r="AA61" s="182" t="s">
        <v>695</v>
      </c>
      <c r="AB61" s="182" t="s">
        <v>1099</v>
      </c>
      <c r="AC61" s="176" t="s">
        <v>236</v>
      </c>
      <c r="AD61" s="176" t="s">
        <v>1137</v>
      </c>
      <c r="AE61" s="186">
        <v>-600</v>
      </c>
      <c r="AF61" s="175" t="s">
        <v>70</v>
      </c>
      <c r="AG61" s="175" t="s">
        <v>71</v>
      </c>
      <c r="AH61" s="175" t="s">
        <v>72</v>
      </c>
      <c r="AI61" s="175" t="s">
        <v>991</v>
      </c>
    </row>
    <row r="62" spans="1:35" x14ac:dyDescent="0.25">
      <c r="A62" s="170">
        <v>8339</v>
      </c>
      <c r="B62" s="173" t="s">
        <v>1091</v>
      </c>
      <c r="C62" s="173" t="s">
        <v>37</v>
      </c>
      <c r="D62" s="173" t="s">
        <v>1091</v>
      </c>
      <c r="E62" s="173" t="s">
        <v>1092</v>
      </c>
      <c r="F62" s="173" t="s">
        <v>39</v>
      </c>
      <c r="G62" s="173" t="s">
        <v>40</v>
      </c>
      <c r="H62" s="173" t="s">
        <v>41</v>
      </c>
      <c r="I62" s="173" t="s">
        <v>1093</v>
      </c>
      <c r="J62" s="173" t="s">
        <v>43</v>
      </c>
      <c r="K62" s="173" t="s">
        <v>1094</v>
      </c>
      <c r="L62" s="173" t="s">
        <v>1093</v>
      </c>
      <c r="M62" s="173" t="s">
        <v>46</v>
      </c>
      <c r="N62" s="173" t="s">
        <v>1095</v>
      </c>
      <c r="O62" s="173" t="s">
        <v>229</v>
      </c>
      <c r="P62" s="173" t="s">
        <v>230</v>
      </c>
      <c r="Q62" s="175" t="s">
        <v>231</v>
      </c>
      <c r="R62" s="176" t="s">
        <v>207</v>
      </c>
      <c r="S62" s="176" t="s">
        <v>1138</v>
      </c>
      <c r="T62" s="178">
        <v>920</v>
      </c>
      <c r="U62" s="178">
        <v>920</v>
      </c>
      <c r="V62" s="178">
        <v>-26.31</v>
      </c>
      <c r="W62" s="185" t="s">
        <v>1139</v>
      </c>
      <c r="X62" s="184">
        <v>46082</v>
      </c>
      <c r="Y62" s="181" t="s">
        <v>1140</v>
      </c>
      <c r="Z62" s="176" t="s">
        <v>1018</v>
      </c>
      <c r="AA62" s="182" t="s">
        <v>1019</v>
      </c>
      <c r="AB62" s="182" t="s">
        <v>1099</v>
      </c>
      <c r="AC62" s="176" t="s">
        <v>236</v>
      </c>
      <c r="AD62" s="176" t="s">
        <v>1141</v>
      </c>
      <c r="AE62" s="186">
        <v>-26.31</v>
      </c>
      <c r="AF62" s="175" t="s">
        <v>237</v>
      </c>
      <c r="AG62" s="175" t="s">
        <v>238</v>
      </c>
      <c r="AH62" s="175" t="s">
        <v>102</v>
      </c>
      <c r="AI62" s="175" t="s">
        <v>1020</v>
      </c>
    </row>
    <row r="63" spans="1:35" x14ac:dyDescent="0.25">
      <c r="A63" s="170">
        <v>223</v>
      </c>
      <c r="B63" s="171" t="s">
        <v>36</v>
      </c>
      <c r="C63" s="172" t="s">
        <v>37</v>
      </c>
      <c r="D63" s="172" t="s">
        <v>36</v>
      </c>
      <c r="E63" s="172" t="s">
        <v>38</v>
      </c>
      <c r="F63" s="172" t="s">
        <v>39</v>
      </c>
      <c r="G63" s="172" t="s">
        <v>40</v>
      </c>
      <c r="H63" s="173" t="s">
        <v>41</v>
      </c>
      <c r="I63" s="172" t="s">
        <v>506</v>
      </c>
      <c r="J63" s="172" t="s">
        <v>507</v>
      </c>
      <c r="K63" s="172" t="s">
        <v>508</v>
      </c>
      <c r="L63" s="174" t="s">
        <v>509</v>
      </c>
      <c r="M63" s="174" t="s">
        <v>510</v>
      </c>
      <c r="N63" s="174" t="s">
        <v>511</v>
      </c>
      <c r="O63" s="173" t="s">
        <v>994</v>
      </c>
      <c r="P63" s="173" t="s">
        <v>995</v>
      </c>
      <c r="Q63" s="175" t="s">
        <v>996</v>
      </c>
      <c r="R63" s="176" t="s">
        <v>293</v>
      </c>
      <c r="S63" s="173" t="s">
        <v>1142</v>
      </c>
      <c r="T63" s="177">
        <v>295.83</v>
      </c>
      <c r="U63" s="177">
        <v>-295.83</v>
      </c>
      <c r="V63" s="178">
        <v>-295.83</v>
      </c>
      <c r="W63" s="179" t="s">
        <v>1143</v>
      </c>
      <c r="X63" s="180">
        <v>46036</v>
      </c>
      <c r="Y63" s="181">
        <v>46038</v>
      </c>
      <c r="Z63" s="176" t="s">
        <v>296</v>
      </c>
      <c r="AA63" s="182" t="s">
        <v>297</v>
      </c>
      <c r="AB63" s="176" t="s">
        <v>56</v>
      </c>
      <c r="AC63" s="176" t="s">
        <v>236</v>
      </c>
      <c r="AD63" s="176" t="s">
        <v>256</v>
      </c>
      <c r="AE63" s="183">
        <v>-295.83</v>
      </c>
      <c r="AF63" s="175" t="s">
        <v>999</v>
      </c>
      <c r="AG63" s="175" t="s">
        <v>238</v>
      </c>
      <c r="AH63" s="175" t="s">
        <v>201</v>
      </c>
      <c r="AI63" s="175" t="s">
        <v>991</v>
      </c>
    </row>
    <row r="64" spans="1:35" x14ac:dyDescent="0.25">
      <c r="A64" s="170">
        <v>668</v>
      </c>
      <c r="B64" s="173" t="s">
        <v>36</v>
      </c>
      <c r="C64" s="173" t="s">
        <v>37</v>
      </c>
      <c r="D64" s="173" t="s">
        <v>36</v>
      </c>
      <c r="E64" s="172" t="s">
        <v>38</v>
      </c>
      <c r="F64" s="172" t="s">
        <v>39</v>
      </c>
      <c r="G64" s="172" t="s">
        <v>40</v>
      </c>
      <c r="H64" s="173" t="s">
        <v>41</v>
      </c>
      <c r="I64" s="172" t="s">
        <v>506</v>
      </c>
      <c r="J64" s="172" t="s">
        <v>507</v>
      </c>
      <c r="K64" s="173" t="s">
        <v>508</v>
      </c>
      <c r="L64" s="172" t="s">
        <v>509</v>
      </c>
      <c r="M64" s="172" t="s">
        <v>510</v>
      </c>
      <c r="N64" s="173" t="s">
        <v>511</v>
      </c>
      <c r="O64" s="173" t="s">
        <v>63</v>
      </c>
      <c r="P64" s="173" t="s">
        <v>64</v>
      </c>
      <c r="Q64" s="175" t="s">
        <v>65</v>
      </c>
      <c r="R64" s="176" t="s">
        <v>51</v>
      </c>
      <c r="S64" s="173" t="s">
        <v>417</v>
      </c>
      <c r="T64" s="177">
        <v>200</v>
      </c>
      <c r="U64" s="177">
        <v>-200</v>
      </c>
      <c r="V64" s="178">
        <v>-200</v>
      </c>
      <c r="W64" s="179" t="s">
        <v>1144</v>
      </c>
      <c r="X64" s="181">
        <v>46057</v>
      </c>
      <c r="Y64" s="181">
        <v>46058</v>
      </c>
      <c r="Z64" s="176" t="s">
        <v>1145</v>
      </c>
      <c r="AA64" s="182" t="s">
        <v>1146</v>
      </c>
      <c r="AB64" s="176" t="s">
        <v>56</v>
      </c>
      <c r="AC64" s="176" t="s">
        <v>236</v>
      </c>
      <c r="AD64" s="176" t="s">
        <v>256</v>
      </c>
      <c r="AE64" s="183">
        <v>-200</v>
      </c>
      <c r="AF64" s="175" t="s">
        <v>70</v>
      </c>
      <c r="AG64" s="175" t="s">
        <v>71</v>
      </c>
      <c r="AH64" s="175" t="s">
        <v>72</v>
      </c>
      <c r="AI64" s="175" t="s">
        <v>991</v>
      </c>
    </row>
    <row r="65" spans="1:35" x14ac:dyDescent="0.25">
      <c r="A65" s="170">
        <v>701</v>
      </c>
      <c r="B65" s="171" t="s">
        <v>36</v>
      </c>
      <c r="C65" s="172" t="s">
        <v>37</v>
      </c>
      <c r="D65" s="172" t="s">
        <v>36</v>
      </c>
      <c r="E65" s="172" t="s">
        <v>38</v>
      </c>
      <c r="F65" s="172" t="s">
        <v>39</v>
      </c>
      <c r="G65" s="172" t="s">
        <v>40</v>
      </c>
      <c r="H65" s="173" t="s">
        <v>41</v>
      </c>
      <c r="I65" s="172" t="s">
        <v>506</v>
      </c>
      <c r="J65" s="172" t="s">
        <v>507</v>
      </c>
      <c r="K65" s="172" t="s">
        <v>508</v>
      </c>
      <c r="L65" s="174" t="s">
        <v>509</v>
      </c>
      <c r="M65" s="174" t="s">
        <v>510</v>
      </c>
      <c r="N65" s="174" t="s">
        <v>511</v>
      </c>
      <c r="O65" s="173" t="s">
        <v>63</v>
      </c>
      <c r="P65" s="173" t="s">
        <v>64</v>
      </c>
      <c r="Q65" s="175" t="s">
        <v>65</v>
      </c>
      <c r="R65" s="176" t="s">
        <v>51</v>
      </c>
      <c r="S65" s="173" t="s">
        <v>1147</v>
      </c>
      <c r="T65" s="177">
        <v>2589.91</v>
      </c>
      <c r="U65" s="177">
        <v>-863.3</v>
      </c>
      <c r="V65" s="178">
        <v>-863.3</v>
      </c>
      <c r="W65" s="179" t="s">
        <v>1148</v>
      </c>
      <c r="X65" s="181">
        <v>46043</v>
      </c>
      <c r="Y65" s="181">
        <v>46058</v>
      </c>
      <c r="Z65" s="176" t="s">
        <v>1149</v>
      </c>
      <c r="AA65" s="182" t="s">
        <v>1150</v>
      </c>
      <c r="AB65" s="176" t="s">
        <v>56</v>
      </c>
      <c r="AC65" s="176" t="s">
        <v>236</v>
      </c>
      <c r="AD65" s="176" t="s">
        <v>256</v>
      </c>
      <c r="AE65" s="183">
        <v>-863.3</v>
      </c>
      <c r="AF65" s="175" t="s">
        <v>70</v>
      </c>
      <c r="AG65" s="175" t="s">
        <v>71</v>
      </c>
      <c r="AH65" s="175" t="s">
        <v>72</v>
      </c>
      <c r="AI65" s="175" t="s">
        <v>991</v>
      </c>
    </row>
    <row r="66" spans="1:35" x14ac:dyDescent="0.25">
      <c r="A66" s="170">
        <v>1030</v>
      </c>
      <c r="B66" s="171" t="s">
        <v>36</v>
      </c>
      <c r="C66" s="172" t="s">
        <v>37</v>
      </c>
      <c r="D66" s="172" t="s">
        <v>36</v>
      </c>
      <c r="E66" s="172" t="s">
        <v>38</v>
      </c>
      <c r="F66" s="172" t="s">
        <v>39</v>
      </c>
      <c r="G66" s="172" t="s">
        <v>40</v>
      </c>
      <c r="H66" s="173" t="s">
        <v>41</v>
      </c>
      <c r="I66" s="172" t="s">
        <v>506</v>
      </c>
      <c r="J66" s="172" t="s">
        <v>507</v>
      </c>
      <c r="K66" s="172" t="s">
        <v>508</v>
      </c>
      <c r="L66" s="174" t="s">
        <v>509</v>
      </c>
      <c r="M66" s="174" t="s">
        <v>510</v>
      </c>
      <c r="N66" s="174" t="s">
        <v>511</v>
      </c>
      <c r="O66" s="173" t="s">
        <v>1151</v>
      </c>
      <c r="P66" s="173" t="s">
        <v>1152</v>
      </c>
      <c r="Q66" s="175" t="s">
        <v>1153</v>
      </c>
      <c r="R66" s="176" t="s">
        <v>275</v>
      </c>
      <c r="S66" s="173" t="s">
        <v>1154</v>
      </c>
      <c r="T66" s="177">
        <v>326.48</v>
      </c>
      <c r="U66" s="177">
        <v>-326.48</v>
      </c>
      <c r="V66" s="178">
        <v>-326.48</v>
      </c>
      <c r="W66" s="179" t="s">
        <v>1155</v>
      </c>
      <c r="X66" s="181">
        <v>46066</v>
      </c>
      <c r="Y66" s="181">
        <v>46066</v>
      </c>
      <c r="Z66" s="176" t="s">
        <v>1156</v>
      </c>
      <c r="AA66" s="182" t="s">
        <v>1157</v>
      </c>
      <c r="AB66" s="176" t="s">
        <v>56</v>
      </c>
      <c r="AC66" s="176" t="s">
        <v>236</v>
      </c>
      <c r="AD66" s="176" t="s">
        <v>256</v>
      </c>
      <c r="AE66" s="183">
        <v>-326.48</v>
      </c>
      <c r="AF66" s="175" t="s">
        <v>1158</v>
      </c>
      <c r="AG66" s="175" t="s">
        <v>321</v>
      </c>
      <c r="AH66" s="175" t="s">
        <v>62</v>
      </c>
      <c r="AI66" s="175" t="s">
        <v>1020</v>
      </c>
    </row>
    <row r="67" spans="1:35" x14ac:dyDescent="0.25">
      <c r="A67" s="170">
        <v>1388</v>
      </c>
      <c r="B67" s="171" t="s">
        <v>36</v>
      </c>
      <c r="C67" s="172" t="s">
        <v>37</v>
      </c>
      <c r="D67" s="172" t="s">
        <v>36</v>
      </c>
      <c r="E67" s="172" t="s">
        <v>38</v>
      </c>
      <c r="F67" s="172" t="s">
        <v>39</v>
      </c>
      <c r="G67" s="172" t="s">
        <v>40</v>
      </c>
      <c r="H67" s="173" t="s">
        <v>41</v>
      </c>
      <c r="I67" s="172" t="s">
        <v>506</v>
      </c>
      <c r="J67" s="172" t="s">
        <v>507</v>
      </c>
      <c r="K67" s="172" t="s">
        <v>508</v>
      </c>
      <c r="L67" s="174" t="s">
        <v>509</v>
      </c>
      <c r="M67" s="174" t="s">
        <v>510</v>
      </c>
      <c r="N67" s="174" t="s">
        <v>511</v>
      </c>
      <c r="O67" s="173" t="s">
        <v>552</v>
      </c>
      <c r="P67" s="173" t="s">
        <v>553</v>
      </c>
      <c r="Q67" s="175" t="s">
        <v>554</v>
      </c>
      <c r="R67" s="176" t="s">
        <v>51</v>
      </c>
      <c r="S67" s="173" t="s">
        <v>142</v>
      </c>
      <c r="T67" s="177">
        <v>315</v>
      </c>
      <c r="U67" s="177">
        <v>-315</v>
      </c>
      <c r="V67" s="178">
        <v>-315</v>
      </c>
      <c r="W67" s="179" t="s">
        <v>1159</v>
      </c>
      <c r="X67" s="181">
        <v>46065</v>
      </c>
      <c r="Y67" s="181">
        <v>46078</v>
      </c>
      <c r="Z67" s="176" t="s">
        <v>339</v>
      </c>
      <c r="AA67" s="182" t="s">
        <v>340</v>
      </c>
      <c r="AB67" s="176" t="s">
        <v>56</v>
      </c>
      <c r="AC67" s="176" t="s">
        <v>236</v>
      </c>
      <c r="AD67" s="176" t="s">
        <v>256</v>
      </c>
      <c r="AE67" s="183">
        <v>-315</v>
      </c>
      <c r="AF67" s="175" t="s">
        <v>559</v>
      </c>
      <c r="AG67" s="175" t="s">
        <v>238</v>
      </c>
      <c r="AH67" s="175" t="s">
        <v>102</v>
      </c>
      <c r="AI67" s="175" t="s">
        <v>1020</v>
      </c>
    </row>
    <row r="68" spans="1:35" x14ac:dyDescent="0.25">
      <c r="A68" s="170">
        <v>1416</v>
      </c>
      <c r="B68" s="171" t="s">
        <v>36</v>
      </c>
      <c r="C68" s="172" t="s">
        <v>37</v>
      </c>
      <c r="D68" s="172" t="s">
        <v>36</v>
      </c>
      <c r="E68" s="172" t="s">
        <v>38</v>
      </c>
      <c r="F68" s="172" t="s">
        <v>39</v>
      </c>
      <c r="G68" s="172" t="s">
        <v>40</v>
      </c>
      <c r="H68" s="173" t="s">
        <v>41</v>
      </c>
      <c r="I68" s="172" t="s">
        <v>506</v>
      </c>
      <c r="J68" s="172" t="s">
        <v>507</v>
      </c>
      <c r="K68" s="172" t="s">
        <v>508</v>
      </c>
      <c r="L68" s="174" t="s">
        <v>509</v>
      </c>
      <c r="M68" s="174" t="s">
        <v>510</v>
      </c>
      <c r="N68" s="174" t="s">
        <v>511</v>
      </c>
      <c r="O68" s="173" t="s">
        <v>83</v>
      </c>
      <c r="P68" s="173" t="s">
        <v>84</v>
      </c>
      <c r="Q68" s="175" t="s">
        <v>85</v>
      </c>
      <c r="R68" s="176" t="s">
        <v>51</v>
      </c>
      <c r="S68" s="173" t="s">
        <v>1027</v>
      </c>
      <c r="T68" s="177">
        <v>579.54</v>
      </c>
      <c r="U68" s="177">
        <v>-82.79</v>
      </c>
      <c r="V68" s="178">
        <v>-82.79</v>
      </c>
      <c r="W68" s="179" t="s">
        <v>1028</v>
      </c>
      <c r="X68" s="181">
        <v>46077</v>
      </c>
      <c r="Y68" s="181">
        <v>46078</v>
      </c>
      <c r="Z68" s="176" t="s">
        <v>88</v>
      </c>
      <c r="AA68" s="182" t="s">
        <v>55</v>
      </c>
      <c r="AB68" s="176" t="s">
        <v>56</v>
      </c>
      <c r="AC68" s="176" t="s">
        <v>236</v>
      </c>
      <c r="AD68" s="176" t="s">
        <v>256</v>
      </c>
      <c r="AE68" s="183">
        <v>-82.79</v>
      </c>
      <c r="AF68" s="175" t="s">
        <v>89</v>
      </c>
      <c r="AG68" s="175" t="s">
        <v>61</v>
      </c>
      <c r="AH68" s="175" t="s">
        <v>72</v>
      </c>
      <c r="AI68" s="175" t="s">
        <v>991</v>
      </c>
    </row>
    <row r="69" spans="1:35" x14ac:dyDescent="0.25">
      <c r="A69" s="170">
        <v>1478</v>
      </c>
      <c r="B69" s="171" t="s">
        <v>36</v>
      </c>
      <c r="C69" s="172" t="s">
        <v>37</v>
      </c>
      <c r="D69" s="172" t="s">
        <v>36</v>
      </c>
      <c r="E69" s="172" t="s">
        <v>38</v>
      </c>
      <c r="F69" s="172" t="s">
        <v>39</v>
      </c>
      <c r="G69" s="172" t="s">
        <v>40</v>
      </c>
      <c r="H69" s="173" t="s">
        <v>41</v>
      </c>
      <c r="I69" s="172" t="s">
        <v>506</v>
      </c>
      <c r="J69" s="172" t="s">
        <v>507</v>
      </c>
      <c r="K69" s="172" t="s">
        <v>508</v>
      </c>
      <c r="L69" s="174" t="s">
        <v>509</v>
      </c>
      <c r="M69" s="174" t="s">
        <v>510</v>
      </c>
      <c r="N69" s="174" t="s">
        <v>511</v>
      </c>
      <c r="O69" s="173" t="s">
        <v>63</v>
      </c>
      <c r="P69" s="173" t="s">
        <v>64</v>
      </c>
      <c r="Q69" s="175" t="s">
        <v>65</v>
      </c>
      <c r="R69" s="176" t="s">
        <v>51</v>
      </c>
      <c r="S69" s="173" t="s">
        <v>1006</v>
      </c>
      <c r="T69" s="177">
        <v>4000</v>
      </c>
      <c r="U69" s="177">
        <v>-4000</v>
      </c>
      <c r="V69" s="178">
        <v>-4000</v>
      </c>
      <c r="W69" s="179" t="s">
        <v>1160</v>
      </c>
      <c r="X69" s="181">
        <v>46059</v>
      </c>
      <c r="Y69" s="181">
        <v>46078</v>
      </c>
      <c r="Z69" s="176" t="s">
        <v>324</v>
      </c>
      <c r="AA69" s="182" t="s">
        <v>325</v>
      </c>
      <c r="AB69" s="176" t="s">
        <v>56</v>
      </c>
      <c r="AC69" s="176" t="s">
        <v>236</v>
      </c>
      <c r="AD69" s="176" t="s">
        <v>256</v>
      </c>
      <c r="AE69" s="183">
        <v>-4000</v>
      </c>
      <c r="AF69" s="175" t="s">
        <v>70</v>
      </c>
      <c r="AG69" s="175" t="s">
        <v>71</v>
      </c>
      <c r="AH69" s="175" t="s">
        <v>72</v>
      </c>
      <c r="AI69" s="175" t="s">
        <v>991</v>
      </c>
    </row>
    <row r="70" spans="1:35" x14ac:dyDescent="0.25">
      <c r="A70" s="170">
        <v>1694</v>
      </c>
      <c r="B70" s="173" t="s">
        <v>36</v>
      </c>
      <c r="C70" s="172" t="s">
        <v>37</v>
      </c>
      <c r="D70" s="172" t="s">
        <v>36</v>
      </c>
      <c r="E70" s="172" t="s">
        <v>38</v>
      </c>
      <c r="F70" s="172" t="s">
        <v>39</v>
      </c>
      <c r="G70" s="172" t="s">
        <v>40</v>
      </c>
      <c r="H70" s="173" t="s">
        <v>41</v>
      </c>
      <c r="I70" s="172" t="s">
        <v>506</v>
      </c>
      <c r="J70" s="172" t="s">
        <v>507</v>
      </c>
      <c r="K70" s="172" t="s">
        <v>508</v>
      </c>
      <c r="L70" s="174" t="s">
        <v>509</v>
      </c>
      <c r="M70" s="174" t="s">
        <v>510</v>
      </c>
      <c r="N70" s="174" t="s">
        <v>511</v>
      </c>
      <c r="O70" s="173" t="s">
        <v>63</v>
      </c>
      <c r="P70" s="173" t="s">
        <v>64</v>
      </c>
      <c r="Q70" s="175" t="s">
        <v>65</v>
      </c>
      <c r="R70" s="176" t="s">
        <v>51</v>
      </c>
      <c r="S70" s="173" t="s">
        <v>1147</v>
      </c>
      <c r="T70" s="177">
        <v>2589.91</v>
      </c>
      <c r="U70" s="177">
        <v>-863.3</v>
      </c>
      <c r="V70" s="178">
        <v>-863.3</v>
      </c>
      <c r="W70" s="179" t="s">
        <v>1148</v>
      </c>
      <c r="X70" s="181">
        <v>46043</v>
      </c>
      <c r="Y70" s="181">
        <v>46086</v>
      </c>
      <c r="Z70" s="176" t="s">
        <v>1149</v>
      </c>
      <c r="AA70" s="182" t="s">
        <v>1150</v>
      </c>
      <c r="AB70" s="176" t="s">
        <v>56</v>
      </c>
      <c r="AC70" s="173" t="s">
        <v>236</v>
      </c>
      <c r="AD70" s="176" t="s">
        <v>256</v>
      </c>
      <c r="AE70" s="183">
        <v>-863.3</v>
      </c>
      <c r="AF70" s="175" t="s">
        <v>70</v>
      </c>
      <c r="AG70" s="175" t="s">
        <v>71</v>
      </c>
      <c r="AH70" s="175" t="s">
        <v>72</v>
      </c>
      <c r="AI70" s="175" t="s">
        <v>991</v>
      </c>
    </row>
    <row r="71" spans="1:35" x14ac:dyDescent="0.25">
      <c r="A71" s="170">
        <v>1727</v>
      </c>
      <c r="B71" s="173" t="s">
        <v>36</v>
      </c>
      <c r="C71" s="172" t="s">
        <v>37</v>
      </c>
      <c r="D71" s="172" t="s">
        <v>36</v>
      </c>
      <c r="E71" s="172" t="s">
        <v>38</v>
      </c>
      <c r="F71" s="172" t="s">
        <v>39</v>
      </c>
      <c r="G71" s="172" t="s">
        <v>40</v>
      </c>
      <c r="H71" s="173" t="s">
        <v>41</v>
      </c>
      <c r="I71" s="172" t="s">
        <v>506</v>
      </c>
      <c r="J71" s="172" t="s">
        <v>507</v>
      </c>
      <c r="K71" s="172" t="s">
        <v>508</v>
      </c>
      <c r="L71" s="174" t="s">
        <v>509</v>
      </c>
      <c r="M71" s="174" t="s">
        <v>510</v>
      </c>
      <c r="N71" s="174" t="s">
        <v>511</v>
      </c>
      <c r="O71" s="173" t="s">
        <v>63</v>
      </c>
      <c r="P71" s="173" t="s">
        <v>64</v>
      </c>
      <c r="Q71" s="175" t="s">
        <v>65</v>
      </c>
      <c r="R71" s="176" t="s">
        <v>51</v>
      </c>
      <c r="S71" s="173" t="s">
        <v>1161</v>
      </c>
      <c r="T71" s="177">
        <v>4860</v>
      </c>
      <c r="U71" s="177">
        <v>-1620</v>
      </c>
      <c r="V71" s="178">
        <v>-1620</v>
      </c>
      <c r="W71" s="179" t="s">
        <v>1162</v>
      </c>
      <c r="X71" s="184">
        <v>46077</v>
      </c>
      <c r="Y71" s="181">
        <v>46086</v>
      </c>
      <c r="Z71" s="176" t="s">
        <v>360</v>
      </c>
      <c r="AA71" s="182" t="s">
        <v>361</v>
      </c>
      <c r="AB71" s="176" t="s">
        <v>56</v>
      </c>
      <c r="AC71" s="173" t="s">
        <v>236</v>
      </c>
      <c r="AD71" s="176" t="s">
        <v>256</v>
      </c>
      <c r="AE71" s="183">
        <v>-1620</v>
      </c>
      <c r="AF71" s="175" t="s">
        <v>70</v>
      </c>
      <c r="AG71" s="175" t="s">
        <v>71</v>
      </c>
      <c r="AH71" s="175" t="s">
        <v>72</v>
      </c>
      <c r="AI71" s="175" t="s">
        <v>991</v>
      </c>
    </row>
    <row r="72" spans="1:35" x14ac:dyDescent="0.25">
      <c r="A72" s="170">
        <v>1728</v>
      </c>
      <c r="B72" s="173" t="s">
        <v>36</v>
      </c>
      <c r="C72" s="172" t="s">
        <v>37</v>
      </c>
      <c r="D72" s="172" t="s">
        <v>36</v>
      </c>
      <c r="E72" s="172" t="s">
        <v>38</v>
      </c>
      <c r="F72" s="172" t="s">
        <v>39</v>
      </c>
      <c r="G72" s="172" t="s">
        <v>40</v>
      </c>
      <c r="H72" s="173" t="s">
        <v>41</v>
      </c>
      <c r="I72" s="172" t="s">
        <v>506</v>
      </c>
      <c r="J72" s="172" t="s">
        <v>507</v>
      </c>
      <c r="K72" s="172" t="s">
        <v>508</v>
      </c>
      <c r="L72" s="174" t="s">
        <v>509</v>
      </c>
      <c r="M72" s="174" t="s">
        <v>510</v>
      </c>
      <c r="N72" s="174" t="s">
        <v>511</v>
      </c>
      <c r="O72" s="173" t="s">
        <v>83</v>
      </c>
      <c r="P72" s="173" t="s">
        <v>84</v>
      </c>
      <c r="Q72" s="175" t="s">
        <v>85</v>
      </c>
      <c r="R72" s="176" t="s">
        <v>51</v>
      </c>
      <c r="S72" s="173" t="s">
        <v>1163</v>
      </c>
      <c r="T72" s="177">
        <v>255.76</v>
      </c>
      <c r="U72" s="177">
        <v>-51.16</v>
      </c>
      <c r="V72" s="178">
        <v>-51.16</v>
      </c>
      <c r="W72" s="179" t="s">
        <v>1164</v>
      </c>
      <c r="X72" s="184">
        <v>46080</v>
      </c>
      <c r="Y72" s="181">
        <v>46086</v>
      </c>
      <c r="Z72" s="176" t="s">
        <v>399</v>
      </c>
      <c r="AA72" s="182" t="s">
        <v>400</v>
      </c>
      <c r="AB72" s="176" t="s">
        <v>56</v>
      </c>
      <c r="AC72" s="173" t="s">
        <v>236</v>
      </c>
      <c r="AD72" s="176" t="s">
        <v>256</v>
      </c>
      <c r="AE72" s="183">
        <v>-51.16</v>
      </c>
      <c r="AF72" s="175" t="s">
        <v>89</v>
      </c>
      <c r="AG72" s="175" t="s">
        <v>61</v>
      </c>
      <c r="AH72" s="175" t="s">
        <v>72</v>
      </c>
      <c r="AI72" s="175" t="s">
        <v>991</v>
      </c>
    </row>
    <row r="73" spans="1:35" x14ac:dyDescent="0.25">
      <c r="A73" s="170">
        <v>2197</v>
      </c>
      <c r="B73" s="173" t="s">
        <v>36</v>
      </c>
      <c r="C73" s="172" t="s">
        <v>37</v>
      </c>
      <c r="D73" s="173" t="s">
        <v>36</v>
      </c>
      <c r="E73" s="173" t="s">
        <v>38</v>
      </c>
      <c r="F73" s="172" t="s">
        <v>39</v>
      </c>
      <c r="G73" s="172" t="s">
        <v>40</v>
      </c>
      <c r="H73" s="173" t="s">
        <v>41</v>
      </c>
      <c r="I73" s="172" t="s">
        <v>506</v>
      </c>
      <c r="J73" s="172" t="s">
        <v>507</v>
      </c>
      <c r="K73" s="172" t="s">
        <v>508</v>
      </c>
      <c r="L73" s="174" t="s">
        <v>509</v>
      </c>
      <c r="M73" s="174" t="s">
        <v>510</v>
      </c>
      <c r="N73" s="174" t="s">
        <v>511</v>
      </c>
      <c r="O73" s="173" t="s">
        <v>63</v>
      </c>
      <c r="P73" s="173" t="s">
        <v>64</v>
      </c>
      <c r="Q73" s="175" t="s">
        <v>65</v>
      </c>
      <c r="R73" s="176" t="s">
        <v>51</v>
      </c>
      <c r="S73" s="173" t="s">
        <v>1051</v>
      </c>
      <c r="T73" s="177">
        <v>2326.6999999999998</v>
      </c>
      <c r="U73" s="177">
        <v>-581.66</v>
      </c>
      <c r="V73" s="178">
        <v>-581.66</v>
      </c>
      <c r="W73" s="179" t="s">
        <v>1052</v>
      </c>
      <c r="X73" s="184">
        <v>46064</v>
      </c>
      <c r="Y73" s="181">
        <v>46096</v>
      </c>
      <c r="Z73" s="176" t="s">
        <v>1053</v>
      </c>
      <c r="AA73" s="182" t="s">
        <v>1054</v>
      </c>
      <c r="AB73" s="176" t="s">
        <v>56</v>
      </c>
      <c r="AC73" s="176" t="s">
        <v>236</v>
      </c>
      <c r="AD73" s="176" t="s">
        <v>256</v>
      </c>
      <c r="AE73" s="183">
        <v>-581.66</v>
      </c>
      <c r="AF73" s="175" t="s">
        <v>70</v>
      </c>
      <c r="AG73" s="175" t="s">
        <v>71</v>
      </c>
      <c r="AH73" s="175" t="s">
        <v>72</v>
      </c>
      <c r="AI73" s="175" t="s">
        <v>991</v>
      </c>
    </row>
    <row r="74" spans="1:35" x14ac:dyDescent="0.25">
      <c r="A74" s="170">
        <v>2945</v>
      </c>
      <c r="B74" s="171" t="s">
        <v>36</v>
      </c>
      <c r="C74" s="172" t="s">
        <v>37</v>
      </c>
      <c r="D74" s="172" t="s">
        <v>36</v>
      </c>
      <c r="E74" s="172" t="s">
        <v>38</v>
      </c>
      <c r="F74" s="172" t="s">
        <v>39</v>
      </c>
      <c r="G74" s="172" t="s">
        <v>40</v>
      </c>
      <c r="H74" s="173" t="s">
        <v>41</v>
      </c>
      <c r="I74" s="172" t="s">
        <v>506</v>
      </c>
      <c r="J74" s="172" t="s">
        <v>507</v>
      </c>
      <c r="K74" s="172" t="s">
        <v>508</v>
      </c>
      <c r="L74" s="174" t="s">
        <v>509</v>
      </c>
      <c r="M74" s="174" t="s">
        <v>510</v>
      </c>
      <c r="N74" s="174" t="s">
        <v>511</v>
      </c>
      <c r="O74" s="173" t="s">
        <v>63</v>
      </c>
      <c r="P74" s="173" t="s">
        <v>64</v>
      </c>
      <c r="Q74" s="175" t="s">
        <v>65</v>
      </c>
      <c r="R74" s="176" t="s">
        <v>51</v>
      </c>
      <c r="S74" s="173" t="s">
        <v>1165</v>
      </c>
      <c r="T74" s="177">
        <v>4693.7299999999996</v>
      </c>
      <c r="U74" s="177">
        <v>-1564.58</v>
      </c>
      <c r="V74" s="178">
        <v>-1564.58</v>
      </c>
      <c r="W74" s="179" t="s">
        <v>1166</v>
      </c>
      <c r="X74" s="184">
        <v>46043</v>
      </c>
      <c r="Y74" s="181">
        <v>46058</v>
      </c>
      <c r="Z74" s="176" t="s">
        <v>1149</v>
      </c>
      <c r="AA74" s="182" t="s">
        <v>1150</v>
      </c>
      <c r="AB74" s="176" t="s">
        <v>56</v>
      </c>
      <c r="AC74" s="176" t="s">
        <v>236</v>
      </c>
      <c r="AD74" s="176" t="s">
        <v>256</v>
      </c>
      <c r="AE74" s="183">
        <v>-1564.58</v>
      </c>
      <c r="AF74" s="175" t="s">
        <v>70</v>
      </c>
      <c r="AG74" s="175" t="s">
        <v>71</v>
      </c>
      <c r="AH74" s="175" t="s">
        <v>72</v>
      </c>
      <c r="AI74" s="175" t="s">
        <v>991</v>
      </c>
    </row>
    <row r="75" spans="1:35" x14ac:dyDescent="0.25">
      <c r="A75" s="170">
        <v>3393</v>
      </c>
      <c r="B75" s="171" t="s">
        <v>36</v>
      </c>
      <c r="C75" s="172" t="s">
        <v>37</v>
      </c>
      <c r="D75" s="172" t="s">
        <v>36</v>
      </c>
      <c r="E75" s="172" t="s">
        <v>38</v>
      </c>
      <c r="F75" s="172" t="s">
        <v>39</v>
      </c>
      <c r="G75" s="172" t="s">
        <v>40</v>
      </c>
      <c r="H75" s="173" t="s">
        <v>41</v>
      </c>
      <c r="I75" s="172" t="s">
        <v>506</v>
      </c>
      <c r="J75" s="172" t="s">
        <v>507</v>
      </c>
      <c r="K75" s="172" t="s">
        <v>508</v>
      </c>
      <c r="L75" s="174" t="s">
        <v>509</v>
      </c>
      <c r="M75" s="174" t="s">
        <v>510</v>
      </c>
      <c r="N75" s="174" t="s">
        <v>511</v>
      </c>
      <c r="O75" s="173" t="s">
        <v>63</v>
      </c>
      <c r="P75" s="173" t="s">
        <v>64</v>
      </c>
      <c r="Q75" s="175" t="s">
        <v>65</v>
      </c>
      <c r="R75" s="176" t="s">
        <v>51</v>
      </c>
      <c r="S75" s="173" t="s">
        <v>142</v>
      </c>
      <c r="T75" s="177">
        <v>6000</v>
      </c>
      <c r="U75" s="177">
        <v>-6000</v>
      </c>
      <c r="V75" s="178">
        <v>-6000</v>
      </c>
      <c r="W75" s="179" t="s">
        <v>1167</v>
      </c>
      <c r="X75" s="181">
        <v>46044</v>
      </c>
      <c r="Y75" s="181">
        <v>46068</v>
      </c>
      <c r="Z75" s="176" t="s">
        <v>324</v>
      </c>
      <c r="AA75" s="182" t="s">
        <v>325</v>
      </c>
      <c r="AB75" s="176" t="s">
        <v>56</v>
      </c>
      <c r="AC75" s="176" t="s">
        <v>236</v>
      </c>
      <c r="AD75" s="176" t="s">
        <v>256</v>
      </c>
      <c r="AE75" s="183">
        <v>-6000</v>
      </c>
      <c r="AF75" s="175" t="s">
        <v>70</v>
      </c>
      <c r="AG75" s="175" t="s">
        <v>71</v>
      </c>
      <c r="AH75" s="175" t="s">
        <v>72</v>
      </c>
      <c r="AI75" s="175" t="s">
        <v>991</v>
      </c>
    </row>
    <row r="76" spans="1:35" x14ac:dyDescent="0.25">
      <c r="A76" s="170">
        <v>3421</v>
      </c>
      <c r="B76" s="171" t="s">
        <v>36</v>
      </c>
      <c r="C76" s="172" t="s">
        <v>37</v>
      </c>
      <c r="D76" s="172" t="s">
        <v>36</v>
      </c>
      <c r="E76" s="172" t="s">
        <v>38</v>
      </c>
      <c r="F76" s="172" t="s">
        <v>39</v>
      </c>
      <c r="G76" s="172" t="s">
        <v>40</v>
      </c>
      <c r="H76" s="173" t="s">
        <v>41</v>
      </c>
      <c r="I76" s="172" t="s">
        <v>506</v>
      </c>
      <c r="J76" s="172" t="s">
        <v>507</v>
      </c>
      <c r="K76" s="172" t="s">
        <v>508</v>
      </c>
      <c r="L76" s="174" t="s">
        <v>509</v>
      </c>
      <c r="M76" s="174" t="s">
        <v>510</v>
      </c>
      <c r="N76" s="174" t="s">
        <v>511</v>
      </c>
      <c r="O76" s="173" t="s">
        <v>63</v>
      </c>
      <c r="P76" s="173" t="s">
        <v>64</v>
      </c>
      <c r="Q76" s="175" t="s">
        <v>65</v>
      </c>
      <c r="R76" s="176" t="s">
        <v>51</v>
      </c>
      <c r="S76" s="173" t="s">
        <v>516</v>
      </c>
      <c r="T76" s="177">
        <v>3905</v>
      </c>
      <c r="U76" s="177">
        <v>-1952.5</v>
      </c>
      <c r="V76" s="178">
        <v>-1952.5</v>
      </c>
      <c r="W76" s="179" t="s">
        <v>1168</v>
      </c>
      <c r="X76" s="181">
        <v>46058</v>
      </c>
      <c r="Y76" s="181">
        <v>46069</v>
      </c>
      <c r="Z76" s="176" t="s">
        <v>360</v>
      </c>
      <c r="AA76" s="182" t="s">
        <v>361</v>
      </c>
      <c r="AB76" s="176" t="s">
        <v>56</v>
      </c>
      <c r="AC76" s="176" t="s">
        <v>236</v>
      </c>
      <c r="AD76" s="176" t="s">
        <v>256</v>
      </c>
      <c r="AE76" s="183">
        <v>-1952.5</v>
      </c>
      <c r="AF76" s="175" t="s">
        <v>70</v>
      </c>
      <c r="AG76" s="175" t="s">
        <v>71</v>
      </c>
      <c r="AH76" s="175" t="s">
        <v>72</v>
      </c>
      <c r="AI76" s="175" t="s">
        <v>991</v>
      </c>
    </row>
    <row r="77" spans="1:35" x14ac:dyDescent="0.25">
      <c r="A77" s="170">
        <v>3885</v>
      </c>
      <c r="B77" s="171" t="s">
        <v>36</v>
      </c>
      <c r="C77" s="172" t="s">
        <v>37</v>
      </c>
      <c r="D77" s="172" t="s">
        <v>36</v>
      </c>
      <c r="E77" s="172" t="s">
        <v>38</v>
      </c>
      <c r="F77" s="172" t="s">
        <v>39</v>
      </c>
      <c r="G77" s="172" t="s">
        <v>40</v>
      </c>
      <c r="H77" s="173" t="s">
        <v>41</v>
      </c>
      <c r="I77" s="172" t="s">
        <v>506</v>
      </c>
      <c r="J77" s="172" t="s">
        <v>507</v>
      </c>
      <c r="K77" s="172" t="s">
        <v>508</v>
      </c>
      <c r="L77" s="174" t="s">
        <v>509</v>
      </c>
      <c r="M77" s="174" t="s">
        <v>510</v>
      </c>
      <c r="N77" s="174" t="s">
        <v>511</v>
      </c>
      <c r="O77" s="173" t="s">
        <v>63</v>
      </c>
      <c r="P77" s="173" t="s">
        <v>64</v>
      </c>
      <c r="Q77" s="175" t="s">
        <v>65</v>
      </c>
      <c r="R77" s="176" t="s">
        <v>51</v>
      </c>
      <c r="S77" s="173" t="s">
        <v>1169</v>
      </c>
      <c r="T77" s="177">
        <v>7830.87</v>
      </c>
      <c r="U77" s="177">
        <v>-7830.87</v>
      </c>
      <c r="V77" s="178">
        <v>-7830.87</v>
      </c>
      <c r="W77" s="179" t="s">
        <v>1170</v>
      </c>
      <c r="X77" s="181">
        <v>46064</v>
      </c>
      <c r="Y77" s="181">
        <v>46086</v>
      </c>
      <c r="Z77" s="176" t="s">
        <v>371</v>
      </c>
      <c r="AA77" s="182" t="s">
        <v>372</v>
      </c>
      <c r="AB77" s="176" t="s">
        <v>56</v>
      </c>
      <c r="AC77" s="176" t="s">
        <v>236</v>
      </c>
      <c r="AD77" s="176" t="s">
        <v>256</v>
      </c>
      <c r="AE77" s="183">
        <v>-7830.87</v>
      </c>
      <c r="AF77" s="175" t="s">
        <v>70</v>
      </c>
      <c r="AG77" s="175" t="s">
        <v>71</v>
      </c>
      <c r="AH77" s="175" t="s">
        <v>72</v>
      </c>
      <c r="AI77" s="175" t="s">
        <v>991</v>
      </c>
    </row>
    <row r="78" spans="1:35" x14ac:dyDescent="0.25">
      <c r="A78" s="170">
        <v>3908</v>
      </c>
      <c r="B78" s="171" t="s">
        <v>36</v>
      </c>
      <c r="C78" s="172" t="s">
        <v>37</v>
      </c>
      <c r="D78" s="172" t="s">
        <v>36</v>
      </c>
      <c r="E78" s="172" t="s">
        <v>38</v>
      </c>
      <c r="F78" s="172" t="s">
        <v>39</v>
      </c>
      <c r="G78" s="172" t="s">
        <v>40</v>
      </c>
      <c r="H78" s="173" t="s">
        <v>41</v>
      </c>
      <c r="I78" s="172" t="s">
        <v>506</v>
      </c>
      <c r="J78" s="172" t="s">
        <v>507</v>
      </c>
      <c r="K78" s="172" t="s">
        <v>508</v>
      </c>
      <c r="L78" s="174" t="s">
        <v>509</v>
      </c>
      <c r="M78" s="174" t="s">
        <v>510</v>
      </c>
      <c r="N78" s="174" t="s">
        <v>511</v>
      </c>
      <c r="O78" s="173" t="s">
        <v>63</v>
      </c>
      <c r="P78" s="173" t="s">
        <v>64</v>
      </c>
      <c r="Q78" s="175" t="s">
        <v>65</v>
      </c>
      <c r="R78" s="176" t="s">
        <v>51</v>
      </c>
      <c r="S78" s="173" t="s">
        <v>1165</v>
      </c>
      <c r="T78" s="177">
        <v>4693.7299999999996</v>
      </c>
      <c r="U78" s="177">
        <v>-1564.58</v>
      </c>
      <c r="V78" s="178">
        <v>-1564.58</v>
      </c>
      <c r="W78" s="179" t="s">
        <v>1166</v>
      </c>
      <c r="X78" s="181">
        <v>46043</v>
      </c>
      <c r="Y78" s="181">
        <v>46086</v>
      </c>
      <c r="Z78" s="176" t="s">
        <v>1149</v>
      </c>
      <c r="AA78" s="182" t="s">
        <v>1150</v>
      </c>
      <c r="AB78" s="176" t="s">
        <v>56</v>
      </c>
      <c r="AC78" s="176" t="s">
        <v>236</v>
      </c>
      <c r="AD78" s="176" t="s">
        <v>256</v>
      </c>
      <c r="AE78" s="183">
        <v>-1564.58</v>
      </c>
      <c r="AF78" s="175" t="s">
        <v>70</v>
      </c>
      <c r="AG78" s="175" t="s">
        <v>71</v>
      </c>
      <c r="AH78" s="175" t="s">
        <v>72</v>
      </c>
      <c r="AI78" s="175" t="s">
        <v>991</v>
      </c>
    </row>
    <row r="79" spans="1:35" x14ac:dyDescent="0.25">
      <c r="A79" s="170">
        <v>4197</v>
      </c>
      <c r="B79" s="171" t="s">
        <v>36</v>
      </c>
      <c r="C79" s="172" t="s">
        <v>37</v>
      </c>
      <c r="D79" s="172" t="s">
        <v>36</v>
      </c>
      <c r="E79" s="172" t="s">
        <v>38</v>
      </c>
      <c r="F79" s="172" t="s">
        <v>39</v>
      </c>
      <c r="G79" s="172" t="s">
        <v>40</v>
      </c>
      <c r="H79" s="173" t="s">
        <v>41</v>
      </c>
      <c r="I79" s="172" t="s">
        <v>506</v>
      </c>
      <c r="J79" s="172" t="s">
        <v>507</v>
      </c>
      <c r="K79" s="172" t="s">
        <v>508</v>
      </c>
      <c r="L79" s="174" t="s">
        <v>509</v>
      </c>
      <c r="M79" s="174" t="s">
        <v>510</v>
      </c>
      <c r="N79" s="174" t="s">
        <v>511</v>
      </c>
      <c r="O79" s="173" t="s">
        <v>63</v>
      </c>
      <c r="P79" s="173" t="s">
        <v>64</v>
      </c>
      <c r="Q79" s="175" t="s">
        <v>65</v>
      </c>
      <c r="R79" s="176" t="s">
        <v>51</v>
      </c>
      <c r="S79" s="173" t="s">
        <v>1165</v>
      </c>
      <c r="T79" s="177">
        <v>4693.7299999999996</v>
      </c>
      <c r="U79" s="177">
        <v>-1564.57</v>
      </c>
      <c r="V79" s="178">
        <v>-1564.57</v>
      </c>
      <c r="W79" s="179" t="s">
        <v>1166</v>
      </c>
      <c r="X79" s="181">
        <v>46043</v>
      </c>
      <c r="Y79" s="181">
        <v>46117</v>
      </c>
      <c r="Z79" s="176" t="s">
        <v>1149</v>
      </c>
      <c r="AA79" s="182" t="s">
        <v>1150</v>
      </c>
      <c r="AB79" s="176" t="s">
        <v>56</v>
      </c>
      <c r="AC79" s="176" t="s">
        <v>236</v>
      </c>
      <c r="AD79" s="176" t="s">
        <v>256</v>
      </c>
      <c r="AE79" s="183">
        <v>-1564.57</v>
      </c>
      <c r="AF79" s="175" t="s">
        <v>70</v>
      </c>
      <c r="AG79" s="175" t="s">
        <v>71</v>
      </c>
      <c r="AH79" s="175" t="s">
        <v>72</v>
      </c>
      <c r="AI79" s="175" t="s">
        <v>991</v>
      </c>
    </row>
    <row r="80" spans="1:35" x14ac:dyDescent="0.25">
      <c r="A80" s="170">
        <v>4341</v>
      </c>
      <c r="B80" s="171" t="s">
        <v>36</v>
      </c>
      <c r="C80" s="172" t="s">
        <v>37</v>
      </c>
      <c r="D80" s="172" t="s">
        <v>36</v>
      </c>
      <c r="E80" s="172" t="s">
        <v>38</v>
      </c>
      <c r="F80" s="172" t="s">
        <v>39</v>
      </c>
      <c r="G80" s="172" t="s">
        <v>40</v>
      </c>
      <c r="H80" s="173" t="s">
        <v>41</v>
      </c>
      <c r="I80" s="172" t="s">
        <v>506</v>
      </c>
      <c r="J80" s="172" t="s">
        <v>507</v>
      </c>
      <c r="K80" s="172" t="s">
        <v>508</v>
      </c>
      <c r="L80" s="174" t="s">
        <v>509</v>
      </c>
      <c r="M80" s="174" t="s">
        <v>510</v>
      </c>
      <c r="N80" s="174" t="s">
        <v>511</v>
      </c>
      <c r="O80" s="173" t="s">
        <v>63</v>
      </c>
      <c r="P80" s="173" t="s">
        <v>64</v>
      </c>
      <c r="Q80" s="175" t="s">
        <v>65</v>
      </c>
      <c r="R80" s="176" t="s">
        <v>51</v>
      </c>
      <c r="S80" s="173" t="s">
        <v>1161</v>
      </c>
      <c r="T80" s="177">
        <v>4860</v>
      </c>
      <c r="U80" s="177">
        <v>-1620</v>
      </c>
      <c r="V80" s="178">
        <v>-1620</v>
      </c>
      <c r="W80" s="179" t="s">
        <v>1162</v>
      </c>
      <c r="X80" s="181">
        <v>46077</v>
      </c>
      <c r="Y80" s="181">
        <v>46117</v>
      </c>
      <c r="Z80" s="176" t="s">
        <v>360</v>
      </c>
      <c r="AA80" s="182" t="s">
        <v>361</v>
      </c>
      <c r="AB80" s="176" t="s">
        <v>56</v>
      </c>
      <c r="AC80" s="173" t="s">
        <v>236</v>
      </c>
      <c r="AD80" s="176" t="s">
        <v>256</v>
      </c>
      <c r="AE80" s="183">
        <v>-1620</v>
      </c>
      <c r="AF80" s="175" t="s">
        <v>70</v>
      </c>
      <c r="AG80" s="175" t="s">
        <v>71</v>
      </c>
      <c r="AH80" s="175" t="s">
        <v>72</v>
      </c>
      <c r="AI80" s="175" t="s">
        <v>991</v>
      </c>
    </row>
    <row r="81" spans="1:35" x14ac:dyDescent="0.25">
      <c r="A81" s="170">
        <v>4360</v>
      </c>
      <c r="B81" s="171" t="s">
        <v>36</v>
      </c>
      <c r="C81" s="172" t="s">
        <v>37</v>
      </c>
      <c r="D81" s="172" t="s">
        <v>36</v>
      </c>
      <c r="E81" s="172" t="s">
        <v>38</v>
      </c>
      <c r="F81" s="172" t="s">
        <v>39</v>
      </c>
      <c r="G81" s="172" t="s">
        <v>40</v>
      </c>
      <c r="H81" s="173" t="s">
        <v>41</v>
      </c>
      <c r="I81" s="172" t="s">
        <v>506</v>
      </c>
      <c r="J81" s="172" t="s">
        <v>507</v>
      </c>
      <c r="K81" s="172" t="s">
        <v>508</v>
      </c>
      <c r="L81" s="174" t="s">
        <v>509</v>
      </c>
      <c r="M81" s="174" t="s">
        <v>510</v>
      </c>
      <c r="N81" s="174" t="s">
        <v>511</v>
      </c>
      <c r="O81" s="173" t="s">
        <v>63</v>
      </c>
      <c r="P81" s="173" t="s">
        <v>64</v>
      </c>
      <c r="Q81" s="175" t="s">
        <v>65</v>
      </c>
      <c r="R81" s="176" t="s">
        <v>51</v>
      </c>
      <c r="S81" s="173" t="s">
        <v>1147</v>
      </c>
      <c r="T81" s="177">
        <v>2589.91</v>
      </c>
      <c r="U81" s="177">
        <v>-863.31</v>
      </c>
      <c r="V81" s="178">
        <v>-863.31</v>
      </c>
      <c r="W81" s="179" t="s">
        <v>1148</v>
      </c>
      <c r="X81" s="181">
        <v>46043</v>
      </c>
      <c r="Y81" s="181">
        <v>46117</v>
      </c>
      <c r="Z81" s="176" t="s">
        <v>1149</v>
      </c>
      <c r="AA81" s="182" t="s">
        <v>1150</v>
      </c>
      <c r="AB81" s="176" t="s">
        <v>56</v>
      </c>
      <c r="AC81" s="173" t="s">
        <v>236</v>
      </c>
      <c r="AD81" s="176" t="s">
        <v>256</v>
      </c>
      <c r="AE81" s="183">
        <v>-863.31</v>
      </c>
      <c r="AF81" s="175" t="s">
        <v>70</v>
      </c>
      <c r="AG81" s="175" t="s">
        <v>71</v>
      </c>
      <c r="AH81" s="175" t="s">
        <v>72</v>
      </c>
      <c r="AI81" s="175" t="s">
        <v>991</v>
      </c>
    </row>
    <row r="82" spans="1:35" x14ac:dyDescent="0.25">
      <c r="A82" s="170">
        <v>4361</v>
      </c>
      <c r="B82" s="171" t="s">
        <v>36</v>
      </c>
      <c r="C82" s="172" t="s">
        <v>37</v>
      </c>
      <c r="D82" s="172" t="s">
        <v>36</v>
      </c>
      <c r="E82" s="172" t="s">
        <v>38</v>
      </c>
      <c r="F82" s="172" t="s">
        <v>39</v>
      </c>
      <c r="G82" s="172" t="s">
        <v>40</v>
      </c>
      <c r="H82" s="173" t="s">
        <v>41</v>
      </c>
      <c r="I82" s="172" t="s">
        <v>506</v>
      </c>
      <c r="J82" s="172" t="s">
        <v>507</v>
      </c>
      <c r="K82" s="172" t="s">
        <v>508</v>
      </c>
      <c r="L82" s="174" t="s">
        <v>509</v>
      </c>
      <c r="M82" s="174" t="s">
        <v>510</v>
      </c>
      <c r="N82" s="174" t="s">
        <v>511</v>
      </c>
      <c r="O82" s="173" t="s">
        <v>63</v>
      </c>
      <c r="P82" s="173" t="s">
        <v>64</v>
      </c>
      <c r="Q82" s="175" t="s">
        <v>65</v>
      </c>
      <c r="R82" s="176" t="s">
        <v>51</v>
      </c>
      <c r="S82" s="173" t="s">
        <v>1161</v>
      </c>
      <c r="T82" s="177">
        <v>4860</v>
      </c>
      <c r="U82" s="177">
        <v>-1620</v>
      </c>
      <c r="V82" s="178">
        <v>-1620</v>
      </c>
      <c r="W82" s="179" t="s">
        <v>1162</v>
      </c>
      <c r="X82" s="181">
        <v>46077</v>
      </c>
      <c r="Y82" s="181">
        <v>46147</v>
      </c>
      <c r="Z82" s="176" t="s">
        <v>360</v>
      </c>
      <c r="AA82" s="182" t="s">
        <v>361</v>
      </c>
      <c r="AB82" s="176" t="s">
        <v>56</v>
      </c>
      <c r="AC82" s="173" t="s">
        <v>236</v>
      </c>
      <c r="AD82" s="176" t="s">
        <v>256</v>
      </c>
      <c r="AE82" s="183">
        <v>-1620</v>
      </c>
      <c r="AF82" s="175" t="s">
        <v>70</v>
      </c>
      <c r="AG82" s="175" t="s">
        <v>71</v>
      </c>
      <c r="AH82" s="175" t="s">
        <v>72</v>
      </c>
      <c r="AI82" s="175" t="s">
        <v>991</v>
      </c>
    </row>
    <row r="83" spans="1:35" x14ac:dyDescent="0.25">
      <c r="A83" s="170">
        <v>7115</v>
      </c>
      <c r="B83" s="173" t="s">
        <v>1091</v>
      </c>
      <c r="C83" s="173" t="s">
        <v>37</v>
      </c>
      <c r="D83" s="173" t="s">
        <v>1091</v>
      </c>
      <c r="E83" s="173" t="s">
        <v>1092</v>
      </c>
      <c r="F83" s="173" t="s">
        <v>39</v>
      </c>
      <c r="G83" s="173" t="s">
        <v>40</v>
      </c>
      <c r="H83" s="173" t="s">
        <v>41</v>
      </c>
      <c r="I83" s="173" t="s">
        <v>506</v>
      </c>
      <c r="J83" s="173" t="s">
        <v>507</v>
      </c>
      <c r="K83" s="173" t="s">
        <v>508</v>
      </c>
      <c r="L83" s="173" t="s">
        <v>1171</v>
      </c>
      <c r="M83" s="173" t="s">
        <v>510</v>
      </c>
      <c r="N83" s="173" t="s">
        <v>1172</v>
      </c>
      <c r="O83" s="173" t="s">
        <v>1173</v>
      </c>
      <c r="P83" s="173" t="s">
        <v>1174</v>
      </c>
      <c r="Q83" s="175" t="s">
        <v>1175</v>
      </c>
      <c r="R83" s="176" t="s">
        <v>51</v>
      </c>
      <c r="S83" s="176" t="s">
        <v>1176</v>
      </c>
      <c r="T83" s="178">
        <v>85</v>
      </c>
      <c r="U83" s="178">
        <v>85</v>
      </c>
      <c r="V83" s="178">
        <v>-85</v>
      </c>
      <c r="W83" s="185" t="s">
        <v>1177</v>
      </c>
      <c r="X83" s="184">
        <v>46104</v>
      </c>
      <c r="Y83" s="181" t="s">
        <v>1115</v>
      </c>
      <c r="Z83" s="176" t="s">
        <v>403</v>
      </c>
      <c r="AA83" s="182" t="s">
        <v>404</v>
      </c>
      <c r="AB83" s="182" t="s">
        <v>1099</v>
      </c>
      <c r="AC83" s="176" t="s">
        <v>236</v>
      </c>
      <c r="AD83" s="176" t="s">
        <v>1178</v>
      </c>
      <c r="AE83" s="186">
        <v>-85</v>
      </c>
      <c r="AF83" s="175" t="s">
        <v>1179</v>
      </c>
      <c r="AG83" s="175" t="s">
        <v>238</v>
      </c>
      <c r="AH83" s="175" t="s">
        <v>201</v>
      </c>
      <c r="AI83" s="175" t="s">
        <v>991</v>
      </c>
    </row>
    <row r="84" spans="1:35" x14ac:dyDescent="0.25">
      <c r="A84" s="170">
        <v>7285</v>
      </c>
      <c r="B84" s="173" t="s">
        <v>1091</v>
      </c>
      <c r="C84" s="173" t="s">
        <v>37</v>
      </c>
      <c r="D84" s="173" t="s">
        <v>1091</v>
      </c>
      <c r="E84" s="173" t="s">
        <v>1092</v>
      </c>
      <c r="F84" s="173" t="s">
        <v>39</v>
      </c>
      <c r="G84" s="173" t="s">
        <v>40</v>
      </c>
      <c r="H84" s="173" t="s">
        <v>41</v>
      </c>
      <c r="I84" s="173" t="s">
        <v>506</v>
      </c>
      <c r="J84" s="173" t="s">
        <v>507</v>
      </c>
      <c r="K84" s="173" t="s">
        <v>508</v>
      </c>
      <c r="L84" s="173" t="s">
        <v>1171</v>
      </c>
      <c r="M84" s="173" t="s">
        <v>510</v>
      </c>
      <c r="N84" s="173" t="s">
        <v>1172</v>
      </c>
      <c r="O84" s="173" t="s">
        <v>552</v>
      </c>
      <c r="P84" s="173" t="s">
        <v>553</v>
      </c>
      <c r="Q84" s="175" t="s">
        <v>554</v>
      </c>
      <c r="R84" s="176" t="s">
        <v>51</v>
      </c>
      <c r="S84" s="176" t="s">
        <v>1180</v>
      </c>
      <c r="T84" s="178">
        <v>945</v>
      </c>
      <c r="U84" s="178">
        <v>945</v>
      </c>
      <c r="V84" s="178">
        <v>-945</v>
      </c>
      <c r="W84" s="185" t="s">
        <v>1181</v>
      </c>
      <c r="X84" s="184">
        <v>46090</v>
      </c>
      <c r="Y84" s="181" t="s">
        <v>1119</v>
      </c>
      <c r="Z84" s="176" t="s">
        <v>339</v>
      </c>
      <c r="AA84" s="182" t="s">
        <v>340</v>
      </c>
      <c r="AB84" s="182" t="s">
        <v>1099</v>
      </c>
      <c r="AC84" s="176" t="s">
        <v>236</v>
      </c>
      <c r="AD84" s="176" t="s">
        <v>1182</v>
      </c>
      <c r="AE84" s="186">
        <v>-945</v>
      </c>
      <c r="AF84" s="175" t="s">
        <v>559</v>
      </c>
      <c r="AG84" s="175" t="s">
        <v>238</v>
      </c>
      <c r="AH84" s="175" t="s">
        <v>102</v>
      </c>
      <c r="AI84" s="175" t="s">
        <v>1020</v>
      </c>
    </row>
    <row r="85" spans="1:35" x14ac:dyDescent="0.25">
      <c r="A85" s="170">
        <v>7630</v>
      </c>
      <c r="B85" s="173" t="s">
        <v>1091</v>
      </c>
      <c r="C85" s="173" t="s">
        <v>37</v>
      </c>
      <c r="D85" s="173" t="s">
        <v>1091</v>
      </c>
      <c r="E85" s="173" t="s">
        <v>1092</v>
      </c>
      <c r="F85" s="173" t="s">
        <v>39</v>
      </c>
      <c r="G85" s="173" t="s">
        <v>40</v>
      </c>
      <c r="H85" s="173" t="s">
        <v>41</v>
      </c>
      <c r="I85" s="173" t="s">
        <v>506</v>
      </c>
      <c r="J85" s="173" t="s">
        <v>507</v>
      </c>
      <c r="K85" s="173" t="s">
        <v>508</v>
      </c>
      <c r="L85" s="173" t="s">
        <v>1171</v>
      </c>
      <c r="M85" s="173" t="s">
        <v>510</v>
      </c>
      <c r="N85" s="173" t="s">
        <v>1172</v>
      </c>
      <c r="O85" s="173" t="s">
        <v>229</v>
      </c>
      <c r="P85" s="173" t="s">
        <v>230</v>
      </c>
      <c r="Q85" s="175" t="s">
        <v>231</v>
      </c>
      <c r="R85" s="176" t="s">
        <v>207</v>
      </c>
      <c r="S85" s="176" t="s">
        <v>1123</v>
      </c>
      <c r="T85" s="178">
        <v>1155.32</v>
      </c>
      <c r="U85" s="178">
        <v>1155.32</v>
      </c>
      <c r="V85" s="178">
        <v>-33.04</v>
      </c>
      <c r="W85" s="185" t="s">
        <v>1124</v>
      </c>
      <c r="X85" s="184">
        <v>46083</v>
      </c>
      <c r="Y85" s="181" t="s">
        <v>1119</v>
      </c>
      <c r="Z85" s="176" t="s">
        <v>234</v>
      </c>
      <c r="AA85" s="182" t="s">
        <v>235</v>
      </c>
      <c r="AB85" s="182" t="s">
        <v>1099</v>
      </c>
      <c r="AC85" s="176" t="s">
        <v>236</v>
      </c>
      <c r="AD85" s="176" t="s">
        <v>1125</v>
      </c>
      <c r="AE85" s="186">
        <v>-33.04</v>
      </c>
      <c r="AF85" s="175" t="s">
        <v>237</v>
      </c>
      <c r="AG85" s="175" t="s">
        <v>238</v>
      </c>
      <c r="AH85" s="175" t="s">
        <v>102</v>
      </c>
      <c r="AI85" s="175" t="s">
        <v>1020</v>
      </c>
    </row>
    <row r="86" spans="1:35" x14ac:dyDescent="0.25">
      <c r="A86" s="170">
        <v>7868</v>
      </c>
      <c r="B86" s="173" t="s">
        <v>1091</v>
      </c>
      <c r="C86" s="173" t="s">
        <v>37</v>
      </c>
      <c r="D86" s="173" t="s">
        <v>1091</v>
      </c>
      <c r="E86" s="173" t="s">
        <v>1092</v>
      </c>
      <c r="F86" s="173" t="s">
        <v>39</v>
      </c>
      <c r="G86" s="173" t="s">
        <v>40</v>
      </c>
      <c r="H86" s="173" t="s">
        <v>41</v>
      </c>
      <c r="I86" s="173" t="s">
        <v>506</v>
      </c>
      <c r="J86" s="173" t="s">
        <v>507</v>
      </c>
      <c r="K86" s="173" t="s">
        <v>508</v>
      </c>
      <c r="L86" s="173" t="s">
        <v>1171</v>
      </c>
      <c r="M86" s="173" t="s">
        <v>510</v>
      </c>
      <c r="N86" s="173" t="s">
        <v>1172</v>
      </c>
      <c r="O86" s="173" t="s">
        <v>63</v>
      </c>
      <c r="P86" s="173" t="s">
        <v>64</v>
      </c>
      <c r="Q86" s="175" t="s">
        <v>65</v>
      </c>
      <c r="R86" s="176" t="s">
        <v>51</v>
      </c>
      <c r="S86" s="176" t="s">
        <v>1183</v>
      </c>
      <c r="T86" s="178">
        <v>7000</v>
      </c>
      <c r="U86" s="178">
        <v>7000</v>
      </c>
      <c r="V86" s="178">
        <v>-7000</v>
      </c>
      <c r="W86" s="185" t="s">
        <v>1184</v>
      </c>
      <c r="X86" s="184">
        <v>46087</v>
      </c>
      <c r="Y86" s="181" t="s">
        <v>1133</v>
      </c>
      <c r="Z86" s="176" t="s">
        <v>324</v>
      </c>
      <c r="AA86" s="182" t="s">
        <v>325</v>
      </c>
      <c r="AB86" s="182" t="s">
        <v>1099</v>
      </c>
      <c r="AC86" s="176" t="s">
        <v>236</v>
      </c>
      <c r="AD86" s="176" t="s">
        <v>1185</v>
      </c>
      <c r="AE86" s="186">
        <v>-7000</v>
      </c>
      <c r="AF86" s="175" t="s">
        <v>70</v>
      </c>
      <c r="AG86" s="175" t="s">
        <v>71</v>
      </c>
      <c r="AH86" s="175" t="s">
        <v>72</v>
      </c>
      <c r="AI86" s="175" t="s">
        <v>991</v>
      </c>
    </row>
    <row r="87" spans="1:35" x14ac:dyDescent="0.25">
      <c r="A87" s="170">
        <v>8518</v>
      </c>
      <c r="B87" s="173" t="s">
        <v>1091</v>
      </c>
      <c r="C87" s="173" t="s">
        <v>37</v>
      </c>
      <c r="D87" s="173" t="s">
        <v>1091</v>
      </c>
      <c r="E87" s="173" t="s">
        <v>1092</v>
      </c>
      <c r="F87" s="173" t="s">
        <v>39</v>
      </c>
      <c r="G87" s="173" t="s">
        <v>40</v>
      </c>
      <c r="H87" s="173" t="s">
        <v>41</v>
      </c>
      <c r="I87" s="173" t="s">
        <v>506</v>
      </c>
      <c r="J87" s="173" t="s">
        <v>507</v>
      </c>
      <c r="K87" s="173" t="s">
        <v>508</v>
      </c>
      <c r="L87" s="173" t="s">
        <v>1171</v>
      </c>
      <c r="M87" s="173" t="s">
        <v>510</v>
      </c>
      <c r="N87" s="173" t="s">
        <v>1172</v>
      </c>
      <c r="O87" s="173" t="s">
        <v>63</v>
      </c>
      <c r="P87" s="173" t="s">
        <v>64</v>
      </c>
      <c r="Q87" s="175" t="s">
        <v>65</v>
      </c>
      <c r="R87" s="176" t="s">
        <v>103</v>
      </c>
      <c r="S87" s="176" t="s">
        <v>1186</v>
      </c>
      <c r="T87" s="178">
        <v>530</v>
      </c>
      <c r="U87" s="178">
        <v>0</v>
      </c>
      <c r="V87" s="178">
        <v>-530</v>
      </c>
      <c r="W87" s="185" t="s">
        <v>1187</v>
      </c>
      <c r="X87" s="184">
        <v>46112</v>
      </c>
      <c r="Y87" s="181" t="s">
        <v>1098</v>
      </c>
      <c r="Z87" s="176" t="s">
        <v>1188</v>
      </c>
      <c r="AA87" s="182" t="s">
        <v>1189</v>
      </c>
      <c r="AB87" s="182" t="s">
        <v>1099</v>
      </c>
      <c r="AC87" s="176" t="s">
        <v>236</v>
      </c>
      <c r="AD87" s="176" t="s">
        <v>1190</v>
      </c>
      <c r="AE87" s="186">
        <v>-530</v>
      </c>
      <c r="AF87" s="175" t="s">
        <v>70</v>
      </c>
      <c r="AG87" s="175" t="s">
        <v>71</v>
      </c>
      <c r="AH87" s="175" t="s">
        <v>72</v>
      </c>
      <c r="AI87" s="175" t="s">
        <v>991</v>
      </c>
    </row>
    <row r="88" spans="1:35" x14ac:dyDescent="0.25">
      <c r="A88" s="170">
        <v>1493</v>
      </c>
      <c r="B88" s="171" t="s">
        <v>36</v>
      </c>
      <c r="C88" s="172" t="s">
        <v>37</v>
      </c>
      <c r="D88" s="172" t="s">
        <v>36</v>
      </c>
      <c r="E88" s="172" t="s">
        <v>38</v>
      </c>
      <c r="F88" s="172" t="s">
        <v>39</v>
      </c>
      <c r="G88" s="172" t="s">
        <v>40</v>
      </c>
      <c r="H88" s="173" t="s">
        <v>41</v>
      </c>
      <c r="I88" s="172" t="s">
        <v>524</v>
      </c>
      <c r="J88" s="172" t="s">
        <v>525</v>
      </c>
      <c r="K88" s="172" t="s">
        <v>526</v>
      </c>
      <c r="L88" s="174" t="s">
        <v>527</v>
      </c>
      <c r="M88" s="174" t="s">
        <v>528</v>
      </c>
      <c r="N88" s="174" t="s">
        <v>529</v>
      </c>
      <c r="O88" s="173" t="s">
        <v>63</v>
      </c>
      <c r="P88" s="173" t="s">
        <v>64</v>
      </c>
      <c r="Q88" s="175" t="s">
        <v>65</v>
      </c>
      <c r="R88" s="176" t="s">
        <v>51</v>
      </c>
      <c r="S88" s="173" t="s">
        <v>1191</v>
      </c>
      <c r="T88" s="177">
        <v>1270</v>
      </c>
      <c r="U88" s="177">
        <v>-1270</v>
      </c>
      <c r="V88" s="178">
        <v>-1270</v>
      </c>
      <c r="W88" s="179" t="s">
        <v>1192</v>
      </c>
      <c r="X88" s="181">
        <v>46062</v>
      </c>
      <c r="Y88" s="181">
        <v>46078</v>
      </c>
      <c r="Z88" s="176" t="s">
        <v>540</v>
      </c>
      <c r="AA88" s="182" t="s">
        <v>541</v>
      </c>
      <c r="AB88" s="176" t="s">
        <v>56</v>
      </c>
      <c r="AC88" s="176" t="s">
        <v>236</v>
      </c>
      <c r="AD88" s="176" t="s">
        <v>256</v>
      </c>
      <c r="AE88" s="183">
        <v>-1270</v>
      </c>
      <c r="AF88" s="175" t="s">
        <v>70</v>
      </c>
      <c r="AG88" s="175" t="s">
        <v>71</v>
      </c>
      <c r="AH88" s="175" t="s">
        <v>72</v>
      </c>
      <c r="AI88" s="175" t="s">
        <v>991</v>
      </c>
    </row>
    <row r="89" spans="1:35" x14ac:dyDescent="0.25">
      <c r="A89" s="170">
        <v>1570</v>
      </c>
      <c r="B89" s="171" t="s">
        <v>36</v>
      </c>
      <c r="C89" s="172" t="s">
        <v>37</v>
      </c>
      <c r="D89" s="172" t="s">
        <v>36</v>
      </c>
      <c r="E89" s="172" t="s">
        <v>38</v>
      </c>
      <c r="F89" s="172" t="s">
        <v>39</v>
      </c>
      <c r="G89" s="172" t="s">
        <v>40</v>
      </c>
      <c r="H89" s="173" t="s">
        <v>41</v>
      </c>
      <c r="I89" s="172" t="s">
        <v>524</v>
      </c>
      <c r="J89" s="172" t="s">
        <v>525</v>
      </c>
      <c r="K89" s="172" t="s">
        <v>526</v>
      </c>
      <c r="L89" s="174" t="s">
        <v>527</v>
      </c>
      <c r="M89" s="174" t="s">
        <v>528</v>
      </c>
      <c r="N89" s="174" t="s">
        <v>529</v>
      </c>
      <c r="O89" s="173" t="s">
        <v>1151</v>
      </c>
      <c r="P89" s="173" t="s">
        <v>1152</v>
      </c>
      <c r="Q89" s="175" t="s">
        <v>1153</v>
      </c>
      <c r="R89" s="176" t="s">
        <v>275</v>
      </c>
      <c r="S89" s="173" t="s">
        <v>1193</v>
      </c>
      <c r="T89" s="177">
        <v>319</v>
      </c>
      <c r="U89" s="177">
        <v>-319</v>
      </c>
      <c r="V89" s="178">
        <v>-319</v>
      </c>
      <c r="W89" s="179" t="s">
        <v>1194</v>
      </c>
      <c r="X89" s="181">
        <v>46059</v>
      </c>
      <c r="Y89" s="181">
        <v>46080</v>
      </c>
      <c r="Z89" s="176" t="s">
        <v>1195</v>
      </c>
      <c r="AA89" s="182" t="s">
        <v>1196</v>
      </c>
      <c r="AB89" s="176" t="s">
        <v>56</v>
      </c>
      <c r="AC89" s="176" t="s">
        <v>236</v>
      </c>
      <c r="AD89" s="176" t="s">
        <v>256</v>
      </c>
      <c r="AE89" s="183">
        <v>-319</v>
      </c>
      <c r="AF89" s="175" t="s">
        <v>1158</v>
      </c>
      <c r="AG89" s="175" t="s">
        <v>321</v>
      </c>
      <c r="AH89" s="175" t="s">
        <v>62</v>
      </c>
      <c r="AI89" s="175" t="s">
        <v>1020</v>
      </c>
    </row>
    <row r="90" spans="1:35" x14ac:dyDescent="0.25">
      <c r="A90" s="170">
        <v>1700</v>
      </c>
      <c r="B90" s="173" t="s">
        <v>36</v>
      </c>
      <c r="C90" s="172" t="s">
        <v>37</v>
      </c>
      <c r="D90" s="172" t="s">
        <v>36</v>
      </c>
      <c r="E90" s="172" t="s">
        <v>38</v>
      </c>
      <c r="F90" s="172" t="s">
        <v>39</v>
      </c>
      <c r="G90" s="172" t="s">
        <v>40</v>
      </c>
      <c r="H90" s="173" t="s">
        <v>41</v>
      </c>
      <c r="I90" s="172" t="s">
        <v>524</v>
      </c>
      <c r="J90" s="172" t="s">
        <v>525</v>
      </c>
      <c r="K90" s="172" t="s">
        <v>526</v>
      </c>
      <c r="L90" s="174" t="s">
        <v>527</v>
      </c>
      <c r="M90" s="174" t="s">
        <v>528</v>
      </c>
      <c r="N90" s="174" t="s">
        <v>529</v>
      </c>
      <c r="O90" s="173" t="s">
        <v>63</v>
      </c>
      <c r="P90" s="173" t="s">
        <v>64</v>
      </c>
      <c r="Q90" s="175" t="s">
        <v>65</v>
      </c>
      <c r="R90" s="176" t="s">
        <v>51</v>
      </c>
      <c r="S90" s="173" t="s">
        <v>1197</v>
      </c>
      <c r="T90" s="177">
        <v>1680</v>
      </c>
      <c r="U90" s="177">
        <v>-1680</v>
      </c>
      <c r="V90" s="178">
        <v>-1680</v>
      </c>
      <c r="W90" s="179" t="s">
        <v>1198</v>
      </c>
      <c r="X90" s="181">
        <v>46062</v>
      </c>
      <c r="Y90" s="181">
        <v>46086</v>
      </c>
      <c r="Z90" s="176" t="s">
        <v>540</v>
      </c>
      <c r="AA90" s="182" t="s">
        <v>541</v>
      </c>
      <c r="AB90" s="176" t="s">
        <v>56</v>
      </c>
      <c r="AC90" s="173" t="s">
        <v>236</v>
      </c>
      <c r="AD90" s="176" t="s">
        <v>256</v>
      </c>
      <c r="AE90" s="183">
        <v>-1680</v>
      </c>
      <c r="AF90" s="175" t="s">
        <v>70</v>
      </c>
      <c r="AG90" s="175" t="s">
        <v>71</v>
      </c>
      <c r="AH90" s="175" t="s">
        <v>72</v>
      </c>
      <c r="AI90" s="175" t="s">
        <v>991</v>
      </c>
    </row>
    <row r="91" spans="1:35" x14ac:dyDescent="0.25">
      <c r="A91" s="170">
        <v>1701</v>
      </c>
      <c r="B91" s="173" t="s">
        <v>36</v>
      </c>
      <c r="C91" s="172" t="s">
        <v>37</v>
      </c>
      <c r="D91" s="172" t="s">
        <v>36</v>
      </c>
      <c r="E91" s="172" t="s">
        <v>38</v>
      </c>
      <c r="F91" s="172" t="s">
        <v>39</v>
      </c>
      <c r="G91" s="172" t="s">
        <v>40</v>
      </c>
      <c r="H91" s="173" t="s">
        <v>41</v>
      </c>
      <c r="I91" s="172" t="s">
        <v>524</v>
      </c>
      <c r="J91" s="172" t="s">
        <v>525</v>
      </c>
      <c r="K91" s="172" t="s">
        <v>526</v>
      </c>
      <c r="L91" s="174" t="s">
        <v>527</v>
      </c>
      <c r="M91" s="174" t="s">
        <v>528</v>
      </c>
      <c r="N91" s="174" t="s">
        <v>529</v>
      </c>
      <c r="O91" s="173" t="s">
        <v>63</v>
      </c>
      <c r="P91" s="173" t="s">
        <v>64</v>
      </c>
      <c r="Q91" s="175" t="s">
        <v>65</v>
      </c>
      <c r="R91" s="176" t="s">
        <v>51</v>
      </c>
      <c r="S91" s="173" t="s">
        <v>1199</v>
      </c>
      <c r="T91" s="177">
        <v>644</v>
      </c>
      <c r="U91" s="177">
        <v>-644</v>
      </c>
      <c r="V91" s="178">
        <v>-644</v>
      </c>
      <c r="W91" s="179" t="s">
        <v>1200</v>
      </c>
      <c r="X91" s="181">
        <v>46062</v>
      </c>
      <c r="Y91" s="181">
        <v>46086</v>
      </c>
      <c r="Z91" s="176" t="s">
        <v>540</v>
      </c>
      <c r="AA91" s="182" t="s">
        <v>541</v>
      </c>
      <c r="AB91" s="176" t="s">
        <v>56</v>
      </c>
      <c r="AC91" s="173" t="s">
        <v>236</v>
      </c>
      <c r="AD91" s="176" t="s">
        <v>256</v>
      </c>
      <c r="AE91" s="183">
        <v>-644</v>
      </c>
      <c r="AF91" s="175" t="s">
        <v>70</v>
      </c>
      <c r="AG91" s="175" t="s">
        <v>71</v>
      </c>
      <c r="AH91" s="175" t="s">
        <v>72</v>
      </c>
      <c r="AI91" s="175" t="s">
        <v>991</v>
      </c>
    </row>
    <row r="92" spans="1:35" x14ac:dyDescent="0.25">
      <c r="A92" s="170">
        <v>1722</v>
      </c>
      <c r="B92" s="173" t="s">
        <v>36</v>
      </c>
      <c r="C92" s="172" t="s">
        <v>37</v>
      </c>
      <c r="D92" s="172" t="s">
        <v>36</v>
      </c>
      <c r="E92" s="172" t="s">
        <v>38</v>
      </c>
      <c r="F92" s="172" t="s">
        <v>39</v>
      </c>
      <c r="G92" s="172" t="s">
        <v>40</v>
      </c>
      <c r="H92" s="173" t="s">
        <v>41</v>
      </c>
      <c r="I92" s="172" t="s">
        <v>524</v>
      </c>
      <c r="J92" s="172" t="s">
        <v>525</v>
      </c>
      <c r="K92" s="172" t="s">
        <v>526</v>
      </c>
      <c r="L92" s="174" t="s">
        <v>527</v>
      </c>
      <c r="M92" s="174" t="s">
        <v>528</v>
      </c>
      <c r="N92" s="174" t="s">
        <v>529</v>
      </c>
      <c r="O92" s="173" t="s">
        <v>63</v>
      </c>
      <c r="P92" s="173" t="s">
        <v>64</v>
      </c>
      <c r="Q92" s="175" t="s">
        <v>65</v>
      </c>
      <c r="R92" s="176" t="s">
        <v>51</v>
      </c>
      <c r="S92" s="173" t="s">
        <v>1201</v>
      </c>
      <c r="T92" s="177">
        <v>880</v>
      </c>
      <c r="U92" s="177">
        <v>-880</v>
      </c>
      <c r="V92" s="178">
        <v>-880</v>
      </c>
      <c r="W92" s="179" t="s">
        <v>1202</v>
      </c>
      <c r="X92" s="184">
        <v>46065</v>
      </c>
      <c r="Y92" s="181">
        <v>46086</v>
      </c>
      <c r="Z92" s="176" t="s">
        <v>540</v>
      </c>
      <c r="AA92" s="182" t="s">
        <v>541</v>
      </c>
      <c r="AB92" s="176" t="s">
        <v>56</v>
      </c>
      <c r="AC92" s="173" t="s">
        <v>236</v>
      </c>
      <c r="AD92" s="176" t="s">
        <v>256</v>
      </c>
      <c r="AE92" s="183">
        <v>-880</v>
      </c>
      <c r="AF92" s="175" t="s">
        <v>70</v>
      </c>
      <c r="AG92" s="175" t="s">
        <v>71</v>
      </c>
      <c r="AH92" s="175" t="s">
        <v>72</v>
      </c>
      <c r="AI92" s="175" t="s">
        <v>991</v>
      </c>
    </row>
    <row r="93" spans="1:35" x14ac:dyDescent="0.25">
      <c r="A93" s="170">
        <v>1742</v>
      </c>
      <c r="B93" s="173" t="s">
        <v>36</v>
      </c>
      <c r="C93" s="172" t="s">
        <v>37</v>
      </c>
      <c r="D93" s="172" t="s">
        <v>36</v>
      </c>
      <c r="E93" s="172" t="s">
        <v>38</v>
      </c>
      <c r="F93" s="172" t="s">
        <v>39</v>
      </c>
      <c r="G93" s="173" t="s">
        <v>40</v>
      </c>
      <c r="H93" s="173" t="s">
        <v>41</v>
      </c>
      <c r="I93" s="172" t="s">
        <v>524</v>
      </c>
      <c r="J93" s="172" t="s">
        <v>525</v>
      </c>
      <c r="K93" s="172" t="s">
        <v>526</v>
      </c>
      <c r="L93" s="174" t="s">
        <v>527</v>
      </c>
      <c r="M93" s="174" t="s">
        <v>528</v>
      </c>
      <c r="N93" s="174" t="s">
        <v>529</v>
      </c>
      <c r="O93" s="173" t="s">
        <v>63</v>
      </c>
      <c r="P93" s="173" t="s">
        <v>64</v>
      </c>
      <c r="Q93" s="175" t="s">
        <v>65</v>
      </c>
      <c r="R93" s="176" t="s">
        <v>121</v>
      </c>
      <c r="S93" s="173" t="s">
        <v>1203</v>
      </c>
      <c r="T93" s="177">
        <v>288.3</v>
      </c>
      <c r="U93" s="177">
        <v>-48.05</v>
      </c>
      <c r="V93" s="178">
        <v>-48.05</v>
      </c>
      <c r="W93" s="179" t="s">
        <v>1204</v>
      </c>
      <c r="X93" s="184">
        <v>46051</v>
      </c>
      <c r="Y93" s="181">
        <v>46068</v>
      </c>
      <c r="Z93" s="176" t="s">
        <v>536</v>
      </c>
      <c r="AA93" s="182" t="s">
        <v>537</v>
      </c>
      <c r="AB93" s="176" t="s">
        <v>56</v>
      </c>
      <c r="AC93" s="173" t="s">
        <v>236</v>
      </c>
      <c r="AD93" s="176" t="s">
        <v>256</v>
      </c>
      <c r="AE93" s="183">
        <v>-48.05</v>
      </c>
      <c r="AF93" s="175" t="s">
        <v>70</v>
      </c>
      <c r="AG93" s="175" t="s">
        <v>71</v>
      </c>
      <c r="AH93" s="175" t="s">
        <v>72</v>
      </c>
      <c r="AI93" s="175" t="s">
        <v>991</v>
      </c>
    </row>
    <row r="94" spans="1:35" x14ac:dyDescent="0.25">
      <c r="A94" s="170">
        <v>1980</v>
      </c>
      <c r="B94" s="173" t="s">
        <v>36</v>
      </c>
      <c r="C94" s="172" t="s">
        <v>37</v>
      </c>
      <c r="D94" s="172" t="s">
        <v>36</v>
      </c>
      <c r="E94" s="172" t="s">
        <v>38</v>
      </c>
      <c r="F94" s="172" t="s">
        <v>39</v>
      </c>
      <c r="G94" s="172" t="s">
        <v>40</v>
      </c>
      <c r="H94" s="173" t="s">
        <v>41</v>
      </c>
      <c r="I94" s="172" t="s">
        <v>524</v>
      </c>
      <c r="J94" s="172" t="s">
        <v>525</v>
      </c>
      <c r="K94" s="172" t="s">
        <v>526</v>
      </c>
      <c r="L94" s="174" t="s">
        <v>527</v>
      </c>
      <c r="M94" s="174" t="s">
        <v>528</v>
      </c>
      <c r="N94" s="174" t="s">
        <v>529</v>
      </c>
      <c r="O94" s="173" t="s">
        <v>63</v>
      </c>
      <c r="P94" s="173" t="s">
        <v>64</v>
      </c>
      <c r="Q94" s="175" t="s">
        <v>65</v>
      </c>
      <c r="R94" s="176" t="s">
        <v>121</v>
      </c>
      <c r="S94" s="173" t="s">
        <v>1203</v>
      </c>
      <c r="T94" s="177">
        <v>288.3</v>
      </c>
      <c r="U94" s="177">
        <v>-48.05</v>
      </c>
      <c r="V94" s="178">
        <v>-48.05</v>
      </c>
      <c r="W94" s="179" t="s">
        <v>1204</v>
      </c>
      <c r="X94" s="184">
        <v>46051</v>
      </c>
      <c r="Y94" s="181">
        <v>46157</v>
      </c>
      <c r="Z94" s="176" t="s">
        <v>536</v>
      </c>
      <c r="AA94" s="182" t="s">
        <v>537</v>
      </c>
      <c r="AB94" s="176" t="s">
        <v>56</v>
      </c>
      <c r="AC94" s="173" t="s">
        <v>236</v>
      </c>
      <c r="AD94" s="176" t="s">
        <v>256</v>
      </c>
      <c r="AE94" s="183">
        <v>-48.05</v>
      </c>
      <c r="AF94" s="175" t="s">
        <v>70</v>
      </c>
      <c r="AG94" s="175" t="s">
        <v>71</v>
      </c>
      <c r="AH94" s="175" t="s">
        <v>72</v>
      </c>
      <c r="AI94" s="175" t="s">
        <v>991</v>
      </c>
    </row>
    <row r="95" spans="1:35" x14ac:dyDescent="0.25">
      <c r="A95" s="170">
        <v>2151</v>
      </c>
      <c r="B95" s="173" t="s">
        <v>36</v>
      </c>
      <c r="C95" s="172" t="s">
        <v>37</v>
      </c>
      <c r="D95" s="173" t="s">
        <v>36</v>
      </c>
      <c r="E95" s="173" t="s">
        <v>38</v>
      </c>
      <c r="F95" s="172" t="s">
        <v>39</v>
      </c>
      <c r="G95" s="172" t="s">
        <v>40</v>
      </c>
      <c r="H95" s="173" t="s">
        <v>41</v>
      </c>
      <c r="I95" s="172" t="s">
        <v>524</v>
      </c>
      <c r="J95" s="172" t="s">
        <v>525</v>
      </c>
      <c r="K95" s="172" t="s">
        <v>526</v>
      </c>
      <c r="L95" s="174" t="s">
        <v>527</v>
      </c>
      <c r="M95" s="174" t="s">
        <v>528</v>
      </c>
      <c r="N95" s="174" t="s">
        <v>529</v>
      </c>
      <c r="O95" s="173" t="s">
        <v>63</v>
      </c>
      <c r="P95" s="173" t="s">
        <v>64</v>
      </c>
      <c r="Q95" s="175" t="s">
        <v>65</v>
      </c>
      <c r="R95" s="176" t="s">
        <v>121</v>
      </c>
      <c r="S95" s="173" t="s">
        <v>1203</v>
      </c>
      <c r="T95" s="177">
        <v>288.3</v>
      </c>
      <c r="U95" s="177">
        <v>-48.05</v>
      </c>
      <c r="V95" s="178">
        <v>-48.05</v>
      </c>
      <c r="W95" s="179" t="s">
        <v>1204</v>
      </c>
      <c r="X95" s="184">
        <v>46051</v>
      </c>
      <c r="Y95" s="181">
        <v>46188</v>
      </c>
      <c r="Z95" s="176" t="s">
        <v>536</v>
      </c>
      <c r="AA95" s="182" t="s">
        <v>537</v>
      </c>
      <c r="AB95" s="176" t="s">
        <v>56</v>
      </c>
      <c r="AC95" s="176" t="s">
        <v>236</v>
      </c>
      <c r="AD95" s="176" t="s">
        <v>256</v>
      </c>
      <c r="AE95" s="183">
        <v>-48.05</v>
      </c>
      <c r="AF95" s="175" t="s">
        <v>70</v>
      </c>
      <c r="AG95" s="175" t="s">
        <v>71</v>
      </c>
      <c r="AH95" s="175" t="s">
        <v>72</v>
      </c>
      <c r="AI95" s="175" t="s">
        <v>991</v>
      </c>
    </row>
    <row r="96" spans="1:35" x14ac:dyDescent="0.25">
      <c r="A96" s="170">
        <v>2232</v>
      </c>
      <c r="B96" s="173" t="s">
        <v>36</v>
      </c>
      <c r="C96" s="172" t="s">
        <v>37</v>
      </c>
      <c r="D96" s="173" t="s">
        <v>36</v>
      </c>
      <c r="E96" s="173" t="s">
        <v>38</v>
      </c>
      <c r="F96" s="172" t="s">
        <v>39</v>
      </c>
      <c r="G96" s="172" t="s">
        <v>40</v>
      </c>
      <c r="H96" s="173" t="s">
        <v>41</v>
      </c>
      <c r="I96" s="172" t="s">
        <v>524</v>
      </c>
      <c r="J96" s="172" t="s">
        <v>525</v>
      </c>
      <c r="K96" s="172" t="s">
        <v>526</v>
      </c>
      <c r="L96" s="174" t="s">
        <v>527</v>
      </c>
      <c r="M96" s="174" t="s">
        <v>528</v>
      </c>
      <c r="N96" s="174" t="s">
        <v>529</v>
      </c>
      <c r="O96" s="173" t="s">
        <v>63</v>
      </c>
      <c r="P96" s="173" t="s">
        <v>64</v>
      </c>
      <c r="Q96" s="175" t="s">
        <v>65</v>
      </c>
      <c r="R96" s="176" t="s">
        <v>121</v>
      </c>
      <c r="S96" s="173" t="s">
        <v>1203</v>
      </c>
      <c r="T96" s="177">
        <v>288.3</v>
      </c>
      <c r="U96" s="177">
        <v>-48.05</v>
      </c>
      <c r="V96" s="178">
        <v>-48.05</v>
      </c>
      <c r="W96" s="179" t="s">
        <v>1204</v>
      </c>
      <c r="X96" s="184">
        <v>46051</v>
      </c>
      <c r="Y96" s="181">
        <v>46127</v>
      </c>
      <c r="Z96" s="176" t="s">
        <v>536</v>
      </c>
      <c r="AA96" s="182" t="s">
        <v>537</v>
      </c>
      <c r="AB96" s="176" t="s">
        <v>56</v>
      </c>
      <c r="AC96" s="176" t="s">
        <v>236</v>
      </c>
      <c r="AD96" s="176" t="s">
        <v>256</v>
      </c>
      <c r="AE96" s="183">
        <v>-48.05</v>
      </c>
      <c r="AF96" s="175" t="s">
        <v>70</v>
      </c>
      <c r="AG96" s="175" t="s">
        <v>71</v>
      </c>
      <c r="AH96" s="175" t="s">
        <v>72</v>
      </c>
      <c r="AI96" s="175" t="s">
        <v>991</v>
      </c>
    </row>
    <row r="97" spans="1:35" x14ac:dyDescent="0.25">
      <c r="A97" s="170">
        <v>2239</v>
      </c>
      <c r="B97" s="173" t="s">
        <v>36</v>
      </c>
      <c r="C97" s="172" t="s">
        <v>37</v>
      </c>
      <c r="D97" s="173" t="s">
        <v>36</v>
      </c>
      <c r="E97" s="173" t="s">
        <v>38</v>
      </c>
      <c r="F97" s="172" t="s">
        <v>39</v>
      </c>
      <c r="G97" s="172" t="s">
        <v>40</v>
      </c>
      <c r="H97" s="173" t="s">
        <v>41</v>
      </c>
      <c r="I97" s="172" t="s">
        <v>524</v>
      </c>
      <c r="J97" s="172" t="s">
        <v>525</v>
      </c>
      <c r="K97" s="172" t="s">
        <v>526</v>
      </c>
      <c r="L97" s="174" t="s">
        <v>527</v>
      </c>
      <c r="M97" s="174" t="s">
        <v>528</v>
      </c>
      <c r="N97" s="174" t="s">
        <v>529</v>
      </c>
      <c r="O97" s="173" t="s">
        <v>63</v>
      </c>
      <c r="P97" s="173" t="s">
        <v>64</v>
      </c>
      <c r="Q97" s="175" t="s">
        <v>65</v>
      </c>
      <c r="R97" s="176" t="s">
        <v>51</v>
      </c>
      <c r="S97" s="173" t="s">
        <v>1205</v>
      </c>
      <c r="T97" s="177">
        <v>1580</v>
      </c>
      <c r="U97" s="177">
        <v>-1580</v>
      </c>
      <c r="V97" s="178">
        <v>-1580</v>
      </c>
      <c r="W97" s="179" t="s">
        <v>1206</v>
      </c>
      <c r="X97" s="184">
        <v>46077</v>
      </c>
      <c r="Y97" s="181">
        <v>46096</v>
      </c>
      <c r="Z97" s="176" t="s">
        <v>532</v>
      </c>
      <c r="AA97" s="182" t="s">
        <v>533</v>
      </c>
      <c r="AB97" s="176" t="s">
        <v>56</v>
      </c>
      <c r="AC97" s="176" t="s">
        <v>236</v>
      </c>
      <c r="AD97" s="176" t="s">
        <v>256</v>
      </c>
      <c r="AE97" s="183">
        <v>-1580</v>
      </c>
      <c r="AF97" s="175" t="s">
        <v>70</v>
      </c>
      <c r="AG97" s="175" t="s">
        <v>71</v>
      </c>
      <c r="AH97" s="175" t="s">
        <v>72</v>
      </c>
      <c r="AI97" s="175" t="s">
        <v>991</v>
      </c>
    </row>
    <row r="98" spans="1:35" x14ac:dyDescent="0.25">
      <c r="A98" s="170">
        <v>2298</v>
      </c>
      <c r="B98" s="173" t="s">
        <v>36</v>
      </c>
      <c r="C98" s="172" t="s">
        <v>37</v>
      </c>
      <c r="D98" s="173" t="s">
        <v>36</v>
      </c>
      <c r="E98" s="173" t="s">
        <v>38</v>
      </c>
      <c r="F98" s="172" t="s">
        <v>39</v>
      </c>
      <c r="G98" s="172" t="s">
        <v>40</v>
      </c>
      <c r="H98" s="173" t="s">
        <v>41</v>
      </c>
      <c r="I98" s="172" t="s">
        <v>524</v>
      </c>
      <c r="J98" s="172" t="s">
        <v>525</v>
      </c>
      <c r="K98" s="172" t="s">
        <v>526</v>
      </c>
      <c r="L98" s="174" t="s">
        <v>527</v>
      </c>
      <c r="M98" s="174" t="s">
        <v>528</v>
      </c>
      <c r="N98" s="174" t="s">
        <v>529</v>
      </c>
      <c r="O98" s="173" t="s">
        <v>63</v>
      </c>
      <c r="P98" s="173" t="s">
        <v>64</v>
      </c>
      <c r="Q98" s="175" t="s">
        <v>65</v>
      </c>
      <c r="R98" s="176" t="s">
        <v>121</v>
      </c>
      <c r="S98" s="173" t="s">
        <v>1203</v>
      </c>
      <c r="T98" s="177">
        <v>288.3</v>
      </c>
      <c r="U98" s="177">
        <v>-48.05</v>
      </c>
      <c r="V98" s="178">
        <v>-48.05</v>
      </c>
      <c r="W98" s="179" t="s">
        <v>1204</v>
      </c>
      <c r="X98" s="184">
        <v>46051</v>
      </c>
      <c r="Y98" s="181">
        <v>46218</v>
      </c>
      <c r="Z98" s="176" t="s">
        <v>536</v>
      </c>
      <c r="AA98" s="182" t="s">
        <v>537</v>
      </c>
      <c r="AB98" s="176" t="s">
        <v>56</v>
      </c>
      <c r="AC98" s="176" t="s">
        <v>236</v>
      </c>
      <c r="AD98" s="176" t="s">
        <v>256</v>
      </c>
      <c r="AE98" s="183">
        <v>-48.05</v>
      </c>
      <c r="AF98" s="175" t="s">
        <v>70</v>
      </c>
      <c r="AG98" s="175" t="s">
        <v>71</v>
      </c>
      <c r="AH98" s="175" t="s">
        <v>72</v>
      </c>
      <c r="AI98" s="175" t="s">
        <v>991</v>
      </c>
    </row>
    <row r="99" spans="1:35" x14ac:dyDescent="0.25">
      <c r="A99" s="170">
        <v>2943</v>
      </c>
      <c r="B99" s="171" t="s">
        <v>36</v>
      </c>
      <c r="C99" s="172" t="s">
        <v>37</v>
      </c>
      <c r="D99" s="172" t="s">
        <v>36</v>
      </c>
      <c r="E99" s="172" t="s">
        <v>38</v>
      </c>
      <c r="F99" s="172" t="s">
        <v>39</v>
      </c>
      <c r="G99" s="172" t="s">
        <v>40</v>
      </c>
      <c r="H99" s="173" t="s">
        <v>41</v>
      </c>
      <c r="I99" s="172" t="s">
        <v>524</v>
      </c>
      <c r="J99" s="172" t="s">
        <v>525</v>
      </c>
      <c r="K99" s="172" t="s">
        <v>526</v>
      </c>
      <c r="L99" s="174" t="s">
        <v>527</v>
      </c>
      <c r="M99" s="174" t="s">
        <v>528</v>
      </c>
      <c r="N99" s="174" t="s">
        <v>529</v>
      </c>
      <c r="O99" s="173" t="s">
        <v>63</v>
      </c>
      <c r="P99" s="173" t="s">
        <v>64</v>
      </c>
      <c r="Q99" s="175" t="s">
        <v>65</v>
      </c>
      <c r="R99" s="176" t="s">
        <v>51</v>
      </c>
      <c r="S99" s="173" t="s">
        <v>1207</v>
      </c>
      <c r="T99" s="177">
        <v>540</v>
      </c>
      <c r="U99" s="177">
        <v>-540</v>
      </c>
      <c r="V99" s="178">
        <v>-540</v>
      </c>
      <c r="W99" s="179" t="s">
        <v>1208</v>
      </c>
      <c r="X99" s="184">
        <v>46043</v>
      </c>
      <c r="Y99" s="181">
        <v>46058</v>
      </c>
      <c r="Z99" s="176" t="s">
        <v>540</v>
      </c>
      <c r="AA99" s="182" t="s">
        <v>541</v>
      </c>
      <c r="AB99" s="176" t="s">
        <v>56</v>
      </c>
      <c r="AC99" s="176" t="s">
        <v>236</v>
      </c>
      <c r="AD99" s="176" t="s">
        <v>256</v>
      </c>
      <c r="AE99" s="183">
        <v>-540</v>
      </c>
      <c r="AF99" s="175" t="s">
        <v>70</v>
      </c>
      <c r="AG99" s="175" t="s">
        <v>71</v>
      </c>
      <c r="AH99" s="175" t="s">
        <v>72</v>
      </c>
      <c r="AI99" s="175" t="s">
        <v>991</v>
      </c>
    </row>
    <row r="100" spans="1:35" x14ac:dyDescent="0.25">
      <c r="A100" s="170">
        <v>3155</v>
      </c>
      <c r="B100" s="171" t="s">
        <v>36</v>
      </c>
      <c r="C100" s="172" t="s">
        <v>37</v>
      </c>
      <c r="D100" s="172" t="s">
        <v>36</v>
      </c>
      <c r="E100" s="172" t="s">
        <v>38</v>
      </c>
      <c r="F100" s="172" t="s">
        <v>39</v>
      </c>
      <c r="G100" s="172" t="s">
        <v>40</v>
      </c>
      <c r="H100" s="173" t="s">
        <v>41</v>
      </c>
      <c r="I100" s="172" t="s">
        <v>524</v>
      </c>
      <c r="J100" s="172" t="s">
        <v>525</v>
      </c>
      <c r="K100" s="172" t="s">
        <v>526</v>
      </c>
      <c r="L100" s="174" t="s">
        <v>527</v>
      </c>
      <c r="M100" s="174" t="s">
        <v>528</v>
      </c>
      <c r="N100" s="174" t="s">
        <v>529</v>
      </c>
      <c r="O100" s="173" t="s">
        <v>1209</v>
      </c>
      <c r="P100" s="173" t="s">
        <v>1210</v>
      </c>
      <c r="Q100" s="175" t="s">
        <v>1211</v>
      </c>
      <c r="R100" s="176" t="s">
        <v>207</v>
      </c>
      <c r="S100" s="173" t="s">
        <v>1212</v>
      </c>
      <c r="T100" s="177">
        <v>178</v>
      </c>
      <c r="U100" s="177">
        <v>-17.079999999999998</v>
      </c>
      <c r="V100" s="178">
        <v>-17.079999999999998</v>
      </c>
      <c r="W100" s="179" t="s">
        <v>1213</v>
      </c>
      <c r="X100" s="184">
        <v>46050</v>
      </c>
      <c r="Y100" s="181">
        <v>46050</v>
      </c>
      <c r="Z100" s="176" t="s">
        <v>1214</v>
      </c>
      <c r="AA100" s="182" t="s">
        <v>1215</v>
      </c>
      <c r="AB100" s="176" t="s">
        <v>56</v>
      </c>
      <c r="AC100" s="176" t="s">
        <v>236</v>
      </c>
      <c r="AD100" s="176" t="s">
        <v>256</v>
      </c>
      <c r="AE100" s="183">
        <v>-17.079999999999998</v>
      </c>
      <c r="AF100" s="175" t="s">
        <v>1216</v>
      </c>
      <c r="AG100" s="175" t="s">
        <v>321</v>
      </c>
      <c r="AH100" s="175" t="s">
        <v>62</v>
      </c>
      <c r="AI100" s="175" t="s">
        <v>1020</v>
      </c>
    </row>
    <row r="101" spans="1:35" x14ac:dyDescent="0.25">
      <c r="A101" s="170">
        <v>3156</v>
      </c>
      <c r="B101" s="171" t="s">
        <v>36</v>
      </c>
      <c r="C101" s="172" t="s">
        <v>37</v>
      </c>
      <c r="D101" s="172" t="s">
        <v>36</v>
      </c>
      <c r="E101" s="172" t="s">
        <v>38</v>
      </c>
      <c r="F101" s="172" t="s">
        <v>39</v>
      </c>
      <c r="G101" s="172" t="s">
        <v>40</v>
      </c>
      <c r="H101" s="173" t="s">
        <v>41</v>
      </c>
      <c r="I101" s="172" t="s">
        <v>524</v>
      </c>
      <c r="J101" s="172" t="s">
        <v>525</v>
      </c>
      <c r="K101" s="172" t="s">
        <v>526</v>
      </c>
      <c r="L101" s="174" t="s">
        <v>527</v>
      </c>
      <c r="M101" s="174" t="s">
        <v>528</v>
      </c>
      <c r="N101" s="174" t="s">
        <v>529</v>
      </c>
      <c r="O101" s="173" t="s">
        <v>204</v>
      </c>
      <c r="P101" s="173" t="s">
        <v>205</v>
      </c>
      <c r="Q101" s="175" t="s">
        <v>206</v>
      </c>
      <c r="R101" s="176" t="s">
        <v>207</v>
      </c>
      <c r="S101" s="173" t="s">
        <v>1212</v>
      </c>
      <c r="T101" s="177">
        <v>178</v>
      </c>
      <c r="U101" s="177">
        <v>-12.81</v>
      </c>
      <c r="V101" s="178">
        <v>-12.81</v>
      </c>
      <c r="W101" s="179" t="s">
        <v>1213</v>
      </c>
      <c r="X101" s="184">
        <v>46050</v>
      </c>
      <c r="Y101" s="181">
        <v>46050</v>
      </c>
      <c r="Z101" s="176" t="s">
        <v>1214</v>
      </c>
      <c r="AA101" s="182" t="s">
        <v>1215</v>
      </c>
      <c r="AB101" s="176" t="s">
        <v>56</v>
      </c>
      <c r="AC101" s="176" t="s">
        <v>236</v>
      </c>
      <c r="AD101" s="176" t="s">
        <v>256</v>
      </c>
      <c r="AE101" s="183">
        <v>-12.81</v>
      </c>
      <c r="AF101" s="175" t="s">
        <v>212</v>
      </c>
      <c r="AG101" s="175" t="s">
        <v>101</v>
      </c>
      <c r="AH101" s="175" t="s">
        <v>201</v>
      </c>
      <c r="AI101" s="175" t="s">
        <v>991</v>
      </c>
    </row>
    <row r="102" spans="1:35" x14ac:dyDescent="0.25">
      <c r="A102" s="170">
        <v>3157</v>
      </c>
      <c r="B102" s="171" t="s">
        <v>36</v>
      </c>
      <c r="C102" s="172" t="s">
        <v>37</v>
      </c>
      <c r="D102" s="172" t="s">
        <v>36</v>
      </c>
      <c r="E102" s="172" t="s">
        <v>38</v>
      </c>
      <c r="F102" s="172" t="s">
        <v>39</v>
      </c>
      <c r="G102" s="172" t="s">
        <v>40</v>
      </c>
      <c r="H102" s="173" t="s">
        <v>41</v>
      </c>
      <c r="I102" s="172" t="s">
        <v>524</v>
      </c>
      <c r="J102" s="172" t="s">
        <v>525</v>
      </c>
      <c r="K102" s="172" t="s">
        <v>526</v>
      </c>
      <c r="L102" s="174" t="s">
        <v>527</v>
      </c>
      <c r="M102" s="174" t="s">
        <v>528</v>
      </c>
      <c r="N102" s="174" t="s">
        <v>529</v>
      </c>
      <c r="O102" s="173" t="s">
        <v>262</v>
      </c>
      <c r="P102" s="173" t="s">
        <v>263</v>
      </c>
      <c r="Q102" s="175" t="s">
        <v>264</v>
      </c>
      <c r="R102" s="176" t="s">
        <v>207</v>
      </c>
      <c r="S102" s="173" t="s">
        <v>1212</v>
      </c>
      <c r="T102" s="177">
        <v>178</v>
      </c>
      <c r="U102" s="177">
        <v>-8.11</v>
      </c>
      <c r="V102" s="178">
        <v>-8.11</v>
      </c>
      <c r="W102" s="179" t="s">
        <v>1213</v>
      </c>
      <c r="X102" s="184">
        <v>46050</v>
      </c>
      <c r="Y102" s="181">
        <v>46050</v>
      </c>
      <c r="Z102" s="176" t="s">
        <v>1214</v>
      </c>
      <c r="AA102" s="182" t="s">
        <v>1215</v>
      </c>
      <c r="AB102" s="176" t="s">
        <v>56</v>
      </c>
      <c r="AC102" s="176" t="s">
        <v>236</v>
      </c>
      <c r="AD102" s="176" t="s">
        <v>256</v>
      </c>
      <c r="AE102" s="183">
        <v>-8.11</v>
      </c>
      <c r="AF102" s="175" t="s">
        <v>265</v>
      </c>
      <c r="AG102" s="175" t="s">
        <v>61</v>
      </c>
      <c r="AH102" s="175" t="s">
        <v>72</v>
      </c>
      <c r="AI102" s="175" t="s">
        <v>991</v>
      </c>
    </row>
    <row r="103" spans="1:35" x14ac:dyDescent="0.25">
      <c r="A103" s="170">
        <v>3932</v>
      </c>
      <c r="B103" s="171" t="s">
        <v>36</v>
      </c>
      <c r="C103" s="172" t="s">
        <v>37</v>
      </c>
      <c r="D103" s="172" t="s">
        <v>36</v>
      </c>
      <c r="E103" s="172" t="s">
        <v>38</v>
      </c>
      <c r="F103" s="172" t="s">
        <v>39</v>
      </c>
      <c r="G103" s="172" t="s">
        <v>40</v>
      </c>
      <c r="H103" s="173" t="s">
        <v>41</v>
      </c>
      <c r="I103" s="172" t="s">
        <v>524</v>
      </c>
      <c r="J103" s="172" t="s">
        <v>525</v>
      </c>
      <c r="K103" s="172" t="s">
        <v>526</v>
      </c>
      <c r="L103" s="174" t="s">
        <v>527</v>
      </c>
      <c r="M103" s="174" t="s">
        <v>528</v>
      </c>
      <c r="N103" s="174" t="s">
        <v>529</v>
      </c>
      <c r="O103" s="173" t="s">
        <v>63</v>
      </c>
      <c r="P103" s="173" t="s">
        <v>64</v>
      </c>
      <c r="Q103" s="175" t="s">
        <v>65</v>
      </c>
      <c r="R103" s="176" t="s">
        <v>51</v>
      </c>
      <c r="S103" s="173" t="s">
        <v>1217</v>
      </c>
      <c r="T103" s="177">
        <v>86.56</v>
      </c>
      <c r="U103" s="177">
        <v>-86.56</v>
      </c>
      <c r="V103" s="178">
        <v>-86.56</v>
      </c>
      <c r="W103" s="179" t="s">
        <v>1218</v>
      </c>
      <c r="X103" s="181">
        <v>46065</v>
      </c>
      <c r="Y103" s="181">
        <v>46086</v>
      </c>
      <c r="Z103" s="176" t="s">
        <v>540</v>
      </c>
      <c r="AA103" s="182" t="s">
        <v>541</v>
      </c>
      <c r="AB103" s="176" t="s">
        <v>56</v>
      </c>
      <c r="AC103" s="176" t="s">
        <v>236</v>
      </c>
      <c r="AD103" s="176" t="s">
        <v>256</v>
      </c>
      <c r="AE103" s="183">
        <v>-86.56</v>
      </c>
      <c r="AF103" s="175" t="s">
        <v>70</v>
      </c>
      <c r="AG103" s="175" t="s">
        <v>71</v>
      </c>
      <c r="AH103" s="175" t="s">
        <v>72</v>
      </c>
      <c r="AI103" s="175" t="s">
        <v>991</v>
      </c>
    </row>
    <row r="104" spans="1:35" x14ac:dyDescent="0.25">
      <c r="A104" s="170">
        <v>4082</v>
      </c>
      <c r="B104" s="171" t="s">
        <v>36</v>
      </c>
      <c r="C104" s="172" t="s">
        <v>37</v>
      </c>
      <c r="D104" s="172" t="s">
        <v>36</v>
      </c>
      <c r="E104" s="172" t="s">
        <v>38</v>
      </c>
      <c r="F104" s="172" t="s">
        <v>39</v>
      </c>
      <c r="G104" s="172" t="s">
        <v>40</v>
      </c>
      <c r="H104" s="173" t="s">
        <v>41</v>
      </c>
      <c r="I104" s="172" t="s">
        <v>524</v>
      </c>
      <c r="J104" s="172" t="s">
        <v>525</v>
      </c>
      <c r="K104" s="172" t="s">
        <v>526</v>
      </c>
      <c r="L104" s="174" t="s">
        <v>527</v>
      </c>
      <c r="M104" s="174" t="s">
        <v>528</v>
      </c>
      <c r="N104" s="174" t="s">
        <v>529</v>
      </c>
      <c r="O104" s="173" t="s">
        <v>63</v>
      </c>
      <c r="P104" s="173" t="s">
        <v>64</v>
      </c>
      <c r="Q104" s="175" t="s">
        <v>65</v>
      </c>
      <c r="R104" s="176" t="s">
        <v>121</v>
      </c>
      <c r="S104" s="173" t="s">
        <v>1219</v>
      </c>
      <c r="T104" s="177">
        <v>25.65</v>
      </c>
      <c r="U104" s="177">
        <v>-25.65</v>
      </c>
      <c r="V104" s="178">
        <v>-25.65</v>
      </c>
      <c r="W104" s="179" t="s">
        <v>1220</v>
      </c>
      <c r="X104" s="181">
        <v>46078</v>
      </c>
      <c r="Y104" s="181">
        <v>46078</v>
      </c>
      <c r="Z104" s="176" t="s">
        <v>684</v>
      </c>
      <c r="AA104" s="182" t="s">
        <v>685</v>
      </c>
      <c r="AB104" s="176" t="s">
        <v>56</v>
      </c>
      <c r="AC104" s="176" t="s">
        <v>236</v>
      </c>
      <c r="AD104" s="176" t="s">
        <v>256</v>
      </c>
      <c r="AE104" s="183">
        <v>-25.65</v>
      </c>
      <c r="AF104" s="175" t="s">
        <v>70</v>
      </c>
      <c r="AG104" s="175" t="s">
        <v>71</v>
      </c>
      <c r="AH104" s="175" t="s">
        <v>72</v>
      </c>
      <c r="AI104" s="175" t="s">
        <v>991</v>
      </c>
    </row>
    <row r="105" spans="1:35" x14ac:dyDescent="0.25">
      <c r="A105" s="170">
        <v>4218</v>
      </c>
      <c r="B105" s="171" t="s">
        <v>36</v>
      </c>
      <c r="C105" s="172" t="s">
        <v>37</v>
      </c>
      <c r="D105" s="172" t="s">
        <v>36</v>
      </c>
      <c r="E105" s="172" t="s">
        <v>38</v>
      </c>
      <c r="F105" s="172" t="s">
        <v>39</v>
      </c>
      <c r="G105" s="172" t="s">
        <v>40</v>
      </c>
      <c r="H105" s="173" t="s">
        <v>41</v>
      </c>
      <c r="I105" s="172" t="s">
        <v>524</v>
      </c>
      <c r="J105" s="172" t="s">
        <v>525</v>
      </c>
      <c r="K105" s="172" t="s">
        <v>526</v>
      </c>
      <c r="L105" s="174" t="s">
        <v>527</v>
      </c>
      <c r="M105" s="174" t="s">
        <v>528</v>
      </c>
      <c r="N105" s="174" t="s">
        <v>529</v>
      </c>
      <c r="O105" s="173" t="s">
        <v>63</v>
      </c>
      <c r="P105" s="173" t="s">
        <v>64</v>
      </c>
      <c r="Q105" s="175" t="s">
        <v>65</v>
      </c>
      <c r="R105" s="176" t="s">
        <v>51</v>
      </c>
      <c r="S105" s="173" t="s">
        <v>1221</v>
      </c>
      <c r="T105" s="177">
        <v>160.56</v>
      </c>
      <c r="U105" s="177">
        <v>-160.56</v>
      </c>
      <c r="V105" s="178">
        <v>-160.56</v>
      </c>
      <c r="W105" s="179" t="s">
        <v>1222</v>
      </c>
      <c r="X105" s="181">
        <v>46076</v>
      </c>
      <c r="Y105" s="181">
        <v>46097</v>
      </c>
      <c r="Z105" s="176" t="s">
        <v>540</v>
      </c>
      <c r="AA105" s="182" t="s">
        <v>541</v>
      </c>
      <c r="AB105" s="176" t="s">
        <v>56</v>
      </c>
      <c r="AC105" s="173" t="s">
        <v>236</v>
      </c>
      <c r="AD105" s="176" t="s">
        <v>256</v>
      </c>
      <c r="AE105" s="183">
        <v>-160.56</v>
      </c>
      <c r="AF105" s="175" t="s">
        <v>70</v>
      </c>
      <c r="AG105" s="175" t="s">
        <v>71</v>
      </c>
      <c r="AH105" s="175" t="s">
        <v>72</v>
      </c>
      <c r="AI105" s="175" t="s">
        <v>991</v>
      </c>
    </row>
    <row r="106" spans="1:35" x14ac:dyDescent="0.25">
      <c r="A106" s="170">
        <v>4240</v>
      </c>
      <c r="B106" s="171" t="s">
        <v>36</v>
      </c>
      <c r="C106" s="172" t="s">
        <v>37</v>
      </c>
      <c r="D106" s="172" t="s">
        <v>36</v>
      </c>
      <c r="E106" s="172" t="s">
        <v>38</v>
      </c>
      <c r="F106" s="172" t="s">
        <v>39</v>
      </c>
      <c r="G106" s="172" t="s">
        <v>40</v>
      </c>
      <c r="H106" s="173" t="s">
        <v>41</v>
      </c>
      <c r="I106" s="172" t="s">
        <v>524</v>
      </c>
      <c r="J106" s="172" t="s">
        <v>525</v>
      </c>
      <c r="K106" s="172" t="s">
        <v>526</v>
      </c>
      <c r="L106" s="174" t="s">
        <v>527</v>
      </c>
      <c r="M106" s="174" t="s">
        <v>528</v>
      </c>
      <c r="N106" s="174" t="s">
        <v>529</v>
      </c>
      <c r="O106" s="173" t="s">
        <v>63</v>
      </c>
      <c r="P106" s="173" t="s">
        <v>64</v>
      </c>
      <c r="Q106" s="175" t="s">
        <v>65</v>
      </c>
      <c r="R106" s="176" t="s">
        <v>121</v>
      </c>
      <c r="S106" s="173" t="s">
        <v>1203</v>
      </c>
      <c r="T106" s="177">
        <v>288.3</v>
      </c>
      <c r="U106" s="177">
        <v>-48.05</v>
      </c>
      <c r="V106" s="178">
        <v>-48.05</v>
      </c>
      <c r="W106" s="179" t="s">
        <v>1204</v>
      </c>
      <c r="X106" s="181">
        <v>46051</v>
      </c>
      <c r="Y106" s="181">
        <v>46096</v>
      </c>
      <c r="Z106" s="176" t="s">
        <v>536</v>
      </c>
      <c r="AA106" s="182" t="s">
        <v>537</v>
      </c>
      <c r="AB106" s="176" t="s">
        <v>56</v>
      </c>
      <c r="AC106" s="173" t="s">
        <v>236</v>
      </c>
      <c r="AD106" s="176" t="s">
        <v>256</v>
      </c>
      <c r="AE106" s="183">
        <v>-48.05</v>
      </c>
      <c r="AF106" s="175" t="s">
        <v>70</v>
      </c>
      <c r="AG106" s="175" t="s">
        <v>71</v>
      </c>
      <c r="AH106" s="175" t="s">
        <v>72</v>
      </c>
      <c r="AI106" s="175" t="s">
        <v>991</v>
      </c>
    </row>
    <row r="107" spans="1:35" x14ac:dyDescent="0.25">
      <c r="A107" s="170">
        <v>4283</v>
      </c>
      <c r="B107" s="171" t="s">
        <v>36</v>
      </c>
      <c r="C107" s="172" t="s">
        <v>37</v>
      </c>
      <c r="D107" s="172" t="s">
        <v>36</v>
      </c>
      <c r="E107" s="172" t="s">
        <v>38</v>
      </c>
      <c r="F107" s="172" t="s">
        <v>39</v>
      </c>
      <c r="G107" s="172" t="s">
        <v>40</v>
      </c>
      <c r="H107" s="173" t="s">
        <v>41</v>
      </c>
      <c r="I107" s="172" t="s">
        <v>524</v>
      </c>
      <c r="J107" s="172" t="s">
        <v>525</v>
      </c>
      <c r="K107" s="172" t="s">
        <v>526</v>
      </c>
      <c r="L107" s="174" t="s">
        <v>527</v>
      </c>
      <c r="M107" s="174" t="s">
        <v>528</v>
      </c>
      <c r="N107" s="174" t="s">
        <v>529</v>
      </c>
      <c r="O107" s="173" t="s">
        <v>63</v>
      </c>
      <c r="P107" s="173" t="s">
        <v>64</v>
      </c>
      <c r="Q107" s="175" t="s">
        <v>65</v>
      </c>
      <c r="R107" s="176" t="s">
        <v>51</v>
      </c>
      <c r="S107" s="173" t="s">
        <v>1223</v>
      </c>
      <c r="T107" s="177">
        <v>2034</v>
      </c>
      <c r="U107" s="177">
        <v>-1017</v>
      </c>
      <c r="V107" s="178">
        <v>-1017</v>
      </c>
      <c r="W107" s="179" t="s">
        <v>1224</v>
      </c>
      <c r="X107" s="181">
        <v>46069</v>
      </c>
      <c r="Y107" s="181">
        <v>46096</v>
      </c>
      <c r="Z107" s="176" t="s">
        <v>562</v>
      </c>
      <c r="AA107" s="182" t="s">
        <v>563</v>
      </c>
      <c r="AB107" s="176" t="s">
        <v>56</v>
      </c>
      <c r="AC107" s="173" t="s">
        <v>236</v>
      </c>
      <c r="AD107" s="176" t="s">
        <v>256</v>
      </c>
      <c r="AE107" s="183">
        <v>-1017</v>
      </c>
      <c r="AF107" s="175" t="s">
        <v>70</v>
      </c>
      <c r="AG107" s="175" t="s">
        <v>71</v>
      </c>
      <c r="AH107" s="175" t="s">
        <v>72</v>
      </c>
      <c r="AI107" s="175" t="s">
        <v>991</v>
      </c>
    </row>
    <row r="108" spans="1:35" x14ac:dyDescent="0.25">
      <c r="A108" s="170">
        <v>4391</v>
      </c>
      <c r="B108" s="171" t="s">
        <v>36</v>
      </c>
      <c r="C108" s="172" t="s">
        <v>37</v>
      </c>
      <c r="D108" s="172" t="s">
        <v>36</v>
      </c>
      <c r="E108" s="172" t="s">
        <v>38</v>
      </c>
      <c r="F108" s="172" t="s">
        <v>39</v>
      </c>
      <c r="G108" s="172" t="s">
        <v>40</v>
      </c>
      <c r="H108" s="173" t="s">
        <v>41</v>
      </c>
      <c r="I108" s="172" t="s">
        <v>524</v>
      </c>
      <c r="J108" s="172" t="s">
        <v>525</v>
      </c>
      <c r="K108" s="172" t="s">
        <v>526</v>
      </c>
      <c r="L108" s="174" t="s">
        <v>527</v>
      </c>
      <c r="M108" s="174" t="s">
        <v>528</v>
      </c>
      <c r="N108" s="174" t="s">
        <v>529</v>
      </c>
      <c r="O108" s="173" t="s">
        <v>63</v>
      </c>
      <c r="P108" s="173" t="s">
        <v>64</v>
      </c>
      <c r="Q108" s="175" t="s">
        <v>65</v>
      </c>
      <c r="R108" s="176" t="s">
        <v>51</v>
      </c>
      <c r="S108" s="173" t="s">
        <v>1225</v>
      </c>
      <c r="T108" s="177">
        <v>890</v>
      </c>
      <c r="U108" s="177">
        <v>-890</v>
      </c>
      <c r="V108" s="178">
        <v>-890</v>
      </c>
      <c r="W108" s="179" t="s">
        <v>1226</v>
      </c>
      <c r="X108" s="181">
        <v>46076</v>
      </c>
      <c r="Y108" s="181">
        <v>46097</v>
      </c>
      <c r="Z108" s="176" t="s">
        <v>540</v>
      </c>
      <c r="AA108" s="182" t="s">
        <v>541</v>
      </c>
      <c r="AB108" s="176" t="s">
        <v>56</v>
      </c>
      <c r="AC108" s="173" t="s">
        <v>236</v>
      </c>
      <c r="AD108" s="176" t="s">
        <v>256</v>
      </c>
      <c r="AE108" s="183">
        <v>-890</v>
      </c>
      <c r="AF108" s="175" t="s">
        <v>70</v>
      </c>
      <c r="AG108" s="175" t="s">
        <v>71</v>
      </c>
      <c r="AH108" s="175" t="s">
        <v>72</v>
      </c>
      <c r="AI108" s="175" t="s">
        <v>991</v>
      </c>
    </row>
    <row r="109" spans="1:35" x14ac:dyDescent="0.25">
      <c r="A109" s="170">
        <v>4523</v>
      </c>
      <c r="B109" s="171" t="s">
        <v>36</v>
      </c>
      <c r="C109" s="172" t="s">
        <v>37</v>
      </c>
      <c r="D109" s="172" t="s">
        <v>36</v>
      </c>
      <c r="E109" s="172" t="s">
        <v>38</v>
      </c>
      <c r="F109" s="172" t="s">
        <v>39</v>
      </c>
      <c r="G109" s="172" t="s">
        <v>40</v>
      </c>
      <c r="H109" s="173" t="s">
        <v>41</v>
      </c>
      <c r="I109" s="172" t="s">
        <v>524</v>
      </c>
      <c r="J109" s="172" t="s">
        <v>525</v>
      </c>
      <c r="K109" s="172" t="s">
        <v>526</v>
      </c>
      <c r="L109" s="174" t="s">
        <v>527</v>
      </c>
      <c r="M109" s="174" t="s">
        <v>528</v>
      </c>
      <c r="N109" s="174" t="s">
        <v>529</v>
      </c>
      <c r="O109" s="173" t="s">
        <v>63</v>
      </c>
      <c r="P109" s="173" t="s">
        <v>64</v>
      </c>
      <c r="Q109" s="175" t="s">
        <v>65</v>
      </c>
      <c r="R109" s="176" t="s">
        <v>51</v>
      </c>
      <c r="S109" s="173" t="s">
        <v>1227</v>
      </c>
      <c r="T109" s="177">
        <v>360</v>
      </c>
      <c r="U109" s="177">
        <v>-360</v>
      </c>
      <c r="V109" s="178">
        <v>-360</v>
      </c>
      <c r="W109" s="179" t="s">
        <v>1228</v>
      </c>
      <c r="X109" s="181">
        <v>46077</v>
      </c>
      <c r="Y109" s="181">
        <v>46096</v>
      </c>
      <c r="Z109" s="176" t="s">
        <v>532</v>
      </c>
      <c r="AA109" s="182" t="s">
        <v>533</v>
      </c>
      <c r="AB109" s="176" t="s">
        <v>56</v>
      </c>
      <c r="AC109" s="173" t="s">
        <v>236</v>
      </c>
      <c r="AD109" s="176" t="s">
        <v>256</v>
      </c>
      <c r="AE109" s="183">
        <v>-360</v>
      </c>
      <c r="AF109" s="175" t="s">
        <v>70</v>
      </c>
      <c r="AG109" s="175" t="s">
        <v>71</v>
      </c>
      <c r="AH109" s="175" t="s">
        <v>72</v>
      </c>
      <c r="AI109" s="175" t="s">
        <v>991</v>
      </c>
    </row>
    <row r="110" spans="1:35" x14ac:dyDescent="0.25">
      <c r="A110" s="170">
        <v>5998</v>
      </c>
      <c r="B110" s="173" t="s">
        <v>1091</v>
      </c>
      <c r="C110" s="173" t="s">
        <v>37</v>
      </c>
      <c r="D110" s="173" t="s">
        <v>1091</v>
      </c>
      <c r="E110" s="172" t="s">
        <v>1092</v>
      </c>
      <c r="F110" s="173" t="s">
        <v>39</v>
      </c>
      <c r="G110" s="173" t="s">
        <v>40</v>
      </c>
      <c r="H110" s="173" t="s">
        <v>41</v>
      </c>
      <c r="I110" s="173" t="s">
        <v>524</v>
      </c>
      <c r="J110" s="173" t="s">
        <v>525</v>
      </c>
      <c r="K110" s="173" t="s">
        <v>526</v>
      </c>
      <c r="L110" s="173" t="s">
        <v>527</v>
      </c>
      <c r="M110" s="173" t="s">
        <v>1229</v>
      </c>
      <c r="N110" s="173" t="s">
        <v>1230</v>
      </c>
      <c r="O110" s="173" t="s">
        <v>923</v>
      </c>
      <c r="P110" s="173" t="s">
        <v>924</v>
      </c>
      <c r="Q110" s="175" t="s">
        <v>925</v>
      </c>
      <c r="R110" s="176" t="s">
        <v>51</v>
      </c>
      <c r="S110" s="176" t="s">
        <v>1231</v>
      </c>
      <c r="T110" s="178">
        <v>1350</v>
      </c>
      <c r="U110" s="178">
        <v>1350</v>
      </c>
      <c r="V110" s="178">
        <v>-1350</v>
      </c>
      <c r="W110" s="185" t="s">
        <v>1232</v>
      </c>
      <c r="X110" s="184">
        <v>46083</v>
      </c>
      <c r="Y110" s="181" t="s">
        <v>1233</v>
      </c>
      <c r="Z110" s="176" t="s">
        <v>1234</v>
      </c>
      <c r="AA110" s="182" t="s">
        <v>963</v>
      </c>
      <c r="AB110" s="182" t="s">
        <v>1099</v>
      </c>
      <c r="AC110" s="176" t="s">
        <v>236</v>
      </c>
      <c r="AD110" s="176" t="s">
        <v>1235</v>
      </c>
      <c r="AE110" s="186">
        <v>-1350</v>
      </c>
      <c r="AF110" s="175" t="s">
        <v>1236</v>
      </c>
      <c r="AG110" s="175" t="s">
        <v>238</v>
      </c>
      <c r="AH110" s="175" t="s">
        <v>102</v>
      </c>
      <c r="AI110" s="175" t="s">
        <v>1020</v>
      </c>
    </row>
    <row r="111" spans="1:35" x14ac:dyDescent="0.25">
      <c r="A111" s="170">
        <v>6418</v>
      </c>
      <c r="B111" s="173" t="s">
        <v>1091</v>
      </c>
      <c r="C111" s="173" t="s">
        <v>37</v>
      </c>
      <c r="D111" s="173" t="s">
        <v>1091</v>
      </c>
      <c r="E111" s="172" t="s">
        <v>1092</v>
      </c>
      <c r="F111" s="173" t="s">
        <v>39</v>
      </c>
      <c r="G111" s="173" t="s">
        <v>40</v>
      </c>
      <c r="H111" s="173" t="s">
        <v>41</v>
      </c>
      <c r="I111" s="173" t="s">
        <v>524</v>
      </c>
      <c r="J111" s="173" t="s">
        <v>525</v>
      </c>
      <c r="K111" s="173" t="s">
        <v>526</v>
      </c>
      <c r="L111" s="173" t="s">
        <v>527</v>
      </c>
      <c r="M111" s="173" t="s">
        <v>1229</v>
      </c>
      <c r="N111" s="173" t="s">
        <v>1230</v>
      </c>
      <c r="O111" s="173" t="s">
        <v>262</v>
      </c>
      <c r="P111" s="173" t="s">
        <v>263</v>
      </c>
      <c r="Q111" s="175" t="s">
        <v>264</v>
      </c>
      <c r="R111" s="176" t="s">
        <v>207</v>
      </c>
      <c r="S111" s="176" t="s">
        <v>1237</v>
      </c>
      <c r="T111" s="178">
        <v>225.95</v>
      </c>
      <c r="U111" s="178">
        <v>225.95</v>
      </c>
      <c r="V111" s="178">
        <v>-41.06</v>
      </c>
      <c r="W111" s="185" t="s">
        <v>1238</v>
      </c>
      <c r="X111" s="184">
        <v>46111</v>
      </c>
      <c r="Y111" s="181" t="s">
        <v>1239</v>
      </c>
      <c r="Z111" s="176" t="s">
        <v>1214</v>
      </c>
      <c r="AA111" s="182" t="s">
        <v>1215</v>
      </c>
      <c r="AB111" s="182" t="s">
        <v>1099</v>
      </c>
      <c r="AC111" s="176" t="s">
        <v>236</v>
      </c>
      <c r="AD111" s="176" t="s">
        <v>256</v>
      </c>
      <c r="AE111" s="186">
        <v>-41.06</v>
      </c>
      <c r="AF111" s="175" t="s">
        <v>265</v>
      </c>
      <c r="AG111" s="175" t="s">
        <v>61</v>
      </c>
      <c r="AH111" s="175" t="s">
        <v>72</v>
      </c>
      <c r="AI111" s="175" t="s">
        <v>991</v>
      </c>
    </row>
    <row r="112" spans="1:35" x14ac:dyDescent="0.25">
      <c r="A112" s="170">
        <v>6419</v>
      </c>
      <c r="B112" s="173" t="s">
        <v>1091</v>
      </c>
      <c r="C112" s="173" t="s">
        <v>37</v>
      </c>
      <c r="D112" s="173" t="s">
        <v>1091</v>
      </c>
      <c r="E112" s="172" t="s">
        <v>1092</v>
      </c>
      <c r="F112" s="173" t="s">
        <v>39</v>
      </c>
      <c r="G112" s="173" t="s">
        <v>40</v>
      </c>
      <c r="H112" s="173" t="s">
        <v>41</v>
      </c>
      <c r="I112" s="173" t="s">
        <v>524</v>
      </c>
      <c r="J112" s="173" t="s">
        <v>525</v>
      </c>
      <c r="K112" s="173" t="s">
        <v>526</v>
      </c>
      <c r="L112" s="173" t="s">
        <v>527</v>
      </c>
      <c r="M112" s="173" t="s">
        <v>1229</v>
      </c>
      <c r="N112" s="173" t="s">
        <v>1230</v>
      </c>
      <c r="O112" s="173" t="s">
        <v>204</v>
      </c>
      <c r="P112" s="173" t="s">
        <v>205</v>
      </c>
      <c r="Q112" s="175" t="s">
        <v>206</v>
      </c>
      <c r="R112" s="176" t="s">
        <v>207</v>
      </c>
      <c r="S112" s="176" t="s">
        <v>1237</v>
      </c>
      <c r="T112" s="178">
        <v>225.95</v>
      </c>
      <c r="U112" s="178">
        <v>225.95</v>
      </c>
      <c r="V112" s="178">
        <v>-36.69</v>
      </c>
      <c r="W112" s="185" t="s">
        <v>1238</v>
      </c>
      <c r="X112" s="184">
        <v>46111</v>
      </c>
      <c r="Y112" s="181" t="s">
        <v>1239</v>
      </c>
      <c r="Z112" s="176" t="s">
        <v>1214</v>
      </c>
      <c r="AA112" s="182" t="s">
        <v>1215</v>
      </c>
      <c r="AB112" s="182" t="s">
        <v>1099</v>
      </c>
      <c r="AC112" s="176" t="s">
        <v>236</v>
      </c>
      <c r="AD112" s="176" t="s">
        <v>256</v>
      </c>
      <c r="AE112" s="186">
        <v>-36.69</v>
      </c>
      <c r="AF112" s="175" t="s">
        <v>212</v>
      </c>
      <c r="AG112" s="175" t="s">
        <v>101</v>
      </c>
      <c r="AH112" s="175" t="s">
        <v>201</v>
      </c>
      <c r="AI112" s="175" t="s">
        <v>991</v>
      </c>
    </row>
    <row r="113" spans="1:35" x14ac:dyDescent="0.25">
      <c r="A113" s="170">
        <v>6420</v>
      </c>
      <c r="B113" s="173" t="s">
        <v>1091</v>
      </c>
      <c r="C113" s="173" t="s">
        <v>37</v>
      </c>
      <c r="D113" s="173" t="s">
        <v>1091</v>
      </c>
      <c r="E113" s="172" t="s">
        <v>1092</v>
      </c>
      <c r="F113" s="173" t="s">
        <v>39</v>
      </c>
      <c r="G113" s="173" t="s">
        <v>40</v>
      </c>
      <c r="H113" s="173" t="s">
        <v>41</v>
      </c>
      <c r="I113" s="173" t="s">
        <v>524</v>
      </c>
      <c r="J113" s="173" t="s">
        <v>525</v>
      </c>
      <c r="K113" s="173" t="s">
        <v>526</v>
      </c>
      <c r="L113" s="173" t="s">
        <v>527</v>
      </c>
      <c r="M113" s="173" t="s">
        <v>1229</v>
      </c>
      <c r="N113" s="173" t="s">
        <v>1230</v>
      </c>
      <c r="O113" s="173" t="s">
        <v>1209</v>
      </c>
      <c r="P113" s="173" t="s">
        <v>1210</v>
      </c>
      <c r="Q113" s="175" t="s">
        <v>1211</v>
      </c>
      <c r="R113" s="176" t="s">
        <v>207</v>
      </c>
      <c r="S113" s="176" t="s">
        <v>1237</v>
      </c>
      <c r="T113" s="178">
        <v>225.95</v>
      </c>
      <c r="U113" s="178">
        <v>225.95</v>
      </c>
      <c r="V113" s="178">
        <v>-43.41</v>
      </c>
      <c r="W113" s="185" t="s">
        <v>1238</v>
      </c>
      <c r="X113" s="184">
        <v>46111</v>
      </c>
      <c r="Y113" s="181" t="s">
        <v>1239</v>
      </c>
      <c r="Z113" s="176" t="s">
        <v>1214</v>
      </c>
      <c r="AA113" s="182" t="s">
        <v>1215</v>
      </c>
      <c r="AB113" s="182" t="s">
        <v>1099</v>
      </c>
      <c r="AC113" s="176" t="s">
        <v>236</v>
      </c>
      <c r="AD113" s="176" t="s">
        <v>256</v>
      </c>
      <c r="AE113" s="186">
        <v>-43.41</v>
      </c>
      <c r="AF113" s="175" t="s">
        <v>1216</v>
      </c>
      <c r="AG113" s="175" t="s">
        <v>321</v>
      </c>
      <c r="AH113" s="175" t="s">
        <v>62</v>
      </c>
      <c r="AI113" s="175" t="s">
        <v>1020</v>
      </c>
    </row>
    <row r="114" spans="1:35" x14ac:dyDescent="0.25">
      <c r="A114" s="170">
        <v>6421</v>
      </c>
      <c r="B114" s="173" t="s">
        <v>1091</v>
      </c>
      <c r="C114" s="173" t="s">
        <v>37</v>
      </c>
      <c r="D114" s="173" t="s">
        <v>1091</v>
      </c>
      <c r="E114" s="172" t="s">
        <v>1092</v>
      </c>
      <c r="F114" s="173" t="s">
        <v>39</v>
      </c>
      <c r="G114" s="173" t="s">
        <v>40</v>
      </c>
      <c r="H114" s="173" t="s">
        <v>41</v>
      </c>
      <c r="I114" s="173" t="s">
        <v>524</v>
      </c>
      <c r="J114" s="173" t="s">
        <v>525</v>
      </c>
      <c r="K114" s="173" t="s">
        <v>526</v>
      </c>
      <c r="L114" s="173" t="s">
        <v>527</v>
      </c>
      <c r="M114" s="173" t="s">
        <v>1229</v>
      </c>
      <c r="N114" s="173" t="s">
        <v>1230</v>
      </c>
      <c r="O114" s="173" t="s">
        <v>313</v>
      </c>
      <c r="P114" s="173" t="s">
        <v>314</v>
      </c>
      <c r="Q114" s="175" t="s">
        <v>315</v>
      </c>
      <c r="R114" s="176" t="s">
        <v>207</v>
      </c>
      <c r="S114" s="176" t="s">
        <v>1237</v>
      </c>
      <c r="T114" s="178">
        <v>225.95</v>
      </c>
      <c r="U114" s="178">
        <v>225.95</v>
      </c>
      <c r="V114" s="178">
        <v>-16.989999999999998</v>
      </c>
      <c r="W114" s="185" t="s">
        <v>1238</v>
      </c>
      <c r="X114" s="184">
        <v>46111</v>
      </c>
      <c r="Y114" s="181" t="s">
        <v>1239</v>
      </c>
      <c r="Z114" s="176" t="s">
        <v>1214</v>
      </c>
      <c r="AA114" s="182" t="s">
        <v>1215</v>
      </c>
      <c r="AB114" s="182" t="s">
        <v>1099</v>
      </c>
      <c r="AC114" s="176" t="s">
        <v>236</v>
      </c>
      <c r="AD114" s="176" t="s">
        <v>256</v>
      </c>
      <c r="AE114" s="186">
        <v>-16.989999999999998</v>
      </c>
      <c r="AF114" s="175" t="s">
        <v>320</v>
      </c>
      <c r="AG114" s="175" t="s">
        <v>321</v>
      </c>
      <c r="AH114" s="175" t="s">
        <v>62</v>
      </c>
      <c r="AI114" s="175" t="s">
        <v>1020</v>
      </c>
    </row>
    <row r="115" spans="1:35" x14ac:dyDescent="0.25">
      <c r="A115" s="170">
        <v>7846</v>
      </c>
      <c r="B115" s="173" t="s">
        <v>1091</v>
      </c>
      <c r="C115" s="173" t="s">
        <v>37</v>
      </c>
      <c r="D115" s="173" t="s">
        <v>1091</v>
      </c>
      <c r="E115" s="173" t="s">
        <v>1092</v>
      </c>
      <c r="F115" s="173" t="s">
        <v>39</v>
      </c>
      <c r="G115" s="173" t="s">
        <v>40</v>
      </c>
      <c r="H115" s="173" t="s">
        <v>41</v>
      </c>
      <c r="I115" s="173" t="s">
        <v>524</v>
      </c>
      <c r="J115" s="173" t="s">
        <v>525</v>
      </c>
      <c r="K115" s="173" t="s">
        <v>526</v>
      </c>
      <c r="L115" s="173" t="s">
        <v>527</v>
      </c>
      <c r="M115" s="173" t="s">
        <v>1229</v>
      </c>
      <c r="N115" s="173" t="s">
        <v>1230</v>
      </c>
      <c r="O115" s="173" t="s">
        <v>63</v>
      </c>
      <c r="P115" s="173" t="s">
        <v>64</v>
      </c>
      <c r="Q115" s="175" t="s">
        <v>65</v>
      </c>
      <c r="R115" s="176" t="s">
        <v>51</v>
      </c>
      <c r="S115" s="176" t="s">
        <v>1240</v>
      </c>
      <c r="T115" s="178">
        <v>4950</v>
      </c>
      <c r="U115" s="178">
        <v>2475</v>
      </c>
      <c r="V115" s="178">
        <v>-2475</v>
      </c>
      <c r="W115" s="185" t="s">
        <v>1241</v>
      </c>
      <c r="X115" s="184">
        <v>46083</v>
      </c>
      <c r="Y115" s="181" t="s">
        <v>1233</v>
      </c>
      <c r="Z115" s="176" t="s">
        <v>1242</v>
      </c>
      <c r="AA115" s="182" t="s">
        <v>944</v>
      </c>
      <c r="AB115" s="182" t="s">
        <v>1099</v>
      </c>
      <c r="AC115" s="176" t="s">
        <v>236</v>
      </c>
      <c r="AD115" s="176" t="s">
        <v>1243</v>
      </c>
      <c r="AE115" s="186">
        <v>-2475</v>
      </c>
      <c r="AF115" s="175" t="s">
        <v>70</v>
      </c>
      <c r="AG115" s="175" t="s">
        <v>71</v>
      </c>
      <c r="AH115" s="175" t="s">
        <v>72</v>
      </c>
      <c r="AI115" s="175" t="s">
        <v>991</v>
      </c>
    </row>
    <row r="116" spans="1:35" x14ac:dyDescent="0.25">
      <c r="A116" s="170">
        <v>7847</v>
      </c>
      <c r="B116" s="173" t="s">
        <v>1091</v>
      </c>
      <c r="C116" s="173" t="s">
        <v>37</v>
      </c>
      <c r="D116" s="173" t="s">
        <v>1091</v>
      </c>
      <c r="E116" s="173" t="s">
        <v>1092</v>
      </c>
      <c r="F116" s="173" t="s">
        <v>39</v>
      </c>
      <c r="G116" s="173" t="s">
        <v>40</v>
      </c>
      <c r="H116" s="173" t="s">
        <v>41</v>
      </c>
      <c r="I116" s="173" t="s">
        <v>524</v>
      </c>
      <c r="J116" s="173" t="s">
        <v>525</v>
      </c>
      <c r="K116" s="173" t="s">
        <v>526</v>
      </c>
      <c r="L116" s="173" t="s">
        <v>527</v>
      </c>
      <c r="M116" s="173" t="s">
        <v>1229</v>
      </c>
      <c r="N116" s="173" t="s">
        <v>1230</v>
      </c>
      <c r="O116" s="173" t="s">
        <v>63</v>
      </c>
      <c r="P116" s="173" t="s">
        <v>64</v>
      </c>
      <c r="Q116" s="175" t="s">
        <v>65</v>
      </c>
      <c r="R116" s="176" t="s">
        <v>51</v>
      </c>
      <c r="S116" s="176" t="s">
        <v>1240</v>
      </c>
      <c r="T116" s="178">
        <v>4950</v>
      </c>
      <c r="U116" s="178">
        <v>2475</v>
      </c>
      <c r="V116" s="178">
        <v>-2475</v>
      </c>
      <c r="W116" s="185" t="s">
        <v>1241</v>
      </c>
      <c r="X116" s="184">
        <v>46083</v>
      </c>
      <c r="Y116" s="181" t="s">
        <v>1133</v>
      </c>
      <c r="Z116" s="176" t="s">
        <v>1242</v>
      </c>
      <c r="AA116" s="182" t="s">
        <v>944</v>
      </c>
      <c r="AB116" s="182" t="s">
        <v>1099</v>
      </c>
      <c r="AC116" s="176" t="s">
        <v>236</v>
      </c>
      <c r="AD116" s="176" t="s">
        <v>1243</v>
      </c>
      <c r="AE116" s="186">
        <v>-2475</v>
      </c>
      <c r="AF116" s="175" t="s">
        <v>70</v>
      </c>
      <c r="AG116" s="175" t="s">
        <v>71</v>
      </c>
      <c r="AH116" s="175" t="s">
        <v>72</v>
      </c>
      <c r="AI116" s="175" t="s">
        <v>991</v>
      </c>
    </row>
    <row r="117" spans="1:35" x14ac:dyDescent="0.25">
      <c r="A117" s="170">
        <v>7893</v>
      </c>
      <c r="B117" s="173" t="s">
        <v>1091</v>
      </c>
      <c r="C117" s="173" t="s">
        <v>37</v>
      </c>
      <c r="D117" s="173" t="s">
        <v>1091</v>
      </c>
      <c r="E117" s="173" t="s">
        <v>1092</v>
      </c>
      <c r="F117" s="173" t="s">
        <v>39</v>
      </c>
      <c r="G117" s="173" t="s">
        <v>40</v>
      </c>
      <c r="H117" s="173" t="s">
        <v>41</v>
      </c>
      <c r="I117" s="173" t="s">
        <v>524</v>
      </c>
      <c r="J117" s="173" t="s">
        <v>525</v>
      </c>
      <c r="K117" s="173" t="s">
        <v>526</v>
      </c>
      <c r="L117" s="173" t="s">
        <v>527</v>
      </c>
      <c r="M117" s="173" t="s">
        <v>1229</v>
      </c>
      <c r="N117" s="173" t="s">
        <v>1230</v>
      </c>
      <c r="O117" s="173" t="s">
        <v>63</v>
      </c>
      <c r="P117" s="173" t="s">
        <v>64</v>
      </c>
      <c r="Q117" s="175" t="s">
        <v>65</v>
      </c>
      <c r="R117" s="176" t="s">
        <v>51</v>
      </c>
      <c r="S117" s="176" t="s">
        <v>1244</v>
      </c>
      <c r="T117" s="178">
        <v>1520</v>
      </c>
      <c r="U117" s="178">
        <v>1520</v>
      </c>
      <c r="V117" s="178">
        <v>-1520</v>
      </c>
      <c r="W117" s="185" t="s">
        <v>1245</v>
      </c>
      <c r="X117" s="184">
        <v>46103</v>
      </c>
      <c r="Y117" s="181" t="s">
        <v>1133</v>
      </c>
      <c r="Z117" s="176" t="s">
        <v>540</v>
      </c>
      <c r="AA117" s="182" t="s">
        <v>541</v>
      </c>
      <c r="AB117" s="182" t="s">
        <v>1099</v>
      </c>
      <c r="AC117" s="176" t="s">
        <v>236</v>
      </c>
      <c r="AD117" s="176" t="s">
        <v>1246</v>
      </c>
      <c r="AE117" s="186">
        <v>-1520</v>
      </c>
      <c r="AF117" s="175" t="s">
        <v>70</v>
      </c>
      <c r="AG117" s="175" t="s">
        <v>71</v>
      </c>
      <c r="AH117" s="175" t="s">
        <v>72</v>
      </c>
      <c r="AI117" s="175" t="s">
        <v>991</v>
      </c>
    </row>
    <row r="118" spans="1:35" x14ac:dyDescent="0.25">
      <c r="A118" s="170">
        <v>1999</v>
      </c>
      <c r="B118" s="173" t="s">
        <v>726</v>
      </c>
      <c r="C118" s="172" t="s">
        <v>727</v>
      </c>
      <c r="D118" s="172" t="s">
        <v>726</v>
      </c>
      <c r="E118" s="172" t="s">
        <v>728</v>
      </c>
      <c r="F118" s="172" t="s">
        <v>729</v>
      </c>
      <c r="G118" s="172" t="s">
        <v>730</v>
      </c>
      <c r="H118" s="173" t="s">
        <v>731</v>
      </c>
      <c r="I118" s="172" t="s">
        <v>732</v>
      </c>
      <c r="J118" s="172" t="s">
        <v>733</v>
      </c>
      <c r="K118" s="172" t="s">
        <v>734</v>
      </c>
      <c r="L118" s="174" t="s">
        <v>735</v>
      </c>
      <c r="M118" s="174" t="s">
        <v>736</v>
      </c>
      <c r="N118" s="174" t="s">
        <v>737</v>
      </c>
      <c r="O118" s="173" t="s">
        <v>63</v>
      </c>
      <c r="P118" s="173" t="s">
        <v>64</v>
      </c>
      <c r="Q118" s="175" t="s">
        <v>65</v>
      </c>
      <c r="R118" s="176" t="s">
        <v>1247</v>
      </c>
      <c r="S118" s="173" t="s">
        <v>1248</v>
      </c>
      <c r="T118" s="177">
        <v>358.5</v>
      </c>
      <c r="U118" s="177">
        <v>-179.25</v>
      </c>
      <c r="V118" s="178">
        <v>-179.25</v>
      </c>
      <c r="W118" s="179" t="s">
        <v>1249</v>
      </c>
      <c r="X118" s="184">
        <v>46073</v>
      </c>
      <c r="Y118" s="181">
        <v>46106</v>
      </c>
      <c r="Z118" s="176" t="s">
        <v>1250</v>
      </c>
      <c r="AA118" s="182" t="s">
        <v>1251</v>
      </c>
      <c r="AB118" s="176" t="s">
        <v>56</v>
      </c>
      <c r="AC118" s="173" t="s">
        <v>236</v>
      </c>
      <c r="AD118" s="176" t="s">
        <v>256</v>
      </c>
      <c r="AE118" s="183">
        <v>-179.25</v>
      </c>
      <c r="AF118" s="175" t="s">
        <v>70</v>
      </c>
      <c r="AG118" s="175" t="s">
        <v>71</v>
      </c>
      <c r="AH118" s="175" t="s">
        <v>72</v>
      </c>
      <c r="AI118" s="175" t="s">
        <v>991</v>
      </c>
    </row>
    <row r="119" spans="1:35" x14ac:dyDescent="0.25">
      <c r="A119" s="170">
        <v>2935</v>
      </c>
      <c r="B119" s="171" t="s">
        <v>726</v>
      </c>
      <c r="C119" s="172" t="s">
        <v>727</v>
      </c>
      <c r="D119" s="172" t="s">
        <v>726</v>
      </c>
      <c r="E119" s="172" t="s">
        <v>728</v>
      </c>
      <c r="F119" s="172" t="s">
        <v>729</v>
      </c>
      <c r="G119" s="172" t="s">
        <v>730</v>
      </c>
      <c r="H119" s="173" t="s">
        <v>731</v>
      </c>
      <c r="I119" s="172" t="s">
        <v>732</v>
      </c>
      <c r="J119" s="172" t="s">
        <v>733</v>
      </c>
      <c r="K119" s="172" t="s">
        <v>734</v>
      </c>
      <c r="L119" s="174" t="s">
        <v>735</v>
      </c>
      <c r="M119" s="174" t="s">
        <v>736</v>
      </c>
      <c r="N119" s="174" t="s">
        <v>737</v>
      </c>
      <c r="O119" s="173" t="s">
        <v>83</v>
      </c>
      <c r="P119" s="173" t="s">
        <v>84</v>
      </c>
      <c r="Q119" s="175" t="s">
        <v>85</v>
      </c>
      <c r="R119" s="176" t="s">
        <v>103</v>
      </c>
      <c r="S119" s="173" t="s">
        <v>1252</v>
      </c>
      <c r="T119" s="177">
        <v>310.91000000000003</v>
      </c>
      <c r="U119" s="177">
        <v>-310.91000000000003</v>
      </c>
      <c r="V119" s="178">
        <v>-310.91000000000003</v>
      </c>
      <c r="W119" s="179" t="s">
        <v>1253</v>
      </c>
      <c r="X119" s="184">
        <v>46031</v>
      </c>
      <c r="Y119" s="181">
        <v>46058</v>
      </c>
      <c r="Z119" s="176" t="s">
        <v>780</v>
      </c>
      <c r="AA119" s="182" t="s">
        <v>781</v>
      </c>
      <c r="AB119" s="176" t="s">
        <v>56</v>
      </c>
      <c r="AC119" s="176" t="s">
        <v>236</v>
      </c>
      <c r="AD119" s="176" t="s">
        <v>256</v>
      </c>
      <c r="AE119" s="183">
        <v>-310.91000000000003</v>
      </c>
      <c r="AF119" s="175" t="s">
        <v>89</v>
      </c>
      <c r="AG119" s="175" t="s">
        <v>61</v>
      </c>
      <c r="AH119" s="175" t="s">
        <v>72</v>
      </c>
      <c r="AI119" s="175" t="s">
        <v>991</v>
      </c>
    </row>
    <row r="120" spans="1:35" x14ac:dyDescent="0.25">
      <c r="A120" s="170">
        <v>3375</v>
      </c>
      <c r="B120" s="171" t="s">
        <v>726</v>
      </c>
      <c r="C120" s="172" t="s">
        <v>727</v>
      </c>
      <c r="D120" s="172" t="s">
        <v>726</v>
      </c>
      <c r="E120" s="172" t="s">
        <v>728</v>
      </c>
      <c r="F120" s="172" t="s">
        <v>729</v>
      </c>
      <c r="G120" s="172" t="s">
        <v>730</v>
      </c>
      <c r="H120" s="173" t="s">
        <v>731</v>
      </c>
      <c r="I120" s="172" t="s">
        <v>732</v>
      </c>
      <c r="J120" s="172" t="s">
        <v>733</v>
      </c>
      <c r="K120" s="172" t="s">
        <v>734</v>
      </c>
      <c r="L120" s="174" t="s">
        <v>735</v>
      </c>
      <c r="M120" s="174" t="s">
        <v>736</v>
      </c>
      <c r="N120" s="174" t="s">
        <v>737</v>
      </c>
      <c r="O120" s="173" t="s">
        <v>63</v>
      </c>
      <c r="P120" s="173" t="s">
        <v>64</v>
      </c>
      <c r="Q120" s="175" t="s">
        <v>65</v>
      </c>
      <c r="R120" s="176" t="s">
        <v>103</v>
      </c>
      <c r="S120" s="173" t="s">
        <v>1254</v>
      </c>
      <c r="T120" s="177">
        <v>6733.91</v>
      </c>
      <c r="U120" s="177">
        <v>-6733.91</v>
      </c>
      <c r="V120" s="178">
        <v>-6733.91</v>
      </c>
      <c r="W120" s="179" t="s">
        <v>1255</v>
      </c>
      <c r="X120" s="181">
        <v>46030</v>
      </c>
      <c r="Y120" s="181">
        <v>46068</v>
      </c>
      <c r="Z120" s="176" t="s">
        <v>753</v>
      </c>
      <c r="AA120" s="182" t="s">
        <v>754</v>
      </c>
      <c r="AB120" s="176" t="s">
        <v>56</v>
      </c>
      <c r="AC120" s="176" t="s">
        <v>236</v>
      </c>
      <c r="AD120" s="176" t="s">
        <v>256</v>
      </c>
      <c r="AE120" s="183">
        <v>-6733.91</v>
      </c>
      <c r="AF120" s="175" t="s">
        <v>70</v>
      </c>
      <c r="AG120" s="175" t="s">
        <v>71</v>
      </c>
      <c r="AH120" s="175" t="s">
        <v>72</v>
      </c>
      <c r="AI120" s="175" t="s">
        <v>991</v>
      </c>
    </row>
    <row r="121" spans="1:35" x14ac:dyDescent="0.25">
      <c r="A121" s="170">
        <v>3762</v>
      </c>
      <c r="B121" s="171" t="s">
        <v>726</v>
      </c>
      <c r="C121" s="172" t="s">
        <v>727</v>
      </c>
      <c r="D121" s="172" t="s">
        <v>726</v>
      </c>
      <c r="E121" s="172" t="s">
        <v>728</v>
      </c>
      <c r="F121" s="172" t="s">
        <v>729</v>
      </c>
      <c r="G121" s="172" t="s">
        <v>730</v>
      </c>
      <c r="H121" s="173" t="s">
        <v>731</v>
      </c>
      <c r="I121" s="172" t="s">
        <v>732</v>
      </c>
      <c r="J121" s="172" t="s">
        <v>733</v>
      </c>
      <c r="K121" s="172" t="s">
        <v>734</v>
      </c>
      <c r="L121" s="174" t="s">
        <v>735</v>
      </c>
      <c r="M121" s="174" t="s">
        <v>736</v>
      </c>
      <c r="N121" s="174" t="s">
        <v>737</v>
      </c>
      <c r="O121" s="173" t="s">
        <v>63</v>
      </c>
      <c r="P121" s="173" t="s">
        <v>64</v>
      </c>
      <c r="Q121" s="175" t="s">
        <v>65</v>
      </c>
      <c r="R121" s="176" t="s">
        <v>103</v>
      </c>
      <c r="S121" s="173" t="s">
        <v>1256</v>
      </c>
      <c r="T121" s="177">
        <v>7765.61</v>
      </c>
      <c r="U121" s="177">
        <v>-7765.61</v>
      </c>
      <c r="V121" s="178">
        <v>-7765.61</v>
      </c>
      <c r="W121" s="179" t="s">
        <v>1257</v>
      </c>
      <c r="X121" s="181">
        <v>46051</v>
      </c>
      <c r="Y121" s="181">
        <v>46081</v>
      </c>
      <c r="Z121" s="176" t="s">
        <v>619</v>
      </c>
      <c r="AA121" s="182" t="s">
        <v>620</v>
      </c>
      <c r="AB121" s="176" t="s">
        <v>56</v>
      </c>
      <c r="AC121" s="176" t="s">
        <v>236</v>
      </c>
      <c r="AD121" s="176" t="s">
        <v>256</v>
      </c>
      <c r="AE121" s="183">
        <v>-7765.61</v>
      </c>
      <c r="AF121" s="175" t="s">
        <v>70</v>
      </c>
      <c r="AG121" s="175" t="s">
        <v>71</v>
      </c>
      <c r="AH121" s="175" t="s">
        <v>72</v>
      </c>
      <c r="AI121" s="175" t="s">
        <v>991</v>
      </c>
    </row>
    <row r="122" spans="1:35" x14ac:dyDescent="0.25">
      <c r="A122" s="170">
        <v>3884</v>
      </c>
      <c r="B122" s="171" t="s">
        <v>726</v>
      </c>
      <c r="C122" s="172" t="s">
        <v>727</v>
      </c>
      <c r="D122" s="172" t="s">
        <v>726</v>
      </c>
      <c r="E122" s="172" t="s">
        <v>728</v>
      </c>
      <c r="F122" s="172" t="s">
        <v>729</v>
      </c>
      <c r="G122" s="172" t="s">
        <v>730</v>
      </c>
      <c r="H122" s="173" t="s">
        <v>731</v>
      </c>
      <c r="I122" s="172" t="s">
        <v>732</v>
      </c>
      <c r="J122" s="172" t="s">
        <v>733</v>
      </c>
      <c r="K122" s="172" t="s">
        <v>734</v>
      </c>
      <c r="L122" s="174" t="s">
        <v>735</v>
      </c>
      <c r="M122" s="174" t="s">
        <v>736</v>
      </c>
      <c r="N122" s="174" t="s">
        <v>737</v>
      </c>
      <c r="O122" s="173" t="s">
        <v>63</v>
      </c>
      <c r="P122" s="173" t="s">
        <v>64</v>
      </c>
      <c r="Q122" s="175" t="s">
        <v>65</v>
      </c>
      <c r="R122" s="176" t="s">
        <v>103</v>
      </c>
      <c r="S122" s="173" t="s">
        <v>1258</v>
      </c>
      <c r="T122" s="177">
        <v>90</v>
      </c>
      <c r="U122" s="177">
        <v>-90</v>
      </c>
      <c r="V122" s="178">
        <v>-90</v>
      </c>
      <c r="W122" s="179" t="s">
        <v>1259</v>
      </c>
      <c r="X122" s="181">
        <v>46062</v>
      </c>
      <c r="Y122" s="181">
        <v>46086</v>
      </c>
      <c r="Z122" s="176" t="s">
        <v>794</v>
      </c>
      <c r="AA122" s="182" t="s">
        <v>1260</v>
      </c>
      <c r="AB122" s="176" t="s">
        <v>56</v>
      </c>
      <c r="AC122" s="176" t="s">
        <v>236</v>
      </c>
      <c r="AD122" s="176" t="s">
        <v>256</v>
      </c>
      <c r="AE122" s="183">
        <v>-90</v>
      </c>
      <c r="AF122" s="175" t="s">
        <v>70</v>
      </c>
      <c r="AG122" s="175" t="s">
        <v>71</v>
      </c>
      <c r="AH122" s="175" t="s">
        <v>72</v>
      </c>
      <c r="AI122" s="175" t="s">
        <v>991</v>
      </c>
    </row>
    <row r="123" spans="1:35" x14ac:dyDescent="0.25">
      <c r="A123" s="170">
        <v>5931</v>
      </c>
      <c r="B123" s="173" t="s">
        <v>726</v>
      </c>
      <c r="C123" s="173" t="s">
        <v>727</v>
      </c>
      <c r="D123" s="173" t="s">
        <v>726</v>
      </c>
      <c r="E123" s="173" t="s">
        <v>728</v>
      </c>
      <c r="F123" s="173" t="s">
        <v>729</v>
      </c>
      <c r="G123" s="173" t="s">
        <v>1261</v>
      </c>
      <c r="H123" s="173" t="s">
        <v>1262</v>
      </c>
      <c r="I123" s="173" t="s">
        <v>732</v>
      </c>
      <c r="J123" s="173" t="s">
        <v>733</v>
      </c>
      <c r="K123" s="173" t="s">
        <v>734</v>
      </c>
      <c r="L123" s="173" t="s">
        <v>735</v>
      </c>
      <c r="M123" s="173" t="s">
        <v>736</v>
      </c>
      <c r="N123" s="173" t="s">
        <v>737</v>
      </c>
      <c r="O123" s="173" t="s">
        <v>63</v>
      </c>
      <c r="P123" s="173" t="s">
        <v>64</v>
      </c>
      <c r="Q123" s="175" t="s">
        <v>65</v>
      </c>
      <c r="R123" s="176" t="s">
        <v>103</v>
      </c>
      <c r="S123" s="176" t="s">
        <v>1263</v>
      </c>
      <c r="T123" s="178">
        <v>9301.7900000000009</v>
      </c>
      <c r="U123" s="178">
        <v>0</v>
      </c>
      <c r="V123" s="178">
        <v>-9301.7900000000009</v>
      </c>
      <c r="W123" s="185" t="s">
        <v>1264</v>
      </c>
      <c r="X123" s="184">
        <v>46108</v>
      </c>
      <c r="Y123" s="181" t="s">
        <v>1098</v>
      </c>
      <c r="Z123" s="176" t="s">
        <v>619</v>
      </c>
      <c r="AA123" s="182" t="s">
        <v>620</v>
      </c>
      <c r="AB123" s="182" t="s">
        <v>1099</v>
      </c>
      <c r="AC123" s="176" t="s">
        <v>236</v>
      </c>
      <c r="AD123" s="176" t="s">
        <v>1265</v>
      </c>
      <c r="AE123" s="186">
        <v>-9301.7900000000009</v>
      </c>
      <c r="AF123" s="175" t="s">
        <v>70</v>
      </c>
      <c r="AG123" s="175" t="s">
        <v>71</v>
      </c>
      <c r="AH123" s="175" t="s">
        <v>72</v>
      </c>
      <c r="AI123" s="175" t="s">
        <v>991</v>
      </c>
    </row>
    <row r="124" spans="1:35" x14ac:dyDescent="0.25">
      <c r="A124" s="170">
        <v>6055</v>
      </c>
      <c r="B124" s="173" t="s">
        <v>726</v>
      </c>
      <c r="C124" s="173" t="s">
        <v>727</v>
      </c>
      <c r="D124" s="173" t="s">
        <v>726</v>
      </c>
      <c r="E124" s="172" t="s">
        <v>728</v>
      </c>
      <c r="F124" s="173" t="s">
        <v>729</v>
      </c>
      <c r="G124" s="173" t="s">
        <v>1261</v>
      </c>
      <c r="H124" s="173" t="s">
        <v>1262</v>
      </c>
      <c r="I124" s="173" t="s">
        <v>732</v>
      </c>
      <c r="J124" s="173" t="s">
        <v>733</v>
      </c>
      <c r="K124" s="173" t="s">
        <v>734</v>
      </c>
      <c r="L124" s="173" t="s">
        <v>735</v>
      </c>
      <c r="M124" s="173" t="s">
        <v>736</v>
      </c>
      <c r="N124" s="173" t="s">
        <v>737</v>
      </c>
      <c r="O124" s="173" t="s">
        <v>63</v>
      </c>
      <c r="P124" s="173" t="s">
        <v>64</v>
      </c>
      <c r="Q124" s="175" t="s">
        <v>65</v>
      </c>
      <c r="R124" s="176" t="s">
        <v>103</v>
      </c>
      <c r="S124" s="176" t="s">
        <v>1266</v>
      </c>
      <c r="T124" s="178">
        <v>6400</v>
      </c>
      <c r="U124" s="178">
        <v>0</v>
      </c>
      <c r="V124" s="178">
        <v>-533.33000000000004</v>
      </c>
      <c r="W124" s="185" t="s">
        <v>1267</v>
      </c>
      <c r="X124" s="184">
        <v>46107</v>
      </c>
      <c r="Y124" s="181" t="s">
        <v>1098</v>
      </c>
      <c r="Z124" s="176" t="s">
        <v>1268</v>
      </c>
      <c r="AA124" s="182" t="s">
        <v>976</v>
      </c>
      <c r="AB124" s="182" t="s">
        <v>1099</v>
      </c>
      <c r="AC124" s="176" t="s">
        <v>236</v>
      </c>
      <c r="AD124" s="176" t="s">
        <v>1269</v>
      </c>
      <c r="AE124" s="186">
        <v>-533.33000000000004</v>
      </c>
      <c r="AF124" s="175" t="s">
        <v>70</v>
      </c>
      <c r="AG124" s="175" t="s">
        <v>71</v>
      </c>
      <c r="AH124" s="175" t="s">
        <v>72</v>
      </c>
      <c r="AI124" s="175" t="s">
        <v>991</v>
      </c>
    </row>
    <row r="125" spans="1:35" x14ac:dyDescent="0.25">
      <c r="A125" s="170">
        <v>6058</v>
      </c>
      <c r="B125" s="173" t="s">
        <v>726</v>
      </c>
      <c r="C125" s="173" t="s">
        <v>727</v>
      </c>
      <c r="D125" s="173" t="s">
        <v>726</v>
      </c>
      <c r="E125" s="172" t="s">
        <v>728</v>
      </c>
      <c r="F125" s="173" t="s">
        <v>729</v>
      </c>
      <c r="G125" s="173" t="s">
        <v>1261</v>
      </c>
      <c r="H125" s="173" t="s">
        <v>1262</v>
      </c>
      <c r="I125" s="173" t="s">
        <v>732</v>
      </c>
      <c r="J125" s="173" t="s">
        <v>733</v>
      </c>
      <c r="K125" s="173" t="s">
        <v>734</v>
      </c>
      <c r="L125" s="173" t="s">
        <v>735</v>
      </c>
      <c r="M125" s="173" t="s">
        <v>736</v>
      </c>
      <c r="N125" s="173" t="s">
        <v>737</v>
      </c>
      <c r="O125" s="173" t="s">
        <v>63</v>
      </c>
      <c r="P125" s="173" t="s">
        <v>64</v>
      </c>
      <c r="Q125" s="175" t="s">
        <v>65</v>
      </c>
      <c r="R125" s="176" t="s">
        <v>103</v>
      </c>
      <c r="S125" s="176" t="s">
        <v>1266</v>
      </c>
      <c r="T125" s="178">
        <v>6400</v>
      </c>
      <c r="U125" s="178">
        <v>0</v>
      </c>
      <c r="V125" s="178">
        <v>-533.33000000000004</v>
      </c>
      <c r="W125" s="185" t="s">
        <v>1267</v>
      </c>
      <c r="X125" s="184">
        <v>46107</v>
      </c>
      <c r="Y125" s="181" t="s">
        <v>1098</v>
      </c>
      <c r="Z125" s="176" t="s">
        <v>1268</v>
      </c>
      <c r="AA125" s="182" t="s">
        <v>976</v>
      </c>
      <c r="AB125" s="182" t="s">
        <v>1099</v>
      </c>
      <c r="AC125" s="176" t="s">
        <v>236</v>
      </c>
      <c r="AD125" s="176" t="s">
        <v>1269</v>
      </c>
      <c r="AE125" s="186">
        <v>-533.33000000000004</v>
      </c>
      <c r="AF125" s="175" t="s">
        <v>70</v>
      </c>
      <c r="AG125" s="175" t="s">
        <v>71</v>
      </c>
      <c r="AH125" s="175" t="s">
        <v>72</v>
      </c>
      <c r="AI125" s="175" t="s">
        <v>991</v>
      </c>
    </row>
    <row r="126" spans="1:35" x14ac:dyDescent="0.25">
      <c r="A126" s="170">
        <v>7765</v>
      </c>
      <c r="B126" s="173" t="s">
        <v>726</v>
      </c>
      <c r="C126" s="173" t="s">
        <v>727</v>
      </c>
      <c r="D126" s="173" t="s">
        <v>726</v>
      </c>
      <c r="E126" s="173" t="s">
        <v>728</v>
      </c>
      <c r="F126" s="173" t="s">
        <v>729</v>
      </c>
      <c r="G126" s="173" t="s">
        <v>1261</v>
      </c>
      <c r="H126" s="173" t="s">
        <v>1262</v>
      </c>
      <c r="I126" s="173" t="s">
        <v>732</v>
      </c>
      <c r="J126" s="173" t="s">
        <v>733</v>
      </c>
      <c r="K126" s="173" t="s">
        <v>734</v>
      </c>
      <c r="L126" s="173" t="s">
        <v>735</v>
      </c>
      <c r="M126" s="173" t="s">
        <v>736</v>
      </c>
      <c r="N126" s="173" t="s">
        <v>737</v>
      </c>
      <c r="O126" s="173" t="s">
        <v>63</v>
      </c>
      <c r="P126" s="173" t="s">
        <v>64</v>
      </c>
      <c r="Q126" s="175" t="s">
        <v>65</v>
      </c>
      <c r="R126" s="176" t="s">
        <v>103</v>
      </c>
      <c r="S126" s="176" t="s">
        <v>1270</v>
      </c>
      <c r="T126" s="178">
        <v>5800</v>
      </c>
      <c r="U126" s="178">
        <v>5800</v>
      </c>
      <c r="V126" s="178">
        <v>-5800</v>
      </c>
      <c r="W126" s="185" t="s">
        <v>1271</v>
      </c>
      <c r="X126" s="184">
        <v>46083</v>
      </c>
      <c r="Y126" s="181" t="s">
        <v>1111</v>
      </c>
      <c r="Z126" s="176" t="s">
        <v>1272</v>
      </c>
      <c r="AA126" s="182" t="s">
        <v>1273</v>
      </c>
      <c r="AB126" s="182" t="s">
        <v>1099</v>
      </c>
      <c r="AC126" s="176" t="s">
        <v>236</v>
      </c>
      <c r="AD126" s="176" t="s">
        <v>1274</v>
      </c>
      <c r="AE126" s="186">
        <v>-5800</v>
      </c>
      <c r="AF126" s="175" t="s">
        <v>70</v>
      </c>
      <c r="AG126" s="175" t="s">
        <v>71</v>
      </c>
      <c r="AH126" s="175" t="s">
        <v>72</v>
      </c>
      <c r="AI126" s="175" t="s">
        <v>991</v>
      </c>
    </row>
    <row r="127" spans="1:35" x14ac:dyDescent="0.25">
      <c r="A127" s="170">
        <v>8136</v>
      </c>
      <c r="B127" s="173" t="s">
        <v>726</v>
      </c>
      <c r="C127" s="173" t="s">
        <v>727</v>
      </c>
      <c r="D127" s="173" t="s">
        <v>726</v>
      </c>
      <c r="E127" s="173" t="s">
        <v>728</v>
      </c>
      <c r="F127" s="173" t="s">
        <v>729</v>
      </c>
      <c r="G127" s="173" t="s">
        <v>1261</v>
      </c>
      <c r="H127" s="173" t="s">
        <v>1262</v>
      </c>
      <c r="I127" s="173" t="s">
        <v>732</v>
      </c>
      <c r="J127" s="173" t="s">
        <v>733</v>
      </c>
      <c r="K127" s="173" t="s">
        <v>734</v>
      </c>
      <c r="L127" s="173" t="s">
        <v>735</v>
      </c>
      <c r="M127" s="173" t="s">
        <v>736</v>
      </c>
      <c r="N127" s="173" t="s">
        <v>737</v>
      </c>
      <c r="O127" s="173" t="s">
        <v>63</v>
      </c>
      <c r="P127" s="173" t="s">
        <v>64</v>
      </c>
      <c r="Q127" s="175" t="s">
        <v>65</v>
      </c>
      <c r="R127" s="176" t="s">
        <v>51</v>
      </c>
      <c r="S127" s="176" t="s">
        <v>1275</v>
      </c>
      <c r="T127" s="178">
        <v>3400</v>
      </c>
      <c r="U127" s="178">
        <v>3400</v>
      </c>
      <c r="V127" s="178">
        <v>-3400</v>
      </c>
      <c r="W127" s="185" t="s">
        <v>1276</v>
      </c>
      <c r="X127" s="184">
        <v>46094</v>
      </c>
      <c r="Y127" s="181" t="s">
        <v>1133</v>
      </c>
      <c r="Z127" s="176" t="s">
        <v>1277</v>
      </c>
      <c r="AA127" s="182" t="s">
        <v>823</v>
      </c>
      <c r="AB127" s="182" t="s">
        <v>1099</v>
      </c>
      <c r="AC127" s="176" t="s">
        <v>236</v>
      </c>
      <c r="AD127" s="176" t="s">
        <v>1278</v>
      </c>
      <c r="AE127" s="186">
        <v>-3400</v>
      </c>
      <c r="AF127" s="175" t="s">
        <v>70</v>
      </c>
      <c r="AG127" s="175" t="s">
        <v>71</v>
      </c>
      <c r="AH127" s="175" t="s">
        <v>72</v>
      </c>
      <c r="AI127" s="175" t="s">
        <v>991</v>
      </c>
    </row>
    <row r="128" spans="1:35" x14ac:dyDescent="0.25">
      <c r="A128" s="170">
        <v>8184</v>
      </c>
      <c r="B128" s="173" t="s">
        <v>726</v>
      </c>
      <c r="C128" s="173" t="s">
        <v>727</v>
      </c>
      <c r="D128" s="173" t="s">
        <v>726</v>
      </c>
      <c r="E128" s="173" t="s">
        <v>728</v>
      </c>
      <c r="F128" s="173" t="s">
        <v>729</v>
      </c>
      <c r="G128" s="173" t="s">
        <v>1261</v>
      </c>
      <c r="H128" s="173" t="s">
        <v>1262</v>
      </c>
      <c r="I128" s="173" t="s">
        <v>732</v>
      </c>
      <c r="J128" s="173" t="s">
        <v>733</v>
      </c>
      <c r="K128" s="173" t="s">
        <v>734</v>
      </c>
      <c r="L128" s="173" t="s">
        <v>735</v>
      </c>
      <c r="M128" s="173" t="s">
        <v>736</v>
      </c>
      <c r="N128" s="173" t="s">
        <v>737</v>
      </c>
      <c r="O128" s="173" t="s">
        <v>63</v>
      </c>
      <c r="P128" s="173" t="s">
        <v>64</v>
      </c>
      <c r="Q128" s="175" t="s">
        <v>65</v>
      </c>
      <c r="R128" s="176" t="s">
        <v>103</v>
      </c>
      <c r="S128" s="176" t="s">
        <v>1279</v>
      </c>
      <c r="T128" s="178">
        <v>4300</v>
      </c>
      <c r="U128" s="178">
        <v>0</v>
      </c>
      <c r="V128" s="178">
        <v>-4300</v>
      </c>
      <c r="W128" s="185" t="s">
        <v>1280</v>
      </c>
      <c r="X128" s="184">
        <v>46105</v>
      </c>
      <c r="Y128" s="181" t="s">
        <v>1098</v>
      </c>
      <c r="Z128" s="176" t="s">
        <v>1281</v>
      </c>
      <c r="AA128" s="182" t="s">
        <v>1282</v>
      </c>
      <c r="AB128" s="182" t="s">
        <v>1099</v>
      </c>
      <c r="AC128" s="176" t="s">
        <v>236</v>
      </c>
      <c r="AD128" s="176" t="s">
        <v>1283</v>
      </c>
      <c r="AE128" s="186">
        <v>-4300</v>
      </c>
      <c r="AF128" s="175" t="s">
        <v>70</v>
      </c>
      <c r="AG128" s="175" t="s">
        <v>71</v>
      </c>
      <c r="AH128" s="175" t="s">
        <v>72</v>
      </c>
      <c r="AI128" s="175" t="s">
        <v>991</v>
      </c>
    </row>
    <row r="129" spans="1:35" x14ac:dyDescent="0.25">
      <c r="A129" s="170">
        <v>8523</v>
      </c>
      <c r="B129" s="173" t="s">
        <v>726</v>
      </c>
      <c r="C129" s="173" t="s">
        <v>727</v>
      </c>
      <c r="D129" s="173" t="s">
        <v>726</v>
      </c>
      <c r="E129" s="173" t="s">
        <v>728</v>
      </c>
      <c r="F129" s="173" t="s">
        <v>729</v>
      </c>
      <c r="G129" s="173" t="s">
        <v>1261</v>
      </c>
      <c r="H129" s="173" t="s">
        <v>1262</v>
      </c>
      <c r="I129" s="173" t="s">
        <v>732</v>
      </c>
      <c r="J129" s="173" t="s">
        <v>733</v>
      </c>
      <c r="K129" s="173" t="s">
        <v>734</v>
      </c>
      <c r="L129" s="173" t="s">
        <v>735</v>
      </c>
      <c r="M129" s="173" t="s">
        <v>736</v>
      </c>
      <c r="N129" s="173" t="s">
        <v>737</v>
      </c>
      <c r="O129" s="173" t="s">
        <v>63</v>
      </c>
      <c r="P129" s="173" t="s">
        <v>64</v>
      </c>
      <c r="Q129" s="175" t="s">
        <v>65</v>
      </c>
      <c r="R129" s="176" t="s">
        <v>1247</v>
      </c>
      <c r="S129" s="176" t="s">
        <v>1284</v>
      </c>
      <c r="T129" s="178">
        <v>780</v>
      </c>
      <c r="U129" s="178">
        <v>0</v>
      </c>
      <c r="V129" s="178">
        <v>-130</v>
      </c>
      <c r="W129" s="185" t="s">
        <v>1285</v>
      </c>
      <c r="X129" s="184">
        <v>46112</v>
      </c>
      <c r="Y129" s="181" t="s">
        <v>1098</v>
      </c>
      <c r="Z129" s="176" t="s">
        <v>1286</v>
      </c>
      <c r="AA129" s="182" t="s">
        <v>1287</v>
      </c>
      <c r="AB129" s="182" t="s">
        <v>1099</v>
      </c>
      <c r="AC129" s="176" t="s">
        <v>236</v>
      </c>
      <c r="AD129" s="176" t="s">
        <v>1288</v>
      </c>
      <c r="AE129" s="186">
        <v>-130</v>
      </c>
      <c r="AF129" s="175" t="s">
        <v>70</v>
      </c>
      <c r="AG129" s="175" t="s">
        <v>71</v>
      </c>
      <c r="AH129" s="175" t="s">
        <v>72</v>
      </c>
      <c r="AI129" s="175" t="s">
        <v>991</v>
      </c>
    </row>
    <row r="130" spans="1:35" x14ac:dyDescent="0.25">
      <c r="A130" s="170">
        <v>136</v>
      </c>
      <c r="B130" s="171" t="s">
        <v>36</v>
      </c>
      <c r="C130" s="172" t="s">
        <v>37</v>
      </c>
      <c r="D130" s="172" t="s">
        <v>36</v>
      </c>
      <c r="E130" s="172" t="s">
        <v>38</v>
      </c>
      <c r="F130" s="172" t="s">
        <v>39</v>
      </c>
      <c r="G130" s="172" t="s">
        <v>40</v>
      </c>
      <c r="H130" s="173" t="s">
        <v>41</v>
      </c>
      <c r="I130" s="172" t="s">
        <v>524</v>
      </c>
      <c r="J130" s="172" t="s">
        <v>525</v>
      </c>
      <c r="K130" s="174" t="s">
        <v>526</v>
      </c>
      <c r="L130" s="174" t="s">
        <v>849</v>
      </c>
      <c r="M130" s="174" t="s">
        <v>850</v>
      </c>
      <c r="N130" s="174" t="s">
        <v>851</v>
      </c>
      <c r="O130" s="173" t="s">
        <v>984</v>
      </c>
      <c r="P130" s="173" t="s">
        <v>985</v>
      </c>
      <c r="Q130" s="175" t="s">
        <v>986</v>
      </c>
      <c r="R130" s="176" t="s">
        <v>207</v>
      </c>
      <c r="S130" s="173" t="s">
        <v>987</v>
      </c>
      <c r="T130" s="177">
        <v>1155.32</v>
      </c>
      <c r="U130" s="177">
        <v>-11.55</v>
      </c>
      <c r="V130" s="178">
        <v>-11.55</v>
      </c>
      <c r="W130" s="179" t="s">
        <v>988</v>
      </c>
      <c r="X130" s="180">
        <v>46024</v>
      </c>
      <c r="Y130" s="181">
        <v>46037</v>
      </c>
      <c r="Z130" s="176" t="s">
        <v>234</v>
      </c>
      <c r="AA130" s="182" t="s">
        <v>235</v>
      </c>
      <c r="AB130" s="173" t="s">
        <v>56</v>
      </c>
      <c r="AC130" s="176" t="s">
        <v>236</v>
      </c>
      <c r="AD130" s="176" t="s">
        <v>256</v>
      </c>
      <c r="AE130" s="183">
        <v>-11.55</v>
      </c>
      <c r="AF130" s="175" t="s">
        <v>989</v>
      </c>
      <c r="AG130" s="175" t="s">
        <v>990</v>
      </c>
      <c r="AH130" s="175" t="s">
        <v>201</v>
      </c>
      <c r="AI130" s="175" t="s">
        <v>991</v>
      </c>
    </row>
    <row r="131" spans="1:35" x14ac:dyDescent="0.25">
      <c r="A131" s="170">
        <v>370</v>
      </c>
      <c r="B131" s="171" t="s">
        <v>36</v>
      </c>
      <c r="C131" s="172" t="s">
        <v>37</v>
      </c>
      <c r="D131" s="172" t="s">
        <v>36</v>
      </c>
      <c r="E131" s="172" t="s">
        <v>38</v>
      </c>
      <c r="F131" s="172" t="s">
        <v>39</v>
      </c>
      <c r="G131" s="172" t="s">
        <v>40</v>
      </c>
      <c r="H131" s="173" t="s">
        <v>41</v>
      </c>
      <c r="I131" s="172" t="s">
        <v>524</v>
      </c>
      <c r="J131" s="172" t="s">
        <v>525</v>
      </c>
      <c r="K131" s="172" t="s">
        <v>526</v>
      </c>
      <c r="L131" s="174" t="s">
        <v>849</v>
      </c>
      <c r="M131" s="174" t="s">
        <v>850</v>
      </c>
      <c r="N131" s="174" t="s">
        <v>851</v>
      </c>
      <c r="O131" s="173" t="s">
        <v>63</v>
      </c>
      <c r="P131" s="173" t="s">
        <v>64</v>
      </c>
      <c r="Q131" s="175" t="s">
        <v>65</v>
      </c>
      <c r="R131" s="176" t="s">
        <v>51</v>
      </c>
      <c r="S131" s="173" t="s">
        <v>1289</v>
      </c>
      <c r="T131" s="177">
        <v>160</v>
      </c>
      <c r="U131" s="177">
        <v>-160</v>
      </c>
      <c r="V131" s="178">
        <v>-160</v>
      </c>
      <c r="W131" s="179" t="s">
        <v>1290</v>
      </c>
      <c r="X131" s="181">
        <v>46034</v>
      </c>
      <c r="Y131" s="181">
        <v>46047</v>
      </c>
      <c r="Z131" s="176" t="s">
        <v>532</v>
      </c>
      <c r="AA131" s="182" t="s">
        <v>533</v>
      </c>
      <c r="AB131" s="176" t="s">
        <v>56</v>
      </c>
      <c r="AC131" s="176" t="s">
        <v>236</v>
      </c>
      <c r="AD131" s="176" t="s">
        <v>256</v>
      </c>
      <c r="AE131" s="183">
        <v>-160</v>
      </c>
      <c r="AF131" s="175" t="s">
        <v>70</v>
      </c>
      <c r="AG131" s="175" t="s">
        <v>71</v>
      </c>
      <c r="AH131" s="175" t="s">
        <v>72</v>
      </c>
      <c r="AI131" s="175" t="s">
        <v>991</v>
      </c>
    </row>
    <row r="132" spans="1:35" x14ac:dyDescent="0.25">
      <c r="A132" s="170">
        <v>676</v>
      </c>
      <c r="B132" s="171" t="s">
        <v>36</v>
      </c>
      <c r="C132" s="172" t="s">
        <v>37</v>
      </c>
      <c r="D132" s="172" t="s">
        <v>36</v>
      </c>
      <c r="E132" s="172" t="s">
        <v>38</v>
      </c>
      <c r="F132" s="172" t="s">
        <v>39</v>
      </c>
      <c r="G132" s="172" t="s">
        <v>40</v>
      </c>
      <c r="H132" s="173" t="s">
        <v>41</v>
      </c>
      <c r="I132" s="172" t="s">
        <v>524</v>
      </c>
      <c r="J132" s="172" t="s">
        <v>525</v>
      </c>
      <c r="K132" s="174" t="s">
        <v>526</v>
      </c>
      <c r="L132" s="174" t="s">
        <v>849</v>
      </c>
      <c r="M132" s="174" t="s">
        <v>850</v>
      </c>
      <c r="N132" s="174" t="s">
        <v>851</v>
      </c>
      <c r="O132" s="173" t="s">
        <v>63</v>
      </c>
      <c r="P132" s="173" t="s">
        <v>64</v>
      </c>
      <c r="Q132" s="175" t="s">
        <v>65</v>
      </c>
      <c r="R132" s="176" t="s">
        <v>51</v>
      </c>
      <c r="S132" s="173" t="s">
        <v>1291</v>
      </c>
      <c r="T132" s="177">
        <v>7952</v>
      </c>
      <c r="U132" s="177">
        <v>-1988</v>
      </c>
      <c r="V132" s="178">
        <v>-1988</v>
      </c>
      <c r="W132" s="179" t="s">
        <v>1292</v>
      </c>
      <c r="X132" s="181">
        <v>46028</v>
      </c>
      <c r="Y132" s="181">
        <v>46058</v>
      </c>
      <c r="Z132" s="176" t="s">
        <v>753</v>
      </c>
      <c r="AA132" s="182" t="s">
        <v>754</v>
      </c>
      <c r="AB132" s="176" t="s">
        <v>56</v>
      </c>
      <c r="AC132" s="176" t="s">
        <v>236</v>
      </c>
      <c r="AD132" s="176" t="s">
        <v>256</v>
      </c>
      <c r="AE132" s="183">
        <v>-1988</v>
      </c>
      <c r="AF132" s="175" t="s">
        <v>70</v>
      </c>
      <c r="AG132" s="175" t="s">
        <v>71</v>
      </c>
      <c r="AH132" s="175" t="s">
        <v>72</v>
      </c>
      <c r="AI132" s="175" t="s">
        <v>991</v>
      </c>
    </row>
    <row r="133" spans="1:35" x14ac:dyDescent="0.25">
      <c r="A133" s="170">
        <v>684</v>
      </c>
      <c r="B133" s="171" t="s">
        <v>36</v>
      </c>
      <c r="C133" s="172" t="s">
        <v>37</v>
      </c>
      <c r="D133" s="172" t="s">
        <v>36</v>
      </c>
      <c r="E133" s="172" t="s">
        <v>38</v>
      </c>
      <c r="F133" s="172" t="s">
        <v>39</v>
      </c>
      <c r="G133" s="172" t="s">
        <v>40</v>
      </c>
      <c r="H133" s="173" t="s">
        <v>41</v>
      </c>
      <c r="I133" s="172" t="s">
        <v>524</v>
      </c>
      <c r="J133" s="172" t="s">
        <v>525</v>
      </c>
      <c r="K133" s="172" t="s">
        <v>526</v>
      </c>
      <c r="L133" s="174" t="s">
        <v>849</v>
      </c>
      <c r="M133" s="174" t="s">
        <v>850</v>
      </c>
      <c r="N133" s="174" t="s">
        <v>851</v>
      </c>
      <c r="O133" s="173" t="s">
        <v>83</v>
      </c>
      <c r="P133" s="173" t="s">
        <v>84</v>
      </c>
      <c r="Q133" s="175" t="s">
        <v>85</v>
      </c>
      <c r="R133" s="176" t="s">
        <v>51</v>
      </c>
      <c r="S133" s="173" t="s">
        <v>1293</v>
      </c>
      <c r="T133" s="177">
        <v>274.39999999999998</v>
      </c>
      <c r="U133" s="177">
        <v>-68.599999999999994</v>
      </c>
      <c r="V133" s="178">
        <v>-68.599999999999994</v>
      </c>
      <c r="W133" s="179" t="s">
        <v>1294</v>
      </c>
      <c r="X133" s="181">
        <v>46029</v>
      </c>
      <c r="Y133" s="181">
        <v>46058</v>
      </c>
      <c r="Z133" s="176" t="s">
        <v>780</v>
      </c>
      <c r="AA133" s="182" t="s">
        <v>781</v>
      </c>
      <c r="AB133" s="176" t="s">
        <v>56</v>
      </c>
      <c r="AC133" s="176" t="s">
        <v>236</v>
      </c>
      <c r="AD133" s="176" t="s">
        <v>256</v>
      </c>
      <c r="AE133" s="183">
        <v>-68.599999999999994</v>
      </c>
      <c r="AF133" s="175" t="s">
        <v>89</v>
      </c>
      <c r="AG133" s="175" t="s">
        <v>61</v>
      </c>
      <c r="AH133" s="175" t="s">
        <v>72</v>
      </c>
      <c r="AI133" s="175" t="s">
        <v>991</v>
      </c>
    </row>
    <row r="134" spans="1:35" x14ac:dyDescent="0.25">
      <c r="A134" s="170">
        <v>801</v>
      </c>
      <c r="B134" s="171" t="s">
        <v>36</v>
      </c>
      <c r="C134" s="172" t="s">
        <v>37</v>
      </c>
      <c r="D134" s="172" t="s">
        <v>36</v>
      </c>
      <c r="E134" s="172" t="s">
        <v>38</v>
      </c>
      <c r="F134" s="172" t="s">
        <v>39</v>
      </c>
      <c r="G134" s="172" t="s">
        <v>40</v>
      </c>
      <c r="H134" s="173" t="s">
        <v>41</v>
      </c>
      <c r="I134" s="172" t="s">
        <v>524</v>
      </c>
      <c r="J134" s="172" t="s">
        <v>525</v>
      </c>
      <c r="K134" s="172" t="s">
        <v>526</v>
      </c>
      <c r="L134" s="174" t="s">
        <v>849</v>
      </c>
      <c r="M134" s="174" t="s">
        <v>850</v>
      </c>
      <c r="N134" s="174" t="s">
        <v>851</v>
      </c>
      <c r="O134" s="173" t="s">
        <v>229</v>
      </c>
      <c r="P134" s="173" t="s">
        <v>230</v>
      </c>
      <c r="Q134" s="175" t="s">
        <v>231</v>
      </c>
      <c r="R134" s="176" t="s">
        <v>207</v>
      </c>
      <c r="S134" s="173" t="s">
        <v>1016</v>
      </c>
      <c r="T134" s="177">
        <v>920</v>
      </c>
      <c r="U134" s="177">
        <v>-27.6</v>
      </c>
      <c r="V134" s="178">
        <v>-27.6</v>
      </c>
      <c r="W134" s="179" t="s">
        <v>1017</v>
      </c>
      <c r="X134" s="181">
        <v>46054</v>
      </c>
      <c r="Y134" s="181">
        <v>46063</v>
      </c>
      <c r="Z134" s="176" t="s">
        <v>1018</v>
      </c>
      <c r="AA134" s="182" t="s">
        <v>1019</v>
      </c>
      <c r="AB134" s="176" t="s">
        <v>56</v>
      </c>
      <c r="AC134" s="176" t="s">
        <v>236</v>
      </c>
      <c r="AD134" s="176" t="s">
        <v>256</v>
      </c>
      <c r="AE134" s="183">
        <v>-27.6</v>
      </c>
      <c r="AF134" s="175" t="s">
        <v>237</v>
      </c>
      <c r="AG134" s="175" t="s">
        <v>238</v>
      </c>
      <c r="AH134" s="175" t="s">
        <v>102</v>
      </c>
      <c r="AI134" s="175" t="s">
        <v>1020</v>
      </c>
    </row>
    <row r="135" spans="1:35" x14ac:dyDescent="0.25">
      <c r="A135" s="170">
        <v>1091</v>
      </c>
      <c r="B135" s="171" t="s">
        <v>36</v>
      </c>
      <c r="C135" s="172" t="s">
        <v>37</v>
      </c>
      <c r="D135" s="172" t="s">
        <v>36</v>
      </c>
      <c r="E135" s="172" t="s">
        <v>38</v>
      </c>
      <c r="F135" s="172" t="s">
        <v>39</v>
      </c>
      <c r="G135" s="172" t="s">
        <v>40</v>
      </c>
      <c r="H135" s="173" t="s">
        <v>41</v>
      </c>
      <c r="I135" s="172" t="s">
        <v>524</v>
      </c>
      <c r="J135" s="172" t="s">
        <v>525</v>
      </c>
      <c r="K135" s="172" t="s">
        <v>526</v>
      </c>
      <c r="L135" s="174" t="s">
        <v>849</v>
      </c>
      <c r="M135" s="174" t="s">
        <v>850</v>
      </c>
      <c r="N135" s="174" t="s">
        <v>851</v>
      </c>
      <c r="O135" s="173" t="s">
        <v>984</v>
      </c>
      <c r="P135" s="173" t="s">
        <v>985</v>
      </c>
      <c r="Q135" s="175" t="s">
        <v>986</v>
      </c>
      <c r="R135" s="176" t="s">
        <v>207</v>
      </c>
      <c r="S135" s="173" t="s">
        <v>1021</v>
      </c>
      <c r="T135" s="177">
        <v>1155.32</v>
      </c>
      <c r="U135" s="177">
        <v>-33.04</v>
      </c>
      <c r="V135" s="178">
        <v>-33.04</v>
      </c>
      <c r="W135" s="179" t="s">
        <v>1022</v>
      </c>
      <c r="X135" s="181">
        <v>46055</v>
      </c>
      <c r="Y135" s="181">
        <v>46069</v>
      </c>
      <c r="Z135" s="176" t="s">
        <v>234</v>
      </c>
      <c r="AA135" s="182" t="s">
        <v>235</v>
      </c>
      <c r="AB135" s="176" t="s">
        <v>56</v>
      </c>
      <c r="AC135" s="176" t="s">
        <v>236</v>
      </c>
      <c r="AD135" s="176" t="s">
        <v>256</v>
      </c>
      <c r="AE135" s="183">
        <v>-33.04</v>
      </c>
      <c r="AF135" s="175" t="s">
        <v>989</v>
      </c>
      <c r="AG135" s="175" t="s">
        <v>990</v>
      </c>
      <c r="AH135" s="175" t="s">
        <v>201</v>
      </c>
      <c r="AI135" s="175" t="s">
        <v>991</v>
      </c>
    </row>
    <row r="136" spans="1:35" x14ac:dyDescent="0.25">
      <c r="A136" s="170">
        <v>2671</v>
      </c>
      <c r="B136" s="173" t="s">
        <v>36</v>
      </c>
      <c r="C136" s="172" t="s">
        <v>37</v>
      </c>
      <c r="D136" s="173" t="s">
        <v>36</v>
      </c>
      <c r="E136" s="173" t="s">
        <v>38</v>
      </c>
      <c r="F136" s="172" t="s">
        <v>39</v>
      </c>
      <c r="G136" s="172" t="s">
        <v>40</v>
      </c>
      <c r="H136" s="173" t="s">
        <v>41</v>
      </c>
      <c r="I136" s="172" t="s">
        <v>524</v>
      </c>
      <c r="J136" s="172" t="s">
        <v>525</v>
      </c>
      <c r="K136" s="172" t="s">
        <v>526</v>
      </c>
      <c r="L136" s="174" t="s">
        <v>849</v>
      </c>
      <c r="M136" s="174" t="s">
        <v>850</v>
      </c>
      <c r="N136" s="174" t="s">
        <v>851</v>
      </c>
      <c r="O136" s="173" t="s">
        <v>63</v>
      </c>
      <c r="P136" s="173" t="s">
        <v>64</v>
      </c>
      <c r="Q136" s="175" t="s">
        <v>65</v>
      </c>
      <c r="R136" s="176" t="s">
        <v>51</v>
      </c>
      <c r="S136" s="173" t="s">
        <v>1295</v>
      </c>
      <c r="T136" s="177">
        <v>89.8</v>
      </c>
      <c r="U136" s="177">
        <v>-89.8</v>
      </c>
      <c r="V136" s="178">
        <v>-89.8</v>
      </c>
      <c r="W136" s="179" t="s">
        <v>1296</v>
      </c>
      <c r="X136" s="184">
        <v>46029</v>
      </c>
      <c r="Y136" s="181">
        <v>46048</v>
      </c>
      <c r="Z136" s="176" t="s">
        <v>540</v>
      </c>
      <c r="AA136" s="182" t="s">
        <v>541</v>
      </c>
      <c r="AB136" s="176" t="s">
        <v>56</v>
      </c>
      <c r="AC136" s="176" t="s">
        <v>236</v>
      </c>
      <c r="AD136" s="176" t="s">
        <v>256</v>
      </c>
      <c r="AE136" s="183">
        <v>-89.8</v>
      </c>
      <c r="AF136" s="175" t="s">
        <v>70</v>
      </c>
      <c r="AG136" s="175" t="s">
        <v>71</v>
      </c>
      <c r="AH136" s="175" t="s">
        <v>72</v>
      </c>
      <c r="AI136" s="175" t="s">
        <v>991</v>
      </c>
    </row>
    <row r="137" spans="1:35" x14ac:dyDescent="0.25">
      <c r="A137" s="170">
        <v>2673</v>
      </c>
      <c r="B137" s="173" t="s">
        <v>36</v>
      </c>
      <c r="C137" s="172" t="s">
        <v>37</v>
      </c>
      <c r="D137" s="173" t="s">
        <v>36</v>
      </c>
      <c r="E137" s="173" t="s">
        <v>38</v>
      </c>
      <c r="F137" s="172" t="s">
        <v>39</v>
      </c>
      <c r="G137" s="172" t="s">
        <v>40</v>
      </c>
      <c r="H137" s="173" t="s">
        <v>41</v>
      </c>
      <c r="I137" s="172" t="s">
        <v>524</v>
      </c>
      <c r="J137" s="172" t="s">
        <v>525</v>
      </c>
      <c r="K137" s="172" t="s">
        <v>526</v>
      </c>
      <c r="L137" s="174" t="s">
        <v>849</v>
      </c>
      <c r="M137" s="174" t="s">
        <v>850</v>
      </c>
      <c r="N137" s="174" t="s">
        <v>851</v>
      </c>
      <c r="O137" s="173" t="s">
        <v>63</v>
      </c>
      <c r="P137" s="173" t="s">
        <v>64</v>
      </c>
      <c r="Q137" s="175" t="s">
        <v>65</v>
      </c>
      <c r="R137" s="176" t="s">
        <v>51</v>
      </c>
      <c r="S137" s="173" t="s">
        <v>1297</v>
      </c>
      <c r="T137" s="177">
        <v>1410</v>
      </c>
      <c r="U137" s="177">
        <v>-1410</v>
      </c>
      <c r="V137" s="178">
        <v>-1410</v>
      </c>
      <c r="W137" s="179" t="s">
        <v>1298</v>
      </c>
      <c r="X137" s="184">
        <v>46029</v>
      </c>
      <c r="Y137" s="181">
        <v>46048</v>
      </c>
      <c r="Z137" s="176" t="s">
        <v>540</v>
      </c>
      <c r="AA137" s="182" t="s">
        <v>541</v>
      </c>
      <c r="AB137" s="176" t="s">
        <v>56</v>
      </c>
      <c r="AC137" s="176" t="s">
        <v>236</v>
      </c>
      <c r="AD137" s="176" t="s">
        <v>256</v>
      </c>
      <c r="AE137" s="183">
        <v>-1410</v>
      </c>
      <c r="AF137" s="175" t="s">
        <v>70</v>
      </c>
      <c r="AG137" s="175" t="s">
        <v>71</v>
      </c>
      <c r="AH137" s="175" t="s">
        <v>72</v>
      </c>
      <c r="AI137" s="175" t="s">
        <v>991</v>
      </c>
    </row>
    <row r="138" spans="1:35" x14ac:dyDescent="0.25">
      <c r="A138" s="170">
        <v>3367</v>
      </c>
      <c r="B138" s="171" t="s">
        <v>36</v>
      </c>
      <c r="C138" s="172" t="s">
        <v>37</v>
      </c>
      <c r="D138" s="172" t="s">
        <v>36</v>
      </c>
      <c r="E138" s="172" t="s">
        <v>38</v>
      </c>
      <c r="F138" s="172" t="s">
        <v>39</v>
      </c>
      <c r="G138" s="172" t="s">
        <v>40</v>
      </c>
      <c r="H138" s="173" t="s">
        <v>41</v>
      </c>
      <c r="I138" s="172" t="s">
        <v>524</v>
      </c>
      <c r="J138" s="172" t="s">
        <v>525</v>
      </c>
      <c r="K138" s="172" t="s">
        <v>526</v>
      </c>
      <c r="L138" s="174" t="s">
        <v>849</v>
      </c>
      <c r="M138" s="174" t="s">
        <v>850</v>
      </c>
      <c r="N138" s="174" t="s">
        <v>851</v>
      </c>
      <c r="O138" s="173" t="s">
        <v>63</v>
      </c>
      <c r="P138" s="173" t="s">
        <v>64</v>
      </c>
      <c r="Q138" s="175" t="s">
        <v>65</v>
      </c>
      <c r="R138" s="176" t="s">
        <v>51</v>
      </c>
      <c r="S138" s="173" t="s">
        <v>1299</v>
      </c>
      <c r="T138" s="177">
        <v>1531.9</v>
      </c>
      <c r="U138" s="177">
        <v>-306.38</v>
      </c>
      <c r="V138" s="178">
        <v>-306.38</v>
      </c>
      <c r="W138" s="179" t="s">
        <v>1300</v>
      </c>
      <c r="X138" s="181">
        <v>46044</v>
      </c>
      <c r="Y138" s="181">
        <v>46068</v>
      </c>
      <c r="Z138" s="176" t="s">
        <v>504</v>
      </c>
      <c r="AA138" s="182" t="s">
        <v>505</v>
      </c>
      <c r="AB138" s="176" t="s">
        <v>56</v>
      </c>
      <c r="AC138" s="176" t="s">
        <v>236</v>
      </c>
      <c r="AD138" s="176" t="s">
        <v>256</v>
      </c>
      <c r="AE138" s="183">
        <v>-306.38</v>
      </c>
      <c r="AF138" s="175" t="s">
        <v>70</v>
      </c>
      <c r="AG138" s="175" t="s">
        <v>71</v>
      </c>
      <c r="AH138" s="175" t="s">
        <v>72</v>
      </c>
      <c r="AI138" s="175" t="s">
        <v>991</v>
      </c>
    </row>
    <row r="139" spans="1:35" x14ac:dyDescent="0.25">
      <c r="A139" s="170">
        <v>3419</v>
      </c>
      <c r="B139" s="171" t="s">
        <v>36</v>
      </c>
      <c r="C139" s="172" t="s">
        <v>37</v>
      </c>
      <c r="D139" s="172" t="s">
        <v>36</v>
      </c>
      <c r="E139" s="172" t="s">
        <v>38</v>
      </c>
      <c r="F139" s="172" t="s">
        <v>39</v>
      </c>
      <c r="G139" s="172" t="s">
        <v>40</v>
      </c>
      <c r="H139" s="173" t="s">
        <v>41</v>
      </c>
      <c r="I139" s="172" t="s">
        <v>524</v>
      </c>
      <c r="J139" s="172" t="s">
        <v>525</v>
      </c>
      <c r="K139" s="172" t="s">
        <v>526</v>
      </c>
      <c r="L139" s="174" t="s">
        <v>849</v>
      </c>
      <c r="M139" s="174" t="s">
        <v>850</v>
      </c>
      <c r="N139" s="174" t="s">
        <v>851</v>
      </c>
      <c r="O139" s="173" t="s">
        <v>63</v>
      </c>
      <c r="P139" s="173" t="s">
        <v>64</v>
      </c>
      <c r="Q139" s="175" t="s">
        <v>65</v>
      </c>
      <c r="R139" s="176" t="s">
        <v>51</v>
      </c>
      <c r="S139" s="173" t="s">
        <v>1301</v>
      </c>
      <c r="T139" s="177">
        <v>683</v>
      </c>
      <c r="U139" s="177">
        <v>-683</v>
      </c>
      <c r="V139" s="178">
        <v>-683</v>
      </c>
      <c r="W139" s="179" t="s">
        <v>1302</v>
      </c>
      <c r="X139" s="181">
        <v>46058</v>
      </c>
      <c r="Y139" s="181">
        <v>46068</v>
      </c>
      <c r="Z139" s="176" t="s">
        <v>540</v>
      </c>
      <c r="AA139" s="182" t="s">
        <v>541</v>
      </c>
      <c r="AB139" s="176" t="s">
        <v>56</v>
      </c>
      <c r="AC139" s="176" t="s">
        <v>236</v>
      </c>
      <c r="AD139" s="176" t="s">
        <v>256</v>
      </c>
      <c r="AE139" s="183">
        <v>-683</v>
      </c>
      <c r="AF139" s="175" t="s">
        <v>70</v>
      </c>
      <c r="AG139" s="175" t="s">
        <v>71</v>
      </c>
      <c r="AH139" s="175" t="s">
        <v>72</v>
      </c>
      <c r="AI139" s="175" t="s">
        <v>991</v>
      </c>
    </row>
    <row r="140" spans="1:35" x14ac:dyDescent="0.25">
      <c r="A140" s="170">
        <v>3713</v>
      </c>
      <c r="B140" s="171" t="s">
        <v>36</v>
      </c>
      <c r="C140" s="172" t="s">
        <v>37</v>
      </c>
      <c r="D140" s="172" t="s">
        <v>36</v>
      </c>
      <c r="E140" s="172" t="s">
        <v>38</v>
      </c>
      <c r="F140" s="172" t="s">
        <v>39</v>
      </c>
      <c r="G140" s="172" t="s">
        <v>40</v>
      </c>
      <c r="H140" s="173" t="s">
        <v>41</v>
      </c>
      <c r="I140" s="172" t="s">
        <v>524</v>
      </c>
      <c r="J140" s="172" t="s">
        <v>525</v>
      </c>
      <c r="K140" s="172" t="s">
        <v>526</v>
      </c>
      <c r="L140" s="174" t="s">
        <v>849</v>
      </c>
      <c r="M140" s="174" t="s">
        <v>850</v>
      </c>
      <c r="N140" s="174" t="s">
        <v>851</v>
      </c>
      <c r="O140" s="173" t="s">
        <v>63</v>
      </c>
      <c r="P140" s="173" t="s">
        <v>64</v>
      </c>
      <c r="Q140" s="175" t="s">
        <v>65</v>
      </c>
      <c r="R140" s="176" t="s">
        <v>51</v>
      </c>
      <c r="S140" s="173" t="s">
        <v>1303</v>
      </c>
      <c r="T140" s="177">
        <v>2723.23</v>
      </c>
      <c r="U140" s="177">
        <v>-1089.3</v>
      </c>
      <c r="V140" s="178">
        <v>-1089.3</v>
      </c>
      <c r="W140" s="179" t="s">
        <v>1304</v>
      </c>
      <c r="X140" s="181">
        <v>46050</v>
      </c>
      <c r="Y140" s="181">
        <v>46079</v>
      </c>
      <c r="Z140" s="176" t="s">
        <v>504</v>
      </c>
      <c r="AA140" s="182" t="s">
        <v>505</v>
      </c>
      <c r="AB140" s="176" t="s">
        <v>56</v>
      </c>
      <c r="AC140" s="176" t="s">
        <v>236</v>
      </c>
      <c r="AD140" s="176" t="s">
        <v>256</v>
      </c>
      <c r="AE140" s="183">
        <v>-1089.3</v>
      </c>
      <c r="AF140" s="175" t="s">
        <v>70</v>
      </c>
      <c r="AG140" s="175" t="s">
        <v>71</v>
      </c>
      <c r="AH140" s="175" t="s">
        <v>72</v>
      </c>
      <c r="AI140" s="175" t="s">
        <v>991</v>
      </c>
    </row>
    <row r="141" spans="1:35" x14ac:dyDescent="0.25">
      <c r="A141" s="170">
        <v>4284</v>
      </c>
      <c r="B141" s="171" t="s">
        <v>36</v>
      </c>
      <c r="C141" s="172" t="s">
        <v>37</v>
      </c>
      <c r="D141" s="172" t="s">
        <v>36</v>
      </c>
      <c r="E141" s="172" t="s">
        <v>38</v>
      </c>
      <c r="F141" s="172" t="s">
        <v>39</v>
      </c>
      <c r="G141" s="172" t="s">
        <v>40</v>
      </c>
      <c r="H141" s="173" t="s">
        <v>41</v>
      </c>
      <c r="I141" s="172" t="s">
        <v>524</v>
      </c>
      <c r="J141" s="172" t="s">
        <v>525</v>
      </c>
      <c r="K141" s="172" t="s">
        <v>526</v>
      </c>
      <c r="L141" s="174" t="s">
        <v>849</v>
      </c>
      <c r="M141" s="174" t="s">
        <v>850</v>
      </c>
      <c r="N141" s="174" t="s">
        <v>851</v>
      </c>
      <c r="O141" s="173" t="s">
        <v>63</v>
      </c>
      <c r="P141" s="173" t="s">
        <v>64</v>
      </c>
      <c r="Q141" s="175" t="s">
        <v>65</v>
      </c>
      <c r="R141" s="176" t="s">
        <v>51</v>
      </c>
      <c r="S141" s="173" t="s">
        <v>1223</v>
      </c>
      <c r="T141" s="177">
        <v>2034</v>
      </c>
      <c r="U141" s="177">
        <v>-1017</v>
      </c>
      <c r="V141" s="178">
        <v>-1017</v>
      </c>
      <c r="W141" s="179" t="s">
        <v>1224</v>
      </c>
      <c r="X141" s="181">
        <v>46069</v>
      </c>
      <c r="Y141" s="181">
        <v>46096</v>
      </c>
      <c r="Z141" s="176" t="s">
        <v>562</v>
      </c>
      <c r="AA141" s="182" t="s">
        <v>563</v>
      </c>
      <c r="AB141" s="176" t="s">
        <v>56</v>
      </c>
      <c r="AC141" s="173" t="s">
        <v>236</v>
      </c>
      <c r="AD141" s="176" t="s">
        <v>256</v>
      </c>
      <c r="AE141" s="183">
        <v>-1017</v>
      </c>
      <c r="AF141" s="175" t="s">
        <v>70</v>
      </c>
      <c r="AG141" s="175" t="s">
        <v>71</v>
      </c>
      <c r="AH141" s="175" t="s">
        <v>72</v>
      </c>
      <c r="AI141" s="175" t="s">
        <v>991</v>
      </c>
    </row>
    <row r="142" spans="1:35" x14ac:dyDescent="0.25">
      <c r="A142" s="170">
        <v>4322</v>
      </c>
      <c r="B142" s="171" t="s">
        <v>36</v>
      </c>
      <c r="C142" s="172" t="s">
        <v>37</v>
      </c>
      <c r="D142" s="172" t="s">
        <v>36</v>
      </c>
      <c r="E142" s="172" t="s">
        <v>38</v>
      </c>
      <c r="F142" s="172" t="s">
        <v>39</v>
      </c>
      <c r="G142" s="172" t="s">
        <v>40</v>
      </c>
      <c r="H142" s="173" t="s">
        <v>41</v>
      </c>
      <c r="I142" s="172" t="s">
        <v>524</v>
      </c>
      <c r="J142" s="172" t="s">
        <v>525</v>
      </c>
      <c r="K142" s="172" t="s">
        <v>526</v>
      </c>
      <c r="L142" s="174" t="s">
        <v>849</v>
      </c>
      <c r="M142" s="174" t="s">
        <v>850</v>
      </c>
      <c r="N142" s="174" t="s">
        <v>851</v>
      </c>
      <c r="O142" s="173" t="s">
        <v>63</v>
      </c>
      <c r="P142" s="173" t="s">
        <v>64</v>
      </c>
      <c r="Q142" s="175" t="s">
        <v>65</v>
      </c>
      <c r="R142" s="176" t="s">
        <v>51</v>
      </c>
      <c r="S142" s="173" t="s">
        <v>1305</v>
      </c>
      <c r="T142" s="177">
        <v>761.27</v>
      </c>
      <c r="U142" s="177">
        <v>-761.27</v>
      </c>
      <c r="V142" s="178">
        <v>-761.27</v>
      </c>
      <c r="W142" s="179" t="s">
        <v>1306</v>
      </c>
      <c r="X142" s="181">
        <v>46070</v>
      </c>
      <c r="Y142" s="181">
        <v>46098</v>
      </c>
      <c r="Z142" s="176" t="s">
        <v>544</v>
      </c>
      <c r="AA142" s="182" t="s">
        <v>545</v>
      </c>
      <c r="AB142" s="176" t="s">
        <v>56</v>
      </c>
      <c r="AC142" s="173" t="s">
        <v>236</v>
      </c>
      <c r="AD142" s="176" t="s">
        <v>256</v>
      </c>
      <c r="AE142" s="183">
        <v>-761.27</v>
      </c>
      <c r="AF142" s="175" t="s">
        <v>70</v>
      </c>
      <c r="AG142" s="175" t="s">
        <v>71</v>
      </c>
      <c r="AH142" s="175" t="s">
        <v>72</v>
      </c>
      <c r="AI142" s="175" t="s">
        <v>991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Maquinas Locadas - 2024</vt:lpstr>
      <vt:lpstr>Salarios_2024</vt:lpstr>
      <vt:lpstr>Maquinas Locadas - 2025</vt:lpstr>
      <vt:lpstr>Maquinas Locadas - 2026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2026-05-21T17:05:17Z</dcterms:created>
  <dcterms:modified xsi:type="dcterms:W3CDTF">2026-05-21T18:19:44Z</dcterms:modified>
</cp:coreProperties>
</file>